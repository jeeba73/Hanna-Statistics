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\\192.168.1.200\Technical Office\STATISTIC\HI782-0\"/>
    </mc:Choice>
  </mc:AlternateContent>
  <xr:revisionPtr revIDLastSave="0" documentId="13_ncr:1_{DF33C09A-93BE-4CDE-9180-8CACE1517E8F}" xr6:coauthVersionLast="47" xr6:coauthVersionMax="47" xr10:uidLastSave="{00000000-0000-0000-0000-000000000000}"/>
  <bookViews>
    <workbookView xWindow="43095" yWindow="0" windowWidth="14610" windowHeight="15585" tabRatio="714" xr2:uid="{00000000-000D-0000-FFFF-FFFF00000000}"/>
  </bookViews>
  <sheets>
    <sheet name="STD All" sheetId="8" r:id="rId1"/>
    <sheet name="HISTORY LOG" sheetId="9" r:id="rId2"/>
    <sheet name="Lot structure" sheetId="11" r:id="rId3"/>
    <sheet name=" Import Lots Data" sheetId="2" r:id="rId4"/>
    <sheet name="Import Hanna Code" sheetId="7" r:id="rId5"/>
  </sheets>
  <definedNames>
    <definedName name="_xlnm._FilterDatabase" localSheetId="4" hidden="1">'Import Hanna Code'!$A$1:$CZ$1001</definedName>
    <definedName name="_xlnm._FilterDatabase" localSheetId="0" hidden="1">'STD All'!$A$2:$CW$881</definedName>
    <definedName name="AW">_xlfn.ANCHORARRAY('STD All'!$AW$2)</definedName>
    <definedName name="AX">_xlfn.ANCHORARRAY('STD All'!$AX$2)</definedName>
    <definedName name="BA">_xlfn.ANCHORARRAY('STD All'!$BA$2)</definedName>
    <definedName name="BB">_xlfn.ANCHORARRAY('STD All'!$BB$2)</definedName>
    <definedName name="BC">_xlfn.ANCHORARRAY('STD All'!$BC$2)</definedName>
    <definedName name="BD">_xlfn.ANCHORARRAY('STD All'!$BD$2)</definedName>
    <definedName name="BE">_xlfn.ANCHORARRAY('STD All'!$BE$2)</definedName>
    <definedName name="BF">_xlfn.ANCHORARRAY('STD All'!$BF$2)</definedName>
    <definedName name="BG">_xlfn.ANCHORARRAY('STD All'!$BH$2)</definedName>
    <definedName name="BH">_xlfn.ANCHORARRAY('STD All'!$BI$2)</definedName>
    <definedName name="BI">_xlfn.ANCHORARRAY('STD All'!$BJ$2)</definedName>
    <definedName name="BJ">_xlfn.ANCHORARRAY('STD All'!$BK$2)</definedName>
    <definedName name="BK">_xlfn.ANCHORARRAY('STD All'!$BL$2)</definedName>
    <definedName name="BL">_xlfn.ANCHORARRAY('STD All'!$BM$2)</definedName>
    <definedName name="BM">_xlfn.ANCHORARRAY('STD All'!$BN$2)</definedName>
    <definedName name="BN">_xlfn.ANCHORARRAY('STD All'!$BO$2)</definedName>
    <definedName name="BO">_xlfn.ANCHORARRAY('STD All'!$BP$2)</definedName>
    <definedName name="BP">_xlfn.ANCHORARRAY('STD All'!$BQ$2)</definedName>
    <definedName name="BQ">_xlfn.ANCHORARRAY('STD All'!$BR$2)</definedName>
    <definedName name="BR">_xlfn.ANCHORARRAY('STD All'!$BS$2)</definedName>
    <definedName name="BS">_xlfn.ANCHORARRAY('STD All'!$BT$2)</definedName>
    <definedName name="BT">_xlfn.ANCHORARRAY('STD All'!$BU$2)</definedName>
    <definedName name="BU">_xlfn.ANCHORARRAY('STD All'!$BV$2)</definedName>
    <definedName name="BV">_xlfn.ANCHORARRAY('STD All'!$BW$2)</definedName>
    <definedName name="BW">_xlfn.ANCHORARRAY('STD All'!$BX$2)</definedName>
    <definedName name="BX">_xlfn.ANCHORARRAY('STD All'!$BY$2)</definedName>
    <definedName name="BY">_xlfn.ANCHORARRAY('STD All'!$BZ$2)</definedName>
    <definedName name="BZ">_xlfn.ANCHORARRAY('STD All'!$CA$2)</definedName>
    <definedName name="CA">_xlfn.ANCHORARRAY('STD All'!$CB$2)</definedName>
    <definedName name="CB">_xlfn.ANCHORARRAY('STD All'!$CC$2)</definedName>
    <definedName name="CC">_xlfn.ANCHORARRAY('STD All'!$CD$2)</definedName>
    <definedName name="CD">_xlfn.ANCHORARRAY('STD All'!$CE$2)</definedName>
    <definedName name="CE">_xlfn.ANCHORARRAY('STD All'!$CF$2)</definedName>
    <definedName name="CF">_xlfn.ANCHORARRAY('STD All'!$CG$2)</definedName>
    <definedName name="CG">_xlfn.ANCHORARRAY('STD All'!$CH$2)</definedName>
    <definedName name="CH">_xlfn.ANCHORARRAY('STD All'!$CI$2)</definedName>
    <definedName name="CI">_xlfn.ANCHORARRAY('STD All'!$CJ$2)</definedName>
    <definedName name="CJ">_xlfn.ANCHORARRAY('STD All'!$CK$2)</definedName>
    <definedName name="CK">_xlfn.ANCHORARRAY('STD All'!$CL$2)</definedName>
    <definedName name="CL">_xlfn.ANCHORARRAY('STD All'!$CM$2)</definedName>
    <definedName name="CM">_xlfn.ANCHORARRAY('STD All'!$CN$2)</definedName>
    <definedName name="CN">_xlfn.ANCHORARRAY('STD All'!$CO$2)</definedName>
    <definedName name="CO">_xlfn.ANCHORARRAY('STD All'!$CP$2)</definedName>
    <definedName name="CP">_xlfn.ANCHORARRAY('STD All'!$CQ$2)</definedName>
    <definedName name="CQ">_xlfn.ANCHORARRAY('STD All'!$CR$2)</definedName>
    <definedName name="CR">_xlfn.ANCHORARRAY('STD All'!$CS$2)</definedName>
    <definedName name="CS">_xlfn.ANCHORARRAY('STD All'!$CT$2)</definedName>
    <definedName name="CT">_xlfn.ANCHORARRAY('STD All'!$CU$2)</definedName>
    <definedName name="CU">_xlfn.ANCHORARRAY('STD All'!$CV$2)</definedName>
    <definedName name="CV">_xlfn.ANCHORARRAY('STD All'!$CW$2)</definedName>
    <definedName name="CW">_xlfn.ANCHORARRAY('STD All'!$CX$2)</definedName>
    <definedName name="CX">_xlfn.ANCHORARRAY('STD All'!$CY$2)</definedName>
    <definedName name="CY">_xlfn.ANCHORARRAY('STD All'!$CZ$2)</definedName>
    <definedName name="CZ">_xlfn.ANCHORARRAY('STD All'!$DA$2)</definedName>
    <definedName name="DA">_xlfn.ANCHORARRAY('STD All'!$DB$2)</definedName>
    <definedName name="DB">_xlfn.ANCHORARRAY('STD All'!$DC$2)</definedName>
    <definedName name="DC">_xlfn.ANCHORARRAY('STD All'!$DD$2)</definedName>
    <definedName name="DD">_xlfn.ANCHORARRAY('STD All'!$DE$2)</definedName>
    <definedName name="DE">_xlfn.ANCHORARRAY('STD All'!$DF$2)</definedName>
    <definedName name="DF">_xlfn.ANCHORARRAY('STD All'!$DG$2)</definedName>
    <definedName name="DG">_xlfn.ANCHORARRAY('STD All'!$DH$2)</definedName>
    <definedName name="DH">_xlfn.ANCHORARRAY('STD All'!$DI$2)</definedName>
    <definedName name="DI">_xlfn.ANCHORARRAY('STD All'!$DJ$2)</definedName>
    <definedName name="DJ">_xlfn.ANCHORARRAY('STD All'!$DK$2)</definedName>
    <definedName name="DQ">_xlfn.ANCHORARRAY('STD All'!$DR$2)</definedName>
    <definedName name="DR">_xlfn.ANCHORARRAY('STD All'!$DS$2)</definedName>
    <definedName name="DS">_xlfn.ANCHORARRAY('STD All'!$DT$2)</definedName>
    <definedName name="DT">_xlfn.ANCHORARRAY('STD All'!$DU$2)</definedName>
    <definedName name="DU">_xlfn.ANCHORARRAY('STD All'!$DV$2)</definedName>
    <definedName name="DV">_xlfn.ANCHORARRAY('STD All'!$DW$2)</definedName>
    <definedName name="ExternalData_1" localSheetId="3" hidden="1">' Import Lots Data'!$A$1:$CZ$2957</definedName>
    <definedName name="ExternalData_1" localSheetId="4" hidden="1">'Import Hanna Code'!$A$1:$CZ$1001</definedName>
    <definedName name="ExternalData_1" localSheetId="2" hidden="1">'Lot structure'!$A$1:$DA$27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" i="8" l="1" a="1"/>
  <c r="AX2" i="8" s="1"/>
  <c r="B2" i="8" a="1"/>
  <c r="B2" i="8" s="1"/>
  <c r="A2" i="8" a="1"/>
  <c r="A2" i="8" s="1"/>
  <c r="BF2" i="8" a="1"/>
  <c r="BF2" i="8" s="1"/>
  <c r="C2" i="8" a="1"/>
  <c r="C2" i="8" s="1"/>
  <c r="BC2" i="8" a="1"/>
  <c r="BC2" i="8" s="1"/>
  <c r="AL10" i="8" l="1"/>
  <c r="DX27" i="8" a="1"/>
  <c r="DX27" i="8" s="1"/>
  <c r="DY27" i="8" a="1"/>
  <c r="DY27" i="8" s="1"/>
  <c r="DZ27" i="8" a="1"/>
  <c r="DZ27" i="8" s="1"/>
  <c r="EA27" i="8" a="1"/>
  <c r="EA27" i="8" s="1"/>
  <c r="EB27" i="8" a="1"/>
  <c r="EB27" i="8" s="1"/>
  <c r="EC27" i="8" a="1"/>
  <c r="EC27" i="8" s="1"/>
  <c r="DX28" i="8" a="1"/>
  <c r="DX28" i="8" s="1"/>
  <c r="DY28" i="8" a="1"/>
  <c r="DY28" i="8" s="1"/>
  <c r="DZ28" i="8" a="1"/>
  <c r="DZ28" i="8" s="1"/>
  <c r="EA28" i="8" a="1"/>
  <c r="EA28" i="8" s="1"/>
  <c r="EB28" i="8" a="1"/>
  <c r="EB28" i="8" s="1"/>
  <c r="EC28" i="8" a="1"/>
  <c r="EC28" i="8" s="1"/>
  <c r="DX29" i="8" a="1"/>
  <c r="DX29" i="8" s="1"/>
  <c r="DY29" i="8" a="1"/>
  <c r="DY29" i="8" s="1"/>
  <c r="DZ29" i="8" a="1"/>
  <c r="DZ29" i="8" s="1"/>
  <c r="EA29" i="8" a="1"/>
  <c r="EA29" i="8" s="1"/>
  <c r="EB29" i="8" a="1"/>
  <c r="EB29" i="8" s="1"/>
  <c r="EC29" i="8" a="1"/>
  <c r="EC29" i="8" s="1"/>
  <c r="DX30" i="8" a="1"/>
  <c r="DX30" i="8" s="1"/>
  <c r="DY30" i="8" a="1"/>
  <c r="DY30" i="8" s="1"/>
  <c r="DZ30" i="8" a="1"/>
  <c r="DZ30" i="8" s="1"/>
  <c r="EA30" i="8" a="1"/>
  <c r="EA30" i="8" s="1"/>
  <c r="EB30" i="8" a="1"/>
  <c r="EB30" i="8" s="1"/>
  <c r="EC30" i="8" a="1"/>
  <c r="EC30" i="8" s="1"/>
  <c r="DX31" i="8" a="1"/>
  <c r="DX31" i="8" s="1"/>
  <c r="DY31" i="8" a="1"/>
  <c r="DY31" i="8" s="1"/>
  <c r="DZ31" i="8" a="1"/>
  <c r="DZ31" i="8" s="1"/>
  <c r="EA31" i="8" a="1"/>
  <c r="EA31" i="8" s="1"/>
  <c r="EB31" i="8" a="1"/>
  <c r="EB31" i="8" s="1"/>
  <c r="EC31" i="8" a="1"/>
  <c r="EC31" i="8" s="1"/>
  <c r="DX32" i="8" a="1"/>
  <c r="DX32" i="8" s="1"/>
  <c r="DY32" i="8" a="1"/>
  <c r="DY32" i="8" s="1"/>
  <c r="DZ32" i="8" a="1"/>
  <c r="DZ32" i="8" s="1"/>
  <c r="EA32" i="8" a="1"/>
  <c r="EA32" i="8" s="1"/>
  <c r="EB32" i="8" a="1"/>
  <c r="EB32" i="8" s="1"/>
  <c r="EC32" i="8" a="1"/>
  <c r="EC32" i="8" s="1"/>
  <c r="DX33" i="8" a="1"/>
  <c r="DX33" i="8" s="1"/>
  <c r="DY33" i="8" a="1"/>
  <c r="DY33" i="8" s="1"/>
  <c r="DZ33" i="8" a="1"/>
  <c r="DZ33" i="8" s="1"/>
  <c r="EA33" i="8" a="1"/>
  <c r="EA33" i="8" s="1"/>
  <c r="EB33" i="8" a="1"/>
  <c r="EB33" i="8" s="1"/>
  <c r="EC33" i="8" a="1"/>
  <c r="EC33" i="8" s="1"/>
  <c r="DX34" i="8" a="1"/>
  <c r="DX34" i="8" s="1"/>
  <c r="DY34" i="8" a="1"/>
  <c r="DY34" i="8" s="1"/>
  <c r="DZ34" i="8" a="1"/>
  <c r="DZ34" i="8" s="1"/>
  <c r="EA34" i="8" a="1"/>
  <c r="EA34" i="8" s="1"/>
  <c r="EB34" i="8" a="1"/>
  <c r="EB34" i="8" s="1"/>
  <c r="EC34" i="8" a="1"/>
  <c r="EC34" i="8" s="1"/>
  <c r="DX35" i="8" a="1"/>
  <c r="DX35" i="8" s="1"/>
  <c r="DY35" i="8" a="1"/>
  <c r="DY35" i="8" s="1"/>
  <c r="DZ35" i="8" a="1"/>
  <c r="DZ35" i="8" s="1"/>
  <c r="EA35" i="8" a="1"/>
  <c r="EA35" i="8" s="1"/>
  <c r="EB35" i="8" a="1"/>
  <c r="EB35" i="8" s="1"/>
  <c r="EC35" i="8" a="1"/>
  <c r="EC35" i="8" s="1"/>
  <c r="DX36" i="8" a="1"/>
  <c r="DX36" i="8" s="1"/>
  <c r="DY36" i="8" a="1"/>
  <c r="DY36" i="8" s="1"/>
  <c r="DZ36" i="8" a="1"/>
  <c r="DZ36" i="8" s="1"/>
  <c r="EA36" i="8" a="1"/>
  <c r="EA36" i="8" s="1"/>
  <c r="EB36" i="8" a="1"/>
  <c r="EB36" i="8" s="1"/>
  <c r="EC36" i="8" a="1"/>
  <c r="EC36" i="8" s="1"/>
  <c r="DX37" i="8" a="1"/>
  <c r="DX37" i="8" s="1"/>
  <c r="DY37" i="8" a="1"/>
  <c r="DY37" i="8" s="1"/>
  <c r="DZ37" i="8" a="1"/>
  <c r="DZ37" i="8" s="1"/>
  <c r="EA37" i="8" a="1"/>
  <c r="EA37" i="8" s="1"/>
  <c r="EB37" i="8" a="1"/>
  <c r="EB37" i="8" s="1"/>
  <c r="EC37" i="8" a="1"/>
  <c r="EC37" i="8" s="1"/>
  <c r="DX38" i="8" a="1"/>
  <c r="DX38" i="8" s="1"/>
  <c r="DY38" i="8" a="1"/>
  <c r="DY38" i="8" s="1"/>
  <c r="DZ38" i="8" a="1"/>
  <c r="DZ38" i="8" s="1"/>
  <c r="EA38" i="8" a="1"/>
  <c r="EA38" i="8" s="1"/>
  <c r="EB38" i="8" a="1"/>
  <c r="EB38" i="8" s="1"/>
  <c r="EC38" i="8" a="1"/>
  <c r="EC38" i="8" s="1"/>
  <c r="DX39" i="8" a="1"/>
  <c r="DX39" i="8" s="1"/>
  <c r="DY39" i="8" a="1"/>
  <c r="DY39" i="8" s="1"/>
  <c r="DZ39" i="8" a="1"/>
  <c r="DZ39" i="8" s="1"/>
  <c r="EA39" i="8" a="1"/>
  <c r="EA39" i="8" s="1"/>
  <c r="EB39" i="8" a="1"/>
  <c r="EB39" i="8" s="1"/>
  <c r="EC39" i="8" a="1"/>
  <c r="EC39" i="8" s="1"/>
  <c r="DX40" i="8" a="1"/>
  <c r="DX40" i="8" s="1"/>
  <c r="DY40" i="8" a="1"/>
  <c r="DY40" i="8" s="1"/>
  <c r="DZ40" i="8" a="1"/>
  <c r="DZ40" i="8" s="1"/>
  <c r="EA40" i="8" a="1"/>
  <c r="EA40" i="8" s="1"/>
  <c r="EB40" i="8" a="1"/>
  <c r="EB40" i="8" s="1"/>
  <c r="EC40" i="8" a="1"/>
  <c r="EC40" i="8" s="1"/>
  <c r="DX41" i="8" a="1"/>
  <c r="DX41" i="8" s="1"/>
  <c r="DY41" i="8" a="1"/>
  <c r="DY41" i="8" s="1"/>
  <c r="DZ41" i="8" a="1"/>
  <c r="DZ41" i="8" s="1"/>
  <c r="EA41" i="8" a="1"/>
  <c r="EA41" i="8" s="1"/>
  <c r="EB41" i="8" a="1"/>
  <c r="EB41" i="8" s="1"/>
  <c r="EC41" i="8" a="1"/>
  <c r="EC41" i="8" s="1"/>
  <c r="DX42" i="8" a="1"/>
  <c r="DX42" i="8" s="1"/>
  <c r="DY42" i="8" a="1"/>
  <c r="DY42" i="8" s="1"/>
  <c r="DZ42" i="8" a="1"/>
  <c r="DZ42" i="8" s="1"/>
  <c r="EA42" i="8" a="1"/>
  <c r="EA42" i="8" s="1"/>
  <c r="EB42" i="8" a="1"/>
  <c r="EB42" i="8" s="1"/>
  <c r="EC42" i="8" a="1"/>
  <c r="EC42" i="8" s="1"/>
  <c r="DX43" i="8" a="1"/>
  <c r="DX43" i="8" s="1"/>
  <c r="DY43" i="8" a="1"/>
  <c r="DY43" i="8" s="1"/>
  <c r="DZ43" i="8" a="1"/>
  <c r="DZ43" i="8" s="1"/>
  <c r="EA43" i="8" a="1"/>
  <c r="EA43" i="8" s="1"/>
  <c r="EB43" i="8" a="1"/>
  <c r="EB43" i="8" s="1"/>
  <c r="EC43" i="8" a="1"/>
  <c r="EC43" i="8" s="1"/>
  <c r="DX44" i="8" a="1"/>
  <c r="DX44" i="8" s="1"/>
  <c r="DY44" i="8" a="1"/>
  <c r="DY44" i="8" s="1"/>
  <c r="DZ44" i="8" a="1"/>
  <c r="DZ44" i="8" s="1"/>
  <c r="EA44" i="8" a="1"/>
  <c r="EA44" i="8" s="1"/>
  <c r="EB44" i="8" a="1"/>
  <c r="EB44" i="8" s="1"/>
  <c r="EC44" i="8" a="1"/>
  <c r="EC44" i="8" s="1"/>
  <c r="DX45" i="8" a="1"/>
  <c r="DX45" i="8" s="1"/>
  <c r="DY45" i="8" a="1"/>
  <c r="DY45" i="8" s="1"/>
  <c r="DZ45" i="8" a="1"/>
  <c r="DZ45" i="8" s="1"/>
  <c r="EA45" i="8" a="1"/>
  <c r="EA45" i="8" s="1"/>
  <c r="EB45" i="8" a="1"/>
  <c r="EB45" i="8" s="1"/>
  <c r="EC45" i="8" a="1"/>
  <c r="EC45" i="8" s="1"/>
  <c r="DX46" i="8" a="1"/>
  <c r="DX46" i="8" s="1"/>
  <c r="DY46" i="8" a="1"/>
  <c r="DY46" i="8" s="1"/>
  <c r="DZ46" i="8" a="1"/>
  <c r="DZ46" i="8" s="1"/>
  <c r="EA46" i="8" a="1"/>
  <c r="EA46" i="8" s="1"/>
  <c r="EB46" i="8" a="1"/>
  <c r="EB46" i="8" s="1"/>
  <c r="EC46" i="8" a="1"/>
  <c r="EC46" i="8" s="1"/>
  <c r="DX47" i="8" a="1"/>
  <c r="DX47" i="8" s="1"/>
  <c r="DY47" i="8" a="1"/>
  <c r="DY47" i="8" s="1"/>
  <c r="DZ47" i="8" a="1"/>
  <c r="DZ47" i="8" s="1"/>
  <c r="EA47" i="8" a="1"/>
  <c r="EA47" i="8" s="1"/>
  <c r="EB47" i="8" a="1"/>
  <c r="EB47" i="8" s="1"/>
  <c r="EC47" i="8" a="1"/>
  <c r="EC47" i="8" s="1"/>
  <c r="DX48" i="8" a="1"/>
  <c r="DX48" i="8" s="1"/>
  <c r="DY48" i="8" a="1"/>
  <c r="DY48" i="8" s="1"/>
  <c r="DZ48" i="8" a="1"/>
  <c r="DZ48" i="8" s="1"/>
  <c r="EA48" i="8" a="1"/>
  <c r="EA48" i="8" s="1"/>
  <c r="EB48" i="8" a="1"/>
  <c r="EB48" i="8" s="1"/>
  <c r="EC48" i="8" a="1"/>
  <c r="EC48" i="8" s="1"/>
  <c r="DX49" i="8" a="1"/>
  <c r="DX49" i="8" s="1"/>
  <c r="DY49" i="8" a="1"/>
  <c r="DY49" i="8" s="1"/>
  <c r="DZ49" i="8" a="1"/>
  <c r="DZ49" i="8" s="1"/>
  <c r="EA49" i="8" a="1"/>
  <c r="EA49" i="8" s="1"/>
  <c r="EB49" i="8" a="1"/>
  <c r="EB49" i="8" s="1"/>
  <c r="EC49" i="8" a="1"/>
  <c r="EC49" i="8" s="1"/>
  <c r="DX50" i="8" a="1"/>
  <c r="DX50" i="8" s="1"/>
  <c r="DY50" i="8" a="1"/>
  <c r="DY50" i="8" s="1"/>
  <c r="DZ50" i="8" a="1"/>
  <c r="DZ50" i="8" s="1"/>
  <c r="EA50" i="8" a="1"/>
  <c r="EA50" i="8" s="1"/>
  <c r="EB50" i="8" a="1"/>
  <c r="EB50" i="8" s="1"/>
  <c r="EC50" i="8" a="1"/>
  <c r="EC50" i="8" s="1"/>
  <c r="DX51" i="8" a="1"/>
  <c r="DX51" i="8" s="1"/>
  <c r="DY51" i="8" a="1"/>
  <c r="DY51" i="8" s="1"/>
  <c r="DZ51" i="8" a="1"/>
  <c r="DZ51" i="8" s="1"/>
  <c r="EA51" i="8" a="1"/>
  <c r="EA51" i="8" s="1"/>
  <c r="EB51" i="8" a="1"/>
  <c r="EB51" i="8" s="1"/>
  <c r="EC51" i="8" a="1"/>
  <c r="EC51" i="8" s="1"/>
  <c r="DX52" i="8" a="1"/>
  <c r="DX52" i="8" s="1"/>
  <c r="DY52" i="8" a="1"/>
  <c r="DY52" i="8" s="1"/>
  <c r="DZ52" i="8" a="1"/>
  <c r="DZ52" i="8" s="1"/>
  <c r="EA52" i="8" a="1"/>
  <c r="EA52" i="8" s="1"/>
  <c r="EB52" i="8" a="1"/>
  <c r="EB52" i="8" s="1"/>
  <c r="EC52" i="8" a="1"/>
  <c r="EC52" i="8" s="1"/>
  <c r="DX53" i="8" a="1"/>
  <c r="DX53" i="8" s="1"/>
  <c r="DY53" i="8" a="1"/>
  <c r="DY53" i="8" s="1"/>
  <c r="DZ53" i="8" a="1"/>
  <c r="DZ53" i="8" s="1"/>
  <c r="EA53" i="8" a="1"/>
  <c r="EA53" i="8" s="1"/>
  <c r="EB53" i="8" a="1"/>
  <c r="EB53" i="8" s="1"/>
  <c r="EC53" i="8" a="1"/>
  <c r="EC53" i="8" s="1"/>
  <c r="DX54" i="8" a="1"/>
  <c r="DX54" i="8" s="1"/>
  <c r="DY54" i="8" a="1"/>
  <c r="DY54" i="8" s="1"/>
  <c r="DZ54" i="8" a="1"/>
  <c r="DZ54" i="8" s="1"/>
  <c r="EA54" i="8" a="1"/>
  <c r="EA54" i="8" s="1"/>
  <c r="EB54" i="8" a="1"/>
  <c r="EB54" i="8" s="1"/>
  <c r="EC54" i="8" a="1"/>
  <c r="EC54" i="8" s="1"/>
  <c r="DX55" i="8" a="1"/>
  <c r="DX55" i="8" s="1"/>
  <c r="DY55" i="8" a="1"/>
  <c r="DY55" i="8" s="1"/>
  <c r="DZ55" i="8" a="1"/>
  <c r="DZ55" i="8" s="1"/>
  <c r="EA55" i="8" a="1"/>
  <c r="EA55" i="8" s="1"/>
  <c r="EB55" i="8" a="1"/>
  <c r="EB55" i="8" s="1"/>
  <c r="EC55" i="8" a="1"/>
  <c r="EC55" i="8" s="1"/>
  <c r="DX56" i="8" a="1"/>
  <c r="DX56" i="8" s="1"/>
  <c r="DY56" i="8" a="1"/>
  <c r="DY56" i="8" s="1"/>
  <c r="DZ56" i="8" a="1"/>
  <c r="DZ56" i="8" s="1"/>
  <c r="EA56" i="8" a="1"/>
  <c r="EA56" i="8" s="1"/>
  <c r="EB56" i="8" a="1"/>
  <c r="EB56" i="8" s="1"/>
  <c r="EC56" i="8" a="1"/>
  <c r="EC56" i="8" s="1"/>
  <c r="DX57" i="8" a="1"/>
  <c r="DX57" i="8" s="1"/>
  <c r="DY57" i="8" a="1"/>
  <c r="DY57" i="8" s="1"/>
  <c r="DZ57" i="8" a="1"/>
  <c r="DZ57" i="8" s="1"/>
  <c r="EA57" i="8" a="1"/>
  <c r="EA57" i="8" s="1"/>
  <c r="EB57" i="8" a="1"/>
  <c r="EB57" i="8" s="1"/>
  <c r="EC57" i="8" a="1"/>
  <c r="EC57" i="8" s="1"/>
  <c r="DX58" i="8" a="1"/>
  <c r="DX58" i="8" s="1"/>
  <c r="DY58" i="8" a="1"/>
  <c r="DY58" i="8" s="1"/>
  <c r="DZ58" i="8" a="1"/>
  <c r="DZ58" i="8" s="1"/>
  <c r="EA58" i="8" a="1"/>
  <c r="EA58" i="8" s="1"/>
  <c r="EB58" i="8" a="1"/>
  <c r="EB58" i="8" s="1"/>
  <c r="EC58" i="8" a="1"/>
  <c r="EC58" i="8" s="1"/>
  <c r="DX59" i="8" a="1"/>
  <c r="DX59" i="8" s="1"/>
  <c r="DY59" i="8" a="1"/>
  <c r="DY59" i="8" s="1"/>
  <c r="DZ59" i="8" a="1"/>
  <c r="DZ59" i="8" s="1"/>
  <c r="EA59" i="8" a="1"/>
  <c r="EA59" i="8" s="1"/>
  <c r="EB59" i="8" a="1"/>
  <c r="EB59" i="8" s="1"/>
  <c r="EC59" i="8" a="1"/>
  <c r="EC59" i="8" s="1"/>
  <c r="DX60" i="8" a="1"/>
  <c r="DX60" i="8" s="1"/>
  <c r="DY60" i="8" a="1"/>
  <c r="DY60" i="8" s="1"/>
  <c r="DZ60" i="8" a="1"/>
  <c r="DZ60" i="8" s="1"/>
  <c r="EA60" i="8" a="1"/>
  <c r="EA60" i="8" s="1"/>
  <c r="EB60" i="8" a="1"/>
  <c r="EB60" i="8" s="1"/>
  <c r="EC60" i="8" a="1"/>
  <c r="EC60" i="8" s="1"/>
  <c r="DX61" i="8" a="1"/>
  <c r="DX61" i="8" s="1"/>
  <c r="DY61" i="8" a="1"/>
  <c r="DY61" i="8" s="1"/>
  <c r="DZ61" i="8" a="1"/>
  <c r="DZ61" i="8" s="1"/>
  <c r="EA61" i="8" a="1"/>
  <c r="EA61" i="8" s="1"/>
  <c r="EB61" i="8" a="1"/>
  <c r="EB61" i="8" s="1"/>
  <c r="EC61" i="8" a="1"/>
  <c r="EC61" i="8" s="1"/>
  <c r="DX62" i="8" a="1"/>
  <c r="DX62" i="8" s="1"/>
  <c r="DY62" i="8" a="1"/>
  <c r="DY62" i="8" s="1"/>
  <c r="DZ62" i="8" a="1"/>
  <c r="DZ62" i="8" s="1"/>
  <c r="EA62" i="8" a="1"/>
  <c r="EA62" i="8" s="1"/>
  <c r="EB62" i="8" a="1"/>
  <c r="EB62" i="8" s="1"/>
  <c r="EC62" i="8" a="1"/>
  <c r="EC62" i="8" s="1"/>
  <c r="DX63" i="8" a="1"/>
  <c r="DX63" i="8" s="1"/>
  <c r="DY63" i="8" a="1"/>
  <c r="DY63" i="8" s="1"/>
  <c r="DZ63" i="8" a="1"/>
  <c r="DZ63" i="8" s="1"/>
  <c r="EA63" i="8" a="1"/>
  <c r="EA63" i="8" s="1"/>
  <c r="EB63" i="8" a="1"/>
  <c r="EB63" i="8" s="1"/>
  <c r="EC63" i="8" a="1"/>
  <c r="EC63" i="8" s="1"/>
  <c r="DX64" i="8" a="1"/>
  <c r="DX64" i="8" s="1"/>
  <c r="DY64" i="8" a="1"/>
  <c r="DY64" i="8" s="1"/>
  <c r="DZ64" i="8" a="1"/>
  <c r="DZ64" i="8" s="1"/>
  <c r="EA64" i="8" a="1"/>
  <c r="EA64" i="8" s="1"/>
  <c r="EB64" i="8" a="1"/>
  <c r="EB64" i="8" s="1"/>
  <c r="EC64" i="8" a="1"/>
  <c r="EC64" i="8" s="1"/>
  <c r="DX65" i="8" a="1"/>
  <c r="DX65" i="8" s="1"/>
  <c r="DY65" i="8" a="1"/>
  <c r="DY65" i="8" s="1"/>
  <c r="DZ65" i="8" a="1"/>
  <c r="DZ65" i="8" s="1"/>
  <c r="EA65" i="8" a="1"/>
  <c r="EA65" i="8" s="1"/>
  <c r="EB65" i="8" a="1"/>
  <c r="EB65" i="8" s="1"/>
  <c r="EC65" i="8" a="1"/>
  <c r="EC65" i="8" s="1"/>
  <c r="DX66" i="8" a="1"/>
  <c r="DX66" i="8" s="1"/>
  <c r="DY66" i="8" a="1"/>
  <c r="DY66" i="8" s="1"/>
  <c r="DZ66" i="8" a="1"/>
  <c r="DZ66" i="8" s="1"/>
  <c r="EA66" i="8" a="1"/>
  <c r="EA66" i="8" s="1"/>
  <c r="EB66" i="8" a="1"/>
  <c r="EB66" i="8" s="1"/>
  <c r="EC66" i="8" a="1"/>
  <c r="EC66" i="8" s="1"/>
  <c r="DX67" i="8" a="1"/>
  <c r="DX67" i="8" s="1"/>
  <c r="DY67" i="8" a="1"/>
  <c r="DY67" i="8" s="1"/>
  <c r="DZ67" i="8" a="1"/>
  <c r="DZ67" i="8" s="1"/>
  <c r="EA67" i="8" a="1"/>
  <c r="EA67" i="8" s="1"/>
  <c r="EB67" i="8" a="1"/>
  <c r="EB67" i="8" s="1"/>
  <c r="EC67" i="8" a="1"/>
  <c r="EC67" i="8" s="1"/>
  <c r="DX68" i="8" a="1"/>
  <c r="DX68" i="8" s="1"/>
  <c r="DY68" i="8" a="1"/>
  <c r="DY68" i="8" s="1"/>
  <c r="DZ68" i="8" a="1"/>
  <c r="DZ68" i="8" s="1"/>
  <c r="EA68" i="8" a="1"/>
  <c r="EA68" i="8" s="1"/>
  <c r="EB68" i="8" a="1"/>
  <c r="EB68" i="8" s="1"/>
  <c r="EC68" i="8" a="1"/>
  <c r="EC68" i="8" s="1"/>
  <c r="DX69" i="8" a="1"/>
  <c r="DX69" i="8" s="1"/>
  <c r="DY69" i="8" a="1"/>
  <c r="DY69" i="8" s="1"/>
  <c r="DZ69" i="8" a="1"/>
  <c r="DZ69" i="8" s="1"/>
  <c r="EA69" i="8" a="1"/>
  <c r="EA69" i="8" s="1"/>
  <c r="EB69" i="8" a="1"/>
  <c r="EB69" i="8" s="1"/>
  <c r="EC69" i="8" a="1"/>
  <c r="EC69" i="8" s="1"/>
  <c r="DX70" i="8" a="1"/>
  <c r="DX70" i="8" s="1"/>
  <c r="DY70" i="8" a="1"/>
  <c r="DY70" i="8" s="1"/>
  <c r="DZ70" i="8" a="1"/>
  <c r="DZ70" i="8" s="1"/>
  <c r="EA70" i="8" a="1"/>
  <c r="EA70" i="8" s="1"/>
  <c r="EB70" i="8" a="1"/>
  <c r="EB70" i="8" s="1"/>
  <c r="EC70" i="8" a="1"/>
  <c r="EC70" i="8" s="1"/>
  <c r="DX71" i="8" a="1"/>
  <c r="DX71" i="8" s="1"/>
  <c r="DY71" i="8" a="1"/>
  <c r="DY71" i="8" s="1"/>
  <c r="DZ71" i="8" a="1"/>
  <c r="DZ71" i="8" s="1"/>
  <c r="EA71" i="8" a="1"/>
  <c r="EA71" i="8" s="1"/>
  <c r="EB71" i="8" a="1"/>
  <c r="EB71" i="8" s="1"/>
  <c r="EC71" i="8" a="1"/>
  <c r="EC71" i="8" s="1"/>
  <c r="DX72" i="8" a="1"/>
  <c r="DX72" i="8" s="1"/>
  <c r="DY72" i="8" a="1"/>
  <c r="DY72" i="8" s="1"/>
  <c r="DZ72" i="8" a="1"/>
  <c r="DZ72" i="8" s="1"/>
  <c r="EA72" i="8" a="1"/>
  <c r="EA72" i="8" s="1"/>
  <c r="EB72" i="8" a="1"/>
  <c r="EB72" i="8" s="1"/>
  <c r="EC72" i="8" a="1"/>
  <c r="EC72" i="8" s="1"/>
  <c r="DX73" i="8" a="1"/>
  <c r="DX73" i="8" s="1"/>
  <c r="DY73" i="8" a="1"/>
  <c r="DY73" i="8" s="1"/>
  <c r="DZ73" i="8" a="1"/>
  <c r="DZ73" i="8" s="1"/>
  <c r="EA73" i="8" a="1"/>
  <c r="EA73" i="8" s="1"/>
  <c r="EB73" i="8" a="1"/>
  <c r="EB73" i="8" s="1"/>
  <c r="EC73" i="8" a="1"/>
  <c r="EC73" i="8" s="1"/>
  <c r="DX74" i="8" a="1"/>
  <c r="DX74" i="8" s="1"/>
  <c r="DY74" i="8" a="1"/>
  <c r="DY74" i="8" s="1"/>
  <c r="DZ74" i="8" a="1"/>
  <c r="DZ74" i="8" s="1"/>
  <c r="EA74" i="8" a="1"/>
  <c r="EA74" i="8" s="1"/>
  <c r="EB74" i="8" a="1"/>
  <c r="EB74" i="8" s="1"/>
  <c r="EC74" i="8" a="1"/>
  <c r="EC74" i="8" s="1"/>
  <c r="DX75" i="8" a="1"/>
  <c r="DX75" i="8" s="1"/>
  <c r="DY75" i="8" a="1"/>
  <c r="DY75" i="8" s="1"/>
  <c r="DZ75" i="8" a="1"/>
  <c r="DZ75" i="8" s="1"/>
  <c r="EA75" i="8" a="1"/>
  <c r="EA75" i="8" s="1"/>
  <c r="EB75" i="8" a="1"/>
  <c r="EB75" i="8" s="1"/>
  <c r="EC75" i="8" a="1"/>
  <c r="EC75" i="8" s="1"/>
  <c r="DX76" i="8" a="1"/>
  <c r="DX76" i="8" s="1"/>
  <c r="DY76" i="8" a="1"/>
  <c r="DY76" i="8" s="1"/>
  <c r="DZ76" i="8" a="1"/>
  <c r="DZ76" i="8" s="1"/>
  <c r="EA76" i="8" a="1"/>
  <c r="EA76" i="8" s="1"/>
  <c r="EB76" i="8" a="1"/>
  <c r="EB76" i="8" s="1"/>
  <c r="EC76" i="8" a="1"/>
  <c r="EC76" i="8" s="1"/>
  <c r="DX77" i="8" a="1"/>
  <c r="DX77" i="8" s="1"/>
  <c r="DY77" i="8" a="1"/>
  <c r="DY77" i="8" s="1"/>
  <c r="DZ77" i="8" a="1"/>
  <c r="DZ77" i="8" s="1"/>
  <c r="EA77" i="8" a="1"/>
  <c r="EA77" i="8" s="1"/>
  <c r="EB77" i="8" a="1"/>
  <c r="EB77" i="8" s="1"/>
  <c r="EC77" i="8" a="1"/>
  <c r="EC77" i="8" s="1"/>
  <c r="DX78" i="8" a="1"/>
  <c r="DX78" i="8" s="1"/>
  <c r="DY78" i="8" a="1"/>
  <c r="DY78" i="8" s="1"/>
  <c r="DZ78" i="8" a="1"/>
  <c r="DZ78" i="8" s="1"/>
  <c r="EA78" i="8" a="1"/>
  <c r="EA78" i="8" s="1"/>
  <c r="EB78" i="8" a="1"/>
  <c r="EB78" i="8" s="1"/>
  <c r="EC78" i="8" a="1"/>
  <c r="EC78" i="8" s="1"/>
  <c r="DX79" i="8" a="1"/>
  <c r="DX79" i="8" s="1"/>
  <c r="DY79" i="8" a="1"/>
  <c r="DY79" i="8" s="1"/>
  <c r="DZ79" i="8" a="1"/>
  <c r="DZ79" i="8" s="1"/>
  <c r="EA79" i="8" a="1"/>
  <c r="EA79" i="8" s="1"/>
  <c r="EB79" i="8" a="1"/>
  <c r="EB79" i="8" s="1"/>
  <c r="EC79" i="8" a="1"/>
  <c r="EC79" i="8" s="1"/>
  <c r="DX80" i="8" a="1"/>
  <c r="DX80" i="8" s="1"/>
  <c r="DY80" i="8" a="1"/>
  <c r="DY80" i="8" s="1"/>
  <c r="DZ80" i="8" a="1"/>
  <c r="DZ80" i="8" s="1"/>
  <c r="EA80" i="8" a="1"/>
  <c r="EA80" i="8" s="1"/>
  <c r="EB80" i="8" a="1"/>
  <c r="EB80" i="8" s="1"/>
  <c r="EC80" i="8" a="1"/>
  <c r="EC80" i="8" s="1"/>
  <c r="DX81" i="8" a="1"/>
  <c r="DX81" i="8" s="1"/>
  <c r="DY81" i="8" a="1"/>
  <c r="DY81" i="8" s="1"/>
  <c r="DZ81" i="8" a="1"/>
  <c r="DZ81" i="8" s="1"/>
  <c r="EA81" i="8" a="1"/>
  <c r="EA81" i="8" s="1"/>
  <c r="EB81" i="8" a="1"/>
  <c r="EB81" i="8" s="1"/>
  <c r="EC81" i="8" a="1"/>
  <c r="EC81" i="8" s="1"/>
  <c r="DX82" i="8" a="1"/>
  <c r="DX82" i="8" s="1"/>
  <c r="DY82" i="8" a="1"/>
  <c r="DY82" i="8" s="1"/>
  <c r="DZ82" i="8" a="1"/>
  <c r="DZ82" i="8" s="1"/>
  <c r="EA82" i="8" a="1"/>
  <c r="EA82" i="8" s="1"/>
  <c r="EB82" i="8" a="1"/>
  <c r="EB82" i="8" s="1"/>
  <c r="EC82" i="8" a="1"/>
  <c r="EC82" i="8" s="1"/>
  <c r="DX83" i="8" a="1"/>
  <c r="DX83" i="8" s="1"/>
  <c r="DY83" i="8" a="1"/>
  <c r="DY83" i="8" s="1"/>
  <c r="DZ83" i="8" a="1"/>
  <c r="DZ83" i="8" s="1"/>
  <c r="EA83" i="8" a="1"/>
  <c r="EA83" i="8" s="1"/>
  <c r="EB83" i="8" a="1"/>
  <c r="EB83" i="8" s="1"/>
  <c r="EC83" i="8" a="1"/>
  <c r="EC83" i="8" s="1"/>
  <c r="DX84" i="8" a="1"/>
  <c r="DX84" i="8" s="1"/>
  <c r="DY84" i="8" a="1"/>
  <c r="DY84" i="8" s="1"/>
  <c r="DZ84" i="8" a="1"/>
  <c r="DZ84" i="8" s="1"/>
  <c r="EA84" i="8" a="1"/>
  <c r="EA84" i="8" s="1"/>
  <c r="EB84" i="8" a="1"/>
  <c r="EB84" i="8" s="1"/>
  <c r="EC84" i="8" a="1"/>
  <c r="EC84" i="8" s="1"/>
  <c r="DX85" i="8" a="1"/>
  <c r="DX85" i="8" s="1"/>
  <c r="DY85" i="8" a="1"/>
  <c r="DY85" i="8" s="1"/>
  <c r="DZ85" i="8" a="1"/>
  <c r="DZ85" i="8" s="1"/>
  <c r="EA85" i="8" a="1"/>
  <c r="EA85" i="8" s="1"/>
  <c r="EB85" i="8" a="1"/>
  <c r="EB85" i="8" s="1"/>
  <c r="EC85" i="8" a="1"/>
  <c r="EC85" i="8" s="1"/>
  <c r="DX86" i="8" a="1"/>
  <c r="DX86" i="8" s="1"/>
  <c r="DY86" i="8" a="1"/>
  <c r="DY86" i="8" s="1"/>
  <c r="DZ86" i="8" a="1"/>
  <c r="DZ86" i="8" s="1"/>
  <c r="EA86" i="8" a="1"/>
  <c r="EA86" i="8" s="1"/>
  <c r="EB86" i="8" a="1"/>
  <c r="EB86" i="8" s="1"/>
  <c r="EC86" i="8" a="1"/>
  <c r="EC86" i="8" s="1"/>
  <c r="DX87" i="8" a="1"/>
  <c r="DX87" i="8" s="1"/>
  <c r="DY87" i="8" a="1"/>
  <c r="DY87" i="8" s="1"/>
  <c r="DZ87" i="8" a="1"/>
  <c r="DZ87" i="8" s="1"/>
  <c r="EA87" i="8" a="1"/>
  <c r="EA87" i="8" s="1"/>
  <c r="EB87" i="8" a="1"/>
  <c r="EB87" i="8" s="1"/>
  <c r="EC87" i="8" a="1"/>
  <c r="EC87" i="8" s="1"/>
  <c r="DX88" i="8" a="1"/>
  <c r="DX88" i="8" s="1"/>
  <c r="DY88" i="8" a="1"/>
  <c r="DY88" i="8" s="1"/>
  <c r="DZ88" i="8" a="1"/>
  <c r="DZ88" i="8" s="1"/>
  <c r="EA88" i="8" a="1"/>
  <c r="EA88" i="8" s="1"/>
  <c r="EB88" i="8" a="1"/>
  <c r="EB88" i="8" s="1"/>
  <c r="EC88" i="8" a="1"/>
  <c r="EC88" i="8" s="1"/>
  <c r="DX89" i="8" a="1"/>
  <c r="DX89" i="8" s="1"/>
  <c r="DY89" i="8" a="1"/>
  <c r="DY89" i="8" s="1"/>
  <c r="DZ89" i="8" a="1"/>
  <c r="DZ89" i="8" s="1"/>
  <c r="EA89" i="8" a="1"/>
  <c r="EA89" i="8" s="1"/>
  <c r="EB89" i="8" a="1"/>
  <c r="EB89" i="8" s="1"/>
  <c r="EC89" i="8" a="1"/>
  <c r="EC89" i="8" s="1"/>
  <c r="DX90" i="8" a="1"/>
  <c r="DX90" i="8" s="1"/>
  <c r="DY90" i="8" a="1"/>
  <c r="DY90" i="8" s="1"/>
  <c r="DZ90" i="8" a="1"/>
  <c r="DZ90" i="8" s="1"/>
  <c r="EA90" i="8" a="1"/>
  <c r="EA90" i="8" s="1"/>
  <c r="EB90" i="8" a="1"/>
  <c r="EB90" i="8" s="1"/>
  <c r="EC90" i="8" a="1"/>
  <c r="EC90" i="8" s="1"/>
  <c r="DX91" i="8" a="1"/>
  <c r="DX91" i="8" s="1"/>
  <c r="DY91" i="8" a="1"/>
  <c r="DY91" i="8" s="1"/>
  <c r="DZ91" i="8" a="1"/>
  <c r="DZ91" i="8" s="1"/>
  <c r="EA91" i="8" a="1"/>
  <c r="EA91" i="8" s="1"/>
  <c r="EB91" i="8" a="1"/>
  <c r="EB91" i="8" s="1"/>
  <c r="EC91" i="8" a="1"/>
  <c r="EC91" i="8" s="1"/>
  <c r="DX92" i="8" a="1"/>
  <c r="DX92" i="8" s="1"/>
  <c r="DY92" i="8" a="1"/>
  <c r="DY92" i="8" s="1"/>
  <c r="DZ92" i="8" a="1"/>
  <c r="DZ92" i="8" s="1"/>
  <c r="EA92" i="8" a="1"/>
  <c r="EA92" i="8" s="1"/>
  <c r="EB92" i="8" a="1"/>
  <c r="EB92" i="8" s="1"/>
  <c r="EC92" i="8" a="1"/>
  <c r="EC92" i="8" s="1"/>
  <c r="DX93" i="8" a="1"/>
  <c r="DX93" i="8" s="1"/>
  <c r="DY93" i="8" a="1"/>
  <c r="DY93" i="8" s="1"/>
  <c r="DZ93" i="8" a="1"/>
  <c r="DZ93" i="8" s="1"/>
  <c r="EA93" i="8" a="1"/>
  <c r="EA93" i="8" s="1"/>
  <c r="EB93" i="8" a="1"/>
  <c r="EB93" i="8" s="1"/>
  <c r="EC93" i="8" a="1"/>
  <c r="EC93" i="8" s="1"/>
  <c r="DX94" i="8" a="1"/>
  <c r="DX94" i="8" s="1"/>
  <c r="DY94" i="8" a="1"/>
  <c r="DY94" i="8" s="1"/>
  <c r="DZ94" i="8" a="1"/>
  <c r="DZ94" i="8" s="1"/>
  <c r="EA94" i="8" a="1"/>
  <c r="EA94" i="8" s="1"/>
  <c r="EB94" i="8" a="1"/>
  <c r="EB94" i="8" s="1"/>
  <c r="EC94" i="8" a="1"/>
  <c r="EC94" i="8" s="1"/>
  <c r="DX95" i="8" a="1"/>
  <c r="DX95" i="8" s="1"/>
  <c r="DY95" i="8" a="1"/>
  <c r="DY95" i="8" s="1"/>
  <c r="DZ95" i="8" a="1"/>
  <c r="DZ95" i="8" s="1"/>
  <c r="EA95" i="8" a="1"/>
  <c r="EA95" i="8" s="1"/>
  <c r="EB95" i="8" a="1"/>
  <c r="EB95" i="8" s="1"/>
  <c r="EC95" i="8" a="1"/>
  <c r="EC95" i="8" s="1"/>
  <c r="DX96" i="8" a="1"/>
  <c r="DX96" i="8" s="1"/>
  <c r="DY96" i="8" a="1"/>
  <c r="DY96" i="8" s="1"/>
  <c r="DZ96" i="8" a="1"/>
  <c r="DZ96" i="8" s="1"/>
  <c r="EA96" i="8" a="1"/>
  <c r="EA96" i="8" s="1"/>
  <c r="EB96" i="8" a="1"/>
  <c r="EB96" i="8" s="1"/>
  <c r="EC96" i="8" a="1"/>
  <c r="EC96" i="8" s="1"/>
  <c r="DX97" i="8" a="1"/>
  <c r="DX97" i="8" s="1"/>
  <c r="DY97" i="8" a="1"/>
  <c r="DY97" i="8" s="1"/>
  <c r="DZ97" i="8" a="1"/>
  <c r="DZ97" i="8" s="1"/>
  <c r="EA97" i="8" a="1"/>
  <c r="EA97" i="8" s="1"/>
  <c r="EB97" i="8" a="1"/>
  <c r="EB97" i="8" s="1"/>
  <c r="EC97" i="8" a="1"/>
  <c r="EC97" i="8" s="1"/>
  <c r="DX98" i="8" a="1"/>
  <c r="DX98" i="8" s="1"/>
  <c r="DY98" i="8" a="1"/>
  <c r="DY98" i="8" s="1"/>
  <c r="DZ98" i="8" a="1"/>
  <c r="DZ98" i="8" s="1"/>
  <c r="EA98" i="8" a="1"/>
  <c r="EA98" i="8" s="1"/>
  <c r="EB98" i="8" a="1"/>
  <c r="EB98" i="8" s="1"/>
  <c r="EC98" i="8" a="1"/>
  <c r="EC98" i="8" s="1"/>
  <c r="DX99" i="8" a="1"/>
  <c r="DX99" i="8" s="1"/>
  <c r="DY99" i="8" a="1"/>
  <c r="DY99" i="8" s="1"/>
  <c r="DZ99" i="8" a="1"/>
  <c r="DZ99" i="8" s="1"/>
  <c r="EA99" i="8" a="1"/>
  <c r="EA99" i="8" s="1"/>
  <c r="EB99" i="8" a="1"/>
  <c r="EB99" i="8" s="1"/>
  <c r="EC99" i="8" a="1"/>
  <c r="EC99" i="8" s="1"/>
  <c r="BE2" i="8" a="1"/>
  <c r="BE2" i="8" s="1"/>
  <c r="BD2" i="8" a="1"/>
  <c r="BD2" i="8" s="1"/>
  <c r="BG2" i="8" a="1"/>
  <c r="BG2" i="8" s="1"/>
  <c r="BB2" i="8" a="1"/>
  <c r="BB2" i="8" s="1"/>
  <c r="AY2" i="8" a="1"/>
  <c r="AY2" i="8" s="1"/>
  <c r="H3" i="8"/>
  <c r="D1" i="8" s="1"/>
  <c r="DQ100" i="8" a="1"/>
  <c r="DQ100" i="8" s="1"/>
  <c r="DP100" i="8" a="1"/>
  <c r="DP100" i="8" s="1"/>
  <c r="DO100" i="8" a="1"/>
  <c r="DO100" i="8" s="1"/>
  <c r="DN100" i="8" a="1"/>
  <c r="DN100" i="8" s="1"/>
  <c r="DM100" i="8" a="1"/>
  <c r="DM100" i="8" s="1"/>
  <c r="DL100" i="8" a="1"/>
  <c r="DL100" i="8" s="1"/>
  <c r="BU100" i="8" a="1"/>
  <c r="BU100" i="8" s="1"/>
  <c r="BT100" i="8" a="1"/>
  <c r="BT100" i="8" s="1"/>
  <c r="BS100" i="8" a="1"/>
  <c r="BS100" i="8" s="1"/>
  <c r="BR100" i="8" a="1"/>
  <c r="BR100" i="8" s="1"/>
  <c r="BQ100" i="8" a="1"/>
  <c r="BQ100" i="8" s="1"/>
  <c r="BP100" i="8" a="1"/>
  <c r="BP100" i="8" s="1"/>
  <c r="DQ99" i="8" a="1"/>
  <c r="DQ99" i="8" s="1"/>
  <c r="DP99" i="8" a="1"/>
  <c r="DP99" i="8" s="1"/>
  <c r="DO99" i="8" a="1"/>
  <c r="DO99" i="8" s="1"/>
  <c r="DN99" i="8" a="1"/>
  <c r="DN99" i="8" s="1"/>
  <c r="DM99" i="8" a="1"/>
  <c r="DM99" i="8" s="1"/>
  <c r="DL99" i="8" a="1"/>
  <c r="DL99" i="8" s="1"/>
  <c r="BU99" i="8" a="1"/>
  <c r="BU99" i="8" s="1"/>
  <c r="BT99" i="8" a="1"/>
  <c r="BT99" i="8" s="1"/>
  <c r="BS99" i="8" a="1"/>
  <c r="BS99" i="8" s="1"/>
  <c r="BR99" i="8" a="1"/>
  <c r="BR99" i="8" s="1"/>
  <c r="BQ99" i="8" a="1"/>
  <c r="BQ99" i="8" s="1"/>
  <c r="BP99" i="8" a="1"/>
  <c r="BP99" i="8" s="1"/>
  <c r="DQ98" i="8" a="1"/>
  <c r="DQ98" i="8" s="1"/>
  <c r="DP98" i="8" a="1"/>
  <c r="DP98" i="8" s="1"/>
  <c r="DO98" i="8" a="1"/>
  <c r="DO98" i="8" s="1"/>
  <c r="DN98" i="8" a="1"/>
  <c r="DN98" i="8" s="1"/>
  <c r="DM98" i="8" a="1"/>
  <c r="DM98" i="8" s="1"/>
  <c r="DL98" i="8" a="1"/>
  <c r="DL98" i="8" s="1"/>
  <c r="BU98" i="8" a="1"/>
  <c r="BU98" i="8" s="1"/>
  <c r="BT98" i="8" a="1"/>
  <c r="BT98" i="8" s="1"/>
  <c r="BS98" i="8" a="1"/>
  <c r="BS98" i="8" s="1"/>
  <c r="BR98" i="8" a="1"/>
  <c r="BR98" i="8" s="1"/>
  <c r="BQ98" i="8" a="1"/>
  <c r="BQ98" i="8" s="1"/>
  <c r="BP98" i="8" a="1"/>
  <c r="BP98" i="8" s="1"/>
  <c r="DQ97" i="8" a="1"/>
  <c r="DQ97" i="8" s="1"/>
  <c r="DP97" i="8" a="1"/>
  <c r="DP97" i="8" s="1"/>
  <c r="DO97" i="8" a="1"/>
  <c r="DO97" i="8" s="1"/>
  <c r="DN97" i="8" a="1"/>
  <c r="DN97" i="8" s="1"/>
  <c r="DM97" i="8" a="1"/>
  <c r="DM97" i="8" s="1"/>
  <c r="DL97" i="8" a="1"/>
  <c r="DL97" i="8" s="1"/>
  <c r="BU97" i="8" a="1"/>
  <c r="BU97" i="8" s="1"/>
  <c r="BT97" i="8" a="1"/>
  <c r="BT97" i="8" s="1"/>
  <c r="BS97" i="8" a="1"/>
  <c r="BS97" i="8" s="1"/>
  <c r="BR97" i="8" a="1"/>
  <c r="BR97" i="8" s="1"/>
  <c r="BQ97" i="8" a="1"/>
  <c r="BQ97" i="8" s="1"/>
  <c r="BP97" i="8" a="1"/>
  <c r="BP97" i="8" s="1"/>
  <c r="DQ96" i="8" a="1"/>
  <c r="DQ96" i="8" s="1"/>
  <c r="DP96" i="8" a="1"/>
  <c r="DP96" i="8" s="1"/>
  <c r="DO96" i="8" a="1"/>
  <c r="DO96" i="8" s="1"/>
  <c r="DN96" i="8" a="1"/>
  <c r="DN96" i="8" s="1"/>
  <c r="DM96" i="8" a="1"/>
  <c r="DM96" i="8" s="1"/>
  <c r="DL96" i="8" a="1"/>
  <c r="DL96" i="8" s="1"/>
  <c r="BU96" i="8" a="1"/>
  <c r="BU96" i="8" s="1"/>
  <c r="BT96" i="8" a="1"/>
  <c r="BT96" i="8" s="1"/>
  <c r="BS96" i="8" a="1"/>
  <c r="BS96" i="8" s="1"/>
  <c r="BR96" i="8" a="1"/>
  <c r="BR96" i="8" s="1"/>
  <c r="BQ96" i="8" a="1"/>
  <c r="BQ96" i="8" s="1"/>
  <c r="BP96" i="8" a="1"/>
  <c r="BP96" i="8" s="1"/>
  <c r="DQ95" i="8" a="1"/>
  <c r="DQ95" i="8" s="1"/>
  <c r="DP95" i="8" a="1"/>
  <c r="DP95" i="8" s="1"/>
  <c r="DO95" i="8" a="1"/>
  <c r="DO95" i="8" s="1"/>
  <c r="DN95" i="8" a="1"/>
  <c r="DN95" i="8" s="1"/>
  <c r="DM95" i="8" a="1"/>
  <c r="DM95" i="8" s="1"/>
  <c r="DL95" i="8" a="1"/>
  <c r="DL95" i="8" s="1"/>
  <c r="BU95" i="8" a="1"/>
  <c r="BU95" i="8" s="1"/>
  <c r="BT95" i="8" a="1"/>
  <c r="BT95" i="8" s="1"/>
  <c r="BS95" i="8" a="1"/>
  <c r="BS95" i="8" s="1"/>
  <c r="BR95" i="8" a="1"/>
  <c r="BR95" i="8" s="1"/>
  <c r="BQ95" i="8" a="1"/>
  <c r="BQ95" i="8" s="1"/>
  <c r="BP95" i="8" a="1"/>
  <c r="BP95" i="8" s="1"/>
  <c r="DQ94" i="8" a="1"/>
  <c r="DQ94" i="8" s="1"/>
  <c r="DP94" i="8" a="1"/>
  <c r="DP94" i="8" s="1"/>
  <c r="DO94" i="8" a="1"/>
  <c r="DO94" i="8" s="1"/>
  <c r="DN94" i="8" a="1"/>
  <c r="DN94" i="8" s="1"/>
  <c r="DM94" i="8" a="1"/>
  <c r="DM94" i="8" s="1"/>
  <c r="DL94" i="8" a="1"/>
  <c r="DL94" i="8" s="1"/>
  <c r="BU94" i="8" a="1"/>
  <c r="BU94" i="8" s="1"/>
  <c r="BT94" i="8" a="1"/>
  <c r="BT94" i="8" s="1"/>
  <c r="BS94" i="8" a="1"/>
  <c r="BS94" i="8" s="1"/>
  <c r="BR94" i="8" a="1"/>
  <c r="BR94" i="8" s="1"/>
  <c r="BQ94" i="8" a="1"/>
  <c r="BQ94" i="8" s="1"/>
  <c r="BP94" i="8" a="1"/>
  <c r="BP94" i="8" s="1"/>
  <c r="DQ93" i="8" a="1"/>
  <c r="DQ93" i="8" s="1"/>
  <c r="DP93" i="8" a="1"/>
  <c r="DP93" i="8" s="1"/>
  <c r="DO93" i="8" a="1"/>
  <c r="DO93" i="8" s="1"/>
  <c r="DN93" i="8" a="1"/>
  <c r="DN93" i="8" s="1"/>
  <c r="DM93" i="8" a="1"/>
  <c r="DM93" i="8" s="1"/>
  <c r="DL93" i="8" a="1"/>
  <c r="DL93" i="8" s="1"/>
  <c r="BU93" i="8" a="1"/>
  <c r="BU93" i="8" s="1"/>
  <c r="BT93" i="8" a="1"/>
  <c r="BT93" i="8" s="1"/>
  <c r="BS93" i="8" a="1"/>
  <c r="BS93" i="8" s="1"/>
  <c r="BR93" i="8" a="1"/>
  <c r="BR93" i="8" s="1"/>
  <c r="BQ93" i="8" a="1"/>
  <c r="BQ93" i="8" s="1"/>
  <c r="BP93" i="8" a="1"/>
  <c r="BP93" i="8" s="1"/>
  <c r="DQ92" i="8" a="1"/>
  <c r="DQ92" i="8" s="1"/>
  <c r="DP92" i="8" a="1"/>
  <c r="DP92" i="8" s="1"/>
  <c r="DO92" i="8" a="1"/>
  <c r="DO92" i="8" s="1"/>
  <c r="DN92" i="8" a="1"/>
  <c r="DN92" i="8" s="1"/>
  <c r="DM92" i="8" a="1"/>
  <c r="DM92" i="8" s="1"/>
  <c r="DL92" i="8" a="1"/>
  <c r="DL92" i="8" s="1"/>
  <c r="BU92" i="8" a="1"/>
  <c r="BU92" i="8" s="1"/>
  <c r="BT92" i="8" a="1"/>
  <c r="BT92" i="8" s="1"/>
  <c r="BS92" i="8" a="1"/>
  <c r="BS92" i="8" s="1"/>
  <c r="BR92" i="8" a="1"/>
  <c r="BR92" i="8" s="1"/>
  <c r="BQ92" i="8" a="1"/>
  <c r="BQ92" i="8" s="1"/>
  <c r="BP92" i="8" a="1"/>
  <c r="BP92" i="8" s="1"/>
  <c r="DQ91" i="8" a="1"/>
  <c r="DQ91" i="8" s="1"/>
  <c r="DP91" i="8" a="1"/>
  <c r="DP91" i="8" s="1"/>
  <c r="DO91" i="8" a="1"/>
  <c r="DO91" i="8" s="1"/>
  <c r="DN91" i="8" a="1"/>
  <c r="DN91" i="8" s="1"/>
  <c r="DM91" i="8" a="1"/>
  <c r="DM91" i="8" s="1"/>
  <c r="DL91" i="8" a="1"/>
  <c r="DL91" i="8" s="1"/>
  <c r="BU91" i="8" a="1"/>
  <c r="BU91" i="8" s="1"/>
  <c r="BT91" i="8" a="1"/>
  <c r="BT91" i="8" s="1"/>
  <c r="BS91" i="8" a="1"/>
  <c r="BS91" i="8" s="1"/>
  <c r="BR91" i="8" a="1"/>
  <c r="BR91" i="8" s="1"/>
  <c r="BQ91" i="8" a="1"/>
  <c r="BQ91" i="8" s="1"/>
  <c r="BP91" i="8" a="1"/>
  <c r="BP91" i="8" s="1"/>
  <c r="DQ90" i="8" a="1"/>
  <c r="DQ90" i="8" s="1"/>
  <c r="DP90" i="8" a="1"/>
  <c r="DP90" i="8" s="1"/>
  <c r="DO90" i="8" a="1"/>
  <c r="DO90" i="8" s="1"/>
  <c r="DN90" i="8" a="1"/>
  <c r="DN90" i="8" s="1"/>
  <c r="DM90" i="8" a="1"/>
  <c r="DM90" i="8" s="1"/>
  <c r="DL90" i="8" a="1"/>
  <c r="DL90" i="8" s="1"/>
  <c r="BU90" i="8" a="1"/>
  <c r="BU90" i="8" s="1"/>
  <c r="BT90" i="8" a="1"/>
  <c r="BT90" i="8" s="1"/>
  <c r="BS90" i="8" a="1"/>
  <c r="BS90" i="8" s="1"/>
  <c r="BR90" i="8" a="1"/>
  <c r="BR90" i="8" s="1"/>
  <c r="BQ90" i="8" a="1"/>
  <c r="BQ90" i="8" s="1"/>
  <c r="BP90" i="8" a="1"/>
  <c r="BP90" i="8" s="1"/>
  <c r="DQ89" i="8" a="1"/>
  <c r="DQ89" i="8" s="1"/>
  <c r="DP89" i="8" a="1"/>
  <c r="DP89" i="8" s="1"/>
  <c r="DO89" i="8" a="1"/>
  <c r="DO89" i="8" s="1"/>
  <c r="DN89" i="8" a="1"/>
  <c r="DN89" i="8" s="1"/>
  <c r="DM89" i="8" a="1"/>
  <c r="DM89" i="8" s="1"/>
  <c r="DL89" i="8" a="1"/>
  <c r="DL89" i="8" s="1"/>
  <c r="BU89" i="8" a="1"/>
  <c r="BU89" i="8" s="1"/>
  <c r="BT89" i="8" a="1"/>
  <c r="BT89" i="8" s="1"/>
  <c r="BS89" i="8" a="1"/>
  <c r="BS89" i="8" s="1"/>
  <c r="BR89" i="8" a="1"/>
  <c r="BR89" i="8" s="1"/>
  <c r="BQ89" i="8" a="1"/>
  <c r="BQ89" i="8" s="1"/>
  <c r="BP89" i="8" a="1"/>
  <c r="BP89" i="8" s="1"/>
  <c r="DQ88" i="8" a="1"/>
  <c r="DQ88" i="8" s="1"/>
  <c r="DP88" i="8" a="1"/>
  <c r="DP88" i="8" s="1"/>
  <c r="DO88" i="8" a="1"/>
  <c r="DO88" i="8" s="1"/>
  <c r="DN88" i="8" a="1"/>
  <c r="DN88" i="8" s="1"/>
  <c r="DM88" i="8" a="1"/>
  <c r="DM88" i="8" s="1"/>
  <c r="DL88" i="8" a="1"/>
  <c r="DL88" i="8" s="1"/>
  <c r="BU88" i="8" a="1"/>
  <c r="BU88" i="8" s="1"/>
  <c r="BT88" i="8" a="1"/>
  <c r="BT88" i="8" s="1"/>
  <c r="BS88" i="8" a="1"/>
  <c r="BS88" i="8" s="1"/>
  <c r="BR88" i="8" a="1"/>
  <c r="BR88" i="8" s="1"/>
  <c r="BQ88" i="8" a="1"/>
  <c r="BQ88" i="8" s="1"/>
  <c r="BP88" i="8" a="1"/>
  <c r="BP88" i="8" s="1"/>
  <c r="DQ87" i="8" a="1"/>
  <c r="DQ87" i="8" s="1"/>
  <c r="DP87" i="8" a="1"/>
  <c r="DP87" i="8" s="1"/>
  <c r="DO87" i="8" a="1"/>
  <c r="DO87" i="8" s="1"/>
  <c r="DN87" i="8" a="1"/>
  <c r="DN87" i="8" s="1"/>
  <c r="DM87" i="8" a="1"/>
  <c r="DM87" i="8" s="1"/>
  <c r="DL87" i="8" a="1"/>
  <c r="DL87" i="8" s="1"/>
  <c r="BU87" i="8" a="1"/>
  <c r="BU87" i="8" s="1"/>
  <c r="BT87" i="8" a="1"/>
  <c r="BT87" i="8" s="1"/>
  <c r="BS87" i="8" a="1"/>
  <c r="BS87" i="8" s="1"/>
  <c r="BR87" i="8" a="1"/>
  <c r="BR87" i="8" s="1"/>
  <c r="BQ87" i="8" a="1"/>
  <c r="BQ87" i="8" s="1"/>
  <c r="BP87" i="8" a="1"/>
  <c r="BP87" i="8" s="1"/>
  <c r="DQ86" i="8" a="1"/>
  <c r="DQ86" i="8" s="1"/>
  <c r="DP86" i="8" a="1"/>
  <c r="DP86" i="8" s="1"/>
  <c r="DO86" i="8" a="1"/>
  <c r="DO86" i="8" s="1"/>
  <c r="DN86" i="8" a="1"/>
  <c r="DN86" i="8" s="1"/>
  <c r="DM86" i="8" a="1"/>
  <c r="DM86" i="8" s="1"/>
  <c r="DL86" i="8" a="1"/>
  <c r="DL86" i="8" s="1"/>
  <c r="BU86" i="8" a="1"/>
  <c r="BU86" i="8" s="1"/>
  <c r="BT86" i="8" a="1"/>
  <c r="BT86" i="8" s="1"/>
  <c r="BS86" i="8" a="1"/>
  <c r="BS86" i="8" s="1"/>
  <c r="BR86" i="8" a="1"/>
  <c r="BR86" i="8" s="1"/>
  <c r="BQ86" i="8" a="1"/>
  <c r="BQ86" i="8" s="1"/>
  <c r="BP86" i="8" a="1"/>
  <c r="BP86" i="8" s="1"/>
  <c r="DQ85" i="8" a="1"/>
  <c r="DQ85" i="8" s="1"/>
  <c r="DP85" i="8" a="1"/>
  <c r="DP85" i="8" s="1"/>
  <c r="DO85" i="8" a="1"/>
  <c r="DO85" i="8" s="1"/>
  <c r="DN85" i="8" a="1"/>
  <c r="DN85" i="8" s="1"/>
  <c r="DM85" i="8" a="1"/>
  <c r="DM85" i="8" s="1"/>
  <c r="DL85" i="8" a="1"/>
  <c r="DL85" i="8" s="1"/>
  <c r="BU85" i="8" a="1"/>
  <c r="BU85" i="8" s="1"/>
  <c r="BT85" i="8" a="1"/>
  <c r="BT85" i="8" s="1"/>
  <c r="BS85" i="8" a="1"/>
  <c r="BS85" i="8" s="1"/>
  <c r="BR85" i="8" a="1"/>
  <c r="BR85" i="8" s="1"/>
  <c r="BQ85" i="8" a="1"/>
  <c r="BQ85" i="8" s="1"/>
  <c r="BP85" i="8" a="1"/>
  <c r="BP85" i="8" s="1"/>
  <c r="DQ84" i="8" a="1"/>
  <c r="DQ84" i="8" s="1"/>
  <c r="DP84" i="8" a="1"/>
  <c r="DP84" i="8" s="1"/>
  <c r="DO84" i="8" a="1"/>
  <c r="DO84" i="8" s="1"/>
  <c r="DN84" i="8" a="1"/>
  <c r="DN84" i="8" s="1"/>
  <c r="DM84" i="8" a="1"/>
  <c r="DM84" i="8" s="1"/>
  <c r="DL84" i="8" a="1"/>
  <c r="DL84" i="8" s="1"/>
  <c r="BU84" i="8" a="1"/>
  <c r="BU84" i="8" s="1"/>
  <c r="BT84" i="8" a="1"/>
  <c r="BT84" i="8" s="1"/>
  <c r="BS84" i="8" a="1"/>
  <c r="BS84" i="8" s="1"/>
  <c r="BR84" i="8" a="1"/>
  <c r="BR84" i="8" s="1"/>
  <c r="BQ84" i="8" a="1"/>
  <c r="BQ84" i="8" s="1"/>
  <c r="BP84" i="8" a="1"/>
  <c r="BP84" i="8" s="1"/>
  <c r="DQ83" i="8" a="1"/>
  <c r="DQ83" i="8" s="1"/>
  <c r="DP83" i="8" a="1"/>
  <c r="DP83" i="8" s="1"/>
  <c r="DO83" i="8" a="1"/>
  <c r="DO83" i="8" s="1"/>
  <c r="DN83" i="8" a="1"/>
  <c r="DN83" i="8" s="1"/>
  <c r="DM83" i="8" a="1"/>
  <c r="DM83" i="8" s="1"/>
  <c r="DL83" i="8" a="1"/>
  <c r="DL83" i="8" s="1"/>
  <c r="BU83" i="8" a="1"/>
  <c r="BU83" i="8" s="1"/>
  <c r="BT83" i="8" a="1"/>
  <c r="BT83" i="8" s="1"/>
  <c r="BS83" i="8" a="1"/>
  <c r="BS83" i="8" s="1"/>
  <c r="BR83" i="8" a="1"/>
  <c r="BR83" i="8" s="1"/>
  <c r="BQ83" i="8" a="1"/>
  <c r="BQ83" i="8" s="1"/>
  <c r="BP83" i="8" a="1"/>
  <c r="BP83" i="8" s="1"/>
  <c r="DQ82" i="8" a="1"/>
  <c r="DQ82" i="8" s="1"/>
  <c r="DP82" i="8" a="1"/>
  <c r="DP82" i="8" s="1"/>
  <c r="DO82" i="8" a="1"/>
  <c r="DO82" i="8" s="1"/>
  <c r="DN82" i="8" a="1"/>
  <c r="DN82" i="8" s="1"/>
  <c r="DM82" i="8" a="1"/>
  <c r="DM82" i="8" s="1"/>
  <c r="DL82" i="8" a="1"/>
  <c r="DL82" i="8" s="1"/>
  <c r="BU82" i="8" a="1"/>
  <c r="BU82" i="8" s="1"/>
  <c r="BT82" i="8" a="1"/>
  <c r="BT82" i="8" s="1"/>
  <c r="BS82" i="8" a="1"/>
  <c r="BS82" i="8" s="1"/>
  <c r="BR82" i="8" a="1"/>
  <c r="BR82" i="8" s="1"/>
  <c r="BQ82" i="8" a="1"/>
  <c r="BQ82" i="8" s="1"/>
  <c r="BP82" i="8" a="1"/>
  <c r="BP82" i="8" s="1"/>
  <c r="DQ81" i="8" a="1"/>
  <c r="DQ81" i="8" s="1"/>
  <c r="DP81" i="8" a="1"/>
  <c r="DP81" i="8" s="1"/>
  <c r="DO81" i="8" a="1"/>
  <c r="DO81" i="8" s="1"/>
  <c r="DN81" i="8" a="1"/>
  <c r="DN81" i="8" s="1"/>
  <c r="DM81" i="8" a="1"/>
  <c r="DM81" i="8" s="1"/>
  <c r="DL81" i="8" a="1"/>
  <c r="DL81" i="8" s="1"/>
  <c r="BU81" i="8" a="1"/>
  <c r="BU81" i="8" s="1"/>
  <c r="BT81" i="8" a="1"/>
  <c r="BT81" i="8" s="1"/>
  <c r="BS81" i="8" a="1"/>
  <c r="BS81" i="8" s="1"/>
  <c r="BR81" i="8" a="1"/>
  <c r="BR81" i="8" s="1"/>
  <c r="BQ81" i="8" a="1"/>
  <c r="BQ81" i="8" s="1"/>
  <c r="BP81" i="8" a="1"/>
  <c r="BP81" i="8" s="1"/>
  <c r="DQ80" i="8" a="1"/>
  <c r="DQ80" i="8" s="1"/>
  <c r="DP80" i="8" a="1"/>
  <c r="DP80" i="8" s="1"/>
  <c r="DO80" i="8" a="1"/>
  <c r="DO80" i="8" s="1"/>
  <c r="DN80" i="8" a="1"/>
  <c r="DN80" i="8" s="1"/>
  <c r="DM80" i="8" a="1"/>
  <c r="DM80" i="8" s="1"/>
  <c r="DL80" i="8" a="1"/>
  <c r="DL80" i="8" s="1"/>
  <c r="BU80" i="8" a="1"/>
  <c r="BU80" i="8" s="1"/>
  <c r="BT80" i="8" a="1"/>
  <c r="BT80" i="8" s="1"/>
  <c r="BS80" i="8" a="1"/>
  <c r="BS80" i="8" s="1"/>
  <c r="BR80" i="8" a="1"/>
  <c r="BR80" i="8" s="1"/>
  <c r="BQ80" i="8" a="1"/>
  <c r="BQ80" i="8" s="1"/>
  <c r="BP80" i="8" a="1"/>
  <c r="BP80" i="8" s="1"/>
  <c r="DQ79" i="8" a="1"/>
  <c r="DQ79" i="8" s="1"/>
  <c r="DP79" i="8" a="1"/>
  <c r="DP79" i="8" s="1"/>
  <c r="DO79" i="8" a="1"/>
  <c r="DO79" i="8" s="1"/>
  <c r="DN79" i="8" a="1"/>
  <c r="DN79" i="8" s="1"/>
  <c r="DM79" i="8" a="1"/>
  <c r="DM79" i="8" s="1"/>
  <c r="DL79" i="8" a="1"/>
  <c r="DL79" i="8" s="1"/>
  <c r="BU79" i="8" a="1"/>
  <c r="BU79" i="8" s="1"/>
  <c r="BT79" i="8" a="1"/>
  <c r="BT79" i="8" s="1"/>
  <c r="BS79" i="8" a="1"/>
  <c r="BS79" i="8" s="1"/>
  <c r="BR79" i="8" a="1"/>
  <c r="BR79" i="8" s="1"/>
  <c r="BQ79" i="8" a="1"/>
  <c r="BQ79" i="8" s="1"/>
  <c r="BP79" i="8" a="1"/>
  <c r="BP79" i="8" s="1"/>
  <c r="DQ78" i="8" a="1"/>
  <c r="DQ78" i="8" s="1"/>
  <c r="DP78" i="8" a="1"/>
  <c r="DP78" i="8" s="1"/>
  <c r="DO78" i="8" a="1"/>
  <c r="DO78" i="8" s="1"/>
  <c r="DN78" i="8" a="1"/>
  <c r="DN78" i="8" s="1"/>
  <c r="DM78" i="8" a="1"/>
  <c r="DM78" i="8" s="1"/>
  <c r="DL78" i="8" a="1"/>
  <c r="DL78" i="8" s="1"/>
  <c r="BU78" i="8" a="1"/>
  <c r="BU78" i="8" s="1"/>
  <c r="BT78" i="8" a="1"/>
  <c r="BT78" i="8" s="1"/>
  <c r="BS78" i="8" a="1"/>
  <c r="BS78" i="8" s="1"/>
  <c r="BR78" i="8" a="1"/>
  <c r="BR78" i="8" s="1"/>
  <c r="BQ78" i="8" a="1"/>
  <c r="BQ78" i="8" s="1"/>
  <c r="BP78" i="8" a="1"/>
  <c r="BP78" i="8" s="1"/>
  <c r="DQ77" i="8" a="1"/>
  <c r="DQ77" i="8" s="1"/>
  <c r="DP77" i="8" a="1"/>
  <c r="DP77" i="8" s="1"/>
  <c r="DO77" i="8" a="1"/>
  <c r="DO77" i="8" s="1"/>
  <c r="DN77" i="8" a="1"/>
  <c r="DN77" i="8" s="1"/>
  <c r="DM77" i="8" a="1"/>
  <c r="DM77" i="8" s="1"/>
  <c r="DL77" i="8" a="1"/>
  <c r="DL77" i="8" s="1"/>
  <c r="BU77" i="8" a="1"/>
  <c r="BU77" i="8" s="1"/>
  <c r="BT77" i="8" a="1"/>
  <c r="BT77" i="8" s="1"/>
  <c r="BS77" i="8" a="1"/>
  <c r="BS77" i="8" s="1"/>
  <c r="BR77" i="8" a="1"/>
  <c r="BR77" i="8" s="1"/>
  <c r="BQ77" i="8" a="1"/>
  <c r="BQ77" i="8" s="1"/>
  <c r="BP77" i="8" a="1"/>
  <c r="BP77" i="8" s="1"/>
  <c r="DQ76" i="8" a="1"/>
  <c r="DQ76" i="8" s="1"/>
  <c r="DP76" i="8" a="1"/>
  <c r="DP76" i="8" s="1"/>
  <c r="DO76" i="8" a="1"/>
  <c r="DO76" i="8" s="1"/>
  <c r="DN76" i="8" a="1"/>
  <c r="DN76" i="8" s="1"/>
  <c r="DM76" i="8" a="1"/>
  <c r="DM76" i="8" s="1"/>
  <c r="DL76" i="8" a="1"/>
  <c r="DL76" i="8" s="1"/>
  <c r="BU76" i="8" a="1"/>
  <c r="BU76" i="8" s="1"/>
  <c r="BT76" i="8" a="1"/>
  <c r="BT76" i="8" s="1"/>
  <c r="BS76" i="8" a="1"/>
  <c r="BS76" i="8" s="1"/>
  <c r="BR76" i="8" a="1"/>
  <c r="BR76" i="8" s="1"/>
  <c r="BQ76" i="8" a="1"/>
  <c r="BQ76" i="8" s="1"/>
  <c r="BP76" i="8" a="1"/>
  <c r="BP76" i="8" s="1"/>
  <c r="DQ75" i="8" a="1"/>
  <c r="DQ75" i="8" s="1"/>
  <c r="DP75" i="8" a="1"/>
  <c r="DP75" i="8" s="1"/>
  <c r="DO75" i="8" a="1"/>
  <c r="DO75" i="8" s="1"/>
  <c r="DN75" i="8" a="1"/>
  <c r="DN75" i="8" s="1"/>
  <c r="DM75" i="8" a="1"/>
  <c r="DM75" i="8" s="1"/>
  <c r="DL75" i="8" a="1"/>
  <c r="DL75" i="8" s="1"/>
  <c r="BU75" i="8" a="1"/>
  <c r="BU75" i="8" s="1"/>
  <c r="BT75" i="8" a="1"/>
  <c r="BT75" i="8" s="1"/>
  <c r="BS75" i="8" a="1"/>
  <c r="BS75" i="8" s="1"/>
  <c r="BR75" i="8" a="1"/>
  <c r="BR75" i="8" s="1"/>
  <c r="BQ75" i="8" a="1"/>
  <c r="BQ75" i="8" s="1"/>
  <c r="BP75" i="8" a="1"/>
  <c r="BP75" i="8" s="1"/>
  <c r="DQ74" i="8" a="1"/>
  <c r="DQ74" i="8" s="1"/>
  <c r="DP74" i="8" a="1"/>
  <c r="DP74" i="8" s="1"/>
  <c r="DO74" i="8" a="1"/>
  <c r="DO74" i="8" s="1"/>
  <c r="DN74" i="8" a="1"/>
  <c r="DN74" i="8" s="1"/>
  <c r="DM74" i="8" a="1"/>
  <c r="DM74" i="8" s="1"/>
  <c r="DL74" i="8" a="1"/>
  <c r="DL74" i="8" s="1"/>
  <c r="BU74" i="8" a="1"/>
  <c r="BU74" i="8" s="1"/>
  <c r="BT74" i="8" a="1"/>
  <c r="BT74" i="8" s="1"/>
  <c r="BS74" i="8" a="1"/>
  <c r="BS74" i="8" s="1"/>
  <c r="BR74" i="8" a="1"/>
  <c r="BR74" i="8" s="1"/>
  <c r="BQ74" i="8" a="1"/>
  <c r="BQ74" i="8" s="1"/>
  <c r="BP74" i="8" a="1"/>
  <c r="BP74" i="8" s="1"/>
  <c r="DQ73" i="8" a="1"/>
  <c r="DQ73" i="8" s="1"/>
  <c r="DP73" i="8" a="1"/>
  <c r="DP73" i="8" s="1"/>
  <c r="DO73" i="8" a="1"/>
  <c r="DO73" i="8" s="1"/>
  <c r="DN73" i="8" a="1"/>
  <c r="DN73" i="8" s="1"/>
  <c r="DM73" i="8" a="1"/>
  <c r="DM73" i="8" s="1"/>
  <c r="DL73" i="8" a="1"/>
  <c r="DL73" i="8" s="1"/>
  <c r="BU73" i="8" a="1"/>
  <c r="BU73" i="8" s="1"/>
  <c r="BT73" i="8" a="1"/>
  <c r="BT73" i="8" s="1"/>
  <c r="BS73" i="8" a="1"/>
  <c r="BS73" i="8" s="1"/>
  <c r="BR73" i="8" a="1"/>
  <c r="BR73" i="8" s="1"/>
  <c r="BQ73" i="8" a="1"/>
  <c r="BQ73" i="8" s="1"/>
  <c r="BP73" i="8" a="1"/>
  <c r="BP73" i="8" s="1"/>
  <c r="DQ72" i="8" a="1"/>
  <c r="DQ72" i="8" s="1"/>
  <c r="DP72" i="8" a="1"/>
  <c r="DP72" i="8" s="1"/>
  <c r="DO72" i="8" a="1"/>
  <c r="DO72" i="8" s="1"/>
  <c r="DN72" i="8" a="1"/>
  <c r="DN72" i="8" s="1"/>
  <c r="DM72" i="8" a="1"/>
  <c r="DM72" i="8" s="1"/>
  <c r="DL72" i="8" a="1"/>
  <c r="DL72" i="8" s="1"/>
  <c r="BU72" i="8" a="1"/>
  <c r="BU72" i="8" s="1"/>
  <c r="BT72" i="8" a="1"/>
  <c r="BT72" i="8" s="1"/>
  <c r="BS72" i="8" a="1"/>
  <c r="BS72" i="8" s="1"/>
  <c r="BR72" i="8" a="1"/>
  <c r="BR72" i="8" s="1"/>
  <c r="BQ72" i="8" a="1"/>
  <c r="BQ72" i="8" s="1"/>
  <c r="BP72" i="8" a="1"/>
  <c r="BP72" i="8" s="1"/>
  <c r="DQ71" i="8" a="1"/>
  <c r="DQ71" i="8" s="1"/>
  <c r="DP71" i="8" a="1"/>
  <c r="DP71" i="8" s="1"/>
  <c r="DO71" i="8" a="1"/>
  <c r="DO71" i="8" s="1"/>
  <c r="DN71" i="8" a="1"/>
  <c r="DN71" i="8" s="1"/>
  <c r="DM71" i="8" a="1"/>
  <c r="DM71" i="8" s="1"/>
  <c r="DL71" i="8" a="1"/>
  <c r="DL71" i="8" s="1"/>
  <c r="BU71" i="8" a="1"/>
  <c r="BU71" i="8" s="1"/>
  <c r="BT71" i="8" a="1"/>
  <c r="BT71" i="8" s="1"/>
  <c r="BS71" i="8" a="1"/>
  <c r="BS71" i="8" s="1"/>
  <c r="BR71" i="8" a="1"/>
  <c r="BR71" i="8" s="1"/>
  <c r="BQ71" i="8" a="1"/>
  <c r="BQ71" i="8" s="1"/>
  <c r="BP71" i="8" a="1"/>
  <c r="BP71" i="8" s="1"/>
  <c r="DQ70" i="8" a="1"/>
  <c r="DQ70" i="8" s="1"/>
  <c r="DP70" i="8" a="1"/>
  <c r="DP70" i="8" s="1"/>
  <c r="DO70" i="8" a="1"/>
  <c r="DO70" i="8" s="1"/>
  <c r="DN70" i="8" a="1"/>
  <c r="DN70" i="8" s="1"/>
  <c r="DM70" i="8" a="1"/>
  <c r="DM70" i="8" s="1"/>
  <c r="DL70" i="8" a="1"/>
  <c r="DL70" i="8" s="1"/>
  <c r="BU70" i="8" a="1"/>
  <c r="BU70" i="8" s="1"/>
  <c r="BT70" i="8" a="1"/>
  <c r="BT70" i="8" s="1"/>
  <c r="BS70" i="8" a="1"/>
  <c r="BS70" i="8" s="1"/>
  <c r="BR70" i="8" a="1"/>
  <c r="BR70" i="8" s="1"/>
  <c r="BQ70" i="8" a="1"/>
  <c r="BQ70" i="8" s="1"/>
  <c r="BP70" i="8" a="1"/>
  <c r="BP70" i="8" s="1"/>
  <c r="DQ69" i="8" a="1"/>
  <c r="DQ69" i="8" s="1"/>
  <c r="DP69" i="8" a="1"/>
  <c r="DP69" i="8" s="1"/>
  <c r="DO69" i="8" a="1"/>
  <c r="DO69" i="8" s="1"/>
  <c r="DN69" i="8" a="1"/>
  <c r="DN69" i="8" s="1"/>
  <c r="DM69" i="8" a="1"/>
  <c r="DM69" i="8" s="1"/>
  <c r="DL69" i="8" a="1"/>
  <c r="DL69" i="8" s="1"/>
  <c r="BU69" i="8" a="1"/>
  <c r="BU69" i="8" s="1"/>
  <c r="BT69" i="8" a="1"/>
  <c r="BT69" i="8" s="1"/>
  <c r="BS69" i="8" a="1"/>
  <c r="BS69" i="8" s="1"/>
  <c r="BR69" i="8" a="1"/>
  <c r="BR69" i="8" s="1"/>
  <c r="BQ69" i="8" a="1"/>
  <c r="BQ69" i="8" s="1"/>
  <c r="BP69" i="8" a="1"/>
  <c r="BP69" i="8" s="1"/>
  <c r="DQ68" i="8" a="1"/>
  <c r="DQ68" i="8" s="1"/>
  <c r="DP68" i="8" a="1"/>
  <c r="DP68" i="8" s="1"/>
  <c r="DO68" i="8" a="1"/>
  <c r="DO68" i="8" s="1"/>
  <c r="DN68" i="8" a="1"/>
  <c r="DN68" i="8" s="1"/>
  <c r="DM68" i="8" a="1"/>
  <c r="DM68" i="8" s="1"/>
  <c r="DL68" i="8" a="1"/>
  <c r="DL68" i="8" s="1"/>
  <c r="BU68" i="8" a="1"/>
  <c r="BU68" i="8" s="1"/>
  <c r="BT68" i="8" a="1"/>
  <c r="BT68" i="8" s="1"/>
  <c r="BS68" i="8" a="1"/>
  <c r="BS68" i="8" s="1"/>
  <c r="BR68" i="8" a="1"/>
  <c r="BR68" i="8" s="1"/>
  <c r="BQ68" i="8" a="1"/>
  <c r="BQ68" i="8" s="1"/>
  <c r="BP68" i="8" a="1"/>
  <c r="BP68" i="8" s="1"/>
  <c r="DQ67" i="8" a="1"/>
  <c r="DQ67" i="8" s="1"/>
  <c r="DP67" i="8" a="1"/>
  <c r="DP67" i="8" s="1"/>
  <c r="DO67" i="8" a="1"/>
  <c r="DO67" i="8" s="1"/>
  <c r="DN67" i="8" a="1"/>
  <c r="DN67" i="8" s="1"/>
  <c r="DM67" i="8" a="1"/>
  <c r="DM67" i="8" s="1"/>
  <c r="DL67" i="8" a="1"/>
  <c r="DL67" i="8" s="1"/>
  <c r="BU67" i="8" a="1"/>
  <c r="BU67" i="8" s="1"/>
  <c r="BT67" i="8" a="1"/>
  <c r="BT67" i="8" s="1"/>
  <c r="BS67" i="8" a="1"/>
  <c r="BS67" i="8" s="1"/>
  <c r="BR67" i="8" a="1"/>
  <c r="BR67" i="8" s="1"/>
  <c r="BQ67" i="8" a="1"/>
  <c r="BQ67" i="8" s="1"/>
  <c r="BP67" i="8" a="1"/>
  <c r="BP67" i="8" s="1"/>
  <c r="DQ66" i="8" a="1"/>
  <c r="DQ66" i="8" s="1"/>
  <c r="DP66" i="8" a="1"/>
  <c r="DP66" i="8" s="1"/>
  <c r="DO66" i="8" a="1"/>
  <c r="DO66" i="8" s="1"/>
  <c r="DN66" i="8" a="1"/>
  <c r="DN66" i="8" s="1"/>
  <c r="DM66" i="8" a="1"/>
  <c r="DM66" i="8" s="1"/>
  <c r="DL66" i="8" a="1"/>
  <c r="DL66" i="8" s="1"/>
  <c r="BU66" i="8" a="1"/>
  <c r="BU66" i="8" s="1"/>
  <c r="BT66" i="8" a="1"/>
  <c r="BT66" i="8" s="1"/>
  <c r="BS66" i="8" a="1"/>
  <c r="BS66" i="8" s="1"/>
  <c r="BR66" i="8" a="1"/>
  <c r="BR66" i="8" s="1"/>
  <c r="BQ66" i="8" a="1"/>
  <c r="BQ66" i="8" s="1"/>
  <c r="BP66" i="8" a="1"/>
  <c r="BP66" i="8" s="1"/>
  <c r="DQ65" i="8" a="1"/>
  <c r="DQ65" i="8" s="1"/>
  <c r="DP65" i="8" a="1"/>
  <c r="DP65" i="8" s="1"/>
  <c r="DO65" i="8" a="1"/>
  <c r="DO65" i="8" s="1"/>
  <c r="DN65" i="8" a="1"/>
  <c r="DN65" i="8" s="1"/>
  <c r="DM65" i="8" a="1"/>
  <c r="DM65" i="8" s="1"/>
  <c r="DL65" i="8" a="1"/>
  <c r="DL65" i="8" s="1"/>
  <c r="BU65" i="8" a="1"/>
  <c r="BU65" i="8" s="1"/>
  <c r="BT65" i="8" a="1"/>
  <c r="BT65" i="8" s="1"/>
  <c r="BS65" i="8" a="1"/>
  <c r="BS65" i="8" s="1"/>
  <c r="BR65" i="8" a="1"/>
  <c r="BR65" i="8" s="1"/>
  <c r="BQ65" i="8" a="1"/>
  <c r="BQ65" i="8" s="1"/>
  <c r="BP65" i="8" a="1"/>
  <c r="BP65" i="8" s="1"/>
  <c r="DQ64" i="8" a="1"/>
  <c r="DQ64" i="8" s="1"/>
  <c r="DP64" i="8" a="1"/>
  <c r="DP64" i="8" s="1"/>
  <c r="DO64" i="8" a="1"/>
  <c r="DO64" i="8" s="1"/>
  <c r="DN64" i="8" a="1"/>
  <c r="DN64" i="8" s="1"/>
  <c r="DM64" i="8" a="1"/>
  <c r="DM64" i="8" s="1"/>
  <c r="DL64" i="8" a="1"/>
  <c r="DL64" i="8" s="1"/>
  <c r="BU64" i="8" a="1"/>
  <c r="BU64" i="8" s="1"/>
  <c r="BT64" i="8" a="1"/>
  <c r="BT64" i="8" s="1"/>
  <c r="BS64" i="8" a="1"/>
  <c r="BS64" i="8" s="1"/>
  <c r="BR64" i="8" a="1"/>
  <c r="BR64" i="8" s="1"/>
  <c r="BQ64" i="8" a="1"/>
  <c r="BQ64" i="8" s="1"/>
  <c r="BP64" i="8" a="1"/>
  <c r="BP64" i="8" s="1"/>
  <c r="DQ63" i="8" a="1"/>
  <c r="DQ63" i="8" s="1"/>
  <c r="DP63" i="8" a="1"/>
  <c r="DP63" i="8" s="1"/>
  <c r="DO63" i="8" a="1"/>
  <c r="DO63" i="8" s="1"/>
  <c r="DN63" i="8" a="1"/>
  <c r="DN63" i="8" s="1"/>
  <c r="DM63" i="8" a="1"/>
  <c r="DM63" i="8" s="1"/>
  <c r="DL63" i="8" a="1"/>
  <c r="DL63" i="8" s="1"/>
  <c r="BU63" i="8" a="1"/>
  <c r="BU63" i="8" s="1"/>
  <c r="BT63" i="8" a="1"/>
  <c r="BT63" i="8" s="1"/>
  <c r="BS63" i="8" a="1"/>
  <c r="BS63" i="8" s="1"/>
  <c r="BR63" i="8" a="1"/>
  <c r="BR63" i="8" s="1"/>
  <c r="BQ63" i="8" a="1"/>
  <c r="BQ63" i="8" s="1"/>
  <c r="BP63" i="8" a="1"/>
  <c r="BP63" i="8" s="1"/>
  <c r="DQ62" i="8" a="1"/>
  <c r="DQ62" i="8" s="1"/>
  <c r="DP62" i="8" a="1"/>
  <c r="DP62" i="8" s="1"/>
  <c r="DO62" i="8" a="1"/>
  <c r="DO62" i="8" s="1"/>
  <c r="DN62" i="8" a="1"/>
  <c r="DN62" i="8" s="1"/>
  <c r="DM62" i="8" a="1"/>
  <c r="DM62" i="8" s="1"/>
  <c r="DL62" i="8" a="1"/>
  <c r="DL62" i="8" s="1"/>
  <c r="BU62" i="8" a="1"/>
  <c r="BU62" i="8" s="1"/>
  <c r="BT62" i="8" a="1"/>
  <c r="BT62" i="8" s="1"/>
  <c r="BS62" i="8" a="1"/>
  <c r="BS62" i="8" s="1"/>
  <c r="BR62" i="8" a="1"/>
  <c r="BR62" i="8" s="1"/>
  <c r="BQ62" i="8" a="1"/>
  <c r="BQ62" i="8" s="1"/>
  <c r="BP62" i="8" a="1"/>
  <c r="BP62" i="8" s="1"/>
  <c r="DQ61" i="8" a="1"/>
  <c r="DQ61" i="8" s="1"/>
  <c r="DP61" i="8" a="1"/>
  <c r="DP61" i="8" s="1"/>
  <c r="DO61" i="8" a="1"/>
  <c r="DO61" i="8" s="1"/>
  <c r="DN61" i="8" a="1"/>
  <c r="DN61" i="8" s="1"/>
  <c r="DM61" i="8" a="1"/>
  <c r="DM61" i="8" s="1"/>
  <c r="DL61" i="8" a="1"/>
  <c r="DL61" i="8" s="1"/>
  <c r="BU61" i="8" a="1"/>
  <c r="BU61" i="8" s="1"/>
  <c r="BT61" i="8" a="1"/>
  <c r="BT61" i="8" s="1"/>
  <c r="BS61" i="8" a="1"/>
  <c r="BS61" i="8" s="1"/>
  <c r="BR61" i="8" a="1"/>
  <c r="BR61" i="8" s="1"/>
  <c r="BQ61" i="8" a="1"/>
  <c r="BQ61" i="8" s="1"/>
  <c r="BP61" i="8" a="1"/>
  <c r="BP61" i="8" s="1"/>
  <c r="DQ60" i="8" a="1"/>
  <c r="DQ60" i="8" s="1"/>
  <c r="DP60" i="8" a="1"/>
  <c r="DP60" i="8" s="1"/>
  <c r="DO60" i="8" a="1"/>
  <c r="DO60" i="8" s="1"/>
  <c r="DN60" i="8" a="1"/>
  <c r="DN60" i="8" s="1"/>
  <c r="DM60" i="8" a="1"/>
  <c r="DM60" i="8" s="1"/>
  <c r="DL60" i="8" a="1"/>
  <c r="DL60" i="8" s="1"/>
  <c r="BU60" i="8" a="1"/>
  <c r="BU60" i="8" s="1"/>
  <c r="BT60" i="8" a="1"/>
  <c r="BT60" i="8" s="1"/>
  <c r="BS60" i="8" a="1"/>
  <c r="BS60" i="8" s="1"/>
  <c r="BR60" i="8" a="1"/>
  <c r="BR60" i="8" s="1"/>
  <c r="BQ60" i="8" a="1"/>
  <c r="BQ60" i="8" s="1"/>
  <c r="BP60" i="8" a="1"/>
  <c r="BP60" i="8" s="1"/>
  <c r="DQ59" i="8" a="1"/>
  <c r="DQ59" i="8" s="1"/>
  <c r="DP59" i="8" a="1"/>
  <c r="DP59" i="8" s="1"/>
  <c r="DO59" i="8" a="1"/>
  <c r="DO59" i="8" s="1"/>
  <c r="DN59" i="8" a="1"/>
  <c r="DN59" i="8" s="1"/>
  <c r="DM59" i="8" a="1"/>
  <c r="DM59" i="8" s="1"/>
  <c r="DL59" i="8" a="1"/>
  <c r="DL59" i="8" s="1"/>
  <c r="BU59" i="8" a="1"/>
  <c r="BU59" i="8" s="1"/>
  <c r="BT59" i="8" a="1"/>
  <c r="BT59" i="8" s="1"/>
  <c r="BS59" i="8" a="1"/>
  <c r="BS59" i="8" s="1"/>
  <c r="BR59" i="8" a="1"/>
  <c r="BR59" i="8" s="1"/>
  <c r="BQ59" i="8" a="1"/>
  <c r="BQ59" i="8" s="1"/>
  <c r="BP59" i="8" a="1"/>
  <c r="BP59" i="8" s="1"/>
  <c r="DQ58" i="8" a="1"/>
  <c r="DQ58" i="8" s="1"/>
  <c r="DP58" i="8" a="1"/>
  <c r="DP58" i="8" s="1"/>
  <c r="DO58" i="8" a="1"/>
  <c r="DO58" i="8" s="1"/>
  <c r="DN58" i="8" a="1"/>
  <c r="DN58" i="8" s="1"/>
  <c r="DM58" i="8" a="1"/>
  <c r="DM58" i="8" s="1"/>
  <c r="DL58" i="8" a="1"/>
  <c r="DL58" i="8" s="1"/>
  <c r="BU58" i="8" a="1"/>
  <c r="BU58" i="8" s="1"/>
  <c r="BT58" i="8" a="1"/>
  <c r="BT58" i="8" s="1"/>
  <c r="BS58" i="8" a="1"/>
  <c r="BS58" i="8" s="1"/>
  <c r="BR58" i="8" a="1"/>
  <c r="BR58" i="8" s="1"/>
  <c r="BQ58" i="8" a="1"/>
  <c r="BQ58" i="8" s="1"/>
  <c r="BP58" i="8" a="1"/>
  <c r="BP58" i="8" s="1"/>
  <c r="DQ57" i="8" a="1"/>
  <c r="DQ57" i="8" s="1"/>
  <c r="DP57" i="8" a="1"/>
  <c r="DP57" i="8" s="1"/>
  <c r="DO57" i="8" a="1"/>
  <c r="DO57" i="8" s="1"/>
  <c r="DN57" i="8" a="1"/>
  <c r="DN57" i="8" s="1"/>
  <c r="DM57" i="8" a="1"/>
  <c r="DM57" i="8" s="1"/>
  <c r="DL57" i="8" a="1"/>
  <c r="DL57" i="8" s="1"/>
  <c r="BU57" i="8" a="1"/>
  <c r="BU57" i="8" s="1"/>
  <c r="BT57" i="8" a="1"/>
  <c r="BT57" i="8" s="1"/>
  <c r="BS57" i="8" a="1"/>
  <c r="BS57" i="8" s="1"/>
  <c r="BR57" i="8" a="1"/>
  <c r="BR57" i="8" s="1"/>
  <c r="BQ57" i="8" a="1"/>
  <c r="BQ57" i="8" s="1"/>
  <c r="BP57" i="8" a="1"/>
  <c r="BP57" i="8" s="1"/>
  <c r="DQ56" i="8" a="1"/>
  <c r="DQ56" i="8" s="1"/>
  <c r="DP56" i="8" a="1"/>
  <c r="DP56" i="8" s="1"/>
  <c r="DO56" i="8" a="1"/>
  <c r="DO56" i="8" s="1"/>
  <c r="DN56" i="8" a="1"/>
  <c r="DN56" i="8" s="1"/>
  <c r="DM56" i="8" a="1"/>
  <c r="DM56" i="8" s="1"/>
  <c r="DL56" i="8" a="1"/>
  <c r="DL56" i="8" s="1"/>
  <c r="BU56" i="8" a="1"/>
  <c r="BU56" i="8" s="1"/>
  <c r="BT56" i="8" a="1"/>
  <c r="BT56" i="8" s="1"/>
  <c r="BS56" i="8" a="1"/>
  <c r="BS56" i="8" s="1"/>
  <c r="BR56" i="8" a="1"/>
  <c r="BR56" i="8" s="1"/>
  <c r="BQ56" i="8" a="1"/>
  <c r="BQ56" i="8" s="1"/>
  <c r="BP56" i="8" a="1"/>
  <c r="BP56" i="8" s="1"/>
  <c r="DQ55" i="8" a="1"/>
  <c r="DQ55" i="8" s="1"/>
  <c r="DP55" i="8" a="1"/>
  <c r="DP55" i="8" s="1"/>
  <c r="DO55" i="8" a="1"/>
  <c r="DO55" i="8" s="1"/>
  <c r="DN55" i="8" a="1"/>
  <c r="DN55" i="8" s="1"/>
  <c r="DM55" i="8" a="1"/>
  <c r="DM55" i="8" s="1"/>
  <c r="DL55" i="8" a="1"/>
  <c r="DL55" i="8" s="1"/>
  <c r="BU55" i="8" a="1"/>
  <c r="BU55" i="8" s="1"/>
  <c r="BT55" i="8" a="1"/>
  <c r="BT55" i="8" s="1"/>
  <c r="BS55" i="8" a="1"/>
  <c r="BS55" i="8" s="1"/>
  <c r="BR55" i="8" a="1"/>
  <c r="BR55" i="8" s="1"/>
  <c r="BQ55" i="8" a="1"/>
  <c r="BQ55" i="8" s="1"/>
  <c r="BP55" i="8" a="1"/>
  <c r="BP55" i="8" s="1"/>
  <c r="DQ54" i="8" a="1"/>
  <c r="DQ54" i="8" s="1"/>
  <c r="DP54" i="8" a="1"/>
  <c r="DP54" i="8" s="1"/>
  <c r="DO54" i="8" a="1"/>
  <c r="DO54" i="8" s="1"/>
  <c r="DN54" i="8" a="1"/>
  <c r="DN54" i="8" s="1"/>
  <c r="DM54" i="8" a="1"/>
  <c r="DM54" i="8" s="1"/>
  <c r="DL54" i="8" a="1"/>
  <c r="DL54" i="8" s="1"/>
  <c r="BU54" i="8" a="1"/>
  <c r="BU54" i="8" s="1"/>
  <c r="BT54" i="8" a="1"/>
  <c r="BT54" i="8" s="1"/>
  <c r="BS54" i="8" a="1"/>
  <c r="BS54" i="8" s="1"/>
  <c r="BR54" i="8" a="1"/>
  <c r="BR54" i="8" s="1"/>
  <c r="BQ54" i="8" a="1"/>
  <c r="BQ54" i="8" s="1"/>
  <c r="BP54" i="8" a="1"/>
  <c r="BP54" i="8" s="1"/>
  <c r="DQ53" i="8" a="1"/>
  <c r="DQ53" i="8" s="1"/>
  <c r="DP53" i="8" a="1"/>
  <c r="DP53" i="8" s="1"/>
  <c r="DO53" i="8" a="1"/>
  <c r="DO53" i="8" s="1"/>
  <c r="DN53" i="8" a="1"/>
  <c r="DN53" i="8" s="1"/>
  <c r="DM53" i="8" a="1"/>
  <c r="DM53" i="8" s="1"/>
  <c r="DL53" i="8" a="1"/>
  <c r="DL53" i="8" s="1"/>
  <c r="BU53" i="8" a="1"/>
  <c r="BU53" i="8" s="1"/>
  <c r="BT53" i="8" a="1"/>
  <c r="BT53" i="8" s="1"/>
  <c r="BS53" i="8" a="1"/>
  <c r="BS53" i="8" s="1"/>
  <c r="BR53" i="8" a="1"/>
  <c r="BR53" i="8" s="1"/>
  <c r="BQ53" i="8" a="1"/>
  <c r="BQ53" i="8" s="1"/>
  <c r="BP53" i="8" a="1"/>
  <c r="BP53" i="8" s="1"/>
  <c r="DQ52" i="8" a="1"/>
  <c r="DQ52" i="8" s="1"/>
  <c r="DP52" i="8" a="1"/>
  <c r="DP52" i="8" s="1"/>
  <c r="DO52" i="8" a="1"/>
  <c r="DO52" i="8" s="1"/>
  <c r="DN52" i="8" a="1"/>
  <c r="DN52" i="8" s="1"/>
  <c r="DM52" i="8" a="1"/>
  <c r="DM52" i="8" s="1"/>
  <c r="DL52" i="8" a="1"/>
  <c r="DL52" i="8" s="1"/>
  <c r="BU52" i="8" a="1"/>
  <c r="BU52" i="8" s="1"/>
  <c r="BT52" i="8" a="1"/>
  <c r="BT52" i="8" s="1"/>
  <c r="BS52" i="8" a="1"/>
  <c r="BS52" i="8" s="1"/>
  <c r="BR52" i="8" a="1"/>
  <c r="BR52" i="8" s="1"/>
  <c r="BQ52" i="8" a="1"/>
  <c r="BQ52" i="8" s="1"/>
  <c r="BP52" i="8" a="1"/>
  <c r="BP52" i="8" s="1"/>
  <c r="DQ51" i="8" a="1"/>
  <c r="DQ51" i="8" s="1"/>
  <c r="DP51" i="8" a="1"/>
  <c r="DP51" i="8" s="1"/>
  <c r="DO51" i="8" a="1"/>
  <c r="DO51" i="8" s="1"/>
  <c r="DN51" i="8" a="1"/>
  <c r="DN51" i="8" s="1"/>
  <c r="DM51" i="8" a="1"/>
  <c r="DM51" i="8" s="1"/>
  <c r="DL51" i="8" a="1"/>
  <c r="DL51" i="8" s="1"/>
  <c r="BU51" i="8" a="1"/>
  <c r="BU51" i="8" s="1"/>
  <c r="BT51" i="8" a="1"/>
  <c r="BT51" i="8" s="1"/>
  <c r="BS51" i="8" a="1"/>
  <c r="BS51" i="8" s="1"/>
  <c r="BR51" i="8" a="1"/>
  <c r="BR51" i="8" s="1"/>
  <c r="BQ51" i="8" a="1"/>
  <c r="BQ51" i="8" s="1"/>
  <c r="BP51" i="8" a="1"/>
  <c r="BP51" i="8" s="1"/>
  <c r="DQ50" i="8" a="1"/>
  <c r="DQ50" i="8" s="1"/>
  <c r="DP50" i="8" a="1"/>
  <c r="DP50" i="8" s="1"/>
  <c r="DO50" i="8" a="1"/>
  <c r="DO50" i="8" s="1"/>
  <c r="DN50" i="8" a="1"/>
  <c r="DN50" i="8" s="1"/>
  <c r="DM50" i="8" a="1"/>
  <c r="DM50" i="8" s="1"/>
  <c r="DL50" i="8" a="1"/>
  <c r="DL50" i="8" s="1"/>
  <c r="BU50" i="8" a="1"/>
  <c r="BU50" i="8" s="1"/>
  <c r="BT50" i="8" a="1"/>
  <c r="BT50" i="8" s="1"/>
  <c r="BS50" i="8" a="1"/>
  <c r="BS50" i="8" s="1"/>
  <c r="BR50" i="8" a="1"/>
  <c r="BR50" i="8" s="1"/>
  <c r="BQ50" i="8" a="1"/>
  <c r="BQ50" i="8" s="1"/>
  <c r="BP50" i="8" a="1"/>
  <c r="BP50" i="8" s="1"/>
  <c r="DQ49" i="8" a="1"/>
  <c r="DQ49" i="8" s="1"/>
  <c r="DP49" i="8" a="1"/>
  <c r="DP49" i="8" s="1"/>
  <c r="DO49" i="8" a="1"/>
  <c r="DO49" i="8" s="1"/>
  <c r="DN49" i="8" a="1"/>
  <c r="DN49" i="8" s="1"/>
  <c r="DM49" i="8" a="1"/>
  <c r="DM49" i="8" s="1"/>
  <c r="DL49" i="8" a="1"/>
  <c r="DL49" i="8" s="1"/>
  <c r="BU49" i="8" a="1"/>
  <c r="BU49" i="8" s="1"/>
  <c r="BT49" i="8" a="1"/>
  <c r="BT49" i="8" s="1"/>
  <c r="BS49" i="8" a="1"/>
  <c r="BS49" i="8" s="1"/>
  <c r="BR49" i="8" a="1"/>
  <c r="BR49" i="8" s="1"/>
  <c r="BQ49" i="8" a="1"/>
  <c r="BQ49" i="8" s="1"/>
  <c r="BP49" i="8" a="1"/>
  <c r="BP49" i="8" s="1"/>
  <c r="DQ48" i="8" a="1"/>
  <c r="DQ48" i="8" s="1"/>
  <c r="DP48" i="8" a="1"/>
  <c r="DP48" i="8" s="1"/>
  <c r="DO48" i="8" a="1"/>
  <c r="DO48" i="8" s="1"/>
  <c r="DN48" i="8" a="1"/>
  <c r="DN48" i="8" s="1"/>
  <c r="DM48" i="8" a="1"/>
  <c r="DM48" i="8" s="1"/>
  <c r="DL48" i="8" a="1"/>
  <c r="DL48" i="8" s="1"/>
  <c r="BU48" i="8" a="1"/>
  <c r="BU48" i="8" s="1"/>
  <c r="BT48" i="8" a="1"/>
  <c r="BT48" i="8" s="1"/>
  <c r="BS48" i="8" a="1"/>
  <c r="BS48" i="8" s="1"/>
  <c r="BR48" i="8" a="1"/>
  <c r="BR48" i="8" s="1"/>
  <c r="BQ48" i="8" a="1"/>
  <c r="BQ48" i="8" s="1"/>
  <c r="BP48" i="8" a="1"/>
  <c r="BP48" i="8" s="1"/>
  <c r="DQ47" i="8" a="1"/>
  <c r="DQ47" i="8" s="1"/>
  <c r="DP47" i="8" a="1"/>
  <c r="DP47" i="8" s="1"/>
  <c r="DO47" i="8" a="1"/>
  <c r="DO47" i="8" s="1"/>
  <c r="DN47" i="8" a="1"/>
  <c r="DN47" i="8" s="1"/>
  <c r="DM47" i="8" a="1"/>
  <c r="DM47" i="8" s="1"/>
  <c r="DL47" i="8" a="1"/>
  <c r="DL47" i="8" s="1"/>
  <c r="BU47" i="8" a="1"/>
  <c r="BU47" i="8" s="1"/>
  <c r="BT47" i="8" a="1"/>
  <c r="BT47" i="8" s="1"/>
  <c r="BS47" i="8" a="1"/>
  <c r="BS47" i="8" s="1"/>
  <c r="BR47" i="8" a="1"/>
  <c r="BR47" i="8" s="1"/>
  <c r="BQ47" i="8" a="1"/>
  <c r="BQ47" i="8" s="1"/>
  <c r="BP47" i="8" a="1"/>
  <c r="BP47" i="8" s="1"/>
  <c r="DQ46" i="8" a="1"/>
  <c r="DQ46" i="8" s="1"/>
  <c r="DP46" i="8" a="1"/>
  <c r="DP46" i="8" s="1"/>
  <c r="DO46" i="8" a="1"/>
  <c r="DO46" i="8" s="1"/>
  <c r="DN46" i="8" a="1"/>
  <c r="DN46" i="8" s="1"/>
  <c r="DM46" i="8" a="1"/>
  <c r="DM46" i="8" s="1"/>
  <c r="DL46" i="8" a="1"/>
  <c r="DL46" i="8" s="1"/>
  <c r="BU46" i="8" a="1"/>
  <c r="BU46" i="8" s="1"/>
  <c r="BT46" i="8" a="1"/>
  <c r="BT46" i="8" s="1"/>
  <c r="BS46" i="8" a="1"/>
  <c r="BS46" i="8" s="1"/>
  <c r="BR46" i="8" a="1"/>
  <c r="BR46" i="8" s="1"/>
  <c r="BQ46" i="8" a="1"/>
  <c r="BQ46" i="8" s="1"/>
  <c r="BP46" i="8" a="1"/>
  <c r="BP46" i="8" s="1"/>
  <c r="DQ45" i="8" a="1"/>
  <c r="DQ45" i="8" s="1"/>
  <c r="DP45" i="8" a="1"/>
  <c r="DP45" i="8" s="1"/>
  <c r="DO45" i="8" a="1"/>
  <c r="DO45" i="8" s="1"/>
  <c r="DN45" i="8" a="1"/>
  <c r="DN45" i="8" s="1"/>
  <c r="DM45" i="8" a="1"/>
  <c r="DM45" i="8" s="1"/>
  <c r="DL45" i="8" a="1"/>
  <c r="DL45" i="8" s="1"/>
  <c r="BU45" i="8" a="1"/>
  <c r="BU45" i="8" s="1"/>
  <c r="BT45" i="8" a="1"/>
  <c r="BT45" i="8" s="1"/>
  <c r="BS45" i="8" a="1"/>
  <c r="BS45" i="8" s="1"/>
  <c r="BR45" i="8" a="1"/>
  <c r="BR45" i="8" s="1"/>
  <c r="BQ45" i="8" a="1"/>
  <c r="BQ45" i="8" s="1"/>
  <c r="BP45" i="8" a="1"/>
  <c r="BP45" i="8" s="1"/>
  <c r="DQ44" i="8" a="1"/>
  <c r="DQ44" i="8" s="1"/>
  <c r="DP44" i="8" a="1"/>
  <c r="DP44" i="8" s="1"/>
  <c r="DO44" i="8" a="1"/>
  <c r="DO44" i="8" s="1"/>
  <c r="DN44" i="8" a="1"/>
  <c r="DN44" i="8" s="1"/>
  <c r="DM44" i="8" a="1"/>
  <c r="DM44" i="8" s="1"/>
  <c r="DL44" i="8" a="1"/>
  <c r="DL44" i="8" s="1"/>
  <c r="BU44" i="8" a="1"/>
  <c r="BU44" i="8" s="1"/>
  <c r="BT44" i="8" a="1"/>
  <c r="BT44" i="8" s="1"/>
  <c r="BS44" i="8" a="1"/>
  <c r="BS44" i="8" s="1"/>
  <c r="BR44" i="8" a="1"/>
  <c r="BR44" i="8" s="1"/>
  <c r="BQ44" i="8" a="1"/>
  <c r="BQ44" i="8" s="1"/>
  <c r="BP44" i="8" a="1"/>
  <c r="BP44" i="8" s="1"/>
  <c r="DQ43" i="8" a="1"/>
  <c r="DQ43" i="8" s="1"/>
  <c r="DP43" i="8" a="1"/>
  <c r="DP43" i="8" s="1"/>
  <c r="DO43" i="8" a="1"/>
  <c r="DO43" i="8" s="1"/>
  <c r="DN43" i="8" a="1"/>
  <c r="DN43" i="8" s="1"/>
  <c r="DM43" i="8" a="1"/>
  <c r="DM43" i="8" s="1"/>
  <c r="DL43" i="8" a="1"/>
  <c r="DL43" i="8" s="1"/>
  <c r="BU43" i="8" a="1"/>
  <c r="BU43" i="8" s="1"/>
  <c r="BT43" i="8" a="1"/>
  <c r="BT43" i="8" s="1"/>
  <c r="BS43" i="8" a="1"/>
  <c r="BS43" i="8" s="1"/>
  <c r="BR43" i="8" a="1"/>
  <c r="BR43" i="8" s="1"/>
  <c r="BQ43" i="8" a="1"/>
  <c r="BQ43" i="8" s="1"/>
  <c r="BP43" i="8" a="1"/>
  <c r="BP43" i="8" s="1"/>
  <c r="DQ42" i="8" a="1"/>
  <c r="DQ42" i="8" s="1"/>
  <c r="DP42" i="8" a="1"/>
  <c r="DP42" i="8" s="1"/>
  <c r="DO42" i="8" a="1"/>
  <c r="DO42" i="8" s="1"/>
  <c r="DN42" i="8" a="1"/>
  <c r="DN42" i="8" s="1"/>
  <c r="DM42" i="8" a="1"/>
  <c r="DM42" i="8" s="1"/>
  <c r="DL42" i="8" a="1"/>
  <c r="DL42" i="8" s="1"/>
  <c r="BU42" i="8" a="1"/>
  <c r="BU42" i="8" s="1"/>
  <c r="BT42" i="8" a="1"/>
  <c r="BT42" i="8" s="1"/>
  <c r="BS42" i="8" a="1"/>
  <c r="BS42" i="8" s="1"/>
  <c r="BR42" i="8" a="1"/>
  <c r="BR42" i="8" s="1"/>
  <c r="BQ42" i="8" a="1"/>
  <c r="BQ42" i="8" s="1"/>
  <c r="BP42" i="8" a="1"/>
  <c r="BP42" i="8" s="1"/>
  <c r="DQ41" i="8" a="1"/>
  <c r="DQ41" i="8" s="1"/>
  <c r="DP41" i="8" a="1"/>
  <c r="DP41" i="8" s="1"/>
  <c r="DO41" i="8" a="1"/>
  <c r="DO41" i="8" s="1"/>
  <c r="DN41" i="8" a="1"/>
  <c r="DN41" i="8" s="1"/>
  <c r="DM41" i="8" a="1"/>
  <c r="DM41" i="8" s="1"/>
  <c r="DL41" i="8" a="1"/>
  <c r="DL41" i="8" s="1"/>
  <c r="BU41" i="8" a="1"/>
  <c r="BU41" i="8" s="1"/>
  <c r="BT41" i="8" a="1"/>
  <c r="BT41" i="8" s="1"/>
  <c r="BS41" i="8" a="1"/>
  <c r="BS41" i="8" s="1"/>
  <c r="BR41" i="8" a="1"/>
  <c r="BR41" i="8" s="1"/>
  <c r="BQ41" i="8" a="1"/>
  <c r="BQ41" i="8" s="1"/>
  <c r="BP41" i="8" a="1"/>
  <c r="BP41" i="8" s="1"/>
  <c r="DQ40" i="8" a="1"/>
  <c r="DQ40" i="8" s="1"/>
  <c r="DP40" i="8" a="1"/>
  <c r="DP40" i="8" s="1"/>
  <c r="DO40" i="8" a="1"/>
  <c r="DO40" i="8" s="1"/>
  <c r="DN40" i="8" a="1"/>
  <c r="DN40" i="8" s="1"/>
  <c r="DM40" i="8" a="1"/>
  <c r="DM40" i="8" s="1"/>
  <c r="DL40" i="8" a="1"/>
  <c r="DL40" i="8" s="1"/>
  <c r="BU40" i="8" a="1"/>
  <c r="BU40" i="8" s="1"/>
  <c r="BT40" i="8" a="1"/>
  <c r="BT40" i="8" s="1"/>
  <c r="BS40" i="8" a="1"/>
  <c r="BS40" i="8" s="1"/>
  <c r="BR40" i="8" a="1"/>
  <c r="BR40" i="8" s="1"/>
  <c r="BQ40" i="8" a="1"/>
  <c r="BQ40" i="8" s="1"/>
  <c r="BP40" i="8" a="1"/>
  <c r="BP40" i="8" s="1"/>
  <c r="DQ39" i="8" a="1"/>
  <c r="DQ39" i="8" s="1"/>
  <c r="DP39" i="8" a="1"/>
  <c r="DP39" i="8" s="1"/>
  <c r="DO39" i="8" a="1"/>
  <c r="DO39" i="8" s="1"/>
  <c r="DN39" i="8" a="1"/>
  <c r="DN39" i="8" s="1"/>
  <c r="DM39" i="8" a="1"/>
  <c r="DM39" i="8" s="1"/>
  <c r="DL39" i="8" a="1"/>
  <c r="DL39" i="8" s="1"/>
  <c r="BU39" i="8" a="1"/>
  <c r="BU39" i="8" s="1"/>
  <c r="BT39" i="8" a="1"/>
  <c r="BT39" i="8" s="1"/>
  <c r="BS39" i="8" a="1"/>
  <c r="BS39" i="8" s="1"/>
  <c r="BR39" i="8" a="1"/>
  <c r="BR39" i="8" s="1"/>
  <c r="BQ39" i="8" a="1"/>
  <c r="BQ39" i="8" s="1"/>
  <c r="BP39" i="8" a="1"/>
  <c r="BP39" i="8" s="1"/>
  <c r="DQ38" i="8" a="1"/>
  <c r="DQ38" i="8" s="1"/>
  <c r="DP38" i="8" a="1"/>
  <c r="DP38" i="8" s="1"/>
  <c r="DO38" i="8" a="1"/>
  <c r="DO38" i="8" s="1"/>
  <c r="DN38" i="8" a="1"/>
  <c r="DN38" i="8" s="1"/>
  <c r="DM38" i="8" a="1"/>
  <c r="DM38" i="8" s="1"/>
  <c r="DL38" i="8" a="1"/>
  <c r="DL38" i="8" s="1"/>
  <c r="BU38" i="8" a="1"/>
  <c r="BU38" i="8" s="1"/>
  <c r="BT38" i="8" a="1"/>
  <c r="BT38" i="8" s="1"/>
  <c r="BS38" i="8" a="1"/>
  <c r="BS38" i="8" s="1"/>
  <c r="BR38" i="8" a="1"/>
  <c r="BR38" i="8" s="1"/>
  <c r="BQ38" i="8" a="1"/>
  <c r="BQ38" i="8" s="1"/>
  <c r="BP38" i="8" a="1"/>
  <c r="BP38" i="8" s="1"/>
  <c r="DQ37" i="8" a="1"/>
  <c r="DQ37" i="8" s="1"/>
  <c r="DP37" i="8" a="1"/>
  <c r="DP37" i="8" s="1"/>
  <c r="DO37" i="8" a="1"/>
  <c r="DO37" i="8" s="1"/>
  <c r="DN37" i="8" a="1"/>
  <c r="DN37" i="8" s="1"/>
  <c r="DM37" i="8" a="1"/>
  <c r="DM37" i="8" s="1"/>
  <c r="DL37" i="8" a="1"/>
  <c r="DL37" i="8" s="1"/>
  <c r="BU37" i="8" a="1"/>
  <c r="BU37" i="8" s="1"/>
  <c r="BT37" i="8" a="1"/>
  <c r="BT37" i="8" s="1"/>
  <c r="BS37" i="8" a="1"/>
  <c r="BS37" i="8" s="1"/>
  <c r="BR37" i="8" a="1"/>
  <c r="BR37" i="8" s="1"/>
  <c r="BQ37" i="8" a="1"/>
  <c r="BQ37" i="8" s="1"/>
  <c r="BP37" i="8" a="1"/>
  <c r="BP37" i="8" s="1"/>
  <c r="DQ36" i="8" a="1"/>
  <c r="DQ36" i="8" s="1"/>
  <c r="DP36" i="8" a="1"/>
  <c r="DP36" i="8" s="1"/>
  <c r="DO36" i="8" a="1"/>
  <c r="DO36" i="8" s="1"/>
  <c r="DN36" i="8" a="1"/>
  <c r="DN36" i="8" s="1"/>
  <c r="DM36" i="8" a="1"/>
  <c r="DM36" i="8" s="1"/>
  <c r="DL36" i="8" a="1"/>
  <c r="DL36" i="8" s="1"/>
  <c r="BU36" i="8" a="1"/>
  <c r="BU36" i="8" s="1"/>
  <c r="BT36" i="8" a="1"/>
  <c r="BT36" i="8" s="1"/>
  <c r="BS36" i="8" a="1"/>
  <c r="BS36" i="8" s="1"/>
  <c r="BR36" i="8" a="1"/>
  <c r="BR36" i="8" s="1"/>
  <c r="BQ36" i="8" a="1"/>
  <c r="BQ36" i="8" s="1"/>
  <c r="BP36" i="8" a="1"/>
  <c r="BP36" i="8" s="1"/>
  <c r="DQ35" i="8" a="1"/>
  <c r="DQ35" i="8" s="1"/>
  <c r="DP35" i="8" a="1"/>
  <c r="DP35" i="8" s="1"/>
  <c r="DO35" i="8" a="1"/>
  <c r="DO35" i="8" s="1"/>
  <c r="DN35" i="8" a="1"/>
  <c r="DN35" i="8" s="1"/>
  <c r="DM35" i="8" a="1"/>
  <c r="DM35" i="8" s="1"/>
  <c r="DL35" i="8" a="1"/>
  <c r="DL35" i="8" s="1"/>
  <c r="BU35" i="8" a="1"/>
  <c r="BU35" i="8" s="1"/>
  <c r="BT35" i="8" a="1"/>
  <c r="BT35" i="8" s="1"/>
  <c r="BS35" i="8" a="1"/>
  <c r="BS35" i="8" s="1"/>
  <c r="BR35" i="8" a="1"/>
  <c r="BR35" i="8" s="1"/>
  <c r="BQ35" i="8" a="1"/>
  <c r="BQ35" i="8" s="1"/>
  <c r="BP35" i="8" a="1"/>
  <c r="BP35" i="8" s="1"/>
  <c r="DQ34" i="8" a="1"/>
  <c r="DQ34" i="8" s="1"/>
  <c r="DP34" i="8" a="1"/>
  <c r="DP34" i="8" s="1"/>
  <c r="DO34" i="8" a="1"/>
  <c r="DO34" i="8" s="1"/>
  <c r="DN34" i="8" a="1"/>
  <c r="DN34" i="8" s="1"/>
  <c r="DM34" i="8" a="1"/>
  <c r="DM34" i="8" s="1"/>
  <c r="DL34" i="8" a="1"/>
  <c r="DL34" i="8" s="1"/>
  <c r="BU34" i="8" a="1"/>
  <c r="BU34" i="8" s="1"/>
  <c r="BT34" i="8" a="1"/>
  <c r="BT34" i="8" s="1"/>
  <c r="BS34" i="8" a="1"/>
  <c r="BS34" i="8" s="1"/>
  <c r="BR34" i="8" a="1"/>
  <c r="BR34" i="8" s="1"/>
  <c r="BQ34" i="8" a="1"/>
  <c r="BQ34" i="8" s="1"/>
  <c r="BP34" i="8" a="1"/>
  <c r="BP34" i="8" s="1"/>
  <c r="DQ33" i="8" a="1"/>
  <c r="DQ33" i="8" s="1"/>
  <c r="DP33" i="8" a="1"/>
  <c r="DP33" i="8" s="1"/>
  <c r="DO33" i="8" a="1"/>
  <c r="DO33" i="8" s="1"/>
  <c r="DN33" i="8" a="1"/>
  <c r="DN33" i="8" s="1"/>
  <c r="DM33" i="8" a="1"/>
  <c r="DM33" i="8" s="1"/>
  <c r="DL33" i="8" a="1"/>
  <c r="DL33" i="8" s="1"/>
  <c r="BU33" i="8" a="1"/>
  <c r="BU33" i="8" s="1"/>
  <c r="BT33" i="8" a="1"/>
  <c r="BT33" i="8" s="1"/>
  <c r="BS33" i="8" a="1"/>
  <c r="BS33" i="8" s="1"/>
  <c r="BR33" i="8" a="1"/>
  <c r="BR33" i="8" s="1"/>
  <c r="BQ33" i="8" a="1"/>
  <c r="BQ33" i="8" s="1"/>
  <c r="BP33" i="8" a="1"/>
  <c r="BP33" i="8" s="1"/>
  <c r="DQ32" i="8" a="1"/>
  <c r="DQ32" i="8" s="1"/>
  <c r="DP32" i="8" a="1"/>
  <c r="DP32" i="8" s="1"/>
  <c r="DO32" i="8" a="1"/>
  <c r="DO32" i="8" s="1"/>
  <c r="DN32" i="8" a="1"/>
  <c r="DN32" i="8" s="1"/>
  <c r="DM32" i="8" a="1"/>
  <c r="DM32" i="8" s="1"/>
  <c r="DL32" i="8" a="1"/>
  <c r="DL32" i="8" s="1"/>
  <c r="BU32" i="8" a="1"/>
  <c r="BU32" i="8" s="1"/>
  <c r="BT32" i="8" a="1"/>
  <c r="BT32" i="8" s="1"/>
  <c r="BS32" i="8" a="1"/>
  <c r="BS32" i="8" s="1"/>
  <c r="BR32" i="8" a="1"/>
  <c r="BR32" i="8" s="1"/>
  <c r="BQ32" i="8" a="1"/>
  <c r="BQ32" i="8" s="1"/>
  <c r="BP32" i="8" a="1"/>
  <c r="BP32" i="8" s="1"/>
  <c r="DQ31" i="8" a="1"/>
  <c r="DQ31" i="8" s="1"/>
  <c r="DP31" i="8" a="1"/>
  <c r="DP31" i="8" s="1"/>
  <c r="DO31" i="8" a="1"/>
  <c r="DO31" i="8" s="1"/>
  <c r="DN31" i="8" a="1"/>
  <c r="DN31" i="8" s="1"/>
  <c r="DM31" i="8" a="1"/>
  <c r="DM31" i="8" s="1"/>
  <c r="DL31" i="8" a="1"/>
  <c r="DL31" i="8" s="1"/>
  <c r="BU31" i="8" a="1"/>
  <c r="BU31" i="8" s="1"/>
  <c r="BT31" i="8" a="1"/>
  <c r="BT31" i="8" s="1"/>
  <c r="BS31" i="8" a="1"/>
  <c r="BS31" i="8" s="1"/>
  <c r="BR31" i="8" a="1"/>
  <c r="BR31" i="8" s="1"/>
  <c r="BQ31" i="8" a="1"/>
  <c r="BQ31" i="8" s="1"/>
  <c r="BP31" i="8" a="1"/>
  <c r="BP31" i="8" s="1"/>
  <c r="DQ30" i="8" a="1"/>
  <c r="DQ30" i="8" s="1"/>
  <c r="DP30" i="8" a="1"/>
  <c r="DP30" i="8" s="1"/>
  <c r="DO30" i="8" a="1"/>
  <c r="DO30" i="8" s="1"/>
  <c r="DN30" i="8" a="1"/>
  <c r="DN30" i="8" s="1"/>
  <c r="DM30" i="8" a="1"/>
  <c r="DM30" i="8" s="1"/>
  <c r="DL30" i="8" a="1"/>
  <c r="DL30" i="8" s="1"/>
  <c r="BU30" i="8" a="1"/>
  <c r="BU30" i="8" s="1"/>
  <c r="BT30" i="8" a="1"/>
  <c r="BT30" i="8" s="1"/>
  <c r="BS30" i="8" a="1"/>
  <c r="BS30" i="8" s="1"/>
  <c r="BR30" i="8" a="1"/>
  <c r="BR30" i="8" s="1"/>
  <c r="BQ30" i="8" a="1"/>
  <c r="BQ30" i="8" s="1"/>
  <c r="BP30" i="8" a="1"/>
  <c r="BP30" i="8" s="1"/>
  <c r="DQ29" i="8" a="1"/>
  <c r="DQ29" i="8" s="1"/>
  <c r="DP29" i="8" a="1"/>
  <c r="DP29" i="8" s="1"/>
  <c r="DO29" i="8" a="1"/>
  <c r="DO29" i="8" s="1"/>
  <c r="DN29" i="8" a="1"/>
  <c r="DN29" i="8" s="1"/>
  <c r="DM29" i="8" a="1"/>
  <c r="DM29" i="8" s="1"/>
  <c r="DL29" i="8" a="1"/>
  <c r="DL29" i="8" s="1"/>
  <c r="BU29" i="8" a="1"/>
  <c r="BU29" i="8" s="1"/>
  <c r="BT29" i="8" a="1"/>
  <c r="BT29" i="8" s="1"/>
  <c r="BS29" i="8" a="1"/>
  <c r="BS29" i="8" s="1"/>
  <c r="BR29" i="8" a="1"/>
  <c r="BR29" i="8" s="1"/>
  <c r="BQ29" i="8" a="1"/>
  <c r="BQ29" i="8" s="1"/>
  <c r="BP29" i="8" a="1"/>
  <c r="BP29" i="8" s="1"/>
  <c r="DQ28" i="8" a="1"/>
  <c r="DQ28" i="8" s="1"/>
  <c r="DP28" i="8" a="1"/>
  <c r="DP28" i="8" s="1"/>
  <c r="DO28" i="8" a="1"/>
  <c r="DO28" i="8" s="1"/>
  <c r="DN28" i="8" a="1"/>
  <c r="DN28" i="8" s="1"/>
  <c r="DM28" i="8" a="1"/>
  <c r="DM28" i="8" s="1"/>
  <c r="DL28" i="8" a="1"/>
  <c r="DL28" i="8" s="1"/>
  <c r="I3" i="8"/>
  <c r="G3" i="8"/>
  <c r="J2" i="8"/>
  <c r="D2" i="8" l="1" a="1"/>
  <c r="D2" i="8" s="1"/>
  <c r="AC10" i="8"/>
  <c r="T10" i="8"/>
  <c r="K10" i="8"/>
  <c r="AZ2" i="8" a="1"/>
  <c r="AZ2" i="8" s="1"/>
  <c r="BH2" i="8" s="1" a="1"/>
  <c r="BH2" i="8" s="1"/>
  <c r="G12" i="8" l="1" a="1"/>
  <c r="G12" i="8" s="1"/>
  <c r="DC2" i="8" l="1" a="1"/>
  <c r="DC2" i="8" s="1"/>
  <c r="DI2" i="8" a="1"/>
  <c r="DI2" i="8" s="1"/>
  <c r="DD2" i="8" a="1"/>
  <c r="DD2" i="8" s="1"/>
  <c r="BI2" i="8" a="1"/>
  <c r="BI2" i="8" s="1"/>
  <c r="BA2" i="8" s="1" a="1"/>
  <c r="BA2" i="8" s="1"/>
  <c r="DA2" i="8" a="1"/>
  <c r="DA2" i="8" s="1"/>
  <c r="DB2" i="8" a="1"/>
  <c r="DB2" i="8" s="1"/>
  <c r="CZ2" i="8" a="1"/>
  <c r="CZ2" i="8" s="1"/>
  <c r="DH2" i="8" a="1"/>
  <c r="DH2" i="8" s="1"/>
  <c r="CW2" i="8" a="1"/>
  <c r="CW2" i="8" s="1"/>
  <c r="CV2" i="8" a="1"/>
  <c r="CV2" i="8" s="1"/>
  <c r="CS2" i="8" a="1"/>
  <c r="CS2" i="8" s="1"/>
  <c r="CX2" i="8" a="1"/>
  <c r="CX2" i="8" s="1"/>
  <c r="BO2" i="8" a="1"/>
  <c r="DQ17" i="8" s="1" a="1"/>
  <c r="DQ17" i="8" s="1"/>
  <c r="CU2" i="8" a="1"/>
  <c r="CU2" i="8" s="1"/>
  <c r="BJ2" i="8" a="1"/>
  <c r="CY2" i="8" a="1"/>
  <c r="CY2" i="8" s="1"/>
  <c r="BL2" i="8" a="1"/>
  <c r="CT2" i="8" a="1"/>
  <c r="CT2" i="8" s="1"/>
  <c r="CO2" i="8" a="1"/>
  <c r="CO2" i="8" s="1"/>
  <c r="DE2" i="8" a="1"/>
  <c r="DE2" i="8" s="1"/>
  <c r="F12" i="8" a="1"/>
  <c r="F12" i="8" s="1"/>
  <c r="CG2" i="8" a="1"/>
  <c r="CG2" i="8" s="1"/>
  <c r="BK2" i="8" a="1"/>
  <c r="CB2" i="8" a="1"/>
  <c r="CB2" i="8" s="1"/>
  <c r="BN2" i="8" a="1"/>
  <c r="DP23" i="8" s="1" a="1"/>
  <c r="DP23" i="8" s="1"/>
  <c r="DJ2" i="8" a="1"/>
  <c r="DJ2" i="8" s="1"/>
  <c r="DG2" i="8" a="1"/>
  <c r="DG2" i="8" s="1"/>
  <c r="CR2" i="8" a="1"/>
  <c r="CR2" i="8" s="1"/>
  <c r="BM2" i="8" a="1"/>
  <c r="DK2" i="8" a="1"/>
  <c r="DK2" i="8" s="1"/>
  <c r="DF2" i="8" a="1"/>
  <c r="DF2" i="8" s="1"/>
  <c r="CM2" i="8" a="1"/>
  <c r="CM2" i="8" s="1"/>
  <c r="CQ2" i="8" a="1"/>
  <c r="CQ2" i="8" s="1"/>
  <c r="CN2" i="8" a="1"/>
  <c r="CN2" i="8" s="1"/>
  <c r="CH2" i="8" a="1"/>
  <c r="CH2" i="8" s="1"/>
  <c r="CE2" i="8" a="1"/>
  <c r="CE2" i="8" s="1"/>
  <c r="CJ2" i="8" a="1"/>
  <c r="CJ2" i="8" s="1"/>
  <c r="CL2" i="8" a="1"/>
  <c r="CL2" i="8" s="1"/>
  <c r="CI2" i="8" a="1"/>
  <c r="CI2" i="8" s="1"/>
  <c r="CK2" i="8" a="1"/>
  <c r="CK2" i="8" s="1"/>
  <c r="CD2" i="8" a="1"/>
  <c r="CD2" i="8" s="1"/>
  <c r="CF2" i="8" a="1"/>
  <c r="CF2" i="8" s="1"/>
  <c r="CP2" i="8" a="1"/>
  <c r="CP2" i="8" s="1"/>
  <c r="BZ2" i="8" a="1"/>
  <c r="BZ2" i="8" s="1"/>
  <c r="CC2" i="8" a="1"/>
  <c r="CC2" i="8" s="1"/>
  <c r="CA2" i="8" a="1"/>
  <c r="CA2" i="8" s="1"/>
  <c r="BY2" i="8" a="1"/>
  <c r="BY2" i="8" s="1"/>
  <c r="BX2" i="8" a="1"/>
  <c r="BX2" i="8" s="1"/>
  <c r="BV2" i="8" a="1"/>
  <c r="BV2" i="8" s="1"/>
  <c r="BW2" i="8" a="1"/>
  <c r="BW2" i="8" s="1"/>
  <c r="DN27" i="8" a="1"/>
  <c r="DN27" i="8" s="1"/>
  <c r="DM27" i="8" a="1"/>
  <c r="DM27" i="8" s="1"/>
  <c r="DQ27" i="8" a="1"/>
  <c r="DQ27" i="8" s="1"/>
  <c r="DL27" i="8" a="1"/>
  <c r="DL27" i="8" s="1"/>
  <c r="DP27" i="8" a="1"/>
  <c r="DP27" i="8" s="1"/>
  <c r="DO27" i="8" a="1"/>
  <c r="DO27" i="8" s="1"/>
  <c r="DP25" i="8" l="1" a="1"/>
  <c r="DP25" i="8" s="1"/>
  <c r="DQ12" i="8" a="1"/>
  <c r="DQ12" i="8" s="1"/>
  <c r="DQ16" i="8" a="1"/>
  <c r="DQ16" i="8" s="1"/>
  <c r="DQ19" i="8" a="1"/>
  <c r="DQ19" i="8" s="1"/>
  <c r="DQ21" i="8" a="1"/>
  <c r="DQ21" i="8" s="1"/>
  <c r="EC11" i="8" a="1"/>
  <c r="EC11" i="8" s="1"/>
  <c r="DQ14" i="8" a="1"/>
  <c r="DQ14" i="8" s="1"/>
  <c r="DQ20" i="8" a="1"/>
  <c r="DQ20" i="8" s="1"/>
  <c r="DQ22" i="8" a="1"/>
  <c r="DQ22" i="8" s="1"/>
  <c r="DP16" i="8" a="1"/>
  <c r="DP16" i="8" s="1"/>
  <c r="DQ23" i="8" a="1"/>
  <c r="DQ23" i="8" s="1"/>
  <c r="DP20" i="8" a="1"/>
  <c r="DP20" i="8" s="1"/>
  <c r="DP26" i="8" a="1"/>
  <c r="DP26" i="8" s="1"/>
  <c r="EB11" i="8" a="1"/>
  <c r="EB11" i="8" s="1"/>
  <c r="DQ26" i="8" a="1"/>
  <c r="DQ26" i="8" s="1"/>
  <c r="DP18" i="8" a="1"/>
  <c r="DP18" i="8" s="1"/>
  <c r="DP24" i="8" a="1"/>
  <c r="DP24" i="8" s="1"/>
  <c r="DP13" i="8" a="1"/>
  <c r="DP13" i="8" s="1"/>
  <c r="DQ15" i="8" a="1"/>
  <c r="DQ15" i="8" s="1"/>
  <c r="DP22" i="8" a="1"/>
  <c r="DP22" i="8" s="1"/>
  <c r="DP11" i="8" a="1"/>
  <c r="DP11" i="8" s="1"/>
  <c r="DP15" i="8" a="1"/>
  <c r="DP15" i="8" s="1"/>
  <c r="DP17" i="8" a="1"/>
  <c r="DP17" i="8" s="1"/>
  <c r="DQ18" i="8" a="1"/>
  <c r="DQ18" i="8" s="1"/>
  <c r="DP19" i="8" a="1"/>
  <c r="DP19" i="8" s="1"/>
  <c r="DQ11" i="8" a="1"/>
  <c r="DQ11" i="8" s="1"/>
  <c r="DQ24" i="8" a="1"/>
  <c r="DQ24" i="8" s="1"/>
  <c r="DP21" i="8" a="1"/>
  <c r="DP21" i="8" s="1"/>
  <c r="DQ13" i="8" a="1"/>
  <c r="DQ13" i="8" s="1"/>
  <c r="DP12" i="8" a="1"/>
  <c r="DP12" i="8" s="1"/>
  <c r="DQ25" i="8" a="1"/>
  <c r="DQ25" i="8" s="1"/>
  <c r="DP14" i="8" a="1"/>
  <c r="DP14" i="8" s="1"/>
  <c r="BJ2" i="8"/>
  <c r="DX12" i="8" a="1"/>
  <c r="DX12" i="8" s="1"/>
  <c r="DX14" i="8" a="1"/>
  <c r="DX14" i="8" s="1"/>
  <c r="DX16" i="8" a="1"/>
  <c r="DX16" i="8" s="1"/>
  <c r="DX18" i="8" a="1"/>
  <c r="DX18" i="8" s="1"/>
  <c r="DX20" i="8" a="1"/>
  <c r="DX20" i="8" s="1"/>
  <c r="DX22" i="8" a="1"/>
  <c r="DX22" i="8" s="1"/>
  <c r="DX24" i="8" a="1"/>
  <c r="DX24" i="8" s="1"/>
  <c r="DX26" i="8" a="1"/>
  <c r="DX26" i="8" s="1"/>
  <c r="DX13" i="8" a="1"/>
  <c r="DX13" i="8" s="1"/>
  <c r="DX15" i="8" a="1"/>
  <c r="DX15" i="8" s="1"/>
  <c r="DX17" i="8" a="1"/>
  <c r="DX17" i="8" s="1"/>
  <c r="DX19" i="8" a="1"/>
  <c r="DX19" i="8" s="1"/>
  <c r="DX21" i="8" a="1"/>
  <c r="DX21" i="8" s="1"/>
  <c r="DX23" i="8" a="1"/>
  <c r="DX23" i="8" s="1"/>
  <c r="DX25" i="8" a="1"/>
  <c r="DX25" i="8" s="1"/>
  <c r="BK2" i="8"/>
  <c r="DY12" i="8" a="1"/>
  <c r="DY12" i="8" s="1"/>
  <c r="DY14" i="8" a="1"/>
  <c r="DY14" i="8" s="1"/>
  <c r="DY16" i="8" a="1"/>
  <c r="DY16" i="8" s="1"/>
  <c r="DY18" i="8" a="1"/>
  <c r="DY18" i="8" s="1"/>
  <c r="DY20" i="8" a="1"/>
  <c r="DY20" i="8" s="1"/>
  <c r="DY22" i="8" a="1"/>
  <c r="DY22" i="8" s="1"/>
  <c r="DY24" i="8" a="1"/>
  <c r="DY24" i="8" s="1"/>
  <c r="DY26" i="8" a="1"/>
  <c r="DY26" i="8" s="1"/>
  <c r="DY13" i="8" a="1"/>
  <c r="DY13" i="8" s="1"/>
  <c r="DY15" i="8" a="1"/>
  <c r="DY15" i="8" s="1"/>
  <c r="DY17" i="8" a="1"/>
  <c r="DY17" i="8" s="1"/>
  <c r="DY19" i="8" a="1"/>
  <c r="DY19" i="8" s="1"/>
  <c r="DY21" i="8" a="1"/>
  <c r="DY21" i="8" s="1"/>
  <c r="DY23" i="8" a="1"/>
  <c r="DY23" i="8" s="1"/>
  <c r="DY25" i="8" a="1"/>
  <c r="DY25" i="8" s="1"/>
  <c r="BL2" i="8"/>
  <c r="DZ12" i="8" a="1"/>
  <c r="DZ12" i="8" s="1"/>
  <c r="DZ14" i="8" a="1"/>
  <c r="DZ14" i="8" s="1"/>
  <c r="DZ16" i="8" a="1"/>
  <c r="DZ16" i="8" s="1"/>
  <c r="DZ18" i="8" a="1"/>
  <c r="DZ18" i="8" s="1"/>
  <c r="DZ20" i="8" a="1"/>
  <c r="DZ20" i="8" s="1"/>
  <c r="DZ22" i="8" a="1"/>
  <c r="DZ22" i="8" s="1"/>
  <c r="DZ24" i="8" a="1"/>
  <c r="DZ24" i="8" s="1"/>
  <c r="DZ26" i="8" a="1"/>
  <c r="DZ26" i="8" s="1"/>
  <c r="DZ15" i="8" a="1"/>
  <c r="DZ15" i="8" s="1"/>
  <c r="DZ17" i="8" a="1"/>
  <c r="DZ17" i="8" s="1"/>
  <c r="DZ19" i="8" a="1"/>
  <c r="DZ19" i="8" s="1"/>
  <c r="DZ21" i="8" a="1"/>
  <c r="DZ21" i="8" s="1"/>
  <c r="DZ23" i="8" a="1"/>
  <c r="DZ23" i="8" s="1"/>
  <c r="DZ25" i="8" a="1"/>
  <c r="DZ25" i="8" s="1"/>
  <c r="DZ13" i="8" a="1"/>
  <c r="DZ13" i="8" s="1"/>
  <c r="BM2" i="8"/>
  <c r="EA12" i="8" a="1"/>
  <c r="EA12" i="8" s="1"/>
  <c r="EA14" i="8" a="1"/>
  <c r="EA14" i="8" s="1"/>
  <c r="EA16" i="8" a="1"/>
  <c r="EA16" i="8" s="1"/>
  <c r="EA18" i="8" a="1"/>
  <c r="EA18" i="8" s="1"/>
  <c r="EA20" i="8" a="1"/>
  <c r="EA20" i="8" s="1"/>
  <c r="EA22" i="8" a="1"/>
  <c r="EA22" i="8" s="1"/>
  <c r="EA24" i="8" a="1"/>
  <c r="EA24" i="8" s="1"/>
  <c r="EA26" i="8" a="1"/>
  <c r="EA26" i="8" s="1"/>
  <c r="EA13" i="8" a="1"/>
  <c r="EA13" i="8" s="1"/>
  <c r="EA15" i="8" a="1"/>
  <c r="EA15" i="8" s="1"/>
  <c r="EA17" i="8" a="1"/>
  <c r="EA17" i="8" s="1"/>
  <c r="EA19" i="8" a="1"/>
  <c r="EA19" i="8" s="1"/>
  <c r="EA21" i="8" a="1"/>
  <c r="EA21" i="8" s="1"/>
  <c r="EA23" i="8" a="1"/>
  <c r="EA23" i="8" s="1"/>
  <c r="EA25" i="8" a="1"/>
  <c r="EA25" i="8" s="1"/>
  <c r="BN2" i="8"/>
  <c r="EB12" i="8" a="1"/>
  <c r="EB12" i="8" s="1"/>
  <c r="EB14" i="8" a="1"/>
  <c r="EB14" i="8" s="1"/>
  <c r="EB16" i="8" a="1"/>
  <c r="EB16" i="8" s="1"/>
  <c r="EB18" i="8" a="1"/>
  <c r="EB18" i="8" s="1"/>
  <c r="EB20" i="8" a="1"/>
  <c r="EB20" i="8" s="1"/>
  <c r="EB22" i="8" a="1"/>
  <c r="EB22" i="8" s="1"/>
  <c r="EB24" i="8" a="1"/>
  <c r="EB24" i="8" s="1"/>
  <c r="EB26" i="8" a="1"/>
  <c r="EB26" i="8" s="1"/>
  <c r="EB13" i="8" a="1"/>
  <c r="EB13" i="8" s="1"/>
  <c r="EB15" i="8" a="1"/>
  <c r="EB15" i="8" s="1"/>
  <c r="EB17" i="8" a="1"/>
  <c r="EB17" i="8" s="1"/>
  <c r="EB19" i="8" a="1"/>
  <c r="EB19" i="8" s="1"/>
  <c r="EB21" i="8" a="1"/>
  <c r="EB21" i="8" s="1"/>
  <c r="EB23" i="8" a="1"/>
  <c r="EB23" i="8" s="1"/>
  <c r="EB25" i="8" a="1"/>
  <c r="EB25" i="8" s="1"/>
  <c r="BO2" i="8"/>
  <c r="EC12" i="8" a="1"/>
  <c r="EC12" i="8" s="1"/>
  <c r="EC14" i="8" a="1"/>
  <c r="EC14" i="8" s="1"/>
  <c r="EC16" i="8" a="1"/>
  <c r="EC16" i="8" s="1"/>
  <c r="EC18" i="8" a="1"/>
  <c r="EC18" i="8" s="1"/>
  <c r="EC20" i="8" a="1"/>
  <c r="EC20" i="8" s="1"/>
  <c r="EC22" i="8" a="1"/>
  <c r="EC22" i="8" s="1"/>
  <c r="EC24" i="8" a="1"/>
  <c r="EC24" i="8" s="1"/>
  <c r="EC26" i="8" a="1"/>
  <c r="EC26" i="8" s="1"/>
  <c r="EC13" i="8" a="1"/>
  <c r="EC13" i="8" s="1"/>
  <c r="EC15" i="8" a="1"/>
  <c r="EC15" i="8" s="1"/>
  <c r="EC17" i="8" a="1"/>
  <c r="EC17" i="8" s="1"/>
  <c r="EC19" i="8" a="1"/>
  <c r="EC19" i="8" s="1"/>
  <c r="EC21" i="8" a="1"/>
  <c r="EC21" i="8" s="1"/>
  <c r="EC23" i="8" a="1"/>
  <c r="EC23" i="8" s="1"/>
  <c r="EC25" i="8" a="1"/>
  <c r="EC25" i="8" s="1"/>
  <c r="DZ11" i="8" a="1"/>
  <c r="DZ11" i="8" s="1"/>
  <c r="DO25" i="8" a="1"/>
  <c r="DO25" i="8" s="1"/>
  <c r="DL17" i="8" a="1"/>
  <c r="DL17" i="8" s="1"/>
  <c r="DO21" i="8" a="1"/>
  <c r="DO21" i="8" s="1"/>
  <c r="DN16" i="8" a="1"/>
  <c r="DN16" i="8" s="1"/>
  <c r="DM20" i="8" a="1"/>
  <c r="DM20" i="8" s="1"/>
  <c r="DO26" i="8" a="1"/>
  <c r="DO26" i="8" s="1"/>
  <c r="DL15" i="8" a="1"/>
  <c r="DL15" i="8" s="1"/>
  <c r="DO19" i="8" a="1"/>
  <c r="DO19" i="8" s="1"/>
  <c r="DN14" i="8" a="1"/>
  <c r="DN14" i="8" s="1"/>
  <c r="DM18" i="8" a="1"/>
  <c r="DM18" i="8" s="1"/>
  <c r="DM12" i="8" a="1"/>
  <c r="DM12" i="8" s="1"/>
  <c r="DL24" i="8" a="1"/>
  <c r="DL24" i="8" s="1"/>
  <c r="DL13" i="8" a="1"/>
  <c r="DL13" i="8" s="1"/>
  <c r="DO17" i="8" a="1"/>
  <c r="DO17" i="8" s="1"/>
  <c r="DN12" i="8" a="1"/>
  <c r="DN12" i="8" s="1"/>
  <c r="DM16" i="8" a="1"/>
  <c r="DM16" i="8" s="1"/>
  <c r="DL22" i="8" a="1"/>
  <c r="DL22" i="8" s="1"/>
  <c r="DL11" i="8" a="1"/>
  <c r="DL11" i="8" s="1"/>
  <c r="DO15" i="8" a="1"/>
  <c r="DO15" i="8" s="1"/>
  <c r="DN23" i="8" a="1"/>
  <c r="DN23" i="8" s="1"/>
  <c r="DM14" i="8" a="1"/>
  <c r="DM14" i="8" s="1"/>
  <c r="DN25" i="8" a="1"/>
  <c r="DN25" i="8" s="1"/>
  <c r="DL20" i="8" a="1"/>
  <c r="DL20" i="8" s="1"/>
  <c r="DO24" i="8" a="1"/>
  <c r="DO24" i="8" s="1"/>
  <c r="DO13" i="8" a="1"/>
  <c r="DO13" i="8" s="1"/>
  <c r="DN21" i="8" a="1"/>
  <c r="DN21" i="8" s="1"/>
  <c r="DM23" i="8" a="1"/>
  <c r="DM23" i="8" s="1"/>
  <c r="DN26" i="8" a="1"/>
  <c r="DN26" i="8" s="1"/>
  <c r="DL18" i="8" a="1"/>
  <c r="DL18" i="8" s="1"/>
  <c r="DO22" i="8" a="1"/>
  <c r="DO22" i="8" s="1"/>
  <c r="DO11" i="8" a="1"/>
  <c r="DO11" i="8" s="1"/>
  <c r="DN19" i="8" a="1"/>
  <c r="DN19" i="8" s="1"/>
  <c r="DM13" i="8" a="1"/>
  <c r="DM13" i="8" s="1"/>
  <c r="DM25" i="8" a="1"/>
  <c r="DM25" i="8" s="1"/>
  <c r="DL16" i="8" a="1"/>
  <c r="DL16" i="8" s="1"/>
  <c r="DO20" i="8" a="1"/>
  <c r="DO20" i="8" s="1"/>
  <c r="DN17" i="8" a="1"/>
  <c r="DN17" i="8" s="1"/>
  <c r="DM21" i="8" a="1"/>
  <c r="DM21" i="8" s="1"/>
  <c r="DM26" i="8" a="1"/>
  <c r="DM26" i="8" s="1"/>
  <c r="DL14" i="8" a="1"/>
  <c r="DL14" i="8" s="1"/>
  <c r="DO18" i="8" a="1"/>
  <c r="DO18" i="8" s="1"/>
  <c r="DN15" i="8" a="1"/>
  <c r="DN15" i="8" s="1"/>
  <c r="DM19" i="8" a="1"/>
  <c r="DM19" i="8" s="1"/>
  <c r="DM17" i="8" a="1"/>
  <c r="DM17" i="8" s="1"/>
  <c r="DY11" i="8" a="1"/>
  <c r="DY11" i="8" s="1"/>
  <c r="DL12" i="8" a="1"/>
  <c r="DL12" i="8" s="1"/>
  <c r="DO16" i="8" a="1"/>
  <c r="DO16" i="8" s="1"/>
  <c r="DN24" i="8" a="1"/>
  <c r="DN24" i="8" s="1"/>
  <c r="DN13" i="8" a="1"/>
  <c r="DN13" i="8" s="1"/>
  <c r="DM15" i="8" a="1"/>
  <c r="DM15" i="8" s="1"/>
  <c r="DX11" i="8" a="1"/>
  <c r="DX11" i="8" s="1"/>
  <c r="DL23" i="8" a="1"/>
  <c r="DL23" i="8" s="1"/>
  <c r="DO14" i="8" a="1"/>
  <c r="DO14" i="8" s="1"/>
  <c r="DN22" i="8" a="1"/>
  <c r="DN22" i="8" s="1"/>
  <c r="DN11" i="8" a="1"/>
  <c r="DN11" i="8" s="1"/>
  <c r="EA11" i="8" a="1"/>
  <c r="EA11" i="8" s="1"/>
  <c r="DL25" i="8" a="1"/>
  <c r="DL25" i="8" s="1"/>
  <c r="DL21" i="8" a="1"/>
  <c r="DL21" i="8" s="1"/>
  <c r="DO12" i="8" a="1"/>
  <c r="DO12" i="8" s="1"/>
  <c r="DN20" i="8" a="1"/>
  <c r="DN20" i="8" s="1"/>
  <c r="DM24" i="8" a="1"/>
  <c r="DM24" i="8" s="1"/>
  <c r="DL26" i="8" a="1"/>
  <c r="DL26" i="8" s="1"/>
  <c r="DL19" i="8" a="1"/>
  <c r="DL19" i="8" s="1"/>
  <c r="DO23" i="8" a="1"/>
  <c r="DO23" i="8" s="1"/>
  <c r="DN18" i="8" a="1"/>
  <c r="DN18" i="8" s="1"/>
  <c r="DM22" i="8" a="1"/>
  <c r="DM22" i="8" s="1"/>
  <c r="DM11" i="8" a="1"/>
  <c r="DM11" i="8" s="1"/>
  <c r="AW2" i="8" a="1"/>
  <c r="AW2" i="8" s="1"/>
  <c r="P22" i="8" a="1"/>
  <c r="P22" i="8" s="1"/>
  <c r="N33" i="8" a="1"/>
  <c r="N33" i="8" s="1"/>
  <c r="R28" i="8" a="1"/>
  <c r="R28" i="8" s="1"/>
  <c r="AD33" i="8" a="1"/>
  <c r="AD33" i="8" s="1"/>
  <c r="N26" i="8" a="1"/>
  <c r="N26" i="8" s="1"/>
  <c r="L36" i="8" a="1"/>
  <c r="L36" i="8" s="1"/>
  <c r="N28" i="8" a="1"/>
  <c r="N28" i="8" s="1"/>
  <c r="AA23" i="8" a="1"/>
  <c r="AA23" i="8" s="1"/>
  <c r="U21" i="8" a="1"/>
  <c r="U21" i="8" s="1"/>
  <c r="L17" i="8" a="1"/>
  <c r="L17" i="8" s="1"/>
  <c r="P13" i="8" a="1"/>
  <c r="P13" i="8" s="1"/>
  <c r="R19" i="8" a="1"/>
  <c r="R19" i="8" s="1"/>
  <c r="R21" i="8" a="1"/>
  <c r="R21" i="8" s="1"/>
  <c r="AD14" i="8" a="1"/>
  <c r="AD14" i="8" s="1"/>
  <c r="AJ20" i="8" a="1"/>
  <c r="AJ20" i="8" s="1"/>
  <c r="Y20" i="8" a="1"/>
  <c r="Y20" i="8" s="1"/>
  <c r="AH23" i="8" a="1"/>
  <c r="AH23" i="8" s="1"/>
  <c r="AQ32" i="8" a="1"/>
  <c r="AQ32" i="8" s="1"/>
  <c r="Y23" i="8" a="1"/>
  <c r="Y23" i="8" s="1"/>
  <c r="AF29" i="8" a="1"/>
  <c r="AF29" i="8" s="1"/>
  <c r="AJ25" i="8" a="1"/>
  <c r="AJ25" i="8" s="1"/>
  <c r="AJ31" i="8" a="1"/>
  <c r="AJ31" i="8" s="1"/>
  <c r="AJ16" i="8" a="1"/>
  <c r="AJ16" i="8" s="1"/>
  <c r="W17" i="8" a="1"/>
  <c r="W17" i="8" s="1"/>
  <c r="W13" i="8" a="1"/>
  <c r="W13" i="8" s="1"/>
  <c r="AS19" i="8" a="1"/>
  <c r="AS19" i="8" s="1"/>
  <c r="AQ14" i="8" a="1"/>
  <c r="AQ14" i="8" s="1"/>
  <c r="P34" i="8" a="1"/>
  <c r="P34" i="8" s="1"/>
  <c r="P23" i="8" a="1"/>
  <c r="P23" i="8" s="1"/>
  <c r="L30" i="8" a="1"/>
  <c r="L30" i="8" s="1"/>
  <c r="P25" i="8" a="1"/>
  <c r="P25" i="8" s="1"/>
  <c r="N23" i="8" a="1"/>
  <c r="N23" i="8" s="1"/>
  <c r="R30" i="8" a="1"/>
  <c r="R30" i="8" s="1"/>
  <c r="L22" i="8" a="1"/>
  <c r="L22" i="8" s="1"/>
  <c r="L25" i="8" a="1"/>
  <c r="L25" i="8" s="1"/>
  <c r="U31" i="8" a="1"/>
  <c r="U31" i="8" s="1"/>
  <c r="AA29" i="8" a="1"/>
  <c r="AA29" i="8" s="1"/>
  <c r="AM18" i="8" a="1"/>
  <c r="AM18" i="8" s="1"/>
  <c r="L21" i="8" a="1"/>
  <c r="L21" i="8" s="1"/>
  <c r="L19" i="8" a="1"/>
  <c r="L19" i="8" s="1"/>
  <c r="P16" i="8" a="1"/>
  <c r="P16" i="8" s="1"/>
  <c r="P18" i="8" a="1"/>
  <c r="P18" i="8" s="1"/>
  <c r="P20" i="8" a="1"/>
  <c r="P20" i="8" s="1"/>
  <c r="Y22" i="8" a="1"/>
  <c r="Y22" i="8" s="1"/>
  <c r="AS20" i="8" a="1"/>
  <c r="AS20" i="8" s="1"/>
  <c r="AH21" i="8" a="1"/>
  <c r="AH21" i="8" s="1"/>
  <c r="AH29" i="8" a="1"/>
  <c r="AH29" i="8" s="1"/>
  <c r="AS31" i="8" a="1"/>
  <c r="AS31" i="8" s="1"/>
  <c r="AO30" i="8" a="1"/>
  <c r="AO30" i="8" s="1"/>
  <c r="AQ23" i="8" a="1"/>
  <c r="AQ23" i="8" s="1"/>
  <c r="AO23" i="8" a="1"/>
  <c r="AO23" i="8" s="1"/>
  <c r="Y36" i="8" a="1"/>
  <c r="Y36" i="8" s="1"/>
  <c r="AF22" i="8" a="1"/>
  <c r="AF22" i="8" s="1"/>
  <c r="AH22" i="8" a="1"/>
  <c r="AH22" i="8" s="1"/>
  <c r="Y13" i="8" a="1"/>
  <c r="Y13" i="8" s="1"/>
  <c r="AH15" i="8" a="1"/>
  <c r="AH15" i="8" s="1"/>
  <c r="AJ18" i="8" a="1"/>
  <c r="AJ18" i="8" s="1"/>
  <c r="AQ13" i="8" a="1"/>
  <c r="AQ13" i="8" s="1"/>
  <c r="N31" i="8" a="1"/>
  <c r="N31" i="8" s="1"/>
  <c r="P35" i="8" a="1"/>
  <c r="P35" i="8" s="1"/>
  <c r="N22" i="8" a="1"/>
  <c r="N22" i="8" s="1"/>
  <c r="N35" i="8" a="1"/>
  <c r="N35" i="8" s="1"/>
  <c r="P27" i="8" a="1"/>
  <c r="P27" i="8" s="1"/>
  <c r="L34" i="8" a="1"/>
  <c r="L34" i="8" s="1"/>
  <c r="L23" i="8" a="1"/>
  <c r="L23" i="8" s="1"/>
  <c r="AA22" i="8" a="1"/>
  <c r="AA22" i="8" s="1"/>
  <c r="AM28" i="8" a="1"/>
  <c r="AM28" i="8" s="1"/>
  <c r="AA35" i="8" a="1"/>
  <c r="AA35" i="8" s="1"/>
  <c r="AD16" i="8" a="1"/>
  <c r="AD16" i="8" s="1"/>
  <c r="AA19" i="8" a="1"/>
  <c r="AA19" i="8" s="1"/>
  <c r="U13" i="8" a="1"/>
  <c r="U13" i="8" s="1"/>
  <c r="N13" i="8" a="1"/>
  <c r="N13" i="8" s="1"/>
  <c r="N15" i="8" a="1"/>
  <c r="N15" i="8" s="1"/>
  <c r="N17" i="8" a="1"/>
  <c r="N17" i="8" s="1"/>
  <c r="AH26" i="8" a="1"/>
  <c r="AH26" i="8" s="1"/>
  <c r="AH34" i="8" a="1"/>
  <c r="AH34" i="8" s="1"/>
  <c r="AH35" i="8" a="1"/>
  <c r="AH35" i="8" s="1"/>
  <c r="AJ21" i="8" a="1"/>
  <c r="AJ21" i="8" s="1"/>
  <c r="W19" i="8" a="1"/>
  <c r="W19" i="8" s="1"/>
  <c r="AQ29" i="8" a="1"/>
  <c r="AQ29" i="8" s="1"/>
  <c r="AS23" i="8" a="1"/>
  <c r="AS23" i="8" s="1"/>
  <c r="AQ35" i="8" a="1"/>
  <c r="AQ35" i="8" s="1"/>
  <c r="AO35" i="8" a="1"/>
  <c r="AO35" i="8" s="1"/>
  <c r="Y26" i="8" a="1"/>
  <c r="Y26" i="8" s="1"/>
  <c r="W25" i="8" a="1"/>
  <c r="W25" i="8" s="1"/>
  <c r="Y14" i="8" a="1"/>
  <c r="Y14" i="8" s="1"/>
  <c r="AF14" i="8" a="1"/>
  <c r="AF14" i="8" s="1"/>
  <c r="W16" i="8" a="1"/>
  <c r="W16" i="8" s="1"/>
  <c r="AS14" i="8" a="1"/>
  <c r="AS14" i="8" s="1"/>
  <c r="L28" i="8" a="1"/>
  <c r="L28" i="8" s="1"/>
  <c r="N32" i="8" a="1"/>
  <c r="N32" i="8" s="1"/>
  <c r="N34" i="8" a="1"/>
  <c r="N34" i="8" s="1"/>
  <c r="L31" i="8" a="1"/>
  <c r="L31" i="8" s="1"/>
  <c r="L32" i="8" a="1"/>
  <c r="L32" i="8" s="1"/>
  <c r="N24" i="8" a="1"/>
  <c r="N24" i="8" s="1"/>
  <c r="AA27" i="8" a="1"/>
  <c r="AA27" i="8" s="1"/>
  <c r="U29" i="8" a="1"/>
  <c r="U29" i="8" s="1"/>
  <c r="AA28" i="8" a="1"/>
  <c r="AA28" i="8" s="1"/>
  <c r="AD26" i="8" a="1"/>
  <c r="AD26" i="8" s="1"/>
  <c r="U32" i="8" a="1"/>
  <c r="U32" i="8" s="1"/>
  <c r="AD13" i="8" a="1"/>
  <c r="AD13" i="8" s="1"/>
  <c r="AM20" i="8" a="1"/>
  <c r="AM20" i="8" s="1"/>
  <c r="AD20" i="8" a="1"/>
  <c r="AD20" i="8" s="1"/>
  <c r="AA21" i="8" a="1"/>
  <c r="AA21" i="8" s="1"/>
  <c r="L13" i="8" a="1"/>
  <c r="L13" i="8" s="1"/>
  <c r="L14" i="8" a="1"/>
  <c r="L14" i="8" s="1"/>
  <c r="AF23" i="8" a="1"/>
  <c r="AF23" i="8" s="1"/>
  <c r="AJ30" i="8" a="1"/>
  <c r="AJ30" i="8" s="1"/>
  <c r="Y33" i="8" a="1"/>
  <c r="Y33" i="8" s="1"/>
  <c r="Y21" i="8" a="1"/>
  <c r="Y21" i="8" s="1"/>
  <c r="AO20" i="8" a="1"/>
  <c r="AO20" i="8" s="1"/>
  <c r="AO27" i="8" a="1"/>
  <c r="AO27" i="8" s="1"/>
  <c r="AS35" i="8" a="1"/>
  <c r="AS35" i="8" s="1"/>
  <c r="AO33" i="8" a="1"/>
  <c r="AO33" i="8" s="1"/>
  <c r="AS28" i="8" a="1"/>
  <c r="AS28" i="8" s="1"/>
  <c r="AJ28" i="8" a="1"/>
  <c r="AJ28" i="8" s="1"/>
  <c r="AF28" i="8" a="1"/>
  <c r="AF28" i="8" s="1"/>
  <c r="AJ13" i="8" a="1"/>
  <c r="AJ13" i="8" s="1"/>
  <c r="AF13" i="8" a="1"/>
  <c r="AF13" i="8" s="1"/>
  <c r="AF17" i="8" a="1"/>
  <c r="AF17" i="8" s="1"/>
  <c r="AQ17" i="8" a="1"/>
  <c r="AQ17" i="8" s="1"/>
  <c r="AO18" i="8" a="1"/>
  <c r="AO18" i="8" s="1"/>
  <c r="AA24" i="8" a="1"/>
  <c r="AA24" i="8" s="1"/>
  <c r="L33" i="8" a="1"/>
  <c r="L33" i="8" s="1"/>
  <c r="L35" i="8" a="1"/>
  <c r="L35" i="8" s="1"/>
  <c r="N36" i="8" a="1"/>
  <c r="N36" i="8" s="1"/>
  <c r="U27" i="8" a="1"/>
  <c r="U27" i="8" s="1"/>
  <c r="AA33" i="8" a="1"/>
  <c r="AA33" i="8" s="1"/>
  <c r="AM26" i="8" a="1"/>
  <c r="AM26" i="8" s="1"/>
  <c r="AA34" i="8" a="1"/>
  <c r="AA34" i="8" s="1"/>
  <c r="AM29" i="8" a="1"/>
  <c r="AM29" i="8" s="1"/>
  <c r="R13" i="8" a="1"/>
  <c r="R13" i="8" s="1"/>
  <c r="AD18" i="8" a="1"/>
  <c r="AD18" i="8" s="1"/>
  <c r="R17" i="8" a="1"/>
  <c r="R17" i="8" s="1"/>
  <c r="U16" i="8" a="1"/>
  <c r="U16" i="8" s="1"/>
  <c r="AA14" i="8" a="1"/>
  <c r="AA14" i="8" s="1"/>
  <c r="L15" i="8" a="1"/>
  <c r="L15" i="8" s="1"/>
  <c r="Y32" i="8" a="1"/>
  <c r="Y32" i="8" s="1"/>
  <c r="W31" i="8" a="1"/>
  <c r="W31" i="8" s="1"/>
  <c r="AJ33" i="8" a="1"/>
  <c r="AJ33" i="8" s="1"/>
  <c r="AF31" i="8" a="1"/>
  <c r="AF31" i="8" s="1"/>
  <c r="AS21" i="8" a="1"/>
  <c r="AS21" i="8" s="1"/>
  <c r="AH20" i="8" a="1"/>
  <c r="AH20" i="8" s="1"/>
  <c r="AS32" i="8" a="1"/>
  <c r="AS32" i="8" s="1"/>
  <c r="AQ33" i="8" a="1"/>
  <c r="AQ33" i="8" s="1"/>
  <c r="AS26" i="8" a="1"/>
  <c r="AS26" i="8" s="1"/>
  <c r="AQ26" i="8" a="1"/>
  <c r="AQ26" i="8" s="1"/>
  <c r="Y25" i="8" a="1"/>
  <c r="Y25" i="8" s="1"/>
  <c r="AH33" i="8" a="1"/>
  <c r="AH33" i="8" s="1"/>
  <c r="AJ34" i="8" a="1"/>
  <c r="AJ34" i="8" s="1"/>
  <c r="AJ23" i="8" a="1"/>
  <c r="AJ23" i="8" s="1"/>
  <c r="AH13" i="8" a="1"/>
  <c r="AH13" i="8" s="1"/>
  <c r="AH17" i="8" a="1"/>
  <c r="AH17" i="8" s="1"/>
  <c r="AH18" i="8" a="1"/>
  <c r="AH18" i="8" s="1"/>
  <c r="AQ19" i="8" a="1"/>
  <c r="AQ19" i="8" s="1"/>
  <c r="AH14" i="8" a="1"/>
  <c r="AH14" i="8" s="1"/>
  <c r="AQ15" i="8" a="1"/>
  <c r="AQ15" i="8" s="1"/>
  <c r="AA30" i="8" a="1"/>
  <c r="AA30" i="8" s="1"/>
  <c r="U23" i="8" a="1"/>
  <c r="U23" i="8" s="1"/>
  <c r="AA25" i="8" a="1"/>
  <c r="AA25" i="8" s="1"/>
  <c r="U25" i="8" a="1"/>
  <c r="U25" i="8" s="1"/>
  <c r="AA26" i="8" a="1"/>
  <c r="AA26" i="8" s="1"/>
  <c r="AM24" i="8" a="1"/>
  <c r="AM24" i="8" s="1"/>
  <c r="U28" i="8" a="1"/>
  <c r="U28" i="8" s="1"/>
  <c r="U30" i="8" a="1"/>
  <c r="U30" i="8" s="1"/>
  <c r="R23" i="8" a="1"/>
  <c r="R23" i="8" s="1"/>
  <c r="AD27" i="8" a="1"/>
  <c r="AD27" i="8" s="1"/>
  <c r="N19" i="8" a="1"/>
  <c r="N19" i="8" s="1"/>
  <c r="R15" i="8" a="1"/>
  <c r="R15" i="8" s="1"/>
  <c r="P14" i="8" a="1"/>
  <c r="P14" i="8" s="1"/>
  <c r="AM13" i="8" a="1"/>
  <c r="AM13" i="8" s="1"/>
  <c r="U18" i="8" a="1"/>
  <c r="U18" i="8" s="1"/>
  <c r="AA16" i="8" a="1"/>
  <c r="AA16" i="8" s="1"/>
  <c r="W28" i="8" a="1"/>
  <c r="W28" i="8" s="1"/>
  <c r="AH32" i="8" a="1"/>
  <c r="AH32" i="8" s="1"/>
  <c r="Y28" i="8" a="1"/>
  <c r="Y28" i="8" s="1"/>
  <c r="Y30" i="8" a="1"/>
  <c r="Y30" i="8" s="1"/>
  <c r="Y27" i="8" a="1"/>
  <c r="Y27" i="8" s="1"/>
  <c r="W21" i="8" a="1"/>
  <c r="W21" i="8" s="1"/>
  <c r="AF21" i="8" a="1"/>
  <c r="AF21" i="8" s="1"/>
  <c r="AS29" i="8" a="1"/>
  <c r="AS29" i="8" s="1"/>
  <c r="AQ30" i="8" a="1"/>
  <c r="AQ30" i="8" s="1"/>
  <c r="AO31" i="8" a="1"/>
  <c r="AO31" i="8" s="1"/>
  <c r="Y31" i="8" a="1"/>
  <c r="Y31" i="8" s="1"/>
  <c r="AJ35" i="8" a="1"/>
  <c r="AJ35" i="8" s="1"/>
  <c r="AH27" i="8" a="1"/>
  <c r="AH27" i="8" s="1"/>
  <c r="Y15" i="8" a="1"/>
  <c r="Y15" i="8" s="1"/>
  <c r="AF16" i="8" a="1"/>
  <c r="AF16" i="8" s="1"/>
  <c r="AQ16" i="8" a="1"/>
  <c r="AQ16" i="8" s="1"/>
  <c r="AA36" i="8" a="1"/>
  <c r="AA36" i="8" s="1"/>
  <c r="U35" i="8" a="1"/>
  <c r="U35" i="8" s="1"/>
  <c r="AA31" i="8" a="1"/>
  <c r="AA31" i="8" s="1"/>
  <c r="AA32" i="8" a="1"/>
  <c r="AA32" i="8" s="1"/>
  <c r="AM36" i="8" a="1"/>
  <c r="AM36" i="8" s="1"/>
  <c r="AM25" i="8" a="1"/>
  <c r="AM25" i="8" s="1"/>
  <c r="AD24" i="8" a="1"/>
  <c r="AD24" i="8" s="1"/>
  <c r="AM27" i="8" a="1"/>
  <c r="AM27" i="8" s="1"/>
  <c r="R35" i="8" a="1"/>
  <c r="R35" i="8" s="1"/>
  <c r="R24" i="8" a="1"/>
  <c r="R24" i="8" s="1"/>
  <c r="L16" i="8" a="1"/>
  <c r="L16" i="8" s="1"/>
  <c r="N21" i="8" a="1"/>
  <c r="N21" i="8" s="1"/>
  <c r="L20" i="8" a="1"/>
  <c r="L20" i="8" s="1"/>
  <c r="R20" i="8" a="1"/>
  <c r="R20" i="8" s="1"/>
  <c r="AM15" i="8" a="1"/>
  <c r="AM15" i="8" s="1"/>
  <c r="U20" i="8" a="1"/>
  <c r="U20" i="8" s="1"/>
  <c r="AF27" i="8" a="1"/>
  <c r="AF27" i="8" s="1"/>
  <c r="W30" i="8" a="1"/>
  <c r="W30" i="8" s="1"/>
  <c r="AF36" i="8" a="1"/>
  <c r="AF36" i="8" s="1"/>
  <c r="AF34" i="8" a="1"/>
  <c r="AF34" i="8" s="1"/>
  <c r="AQ20" i="8" a="1"/>
  <c r="AQ20" i="8" s="1"/>
  <c r="AO21" i="8" a="1"/>
  <c r="AO21" i="8" s="1"/>
  <c r="AQ27" i="8" a="1"/>
  <c r="AQ27" i="8" s="1"/>
  <c r="AO28" i="8" a="1"/>
  <c r="AO28" i="8" s="1"/>
  <c r="AS24" i="8" a="1"/>
  <c r="AS24" i="8" s="1"/>
  <c r="AQ24" i="8" a="1"/>
  <c r="AQ24" i="8" s="1"/>
  <c r="AO24" i="8" a="1"/>
  <c r="AO24" i="8" s="1"/>
  <c r="AH28" i="8" a="1"/>
  <c r="AH28" i="8" s="1"/>
  <c r="W26" i="8" a="1"/>
  <c r="W26" i="8" s="1"/>
  <c r="AH25" i="8" a="1"/>
  <c r="AH25" i="8" s="1"/>
  <c r="Y35" i="8" a="1"/>
  <c r="Y35" i="8" s="1"/>
  <c r="Y16" i="8" a="1"/>
  <c r="Y16" i="8" s="1"/>
  <c r="AF15" i="8" a="1"/>
  <c r="AF15" i="8" s="1"/>
  <c r="AS13" i="8" a="1"/>
  <c r="AS13" i="8" s="1"/>
  <c r="AQ18" i="8" a="1"/>
  <c r="AQ18" i="8" s="1"/>
  <c r="U33" i="8" a="1"/>
  <c r="U33" i="8" s="1"/>
  <c r="U22" i="8" a="1"/>
  <c r="U22" i="8" s="1"/>
  <c r="AM32" i="8" a="1"/>
  <c r="AM32" i="8" s="1"/>
  <c r="AM22" i="8" a="1"/>
  <c r="AM22" i="8" s="1"/>
  <c r="AD22" i="8" a="1"/>
  <c r="AD22" i="8" s="1"/>
  <c r="AD36" i="8" a="1"/>
  <c r="AD36" i="8" s="1"/>
  <c r="AD25" i="8" a="1"/>
  <c r="AD25" i="8" s="1"/>
  <c r="P32" i="8" a="1"/>
  <c r="P32" i="8" s="1"/>
  <c r="R36" i="8" a="1"/>
  <c r="R36" i="8" s="1"/>
  <c r="AA18" i="8" a="1"/>
  <c r="AA18" i="8" s="1"/>
  <c r="L18" i="8" a="1"/>
  <c r="L18" i="8" s="1"/>
  <c r="U14" i="8" a="1"/>
  <c r="U14" i="8" s="1"/>
  <c r="P17" i="8" a="1"/>
  <c r="P17" i="8" s="1"/>
  <c r="P19" i="8" a="1"/>
  <c r="P19" i="8" s="1"/>
  <c r="AM17" i="8" a="1"/>
  <c r="AM17" i="8" s="1"/>
  <c r="AF26" i="8" a="1"/>
  <c r="AF26" i="8" s="1"/>
  <c r="AH24" i="8" a="1"/>
  <c r="AH24" i="8" s="1"/>
  <c r="AJ24" i="8" a="1"/>
  <c r="AJ24" i="8" s="1"/>
  <c r="AJ22" i="8" a="1"/>
  <c r="AJ22" i="8" s="1"/>
  <c r="AH19" i="8" a="1"/>
  <c r="AH19" i="8" s="1"/>
  <c r="W20" i="8" a="1"/>
  <c r="W20" i="8" s="1"/>
  <c r="AO25" i="8" a="1"/>
  <c r="AO25" i="8" s="1"/>
  <c r="AS33" i="8" a="1"/>
  <c r="AS33" i="8" s="1"/>
  <c r="AS36" i="8" a="1"/>
  <c r="AS36" i="8" s="1"/>
  <c r="AQ36" i="8" a="1"/>
  <c r="AQ36" i="8" s="1"/>
  <c r="AO36" i="8" a="1"/>
  <c r="AO36" i="8" s="1"/>
  <c r="Y29" i="8" a="1"/>
  <c r="Y29" i="8" s="1"/>
  <c r="W32" i="8" a="1"/>
  <c r="W32" i="8" s="1"/>
  <c r="AF33" i="8" a="1"/>
  <c r="AF33" i="8" s="1"/>
  <c r="W14" i="8" a="1"/>
  <c r="W14" i="8" s="1"/>
  <c r="AJ17" i="8" a="1"/>
  <c r="AJ17" i="8" s="1"/>
  <c r="AM30" i="8" a="1"/>
  <c r="AM30" i="8" s="1"/>
  <c r="U34" i="8" a="1"/>
  <c r="U34" i="8" s="1"/>
  <c r="AD30" i="8" a="1"/>
  <c r="AD30" i="8" s="1"/>
  <c r="U24" i="8" a="1"/>
  <c r="U24" i="8" s="1"/>
  <c r="AM34" i="8" a="1"/>
  <c r="AM34" i="8" s="1"/>
  <c r="U26" i="8" a="1"/>
  <c r="U26" i="8" s="1"/>
  <c r="AD34" i="8" a="1"/>
  <c r="AD34" i="8" s="1"/>
  <c r="AD23" i="8" a="1"/>
  <c r="AD23" i="8" s="1"/>
  <c r="R33" i="8" a="1"/>
  <c r="R33" i="8" s="1"/>
  <c r="N29" i="8" a="1"/>
  <c r="N29" i="8" s="1"/>
  <c r="P33" i="8" a="1"/>
  <c r="P33" i="8" s="1"/>
  <c r="AM19" i="8" a="1"/>
  <c r="AM19" i="8" s="1"/>
  <c r="AA20" i="8" a="1"/>
  <c r="AA20" i="8" s="1"/>
  <c r="AD21" i="8" a="1"/>
  <c r="AD21" i="8" s="1"/>
  <c r="N14" i="8" a="1"/>
  <c r="N14" i="8" s="1"/>
  <c r="N16" i="8" a="1"/>
  <c r="N16" i="8" s="1"/>
  <c r="AD15" i="8" a="1"/>
  <c r="AD15" i="8" s="1"/>
  <c r="W24" i="8" a="1"/>
  <c r="W24" i="8" s="1"/>
  <c r="W22" i="8" a="1"/>
  <c r="W22" i="8" s="1"/>
  <c r="W35" i="8" a="1"/>
  <c r="W35" i="8" s="1"/>
  <c r="AJ27" i="8" a="1"/>
  <c r="AJ27" i="8" s="1"/>
  <c r="AF19" i="8" a="1"/>
  <c r="AF19" i="8" s="1"/>
  <c r="AQ31" i="8" a="1"/>
  <c r="AQ31" i="8" s="1"/>
  <c r="AQ22" i="8" a="1"/>
  <c r="AQ22" i="8" s="1"/>
  <c r="AO22" i="8" a="1"/>
  <c r="AO22" i="8" s="1"/>
  <c r="W33" i="8" a="1"/>
  <c r="W33" i="8" s="1"/>
  <c r="AH36" i="8" a="1"/>
  <c r="AH36" i="8" s="1"/>
  <c r="AF30" i="8" a="1"/>
  <c r="AF30" i="8" s="1"/>
  <c r="AJ36" i="8" a="1"/>
  <c r="AJ36" i="8" s="1"/>
  <c r="Y17" i="8" a="1"/>
  <c r="Y17" i="8" s="1"/>
  <c r="AF18" i="8" a="1"/>
  <c r="AF18" i="8" s="1"/>
  <c r="AD28" i="8" a="1"/>
  <c r="AD28" i="8" s="1"/>
  <c r="AM31" i="8" a="1"/>
  <c r="AM31" i="8" s="1"/>
  <c r="R27" i="8" a="1"/>
  <c r="R27" i="8" s="1"/>
  <c r="U36" i="8" a="1"/>
  <c r="U36" i="8" s="1"/>
  <c r="AD32" i="8" a="1"/>
  <c r="AD32" i="8" s="1"/>
  <c r="R31" i="8" a="1"/>
  <c r="R31" i="8" s="1"/>
  <c r="AD35" i="8" a="1"/>
  <c r="AD35" i="8" s="1"/>
  <c r="P30" i="8" a="1"/>
  <c r="P30" i="8" s="1"/>
  <c r="R22" i="8" a="1"/>
  <c r="R22" i="8" s="1"/>
  <c r="L26" i="8" a="1"/>
  <c r="L26" i="8" s="1"/>
  <c r="N30" i="8" a="1"/>
  <c r="N30" i="8" s="1"/>
  <c r="AD17" i="8" a="1"/>
  <c r="AD17" i="8" s="1"/>
  <c r="AM21" i="8" a="1"/>
  <c r="AM21" i="8" s="1"/>
  <c r="R18" i="8" a="1"/>
  <c r="R18" i="8" s="1"/>
  <c r="AA13" i="8" a="1"/>
  <c r="AA13" i="8" s="1"/>
  <c r="AA15" i="8" a="1"/>
  <c r="AA15" i="8" s="1"/>
  <c r="P21" i="8" a="1"/>
  <c r="P21" i="8" s="1"/>
  <c r="W34" i="8" a="1"/>
  <c r="W34" i="8" s="1"/>
  <c r="Y19" i="8" a="1"/>
  <c r="Y19" i="8" s="1"/>
  <c r="AS30" i="8" a="1"/>
  <c r="AS30" i="8" s="1"/>
  <c r="AO29" i="8" a="1"/>
  <c r="AO29" i="8" s="1"/>
  <c r="AQ34" i="8" a="1"/>
  <c r="AQ34" i="8" s="1"/>
  <c r="AO34" i="8" a="1"/>
  <c r="AO34" i="8" s="1"/>
  <c r="AF25" i="8" a="1"/>
  <c r="AF25" i="8" s="1"/>
  <c r="AH31" i="8" a="1"/>
  <c r="AH31" i="8" s="1"/>
  <c r="AH30" i="8" a="1"/>
  <c r="AH30" i="8" s="1"/>
  <c r="W23" i="8" a="1"/>
  <c r="W23" i="8" s="1"/>
  <c r="Y18" i="8" a="1"/>
  <c r="Y18" i="8" s="1"/>
  <c r="W15" i="8" a="1"/>
  <c r="W15" i="8" s="1"/>
  <c r="AS16" i="8" a="1"/>
  <c r="AS16" i="8" s="1"/>
  <c r="AO19" i="8" a="1"/>
  <c r="AO19" i="8" s="1"/>
  <c r="AO16" i="8" a="1"/>
  <c r="AO16" i="8" s="1"/>
  <c r="R25" i="8" a="1"/>
  <c r="R25" i="8" s="1"/>
  <c r="AD29" i="8" a="1"/>
  <c r="AD29" i="8" s="1"/>
  <c r="P24" i="8" a="1"/>
  <c r="P24" i="8" s="1"/>
  <c r="AM33" i="8" a="1"/>
  <c r="AM33" i="8" s="1"/>
  <c r="R29" i="8" a="1"/>
  <c r="R29" i="8" s="1"/>
  <c r="AM23" i="8" a="1"/>
  <c r="AM23" i="8" s="1"/>
  <c r="P28" i="8" a="1"/>
  <c r="P28" i="8" s="1"/>
  <c r="R32" i="8" a="1"/>
  <c r="R32" i="8" s="1"/>
  <c r="N27" i="8" a="1"/>
  <c r="N27" i="8" s="1"/>
  <c r="R34" i="8" a="1"/>
  <c r="R34" i="8" s="1"/>
  <c r="L29" i="8" a="1"/>
  <c r="L29" i="8" s="1"/>
  <c r="R14" i="8" a="1"/>
  <c r="R14" i="8" s="1"/>
  <c r="AD19" i="8" a="1"/>
  <c r="AD19" i="8" s="1"/>
  <c r="P15" i="8" a="1"/>
  <c r="P15" i="8" s="1"/>
  <c r="U17" i="8" a="1"/>
  <c r="U17" i="8" s="1"/>
  <c r="U19" i="8" a="1"/>
  <c r="U19" i="8" s="1"/>
  <c r="N18" i="8" a="1"/>
  <c r="N18" i="8" s="1"/>
  <c r="AQ21" i="8" a="1"/>
  <c r="AQ21" i="8" s="1"/>
  <c r="AQ28" i="8" a="1"/>
  <c r="AQ28" i="8" s="1"/>
  <c r="AS22" i="8" a="1"/>
  <c r="AS22" i="8" s="1"/>
  <c r="AO32" i="8" a="1"/>
  <c r="AO32" i="8" s="1"/>
  <c r="AS27" i="8" a="1"/>
  <c r="AS27" i="8" s="1"/>
  <c r="W29" i="8" a="1"/>
  <c r="W29" i="8" s="1"/>
  <c r="Y24" i="8" a="1"/>
  <c r="Y24" i="8" s="1"/>
  <c r="Y34" i="8" a="1"/>
  <c r="Y34" i="8" s="1"/>
  <c r="AF32" i="8" a="1"/>
  <c r="AF32" i="8" s="1"/>
  <c r="AJ26" i="8" a="1"/>
  <c r="AJ26" i="8" s="1"/>
  <c r="AJ15" i="8" a="1"/>
  <c r="AJ15" i="8" s="1"/>
  <c r="W18" i="8" a="1"/>
  <c r="W18" i="8" s="1"/>
  <c r="AS17" i="8" a="1"/>
  <c r="AS17" i="8" s="1"/>
  <c r="AO13" i="8" a="1"/>
  <c r="AO13" i="8" s="1"/>
  <c r="AO15" i="8" a="1"/>
  <c r="AO15" i="8" s="1"/>
  <c r="AS15" i="8" a="1"/>
  <c r="AS15" i="8" s="1"/>
  <c r="R26" i="8" a="1"/>
  <c r="R26" i="8" s="1"/>
  <c r="P36" i="8" a="1"/>
  <c r="P36" i="8" s="1"/>
  <c r="AD31" i="8" a="1"/>
  <c r="AD31" i="8" s="1"/>
  <c r="P26" i="8" a="1"/>
  <c r="P26" i="8" s="1"/>
  <c r="AM35" i="8" a="1"/>
  <c r="AM35" i="8" s="1"/>
  <c r="N25" i="8" a="1"/>
  <c r="N25" i="8" s="1"/>
  <c r="P29" i="8" a="1"/>
  <c r="P29" i="8" s="1"/>
  <c r="L24" i="8" a="1"/>
  <c r="L24" i="8" s="1"/>
  <c r="P31" i="8" a="1"/>
  <c r="P31" i="8" s="1"/>
  <c r="L27" i="8" a="1"/>
  <c r="L27" i="8" s="1"/>
  <c r="AA17" i="8" a="1"/>
  <c r="AA17" i="8" s="1"/>
  <c r="N20" i="8" a="1"/>
  <c r="N20" i="8" s="1"/>
  <c r="R16" i="8" a="1"/>
  <c r="R16" i="8" s="1"/>
  <c r="U15" i="8" a="1"/>
  <c r="U15" i="8" s="1"/>
  <c r="AM14" i="8" a="1"/>
  <c r="AM14" i="8" s="1"/>
  <c r="AM16" i="8" a="1"/>
  <c r="AM16" i="8" s="1"/>
  <c r="AJ32" i="8" a="1"/>
  <c r="AJ32" i="8" s="1"/>
  <c r="AJ19" i="8" a="1"/>
  <c r="AJ19" i="8" s="1"/>
  <c r="AF20" i="8" a="1"/>
  <c r="AF20" i="8" s="1"/>
  <c r="AO26" i="8" a="1"/>
  <c r="AO26" i="8" s="1"/>
  <c r="AS34" i="8" a="1"/>
  <c r="AS34" i="8" s="1"/>
  <c r="AS25" i="8" a="1"/>
  <c r="AS25" i="8" s="1"/>
  <c r="AQ25" i="8" a="1"/>
  <c r="AQ25" i="8" s="1"/>
  <c r="AF24" i="8" a="1"/>
  <c r="AF24" i="8" s="1"/>
  <c r="AF35" i="8" a="1"/>
  <c r="AF35" i="8" s="1"/>
  <c r="W27" i="8" a="1"/>
  <c r="W27" i="8" s="1"/>
  <c r="W36" i="8" a="1"/>
  <c r="W36" i="8" s="1"/>
  <c r="AJ29" i="8" a="1"/>
  <c r="AJ29" i="8" s="1"/>
  <c r="AH16" i="8" a="1"/>
  <c r="AH16" i="8" s="1"/>
  <c r="AJ14" i="8" a="1"/>
  <c r="AJ14" i="8" s="1"/>
  <c r="AS18" i="8" a="1"/>
  <c r="AS18" i="8" s="1"/>
  <c r="AO14" i="8" a="1"/>
  <c r="AO14" i="8" s="1"/>
  <c r="AO17" i="8" a="1"/>
  <c r="AO17" i="8" s="1"/>
  <c r="EC8" i="8" a="1"/>
  <c r="EC8" i="8" s="1"/>
  <c r="DY5" i="8" a="1"/>
  <c r="DY5" i="8" s="1"/>
  <c r="EA9" i="8" a="1"/>
  <c r="EA9" i="8" s="1"/>
  <c r="EB3" i="8" a="1"/>
  <c r="EB3" i="8" s="1"/>
  <c r="DZ7" i="8" a="1"/>
  <c r="DZ7" i="8" s="1"/>
  <c r="DP6" i="8" a="1"/>
  <c r="DP6" i="8" s="1"/>
  <c r="DP3" i="8" a="1"/>
  <c r="DP3" i="8" s="1"/>
  <c r="DM9" i="8" a="1"/>
  <c r="DM9" i="8" s="1"/>
  <c r="EC9" i="8" a="1"/>
  <c r="EC9" i="8" s="1"/>
  <c r="EB10" i="8" a="1"/>
  <c r="EB10" i="8" s="1"/>
  <c r="DP4" i="8" a="1"/>
  <c r="DP4" i="8" s="1"/>
  <c r="DM7" i="8" a="1"/>
  <c r="DM7" i="8" s="1"/>
  <c r="DM5" i="8" a="1"/>
  <c r="DM5" i="8" s="1"/>
  <c r="DQ10" i="8" a="1"/>
  <c r="DQ10" i="8" s="1"/>
  <c r="DQ6" i="8" a="1"/>
  <c r="DQ6" i="8" s="1"/>
  <c r="DQ3" i="8" a="1"/>
  <c r="DQ3" i="8" s="1"/>
  <c r="EC10" i="8" a="1"/>
  <c r="EC10" i="8" s="1"/>
  <c r="DX4" i="8" a="1"/>
  <c r="DX4" i="8" s="1"/>
  <c r="EA10" i="8" a="1"/>
  <c r="EA10" i="8" s="1"/>
  <c r="DN9" i="8" a="1"/>
  <c r="DN9" i="8" s="1"/>
  <c r="DM3" i="8" a="1"/>
  <c r="DM3" i="8" s="1"/>
  <c r="DQ8" i="8" a="1"/>
  <c r="DQ8" i="8" s="1"/>
  <c r="DQ4" i="8" a="1"/>
  <c r="DQ4" i="8" s="1"/>
  <c r="DM4" i="8" a="1"/>
  <c r="DM4" i="8" s="1"/>
  <c r="DX6" i="8" a="1"/>
  <c r="DX6" i="8" s="1"/>
  <c r="EA4" i="8" a="1"/>
  <c r="EA4" i="8" s="1"/>
  <c r="EB4" i="8" a="1"/>
  <c r="EB4" i="8" s="1"/>
  <c r="DN10" i="8" a="1"/>
  <c r="DN10" i="8" s="1"/>
  <c r="DN7" i="8" a="1"/>
  <c r="DN7" i="8" s="1"/>
  <c r="DQ9" i="8" a="1"/>
  <c r="DQ9" i="8" s="1"/>
  <c r="DM10" i="8" a="1"/>
  <c r="DM10" i="8" s="1"/>
  <c r="DO5" i="8" a="1"/>
  <c r="DO5" i="8" s="1"/>
  <c r="DX8" i="8" a="1"/>
  <c r="DX8" i="8" s="1"/>
  <c r="EA6" i="8" a="1"/>
  <c r="EA6" i="8" s="1"/>
  <c r="DZ9" i="8" a="1"/>
  <c r="DZ9" i="8" s="1"/>
  <c r="DL9" i="8" a="1"/>
  <c r="DL9" i="8" s="1"/>
  <c r="DN8" i="8" a="1"/>
  <c r="DN8" i="8" s="1"/>
  <c r="DN5" i="8" a="1"/>
  <c r="DN5" i="8" s="1"/>
  <c r="DQ7" i="8" a="1"/>
  <c r="DQ7" i="8" s="1"/>
  <c r="DO7" i="8" a="1"/>
  <c r="DO7" i="8" s="1"/>
  <c r="DY4" i="8" a="1"/>
  <c r="DY4" i="8" s="1"/>
  <c r="DX5" i="8" a="1"/>
  <c r="DX5" i="8" s="1"/>
  <c r="EA8" i="8" a="1"/>
  <c r="EA8" i="8" s="1"/>
  <c r="DL7" i="8" a="1"/>
  <c r="DL7" i="8" s="1"/>
  <c r="DN6" i="8" a="1"/>
  <c r="DN6" i="8" s="1"/>
  <c r="DN3" i="8" a="1"/>
  <c r="DN3" i="8" s="1"/>
  <c r="DQ5" i="8" a="1"/>
  <c r="DQ5" i="8" s="1"/>
  <c r="DM6" i="8" a="1"/>
  <c r="DM6" i="8" s="1"/>
  <c r="DY7" i="8" a="1"/>
  <c r="DY7" i="8" s="1"/>
  <c r="DX9" i="8" a="1"/>
  <c r="DX9" i="8" s="1"/>
  <c r="EA3" i="8" a="1"/>
  <c r="EA3" i="8" s="1"/>
  <c r="DZ10" i="8" a="1"/>
  <c r="DZ10" i="8" s="1"/>
  <c r="DL5" i="8" a="1"/>
  <c r="DL5" i="8" s="1"/>
  <c r="DO9" i="8" a="1"/>
  <c r="DO9" i="8" s="1"/>
  <c r="DN4" i="8" a="1"/>
  <c r="DN4" i="8" s="1"/>
  <c r="DM8" i="8" a="1"/>
  <c r="DM8" i="8" s="1"/>
  <c r="EC3" i="8" a="1"/>
  <c r="EC3" i="8" s="1"/>
  <c r="DY6" i="8" a="1"/>
  <c r="DY6" i="8" s="1"/>
  <c r="DX3" i="8" a="1"/>
  <c r="DX3" i="8" s="1"/>
  <c r="EB5" i="8" a="1"/>
  <c r="EB5" i="8" s="1"/>
  <c r="DZ3" i="8" a="1"/>
  <c r="DZ3" i="8" s="1"/>
  <c r="DL3" i="8" a="1"/>
  <c r="DL3" i="8" s="1"/>
  <c r="DO10" i="8" a="1"/>
  <c r="DO10" i="8" s="1"/>
  <c r="DO3" i="8" a="1"/>
  <c r="DO3" i="8" s="1"/>
  <c r="EC5" i="8" a="1"/>
  <c r="EC5" i="8" s="1"/>
  <c r="DY8" i="8" a="1"/>
  <c r="DY8" i="8" s="1"/>
  <c r="DX10" i="8" a="1"/>
  <c r="DX10" i="8" s="1"/>
  <c r="EB7" i="8" a="1"/>
  <c r="EB7" i="8" s="1"/>
  <c r="DZ5" i="8" a="1"/>
  <c r="DZ5" i="8" s="1"/>
  <c r="DL10" i="8" a="1"/>
  <c r="DL10" i="8" s="1"/>
  <c r="DO8" i="8" a="1"/>
  <c r="DO8" i="8" s="1"/>
  <c r="DP7" i="8" a="1"/>
  <c r="DP7" i="8" s="1"/>
  <c r="EC7" i="8" a="1"/>
  <c r="EC7" i="8" s="1"/>
  <c r="DY9" i="8" a="1"/>
  <c r="DY9" i="8" s="1"/>
  <c r="DX7" i="8" a="1"/>
  <c r="DX7" i="8" s="1"/>
  <c r="EB9" i="8" a="1"/>
  <c r="EB9" i="8" s="1"/>
  <c r="DZ4" i="8" a="1"/>
  <c r="DZ4" i="8" s="1"/>
  <c r="DL8" i="8" a="1"/>
  <c r="DL8" i="8" s="1"/>
  <c r="DO6" i="8" a="1"/>
  <c r="DO6" i="8" s="1"/>
  <c r="DP9" i="8" a="1"/>
  <c r="DP9" i="8" s="1"/>
  <c r="EC4" i="8" a="1"/>
  <c r="EC4" i="8" s="1"/>
  <c r="DY3" i="8" a="1"/>
  <c r="DY3" i="8" s="1"/>
  <c r="EA5" i="8" a="1"/>
  <c r="EA5" i="8" s="1"/>
  <c r="EB6" i="8" a="1"/>
  <c r="EB6" i="8" s="1"/>
  <c r="DZ6" i="8" a="1"/>
  <c r="DZ6" i="8" s="1"/>
  <c r="DL6" i="8" a="1"/>
  <c r="DL6" i="8" s="1"/>
  <c r="DO4" i="8" a="1"/>
  <c r="DO4" i="8" s="1"/>
  <c r="DP10" i="8" a="1"/>
  <c r="DP10" i="8" s="1"/>
  <c r="EC6" i="8" a="1"/>
  <c r="EC6" i="8" s="1"/>
  <c r="DY10" i="8" a="1"/>
  <c r="DY10" i="8" s="1"/>
  <c r="EA7" i="8" a="1"/>
  <c r="EA7" i="8" s="1"/>
  <c r="EB8" i="8" a="1"/>
  <c r="EB8" i="8" s="1"/>
  <c r="DZ8" i="8" a="1"/>
  <c r="DZ8" i="8" s="1"/>
  <c r="DL4" i="8" a="1"/>
  <c r="DL4" i="8" s="1"/>
  <c r="DP8" i="8" a="1"/>
  <c r="DP8" i="8" s="1"/>
  <c r="DP5" i="8" a="1"/>
  <c r="DP5" i="8" s="1"/>
  <c r="R12" i="8" a="1"/>
  <c r="R12" i="8" s="1"/>
  <c r="AL12" i="8" a="1"/>
  <c r="AL12" i="8" s="1"/>
  <c r="AC12" i="8" a="1"/>
  <c r="AC12" i="8" s="1"/>
  <c r="P12" i="8" a="1"/>
  <c r="P12" i="8" s="1"/>
  <c r="T12" i="8" a="1"/>
  <c r="T12" i="8" s="1"/>
  <c r="U12" i="8" a="1"/>
  <c r="U12" i="8" s="1"/>
  <c r="AA12" i="8" a="1"/>
  <c r="AA12" i="8" s="1"/>
  <c r="N12" i="8" a="1"/>
  <c r="N12" i="8" s="1"/>
  <c r="AM12" i="8" a="1"/>
  <c r="AM12" i="8" s="1"/>
  <c r="AD12" i="8" a="1"/>
  <c r="AD12" i="8" s="1"/>
  <c r="L12" i="8" a="1"/>
  <c r="L12" i="8" s="1"/>
  <c r="K12" i="8" a="1"/>
  <c r="K12" i="8" s="1"/>
  <c r="DQ2" i="8" a="1"/>
  <c r="DQ2" i="8" s="1"/>
  <c r="EC2" i="8" a="1"/>
  <c r="EC2" i="8" s="1"/>
  <c r="DM2" i="8" a="1"/>
  <c r="DM2" i="8" s="1"/>
  <c r="BQ2" i="8" s="1" a="1"/>
  <c r="BQ2" i="8" s="1"/>
  <c r="DY2" i="8" a="1"/>
  <c r="DY2" i="8" s="1"/>
  <c r="DN2" i="8" a="1"/>
  <c r="DN2" i="8" s="1"/>
  <c r="DZ2" i="8" a="1"/>
  <c r="DZ2" i="8" s="1"/>
  <c r="DP2" i="8" a="1"/>
  <c r="DP2" i="8" s="1"/>
  <c r="EB2" i="8" a="1"/>
  <c r="EB2" i="8" s="1"/>
  <c r="DO2" i="8" a="1"/>
  <c r="DO2" i="8" s="1"/>
  <c r="EA2" i="8" a="1"/>
  <c r="EA2" i="8" s="1"/>
  <c r="DX2" i="8" a="1"/>
  <c r="DX2" i="8" s="1"/>
  <c r="DL2" i="8" a="1"/>
  <c r="DL2" i="8" s="1"/>
  <c r="H12" i="8" a="1"/>
  <c r="H12" i="8" s="1"/>
  <c r="I12" i="8" s="1" a="1"/>
  <c r="I12" i="8" s="1"/>
  <c r="J12" i="8" a="1"/>
  <c r="J12" i="8" s="1"/>
  <c r="AH12" i="8" a="1"/>
  <c r="AH12" i="8" s="1"/>
  <c r="Y12" i="8" a="1"/>
  <c r="Y12" i="8" s="1"/>
  <c r="AJ12" i="8" a="1"/>
  <c r="AJ12" i="8" s="1"/>
  <c r="AF12" i="8" a="1"/>
  <c r="AF12" i="8" s="1"/>
  <c r="W12" i="8" a="1"/>
  <c r="W12" i="8" s="1"/>
  <c r="AS12" i="8" a="1"/>
  <c r="AS12" i="8" s="1"/>
  <c r="AQ12" i="8" a="1"/>
  <c r="AQ12" i="8" s="1"/>
  <c r="AO12" i="8" a="1"/>
  <c r="AO12" i="8" s="1"/>
  <c r="BR2" i="8" l="1" a="1"/>
  <c r="BR2" i="8" s="1"/>
  <c r="X27" i="8"/>
  <c r="Q36" i="8"/>
  <c r="Z24" i="8"/>
  <c r="AE29" i="8"/>
  <c r="AP34" i="8"/>
  <c r="O30" i="8"/>
  <c r="AK27" i="8"/>
  <c r="AG33" i="8"/>
  <c r="AK24" i="8"/>
  <c r="AE36" i="8"/>
  <c r="S24" i="8"/>
  <c r="Z27" i="8"/>
  <c r="S23" i="8"/>
  <c r="AT32" i="8"/>
  <c r="V32" i="8"/>
  <c r="AI34" i="8"/>
  <c r="M34" i="8"/>
  <c r="AG22" i="8"/>
  <c r="M30" i="8"/>
  <c r="Z23" i="8"/>
  <c r="Q22" i="8"/>
  <c r="AG35" i="8"/>
  <c r="S26" i="8"/>
  <c r="S25" i="8"/>
  <c r="AR34" i="8"/>
  <c r="M26" i="8"/>
  <c r="X35" i="8"/>
  <c r="S33" i="8"/>
  <c r="X32" i="8"/>
  <c r="AI24" i="8"/>
  <c r="Z35" i="8"/>
  <c r="AG34" i="8"/>
  <c r="S35" i="8"/>
  <c r="Z30" i="8"/>
  <c r="V30" i="8"/>
  <c r="AN29" i="8"/>
  <c r="AE26" i="8"/>
  <c r="AI26" i="8"/>
  <c r="Q27" i="8"/>
  <c r="Z36" i="8"/>
  <c r="Q23" i="8"/>
  <c r="AG24" i="8"/>
  <c r="X29" i="8"/>
  <c r="M29" i="8"/>
  <c r="AP29" i="8"/>
  <c r="S22" i="8"/>
  <c r="AK36" i="8"/>
  <c r="X22" i="8"/>
  <c r="AE23" i="8"/>
  <c r="Z29" i="8"/>
  <c r="AG26" i="8"/>
  <c r="AE22" i="8"/>
  <c r="AI25" i="8"/>
  <c r="AG36" i="8"/>
  <c r="AN27" i="8"/>
  <c r="AI27" i="8"/>
  <c r="Z28" i="8"/>
  <c r="AB28" i="8"/>
  <c r="O35" i="8"/>
  <c r="AP23" i="8"/>
  <c r="Q34" i="8"/>
  <c r="AB23" i="8"/>
  <c r="AR25" i="8"/>
  <c r="AT27" i="8"/>
  <c r="AT30" i="8"/>
  <c r="Q30" i="8"/>
  <c r="X24" i="8"/>
  <c r="AE34" i="8"/>
  <c r="X30" i="8"/>
  <c r="AE24" i="8"/>
  <c r="AK35" i="8"/>
  <c r="AI32" i="8"/>
  <c r="V28" i="8"/>
  <c r="AG31" i="8"/>
  <c r="AB34" i="8"/>
  <c r="Z33" i="8"/>
  <c r="V29" i="8"/>
  <c r="X25" i="8"/>
  <c r="O22" i="8"/>
  <c r="AR23" i="8"/>
  <c r="AR32" i="8"/>
  <c r="O28" i="8"/>
  <c r="AT25" i="8"/>
  <c r="M27" i="8"/>
  <c r="AP32" i="8"/>
  <c r="S34" i="8"/>
  <c r="AE35" i="8"/>
  <c r="AG30" i="8"/>
  <c r="V26" i="8"/>
  <c r="AP36" i="8"/>
  <c r="AN22" i="8"/>
  <c r="X26" i="8"/>
  <c r="AG27" i="8"/>
  <c r="AN25" i="8"/>
  <c r="Z31" i="8"/>
  <c r="X28" i="8"/>
  <c r="AN24" i="8"/>
  <c r="AK23" i="8"/>
  <c r="AK33" i="8"/>
  <c r="AN26" i="8"/>
  <c r="AK30" i="8"/>
  <c r="AB27" i="8"/>
  <c r="Z26" i="8"/>
  <c r="AP30" i="8"/>
  <c r="AB29" i="8"/>
  <c r="M36" i="8"/>
  <c r="AT34" i="8"/>
  <c r="Q31" i="8"/>
  <c r="AT22" i="8"/>
  <c r="O27" i="8"/>
  <c r="X34" i="8"/>
  <c r="S31" i="8"/>
  <c r="AI36" i="8"/>
  <c r="AN34" i="8"/>
  <c r="AR36" i="8"/>
  <c r="AI28" i="8"/>
  <c r="AN36" i="8"/>
  <c r="AB26" i="8"/>
  <c r="AK34" i="8"/>
  <c r="X31" i="8"/>
  <c r="AB33" i="8"/>
  <c r="AG23" i="8"/>
  <c r="O24" i="8"/>
  <c r="AP35" i="8"/>
  <c r="Q35" i="8"/>
  <c r="AT31" i="8"/>
  <c r="V31" i="8"/>
  <c r="AI23" i="8"/>
  <c r="O26" i="8"/>
  <c r="AP26" i="8"/>
  <c r="M24" i="8"/>
  <c r="AR28" i="8"/>
  <c r="S32" i="8"/>
  <c r="X33" i="8"/>
  <c r="V24" i="8"/>
  <c r="AT36" i="8"/>
  <c r="AN32" i="8"/>
  <c r="AP24" i="8"/>
  <c r="AB32" i="8"/>
  <c r="V25" i="8"/>
  <c r="AI33" i="8"/>
  <c r="Z32" i="8"/>
  <c r="V27" i="8"/>
  <c r="AG28" i="8"/>
  <c r="M32" i="8"/>
  <c r="AR35" i="8"/>
  <c r="O31" i="8"/>
  <c r="AI29" i="8"/>
  <c r="M25" i="8"/>
  <c r="Q29" i="8"/>
  <c r="Q28" i="8"/>
  <c r="X23" i="8"/>
  <c r="AE32" i="8"/>
  <c r="AP22" i="8"/>
  <c r="AE30" i="8"/>
  <c r="AT33" i="8"/>
  <c r="V22" i="8"/>
  <c r="AR24" i="8"/>
  <c r="AP31" i="8"/>
  <c r="AB25" i="8"/>
  <c r="Z25" i="8"/>
  <c r="O36" i="8"/>
  <c r="AK28" i="8"/>
  <c r="M31" i="8"/>
  <c r="AT23" i="8"/>
  <c r="AE33" i="8"/>
  <c r="O25" i="8"/>
  <c r="AN23" i="8"/>
  <c r="AI30" i="8"/>
  <c r="V36" i="8"/>
  <c r="AR22" i="8"/>
  <c r="V34" i="8"/>
  <c r="AP25" i="8"/>
  <c r="V33" i="8"/>
  <c r="AT24" i="8"/>
  <c r="AB31" i="8"/>
  <c r="AR30" i="8"/>
  <c r="V23" i="8"/>
  <c r="AT28" i="8"/>
  <c r="O34" i="8"/>
  <c r="AR29" i="8"/>
  <c r="AB35" i="8"/>
  <c r="M22" i="8"/>
  <c r="AK31" i="8"/>
  <c r="AK32" i="8"/>
  <c r="AN35" i="8"/>
  <c r="AK26" i="8"/>
  <c r="S29" i="8"/>
  <c r="AI31" i="8"/>
  <c r="S27" i="8"/>
  <c r="AR31" i="8"/>
  <c r="AN30" i="8"/>
  <c r="S36" i="8"/>
  <c r="AP28" i="8"/>
  <c r="V35" i="8"/>
  <c r="AT29" i="8"/>
  <c r="AB30" i="8"/>
  <c r="AR26" i="8"/>
  <c r="M35" i="8"/>
  <c r="AP33" i="8"/>
  <c r="O32" i="8"/>
  <c r="AN28" i="8"/>
  <c r="Z22" i="8"/>
  <c r="S30" i="8"/>
  <c r="S28" i="8"/>
  <c r="AK29" i="8"/>
  <c r="Q26" i="8"/>
  <c r="AG32" i="8"/>
  <c r="AN33" i="8"/>
  <c r="AN31" i="8"/>
  <c r="Q33" i="8"/>
  <c r="Q32" i="8"/>
  <c r="AR27" i="8"/>
  <c r="AB36" i="8"/>
  <c r="AT26" i="8"/>
  <c r="M33" i="8"/>
  <c r="AT35" i="8"/>
  <c r="M28" i="8"/>
  <c r="AB22" i="8"/>
  <c r="O23" i="8"/>
  <c r="AK25" i="8"/>
  <c r="O33" i="8"/>
  <c r="X36" i="8"/>
  <c r="AE31" i="8"/>
  <c r="Z34" i="8"/>
  <c r="Q24" i="8"/>
  <c r="AG25" i="8"/>
  <c r="AE28" i="8"/>
  <c r="O29" i="8"/>
  <c r="AK22" i="8"/>
  <c r="AE25" i="8"/>
  <c r="AE27" i="8"/>
  <c r="AR33" i="8"/>
  <c r="AB24" i="8"/>
  <c r="AP27" i="8"/>
  <c r="AI35" i="8"/>
  <c r="M23" i="8"/>
  <c r="AI22" i="8"/>
  <c r="Q25" i="8"/>
  <c r="AG29" i="8"/>
  <c r="Z12" i="8"/>
  <c r="DS2" i="8" a="1"/>
  <c r="DS2" i="8" s="1"/>
  <c r="BU2" i="8" a="1"/>
  <c r="BU2" i="8" s="1"/>
  <c r="BP2" i="8" a="1"/>
  <c r="BP2" i="8" s="1"/>
  <c r="BT2" i="8" a="1"/>
  <c r="BT2" i="8" s="1"/>
  <c r="BS2" i="8" a="1"/>
  <c r="BS2" i="8" s="1"/>
  <c r="DW2" i="8" a="1"/>
  <c r="DW2" i="8" s="1"/>
  <c r="DR2" i="8" a="1"/>
  <c r="DR2" i="8" s="1"/>
  <c r="DU2" i="8" a="1"/>
  <c r="DU2" i="8" s="1"/>
  <c r="DV2" i="8" a="1"/>
  <c r="DV2" i="8" s="1"/>
  <c r="DT2" i="8" a="1"/>
  <c r="DT2" i="8" s="1"/>
  <c r="AT12" i="8"/>
  <c r="V14" i="8"/>
  <c r="M21" i="8"/>
  <c r="AR20" i="8"/>
  <c r="AE15" i="8"/>
  <c r="AK17" i="8"/>
  <c r="AI17" i="8"/>
  <c r="S19" i="8"/>
  <c r="AP14" i="8"/>
  <c r="Z21" i="8"/>
  <c r="AG14" i="8"/>
  <c r="AK12" i="8"/>
  <c r="V16" i="8"/>
  <c r="V18" i="8"/>
  <c r="X20" i="8"/>
  <c r="AP21" i="8"/>
  <c r="AG19" i="8"/>
  <c r="AT14" i="8"/>
  <c r="AB12" i="8"/>
  <c r="AB17" i="8"/>
  <c r="S21" i="8"/>
  <c r="AI13" i="8"/>
  <c r="AP20" i="8"/>
  <c r="AR14" i="8"/>
  <c r="AG12" i="8"/>
  <c r="X17" i="8"/>
  <c r="X19" i="8"/>
  <c r="AR19" i="8"/>
  <c r="Z16" i="8"/>
  <c r="AR15" i="8"/>
  <c r="S16" i="8"/>
  <c r="AE14" i="8"/>
  <c r="AE16" i="8"/>
  <c r="Z13" i="8"/>
  <c r="AP17" i="8"/>
  <c r="AN14" i="8"/>
  <c r="AK20" i="8"/>
  <c r="AB19" i="8"/>
  <c r="AR13" i="8"/>
  <c r="S15" i="8"/>
  <c r="X18" i="8"/>
  <c r="O21" i="8"/>
  <c r="AN17" i="8"/>
  <c r="AT13" i="8"/>
  <c r="AE19" i="8"/>
  <c r="AN16" i="8"/>
  <c r="Z20" i="8"/>
  <c r="AK21" i="8"/>
  <c r="AR16" i="8"/>
  <c r="AN13" i="8"/>
  <c r="AK19" i="8"/>
  <c r="AI15" i="8"/>
  <c r="AK16" i="8"/>
  <c r="S13" i="8"/>
  <c r="AB16" i="8"/>
  <c r="AG20" i="8"/>
  <c r="AN18" i="8"/>
  <c r="AK18" i="8"/>
  <c r="AE18" i="8"/>
  <c r="AG21" i="8"/>
  <c r="AI12" i="8"/>
  <c r="X16" i="8"/>
  <c r="V21" i="8"/>
  <c r="AI19" i="8"/>
  <c r="AR18" i="8"/>
  <c r="AR21" i="8"/>
  <c r="V17" i="8"/>
  <c r="S12" i="8"/>
  <c r="Z18" i="8"/>
  <c r="AT20" i="8"/>
  <c r="AI18" i="8"/>
  <c r="S17" i="8"/>
  <c r="AK13" i="8"/>
  <c r="M19" i="8"/>
  <c r="Z15" i="8"/>
  <c r="AE17" i="8"/>
  <c r="Z17" i="8"/>
  <c r="V15" i="8"/>
  <c r="O19" i="8"/>
  <c r="AG16" i="8"/>
  <c r="AN21" i="8"/>
  <c r="AG18" i="8"/>
  <c r="X13" i="8"/>
  <c r="X21" i="8"/>
  <c r="V19" i="8"/>
  <c r="AI14" i="8"/>
  <c r="S18" i="8"/>
  <c r="AT15" i="8"/>
  <c r="AP19" i="8"/>
  <c r="AT16" i="8"/>
  <c r="AI21" i="8"/>
  <c r="AE13" i="8"/>
  <c r="AB14" i="8"/>
  <c r="AG13" i="8"/>
  <c r="AN19" i="8"/>
  <c r="AB13" i="8"/>
  <c r="AT17" i="8"/>
  <c r="AK15" i="8"/>
  <c r="AI16" i="8"/>
  <c r="AN20" i="8"/>
  <c r="AT21" i="8"/>
  <c r="AG17" i="8"/>
  <c r="M20" i="8"/>
  <c r="AB18" i="8"/>
  <c r="AG15" i="8"/>
  <c r="S14" i="8"/>
  <c r="X14" i="8"/>
  <c r="AP12" i="8"/>
  <c r="V13" i="8"/>
  <c r="M18" i="8"/>
  <c r="S20" i="8"/>
  <c r="AB20" i="8"/>
  <c r="AB15" i="8"/>
  <c r="AE12" i="8"/>
  <c r="AT19" i="8"/>
  <c r="AP13" i="8"/>
  <c r="AK14" i="8"/>
  <c r="AE20" i="8"/>
  <c r="AI20" i="8"/>
  <c r="AR17" i="8"/>
  <c r="V20" i="8"/>
  <c r="AR12" i="8"/>
  <c r="X15" i="8"/>
  <c r="O20" i="8"/>
  <c r="AN15" i="8"/>
  <c r="AE21" i="8"/>
  <c r="Z19" i="8"/>
  <c r="AN12" i="8"/>
  <c r="AP16" i="8"/>
  <c r="AP15" i="8"/>
  <c r="AT18" i="8"/>
  <c r="AB21" i="8"/>
  <c r="Z14" i="8"/>
  <c r="AP18" i="8"/>
  <c r="V12" i="8"/>
  <c r="X12" i="8"/>
  <c r="Q21" i="8"/>
  <c r="M13" i="8"/>
  <c r="O14" i="8"/>
  <c r="Q16" i="8"/>
  <c r="Q19" i="8"/>
  <c r="O16" i="8"/>
  <c r="Q20" i="8"/>
  <c r="M17" i="8"/>
  <c r="Q15" i="8"/>
  <c r="O17" i="8"/>
  <c r="M15" i="8"/>
  <c r="Q17" i="8"/>
  <c r="Q18" i="8"/>
  <c r="O15" i="8"/>
  <c r="M16" i="8"/>
  <c r="M14" i="8"/>
  <c r="O13" i="8"/>
  <c r="Q14" i="8"/>
  <c r="M12" i="8"/>
  <c r="O18" i="8"/>
  <c r="Q13" i="8"/>
  <c r="Q12" i="8"/>
  <c r="O1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7A5C13-8FBA-4BF7-B585-FAA2904E3513}" keepAlive="1" name="Query - Hanna Code" description="Connection to the 'Hanna Code' query in the workbook." type="5" refreshedVersion="8" background="1" saveData="1">
    <dbPr connection="Provider=Microsoft.Mashup.OleDb.1;Data Source=$Workbook$;Location=&quot;Hanna Code&quot;;Extended Properties=&quot;&quot;" command="SELECT * FROM [Hanna Code]"/>
  </connection>
  <connection id="2" xr16:uid="{E64AC91C-F107-4246-B29C-A7B67CD90BCB}" keepAlive="1" name="Query - Lots" description="Connection to the 'Lots' query in the workbook." type="5" refreshedVersion="8" background="1" saveData="1">
    <dbPr connection="Provider=Microsoft.Mashup.OleDb.1;Data Source=$Workbook$;Location=Lots;Extended Properties=&quot;&quot;" command="SELECT * FROM [Lots]"/>
  </connection>
  <connection id="3" xr16:uid="{592D5B33-5A92-4496-8C10-B17272F80071}" keepAlive="1" name="Query - LOTS (2)" description="Connection to the 'LOTS (2)' query in the workbook." type="5" refreshedVersion="8" background="1" saveData="1">
    <dbPr connection="Provider=Microsoft.Mashup.OleDb.1;Data Source=$Workbook$;Location=&quot;LOTS (2)&quot;;Extended Properties=&quot;&quot;" command="SELECT * FROM [LOTS (2)]"/>
  </connection>
  <connection id="4" xr16:uid="{25C44774-6239-4D05-A5E0-9B6E0F7F994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F0C0492A-826A-471D-9068-9B3BD7A1F439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6" xr16:uid="{F4604FE8-1B26-443A-8213-C9476A6B5585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7" xr16:uid="{6657DE6E-FDFE-475C-9594-2A58D4D033B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706D52AE-C314-4208-AFAB-B578E2606DAF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9" xr16:uid="{E8777A94-88AF-4A59-ABD1-1CED1EDF9BBD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0" xr16:uid="{5F29D3DB-3C07-40CA-B917-1807F5A9BFE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1" xr16:uid="{8235B434-CBE1-4079-B22B-3A3B9368347F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2" xr16:uid="{805B1278-3BA5-4759-A26E-254FD58706A6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3" xr16:uid="{E5968A44-0A18-475C-B3BD-AA9959F8E39F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4" xr16:uid="{3AA51587-6685-46BB-91B4-D0933F3608AD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5" xr16:uid="{A498B9DF-231C-4B8F-A900-08856E64B364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<sst xmlns="http://schemas.openxmlformats.org/spreadsheetml/2006/main" count="57860" uniqueCount="2770">
  <si>
    <t>Lot</t>
  </si>
  <si>
    <t>Tolerance</t>
  </si>
  <si>
    <t>STD Value</t>
  </si>
  <si>
    <t>LOT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</si>
  <si>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</si>
  <si>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</si>
  <si>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</si>
  <si>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</si>
  <si>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</si>
  <si>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</si>
  <si>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</si>
  <si>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</si>
  <si>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</si>
  <si>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</si>
  <si>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</si>
  <si>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</si>
  <si>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</si>
  <si>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</si>
  <si>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</si>
  <si>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</si>
  <si>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</si>
  <si>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</si>
  <si>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</si>
  <si>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</si>
  <si>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</si>
  <si>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</si>
  <si>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</si>
  <si>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</si>
  <si>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</si>
  <si>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</si>
  <si>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</si>
  <si>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</si>
  <si>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</si>
  <si>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</si>
  <si>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</si>
  <si>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</si>
  <si>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</si>
  <si>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</si>
  <si>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</si>
  <si>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</si>
  <si>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</si>
  <si>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</si>
  <si>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</si>
  <si>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</si>
  <si>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</si>
  <si>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</si>
  <si>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</si>
  <si>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</si>
  <si>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</si>
  <si>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</si>
  <si>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</si>
  <si>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</si>
  <si>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</si>
  <si>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</si>
  <si>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</si>
  <si>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</si>
  <si>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</si>
  <si>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</si>
  <si>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</si>
  <si>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</si>
  <si>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</si>
  <si>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</si>
  <si>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</si>
  <si>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</si>
  <si>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</si>
  <si>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</si>
  <si>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</si>
  <si>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</si>
  <si>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</si>
  <si>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</si>
  <si>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</si>
  <si>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</si>
  <si>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</si>
  <si>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</si>
  <si>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</si>
  <si>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</si>
  <si>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</si>
  <si>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</si>
  <si>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</si>
  <si>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</si>
  <si>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Standard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</si>
  <si>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</si>
  <si>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</si>
  <si>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</si>
  <si>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</si>
  <si>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</si>
  <si>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</si>
  <si>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</si>
  <si>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</si>
  <si>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</si>
  <si>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</si>
  <si>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</si>
  <si>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</si>
  <si>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</si>
  <si>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</si>
  <si>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</si>
  <si>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</si>
  <si>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</si>
  <si>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</si>
  <si>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</si>
  <si>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</si>
  <si>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</si>
  <si>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</si>
  <si>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</si>
  <si>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4</t>
  </si>
  <si>
    <t>1</t>
  </si>
  <si>
    <t/>
  </si>
  <si>
    <t>/</t>
  </si>
  <si>
    <t>3</t>
  </si>
  <si>
    <t>2</t>
  </si>
  <si>
    <t>Valid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</si>
  <si>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</si>
  <si>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</si>
  <si>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</si>
  <si>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</si>
  <si>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</si>
  <si>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</si>
  <si>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</si>
  <si>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</si>
  <si>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</si>
  <si>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</si>
  <si>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</si>
  <si>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</si>
  <si>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</si>
  <si>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</si>
  <si>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</si>
  <si>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</si>
  <si>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</si>
  <si>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P/Final</t>
  </si>
  <si>
    <t>22</t>
  </si>
  <si>
    <t>23</t>
  </si>
  <si>
    <t>16:00</t>
  </si>
  <si>
    <t>15:15</t>
  </si>
  <si>
    <t>15:17</t>
  </si>
  <si>
    <t>14:35</t>
  </si>
  <si>
    <t>09:11</t>
  </si>
  <si>
    <t>184</t>
  </si>
  <si>
    <t>16:07</t>
  </si>
  <si>
    <t>189</t>
  </si>
  <si>
    <t>11:44</t>
  </si>
  <si>
    <t>110</t>
  </si>
  <si>
    <t>190</t>
  </si>
  <si>
    <t>11:22</t>
  </si>
  <si>
    <t>175</t>
  </si>
  <si>
    <t>176</t>
  </si>
  <si>
    <t>169</t>
  </si>
  <si>
    <t>179</t>
  </si>
  <si>
    <t>180</t>
  </si>
  <si>
    <t>Fixed</t>
  </si>
  <si>
    <t>Percent</t>
  </si>
  <si>
    <t>STD3</t>
  </si>
  <si>
    <t>QC restriction</t>
  </si>
  <si>
    <t>&amp;</t>
  </si>
  <si>
    <t>Lot nr</t>
  </si>
  <si>
    <t>Filename</t>
  </si>
  <si>
    <t>---</t>
  </si>
  <si>
    <t>LOT nr</t>
  </si>
  <si>
    <t>STD1 3σ low</t>
  </si>
  <si>
    <t>STD1 2σ low</t>
  </si>
  <si>
    <t>STD1 1σ low</t>
  </si>
  <si>
    <t>STD1 1σ high</t>
  </si>
  <si>
    <t>STD1 2σ high</t>
  </si>
  <si>
    <t>STD1 3σ high</t>
  </si>
  <si>
    <t>Base1</t>
  </si>
  <si>
    <t>Base2</t>
  </si>
  <si>
    <t>Base3</t>
  </si>
  <si>
    <t>STD2 3σ low</t>
  </si>
  <si>
    <t>STD2 2σ low</t>
  </si>
  <si>
    <t>STD2 1σ low</t>
  </si>
  <si>
    <t>STD2 1σ high</t>
  </si>
  <si>
    <t>STD2 2σ high</t>
  </si>
  <si>
    <t>STD2 3σ high</t>
  </si>
  <si>
    <t>STD3 3σ low</t>
  </si>
  <si>
    <t>STD3 2σ low</t>
  </si>
  <si>
    <t>STD3 1σ low</t>
  </si>
  <si>
    <t>STD3 1σ high</t>
  </si>
  <si>
    <t>STD3 2σ high</t>
  </si>
  <si>
    <t>STD3 3σ high</t>
  </si>
  <si>
    <t>Base4</t>
  </si>
  <si>
    <t>STD4 3σ low</t>
  </si>
  <si>
    <t>STD4 2σ low</t>
  </si>
  <si>
    <t>STD4 1σ low</t>
  </si>
  <si>
    <t>STD4 1σ high</t>
  </si>
  <si>
    <t>STD4 2σ high</t>
  </si>
  <si>
    <t>STD4 3σ high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</si>
  <si>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</si>
  <si>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</si>
  <si>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</si>
  <si>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</si>
  <si>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</si>
  <si>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</si>
  <si>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</si>
  <si>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</si>
  <si>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</si>
  <si>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</si>
  <si>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</si>
  <si>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</si>
  <si>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</si>
  <si>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</si>
  <si>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</si>
  <si>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</si>
  <si>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</si>
  <si>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</si>
  <si>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</si>
  <si>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</si>
  <si>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</si>
  <si>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</si>
  <si>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</si>
  <si>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</si>
  <si>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</si>
  <si>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</si>
  <si>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</si>
  <si>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</si>
  <si>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Hanna SFG Code</t>
  </si>
  <si>
    <t>Recipe</t>
  </si>
  <si>
    <t>Preparation Week</t>
  </si>
  <si>
    <t>Parameter Formula</t>
  </si>
  <si>
    <t>Description</t>
  </si>
  <si>
    <t>Exp</t>
  </si>
  <si>
    <t>Line</t>
  </si>
  <si>
    <t>QC Department</t>
  </si>
  <si>
    <t>Registration Book</t>
  </si>
  <si>
    <t>QC Type</t>
  </si>
  <si>
    <t>Laboratory</t>
  </si>
  <si>
    <t>Production</t>
  </si>
  <si>
    <t>Ref Weight.</t>
  </si>
  <si>
    <t>Min (mg)</t>
  </si>
  <si>
    <t>Max (mg)</t>
  </si>
  <si>
    <t>REAGENT SET 1</t>
  </si>
  <si>
    <t>REAGENT SET 2</t>
  </si>
  <si>
    <t>Reagent A Lot</t>
  </si>
  <si>
    <t>Reagent B Lot</t>
  </si>
  <si>
    <t>Reagent C Lot</t>
  </si>
  <si>
    <t>Reagent D Lot</t>
  </si>
  <si>
    <t>Reagent E Lot</t>
  </si>
  <si>
    <t>Expiration A</t>
  </si>
  <si>
    <t>Expiration B</t>
  </si>
  <si>
    <t>Expiration C</t>
  </si>
  <si>
    <t>Expiration D</t>
  </si>
  <si>
    <t>Expiration E</t>
  </si>
  <si>
    <t>Reagent Range Min</t>
  </si>
  <si>
    <t>Reagent Range Max</t>
  </si>
  <si>
    <t>Prep. Operator</t>
  </si>
  <si>
    <t>First day Prod.</t>
  </si>
  <si>
    <t>Last day Prod.</t>
  </si>
  <si>
    <t>Machine</t>
  </si>
  <si>
    <t>Old Lot A</t>
  </si>
  <si>
    <t>Old Lot B</t>
  </si>
  <si>
    <t>Old Lot D</t>
  </si>
  <si>
    <t>Meter</t>
  </si>
  <si>
    <t>Meter 1 Family</t>
  </si>
  <si>
    <t>Meter 1 Code</t>
  </si>
  <si>
    <t>Meter 2 Family</t>
  </si>
  <si>
    <t>Meter 2 Code</t>
  </si>
  <si>
    <t xml:space="preserve">ph Meter </t>
  </si>
  <si>
    <t xml:space="preserve">Turbid. Meter </t>
  </si>
  <si>
    <t xml:space="preserve">Spectr. Meter </t>
  </si>
  <si>
    <t>HI98703</t>
  </si>
  <si>
    <t>pH</t>
  </si>
  <si>
    <t>STD Number</t>
  </si>
  <si>
    <t>STD Min</t>
  </si>
  <si>
    <t>STD Max</t>
  </si>
  <si>
    <t>STD MR</t>
  </si>
  <si>
    <t>AndOr</t>
  </si>
  <si>
    <t>Percentage</t>
  </si>
  <si>
    <t>QCRestriction</t>
  </si>
  <si>
    <t>pH Value</t>
  </si>
  <si>
    <t>pH Min</t>
  </si>
  <si>
    <t>pH Max</t>
  </si>
  <si>
    <t>Readings Table</t>
  </si>
  <si>
    <t>Standard # 2</t>
  </si>
  <si>
    <t>Total Tests</t>
  </si>
  <si>
    <t>Total Readings</t>
  </si>
  <si>
    <t>Total Average</t>
  </si>
  <si>
    <t>Selected Tests</t>
  </si>
  <si>
    <t>Selected Readings</t>
  </si>
  <si>
    <t>Selected Average</t>
  </si>
  <si>
    <t>Standard # 3</t>
  </si>
  <si>
    <t>Standard # 1</t>
  </si>
  <si>
    <t>Custom QC restriction</t>
  </si>
  <si>
    <t>&amp; / or</t>
  </si>
  <si>
    <t>STD value</t>
  </si>
  <si>
    <t>STD1</t>
  </si>
  <si>
    <t>STD2</t>
  </si>
  <si>
    <t>STD4</t>
  </si>
  <si>
    <t>STD5</t>
  </si>
  <si>
    <t>STD6</t>
  </si>
  <si>
    <t>Base5</t>
  </si>
  <si>
    <t>STD5 3σ low</t>
  </si>
  <si>
    <t>STD5 2σ low</t>
  </si>
  <si>
    <t>STD5 1σ low</t>
  </si>
  <si>
    <t>STD5 1σ high</t>
  </si>
  <si>
    <t>STD5 2σ high</t>
  </si>
  <si>
    <t>STD5 3σ high</t>
  </si>
  <si>
    <t>Base6</t>
  </si>
  <si>
    <t>STD6 3σ low</t>
  </si>
  <si>
    <t>STD6 2σ low</t>
  </si>
  <si>
    <t>STD6 1σ low</t>
  </si>
  <si>
    <t>STD6 1σ high</t>
  </si>
  <si>
    <t>STD6 2σ high</t>
  </si>
  <si>
    <t>STD6 3σ high</t>
  </si>
  <si>
    <t>STD1 AVG</t>
  </si>
  <si>
    <t>STD2 AVG</t>
  </si>
  <si>
    <t>STD3 AVG</t>
  </si>
  <si>
    <t>STD4 AVG</t>
  </si>
  <si>
    <t>STD5 AVG</t>
  </si>
  <si>
    <t>STD6 AVG</t>
  </si>
  <si>
    <t>Nr.</t>
  </si>
  <si>
    <t>Old A</t>
  </si>
  <si>
    <t>12:00</t>
  </si>
  <si>
    <t>15:18</t>
  </si>
  <si>
    <t>Old B</t>
  </si>
  <si>
    <t>10:35</t>
  </si>
  <si>
    <t>11:25</t>
  </si>
  <si>
    <t>11:35</t>
  </si>
  <si>
    <t>11:53</t>
  </si>
  <si>
    <t>11:55</t>
  </si>
  <si>
    <t>11:57</t>
  </si>
  <si>
    <t>14:40</t>
  </si>
  <si>
    <t>14:52</t>
  </si>
  <si>
    <t>12:09</t>
  </si>
  <si>
    <t>14:25</t>
  </si>
  <si>
    <t>14:26</t>
  </si>
  <si>
    <t>09:25</t>
  </si>
  <si>
    <t>09:26</t>
  </si>
  <si>
    <t>11:51</t>
  </si>
  <si>
    <t>11:52</t>
  </si>
  <si>
    <t>14:53</t>
  </si>
  <si>
    <t>12:30</t>
  </si>
  <si>
    <t>12:10</t>
  </si>
  <si>
    <t>11:03</t>
  </si>
  <si>
    <t>14:54</t>
  </si>
  <si>
    <t>148</t>
  </si>
  <si>
    <t>150</t>
  </si>
  <si>
    <t>160</t>
  </si>
  <si>
    <t>161</t>
  </si>
  <si>
    <t>10:50</t>
  </si>
  <si>
    <t>14:05</t>
  </si>
  <si>
    <t>14:36</t>
  </si>
  <si>
    <t>09:12</t>
  </si>
  <si>
    <t>15:06</t>
  </si>
  <si>
    <t>11:07</t>
  </si>
  <si>
    <t>QC Date</t>
  </si>
  <si>
    <t>QC Week</t>
  </si>
  <si>
    <t>1 σ to 2 σ</t>
  </si>
  <si>
    <t>1 σ to 2 σ [%]</t>
  </si>
  <si>
    <t>2 σ to 3 σ</t>
  </si>
  <si>
    <t>2 σ to 3 σ [%]</t>
  </si>
  <si>
    <t>&gt;3 σ</t>
  </si>
  <si>
    <t>&gt;3 σ [%]</t>
  </si>
  <si>
    <t>&lt;1 σ</t>
  </si>
  <si>
    <t>&lt;1 σ [%]</t>
  </si>
  <si>
    <t>Grand total tests</t>
  </si>
  <si>
    <t>Total tests</t>
  </si>
  <si>
    <t>09:10</t>
  </si>
  <si>
    <t>M1 Readings</t>
  </si>
  <si>
    <t>M2 Readings</t>
  </si>
  <si>
    <t>Column105</t>
  </si>
  <si>
    <t>M3 Readings</t>
  </si>
  <si>
    <t>100%</t>
  </si>
  <si>
    <t>177</t>
  </si>
  <si>
    <t>191</t>
  </si>
  <si>
    <t>10:51</t>
  </si>
  <si>
    <t>11:30</t>
  </si>
  <si>
    <t>14:30</t>
  </si>
  <si>
    <t>14:43</t>
  </si>
  <si>
    <t>75</t>
  </si>
  <si>
    <t>80</t>
  </si>
  <si>
    <t>10:15</t>
  </si>
  <si>
    <t>171</t>
  </si>
  <si>
    <t>14:20</t>
  </si>
  <si>
    <t>15:30</t>
  </si>
  <si>
    <t>14:00</t>
  </si>
  <si>
    <t>David</t>
  </si>
  <si>
    <t>16:10</t>
  </si>
  <si>
    <t>16:15</t>
  </si>
  <si>
    <t>10:52</t>
  </si>
  <si>
    <t>15:05</t>
  </si>
  <si>
    <t>12:08</t>
  </si>
  <si>
    <t>14:45</t>
  </si>
  <si>
    <t>10:40</t>
  </si>
  <si>
    <t>11:00</t>
  </si>
  <si>
    <t>172</t>
  </si>
  <si>
    <t>11:40</t>
  </si>
  <si>
    <t>11:24</t>
  </si>
  <si>
    <t>14:34</t>
  </si>
  <si>
    <t>11:39</t>
  </si>
  <si>
    <t>12:04</t>
  </si>
  <si>
    <t>12:03</t>
  </si>
  <si>
    <t>16:05</t>
  </si>
  <si>
    <t>11:20</t>
  </si>
  <si>
    <t>217</t>
  </si>
  <si>
    <t>11:41</t>
  </si>
  <si>
    <t>11:42</t>
  </si>
  <si>
    <t>10:58</t>
  </si>
  <si>
    <t>200</t>
  </si>
  <si>
    <t>11:54</t>
  </si>
  <si>
    <t>12:02</t>
  </si>
  <si>
    <t>12:20</t>
  </si>
  <si>
    <t>09:47</t>
  </si>
  <si>
    <t>11:19</t>
  </si>
  <si>
    <t>15:54</t>
  </si>
  <si>
    <t>10:39</t>
  </si>
  <si>
    <t>14:10</t>
  </si>
  <si>
    <t>10:55</t>
  </si>
  <si>
    <t>10:56</t>
  </si>
  <si>
    <t>15:35</t>
  </si>
  <si>
    <t>11:05</t>
  </si>
  <si>
    <t>12:19</t>
  </si>
  <si>
    <t>09:30</t>
  </si>
  <si>
    <t>12:55</t>
  </si>
  <si>
    <t>12:05</t>
  </si>
  <si>
    <t>10:49</t>
  </si>
  <si>
    <t>15:50</t>
  </si>
  <si>
    <t>12:13</t>
  </si>
  <si>
    <t>12:15</t>
  </si>
  <si>
    <t>155</t>
  </si>
  <si>
    <t>10:32</t>
  </si>
  <si>
    <t>10:20</t>
  </si>
  <si>
    <t>11:15</t>
  </si>
  <si>
    <t>153</t>
  </si>
  <si>
    <t>149</t>
  </si>
  <si>
    <t>11:21</t>
  </si>
  <si>
    <t>9:15</t>
  </si>
  <si>
    <t>L57 Powder</t>
  </si>
  <si>
    <t>ERIKA</t>
  </si>
  <si>
    <t>187</t>
  </si>
  <si>
    <t>213</t>
  </si>
  <si>
    <t>1.3</t>
  </si>
  <si>
    <t>206</t>
  </si>
  <si>
    <t>211</t>
  </si>
  <si>
    <t>11:49</t>
  </si>
  <si>
    <t>11:04</t>
  </si>
  <si>
    <t>174</t>
  </si>
  <si>
    <t>5.45</t>
  </si>
  <si>
    <t>11:50</t>
  </si>
  <si>
    <t>10.2</t>
  </si>
  <si>
    <t>11:59</t>
  </si>
  <si>
    <t>DWA</t>
  </si>
  <si>
    <t>9.63</t>
  </si>
  <si>
    <t>192</t>
  </si>
  <si>
    <t>181</t>
  </si>
  <si>
    <t>5.61</t>
  </si>
  <si>
    <t>Brigitta P</t>
  </si>
  <si>
    <t>178</t>
  </si>
  <si>
    <t>10:53</t>
  </si>
  <si>
    <t>6.83</t>
  </si>
  <si>
    <t>10:54</t>
  </si>
  <si>
    <t>10.5</t>
  </si>
  <si>
    <t>14:50</t>
  </si>
  <si>
    <t>156</t>
  </si>
  <si>
    <t>24</t>
  </si>
  <si>
    <t>14:55</t>
  </si>
  <si>
    <t>25</t>
  </si>
  <si>
    <t>3.74</t>
  </si>
  <si>
    <t>26</t>
  </si>
  <si>
    <t>P/Prod</t>
  </si>
  <si>
    <t>13:30</t>
  </si>
  <si>
    <t>ELENA</t>
  </si>
  <si>
    <t>FLORICA</t>
  </si>
  <si>
    <t>15:55</t>
  </si>
  <si>
    <t>15:00</t>
  </si>
  <si>
    <t>12:45</t>
  </si>
  <si>
    <t>13:35</t>
  </si>
  <si>
    <t>Evelin</t>
  </si>
  <si>
    <t>9:30</t>
  </si>
  <si>
    <t>Florica</t>
  </si>
  <si>
    <t>9:45</t>
  </si>
  <si>
    <t>12:40</t>
  </si>
  <si>
    <t>9:55</t>
  </si>
  <si>
    <t>09:05</t>
  </si>
  <si>
    <t>Roland</t>
  </si>
  <si>
    <t>06:40</t>
  </si>
  <si>
    <t>13:50</t>
  </si>
  <si>
    <t>9:40</t>
  </si>
  <si>
    <t>16:20</t>
  </si>
  <si>
    <t>Brigitta</t>
  </si>
  <si>
    <t>Elena</t>
  </si>
  <si>
    <t>4.44</t>
  </si>
  <si>
    <t>120</t>
  </si>
  <si>
    <t>11.2</t>
  </si>
  <si>
    <t>12:37</t>
  </si>
  <si>
    <t>2.10</t>
  </si>
  <si>
    <t>13:20</t>
  </si>
  <si>
    <t>2.63</t>
  </si>
  <si>
    <t>119</t>
  </si>
  <si>
    <t>4.65</t>
  </si>
  <si>
    <t>122</t>
  </si>
  <si>
    <t>10:00</t>
  </si>
  <si>
    <t>5.27</t>
  </si>
  <si>
    <t>Alla</t>
  </si>
  <si>
    <t>12:31</t>
  </si>
  <si>
    <t>4.81</t>
  </si>
  <si>
    <t>15:51</t>
  </si>
  <si>
    <t>15:02</t>
  </si>
  <si>
    <t>07:30</t>
  </si>
  <si>
    <t>19:20</t>
  </si>
  <si>
    <t>09:23</t>
  </si>
  <si>
    <t>7.44</t>
  </si>
  <si>
    <t>09:55</t>
  </si>
  <si>
    <t>3.87</t>
  </si>
  <si>
    <t>09:54</t>
  </si>
  <si>
    <t>4.98</t>
  </si>
  <si>
    <t>11:10</t>
  </si>
  <si>
    <t>9.06</t>
  </si>
  <si>
    <t>7.09</t>
  </si>
  <si>
    <t>6.12</t>
  </si>
  <si>
    <t>07:26</t>
  </si>
  <si>
    <t>16.0</t>
  </si>
  <si>
    <t>17.7</t>
  </si>
  <si>
    <t>18:50</t>
  </si>
  <si>
    <t>19:50</t>
  </si>
  <si>
    <t>15:27</t>
  </si>
  <si>
    <t>3.34</t>
  </si>
  <si>
    <t>2.98</t>
  </si>
  <si>
    <t>13:10</t>
  </si>
  <si>
    <t>151</t>
  </si>
  <si>
    <t>07:15</t>
  </si>
  <si>
    <t>2.77</t>
  </si>
  <si>
    <t>20:53</t>
  </si>
  <si>
    <t>11:56</t>
  </si>
  <si>
    <t>Brigitta P.</t>
  </si>
  <si>
    <t>7.62</t>
  </si>
  <si>
    <t>1.98</t>
  </si>
  <si>
    <t>11:31</t>
  </si>
  <si>
    <t>1.99</t>
  </si>
  <si>
    <t>15:11</t>
  </si>
  <si>
    <t>12:21</t>
  </si>
  <si>
    <t>ROBERT</t>
  </si>
  <si>
    <t>5.99</t>
  </si>
  <si>
    <t>15:12</t>
  </si>
  <si>
    <t>12:44</t>
  </si>
  <si>
    <t>165</t>
  </si>
  <si>
    <t>12:43</t>
  </si>
  <si>
    <t>4.94</t>
  </si>
  <si>
    <t>09:19</t>
  </si>
  <si>
    <t>12:35</t>
  </si>
  <si>
    <t>15:40</t>
  </si>
  <si>
    <t>3.07</t>
  </si>
  <si>
    <t>07:05</t>
  </si>
  <si>
    <t>4.56</t>
  </si>
  <si>
    <t>4.10</t>
  </si>
  <si>
    <t>14:31</t>
  </si>
  <si>
    <t>ERIKA/MARK</t>
  </si>
  <si>
    <t>6.37</t>
  </si>
  <si>
    <t>152</t>
  </si>
  <si>
    <t>09:13</t>
  </si>
  <si>
    <t>08:37</t>
  </si>
  <si>
    <t>06:57</t>
  </si>
  <si>
    <t>10:57</t>
  </si>
  <si>
    <t>MARK</t>
  </si>
  <si>
    <t>3.36</t>
  </si>
  <si>
    <t>07:51</t>
  </si>
  <si>
    <t>09:48</t>
  </si>
  <si>
    <t>07:33</t>
  </si>
  <si>
    <t>15:56</t>
  </si>
  <si>
    <t>08:25</t>
  </si>
  <si>
    <t>Kinga</t>
  </si>
  <si>
    <t>15:13</t>
  </si>
  <si>
    <t>09:08</t>
  </si>
  <si>
    <t>09:58</t>
  </si>
  <si>
    <t>09:33</t>
  </si>
  <si>
    <t>20:54</t>
  </si>
  <si>
    <t>36.1</t>
  </si>
  <si>
    <t>193</t>
  </si>
  <si>
    <t>194</t>
  </si>
  <si>
    <t>07:09</t>
  </si>
  <si>
    <t>12:53</t>
  </si>
  <si>
    <t>7.75</t>
  </si>
  <si>
    <t>14:37</t>
  </si>
  <si>
    <t>14:46</t>
  </si>
  <si>
    <t>15:19</t>
  </si>
  <si>
    <t>14:17</t>
  </si>
  <si>
    <t>19:43</t>
  </si>
  <si>
    <t>3.64</t>
  </si>
  <si>
    <t>12:16</t>
  </si>
  <si>
    <t>37.1</t>
  </si>
  <si>
    <t>12:18</t>
  </si>
  <si>
    <t>31.4</t>
  </si>
  <si>
    <t>10.3</t>
  </si>
  <si>
    <t>5.15</t>
  </si>
  <si>
    <t>6.07</t>
  </si>
  <si>
    <t>15:01</t>
  </si>
  <si>
    <t>14:07</t>
  </si>
  <si>
    <t>6.76</t>
  </si>
  <si>
    <t>14:06</t>
  </si>
  <si>
    <t>11.4</t>
  </si>
  <si>
    <t>6.87</t>
  </si>
  <si>
    <t>09:44</t>
  </si>
  <si>
    <t>9:35</t>
  </si>
  <si>
    <t>13:25</t>
  </si>
  <si>
    <t>9:50</t>
  </si>
  <si>
    <t>11:45</t>
  </si>
  <si>
    <t>15:45</t>
  </si>
  <si>
    <t>10:05</t>
  </si>
  <si>
    <t>09:40</t>
  </si>
  <si>
    <t>Old C</t>
  </si>
  <si>
    <t>8.82</t>
  </si>
  <si>
    <t>12.3</t>
  </si>
  <si>
    <t>4.58</t>
  </si>
  <si>
    <t>9.72</t>
  </si>
  <si>
    <t>2.58</t>
  </si>
  <si>
    <t>100</t>
  </si>
  <si>
    <t>2.35</t>
  </si>
  <si>
    <t>82</t>
  </si>
  <si>
    <t>Old D</t>
  </si>
  <si>
    <t>111</t>
  </si>
  <si>
    <t>116</t>
  </si>
  <si>
    <t>13:05</t>
  </si>
  <si>
    <t>1.46</t>
  </si>
  <si>
    <t>118</t>
  </si>
  <si>
    <t>4.35</t>
  </si>
  <si>
    <t>113</t>
  </si>
  <si>
    <t>125</t>
  </si>
  <si>
    <t>4.73</t>
  </si>
  <si>
    <t>2.39</t>
  </si>
  <si>
    <t>2.89</t>
  </si>
  <si>
    <t>7.78</t>
  </si>
  <si>
    <t>158</t>
  </si>
  <si>
    <t>12:25</t>
  </si>
  <si>
    <t>159</t>
  </si>
  <si>
    <t>12:38</t>
  </si>
  <si>
    <t>12:01</t>
  </si>
  <si>
    <t>17.2</t>
  </si>
  <si>
    <t>8.62</t>
  </si>
  <si>
    <t>103</t>
  </si>
  <si>
    <t>15.8</t>
  </si>
  <si>
    <t>102</t>
  </si>
  <si>
    <t>15:38</t>
  </si>
  <si>
    <t>10.9</t>
  </si>
  <si>
    <t>168</t>
  </si>
  <si>
    <t>5.48</t>
  </si>
  <si>
    <t>6.18</t>
  </si>
  <si>
    <t>3.53</t>
  </si>
  <si>
    <t>11:13</t>
  </si>
  <si>
    <t>11:11</t>
  </si>
  <si>
    <t>11:12</t>
  </si>
  <si>
    <t>14:19</t>
  </si>
  <si>
    <t>4.23</t>
  </si>
  <si>
    <t>5.34</t>
  </si>
  <si>
    <t>6.45</t>
  </si>
  <si>
    <t>3.42</t>
  </si>
  <si>
    <t>-</t>
  </si>
  <si>
    <t>15.0</t>
  </si>
  <si>
    <t>2.30</t>
  </si>
  <si>
    <t>3.12</t>
  </si>
  <si>
    <t>162</t>
  </si>
  <si>
    <t>11:16</t>
  </si>
  <si>
    <t>11:17</t>
  </si>
  <si>
    <t>14.9</t>
  </si>
  <si>
    <t>19:28</t>
  </si>
  <si>
    <t>3.44</t>
  </si>
  <si>
    <t>19:29</t>
  </si>
  <si>
    <t>19:30</t>
  </si>
  <si>
    <t>2.68</t>
  </si>
  <si>
    <t>14.3</t>
  </si>
  <si>
    <t>13:00</t>
  </si>
  <si>
    <t>19:45</t>
  </si>
  <si>
    <t>6.91</t>
  </si>
  <si>
    <t>2.83</t>
  </si>
  <si>
    <t>19:31</t>
  </si>
  <si>
    <t>10.6</t>
  </si>
  <si>
    <t>4.01</t>
  </si>
  <si>
    <t>3.24</t>
  </si>
  <si>
    <t>2.50</t>
  </si>
  <si>
    <t>2.99</t>
  </si>
  <si>
    <t>2.97</t>
  </si>
  <si>
    <t>20:49</t>
  </si>
  <si>
    <t>7.58</t>
  </si>
  <si>
    <t>20:50</t>
  </si>
  <si>
    <t>20:52</t>
  </si>
  <si>
    <t>8.02</t>
  </si>
  <si>
    <t>20:48</t>
  </si>
  <si>
    <t>37.8</t>
  </si>
  <si>
    <t>6.49</t>
  </si>
  <si>
    <t>11:47</t>
  </si>
  <si>
    <t>11:46</t>
  </si>
  <si>
    <t>173</t>
  </si>
  <si>
    <t>1.94</t>
  </si>
  <si>
    <t>10:42</t>
  </si>
  <si>
    <t>4.70</t>
  </si>
  <si>
    <t>15:07</t>
  </si>
  <si>
    <t>14:58</t>
  </si>
  <si>
    <t>14:56</t>
  </si>
  <si>
    <t>5.51</t>
  </si>
  <si>
    <t>5.62</t>
  </si>
  <si>
    <t>5.70</t>
  </si>
  <si>
    <t>12:46</t>
  </si>
  <si>
    <t>5.06</t>
  </si>
  <si>
    <t>12:42</t>
  </si>
  <si>
    <t>2.66</t>
  </si>
  <si>
    <t>09:17</t>
  </si>
  <si>
    <t>5.94</t>
  </si>
  <si>
    <t>09:16</t>
  </si>
  <si>
    <t>4.29</t>
  </si>
  <si>
    <t>142</t>
  </si>
  <si>
    <t>2.67</t>
  </si>
  <si>
    <t>12:33</t>
  </si>
  <si>
    <t>12:36</t>
  </si>
  <si>
    <t>7.32</t>
  </si>
  <si>
    <t>247</t>
  </si>
  <si>
    <t>250</t>
  </si>
  <si>
    <t>255</t>
  </si>
  <si>
    <t>199</t>
  </si>
  <si>
    <t>09:22</t>
  </si>
  <si>
    <t>24.8</t>
  </si>
  <si>
    <t>14:59</t>
  </si>
  <si>
    <t>2.73</t>
  </si>
  <si>
    <t>198</t>
  </si>
  <si>
    <t>08:53</t>
  </si>
  <si>
    <t>13:49</t>
  </si>
  <si>
    <t>13:48</t>
  </si>
  <si>
    <t>12.38%</t>
  </si>
  <si>
    <t>13:04</t>
  </si>
  <si>
    <t>3.32</t>
  </si>
  <si>
    <t>VACCUM&amp;O2 OK</t>
  </si>
  <si>
    <t>2.51</t>
  </si>
  <si>
    <t>08:42</t>
  </si>
  <si>
    <t>13:46</t>
  </si>
  <si>
    <t>185</t>
  </si>
  <si>
    <t>188</t>
  </si>
  <si>
    <t>12.9</t>
  </si>
  <si>
    <t>0.60</t>
  </si>
  <si>
    <t>3.55</t>
  </si>
  <si>
    <t>2.53</t>
  </si>
  <si>
    <t>182</t>
  </si>
  <si>
    <t>5.86</t>
  </si>
  <si>
    <t>3.95</t>
  </si>
  <si>
    <t>35.4</t>
  </si>
  <si>
    <t>07:55</t>
  </si>
  <si>
    <t>6.23</t>
  </si>
  <si>
    <t>16:04</t>
  </si>
  <si>
    <t>16:23</t>
  </si>
  <si>
    <t>6.63</t>
  </si>
  <si>
    <t>16:24</t>
  </si>
  <si>
    <t>15:33</t>
  </si>
  <si>
    <t>8.37</t>
  </si>
  <si>
    <t>15:31</t>
  </si>
  <si>
    <t>15:34</t>
  </si>
  <si>
    <t>14:44</t>
  </si>
  <si>
    <t>11:26</t>
  </si>
  <si>
    <t>8.17</t>
  </si>
  <si>
    <t>11:27</t>
  </si>
  <si>
    <t>7.22</t>
  </si>
  <si>
    <t>09:49</t>
  </si>
  <si>
    <t>10:29</t>
  </si>
  <si>
    <t>09:43</t>
  </si>
  <si>
    <t>2.27</t>
  </si>
  <si>
    <t>11:08</t>
  </si>
  <si>
    <t>2.21</t>
  </si>
  <si>
    <t>1.78</t>
  </si>
  <si>
    <t>09:42</t>
  </si>
  <si>
    <t>3.04</t>
  </si>
  <si>
    <t>14:47</t>
  </si>
  <si>
    <t>2.34</t>
  </si>
  <si>
    <t>09:52</t>
  </si>
  <si>
    <t>1.15</t>
  </si>
  <si>
    <t>1.01</t>
  </si>
  <si>
    <t>2.93</t>
  </si>
  <si>
    <t>15:14</t>
  </si>
  <si>
    <t>1.04</t>
  </si>
  <si>
    <t>5.39</t>
  </si>
  <si>
    <t>12:14</t>
  </si>
  <si>
    <t>37.7</t>
  </si>
  <si>
    <t>7.33</t>
  </si>
  <si>
    <t>24.7</t>
  </si>
  <si>
    <t>6.28</t>
  </si>
  <si>
    <t>3.48</t>
  </si>
  <si>
    <t>13.6</t>
  </si>
  <si>
    <t>163</t>
  </si>
  <si>
    <t>14:08</t>
  </si>
  <si>
    <t>101</t>
  </si>
  <si>
    <t>09:00</t>
  </si>
  <si>
    <t>16:25</t>
  </si>
  <si>
    <t>8.22</t>
  </si>
  <si>
    <t>1.95</t>
  </si>
  <si>
    <t>1.33</t>
  </si>
  <si>
    <t>1.84</t>
  </si>
  <si>
    <t>1.83</t>
  </si>
  <si>
    <t>7.25</t>
  </si>
  <si>
    <t>2.82</t>
  </si>
  <si>
    <t>2.76</t>
  </si>
  <si>
    <t>2.81</t>
  </si>
  <si>
    <t>11:58</t>
  </si>
  <si>
    <t>15:41</t>
  </si>
  <si>
    <t>167</t>
  </si>
  <si>
    <t>10:44</t>
  </si>
  <si>
    <t>3.79</t>
  </si>
  <si>
    <t>10:43</t>
  </si>
  <si>
    <t>11:43</t>
  </si>
  <si>
    <t>11:09</t>
  </si>
  <si>
    <t>5.55</t>
  </si>
  <si>
    <t>1.268</t>
  </si>
  <si>
    <t>12.6</t>
  </si>
  <si>
    <t>14:14</t>
  </si>
  <si>
    <t>5.00</t>
  </si>
  <si>
    <t>4.21</t>
  </si>
  <si>
    <t>14:16</t>
  </si>
  <si>
    <t>6.38</t>
  </si>
  <si>
    <t>3.14</t>
  </si>
  <si>
    <t>6.24</t>
  </si>
  <si>
    <t>3.65</t>
  </si>
  <si>
    <t>0.15</t>
  </si>
  <si>
    <t>4.20</t>
  </si>
  <si>
    <t>6.48</t>
  </si>
  <si>
    <t>11:18</t>
  </si>
  <si>
    <t>1.31</t>
  </si>
  <si>
    <t>18:55</t>
  </si>
  <si>
    <t>2.18</t>
  </si>
  <si>
    <t>2.09</t>
  </si>
  <si>
    <t>18:34</t>
  </si>
  <si>
    <t>2.75</t>
  </si>
  <si>
    <t>3.66</t>
  </si>
  <si>
    <t>18:30</t>
  </si>
  <si>
    <t>15.7</t>
  </si>
  <si>
    <t>18:31</t>
  </si>
  <si>
    <t>4.18</t>
  </si>
  <si>
    <t>3.96</t>
  </si>
  <si>
    <t>20:31</t>
  </si>
  <si>
    <t>27</t>
  </si>
  <si>
    <t>20:32</t>
  </si>
  <si>
    <t>8.26</t>
  </si>
  <si>
    <t>20:30</t>
  </si>
  <si>
    <t>11:48</t>
  </si>
  <si>
    <t>3.82</t>
  </si>
  <si>
    <t>170</t>
  </si>
  <si>
    <t>15:59</t>
  </si>
  <si>
    <t>13.8</t>
  </si>
  <si>
    <t>1.88</t>
  </si>
  <si>
    <t>1.90</t>
  </si>
  <si>
    <t>12:17</t>
  </si>
  <si>
    <t>11:14</t>
  </si>
  <si>
    <t>15:09</t>
  </si>
  <si>
    <t>15:08</t>
  </si>
  <si>
    <t>12:47</t>
  </si>
  <si>
    <t>3.25</t>
  </si>
  <si>
    <t>2.22</t>
  </si>
  <si>
    <t>2.52</t>
  </si>
  <si>
    <t>09:18</t>
  </si>
  <si>
    <t>12:34</t>
  </si>
  <si>
    <t>12:39</t>
  </si>
  <si>
    <t>201</t>
  </si>
  <si>
    <t>16.6</t>
  </si>
  <si>
    <t>3.03</t>
  </si>
  <si>
    <t>14:57</t>
  </si>
  <si>
    <t>08:54</t>
  </si>
  <si>
    <t>16.9</t>
  </si>
  <si>
    <t>09:09</t>
  </si>
  <si>
    <t>13:06</t>
  </si>
  <si>
    <t>11.12%</t>
  </si>
  <si>
    <t>13:07</t>
  </si>
  <si>
    <t>3.13</t>
  </si>
  <si>
    <t>12:56</t>
  </si>
  <si>
    <t>13:47</t>
  </si>
  <si>
    <t>13:32</t>
  </si>
  <si>
    <t>2.41</t>
  </si>
  <si>
    <t>15:57</t>
  </si>
  <si>
    <t>6.11</t>
  </si>
  <si>
    <t>15:58</t>
  </si>
  <si>
    <t>3.00</t>
  </si>
  <si>
    <t>1.82</t>
  </si>
  <si>
    <t>07:53</t>
  </si>
  <si>
    <t>07:52</t>
  </si>
  <si>
    <t>09:45</t>
  </si>
  <si>
    <t>5.65</t>
  </si>
  <si>
    <t>15:32</t>
  </si>
  <si>
    <t>15:47</t>
  </si>
  <si>
    <t>183</t>
  </si>
  <si>
    <t>16:26</t>
  </si>
  <si>
    <t>11:28</t>
  </si>
  <si>
    <t>2.06</t>
  </si>
  <si>
    <t>11:29</t>
  </si>
  <si>
    <t>2.57</t>
  </si>
  <si>
    <t>11:01</t>
  </si>
  <si>
    <t>2.60</t>
  </si>
  <si>
    <t>1.35</t>
  </si>
  <si>
    <t>09:57</t>
  </si>
  <si>
    <t>09:59</t>
  </si>
  <si>
    <t>09:31</t>
  </si>
  <si>
    <t>37.6</t>
  </si>
  <si>
    <t>14:33</t>
  </si>
  <si>
    <t>0.84</t>
  </si>
  <si>
    <t>1.67</t>
  </si>
  <si>
    <t>14:48</t>
  </si>
  <si>
    <t>1.18</t>
  </si>
  <si>
    <t>09:53</t>
  </si>
  <si>
    <t>2.49</t>
  </si>
  <si>
    <t>3.40</t>
  </si>
  <si>
    <t>1.86</t>
  </si>
  <si>
    <t>6.02</t>
  </si>
  <si>
    <t>History</t>
  </si>
  <si>
    <t>Source.Name</t>
  </si>
  <si>
    <t>METER 2</t>
  </si>
  <si>
    <t>METER 3</t>
  </si>
  <si>
    <t>METER 4</t>
  </si>
  <si>
    <t>M. 1  Label17</t>
  </si>
  <si>
    <t>M. 2  Label17</t>
  </si>
  <si>
    <t>HI782-0</t>
  </si>
  <si>
    <t>0972</t>
  </si>
  <si>
    <t>CP-R80</t>
  </si>
  <si>
    <t>W 12/2</t>
  </si>
  <si>
    <t>NO3</t>
  </si>
  <si>
    <t>Marine Nitrate HR Reagent</t>
  </si>
  <si>
    <t>TABLET 3</t>
  </si>
  <si>
    <t>196</t>
  </si>
  <si>
    <t>216</t>
  </si>
  <si>
    <t>0.0 mg/L</t>
  </si>
  <si>
    <t>75.0 mg/L</t>
  </si>
  <si>
    <t>2HEAD</t>
  </si>
  <si>
    <t>0898</t>
  </si>
  <si>
    <t>HI97115</t>
  </si>
  <si>
    <t>CTO -740</t>
  </si>
  <si>
    <t>CTO-743</t>
  </si>
  <si>
    <t>CTO-860</t>
  </si>
  <si>
    <t>mg/L</t>
  </si>
  <si>
    <t>MR101</t>
  </si>
  <si>
    <t>2.0</t>
  </si>
  <si>
    <t>4.9%</t>
  </si>
  <si>
    <t>35.0</t>
  </si>
  <si>
    <t>31.3</t>
  </si>
  <si>
    <t>38.7</t>
  </si>
  <si>
    <t>60.0</t>
  </si>
  <si>
    <t>55.1</t>
  </si>
  <si>
    <t>64.9</t>
  </si>
  <si>
    <t>1.7</t>
  </si>
  <si>
    <t>1.5</t>
  </si>
  <si>
    <t>1.9</t>
  </si>
  <si>
    <t>0.0</t>
  </si>
  <si>
    <t>M. 1  HI97115</t>
  </si>
  <si>
    <t>M. 2  HI97115</t>
  </si>
  <si>
    <t>14:24</t>
  </si>
  <si>
    <t>16.3</t>
  </si>
  <si>
    <t>16.4</t>
  </si>
  <si>
    <t>2.063</t>
  </si>
  <si>
    <t>1.49</t>
  </si>
  <si>
    <t>110123</t>
  </si>
  <si>
    <t>OLD LOT AT LAST PREP- HI782-0 LOT 0970</t>
  </si>
  <si>
    <t>1.55</t>
  </si>
  <si>
    <t>38.2</t>
  </si>
  <si>
    <t>38.5</t>
  </si>
  <si>
    <t>1.54</t>
  </si>
  <si>
    <t>37.9</t>
  </si>
  <si>
    <t>1.75</t>
  </si>
  <si>
    <t>64.8</t>
  </si>
  <si>
    <t>64.6</t>
  </si>
  <si>
    <t>2.040</t>
  </si>
  <si>
    <t>1.80</t>
  </si>
  <si>
    <t>16:01</t>
  </si>
  <si>
    <t>1.988</t>
  </si>
  <si>
    <t>3.38</t>
  </si>
  <si>
    <t>19:23</t>
  </si>
  <si>
    <t>18:58</t>
  </si>
  <si>
    <t>37.5</t>
  </si>
  <si>
    <t>1.904</t>
  </si>
  <si>
    <t>Monika</t>
  </si>
  <si>
    <t>43815</t>
  </si>
  <si>
    <t>Vacuum 10/10 OK</t>
  </si>
  <si>
    <t>19:24</t>
  </si>
  <si>
    <t>36.2</t>
  </si>
  <si>
    <t>36.3</t>
  </si>
  <si>
    <t>1.898</t>
  </si>
  <si>
    <t>1.27</t>
  </si>
  <si>
    <t>Temp.:23.5C</t>
  </si>
  <si>
    <t>55.6</t>
  </si>
  <si>
    <t>56.3</t>
  </si>
  <si>
    <t>1.899</t>
  </si>
  <si>
    <t>62713</t>
  </si>
  <si>
    <t>In the machine remaine a little pwd from previous lot</t>
  </si>
  <si>
    <t>56.6</t>
  </si>
  <si>
    <t>56.8</t>
  </si>
  <si>
    <t>1.905</t>
  </si>
  <si>
    <t>0.97</t>
  </si>
  <si>
    <t>Start with 180-190mg</t>
  </si>
  <si>
    <t>14.8</t>
  </si>
  <si>
    <t>1.903</t>
  </si>
  <si>
    <t>1.05</t>
  </si>
  <si>
    <t>15.1</t>
  </si>
  <si>
    <t>0.89</t>
  </si>
  <si>
    <t>19:42</t>
  </si>
  <si>
    <t>1.895</t>
  </si>
  <si>
    <t>1.900</t>
  </si>
  <si>
    <t>1.21</t>
  </si>
  <si>
    <t>20:29</t>
  </si>
  <si>
    <t>1.917</t>
  </si>
  <si>
    <t>1.19</t>
  </si>
  <si>
    <t>20:51</t>
  </si>
  <si>
    <t>34.6</t>
  </si>
  <si>
    <t>34.7</t>
  </si>
  <si>
    <t>1.918</t>
  </si>
  <si>
    <t>1.11</t>
  </si>
  <si>
    <t>58.6</t>
  </si>
  <si>
    <t>58.9</t>
  </si>
  <si>
    <t>1.901</t>
  </si>
  <si>
    <t>1.23</t>
  </si>
  <si>
    <t>61.3</t>
  </si>
  <si>
    <t>1.906</t>
  </si>
  <si>
    <t>1.34</t>
  </si>
  <si>
    <t>186</t>
  </si>
  <si>
    <t>20:56</t>
  </si>
  <si>
    <t>17.0</t>
  </si>
  <si>
    <t>1.50</t>
  </si>
  <si>
    <t>20:57</t>
  </si>
  <si>
    <t>17.5</t>
  </si>
  <si>
    <t>1.902</t>
  </si>
  <si>
    <t>1.06</t>
  </si>
  <si>
    <t>06:55</t>
  </si>
  <si>
    <t>1.02</t>
  </si>
  <si>
    <t>07:27</t>
  </si>
  <si>
    <t>37.2</t>
  </si>
  <si>
    <t>1.913</t>
  </si>
  <si>
    <t>07:28</t>
  </si>
  <si>
    <t>55.9</t>
  </si>
  <si>
    <t>55.8</t>
  </si>
  <si>
    <t>07:29</t>
  </si>
  <si>
    <t>59.2</t>
  </si>
  <si>
    <t>1.927</t>
  </si>
  <si>
    <t>1.07</t>
  </si>
  <si>
    <t>07:31</t>
  </si>
  <si>
    <t>17.6</t>
  </si>
  <si>
    <t>28</t>
  </si>
  <si>
    <t>16.8</t>
  </si>
  <si>
    <t>16.7</t>
  </si>
  <si>
    <t>1.12</t>
  </si>
  <si>
    <t>29</t>
  </si>
  <si>
    <t>07:32</t>
  </si>
  <si>
    <t>1.921</t>
  </si>
  <si>
    <t>30</t>
  </si>
  <si>
    <t>P/FINAL</t>
  </si>
  <si>
    <t>08:44</t>
  </si>
  <si>
    <t>08:15</t>
  </si>
  <si>
    <t>31</t>
  </si>
  <si>
    <t>08:45</t>
  </si>
  <si>
    <t>1.926</t>
  </si>
  <si>
    <t>32</t>
  </si>
  <si>
    <t>08:47</t>
  </si>
  <si>
    <t>60.1</t>
  </si>
  <si>
    <t>1.954</t>
  </si>
  <si>
    <t>33</t>
  </si>
  <si>
    <t>08:48</t>
  </si>
  <si>
    <t>57.2</t>
  </si>
  <si>
    <t>1.932</t>
  </si>
  <si>
    <t>1.70</t>
  </si>
  <si>
    <t>34</t>
  </si>
  <si>
    <t>08:51</t>
  </si>
  <si>
    <t>14.4</t>
  </si>
  <si>
    <t>1.952</t>
  </si>
  <si>
    <t>1.52</t>
  </si>
  <si>
    <t>35</t>
  </si>
  <si>
    <t>1.924</t>
  </si>
  <si>
    <t>0.95</t>
  </si>
  <si>
    <t>36</t>
  </si>
  <si>
    <t>09:56</t>
  </si>
  <si>
    <t>09:21</t>
  </si>
  <si>
    <t>37</t>
  </si>
  <si>
    <t>58.8</t>
  </si>
  <si>
    <t>58.7</t>
  </si>
  <si>
    <t>1.962</t>
  </si>
  <si>
    <t>1.37</t>
  </si>
  <si>
    <t>38</t>
  </si>
  <si>
    <t>64.2</t>
  </si>
  <si>
    <t>2.40</t>
  </si>
  <si>
    <t>39</t>
  </si>
  <si>
    <t>14.5</t>
  </si>
  <si>
    <t>1.24</t>
  </si>
  <si>
    <t>40</t>
  </si>
  <si>
    <t>41</t>
  </si>
  <si>
    <t>10:01</t>
  </si>
  <si>
    <t>42</t>
  </si>
  <si>
    <t>1.925</t>
  </si>
  <si>
    <t>1.42</t>
  </si>
  <si>
    <t>43</t>
  </si>
  <si>
    <t>11:23</t>
  </si>
  <si>
    <t>36.0</t>
  </si>
  <si>
    <t>1.931</t>
  </si>
  <si>
    <t>1.16</t>
  </si>
  <si>
    <t>44</t>
  </si>
  <si>
    <t>1.933</t>
  </si>
  <si>
    <t>45</t>
  </si>
  <si>
    <t>59.6</t>
  </si>
  <si>
    <t>1.950</t>
  </si>
  <si>
    <t>46</t>
  </si>
  <si>
    <t>1.942</t>
  </si>
  <si>
    <t>47</t>
  </si>
  <si>
    <t>1.964</t>
  </si>
  <si>
    <t>1.29</t>
  </si>
  <si>
    <t>48</t>
  </si>
  <si>
    <t>12:23</t>
  </si>
  <si>
    <t>35.3</t>
  </si>
  <si>
    <t>35.5</t>
  </si>
  <si>
    <t>1.963</t>
  </si>
  <si>
    <t>1.25</t>
  </si>
  <si>
    <t>49</t>
  </si>
  <si>
    <t>12:24</t>
  </si>
  <si>
    <t>50</t>
  </si>
  <si>
    <t>12:26</t>
  </si>
  <si>
    <t>58.3</t>
  </si>
  <si>
    <t>1.936</t>
  </si>
  <si>
    <t>1.59</t>
  </si>
  <si>
    <t>51</t>
  </si>
  <si>
    <t>61.8</t>
  </si>
  <si>
    <t>61.9</t>
  </si>
  <si>
    <t>1.28</t>
  </si>
  <si>
    <t>52</t>
  </si>
  <si>
    <t>12:27</t>
  </si>
  <si>
    <t>1.928</t>
  </si>
  <si>
    <t>1.56</t>
  </si>
  <si>
    <t>53</t>
  </si>
  <si>
    <t>12:29</t>
  </si>
  <si>
    <t>2.08</t>
  </si>
  <si>
    <t>54</t>
  </si>
  <si>
    <t>14:28</t>
  </si>
  <si>
    <t>13:16</t>
  </si>
  <si>
    <t>31.5</t>
  </si>
  <si>
    <t>94053</t>
  </si>
  <si>
    <t>55</t>
  </si>
  <si>
    <t>1.911</t>
  </si>
  <si>
    <t>SEAWATER 4 LOT:2218</t>
  </si>
  <si>
    <t>56</t>
  </si>
  <si>
    <t>14:32</t>
  </si>
  <si>
    <t>36.6</t>
  </si>
  <si>
    <t>1.10</t>
  </si>
  <si>
    <t>57</t>
  </si>
  <si>
    <t>61.1</t>
  </si>
  <si>
    <t>60.7</t>
  </si>
  <si>
    <t>1.915</t>
  </si>
  <si>
    <t>1.51</t>
  </si>
  <si>
    <t>58</t>
  </si>
  <si>
    <t>14:38</t>
  </si>
  <si>
    <t>62.6</t>
  </si>
  <si>
    <t>62.3</t>
  </si>
  <si>
    <t>1.916</t>
  </si>
  <si>
    <t>1.22</t>
  </si>
  <si>
    <t>59</t>
  </si>
  <si>
    <t>15.9</t>
  </si>
  <si>
    <t>16.2</t>
  </si>
  <si>
    <t>1.897</t>
  </si>
  <si>
    <t>60</t>
  </si>
  <si>
    <t>17.3</t>
  </si>
  <si>
    <t>61</t>
  </si>
  <si>
    <t>15:10</t>
  </si>
  <si>
    <t>37.4</t>
  </si>
  <si>
    <t>1.26</t>
  </si>
  <si>
    <t>62</t>
  </si>
  <si>
    <t>38.1</t>
  </si>
  <si>
    <t>1.910</t>
  </si>
  <si>
    <t>1.32</t>
  </si>
  <si>
    <t>63</t>
  </si>
  <si>
    <t>59.7</t>
  </si>
  <si>
    <t>60.3</t>
  </si>
  <si>
    <t>64</t>
  </si>
  <si>
    <t>59.1</t>
  </si>
  <si>
    <t>65</t>
  </si>
  <si>
    <t>15:22</t>
  </si>
  <si>
    <t>15.2</t>
  </si>
  <si>
    <t>15.3</t>
  </si>
  <si>
    <t>1.47</t>
  </si>
  <si>
    <t>66</t>
  </si>
  <si>
    <t>15:23</t>
  </si>
  <si>
    <t>1.03</t>
  </si>
  <si>
    <t>67</t>
  </si>
  <si>
    <t>16:13</t>
  </si>
  <si>
    <t>36.7</t>
  </si>
  <si>
    <t>68</t>
  </si>
  <si>
    <t>16:14</t>
  </si>
  <si>
    <t>38.0</t>
  </si>
  <si>
    <t>69</t>
  </si>
  <si>
    <t>16:17</t>
  </si>
  <si>
    <t>59.9</t>
  </si>
  <si>
    <t>70</t>
  </si>
  <si>
    <t>16:19</t>
  </si>
  <si>
    <t>15.6</t>
  </si>
  <si>
    <t>71</t>
  </si>
  <si>
    <t>72</t>
  </si>
  <si>
    <t>17:40</t>
  </si>
  <si>
    <t>17:30</t>
  </si>
  <si>
    <t>35.2</t>
  </si>
  <si>
    <t>35.8</t>
  </si>
  <si>
    <t>73</t>
  </si>
  <si>
    <t>18:51</t>
  </si>
  <si>
    <t>18:40</t>
  </si>
  <si>
    <t>38.4</t>
  </si>
  <si>
    <t>38.8</t>
  </si>
  <si>
    <t>74</t>
  </si>
  <si>
    <t>19:35</t>
  </si>
  <si>
    <t>36.5</t>
  </si>
  <si>
    <t>37.0</t>
  </si>
  <si>
    <t>09:03</t>
  </si>
  <si>
    <t>08:20</t>
  </si>
  <si>
    <t>76</t>
  </si>
  <si>
    <t>09:04</t>
  </si>
  <si>
    <t>34.9</t>
  </si>
  <si>
    <t>77</t>
  </si>
  <si>
    <t>59.4</t>
  </si>
  <si>
    <t>78</t>
  </si>
  <si>
    <t>09:06</t>
  </si>
  <si>
    <t>79</t>
  </si>
  <si>
    <t>1.894</t>
  </si>
  <si>
    <t>1.891</t>
  </si>
  <si>
    <t>81</t>
  </si>
  <si>
    <t>10:08</t>
  </si>
  <si>
    <t>35.9</t>
  </si>
  <si>
    <t>Vacuum 10/10 ok</t>
  </si>
  <si>
    <t>10:10</t>
  </si>
  <si>
    <t>37.3</t>
  </si>
  <si>
    <t>1.914</t>
  </si>
  <si>
    <t>83</t>
  </si>
  <si>
    <t>10:13</t>
  </si>
  <si>
    <t>55.7</t>
  </si>
  <si>
    <t>1.13</t>
  </si>
  <si>
    <t>84</t>
  </si>
  <si>
    <t>10:14</t>
  </si>
  <si>
    <t>85</t>
  </si>
  <si>
    <t>86</t>
  </si>
  <si>
    <t>10:16</t>
  </si>
  <si>
    <t>1.39</t>
  </si>
  <si>
    <t>87</t>
  </si>
  <si>
    <t>88</t>
  </si>
  <si>
    <t>1.43</t>
  </si>
  <si>
    <t>89</t>
  </si>
  <si>
    <t>62.8</t>
  </si>
  <si>
    <t>1.920</t>
  </si>
  <si>
    <t>90</t>
  </si>
  <si>
    <t>59.5</t>
  </si>
  <si>
    <t>2.37</t>
  </si>
  <si>
    <t>91</t>
  </si>
  <si>
    <t>92</t>
  </si>
  <si>
    <t>1.923</t>
  </si>
  <si>
    <t>93</t>
  </si>
  <si>
    <t>13:58</t>
  </si>
  <si>
    <t>13:17</t>
  </si>
  <si>
    <t>36.9</t>
  </si>
  <si>
    <t>1.896</t>
  </si>
  <si>
    <t>94</t>
  </si>
  <si>
    <t>13:59</t>
  </si>
  <si>
    <t>38.3</t>
  </si>
  <si>
    <t>1.20</t>
  </si>
  <si>
    <t>95</t>
  </si>
  <si>
    <t>14:02</t>
  </si>
  <si>
    <t>1.908</t>
  </si>
  <si>
    <t>96</t>
  </si>
  <si>
    <t>14:03</t>
  </si>
  <si>
    <t>17.1</t>
  </si>
  <si>
    <t>1.08</t>
  </si>
  <si>
    <t>97</t>
  </si>
  <si>
    <t>15:16</t>
  </si>
  <si>
    <t>33.3</t>
  </si>
  <si>
    <t>33.4</t>
  </si>
  <si>
    <t>Cuvete spalate</t>
  </si>
  <si>
    <t>98</t>
  </si>
  <si>
    <t>99</t>
  </si>
  <si>
    <t>15:20</t>
  </si>
  <si>
    <t>51.4</t>
  </si>
  <si>
    <t>51.6</t>
  </si>
  <si>
    <t>23707</t>
  </si>
  <si>
    <t>56.9</t>
  </si>
  <si>
    <t>57.3</t>
  </si>
  <si>
    <t>15:24</t>
  </si>
  <si>
    <t>0.94</t>
  </si>
  <si>
    <t>15:25</t>
  </si>
  <si>
    <t>9.4</t>
  </si>
  <si>
    <t>9.5</t>
  </si>
  <si>
    <t>94043</t>
  </si>
  <si>
    <t>New OMPI Cuvette</t>
  </si>
  <si>
    <t>104</t>
  </si>
  <si>
    <t>39.5</t>
  </si>
  <si>
    <t>39.6</t>
  </si>
  <si>
    <t>105</t>
  </si>
  <si>
    <t>16:03</t>
  </si>
  <si>
    <t>59.3</t>
  </si>
  <si>
    <t>1.909</t>
  </si>
  <si>
    <t>106</t>
  </si>
  <si>
    <t>60.5</t>
  </si>
  <si>
    <t>107</t>
  </si>
  <si>
    <t>16:06</t>
  </si>
  <si>
    <t>1.00</t>
  </si>
  <si>
    <t>108</t>
  </si>
  <si>
    <t>109</t>
  </si>
  <si>
    <t>07:58</t>
  </si>
  <si>
    <t>63.6</t>
  </si>
  <si>
    <t>63.5</t>
  </si>
  <si>
    <t>1.48</t>
  </si>
  <si>
    <t>62.5</t>
  </si>
  <si>
    <t>63.1</t>
  </si>
  <si>
    <t>08:38</t>
  </si>
  <si>
    <t>112</t>
  </si>
  <si>
    <t>114</t>
  </si>
  <si>
    <t>08:43</t>
  </si>
  <si>
    <t>2.25</t>
  </si>
  <si>
    <t>115</t>
  </si>
  <si>
    <t>09:51</t>
  </si>
  <si>
    <t>ROLI</t>
  </si>
  <si>
    <t>0.57</t>
  </si>
  <si>
    <t>117</t>
  </si>
  <si>
    <t>38.6</t>
  </si>
  <si>
    <t>121</t>
  </si>
  <si>
    <t>123</t>
  </si>
  <si>
    <t>15.7 mg/L</t>
  </si>
  <si>
    <t>36.6 mg/L</t>
  </si>
  <si>
    <t>Standard # 4</t>
  </si>
  <si>
    <t>59.1 mg/L</t>
  </si>
  <si>
    <t>0 mg/L</t>
  </si>
  <si>
    <t>Specifications</t>
  </si>
  <si>
    <t>Standard Value [ppm]</t>
  </si>
  <si>
    <t>Target Value ÷ U [ppm]</t>
  </si>
  <si>
    <t>Mean Value [ppm]</t>
  </si>
  <si>
    <t>Passed</t>
  </si>
  <si>
    <t>0.0 ÷ 2.0</t>
  </si>
  <si>
    <t>YES</t>
  </si>
  <si>
    <t>12.3 ÷ 17.7</t>
  </si>
  <si>
    <t>31.3 ÷ 38.7</t>
  </si>
  <si>
    <t>55.1 ÷ 64.9</t>
  </si>
  <si>
    <t>Validation Date</t>
  </si>
  <si>
    <t>by</t>
  </si>
  <si>
    <t>CP-R80_HI782-0_0.0_LOT0972_PWW.12.2_QC.xlsx</t>
  </si>
  <si>
    <t>R080_HI782-0_0.0_LOT0366_PWW49.1_QC.xlsx</t>
  </si>
  <si>
    <t>8.72</t>
  </si>
  <si>
    <t>SW4</t>
  </si>
  <si>
    <t>1.716</t>
  </si>
  <si>
    <t>9.44</t>
  </si>
  <si>
    <t>R080_HI782-0_0.0_LOT0367_PWW49.2_QC.xlsx</t>
  </si>
  <si>
    <t>1.811</t>
  </si>
  <si>
    <t>DAVID</t>
  </si>
  <si>
    <t>35404</t>
  </si>
  <si>
    <t>8.39</t>
  </si>
  <si>
    <t>EVA/DORINA</t>
  </si>
  <si>
    <t>1.979</t>
  </si>
  <si>
    <t>8.15</t>
  </si>
  <si>
    <t>14:01</t>
  </si>
  <si>
    <t>9.08</t>
  </si>
  <si>
    <t>13.5</t>
  </si>
  <si>
    <t>20:44</t>
  </si>
  <si>
    <t>9.61</t>
  </si>
  <si>
    <t>VACCUM OK</t>
  </si>
  <si>
    <t>06:56</t>
  </si>
  <si>
    <t>DORINA</t>
  </si>
  <si>
    <t>1.858</t>
  </si>
  <si>
    <t>R080_HI782-0_0.0_LOT0418_PW3W.1_QC.xlsx</t>
  </si>
  <si>
    <t>16:21</t>
  </si>
  <si>
    <t>2.47</t>
  </si>
  <si>
    <t>07:00</t>
  </si>
  <si>
    <t>33332</t>
  </si>
  <si>
    <t>R080_HI782-0_0.0_LOT0428_PW5W.1_QC.xlsx</t>
  </si>
  <si>
    <t>121510</t>
  </si>
  <si>
    <t>EVELIN/ERIKA</t>
  </si>
  <si>
    <t>5.481</t>
  </si>
  <si>
    <t>197</t>
  </si>
  <si>
    <t>08:56</t>
  </si>
  <si>
    <t>231</t>
  </si>
  <si>
    <t>82639</t>
  </si>
  <si>
    <t>1.813</t>
  </si>
  <si>
    <t>8.78</t>
  </si>
  <si>
    <t>232</t>
  </si>
  <si>
    <t>09:07</t>
  </si>
  <si>
    <t>225</t>
  </si>
  <si>
    <t>105429</t>
  </si>
  <si>
    <t>1.840</t>
  </si>
  <si>
    <t>222</t>
  </si>
  <si>
    <t>R080_HI782-0_0.0_LOT0450_PW7.1_QC.xlsx</t>
  </si>
  <si>
    <t>8.55</t>
  </si>
  <si>
    <t>220</t>
  </si>
  <si>
    <t>71858</t>
  </si>
  <si>
    <t>R080_HI782-0_0.0_LOT0473_PW7.1_QC.xlsx</t>
  </si>
  <si>
    <t>12:59</t>
  </si>
  <si>
    <t>ROLAND</t>
  </si>
  <si>
    <t>7.88</t>
  </si>
  <si>
    <t>74814</t>
  </si>
  <si>
    <t>R080_HI782-0_0.0_LOT0504_PWW11.1_QC.xlsx</t>
  </si>
  <si>
    <t>1.866</t>
  </si>
  <si>
    <t>2.24</t>
  </si>
  <si>
    <t>R080_HI782-0_0.0_LOT0512_PWW12.1_QC.xlsx</t>
  </si>
  <si>
    <t>16:34</t>
  </si>
  <si>
    <t>15:44</t>
  </si>
  <si>
    <t>1.60</t>
  </si>
  <si>
    <t>1.803</t>
  </si>
  <si>
    <t>18:13</t>
  </si>
  <si>
    <t>83550</t>
  </si>
  <si>
    <t>14:39</t>
  </si>
  <si>
    <t>2.01</t>
  </si>
  <si>
    <t>R080_HI782-0_0.0_LOT0548_PWW16.1_QC.xlsx</t>
  </si>
  <si>
    <t>0.91</t>
  </si>
  <si>
    <t>14741</t>
  </si>
  <si>
    <t>0.65</t>
  </si>
  <si>
    <t>214</t>
  </si>
  <si>
    <t>1.861</t>
  </si>
  <si>
    <t>125909</t>
  </si>
  <si>
    <t>1.41</t>
  </si>
  <si>
    <t>0.71</t>
  </si>
  <si>
    <t>R080_HI782-0_0.0_LOT0550_PWW16.2_QC.xlsx</t>
  </si>
  <si>
    <t>1.836</t>
  </si>
  <si>
    <t>11:02</t>
  </si>
  <si>
    <t>1.819</t>
  </si>
  <si>
    <t>17:14</t>
  </si>
  <si>
    <t>16:40</t>
  </si>
  <si>
    <t>0.62</t>
  </si>
  <si>
    <t>0.55</t>
  </si>
  <si>
    <t>R080_HI782-0_0.0_LOT0568_PWW19.1_QC.xlsx</t>
  </si>
  <si>
    <t>7:30</t>
  </si>
  <si>
    <t>06:46</t>
  </si>
  <si>
    <t>EVELIN/MARK</t>
  </si>
  <si>
    <t>1.865</t>
  </si>
  <si>
    <t>0.74</t>
  </si>
  <si>
    <t>16:16</t>
  </si>
  <si>
    <t>15:46</t>
  </si>
  <si>
    <t>1.36</t>
  </si>
  <si>
    <t>1.812</t>
  </si>
  <si>
    <t>0.54</t>
  </si>
  <si>
    <t>7:15</t>
  </si>
  <si>
    <t>21:02</t>
  </si>
  <si>
    <t>1.805</t>
  </si>
  <si>
    <t>0.80</t>
  </si>
  <si>
    <t>208</t>
  </si>
  <si>
    <t>209</t>
  </si>
  <si>
    <t>14:27</t>
  </si>
  <si>
    <t>13:14</t>
  </si>
  <si>
    <t>1.748</t>
  </si>
  <si>
    <t>210</t>
  </si>
  <si>
    <t>07:03</t>
  </si>
  <si>
    <t>17:36</t>
  </si>
  <si>
    <t>205</t>
  </si>
  <si>
    <t>103244</t>
  </si>
  <si>
    <t>CP-R80_HI782-0_0.0_LOT0632_PW28.1_QC.xlsx</t>
  </si>
  <si>
    <t>12:48</t>
  </si>
  <si>
    <t>104758</t>
  </si>
  <si>
    <t>CP-R80_HI782-0_0.0_LOT0634_PWW28.2_QC.xlsx</t>
  </si>
  <si>
    <t>13:27</t>
  </si>
  <si>
    <t>1.77</t>
  </si>
  <si>
    <t>13:28</t>
  </si>
  <si>
    <t>1.867</t>
  </si>
  <si>
    <t>13:37</t>
  </si>
  <si>
    <t>07:49</t>
  </si>
  <si>
    <t>1.892</t>
  </si>
  <si>
    <t>0.88</t>
  </si>
  <si>
    <t>0.29</t>
  </si>
  <si>
    <t>13:21</t>
  </si>
  <si>
    <t>15:29</t>
  </si>
  <si>
    <t>0.21</t>
  </si>
  <si>
    <t>CP-R80_HI782-0_0.0_LOT0652_PWW31.1_QC.xlsx</t>
  </si>
  <si>
    <t>16:18</t>
  </si>
  <si>
    <t>1.89</t>
  </si>
  <si>
    <t>CP-R80_HI782-0_0.0_LOT0652_PWW31.1_QC-Copy(1).xlsx</t>
  </si>
  <si>
    <t>CP-R80_HI782-0_0.0_LOT0654_PWW31.2_QC.xlsx</t>
  </si>
  <si>
    <t>13:54</t>
  </si>
  <si>
    <t>1.883</t>
  </si>
  <si>
    <t>1.97</t>
  </si>
  <si>
    <t>6:25</t>
  </si>
  <si>
    <t>15:03</t>
  </si>
  <si>
    <t>1.880</t>
  </si>
  <si>
    <t>14.88%</t>
  </si>
  <si>
    <t>13:18</t>
  </si>
  <si>
    <t>0.98</t>
  </si>
  <si>
    <t>61530</t>
  </si>
  <si>
    <t>1.912</t>
  </si>
  <si>
    <t>CP-R80_HI782-0_0.0_LOT0667_PWW35.1_QC.xlsx</t>
  </si>
  <si>
    <t>2.90</t>
  </si>
  <si>
    <t>62630</t>
  </si>
  <si>
    <t>2.106</t>
  </si>
  <si>
    <t>CP-R80_HI782-0_0.0_LOT0689_PWW38.1_QC.xlsx</t>
  </si>
  <si>
    <t>07:16</t>
  </si>
  <si>
    <t>0.75</t>
  </si>
  <si>
    <t>0.79</t>
  </si>
  <si>
    <t>CP-R80_HI782-0_0.0_LOT0696_PWW39.1_QC.xlsx</t>
  </si>
  <si>
    <t>15:36</t>
  </si>
  <si>
    <t>CP-R80_HI782-0_0.0_LOT0800_PW45.1_QC.xlsx</t>
  </si>
  <si>
    <t>0.77</t>
  </si>
  <si>
    <t>115629</t>
  </si>
  <si>
    <t>12:11</t>
  </si>
  <si>
    <t>3.27</t>
  </si>
  <si>
    <t>1.64</t>
  </si>
  <si>
    <t>215</t>
  </si>
  <si>
    <t>10:48</t>
  </si>
  <si>
    <t>10:47</t>
  </si>
  <si>
    <t>3.81</t>
  </si>
  <si>
    <t>1.947</t>
  </si>
  <si>
    <t>5.75</t>
  </si>
  <si>
    <t>13:09</t>
  </si>
  <si>
    <t>1.17</t>
  </si>
  <si>
    <t>0.73</t>
  </si>
  <si>
    <t>202</t>
  </si>
  <si>
    <t>0.96</t>
  </si>
  <si>
    <t>195</t>
  </si>
  <si>
    <t>12:32</t>
  </si>
  <si>
    <t>5.12</t>
  </si>
  <si>
    <t>224</t>
  </si>
  <si>
    <t>226</t>
  </si>
  <si>
    <t>1.889</t>
  </si>
  <si>
    <t>0.86</t>
  </si>
  <si>
    <t>CP-R80_HI782-0_0.0_LOT0869_PWW50.1_QC.xlsx</t>
  </si>
  <si>
    <t>ASTM D665</t>
  </si>
  <si>
    <t>1.852</t>
  </si>
  <si>
    <t>12:22</t>
  </si>
  <si>
    <t>1.855</t>
  </si>
  <si>
    <t>20:02</t>
  </si>
  <si>
    <t>19:10</t>
  </si>
  <si>
    <t>20:13</t>
  </si>
  <si>
    <t>1.853</t>
  </si>
  <si>
    <t>0.72</t>
  </si>
  <si>
    <t>SW 4 LOT:2030</t>
  </si>
  <si>
    <t>21:44</t>
  </si>
  <si>
    <t>20:41</t>
  </si>
  <si>
    <t>LOT:1230604035</t>
  </si>
  <si>
    <t>21:43</t>
  </si>
  <si>
    <t>SW4 LOT:2030</t>
  </si>
  <si>
    <t>21:12</t>
  </si>
  <si>
    <t>19:34</t>
  </si>
  <si>
    <t>0.16</t>
  </si>
  <si>
    <t>09:24</t>
  </si>
  <si>
    <t>1.800</t>
  </si>
  <si>
    <t>1.839</t>
  </si>
  <si>
    <t>2.54</t>
  </si>
  <si>
    <t>1.79</t>
  </si>
  <si>
    <t>1.68</t>
  </si>
  <si>
    <t>1.793</t>
  </si>
  <si>
    <t>CP-R80_HI782-0_0.0_LOT0894_PWW.03.1_QC.xlsx</t>
  </si>
  <si>
    <t>10:21</t>
  </si>
  <si>
    <t>1.850</t>
  </si>
  <si>
    <t>4.50</t>
  </si>
  <si>
    <t>2.00</t>
  </si>
  <si>
    <t>2.13</t>
  </si>
  <si>
    <t>13:02</t>
  </si>
  <si>
    <t>2.26</t>
  </si>
  <si>
    <t>13:03</t>
  </si>
  <si>
    <t>5.954</t>
  </si>
  <si>
    <t>NINA</t>
  </si>
  <si>
    <t>1.62</t>
  </si>
  <si>
    <t>2.000</t>
  </si>
  <si>
    <t>14:23</t>
  </si>
  <si>
    <t>1.884</t>
  </si>
  <si>
    <t>3.06</t>
  </si>
  <si>
    <t>20:16</t>
  </si>
  <si>
    <t>1.09</t>
  </si>
  <si>
    <t>1.73</t>
  </si>
  <si>
    <t>08:30</t>
  </si>
  <si>
    <t>1.823</t>
  </si>
  <si>
    <t>3.22</t>
  </si>
  <si>
    <t>09:14</t>
  </si>
  <si>
    <t>1.834</t>
  </si>
  <si>
    <t>2.36</t>
  </si>
  <si>
    <t>19:00</t>
  </si>
  <si>
    <t>2.70</t>
  </si>
  <si>
    <t>219</t>
  </si>
  <si>
    <t>1.719</t>
  </si>
  <si>
    <t>1.833</t>
  </si>
  <si>
    <t>18:02</t>
  </si>
  <si>
    <t>2.12</t>
  </si>
  <si>
    <t>0.14</t>
  </si>
  <si>
    <t>4.72</t>
  </si>
  <si>
    <t>18:03</t>
  </si>
  <si>
    <t>1.85</t>
  </si>
  <si>
    <t>CP-R80_HI782-0_0.0_LOT0898_PWW.04.1_QC.xlsx</t>
  </si>
  <si>
    <t>3.31</t>
  </si>
  <si>
    <t>3.57</t>
  </si>
  <si>
    <t>17:15</t>
  </si>
  <si>
    <t>42112</t>
  </si>
  <si>
    <t>3.23</t>
  </si>
  <si>
    <t>4.22</t>
  </si>
  <si>
    <t>1.58</t>
  </si>
  <si>
    <t>1..823</t>
  </si>
  <si>
    <t>3.01</t>
  </si>
  <si>
    <t>1.57</t>
  </si>
  <si>
    <t>08:41</t>
  </si>
  <si>
    <t>10:33</t>
  </si>
  <si>
    <t>1.63</t>
  </si>
  <si>
    <t>12:57</t>
  </si>
  <si>
    <t>1.845</t>
  </si>
  <si>
    <t>2.55</t>
  </si>
  <si>
    <t>1.45</t>
  </si>
  <si>
    <t>19:49</t>
  </si>
  <si>
    <t>1.820</t>
  </si>
  <si>
    <t>2.05</t>
  </si>
  <si>
    <t>2.80</t>
  </si>
  <si>
    <t>1.843</t>
  </si>
  <si>
    <t>3.85</t>
  </si>
  <si>
    <t>3.05</t>
  </si>
  <si>
    <t>8.56</t>
  </si>
  <si>
    <t>9.35</t>
  </si>
  <si>
    <t>08:39</t>
  </si>
  <si>
    <t>1.769</t>
  </si>
  <si>
    <t>08:32</t>
  </si>
  <si>
    <t>07:21</t>
  </si>
  <si>
    <t>1.870</t>
  </si>
  <si>
    <t>CP-R80_HI782-0_0.0_LOT0941_PWW08.1_QC.xlsx</t>
  </si>
  <si>
    <t>103504</t>
  </si>
  <si>
    <t>19:55</t>
  </si>
  <si>
    <t>18:49</t>
  </si>
  <si>
    <t>Nina</t>
  </si>
  <si>
    <t>1.65</t>
  </si>
  <si>
    <t>84053</t>
  </si>
  <si>
    <t>20:55</t>
  </si>
  <si>
    <t>20:01</t>
  </si>
  <si>
    <t>1.53</t>
  </si>
  <si>
    <t>223</t>
  </si>
  <si>
    <t>207</t>
  </si>
  <si>
    <t>1.969</t>
  </si>
  <si>
    <t>19:05</t>
  </si>
  <si>
    <t>17:59</t>
  </si>
  <si>
    <t>1.978</t>
  </si>
  <si>
    <t>221</t>
  </si>
  <si>
    <t>63333</t>
  </si>
  <si>
    <t>1.974</t>
  </si>
  <si>
    <t>19:09</t>
  </si>
  <si>
    <t>230</t>
  </si>
  <si>
    <t>21:05</t>
  </si>
  <si>
    <t>20:25</t>
  </si>
  <si>
    <t>2.19</t>
  </si>
  <si>
    <t>212</t>
  </si>
  <si>
    <t>1.968</t>
  </si>
  <si>
    <t>1.40</t>
  </si>
  <si>
    <t>10:45</t>
  </si>
  <si>
    <t>2.027</t>
  </si>
  <si>
    <t>08:08</t>
  </si>
  <si>
    <t>07:10</t>
  </si>
  <si>
    <t>SW4 LOT:2218</t>
  </si>
  <si>
    <t>20:14</t>
  </si>
  <si>
    <t>18:45</t>
  </si>
  <si>
    <t>2.067</t>
  </si>
  <si>
    <t>218</t>
  </si>
  <si>
    <t>1.993</t>
  </si>
  <si>
    <t>2.59</t>
  </si>
  <si>
    <t>08:04</t>
  </si>
  <si>
    <t>1.74</t>
  </si>
  <si>
    <t>21:00</t>
  </si>
  <si>
    <t>2.003</t>
  </si>
  <si>
    <t>1.87</t>
  </si>
  <si>
    <t>08:03</t>
  </si>
  <si>
    <t>1.786</t>
  </si>
  <si>
    <t>2.02</t>
  </si>
  <si>
    <t>227</t>
  </si>
  <si>
    <t>17:35</t>
  </si>
  <si>
    <t>1.878</t>
  </si>
  <si>
    <t>08:02</t>
  </si>
  <si>
    <t>1.790</t>
  </si>
  <si>
    <t>228</t>
  </si>
  <si>
    <t>18:00</t>
  </si>
  <si>
    <t>17:29</t>
  </si>
  <si>
    <t>1.72</t>
  </si>
  <si>
    <t>CP-R80_HI782-0_0.0_LOT0970_PWW.12.1_QC.xlsx</t>
  </si>
  <si>
    <t>08:36</t>
  </si>
  <si>
    <t>1.958</t>
  </si>
  <si>
    <t>3.15</t>
  </si>
  <si>
    <t>OLD  LOT</t>
  </si>
  <si>
    <t>1.965</t>
  </si>
  <si>
    <t>1.93</t>
  </si>
  <si>
    <t>12:07</t>
  </si>
  <si>
    <t>10:46</t>
  </si>
  <si>
    <t>13:52</t>
  </si>
  <si>
    <t>17:06</t>
  </si>
  <si>
    <t>16:27</t>
  </si>
  <si>
    <t>sw4</t>
  </si>
  <si>
    <t>12:06</t>
  </si>
  <si>
    <t>1.848</t>
  </si>
  <si>
    <t>1.76</t>
  </si>
  <si>
    <t>204</t>
  </si>
  <si>
    <t>62352</t>
  </si>
  <si>
    <t>15:21</t>
  </si>
  <si>
    <t>1.851</t>
  </si>
  <si>
    <t>11:36</t>
  </si>
  <si>
    <t>1.844</t>
  </si>
  <si>
    <t>1.92</t>
  </si>
  <si>
    <t>1.859</t>
  </si>
  <si>
    <t>1.91</t>
  </si>
  <si>
    <t>1.959</t>
  </si>
  <si>
    <t>2.78</t>
  </si>
  <si>
    <t>2112025/01/20</t>
  </si>
  <si>
    <t>08:16</t>
  </si>
  <si>
    <t>1.806</t>
  </si>
  <si>
    <t>18:06</t>
  </si>
  <si>
    <t>18:16</t>
  </si>
  <si>
    <t>1.760</t>
  </si>
  <si>
    <t>9.49</t>
  </si>
  <si>
    <t>1.726</t>
  </si>
  <si>
    <t>5.58</t>
  </si>
  <si>
    <t>6.36</t>
  </si>
  <si>
    <t>1.817</t>
  </si>
  <si>
    <t>9.84</t>
  </si>
  <si>
    <t>63501</t>
  </si>
  <si>
    <t>8.83</t>
  </si>
  <si>
    <t>13:41</t>
  </si>
  <si>
    <t>1.810</t>
  </si>
  <si>
    <t>1.815</t>
  </si>
  <si>
    <t>104504</t>
  </si>
  <si>
    <t>OLD LOT 0069</t>
  </si>
  <si>
    <t>1.893</t>
  </si>
  <si>
    <t>9.6</t>
  </si>
  <si>
    <t>7.66</t>
  </si>
  <si>
    <t>8.57</t>
  </si>
  <si>
    <t>7.67</t>
  </si>
  <si>
    <t>16:09</t>
  </si>
  <si>
    <t>3.19</t>
  </si>
  <si>
    <t>09:20</t>
  </si>
  <si>
    <t>07:06</t>
  </si>
  <si>
    <t>2.20</t>
  </si>
  <si>
    <t>teoretical weight bag nr 03</t>
  </si>
  <si>
    <t>teoretical weight bag nr 04</t>
  </si>
  <si>
    <t>07:59</t>
  </si>
  <si>
    <t>09:41</t>
  </si>
  <si>
    <t>08:29</t>
  </si>
  <si>
    <t>10:41</t>
  </si>
  <si>
    <t>09:32</t>
  </si>
  <si>
    <t>2.72</t>
  </si>
  <si>
    <t>238</t>
  </si>
  <si>
    <t>6.96</t>
  </si>
  <si>
    <t>0.61</t>
  </si>
  <si>
    <t>09:35</t>
  </si>
  <si>
    <t>1.829</t>
  </si>
  <si>
    <t>5.18</t>
  </si>
  <si>
    <t>3.97</t>
  </si>
  <si>
    <t>4.48</t>
  </si>
  <si>
    <t>8:00</t>
  </si>
  <si>
    <t>14:15</t>
  </si>
  <si>
    <t>24953</t>
  </si>
  <si>
    <t>5.33</t>
  </si>
  <si>
    <t>1.765</t>
  </si>
  <si>
    <t>1.81</t>
  </si>
  <si>
    <t>6.03</t>
  </si>
  <si>
    <t>1.890</t>
  </si>
  <si>
    <t>7.70</t>
  </si>
  <si>
    <t>248</t>
  </si>
  <si>
    <t>1.827</t>
  </si>
  <si>
    <t>5.89</t>
  </si>
  <si>
    <t>06:43</t>
  </si>
  <si>
    <t>6.20</t>
  </si>
  <si>
    <t>327</t>
  </si>
  <si>
    <t>08:46</t>
  </si>
  <si>
    <t>7.21</t>
  </si>
  <si>
    <t>8.63</t>
  </si>
  <si>
    <t>ERIKA/KRISZTINA</t>
  </si>
  <si>
    <t>94222</t>
  </si>
  <si>
    <t>.</t>
  </si>
  <si>
    <t>10.7</t>
  </si>
  <si>
    <t>08:07</t>
  </si>
  <si>
    <t>7.14</t>
  </si>
  <si>
    <t>24.5</t>
  </si>
  <si>
    <t>7.45</t>
  </si>
  <si>
    <t>8.35</t>
  </si>
  <si>
    <t>241</t>
  </si>
  <si>
    <t>1.796</t>
  </si>
  <si>
    <t>234</t>
  </si>
  <si>
    <t>09:38</t>
  </si>
  <si>
    <t>229</t>
  </si>
  <si>
    <t>24.6</t>
  </si>
  <si>
    <t>19:36</t>
  </si>
  <si>
    <t>17:00</t>
  </si>
  <si>
    <t>8.69</t>
  </si>
  <si>
    <t>06:54</t>
  </si>
  <si>
    <t>1.822</t>
  </si>
  <si>
    <t>6.47</t>
  </si>
  <si>
    <t>11:38</t>
  </si>
  <si>
    <t>0.59</t>
  </si>
  <si>
    <t>1.798</t>
  </si>
  <si>
    <t>19:33</t>
  </si>
  <si>
    <t>6.99</t>
  </si>
  <si>
    <t>21:45</t>
  </si>
  <si>
    <t>19:01</t>
  </si>
  <si>
    <t>1.877</t>
  </si>
  <si>
    <t>21:15</t>
  </si>
  <si>
    <t>20:42</t>
  </si>
  <si>
    <t>6.26</t>
  </si>
  <si>
    <t>21:16</t>
  </si>
  <si>
    <t>1.875</t>
  </si>
  <si>
    <t>5.38</t>
  </si>
  <si>
    <t>21148</t>
  </si>
  <si>
    <t>10:06</t>
  </si>
  <si>
    <t>1.837</t>
  </si>
  <si>
    <t>4.07</t>
  </si>
  <si>
    <t>4.92</t>
  </si>
  <si>
    <t>21:49</t>
  </si>
  <si>
    <t>7.71</t>
  </si>
  <si>
    <t>21:51</t>
  </si>
  <si>
    <t>12:51</t>
  </si>
  <si>
    <t>The air condition was turn on and the temp.was lower in box</t>
  </si>
  <si>
    <t>07:47</t>
  </si>
  <si>
    <t>1.96</t>
  </si>
  <si>
    <t>235</t>
  </si>
  <si>
    <t>14:51</t>
  </si>
  <si>
    <t>6.68</t>
  </si>
  <si>
    <t>6.30</t>
  </si>
  <si>
    <t>233</t>
  </si>
  <si>
    <t>1.864</t>
  </si>
  <si>
    <t>6.16</t>
  </si>
  <si>
    <t>4.83</t>
  </si>
  <si>
    <t>203</t>
  </si>
  <si>
    <t>65953</t>
  </si>
  <si>
    <t>14:21</t>
  </si>
  <si>
    <t>1.869</t>
  </si>
  <si>
    <t>20:06</t>
  </si>
  <si>
    <t>EVA</t>
  </si>
  <si>
    <t>5.47</t>
  </si>
  <si>
    <t>19:44</t>
  </si>
  <si>
    <t>18:08</t>
  </si>
  <si>
    <t>1.871</t>
  </si>
  <si>
    <t>17:18</t>
  </si>
  <si>
    <t>0.82</t>
  </si>
  <si>
    <t>1.842</t>
  </si>
  <si>
    <t>0.85</t>
  </si>
  <si>
    <t>1.846</t>
  </si>
  <si>
    <t>1.830</t>
  </si>
  <si>
    <t>0.81</t>
  </si>
  <si>
    <t>08:49</t>
  </si>
  <si>
    <t>1.825</t>
  </si>
  <si>
    <t>08:35</t>
  </si>
  <si>
    <t>10:38</t>
  </si>
  <si>
    <t>17741</t>
  </si>
  <si>
    <t>13:56</t>
  </si>
  <si>
    <t>13.26%</t>
  </si>
  <si>
    <t>0.68</t>
  </si>
  <si>
    <t>8:35</t>
  </si>
  <si>
    <t>63444</t>
  </si>
  <si>
    <t>8:30</t>
  </si>
  <si>
    <t>0.76</t>
  </si>
  <si>
    <t>1.828</t>
  </si>
  <si>
    <t>0.63</t>
  </si>
  <si>
    <t>VACCUM OK O2 OK</t>
  </si>
  <si>
    <t>14:42</t>
  </si>
  <si>
    <t>1.787</t>
  </si>
  <si>
    <t>1.767</t>
  </si>
  <si>
    <t>15:26</t>
  </si>
  <si>
    <t>1.862</t>
  </si>
  <si>
    <t>2.04</t>
  </si>
  <si>
    <t>EVELIN</t>
  </si>
  <si>
    <t>34328</t>
  </si>
  <si>
    <t>08:50</t>
  </si>
  <si>
    <t>34326</t>
  </si>
  <si>
    <t>0.78</t>
  </si>
  <si>
    <t>10:22</t>
  </si>
  <si>
    <t>17:53</t>
  </si>
  <si>
    <t>0.83</t>
  </si>
  <si>
    <t>12.75%</t>
  </si>
  <si>
    <t>1.706</t>
  </si>
  <si>
    <t>17:57</t>
  </si>
  <si>
    <t>19:38</t>
  </si>
  <si>
    <t>12.26%</t>
  </si>
  <si>
    <t>19:39</t>
  </si>
  <si>
    <t>0.58</t>
  </si>
  <si>
    <t>20:35</t>
  </si>
  <si>
    <t>1.838</t>
  </si>
  <si>
    <t>Vaccum ok o2 ok</t>
  </si>
  <si>
    <t>14.66%</t>
  </si>
  <si>
    <t>1.783</t>
  </si>
  <si>
    <t>14:09</t>
  </si>
  <si>
    <t>0.70</t>
  </si>
  <si>
    <t>0.46</t>
  </si>
  <si>
    <t>0.47</t>
  </si>
  <si>
    <t>VAACUM OK</t>
  </si>
  <si>
    <t>1.809</t>
  </si>
  <si>
    <t>0.44</t>
  </si>
  <si>
    <t>64825</t>
  </si>
  <si>
    <t>0.45</t>
  </si>
  <si>
    <t>74927</t>
  </si>
  <si>
    <t>11808</t>
  </si>
  <si>
    <t>12.88%</t>
  </si>
  <si>
    <t>0.66</t>
  </si>
  <si>
    <t>1.882</t>
  </si>
  <si>
    <t>0.38</t>
  </si>
  <si>
    <t>17:07</t>
  </si>
  <si>
    <t>0.51</t>
  </si>
  <si>
    <t>14.63%</t>
  </si>
  <si>
    <t>Brigitta T</t>
  </si>
  <si>
    <t>20:00</t>
  </si>
  <si>
    <t>14.99%</t>
  </si>
  <si>
    <t>0.53</t>
  </si>
  <si>
    <t>21:40</t>
  </si>
  <si>
    <t>21:24</t>
  </si>
  <si>
    <t>0.40</t>
  </si>
  <si>
    <t>1.807</t>
  </si>
  <si>
    <t>0.56</t>
  </si>
  <si>
    <t>07:14</t>
  </si>
  <si>
    <t>1.759</t>
  </si>
  <si>
    <t>1.791</t>
  </si>
  <si>
    <t>1.720</t>
  </si>
  <si>
    <t>10.08%,15.23%,11.04%,14.43%</t>
  </si>
  <si>
    <t>07:41</t>
  </si>
  <si>
    <t>94152</t>
  </si>
  <si>
    <t>07:19</t>
  </si>
  <si>
    <t>1.849</t>
  </si>
  <si>
    <t>4.61</t>
  </si>
  <si>
    <t>7:20</t>
  </si>
  <si>
    <t>0.99</t>
  </si>
  <si>
    <t>VACCUM &amp; O2 OK 11.69%</t>
  </si>
  <si>
    <t>11.63%</t>
  </si>
  <si>
    <t>19:26</t>
  </si>
  <si>
    <t>6.81%</t>
  </si>
  <si>
    <t>7:25</t>
  </si>
  <si>
    <t>7:10</t>
  </si>
  <si>
    <t>17:20</t>
  </si>
  <si>
    <t>1.784</t>
  </si>
  <si>
    <t>0.87</t>
  </si>
  <si>
    <t>13.45%</t>
  </si>
  <si>
    <t>14.25%</t>
  </si>
  <si>
    <t>vaccum&amp;o2 ok</t>
  </si>
  <si>
    <t>0.35</t>
  </si>
  <si>
    <t>7.76%</t>
  </si>
  <si>
    <t>11.42%</t>
  </si>
  <si>
    <t>07:04</t>
  </si>
  <si>
    <t>1.789</t>
  </si>
  <si>
    <t>VACCM&amp;O2 OK</t>
  </si>
  <si>
    <t>1.775</t>
  </si>
  <si>
    <t>10.12%</t>
  </si>
  <si>
    <t>80639</t>
  </si>
  <si>
    <t>06:39</t>
  </si>
  <si>
    <t>1.14</t>
  </si>
  <si>
    <t>VAACUM OK 10/10</t>
  </si>
  <si>
    <t>15.34%</t>
  </si>
  <si>
    <t>7.83%</t>
  </si>
  <si>
    <t>14:49</t>
  </si>
  <si>
    <t>12.96%</t>
  </si>
  <si>
    <t>07:12</t>
  </si>
  <si>
    <t>1.777</t>
  </si>
  <si>
    <t>14.80%</t>
  </si>
  <si>
    <t>1.780</t>
  </si>
  <si>
    <t>13.35%</t>
  </si>
  <si>
    <t>0.52</t>
  </si>
  <si>
    <t>14.51%</t>
  </si>
  <si>
    <t>1.778</t>
  </si>
  <si>
    <t>12.21%</t>
  </si>
  <si>
    <t>07:46</t>
  </si>
  <si>
    <t>10.68%</t>
  </si>
  <si>
    <t>19:56</t>
  </si>
  <si>
    <t>1.710</t>
  </si>
  <si>
    <t>4.09%</t>
  </si>
  <si>
    <t>06:59</t>
  </si>
  <si>
    <t>11.25%</t>
  </si>
  <si>
    <t>8.6%</t>
  </si>
  <si>
    <t>13.48%</t>
  </si>
  <si>
    <t>10.15%</t>
  </si>
  <si>
    <t>6.52%</t>
  </si>
  <si>
    <t>1.715</t>
  </si>
  <si>
    <t>vaacum ok 10/10</t>
  </si>
  <si>
    <t>15:28</t>
  </si>
  <si>
    <t>4.02</t>
  </si>
  <si>
    <t>vaccum&amp;O2 OK</t>
  </si>
  <si>
    <t>20:07</t>
  </si>
  <si>
    <t>1.44</t>
  </si>
  <si>
    <t>18:28</t>
  </si>
  <si>
    <t>1.802</t>
  </si>
  <si>
    <t>14.21%</t>
  </si>
  <si>
    <t>0.92</t>
  </si>
  <si>
    <t>10.16%</t>
  </si>
  <si>
    <t>13:36</t>
  </si>
  <si>
    <t>13:12</t>
  </si>
  <si>
    <t>1.967</t>
  </si>
  <si>
    <t>3.58</t>
  </si>
  <si>
    <t>13:11</t>
  </si>
  <si>
    <t>19:15</t>
  </si>
  <si>
    <t>104926</t>
  </si>
  <si>
    <t>14.20%</t>
  </si>
  <si>
    <t>07:36</t>
  </si>
  <si>
    <t>14.13%</t>
  </si>
  <si>
    <t>0.64</t>
  </si>
  <si>
    <t>81546</t>
  </si>
  <si>
    <t>1.976</t>
  </si>
  <si>
    <t>81526</t>
  </si>
  <si>
    <t>0.69</t>
  </si>
  <si>
    <t>11:06</t>
  </si>
  <si>
    <t>6.44</t>
  </si>
  <si>
    <t>55204</t>
  </si>
  <si>
    <t>16:11</t>
  </si>
  <si>
    <t>09:36</t>
  </si>
  <si>
    <t>14:22</t>
  </si>
  <si>
    <t>1.96%</t>
  </si>
  <si>
    <t>0.93</t>
  </si>
  <si>
    <t>24.8°C</t>
  </si>
  <si>
    <t>24.9°C</t>
  </si>
  <si>
    <t>11.27%</t>
  </si>
  <si>
    <t>10.10%</t>
  </si>
  <si>
    <t>1.860</t>
  </si>
  <si>
    <t>12.72%</t>
  </si>
  <si>
    <t>08:52</t>
  </si>
  <si>
    <t>07:37</t>
  </si>
  <si>
    <t>240</t>
  </si>
  <si>
    <t>13:23</t>
  </si>
  <si>
    <t>13:24</t>
  </si>
  <si>
    <t>20:38</t>
  </si>
  <si>
    <t>20:20</t>
  </si>
  <si>
    <t>0.06%</t>
  </si>
  <si>
    <t>0.39</t>
  </si>
  <si>
    <t>11.57%</t>
  </si>
  <si>
    <t>13.75%</t>
  </si>
  <si>
    <t>2.86</t>
  </si>
  <si>
    <t>263</t>
  </si>
  <si>
    <t>17:02</t>
  </si>
  <si>
    <t>239</t>
  </si>
  <si>
    <t>251</t>
  </si>
  <si>
    <t>8.85</t>
  </si>
  <si>
    <t>1.943</t>
  </si>
  <si>
    <t>13.32%</t>
  </si>
  <si>
    <t>236</t>
  </si>
  <si>
    <t>08:59</t>
  </si>
  <si>
    <t>12.37%</t>
  </si>
  <si>
    <t>1.945</t>
  </si>
  <si>
    <t>14.45%</t>
  </si>
  <si>
    <t>103310</t>
  </si>
  <si>
    <t>10.60%</t>
  </si>
  <si>
    <t>9:27</t>
  </si>
  <si>
    <t>16:31</t>
  </si>
  <si>
    <t>15:53</t>
  </si>
  <si>
    <t>5.24</t>
  </si>
  <si>
    <t>13:22</t>
  </si>
  <si>
    <t>8.02%</t>
  </si>
  <si>
    <t>17:55</t>
  </si>
  <si>
    <t>13.51%</t>
  </si>
  <si>
    <t>1.953</t>
  </si>
  <si>
    <t>10.67%</t>
  </si>
  <si>
    <t>11.04%</t>
  </si>
  <si>
    <t>13.53%</t>
  </si>
  <si>
    <t>20:19</t>
  </si>
  <si>
    <t>3.08</t>
  </si>
  <si>
    <t>08:19</t>
  </si>
  <si>
    <t>2.016</t>
  </si>
  <si>
    <t>EPPENDORF PREP.2024.09.10</t>
  </si>
  <si>
    <t>3.93</t>
  </si>
  <si>
    <t>ASTM</t>
  </si>
  <si>
    <t>21:20</t>
  </si>
  <si>
    <t>20:37</t>
  </si>
  <si>
    <t>1.71</t>
  </si>
  <si>
    <t>264</t>
  </si>
  <si>
    <t>Geanina</t>
  </si>
  <si>
    <t>31420</t>
  </si>
  <si>
    <t>256</t>
  </si>
  <si>
    <t>21:14</t>
  </si>
  <si>
    <t>261</t>
  </si>
  <si>
    <t>18:52</t>
  </si>
  <si>
    <t>265</t>
  </si>
  <si>
    <t>243</t>
  </si>
  <si>
    <t>19:32</t>
  </si>
  <si>
    <t>1.61</t>
  </si>
  <si>
    <t>prepared epp from 2 packets</t>
  </si>
  <si>
    <t>take out the powder from packet</t>
  </si>
  <si>
    <t>17:32</t>
  </si>
  <si>
    <t>16:28</t>
  </si>
  <si>
    <t>259</t>
  </si>
  <si>
    <t>2.14</t>
  </si>
  <si>
    <t>17:03</t>
  </si>
  <si>
    <t>266</t>
  </si>
  <si>
    <t>262</t>
  </si>
  <si>
    <t>314120</t>
  </si>
  <si>
    <t>2.31</t>
  </si>
  <si>
    <t>Brigitta P/Elena</t>
  </si>
  <si>
    <t>17:45</t>
  </si>
  <si>
    <t>17:19</t>
  </si>
  <si>
    <t>272</t>
  </si>
  <si>
    <t>14:29</t>
  </si>
  <si>
    <t>100234</t>
  </si>
  <si>
    <t>19:21</t>
  </si>
  <si>
    <t>271</t>
  </si>
  <si>
    <t>267</t>
  </si>
  <si>
    <t>17:43</t>
  </si>
  <si>
    <t>21:11</t>
  </si>
  <si>
    <t>20:43</t>
  </si>
  <si>
    <t>2.15</t>
  </si>
  <si>
    <t>2.11</t>
  </si>
  <si>
    <t>5.80</t>
  </si>
  <si>
    <t>8:15</t>
  </si>
  <si>
    <t>07:17</t>
  </si>
  <si>
    <t>8:10</t>
  </si>
  <si>
    <t>260</t>
  </si>
  <si>
    <t>20:36</t>
  </si>
  <si>
    <t>20:10</t>
  </si>
  <si>
    <t>254</t>
  </si>
  <si>
    <t>23301</t>
  </si>
  <si>
    <t>1.30</t>
  </si>
  <si>
    <t>269</t>
  </si>
  <si>
    <t>17:08</t>
  </si>
  <si>
    <t>16:39</t>
  </si>
  <si>
    <t>0.90</t>
  </si>
  <si>
    <t>09:37</t>
  </si>
  <si>
    <t>20:47</t>
  </si>
  <si>
    <t>102750</t>
  </si>
  <si>
    <t>16:12</t>
  </si>
  <si>
    <t>10:34</t>
  </si>
  <si>
    <t>0.17</t>
  </si>
  <si>
    <t>13:26</t>
  </si>
  <si>
    <t>21:13</t>
  </si>
  <si>
    <t>08:12</t>
  </si>
  <si>
    <t>249</t>
  </si>
  <si>
    <t>19:25</t>
  </si>
  <si>
    <t>0.50</t>
  </si>
  <si>
    <t>122859</t>
  </si>
  <si>
    <t>2.07</t>
  </si>
  <si>
    <t>17:11</t>
  </si>
  <si>
    <t>16:37</t>
  </si>
  <si>
    <t>17:12</t>
  </si>
  <si>
    <t>15:37</t>
  </si>
  <si>
    <t>16:30</t>
  </si>
  <si>
    <t>0.49</t>
  </si>
  <si>
    <t>08:34</t>
  </si>
  <si>
    <t>09:29</t>
  </si>
  <si>
    <t>11:32</t>
  </si>
  <si>
    <t>1.69</t>
  </si>
  <si>
    <t>17:13</t>
  </si>
  <si>
    <t>19:13</t>
  </si>
  <si>
    <t>21:25</t>
  </si>
  <si>
    <t>20:59</t>
  </si>
  <si>
    <t>19:11</t>
  </si>
  <si>
    <t>94947</t>
  </si>
  <si>
    <t>15:48</t>
  </si>
  <si>
    <t>0.67</t>
  </si>
  <si>
    <t>244</t>
  </si>
  <si>
    <t>21:39</t>
  </si>
  <si>
    <t>21:19</t>
  </si>
  <si>
    <t>07:01</t>
  </si>
  <si>
    <t>5.63</t>
  </si>
  <si>
    <t>10:31</t>
  </si>
  <si>
    <t>09:15</t>
  </si>
  <si>
    <t>11:34</t>
  </si>
  <si>
    <t>15:49</t>
  </si>
  <si>
    <t>10:07</t>
  </si>
  <si>
    <t>242</t>
  </si>
  <si>
    <t>09:27</t>
  </si>
  <si>
    <t>1.749</t>
  </si>
  <si>
    <t>1.885</t>
  </si>
  <si>
    <t>After more mixing</t>
  </si>
  <si>
    <t>08:00</t>
  </si>
  <si>
    <t>08:40</t>
  </si>
  <si>
    <t>EPP DIN PLIC</t>
  </si>
  <si>
    <t>06:51</t>
  </si>
  <si>
    <t>2.17</t>
  </si>
  <si>
    <t>17:28</t>
  </si>
  <si>
    <t>16:49</t>
  </si>
  <si>
    <t>1.835</t>
  </si>
  <si>
    <t>164</t>
  </si>
  <si>
    <t>1.847</t>
  </si>
  <si>
    <t>1.821</t>
  </si>
  <si>
    <t>21:36</t>
  </si>
  <si>
    <t>19:41</t>
  </si>
  <si>
    <t>19:03</t>
  </si>
  <si>
    <t>new STD/OLD LOT:0800</t>
  </si>
  <si>
    <t>9.28%;12.45%15.90%10.44%</t>
  </si>
  <si>
    <t>15:43</t>
  </si>
  <si>
    <t>07:40</t>
  </si>
  <si>
    <t>17:04</t>
  </si>
  <si>
    <t>1.824</t>
  </si>
  <si>
    <t>21:35</t>
  </si>
  <si>
    <t>20.47</t>
  </si>
  <si>
    <t>1.826</t>
  </si>
  <si>
    <t>1.764</t>
  </si>
  <si>
    <t>16:38</t>
  </si>
  <si>
    <t>07:45</t>
  </si>
  <si>
    <t>1.785</t>
  </si>
  <si>
    <t>17:56</t>
  </si>
  <si>
    <t>1.797</t>
  </si>
  <si>
    <t>10:03</t>
  </si>
  <si>
    <t>08:18</t>
  </si>
  <si>
    <t>10:04</t>
  </si>
  <si>
    <t>06:28</t>
  </si>
  <si>
    <t>1.757</t>
  </si>
  <si>
    <t>09:02</t>
  </si>
  <si>
    <t>08:10</t>
  </si>
  <si>
    <t>1.779</t>
  </si>
  <si>
    <t>4.60</t>
  </si>
  <si>
    <t>17:41</t>
  </si>
  <si>
    <t>20:45</t>
  </si>
  <si>
    <t>21:09</t>
  </si>
  <si>
    <t>1.854</t>
  </si>
  <si>
    <t>19:59</t>
  </si>
  <si>
    <t>19:58</t>
  </si>
  <si>
    <t>1.832</t>
  </si>
  <si>
    <t>08:58</t>
  </si>
  <si>
    <t>18:57</t>
  </si>
  <si>
    <t>18:04</t>
  </si>
  <si>
    <t>08:57</t>
  </si>
  <si>
    <t>1.857</t>
  </si>
  <si>
    <t>10:27</t>
  </si>
  <si>
    <t>1.868</t>
  </si>
  <si>
    <t>2.84</t>
  </si>
  <si>
    <t>1.863</t>
  </si>
  <si>
    <t>17:37</t>
  </si>
  <si>
    <t>1.831</t>
  </si>
  <si>
    <t>19:54</t>
  </si>
  <si>
    <t>21:04</t>
  </si>
  <si>
    <t>20:40</t>
  </si>
  <si>
    <t>10:26</t>
  </si>
  <si>
    <t>4.34</t>
  </si>
  <si>
    <t>20:11</t>
  </si>
  <si>
    <t>8.87</t>
  </si>
  <si>
    <t>Roli</t>
  </si>
  <si>
    <t>19:22</t>
  </si>
  <si>
    <t>16:57</t>
  </si>
  <si>
    <t>1.804</t>
  </si>
  <si>
    <t>16:56</t>
  </si>
  <si>
    <t>1.856</t>
  </si>
  <si>
    <t>9.12</t>
  </si>
  <si>
    <t>6.09</t>
  </si>
  <si>
    <t>08:31</t>
  </si>
  <si>
    <t>08:22</t>
  </si>
  <si>
    <t>1872</t>
  </si>
  <si>
    <t>20:39</t>
  </si>
  <si>
    <t>2.036</t>
  </si>
  <si>
    <t>2.020</t>
  </si>
  <si>
    <t>2.052</t>
  </si>
  <si>
    <t>2.060</t>
  </si>
  <si>
    <t>17:27</t>
  </si>
  <si>
    <t>nina</t>
  </si>
  <si>
    <t>2.005</t>
  </si>
  <si>
    <t>17:26</t>
  </si>
  <si>
    <t>1.997</t>
  </si>
  <si>
    <t>15:52</t>
  </si>
  <si>
    <t>1.960</t>
  </si>
  <si>
    <t>1.944</t>
  </si>
  <si>
    <t>07:11</t>
  </si>
  <si>
    <t>1.888</t>
  </si>
  <si>
    <t>1.38</t>
  </si>
  <si>
    <t>1.872</t>
  </si>
  <si>
    <t>1.972</t>
  </si>
  <si>
    <t>2.006</t>
  </si>
  <si>
    <t>16:41</t>
  </si>
  <si>
    <t>1.990</t>
  </si>
  <si>
    <t>1.985</t>
  </si>
  <si>
    <t>1.966</t>
  </si>
  <si>
    <t>1.982</t>
  </si>
  <si>
    <t>1.995</t>
  </si>
  <si>
    <t>1.980</t>
  </si>
  <si>
    <t>LOT:0898</t>
  </si>
  <si>
    <t>07:20</t>
  </si>
  <si>
    <t>07:48</t>
  </si>
  <si>
    <t>1.996</t>
  </si>
  <si>
    <t>1.983</t>
  </si>
  <si>
    <t>1.984</t>
  </si>
  <si>
    <t>1.989</t>
  </si>
  <si>
    <t>21:07</t>
  </si>
  <si>
    <t>2.008</t>
  </si>
  <si>
    <t>2.007</t>
  </si>
  <si>
    <t>21:03</t>
  </si>
  <si>
    <t>2.032</t>
  </si>
  <si>
    <t>2.026</t>
  </si>
  <si>
    <t>17:47</t>
  </si>
  <si>
    <t>17:21</t>
  </si>
  <si>
    <t>17:46</t>
  </si>
  <si>
    <t>16:58</t>
  </si>
  <si>
    <t>2.029</t>
  </si>
  <si>
    <t>3.02</t>
  </si>
  <si>
    <t>2.024</t>
  </si>
  <si>
    <t>2.002</t>
  </si>
  <si>
    <t>1.971</t>
  </si>
  <si>
    <t>1.929</t>
  </si>
  <si>
    <t>07:43</t>
  </si>
  <si>
    <t>07:42</t>
  </si>
  <si>
    <t>14:04</t>
  </si>
  <si>
    <t>1.986</t>
  </si>
  <si>
    <t>17:54</t>
  </si>
  <si>
    <t>1.879</t>
  </si>
  <si>
    <t>17:31</t>
  </si>
  <si>
    <t>S-a adaugat praf de ieri ,care deja era in masina,oscileaza gramajul</t>
  </si>
  <si>
    <t>1.795</t>
  </si>
  <si>
    <t>1.818</t>
  </si>
  <si>
    <t>S-a adaugat praf de ieri ,care deja era in masina,</t>
  </si>
  <si>
    <t>07:44</t>
  </si>
  <si>
    <t>07:34</t>
  </si>
  <si>
    <t>1.761</t>
  </si>
  <si>
    <t>1.788</t>
  </si>
  <si>
    <t>1.774</t>
  </si>
  <si>
    <t>10:37</t>
  </si>
  <si>
    <t>3.11</t>
  </si>
  <si>
    <t>10:36</t>
  </si>
  <si>
    <t>21:26</t>
  </si>
  <si>
    <t>1.66</t>
  </si>
  <si>
    <t>1.874</t>
  </si>
  <si>
    <t>10:30</t>
  </si>
  <si>
    <t>2.009</t>
  </si>
  <si>
    <t>2218</t>
  </si>
  <si>
    <t>1.970</t>
  </si>
  <si>
    <t>2.56</t>
  </si>
  <si>
    <t>EPP:172mg</t>
  </si>
  <si>
    <t>21:10</t>
  </si>
  <si>
    <t>08:13</t>
  </si>
  <si>
    <t>1.975</t>
  </si>
  <si>
    <t>20:21</t>
  </si>
  <si>
    <t>1.999</t>
  </si>
  <si>
    <t>1.987</t>
  </si>
  <si>
    <t>1.998</t>
  </si>
  <si>
    <t>19:07</t>
  </si>
  <si>
    <t>1.930</t>
  </si>
  <si>
    <t>1.956</t>
  </si>
  <si>
    <t>2.65</t>
  </si>
  <si>
    <t>16:50</t>
  </si>
  <si>
    <t>1.935</t>
  </si>
  <si>
    <t>13:53</t>
  </si>
  <si>
    <t>166</t>
  </si>
  <si>
    <t>1.949</t>
  </si>
  <si>
    <t>16.32025/03/24</t>
  </si>
  <si>
    <t>1.734</t>
  </si>
  <si>
    <t>41219</t>
  </si>
  <si>
    <t>1.751</t>
  </si>
  <si>
    <t>18:05</t>
  </si>
  <si>
    <t>9.86</t>
  </si>
  <si>
    <t>6.82</t>
  </si>
  <si>
    <t>9.65</t>
  </si>
  <si>
    <t>7.85</t>
  </si>
  <si>
    <t>7.9</t>
  </si>
  <si>
    <t>8.71</t>
  </si>
  <si>
    <t>11:37</t>
  </si>
  <si>
    <t>2.46</t>
  </si>
  <si>
    <t>09:34</t>
  </si>
  <si>
    <t>teoretic weight bag 01</t>
  </si>
  <si>
    <t>2.69</t>
  </si>
  <si>
    <t>9:00</t>
  </si>
  <si>
    <t>EPP 241 Mg/from the machine</t>
  </si>
  <si>
    <t>2.28</t>
  </si>
  <si>
    <t>8:50</t>
  </si>
  <si>
    <t>EPP 243 Mg/from the machine</t>
  </si>
  <si>
    <t>EPP 239 Mg/from the machine</t>
  </si>
  <si>
    <t>ID:91017 NEW STD</t>
  </si>
  <si>
    <t>teoretical weight bag nr 02</t>
  </si>
  <si>
    <t>2.45</t>
  </si>
  <si>
    <t>EPP 230 Mg from the machine</t>
  </si>
  <si>
    <t>08:24</t>
  </si>
  <si>
    <t>EPP 203 Mg/from the machine</t>
  </si>
  <si>
    <t>6.08</t>
  </si>
  <si>
    <t>1.743</t>
  </si>
  <si>
    <t>6.14</t>
  </si>
  <si>
    <t>1.887</t>
  </si>
  <si>
    <t>7.4</t>
  </si>
  <si>
    <t>334</t>
  </si>
  <si>
    <t>5.67</t>
  </si>
  <si>
    <t>7.76</t>
  </si>
  <si>
    <t>329</t>
  </si>
  <si>
    <t>6.98</t>
  </si>
  <si>
    <t>6.04</t>
  </si>
  <si>
    <t>5.28</t>
  </si>
  <si>
    <t>6.60</t>
  </si>
  <si>
    <t>6.67</t>
  </si>
  <si>
    <t>8.38</t>
  </si>
  <si>
    <t>9.80</t>
  </si>
  <si>
    <t>5.14</t>
  </si>
  <si>
    <t>6.55</t>
  </si>
  <si>
    <t>7.57</t>
  </si>
  <si>
    <t>6.97</t>
  </si>
  <si>
    <t>1.776</t>
  </si>
  <si>
    <t>1.770</t>
  </si>
  <si>
    <t>6.52</t>
  </si>
  <si>
    <t>6.69</t>
  </si>
  <si>
    <t>6.80</t>
  </si>
  <si>
    <t>24.9</t>
  </si>
  <si>
    <t>1.782</t>
  </si>
  <si>
    <t>340</t>
  </si>
  <si>
    <t>7.41</t>
  </si>
  <si>
    <t>21:18</t>
  </si>
  <si>
    <t>3.21</t>
  </si>
  <si>
    <t>1.758</t>
  </si>
  <si>
    <t>8.14</t>
  </si>
  <si>
    <t>1.752</t>
  </si>
  <si>
    <t>08:05</t>
  </si>
  <si>
    <t>237</t>
  </si>
  <si>
    <t>4.12</t>
  </si>
  <si>
    <t>8.54</t>
  </si>
  <si>
    <t>07:50</t>
  </si>
  <si>
    <t>7.34</t>
  </si>
  <si>
    <t>5.91</t>
  </si>
  <si>
    <t>T: 25.5 C</t>
  </si>
  <si>
    <t>21:50</t>
  </si>
  <si>
    <t>5.90</t>
  </si>
  <si>
    <t>T: 25.1C</t>
  </si>
  <si>
    <t>4.36</t>
  </si>
  <si>
    <t>1.876</t>
  </si>
  <si>
    <t>3.20</t>
  </si>
  <si>
    <t>14:41</t>
  </si>
  <si>
    <t>19:27</t>
  </si>
  <si>
    <t>1.873</t>
  </si>
  <si>
    <t>09:28</t>
  </si>
  <si>
    <t>08:27</t>
  </si>
  <si>
    <t>1.841</t>
  </si>
  <si>
    <t>1.816</t>
  </si>
  <si>
    <t>11.68%</t>
  </si>
  <si>
    <t>13%</t>
  </si>
  <si>
    <t>12.17%</t>
  </si>
  <si>
    <t>13.09%</t>
  </si>
  <si>
    <t>14.42%</t>
  </si>
  <si>
    <t>8.33%</t>
  </si>
  <si>
    <t>1.741</t>
  </si>
  <si>
    <t>11.98%</t>
  </si>
  <si>
    <t>0.43</t>
  </si>
  <si>
    <t>1.772</t>
  </si>
  <si>
    <t>14:12</t>
  </si>
  <si>
    <t>17:09</t>
  </si>
  <si>
    <t>14.82%</t>
  </si>
  <si>
    <t>1.792</t>
  </si>
  <si>
    <t>14.09%</t>
  </si>
  <si>
    <t>7.30%</t>
  </si>
  <si>
    <t>20:03</t>
  </si>
  <si>
    <t>12.61%</t>
  </si>
  <si>
    <t>4.33%</t>
  </si>
  <si>
    <t>14.89%</t>
  </si>
  <si>
    <t>1.808</t>
  </si>
  <si>
    <t>7:40</t>
  </si>
  <si>
    <t>6.24%</t>
  </si>
  <si>
    <t>16:08</t>
  </si>
  <si>
    <t>11.94%</t>
  </si>
  <si>
    <t>7.81%</t>
  </si>
  <si>
    <t>0.48</t>
  </si>
  <si>
    <t>1.886</t>
  </si>
  <si>
    <t>6.70%</t>
  </si>
  <si>
    <t>12.84%</t>
  </si>
  <si>
    <t>6.67%</t>
  </si>
  <si>
    <t>1.881</t>
  </si>
  <si>
    <t>12.86%</t>
  </si>
  <si>
    <t>2.02%</t>
  </si>
  <si>
    <t>7:05</t>
  </si>
  <si>
    <t>14.00%</t>
  </si>
  <si>
    <t>1.768</t>
  </si>
  <si>
    <t>12.50%</t>
  </si>
  <si>
    <t>6.16%</t>
  </si>
  <si>
    <t>14.29%</t>
  </si>
  <si>
    <t>14.28%</t>
  </si>
  <si>
    <t>6:40</t>
  </si>
  <si>
    <t>1.773</t>
  </si>
  <si>
    <t>14.5%</t>
  </si>
  <si>
    <t>9.09%</t>
  </si>
  <si>
    <t>11.99%</t>
  </si>
  <si>
    <t>1.753</t>
  </si>
  <si>
    <t>11.56%</t>
  </si>
  <si>
    <t>06:58</t>
  </si>
  <si>
    <t>13.86%</t>
  </si>
  <si>
    <t>13.61%</t>
  </si>
  <si>
    <t>13.41%</t>
  </si>
  <si>
    <t>12.40%</t>
  </si>
  <si>
    <t>2.98%</t>
  </si>
  <si>
    <t>9.93%</t>
  </si>
  <si>
    <t>16.47%</t>
  </si>
  <si>
    <t>07:23</t>
  </si>
  <si>
    <t>2.29</t>
  </si>
  <si>
    <t>12.05%</t>
  </si>
  <si>
    <t>11.37%</t>
  </si>
  <si>
    <t>8.66%</t>
  </si>
  <si>
    <t>1.957</t>
  </si>
  <si>
    <t>14.57%</t>
  </si>
  <si>
    <t>10.02%</t>
  </si>
  <si>
    <t>14.62%</t>
  </si>
  <si>
    <t>12.70%</t>
  </si>
  <si>
    <t>14.61%</t>
  </si>
  <si>
    <t>13.22%</t>
  </si>
  <si>
    <t>9.59%</t>
  </si>
  <si>
    <t>14:11</t>
  </si>
  <si>
    <t>9.38%</t>
  </si>
  <si>
    <t>13.88%</t>
  </si>
  <si>
    <t>12.11%</t>
  </si>
  <si>
    <t>12.27%</t>
  </si>
  <si>
    <t>25.1°C</t>
  </si>
  <si>
    <t>90453</t>
  </si>
  <si>
    <t>9.27%</t>
  </si>
  <si>
    <t>9.49%</t>
  </si>
  <si>
    <t>277</t>
  </si>
  <si>
    <t>PK FROM MACHIN</t>
  </si>
  <si>
    <t>NEW STD PREP WITH FRESH SW4 LOT1939</t>
  </si>
  <si>
    <t>10:18</t>
  </si>
  <si>
    <t>1.981</t>
  </si>
  <si>
    <t>NEW SW4 LOT</t>
  </si>
  <si>
    <t>19:37</t>
  </si>
  <si>
    <t>8.24</t>
  </si>
  <si>
    <t>17:05</t>
  </si>
  <si>
    <t>14.95%</t>
  </si>
  <si>
    <t>10.32%</t>
  </si>
  <si>
    <t>8.23%</t>
  </si>
  <si>
    <t>13.14%</t>
  </si>
  <si>
    <t>9:05</t>
  </si>
  <si>
    <t>13.36%</t>
  </si>
  <si>
    <t>7.32%</t>
  </si>
  <si>
    <t>1.75%</t>
  </si>
  <si>
    <t>12.51%</t>
  </si>
  <si>
    <t>20:23</t>
  </si>
  <si>
    <t>15:42</t>
  </si>
  <si>
    <t>10.59%</t>
  </si>
  <si>
    <t>2.16</t>
  </si>
  <si>
    <t>9.58%</t>
  </si>
  <si>
    <t>16:35</t>
  </si>
  <si>
    <t>13.82%</t>
  </si>
  <si>
    <t>13.73%</t>
  </si>
  <si>
    <t>09:50</t>
  </si>
  <si>
    <t>0.63%</t>
  </si>
  <si>
    <t>2.044</t>
  </si>
  <si>
    <t>35 ppm prepared with ASTM</t>
  </si>
  <si>
    <t>FIRST PACKET FROM THE MACHIN</t>
  </si>
  <si>
    <t>12:50</t>
  </si>
  <si>
    <t>GEANINA</t>
  </si>
  <si>
    <t>268</t>
  </si>
  <si>
    <t>16:48</t>
  </si>
  <si>
    <t>17:16</t>
  </si>
  <si>
    <t>15:39</t>
  </si>
  <si>
    <t>11652</t>
  </si>
  <si>
    <t>25.8C</t>
  </si>
  <si>
    <t>258</t>
  </si>
  <si>
    <t>7:35</t>
  </si>
  <si>
    <t>EPPENDORF FROM POCKET 176mg</t>
  </si>
  <si>
    <t>19:16</t>
  </si>
  <si>
    <t>19:17</t>
  </si>
  <si>
    <t>19:40</t>
  </si>
  <si>
    <t>21:06</t>
  </si>
  <si>
    <t>8:05</t>
  </si>
  <si>
    <t>17:38</t>
  </si>
  <si>
    <t>09:39</t>
  </si>
  <si>
    <t>24.7°C</t>
  </si>
  <si>
    <t>257</t>
  </si>
  <si>
    <t>276</t>
  </si>
  <si>
    <t>17:25</t>
  </si>
  <si>
    <t>16:36</t>
  </si>
  <si>
    <t>273</t>
  </si>
  <si>
    <t>252</t>
  </si>
  <si>
    <t>22310</t>
  </si>
  <si>
    <t>12:28</t>
  </si>
  <si>
    <t>21:08</t>
  </si>
  <si>
    <t>253</t>
  </si>
  <si>
    <t>19:19</t>
  </si>
  <si>
    <t>17:01</t>
  </si>
  <si>
    <t>VERIFICARE STD. NOU</t>
  </si>
  <si>
    <t>21:17</t>
  </si>
  <si>
    <t>34849</t>
  </si>
  <si>
    <t>21:37</t>
  </si>
  <si>
    <t>we modify the weight on the machine to be lower</t>
  </si>
  <si>
    <t>WEIGHT IN QC:215 mg/epp from pk</t>
  </si>
  <si>
    <t>1.703</t>
  </si>
  <si>
    <t>2.44</t>
  </si>
  <si>
    <t>1.669</t>
  </si>
  <si>
    <t>1.766</t>
  </si>
  <si>
    <t>AFTER MORE MIXING/TEORETICAL WEIGHT/24.4C</t>
  </si>
  <si>
    <t>The old lot was check from the machine with STD prep.from MR 40S/1000PPM NO3 PREP BY ANGELA</t>
  </si>
  <si>
    <t>The old lot was check from the machine with STD prep.from MR 40S\STD.PREP.FROM 2000PPM NO3 BY KRISZTINA</t>
  </si>
  <si>
    <t>1.119</t>
  </si>
  <si>
    <t>The old lot was check from the machine with STD prep.from MR 101/ NOW WE USED FOR</t>
  </si>
  <si>
    <t>11:33</t>
  </si>
  <si>
    <t>AFFTER MORE MIXING/TEORETICAL WEIGHT/24.7 C</t>
  </si>
  <si>
    <t>AFTER MORE MIXING / TEORETICAL WEIGHT /24.7 C</t>
  </si>
  <si>
    <t>The old lot was check from the machine with STD prep.from MR 101/ NOW WE USED FOR STD PREP. MR 40/S</t>
  </si>
  <si>
    <t>AFTER MORE MIXING/TEORETICAL WEIGHT/24.6C</t>
  </si>
  <si>
    <t>AFFTER MORE MIXING/TEORETICAL WEIGHT/24.6 C</t>
  </si>
  <si>
    <t>07:13</t>
  </si>
  <si>
    <t>1,888</t>
  </si>
  <si>
    <t>13:01</t>
  </si>
  <si>
    <t>STD s from MR 40/S</t>
  </si>
  <si>
    <t>1.701</t>
  </si>
  <si>
    <t>18:43</t>
  </si>
  <si>
    <t>21:32</t>
  </si>
  <si>
    <t>3.90</t>
  </si>
  <si>
    <t>17:34</t>
  </si>
  <si>
    <t>5.76</t>
  </si>
  <si>
    <t>1.799</t>
  </si>
  <si>
    <t>10:59</t>
  </si>
  <si>
    <t>1.750</t>
  </si>
  <si>
    <t>10:02</t>
  </si>
  <si>
    <t>12:58</t>
  </si>
  <si>
    <t>14:13</t>
  </si>
  <si>
    <t>1.801</t>
  </si>
  <si>
    <t>18:59</t>
  </si>
  <si>
    <t>1.261</t>
  </si>
  <si>
    <t>19:04</t>
  </si>
  <si>
    <t>20:15</t>
  </si>
  <si>
    <t>6.27</t>
  </si>
  <si>
    <t>21:28</t>
  </si>
  <si>
    <t>21:29</t>
  </si>
  <si>
    <t>2.43</t>
  </si>
  <si>
    <t>2.42</t>
  </si>
  <si>
    <t>1703</t>
  </si>
  <si>
    <t>1.781</t>
  </si>
  <si>
    <t>1.934</t>
  </si>
  <si>
    <t>1.941</t>
  </si>
  <si>
    <t>8.16</t>
  </si>
  <si>
    <t>2.011</t>
  </si>
  <si>
    <t>17:33</t>
  </si>
  <si>
    <t>19:47</t>
  </si>
  <si>
    <t>2.048</t>
  </si>
  <si>
    <t>19:48</t>
  </si>
  <si>
    <t>2.043</t>
  </si>
  <si>
    <t>2.004</t>
  </si>
  <si>
    <t>17:49</t>
  </si>
  <si>
    <t>1.977</t>
  </si>
  <si>
    <t>1.991</t>
  </si>
  <si>
    <t>16:33</t>
  </si>
  <si>
    <t>AM URCAT GRAMAJUL</t>
  </si>
  <si>
    <t>1.973</t>
  </si>
  <si>
    <t>13:57</t>
  </si>
  <si>
    <t>12:12</t>
  </si>
  <si>
    <t>07:38</t>
  </si>
  <si>
    <t>2.050</t>
  </si>
  <si>
    <t>2.090</t>
  </si>
  <si>
    <t>17:44</t>
  </si>
  <si>
    <t>2.018</t>
  </si>
  <si>
    <t>2.001</t>
  </si>
  <si>
    <t>2.022</t>
  </si>
  <si>
    <t>2.010</t>
  </si>
  <si>
    <t>15:04</t>
  </si>
  <si>
    <t>17:52</t>
  </si>
  <si>
    <t>09:01</t>
  </si>
  <si>
    <t>H2:pulberea e cu granule intregi,si culoarea e gri inchis,e umed</t>
  </si>
  <si>
    <t>H1:Praful e pre fin si umed, culoarea gri deschis</t>
  </si>
  <si>
    <t>21:23</t>
  </si>
  <si>
    <t>EPPENDORF</t>
  </si>
  <si>
    <t>21:22</t>
  </si>
  <si>
    <t>13:33</t>
  </si>
  <si>
    <t>EPP:250mg</t>
  </si>
  <si>
    <t>EPP:170mg</t>
  </si>
  <si>
    <t>eppendorf</t>
  </si>
  <si>
    <t>Eppendorf</t>
  </si>
  <si>
    <t>25.0 C</t>
  </si>
  <si>
    <t>19:52</t>
  </si>
  <si>
    <t>1.939</t>
  </si>
  <si>
    <t>2.012</t>
  </si>
  <si>
    <t>21:48</t>
  </si>
  <si>
    <t>EPP FROM PWD BAG</t>
  </si>
  <si>
    <t>VACUUM 10/10 OK</t>
  </si>
  <si>
    <t>1.940</t>
  </si>
  <si>
    <t>07:39</t>
  </si>
  <si>
    <t>1.922</t>
  </si>
  <si>
    <t>1.919</t>
  </si>
  <si>
    <t>23.9C</t>
  </si>
  <si>
    <t>16:46</t>
  </si>
  <si>
    <t>23.1C</t>
  </si>
  <si>
    <t>16:42</t>
  </si>
  <si>
    <t>1.948</t>
  </si>
  <si>
    <t>1.938</t>
  </si>
  <si>
    <t>2.031</t>
  </si>
  <si>
    <t>1.951</t>
  </si>
  <si>
    <t>08:33</t>
  </si>
  <si>
    <t>1.704</t>
  </si>
  <si>
    <t>11.1</t>
  </si>
  <si>
    <t>17:42</t>
  </si>
  <si>
    <t>1.712</t>
  </si>
  <si>
    <t>7.24</t>
  </si>
  <si>
    <t>6.84</t>
  </si>
  <si>
    <t>9.73</t>
  </si>
  <si>
    <t>9.47</t>
  </si>
  <si>
    <t>9.20</t>
  </si>
  <si>
    <t>7.53</t>
  </si>
  <si>
    <t>8.59</t>
  </si>
  <si>
    <t>8.98</t>
  </si>
  <si>
    <t>2.85</t>
  </si>
  <si>
    <t>08:26</t>
  </si>
  <si>
    <t>8:55</t>
  </si>
  <si>
    <t>EPP 250 Mg/from the machine</t>
  </si>
  <si>
    <t>2.38</t>
  </si>
  <si>
    <t>2.74</t>
  </si>
  <si>
    <t>2.91</t>
  </si>
  <si>
    <t>4.31</t>
  </si>
  <si>
    <t>4.91</t>
  </si>
  <si>
    <t>4.57</t>
  </si>
  <si>
    <t>326</t>
  </si>
  <si>
    <t>6.25</t>
  </si>
  <si>
    <t>7.38</t>
  </si>
  <si>
    <t>9.07</t>
  </si>
  <si>
    <t>8.68</t>
  </si>
  <si>
    <t>Diffrent colour between old and new cuvettes for 35ppm &amp;15ppm</t>
  </si>
  <si>
    <t>6.10</t>
  </si>
  <si>
    <t>8.00</t>
  </si>
  <si>
    <t>1.814</t>
  </si>
  <si>
    <t>8.20</t>
  </si>
  <si>
    <t>5.52</t>
  </si>
  <si>
    <t>7.63</t>
  </si>
  <si>
    <t>8.36</t>
  </si>
  <si>
    <t>7.52</t>
  </si>
  <si>
    <t>3.18</t>
  </si>
  <si>
    <t>1.937</t>
  </si>
  <si>
    <t>6.21</t>
  </si>
  <si>
    <t>5.23</t>
  </si>
  <si>
    <t>5.22</t>
  </si>
  <si>
    <t>5.72</t>
  </si>
  <si>
    <t>6.34</t>
  </si>
  <si>
    <t>21:52</t>
  </si>
  <si>
    <t>7.10</t>
  </si>
  <si>
    <t>18:12</t>
  </si>
  <si>
    <t>20:34</t>
  </si>
  <si>
    <t>6.29</t>
  </si>
  <si>
    <t>8.12</t>
  </si>
  <si>
    <t>16:29</t>
  </si>
  <si>
    <t>1.718</t>
  </si>
  <si>
    <t>17:58</t>
  </si>
  <si>
    <t>14.03%</t>
  </si>
  <si>
    <t>3.26</t>
  </si>
  <si>
    <t>8.27%</t>
  </si>
  <si>
    <t>1.737</t>
  </si>
  <si>
    <t>10%</t>
  </si>
  <si>
    <t>13.78%</t>
  </si>
  <si>
    <t>21:46</t>
  </si>
  <si>
    <t>11.28%</t>
  </si>
  <si>
    <t>07:24</t>
  </si>
  <si>
    <t>2.88</t>
  </si>
  <si>
    <t>14.02%</t>
  </si>
  <si>
    <t>13.69%</t>
  </si>
  <si>
    <t>10.31%</t>
  </si>
  <si>
    <t>05.49%</t>
  </si>
  <si>
    <t>12.66%</t>
  </si>
  <si>
    <t>10.63%</t>
  </si>
  <si>
    <t>14.92%</t>
  </si>
  <si>
    <t>9.08%</t>
  </si>
  <si>
    <t>5.38%</t>
  </si>
  <si>
    <t>13.02%</t>
  </si>
  <si>
    <t>1.755</t>
  </si>
  <si>
    <t>8.0%</t>
  </si>
  <si>
    <t>8.35%</t>
  </si>
  <si>
    <t>8.9%</t>
  </si>
  <si>
    <t>15.15%</t>
  </si>
  <si>
    <t>12.19%</t>
  </si>
  <si>
    <t>7.12%</t>
  </si>
  <si>
    <t>07:25</t>
  </si>
  <si>
    <t>6.62%</t>
  </si>
  <si>
    <t>10.09%</t>
  </si>
  <si>
    <t>07:07</t>
  </si>
  <si>
    <t>0.7</t>
  </si>
  <si>
    <t>11.38%</t>
  </si>
  <si>
    <t>15.89%</t>
  </si>
  <si>
    <t>9.11%</t>
  </si>
  <si>
    <t>11.62%</t>
  </si>
  <si>
    <t>3.62</t>
  </si>
  <si>
    <t>8.93%</t>
  </si>
  <si>
    <t>1.91%</t>
  </si>
  <si>
    <t>12.85%</t>
  </si>
  <si>
    <t>13.34%</t>
  </si>
  <si>
    <t>245</t>
  </si>
  <si>
    <t>14.07%</t>
  </si>
  <si>
    <t>12.09%</t>
  </si>
  <si>
    <t>2.03</t>
  </si>
  <si>
    <t>10.83%</t>
  </si>
  <si>
    <t>9.04%</t>
  </si>
  <si>
    <t>10.24%</t>
  </si>
  <si>
    <t>08:21</t>
  </si>
  <si>
    <t>2.028</t>
  </si>
  <si>
    <t>19:53</t>
  </si>
  <si>
    <t>24.6C</t>
  </si>
  <si>
    <t>21:33</t>
  </si>
  <si>
    <t>Eppendorf prep. from packit</t>
  </si>
  <si>
    <t>274</t>
  </si>
  <si>
    <t>279</t>
  </si>
  <si>
    <t>gramaj "ependorf"</t>
  </si>
  <si>
    <t>21:31</t>
  </si>
  <si>
    <t>19:18</t>
  </si>
  <si>
    <t>10:28</t>
  </si>
  <si>
    <t>2.94</t>
  </si>
  <si>
    <t>3.10</t>
  </si>
  <si>
    <t>1.739</t>
  </si>
  <si>
    <t>1.711</t>
  </si>
  <si>
    <t>17:48</t>
  </si>
  <si>
    <t>TEORETICAL WEIGHT</t>
  </si>
  <si>
    <t>1.731</t>
  </si>
  <si>
    <t>3.39</t>
  </si>
  <si>
    <t>0.20</t>
  </si>
  <si>
    <t>20:18</t>
  </si>
  <si>
    <t>7.12</t>
  </si>
  <si>
    <t>19:08</t>
  </si>
  <si>
    <t>1867</t>
  </si>
  <si>
    <t>08:28</t>
  </si>
  <si>
    <t>20:46</t>
  </si>
  <si>
    <t>2.058</t>
  </si>
  <si>
    <t>2.061</t>
  </si>
  <si>
    <t>2.025</t>
  </si>
  <si>
    <t>19:06</t>
  </si>
  <si>
    <t>2.019</t>
  </si>
  <si>
    <t>2.196</t>
  </si>
  <si>
    <t>1.992</t>
  </si>
  <si>
    <t>17:51</t>
  </si>
  <si>
    <t>2.068</t>
  </si>
  <si>
    <t>08:55</t>
  </si>
  <si>
    <t>1.994</t>
  </si>
  <si>
    <t>25.1C</t>
  </si>
  <si>
    <t>3.78</t>
  </si>
  <si>
    <t>16:59</t>
  </si>
  <si>
    <t>21:01</t>
  </si>
  <si>
    <t>2.056</t>
  </si>
  <si>
    <t>20:12</t>
  </si>
  <si>
    <t>17:50</t>
  </si>
  <si>
    <t>4.75</t>
  </si>
  <si>
    <t>1.794</t>
  </si>
  <si>
    <t>12:41</t>
  </si>
  <si>
    <t>EPP:171mg</t>
  </si>
  <si>
    <t>Temp:23.1C</t>
  </si>
  <si>
    <t>22.9 C</t>
  </si>
  <si>
    <t>EPP FROM PWD BAG/ce nu era in masina</t>
  </si>
  <si>
    <t>16:47</t>
  </si>
  <si>
    <t>13:51</t>
  </si>
  <si>
    <t>M. 1  HI97105</t>
  </si>
  <si>
    <t>M. 1  HI97715</t>
  </si>
  <si>
    <t>M. 2  HI977115</t>
  </si>
  <si>
    <t>M.1 HI97115</t>
  </si>
  <si>
    <t>M.1. HI97115</t>
  </si>
  <si>
    <t>M.1 HI801</t>
  </si>
  <si>
    <t>Lots 0473, 0632, 0696, 0869, 0989 have been updated to show the meter code in lot structure correctly to ensure the data is referring to the same meter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</si>
</sst>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800]dddd\,\ mmmm\ dd\,\ yyyy"/>
    <numFmt numFmtId="166" formatCode="0.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quotePrefix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0" borderId="0" xfId="0" applyNumberFormat="1"/>
    <xf numFmtId="0" fontId="6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2" fontId="0" fillId="3" borderId="0" xfId="0" applyNumberForma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4" borderId="0" xfId="0" applyNumberForma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5" borderId="0" xfId="0" applyNumberForma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6" fontId="0" fillId="0" borderId="0" xfId="0" applyNumberFormat="1" applyAlignment="1">
      <alignment horizontal="center"/>
    </xf>
    <xf numFmtId="1" fontId="0" fillId="0" borderId="0" xfId="4" applyNumberFormat="1" applyFont="1" applyBorder="1" applyAlignment="1">
      <alignment horizontal="center"/>
    </xf>
    <xf numFmtId="1" fontId="0" fillId="0" borderId="1" xfId="4" applyNumberFormat="1" applyFont="1" applyBorder="1" applyAlignment="1">
      <alignment horizontal="center"/>
    </xf>
    <xf numFmtId="1" fontId="0" fillId="0" borderId="8" xfId="4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9" fontId="0" fillId="2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0" borderId="0" xfId="0" applyFont="1"/>
    <xf numFmtId="0" fontId="0" fillId="0" borderId="9" xfId="0" applyBorder="1" applyAlignment="1">
      <alignment horizontal="center"/>
    </xf>
    <xf numFmtId="14" fontId="0" fillId="0" borderId="9" xfId="0" applyNumberFormat="1" applyBorder="1" applyAlignment="1">
      <alignment horizontal="center" vertical="center"/>
    </xf>
    <xf numFmtId="0" fontId="0" fillId="7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9" xfId="4" applyNumberFormat="1" applyFont="1" applyBorder="1" applyAlignment="1">
      <alignment horizontal="center"/>
    </xf>
    <xf numFmtId="1" fontId="0" fillId="0" borderId="12" xfId="4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5">
    <cellStyle name="Normal" xfId="0" builtinId="0"/>
    <cellStyle name="Normal 2" xfId="1" xr:uid="{475450EE-2D3E-460A-8C84-F7D5FB3397A3}"/>
    <cellStyle name="Normal 3" xfId="2" xr:uid="{78B910A4-76C6-4DDC-96E7-8BCEA46FB4E6}"/>
    <cellStyle name="Percent" xfId="4" builtinId="5"/>
    <cellStyle name="Percent 2" xfId="3" xr:uid="{70D6D720-CF10-4BCE-AB26-6F5D1D897161}"/>
  </cellStyles>
  <dxfs count="49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800]dddd\,\ mmmm\ dd\,\ yyyy"/>
    </dxf>
    <dxf>
      <numFmt numFmtId="0" formatCode="General"/>
    </dxf>
    <dxf>
      <numFmt numFmtId="165" formatCode="[$-F800]dddd\,\ mmmm\ dd\,\ yyyy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Statistic</a:t>
            </a:r>
            <a:r>
              <a:rPr lang="en-US" baseline="0"/>
              <a:t> </a:t>
            </a:r>
            <a:r>
              <a:rPr lang="en-US"/>
              <a:t>HI782 -</a:t>
            </a:r>
            <a:r>
              <a:rPr lang="en-US" baseline="0"/>
              <a:t> </a:t>
            </a:r>
            <a:r>
              <a:rPr lang="en-US"/>
              <a:t>mean value and reading dispersion evolution in</a:t>
            </a:r>
            <a:r>
              <a:rPr lang="en-US" baseline="0"/>
              <a:t> time</a:t>
            </a:r>
            <a:endParaRPr lang="en-US"/>
          </a:p>
        </c:rich>
      </c:tx>
      <c:layout>
        <c:manualLayout>
          <c:xMode val="edge"/>
          <c:yMode val="edge"/>
          <c:x val="0.35019823096997366"/>
          <c:y val="3.83358517438913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885058750951686E-2"/>
          <c:y val="9.8508171900575314E-2"/>
          <c:w val="0.81229572105074199"/>
          <c:h val="0.81172480895589894"/>
        </c:manualLayout>
      </c:layout>
      <c:areaChart>
        <c:grouping val="stacked"/>
        <c:varyColors val="0"/>
        <c:ser>
          <c:idx val="0"/>
          <c:order val="0"/>
          <c:tx>
            <c:strRef>
              <c:f>'STD All'!$BV$1</c:f>
              <c:strCache>
                <c:ptCount val="1"/>
                <c:pt idx="0">
                  <c:v>Base1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[0]!BU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0-485A-9C7B-9B8AA78DEB91}"/>
            </c:ext>
          </c:extLst>
        </c:ser>
        <c:ser>
          <c:idx val="1"/>
          <c:order val="4"/>
          <c:tx>
            <c:strRef>
              <c:f>'STD All'!$BW$1</c:f>
              <c:strCache>
                <c:ptCount val="1"/>
                <c:pt idx="0">
                  <c:v>STD1 3σ low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[0]!BV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20-485A-9C7B-9B8AA78DEB91}"/>
            </c:ext>
          </c:extLst>
        </c:ser>
        <c:ser>
          <c:idx val="2"/>
          <c:order val="5"/>
          <c:tx>
            <c:strRef>
              <c:f>'STD All'!$BX$1</c:f>
              <c:strCache>
                <c:ptCount val="1"/>
                <c:pt idx="0">
                  <c:v>STD1 2σ 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[0]!BW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20-485A-9C7B-9B8AA78DEB91}"/>
            </c:ext>
          </c:extLst>
        </c:ser>
        <c:ser>
          <c:idx val="3"/>
          <c:order val="6"/>
          <c:tx>
            <c:strRef>
              <c:f>'STD All'!$BY$1</c:f>
              <c:strCache>
                <c:ptCount val="1"/>
                <c:pt idx="0">
                  <c:v>STD1 1σ low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[0]!BX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20-485A-9C7B-9B8AA78DEB91}"/>
            </c:ext>
          </c:extLst>
        </c:ser>
        <c:ser>
          <c:idx val="4"/>
          <c:order val="7"/>
          <c:tx>
            <c:strRef>
              <c:f>'STD All'!$BZ$1</c:f>
              <c:strCache>
                <c:ptCount val="1"/>
                <c:pt idx="0">
                  <c:v>STD1 1σ high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[0]!BY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20-485A-9C7B-9B8AA78DEB91}"/>
            </c:ext>
          </c:extLst>
        </c:ser>
        <c:ser>
          <c:idx val="5"/>
          <c:order val="8"/>
          <c:tx>
            <c:strRef>
              <c:f>'STD All'!$CA$1</c:f>
              <c:strCache>
                <c:ptCount val="1"/>
                <c:pt idx="0">
                  <c:v>STD1 2σ high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[0]!BZ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20-485A-9C7B-9B8AA78DEB91}"/>
            </c:ext>
          </c:extLst>
        </c:ser>
        <c:ser>
          <c:idx val="6"/>
          <c:order val="9"/>
          <c:tx>
            <c:strRef>
              <c:f>'STD All'!$CB$1</c:f>
              <c:strCache>
                <c:ptCount val="1"/>
                <c:pt idx="0">
                  <c:v>STD1 3σ high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[0]!CA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20-485A-9C7B-9B8AA78DEB91}"/>
            </c:ext>
          </c:extLst>
        </c:ser>
        <c:ser>
          <c:idx val="7"/>
          <c:order val="10"/>
          <c:tx>
            <c:strRef>
              <c:f>'STD All'!$CC$1</c:f>
              <c:strCache>
                <c:ptCount val="1"/>
                <c:pt idx="0">
                  <c:v>Base2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[0]!CB</c:f>
              <c:numCache>
                <c:formatCode>General</c:formatCode>
                <c:ptCount val="25"/>
                <c:pt idx="0">
                  <c:v>7.8975000000000009</c:v>
                </c:pt>
                <c:pt idx="1">
                  <c:v>7.8975000000000009</c:v>
                </c:pt>
                <c:pt idx="2">
                  <c:v>7.8975000000000009</c:v>
                </c:pt>
                <c:pt idx="3">
                  <c:v>7.8975000000000009</c:v>
                </c:pt>
                <c:pt idx="4">
                  <c:v>7.8975000000000009</c:v>
                </c:pt>
                <c:pt idx="5">
                  <c:v>7.8975000000000009</c:v>
                </c:pt>
                <c:pt idx="6">
                  <c:v>7.8975000000000009</c:v>
                </c:pt>
                <c:pt idx="7">
                  <c:v>7.8975000000000009</c:v>
                </c:pt>
                <c:pt idx="8">
                  <c:v>7.8975000000000009</c:v>
                </c:pt>
                <c:pt idx="9">
                  <c:v>7.8975000000000009</c:v>
                </c:pt>
                <c:pt idx="10">
                  <c:v>7.8975000000000009</c:v>
                </c:pt>
                <c:pt idx="11">
                  <c:v>7.8975000000000009</c:v>
                </c:pt>
                <c:pt idx="12">
                  <c:v>7.8975000000000009</c:v>
                </c:pt>
                <c:pt idx="13">
                  <c:v>7.8975000000000009</c:v>
                </c:pt>
                <c:pt idx="14">
                  <c:v>7.8975000000000009</c:v>
                </c:pt>
                <c:pt idx="15">
                  <c:v>7.8975000000000009</c:v>
                </c:pt>
                <c:pt idx="16">
                  <c:v>7.8975000000000009</c:v>
                </c:pt>
                <c:pt idx="17">
                  <c:v>7.8975000000000009</c:v>
                </c:pt>
                <c:pt idx="18">
                  <c:v>7.8975000000000009</c:v>
                </c:pt>
                <c:pt idx="19">
                  <c:v>7.8975000000000009</c:v>
                </c:pt>
                <c:pt idx="20">
                  <c:v>7.8975000000000009</c:v>
                </c:pt>
                <c:pt idx="21">
                  <c:v>7.8975000000000009</c:v>
                </c:pt>
                <c:pt idx="22">
                  <c:v>7.8975000000000009</c:v>
                </c:pt>
                <c:pt idx="23">
                  <c:v>7.8975000000000009</c:v>
                </c:pt>
                <c:pt idx="24">
                  <c:v>7.8975000000000009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D20-485A-9C7B-9B8AA78DEB91}"/>
            </c:ext>
          </c:extLst>
        </c:ser>
        <c:ser>
          <c:idx val="8"/>
          <c:order val="11"/>
          <c:tx>
            <c:strRef>
              <c:f>'STD All'!$CD$1</c:f>
              <c:strCache>
                <c:ptCount val="1"/>
                <c:pt idx="0">
                  <c:v>STD2 3σ low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[0]!CC</c:f>
              <c:numCache>
                <c:formatCode>General</c:formatCode>
                <c:ptCount val="25"/>
                <c:pt idx="0">
                  <c:v>1.3674999999999999</c:v>
                </c:pt>
                <c:pt idx="1">
                  <c:v>1.3674999999999999</c:v>
                </c:pt>
                <c:pt idx="2">
                  <c:v>1.3674999999999999</c:v>
                </c:pt>
                <c:pt idx="3">
                  <c:v>1.3674999999999999</c:v>
                </c:pt>
                <c:pt idx="4">
                  <c:v>1.3674999999999999</c:v>
                </c:pt>
                <c:pt idx="5">
                  <c:v>1.3674999999999999</c:v>
                </c:pt>
                <c:pt idx="6">
                  <c:v>1.3674999999999999</c:v>
                </c:pt>
                <c:pt idx="7">
                  <c:v>1.3674999999999999</c:v>
                </c:pt>
                <c:pt idx="8">
                  <c:v>1.3674999999999999</c:v>
                </c:pt>
                <c:pt idx="9">
                  <c:v>1.3674999999999999</c:v>
                </c:pt>
                <c:pt idx="10">
                  <c:v>1.3674999999999999</c:v>
                </c:pt>
                <c:pt idx="11">
                  <c:v>1.3674999999999999</c:v>
                </c:pt>
                <c:pt idx="12">
                  <c:v>1.3674999999999999</c:v>
                </c:pt>
                <c:pt idx="13">
                  <c:v>1.3674999999999999</c:v>
                </c:pt>
                <c:pt idx="14">
                  <c:v>1.3674999999999999</c:v>
                </c:pt>
                <c:pt idx="15">
                  <c:v>1.3674999999999999</c:v>
                </c:pt>
                <c:pt idx="16">
                  <c:v>1.3674999999999999</c:v>
                </c:pt>
                <c:pt idx="17">
                  <c:v>1.3674999999999999</c:v>
                </c:pt>
                <c:pt idx="18">
                  <c:v>1.3674999999999999</c:v>
                </c:pt>
                <c:pt idx="19">
                  <c:v>1.3674999999999999</c:v>
                </c:pt>
                <c:pt idx="20">
                  <c:v>1.3674999999999999</c:v>
                </c:pt>
                <c:pt idx="21">
                  <c:v>1.3674999999999999</c:v>
                </c:pt>
                <c:pt idx="22">
                  <c:v>1.3674999999999999</c:v>
                </c:pt>
                <c:pt idx="23">
                  <c:v>1.3674999999999999</c:v>
                </c:pt>
                <c:pt idx="24">
                  <c:v>1.3674999999999999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20-485A-9C7B-9B8AA78DEB91}"/>
            </c:ext>
          </c:extLst>
        </c:ser>
        <c:ser>
          <c:idx val="9"/>
          <c:order val="12"/>
          <c:tx>
            <c:strRef>
              <c:f>'STD All'!$CE$1</c:f>
              <c:strCache>
                <c:ptCount val="1"/>
                <c:pt idx="0">
                  <c:v>STD2 2σ low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[0]!CD</c:f>
              <c:numCache>
                <c:formatCode>General</c:formatCode>
                <c:ptCount val="25"/>
                <c:pt idx="0">
                  <c:v>1.3674999999999999</c:v>
                </c:pt>
                <c:pt idx="1">
                  <c:v>1.3674999999999999</c:v>
                </c:pt>
                <c:pt idx="2">
                  <c:v>1.3674999999999999</c:v>
                </c:pt>
                <c:pt idx="3">
                  <c:v>1.3674999999999999</c:v>
                </c:pt>
                <c:pt idx="4">
                  <c:v>1.3674999999999999</c:v>
                </c:pt>
                <c:pt idx="5">
                  <c:v>1.3674999999999999</c:v>
                </c:pt>
                <c:pt idx="6">
                  <c:v>1.3674999999999999</c:v>
                </c:pt>
                <c:pt idx="7">
                  <c:v>1.3674999999999999</c:v>
                </c:pt>
                <c:pt idx="8">
                  <c:v>1.3674999999999999</c:v>
                </c:pt>
                <c:pt idx="9">
                  <c:v>1.3674999999999999</c:v>
                </c:pt>
                <c:pt idx="10">
                  <c:v>1.3674999999999999</c:v>
                </c:pt>
                <c:pt idx="11">
                  <c:v>1.3674999999999999</c:v>
                </c:pt>
                <c:pt idx="12">
                  <c:v>1.3674999999999999</c:v>
                </c:pt>
                <c:pt idx="13">
                  <c:v>1.3674999999999999</c:v>
                </c:pt>
                <c:pt idx="14">
                  <c:v>1.3674999999999999</c:v>
                </c:pt>
                <c:pt idx="15">
                  <c:v>1.3674999999999999</c:v>
                </c:pt>
                <c:pt idx="16">
                  <c:v>1.3674999999999999</c:v>
                </c:pt>
                <c:pt idx="17">
                  <c:v>1.3674999999999999</c:v>
                </c:pt>
                <c:pt idx="18">
                  <c:v>1.3674999999999999</c:v>
                </c:pt>
                <c:pt idx="19">
                  <c:v>1.3674999999999999</c:v>
                </c:pt>
                <c:pt idx="20">
                  <c:v>1.3674999999999999</c:v>
                </c:pt>
                <c:pt idx="21">
                  <c:v>1.3674999999999999</c:v>
                </c:pt>
                <c:pt idx="22">
                  <c:v>1.3674999999999999</c:v>
                </c:pt>
                <c:pt idx="23">
                  <c:v>1.3674999999999999</c:v>
                </c:pt>
                <c:pt idx="24">
                  <c:v>1.3674999999999999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D20-485A-9C7B-9B8AA78DEB91}"/>
            </c:ext>
          </c:extLst>
        </c:ser>
        <c:ser>
          <c:idx val="10"/>
          <c:order val="13"/>
          <c:tx>
            <c:strRef>
              <c:f>'STD All'!$CF$1</c:f>
              <c:strCache>
                <c:ptCount val="1"/>
                <c:pt idx="0">
                  <c:v>STD2 1σ low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[0]!CE</c:f>
              <c:numCache>
                <c:formatCode>General</c:formatCode>
                <c:ptCount val="25"/>
                <c:pt idx="0">
                  <c:v>1.3674999999999999</c:v>
                </c:pt>
                <c:pt idx="1">
                  <c:v>1.3674999999999999</c:v>
                </c:pt>
                <c:pt idx="2">
                  <c:v>1.3674999999999999</c:v>
                </c:pt>
                <c:pt idx="3">
                  <c:v>1.3674999999999999</c:v>
                </c:pt>
                <c:pt idx="4">
                  <c:v>1.3674999999999999</c:v>
                </c:pt>
                <c:pt idx="5">
                  <c:v>1.3674999999999999</c:v>
                </c:pt>
                <c:pt idx="6">
                  <c:v>1.3674999999999999</c:v>
                </c:pt>
                <c:pt idx="7">
                  <c:v>1.3674999999999999</c:v>
                </c:pt>
                <c:pt idx="8">
                  <c:v>1.3674999999999999</c:v>
                </c:pt>
                <c:pt idx="9">
                  <c:v>1.3674999999999999</c:v>
                </c:pt>
                <c:pt idx="10">
                  <c:v>1.3674999999999999</c:v>
                </c:pt>
                <c:pt idx="11">
                  <c:v>1.3674999999999999</c:v>
                </c:pt>
                <c:pt idx="12">
                  <c:v>1.3674999999999999</c:v>
                </c:pt>
                <c:pt idx="13">
                  <c:v>1.3674999999999999</c:v>
                </c:pt>
                <c:pt idx="14">
                  <c:v>1.3674999999999999</c:v>
                </c:pt>
                <c:pt idx="15">
                  <c:v>1.3674999999999999</c:v>
                </c:pt>
                <c:pt idx="16">
                  <c:v>1.3674999999999999</c:v>
                </c:pt>
                <c:pt idx="17">
                  <c:v>1.3674999999999999</c:v>
                </c:pt>
                <c:pt idx="18">
                  <c:v>1.3674999999999999</c:v>
                </c:pt>
                <c:pt idx="19">
                  <c:v>1.3674999999999999</c:v>
                </c:pt>
                <c:pt idx="20">
                  <c:v>1.3674999999999999</c:v>
                </c:pt>
                <c:pt idx="21">
                  <c:v>1.3674999999999999</c:v>
                </c:pt>
                <c:pt idx="22">
                  <c:v>1.3674999999999999</c:v>
                </c:pt>
                <c:pt idx="23">
                  <c:v>1.3674999999999999</c:v>
                </c:pt>
                <c:pt idx="24">
                  <c:v>1.3674999999999999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D20-485A-9C7B-9B8AA78DEB91}"/>
            </c:ext>
          </c:extLst>
        </c:ser>
        <c:ser>
          <c:idx val="11"/>
          <c:order val="14"/>
          <c:tx>
            <c:strRef>
              <c:f>'STD All'!$CG$1</c:f>
              <c:strCache>
                <c:ptCount val="1"/>
                <c:pt idx="0">
                  <c:v>STD2 1σ high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[0]!CF</c:f>
              <c:numCache>
                <c:formatCode>General</c:formatCode>
                <c:ptCount val="25"/>
                <c:pt idx="0">
                  <c:v>1.3674999999999999</c:v>
                </c:pt>
                <c:pt idx="1">
                  <c:v>1.3674999999999999</c:v>
                </c:pt>
                <c:pt idx="2">
                  <c:v>1.3674999999999999</c:v>
                </c:pt>
                <c:pt idx="3">
                  <c:v>1.3674999999999999</c:v>
                </c:pt>
                <c:pt idx="4">
                  <c:v>1.3674999999999999</c:v>
                </c:pt>
                <c:pt idx="5">
                  <c:v>1.3674999999999999</c:v>
                </c:pt>
                <c:pt idx="6">
                  <c:v>1.3674999999999999</c:v>
                </c:pt>
                <c:pt idx="7">
                  <c:v>1.3674999999999999</c:v>
                </c:pt>
                <c:pt idx="8">
                  <c:v>1.3674999999999999</c:v>
                </c:pt>
                <c:pt idx="9">
                  <c:v>1.3674999999999999</c:v>
                </c:pt>
                <c:pt idx="10">
                  <c:v>1.3674999999999999</c:v>
                </c:pt>
                <c:pt idx="11">
                  <c:v>1.3674999999999999</c:v>
                </c:pt>
                <c:pt idx="12">
                  <c:v>1.3674999999999999</c:v>
                </c:pt>
                <c:pt idx="13">
                  <c:v>1.3674999999999999</c:v>
                </c:pt>
                <c:pt idx="14">
                  <c:v>1.3674999999999999</c:v>
                </c:pt>
                <c:pt idx="15">
                  <c:v>1.3674999999999999</c:v>
                </c:pt>
                <c:pt idx="16">
                  <c:v>1.3674999999999999</c:v>
                </c:pt>
                <c:pt idx="17">
                  <c:v>1.3674999999999999</c:v>
                </c:pt>
                <c:pt idx="18">
                  <c:v>1.3674999999999999</c:v>
                </c:pt>
                <c:pt idx="19">
                  <c:v>1.3674999999999999</c:v>
                </c:pt>
                <c:pt idx="20">
                  <c:v>1.3674999999999999</c:v>
                </c:pt>
                <c:pt idx="21">
                  <c:v>1.3674999999999999</c:v>
                </c:pt>
                <c:pt idx="22">
                  <c:v>1.3674999999999999</c:v>
                </c:pt>
                <c:pt idx="23">
                  <c:v>1.3674999999999999</c:v>
                </c:pt>
                <c:pt idx="24">
                  <c:v>1.3674999999999999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D20-485A-9C7B-9B8AA78DEB91}"/>
            </c:ext>
          </c:extLst>
        </c:ser>
        <c:ser>
          <c:idx val="12"/>
          <c:order val="15"/>
          <c:tx>
            <c:strRef>
              <c:f>'STD All'!$CH$1</c:f>
              <c:strCache>
                <c:ptCount val="1"/>
                <c:pt idx="0">
                  <c:v>STD2 2σ high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[0]!CG</c:f>
              <c:numCache>
                <c:formatCode>General</c:formatCode>
                <c:ptCount val="25"/>
                <c:pt idx="0">
                  <c:v>1.3674999999999999</c:v>
                </c:pt>
                <c:pt idx="1">
                  <c:v>1.3674999999999999</c:v>
                </c:pt>
                <c:pt idx="2">
                  <c:v>1.3674999999999999</c:v>
                </c:pt>
                <c:pt idx="3">
                  <c:v>1.3674999999999999</c:v>
                </c:pt>
                <c:pt idx="4">
                  <c:v>1.3674999999999999</c:v>
                </c:pt>
                <c:pt idx="5">
                  <c:v>1.3674999999999999</c:v>
                </c:pt>
                <c:pt idx="6">
                  <c:v>1.3674999999999999</c:v>
                </c:pt>
                <c:pt idx="7">
                  <c:v>1.3674999999999999</c:v>
                </c:pt>
                <c:pt idx="8">
                  <c:v>1.3674999999999999</c:v>
                </c:pt>
                <c:pt idx="9">
                  <c:v>1.3674999999999999</c:v>
                </c:pt>
                <c:pt idx="10">
                  <c:v>1.3674999999999999</c:v>
                </c:pt>
                <c:pt idx="11">
                  <c:v>1.3674999999999999</c:v>
                </c:pt>
                <c:pt idx="12">
                  <c:v>1.3674999999999999</c:v>
                </c:pt>
                <c:pt idx="13">
                  <c:v>1.3674999999999999</c:v>
                </c:pt>
                <c:pt idx="14">
                  <c:v>1.3674999999999999</c:v>
                </c:pt>
                <c:pt idx="15">
                  <c:v>1.3674999999999999</c:v>
                </c:pt>
                <c:pt idx="16">
                  <c:v>1.3674999999999999</c:v>
                </c:pt>
                <c:pt idx="17">
                  <c:v>1.3674999999999999</c:v>
                </c:pt>
                <c:pt idx="18">
                  <c:v>1.3674999999999999</c:v>
                </c:pt>
                <c:pt idx="19">
                  <c:v>1.3674999999999999</c:v>
                </c:pt>
                <c:pt idx="20">
                  <c:v>1.3674999999999999</c:v>
                </c:pt>
                <c:pt idx="21">
                  <c:v>1.3674999999999999</c:v>
                </c:pt>
                <c:pt idx="22">
                  <c:v>1.3674999999999999</c:v>
                </c:pt>
                <c:pt idx="23">
                  <c:v>1.3674999999999999</c:v>
                </c:pt>
                <c:pt idx="24">
                  <c:v>1.3674999999999999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D20-485A-9C7B-9B8AA78DEB91}"/>
            </c:ext>
          </c:extLst>
        </c:ser>
        <c:ser>
          <c:idx val="13"/>
          <c:order val="16"/>
          <c:tx>
            <c:strRef>
              <c:f>'STD All'!$CI$1</c:f>
              <c:strCache>
                <c:ptCount val="1"/>
                <c:pt idx="0">
                  <c:v>STD2 3σ high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[0]!CH</c:f>
              <c:numCache>
                <c:formatCode>General</c:formatCode>
                <c:ptCount val="25"/>
                <c:pt idx="0">
                  <c:v>1.3674999999999999</c:v>
                </c:pt>
                <c:pt idx="1">
                  <c:v>1.3674999999999999</c:v>
                </c:pt>
                <c:pt idx="2">
                  <c:v>1.3674999999999999</c:v>
                </c:pt>
                <c:pt idx="3">
                  <c:v>1.3674999999999999</c:v>
                </c:pt>
                <c:pt idx="4">
                  <c:v>1.3674999999999999</c:v>
                </c:pt>
                <c:pt idx="5">
                  <c:v>1.3674999999999999</c:v>
                </c:pt>
                <c:pt idx="6">
                  <c:v>1.3674999999999999</c:v>
                </c:pt>
                <c:pt idx="7">
                  <c:v>1.3674999999999999</c:v>
                </c:pt>
                <c:pt idx="8">
                  <c:v>1.3674999999999999</c:v>
                </c:pt>
                <c:pt idx="9">
                  <c:v>1.3674999999999999</c:v>
                </c:pt>
                <c:pt idx="10">
                  <c:v>1.3674999999999999</c:v>
                </c:pt>
                <c:pt idx="11">
                  <c:v>1.3674999999999999</c:v>
                </c:pt>
                <c:pt idx="12">
                  <c:v>1.3674999999999999</c:v>
                </c:pt>
                <c:pt idx="13">
                  <c:v>1.3674999999999999</c:v>
                </c:pt>
                <c:pt idx="14">
                  <c:v>1.3674999999999999</c:v>
                </c:pt>
                <c:pt idx="15">
                  <c:v>1.3674999999999999</c:v>
                </c:pt>
                <c:pt idx="16">
                  <c:v>1.3674999999999999</c:v>
                </c:pt>
                <c:pt idx="17">
                  <c:v>1.3674999999999999</c:v>
                </c:pt>
                <c:pt idx="18">
                  <c:v>1.3674999999999999</c:v>
                </c:pt>
                <c:pt idx="19">
                  <c:v>1.3674999999999999</c:v>
                </c:pt>
                <c:pt idx="20">
                  <c:v>1.3674999999999999</c:v>
                </c:pt>
                <c:pt idx="21">
                  <c:v>1.3674999999999999</c:v>
                </c:pt>
                <c:pt idx="22">
                  <c:v>1.3674999999999999</c:v>
                </c:pt>
                <c:pt idx="23">
                  <c:v>1.3674999999999999</c:v>
                </c:pt>
                <c:pt idx="24">
                  <c:v>1.3674999999999999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D20-485A-9C7B-9B8AA78DEB91}"/>
            </c:ext>
          </c:extLst>
        </c:ser>
        <c:ser>
          <c:idx val="14"/>
          <c:order val="17"/>
          <c:tx>
            <c:strRef>
              <c:f>'STD All'!$CJ$1</c:f>
              <c:strCache>
                <c:ptCount val="1"/>
                <c:pt idx="0">
                  <c:v>Base3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[0]!CI</c:f>
              <c:numCache>
                <c:formatCode>General</c:formatCode>
                <c:ptCount val="25"/>
                <c:pt idx="0">
                  <c:v>10.324999999999999</c:v>
                </c:pt>
                <c:pt idx="1">
                  <c:v>10.324999999999999</c:v>
                </c:pt>
                <c:pt idx="2">
                  <c:v>10.324999999999999</c:v>
                </c:pt>
                <c:pt idx="3">
                  <c:v>10.324999999999999</c:v>
                </c:pt>
                <c:pt idx="4">
                  <c:v>10.324999999999999</c:v>
                </c:pt>
                <c:pt idx="5">
                  <c:v>10.324999999999999</c:v>
                </c:pt>
                <c:pt idx="6">
                  <c:v>10.324999999999999</c:v>
                </c:pt>
                <c:pt idx="7">
                  <c:v>10.324999999999999</c:v>
                </c:pt>
                <c:pt idx="8">
                  <c:v>10.324999999999999</c:v>
                </c:pt>
                <c:pt idx="9">
                  <c:v>10.324999999999999</c:v>
                </c:pt>
                <c:pt idx="10">
                  <c:v>10.324999999999999</c:v>
                </c:pt>
                <c:pt idx="11">
                  <c:v>10.324999999999999</c:v>
                </c:pt>
                <c:pt idx="12">
                  <c:v>10.324999999999999</c:v>
                </c:pt>
                <c:pt idx="13">
                  <c:v>10.324999999999999</c:v>
                </c:pt>
                <c:pt idx="14">
                  <c:v>10.324999999999999</c:v>
                </c:pt>
                <c:pt idx="15">
                  <c:v>10.324999999999999</c:v>
                </c:pt>
                <c:pt idx="16">
                  <c:v>10.324999999999999</c:v>
                </c:pt>
                <c:pt idx="17">
                  <c:v>10.324999999999999</c:v>
                </c:pt>
                <c:pt idx="18">
                  <c:v>10.324999999999999</c:v>
                </c:pt>
                <c:pt idx="19">
                  <c:v>10.324999999999999</c:v>
                </c:pt>
                <c:pt idx="20">
                  <c:v>10.324999999999999</c:v>
                </c:pt>
                <c:pt idx="21">
                  <c:v>10.324999999999999</c:v>
                </c:pt>
                <c:pt idx="22">
                  <c:v>10.324999999999999</c:v>
                </c:pt>
                <c:pt idx="23">
                  <c:v>10.324999999999999</c:v>
                </c:pt>
                <c:pt idx="24">
                  <c:v>10.324999999999999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D20-485A-9C7B-9B8AA78DEB91}"/>
            </c:ext>
          </c:extLst>
        </c:ser>
        <c:ser>
          <c:idx val="15"/>
          <c:order val="18"/>
          <c:tx>
            <c:strRef>
              <c:f>'STD All'!$CK$1</c:f>
              <c:strCache>
                <c:ptCount val="1"/>
                <c:pt idx="0">
                  <c:v>STD3 3σ low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[0]!CJ</c:f>
              <c:numCache>
                <c:formatCode>General</c:formatCode>
                <c:ptCount val="25"/>
                <c:pt idx="0">
                  <c:v>1.8574999999999999</c:v>
                </c:pt>
                <c:pt idx="1">
                  <c:v>1.8574999999999999</c:v>
                </c:pt>
                <c:pt idx="2">
                  <c:v>1.8574999999999999</c:v>
                </c:pt>
                <c:pt idx="3">
                  <c:v>1.8574999999999999</c:v>
                </c:pt>
                <c:pt idx="4">
                  <c:v>1.8574999999999999</c:v>
                </c:pt>
                <c:pt idx="5">
                  <c:v>1.8574999999999999</c:v>
                </c:pt>
                <c:pt idx="6">
                  <c:v>1.8574999999999999</c:v>
                </c:pt>
                <c:pt idx="7">
                  <c:v>1.8574999999999999</c:v>
                </c:pt>
                <c:pt idx="8">
                  <c:v>1.8574999999999999</c:v>
                </c:pt>
                <c:pt idx="9">
                  <c:v>1.8574999999999999</c:v>
                </c:pt>
                <c:pt idx="10">
                  <c:v>1.8574999999999999</c:v>
                </c:pt>
                <c:pt idx="11">
                  <c:v>1.8574999999999999</c:v>
                </c:pt>
                <c:pt idx="12">
                  <c:v>1.8574999999999999</c:v>
                </c:pt>
                <c:pt idx="13">
                  <c:v>1.8574999999999999</c:v>
                </c:pt>
                <c:pt idx="14">
                  <c:v>1.8574999999999999</c:v>
                </c:pt>
                <c:pt idx="15">
                  <c:v>1.8574999999999999</c:v>
                </c:pt>
                <c:pt idx="16">
                  <c:v>1.8574999999999999</c:v>
                </c:pt>
                <c:pt idx="17">
                  <c:v>1.8574999999999999</c:v>
                </c:pt>
                <c:pt idx="18">
                  <c:v>1.8574999999999999</c:v>
                </c:pt>
                <c:pt idx="19">
                  <c:v>1.8574999999999999</c:v>
                </c:pt>
                <c:pt idx="20">
                  <c:v>1.8574999999999999</c:v>
                </c:pt>
                <c:pt idx="21">
                  <c:v>1.8574999999999999</c:v>
                </c:pt>
                <c:pt idx="22">
                  <c:v>1.8574999999999999</c:v>
                </c:pt>
                <c:pt idx="23">
                  <c:v>1.8574999999999999</c:v>
                </c:pt>
                <c:pt idx="24">
                  <c:v>1.8574999999999999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D20-485A-9C7B-9B8AA78DEB91}"/>
            </c:ext>
          </c:extLst>
        </c:ser>
        <c:ser>
          <c:idx val="16"/>
          <c:order val="19"/>
          <c:tx>
            <c:strRef>
              <c:f>'STD All'!$CL$1</c:f>
              <c:strCache>
                <c:ptCount val="1"/>
                <c:pt idx="0">
                  <c:v>STD3 2σ low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[0]!CK</c:f>
              <c:numCache>
                <c:formatCode>General</c:formatCode>
                <c:ptCount val="25"/>
                <c:pt idx="0">
                  <c:v>1.8574999999999999</c:v>
                </c:pt>
                <c:pt idx="1">
                  <c:v>1.8574999999999999</c:v>
                </c:pt>
                <c:pt idx="2">
                  <c:v>1.8574999999999999</c:v>
                </c:pt>
                <c:pt idx="3">
                  <c:v>1.8574999999999999</c:v>
                </c:pt>
                <c:pt idx="4">
                  <c:v>1.8574999999999999</c:v>
                </c:pt>
                <c:pt idx="5">
                  <c:v>1.8574999999999999</c:v>
                </c:pt>
                <c:pt idx="6">
                  <c:v>1.8574999999999999</c:v>
                </c:pt>
                <c:pt idx="7">
                  <c:v>1.8574999999999999</c:v>
                </c:pt>
                <c:pt idx="8">
                  <c:v>1.8574999999999999</c:v>
                </c:pt>
                <c:pt idx="9">
                  <c:v>1.8574999999999999</c:v>
                </c:pt>
                <c:pt idx="10">
                  <c:v>1.8574999999999999</c:v>
                </c:pt>
                <c:pt idx="11">
                  <c:v>1.8574999999999999</c:v>
                </c:pt>
                <c:pt idx="12">
                  <c:v>1.8574999999999999</c:v>
                </c:pt>
                <c:pt idx="13">
                  <c:v>1.8574999999999999</c:v>
                </c:pt>
                <c:pt idx="14">
                  <c:v>1.8574999999999999</c:v>
                </c:pt>
                <c:pt idx="15">
                  <c:v>1.8574999999999999</c:v>
                </c:pt>
                <c:pt idx="16">
                  <c:v>1.8574999999999999</c:v>
                </c:pt>
                <c:pt idx="17">
                  <c:v>1.8574999999999999</c:v>
                </c:pt>
                <c:pt idx="18">
                  <c:v>1.8574999999999999</c:v>
                </c:pt>
                <c:pt idx="19">
                  <c:v>1.8574999999999999</c:v>
                </c:pt>
                <c:pt idx="20">
                  <c:v>1.8574999999999999</c:v>
                </c:pt>
                <c:pt idx="21">
                  <c:v>1.8574999999999999</c:v>
                </c:pt>
                <c:pt idx="22">
                  <c:v>1.8574999999999999</c:v>
                </c:pt>
                <c:pt idx="23">
                  <c:v>1.8574999999999999</c:v>
                </c:pt>
                <c:pt idx="24">
                  <c:v>1.8574999999999999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D20-485A-9C7B-9B8AA78DEB91}"/>
            </c:ext>
          </c:extLst>
        </c:ser>
        <c:ser>
          <c:idx val="17"/>
          <c:order val="20"/>
          <c:tx>
            <c:strRef>
              <c:f>'STD All'!$CM$1</c:f>
              <c:strCache>
                <c:ptCount val="1"/>
                <c:pt idx="0">
                  <c:v>STD3 1σ low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[0]!CL</c:f>
              <c:numCache>
                <c:formatCode>General</c:formatCode>
                <c:ptCount val="25"/>
                <c:pt idx="0">
                  <c:v>1.8574999999999999</c:v>
                </c:pt>
                <c:pt idx="1">
                  <c:v>1.8574999999999999</c:v>
                </c:pt>
                <c:pt idx="2">
                  <c:v>1.8574999999999999</c:v>
                </c:pt>
                <c:pt idx="3">
                  <c:v>1.8574999999999999</c:v>
                </c:pt>
                <c:pt idx="4">
                  <c:v>1.8574999999999999</c:v>
                </c:pt>
                <c:pt idx="5">
                  <c:v>1.8574999999999999</c:v>
                </c:pt>
                <c:pt idx="6">
                  <c:v>1.8574999999999999</c:v>
                </c:pt>
                <c:pt idx="7">
                  <c:v>1.8574999999999999</c:v>
                </c:pt>
                <c:pt idx="8">
                  <c:v>1.8574999999999999</c:v>
                </c:pt>
                <c:pt idx="9">
                  <c:v>1.8574999999999999</c:v>
                </c:pt>
                <c:pt idx="10">
                  <c:v>1.8574999999999999</c:v>
                </c:pt>
                <c:pt idx="11">
                  <c:v>1.8574999999999999</c:v>
                </c:pt>
                <c:pt idx="12">
                  <c:v>1.8574999999999999</c:v>
                </c:pt>
                <c:pt idx="13">
                  <c:v>1.8574999999999999</c:v>
                </c:pt>
                <c:pt idx="14">
                  <c:v>1.8574999999999999</c:v>
                </c:pt>
                <c:pt idx="15">
                  <c:v>1.8574999999999999</c:v>
                </c:pt>
                <c:pt idx="16">
                  <c:v>1.8574999999999999</c:v>
                </c:pt>
                <c:pt idx="17">
                  <c:v>1.8574999999999999</c:v>
                </c:pt>
                <c:pt idx="18">
                  <c:v>1.8574999999999999</c:v>
                </c:pt>
                <c:pt idx="19">
                  <c:v>1.8574999999999999</c:v>
                </c:pt>
                <c:pt idx="20">
                  <c:v>1.8574999999999999</c:v>
                </c:pt>
                <c:pt idx="21">
                  <c:v>1.8574999999999999</c:v>
                </c:pt>
                <c:pt idx="22">
                  <c:v>1.8574999999999999</c:v>
                </c:pt>
                <c:pt idx="23">
                  <c:v>1.8574999999999999</c:v>
                </c:pt>
                <c:pt idx="24">
                  <c:v>1.8574999999999999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D20-485A-9C7B-9B8AA78DEB91}"/>
            </c:ext>
          </c:extLst>
        </c:ser>
        <c:ser>
          <c:idx val="18"/>
          <c:order val="21"/>
          <c:tx>
            <c:strRef>
              <c:f>'STD All'!$CN$1</c:f>
              <c:strCache>
                <c:ptCount val="1"/>
                <c:pt idx="0">
                  <c:v>STD3 1σ high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[0]!CM</c:f>
              <c:numCache>
                <c:formatCode>General</c:formatCode>
                <c:ptCount val="25"/>
                <c:pt idx="0">
                  <c:v>1.8574999999999999</c:v>
                </c:pt>
                <c:pt idx="1">
                  <c:v>1.8574999999999999</c:v>
                </c:pt>
                <c:pt idx="2">
                  <c:v>1.8574999999999999</c:v>
                </c:pt>
                <c:pt idx="3">
                  <c:v>1.8574999999999999</c:v>
                </c:pt>
                <c:pt idx="4">
                  <c:v>1.8574999999999999</c:v>
                </c:pt>
                <c:pt idx="5">
                  <c:v>1.8574999999999999</c:v>
                </c:pt>
                <c:pt idx="6">
                  <c:v>1.8574999999999999</c:v>
                </c:pt>
                <c:pt idx="7">
                  <c:v>1.8574999999999999</c:v>
                </c:pt>
                <c:pt idx="8">
                  <c:v>1.8574999999999999</c:v>
                </c:pt>
                <c:pt idx="9">
                  <c:v>1.8574999999999999</c:v>
                </c:pt>
                <c:pt idx="10">
                  <c:v>1.8574999999999999</c:v>
                </c:pt>
                <c:pt idx="11">
                  <c:v>1.8574999999999999</c:v>
                </c:pt>
                <c:pt idx="12">
                  <c:v>1.8574999999999999</c:v>
                </c:pt>
                <c:pt idx="13">
                  <c:v>1.8574999999999999</c:v>
                </c:pt>
                <c:pt idx="14">
                  <c:v>1.8574999999999999</c:v>
                </c:pt>
                <c:pt idx="15">
                  <c:v>1.8574999999999999</c:v>
                </c:pt>
                <c:pt idx="16">
                  <c:v>1.8574999999999999</c:v>
                </c:pt>
                <c:pt idx="17">
                  <c:v>1.8574999999999999</c:v>
                </c:pt>
                <c:pt idx="18">
                  <c:v>1.8574999999999999</c:v>
                </c:pt>
                <c:pt idx="19">
                  <c:v>1.8574999999999999</c:v>
                </c:pt>
                <c:pt idx="20">
                  <c:v>1.8574999999999999</c:v>
                </c:pt>
                <c:pt idx="21">
                  <c:v>1.8574999999999999</c:v>
                </c:pt>
                <c:pt idx="22">
                  <c:v>1.8574999999999999</c:v>
                </c:pt>
                <c:pt idx="23">
                  <c:v>1.8574999999999999</c:v>
                </c:pt>
                <c:pt idx="24">
                  <c:v>1.8574999999999999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D20-485A-9C7B-9B8AA78DEB91}"/>
            </c:ext>
          </c:extLst>
        </c:ser>
        <c:ser>
          <c:idx val="19"/>
          <c:order val="22"/>
          <c:tx>
            <c:strRef>
              <c:f>'STD All'!$CO$1</c:f>
              <c:strCache>
                <c:ptCount val="1"/>
                <c:pt idx="0">
                  <c:v>STD3 2σ high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[0]!CN</c:f>
              <c:numCache>
                <c:formatCode>General</c:formatCode>
                <c:ptCount val="25"/>
                <c:pt idx="0">
                  <c:v>1.8574999999999999</c:v>
                </c:pt>
                <c:pt idx="1">
                  <c:v>1.8574999999999999</c:v>
                </c:pt>
                <c:pt idx="2">
                  <c:v>1.8574999999999999</c:v>
                </c:pt>
                <c:pt idx="3">
                  <c:v>1.8574999999999999</c:v>
                </c:pt>
                <c:pt idx="4">
                  <c:v>1.8574999999999999</c:v>
                </c:pt>
                <c:pt idx="5">
                  <c:v>1.8574999999999999</c:v>
                </c:pt>
                <c:pt idx="6">
                  <c:v>1.8574999999999999</c:v>
                </c:pt>
                <c:pt idx="7">
                  <c:v>1.8574999999999999</c:v>
                </c:pt>
                <c:pt idx="8">
                  <c:v>1.8574999999999999</c:v>
                </c:pt>
                <c:pt idx="9">
                  <c:v>1.8574999999999999</c:v>
                </c:pt>
                <c:pt idx="10">
                  <c:v>1.8574999999999999</c:v>
                </c:pt>
                <c:pt idx="11">
                  <c:v>1.8574999999999999</c:v>
                </c:pt>
                <c:pt idx="12">
                  <c:v>1.8574999999999999</c:v>
                </c:pt>
                <c:pt idx="13">
                  <c:v>1.8574999999999999</c:v>
                </c:pt>
                <c:pt idx="14">
                  <c:v>1.8574999999999999</c:v>
                </c:pt>
                <c:pt idx="15">
                  <c:v>1.8574999999999999</c:v>
                </c:pt>
                <c:pt idx="16">
                  <c:v>1.8574999999999999</c:v>
                </c:pt>
                <c:pt idx="17">
                  <c:v>1.8574999999999999</c:v>
                </c:pt>
                <c:pt idx="18">
                  <c:v>1.8574999999999999</c:v>
                </c:pt>
                <c:pt idx="19">
                  <c:v>1.8574999999999999</c:v>
                </c:pt>
                <c:pt idx="20">
                  <c:v>1.8574999999999999</c:v>
                </c:pt>
                <c:pt idx="21">
                  <c:v>1.8574999999999999</c:v>
                </c:pt>
                <c:pt idx="22">
                  <c:v>1.8574999999999999</c:v>
                </c:pt>
                <c:pt idx="23">
                  <c:v>1.8574999999999999</c:v>
                </c:pt>
                <c:pt idx="24">
                  <c:v>1.8574999999999999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D20-485A-9C7B-9B8AA78DEB91}"/>
            </c:ext>
          </c:extLst>
        </c:ser>
        <c:ser>
          <c:idx val="20"/>
          <c:order val="23"/>
          <c:tx>
            <c:strRef>
              <c:f>'STD All'!$CP$1</c:f>
              <c:strCache>
                <c:ptCount val="1"/>
                <c:pt idx="0">
                  <c:v>STD3 3σ high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[0]!CO</c:f>
              <c:numCache>
                <c:formatCode>General</c:formatCode>
                <c:ptCount val="25"/>
                <c:pt idx="0">
                  <c:v>1.8574999999999999</c:v>
                </c:pt>
                <c:pt idx="1">
                  <c:v>1.8574999999999999</c:v>
                </c:pt>
                <c:pt idx="2">
                  <c:v>1.8574999999999999</c:v>
                </c:pt>
                <c:pt idx="3">
                  <c:v>1.8574999999999999</c:v>
                </c:pt>
                <c:pt idx="4">
                  <c:v>1.8574999999999999</c:v>
                </c:pt>
                <c:pt idx="5">
                  <c:v>1.8574999999999999</c:v>
                </c:pt>
                <c:pt idx="6">
                  <c:v>1.8574999999999999</c:v>
                </c:pt>
                <c:pt idx="7">
                  <c:v>1.8574999999999999</c:v>
                </c:pt>
                <c:pt idx="8">
                  <c:v>1.8574999999999999</c:v>
                </c:pt>
                <c:pt idx="9">
                  <c:v>1.8574999999999999</c:v>
                </c:pt>
                <c:pt idx="10">
                  <c:v>1.8574999999999999</c:v>
                </c:pt>
                <c:pt idx="11">
                  <c:v>1.8574999999999999</c:v>
                </c:pt>
                <c:pt idx="12">
                  <c:v>1.8574999999999999</c:v>
                </c:pt>
                <c:pt idx="13">
                  <c:v>1.8574999999999999</c:v>
                </c:pt>
                <c:pt idx="14">
                  <c:v>1.8574999999999999</c:v>
                </c:pt>
                <c:pt idx="15">
                  <c:v>1.8574999999999999</c:v>
                </c:pt>
                <c:pt idx="16">
                  <c:v>1.8574999999999999</c:v>
                </c:pt>
                <c:pt idx="17">
                  <c:v>1.8574999999999999</c:v>
                </c:pt>
                <c:pt idx="18">
                  <c:v>1.8574999999999999</c:v>
                </c:pt>
                <c:pt idx="19">
                  <c:v>1.8574999999999999</c:v>
                </c:pt>
                <c:pt idx="20">
                  <c:v>1.8574999999999999</c:v>
                </c:pt>
                <c:pt idx="21">
                  <c:v>1.8574999999999999</c:v>
                </c:pt>
                <c:pt idx="22">
                  <c:v>1.8574999999999999</c:v>
                </c:pt>
                <c:pt idx="23">
                  <c:v>1.8574999999999999</c:v>
                </c:pt>
                <c:pt idx="24">
                  <c:v>1.8574999999999999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D20-485A-9C7B-9B8AA78DEB91}"/>
            </c:ext>
          </c:extLst>
        </c:ser>
        <c:ser>
          <c:idx val="21"/>
          <c:order val="24"/>
          <c:tx>
            <c:strRef>
              <c:f>'STD All'!$CQ$1</c:f>
              <c:strCache>
                <c:ptCount val="1"/>
                <c:pt idx="0">
                  <c:v>Base4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[0]!CP</c:f>
              <c:numCache>
                <c:formatCode>General</c:formatCode>
                <c:ptCount val="25"/>
                <c:pt idx="0">
                  <c:v>12.0175</c:v>
                </c:pt>
                <c:pt idx="1">
                  <c:v>12.0175</c:v>
                </c:pt>
                <c:pt idx="2">
                  <c:v>12.0175</c:v>
                </c:pt>
                <c:pt idx="3">
                  <c:v>12.0175</c:v>
                </c:pt>
                <c:pt idx="4">
                  <c:v>12.0175</c:v>
                </c:pt>
                <c:pt idx="5">
                  <c:v>12.0175</c:v>
                </c:pt>
                <c:pt idx="6">
                  <c:v>12.0175</c:v>
                </c:pt>
                <c:pt idx="7">
                  <c:v>12.0175</c:v>
                </c:pt>
                <c:pt idx="8">
                  <c:v>12.0175</c:v>
                </c:pt>
                <c:pt idx="9">
                  <c:v>12.0175</c:v>
                </c:pt>
                <c:pt idx="10">
                  <c:v>12.0175</c:v>
                </c:pt>
                <c:pt idx="11">
                  <c:v>12.0175</c:v>
                </c:pt>
                <c:pt idx="12">
                  <c:v>12.0175</c:v>
                </c:pt>
                <c:pt idx="13">
                  <c:v>12.0175</c:v>
                </c:pt>
                <c:pt idx="14">
                  <c:v>12.0175</c:v>
                </c:pt>
                <c:pt idx="15">
                  <c:v>12.0175</c:v>
                </c:pt>
                <c:pt idx="16">
                  <c:v>12.0175</c:v>
                </c:pt>
                <c:pt idx="17">
                  <c:v>12.0175</c:v>
                </c:pt>
                <c:pt idx="18">
                  <c:v>12.0175</c:v>
                </c:pt>
                <c:pt idx="19">
                  <c:v>12.0175</c:v>
                </c:pt>
                <c:pt idx="20">
                  <c:v>12.0175</c:v>
                </c:pt>
                <c:pt idx="21">
                  <c:v>12.0175</c:v>
                </c:pt>
                <c:pt idx="22">
                  <c:v>12.0175</c:v>
                </c:pt>
                <c:pt idx="23">
                  <c:v>12.0175</c:v>
                </c:pt>
                <c:pt idx="24">
                  <c:v>12.0175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D20-485A-9C7B-9B8AA78DEB91}"/>
            </c:ext>
          </c:extLst>
        </c:ser>
        <c:ser>
          <c:idx val="22"/>
          <c:order val="25"/>
          <c:tx>
            <c:strRef>
              <c:f>'STD All'!$CR$1</c:f>
              <c:strCache>
                <c:ptCount val="1"/>
                <c:pt idx="0">
                  <c:v>STD4 3σ low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[0]!CQ</c:f>
              <c:numCache>
                <c:formatCode>General</c:formatCode>
                <c:ptCount val="25"/>
                <c:pt idx="0">
                  <c:v>2.4699999999999998</c:v>
                </c:pt>
                <c:pt idx="1">
                  <c:v>2.4699999999999998</c:v>
                </c:pt>
                <c:pt idx="2">
                  <c:v>2.4699999999999998</c:v>
                </c:pt>
                <c:pt idx="3">
                  <c:v>2.4699999999999998</c:v>
                </c:pt>
                <c:pt idx="4">
                  <c:v>2.4699999999999998</c:v>
                </c:pt>
                <c:pt idx="5">
                  <c:v>2.4699999999999998</c:v>
                </c:pt>
                <c:pt idx="6">
                  <c:v>2.4699999999999998</c:v>
                </c:pt>
                <c:pt idx="7">
                  <c:v>2.4699999999999998</c:v>
                </c:pt>
                <c:pt idx="8">
                  <c:v>2.4699999999999998</c:v>
                </c:pt>
                <c:pt idx="9">
                  <c:v>2.4699999999999998</c:v>
                </c:pt>
                <c:pt idx="10">
                  <c:v>2.4699999999999998</c:v>
                </c:pt>
                <c:pt idx="11">
                  <c:v>2.4699999999999998</c:v>
                </c:pt>
                <c:pt idx="12">
                  <c:v>2.4699999999999998</c:v>
                </c:pt>
                <c:pt idx="13">
                  <c:v>2.4699999999999998</c:v>
                </c:pt>
                <c:pt idx="14">
                  <c:v>2.4699999999999998</c:v>
                </c:pt>
                <c:pt idx="15">
                  <c:v>2.4699999999999998</c:v>
                </c:pt>
                <c:pt idx="16">
                  <c:v>2.4699999999999998</c:v>
                </c:pt>
                <c:pt idx="17">
                  <c:v>2.4699999999999998</c:v>
                </c:pt>
                <c:pt idx="18">
                  <c:v>2.4699999999999998</c:v>
                </c:pt>
                <c:pt idx="19">
                  <c:v>2.4699999999999998</c:v>
                </c:pt>
                <c:pt idx="20">
                  <c:v>2.4699999999999998</c:v>
                </c:pt>
                <c:pt idx="21">
                  <c:v>2.4699999999999998</c:v>
                </c:pt>
                <c:pt idx="22">
                  <c:v>2.4699999999999998</c:v>
                </c:pt>
                <c:pt idx="23">
                  <c:v>2.4699999999999998</c:v>
                </c:pt>
                <c:pt idx="24">
                  <c:v>2.4699999999999998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D20-485A-9C7B-9B8AA78DEB91}"/>
            </c:ext>
          </c:extLst>
        </c:ser>
        <c:ser>
          <c:idx val="23"/>
          <c:order val="26"/>
          <c:tx>
            <c:strRef>
              <c:f>'STD All'!$CS$1</c:f>
              <c:strCache>
                <c:ptCount val="1"/>
                <c:pt idx="0">
                  <c:v>STD4 2σ low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[0]!CR</c:f>
              <c:numCache>
                <c:formatCode>General</c:formatCode>
                <c:ptCount val="25"/>
                <c:pt idx="0">
                  <c:v>2.4699999999999998</c:v>
                </c:pt>
                <c:pt idx="1">
                  <c:v>2.4699999999999998</c:v>
                </c:pt>
                <c:pt idx="2">
                  <c:v>2.4699999999999998</c:v>
                </c:pt>
                <c:pt idx="3">
                  <c:v>2.4699999999999998</c:v>
                </c:pt>
                <c:pt idx="4">
                  <c:v>2.4699999999999998</c:v>
                </c:pt>
                <c:pt idx="5">
                  <c:v>2.4699999999999998</c:v>
                </c:pt>
                <c:pt idx="6">
                  <c:v>2.4699999999999998</c:v>
                </c:pt>
                <c:pt idx="7">
                  <c:v>2.4699999999999998</c:v>
                </c:pt>
                <c:pt idx="8">
                  <c:v>2.4699999999999998</c:v>
                </c:pt>
                <c:pt idx="9">
                  <c:v>2.4699999999999998</c:v>
                </c:pt>
                <c:pt idx="10">
                  <c:v>2.4699999999999998</c:v>
                </c:pt>
                <c:pt idx="11">
                  <c:v>2.4699999999999998</c:v>
                </c:pt>
                <c:pt idx="12">
                  <c:v>2.4699999999999998</c:v>
                </c:pt>
                <c:pt idx="13">
                  <c:v>2.4699999999999998</c:v>
                </c:pt>
                <c:pt idx="14">
                  <c:v>2.4699999999999998</c:v>
                </c:pt>
                <c:pt idx="15">
                  <c:v>2.4699999999999998</c:v>
                </c:pt>
                <c:pt idx="16">
                  <c:v>2.4699999999999998</c:v>
                </c:pt>
                <c:pt idx="17">
                  <c:v>2.4699999999999998</c:v>
                </c:pt>
                <c:pt idx="18">
                  <c:v>2.4699999999999998</c:v>
                </c:pt>
                <c:pt idx="19">
                  <c:v>2.4699999999999998</c:v>
                </c:pt>
                <c:pt idx="20">
                  <c:v>2.4699999999999998</c:v>
                </c:pt>
                <c:pt idx="21">
                  <c:v>2.4699999999999998</c:v>
                </c:pt>
                <c:pt idx="22">
                  <c:v>2.4699999999999998</c:v>
                </c:pt>
                <c:pt idx="23">
                  <c:v>2.4699999999999998</c:v>
                </c:pt>
                <c:pt idx="24">
                  <c:v>2.4699999999999998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D20-485A-9C7B-9B8AA78DEB91}"/>
            </c:ext>
          </c:extLst>
        </c:ser>
        <c:ser>
          <c:idx val="24"/>
          <c:order val="27"/>
          <c:tx>
            <c:strRef>
              <c:f>'STD All'!$CT$1</c:f>
              <c:strCache>
                <c:ptCount val="1"/>
                <c:pt idx="0">
                  <c:v>STD4 1σ low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[0]!CS</c:f>
              <c:numCache>
                <c:formatCode>General</c:formatCode>
                <c:ptCount val="25"/>
                <c:pt idx="0">
                  <c:v>2.4699999999999998</c:v>
                </c:pt>
                <c:pt idx="1">
                  <c:v>2.4699999999999998</c:v>
                </c:pt>
                <c:pt idx="2">
                  <c:v>2.4699999999999998</c:v>
                </c:pt>
                <c:pt idx="3">
                  <c:v>2.4699999999999998</c:v>
                </c:pt>
                <c:pt idx="4">
                  <c:v>2.4699999999999998</c:v>
                </c:pt>
                <c:pt idx="5">
                  <c:v>2.4699999999999998</c:v>
                </c:pt>
                <c:pt idx="6">
                  <c:v>2.4699999999999998</c:v>
                </c:pt>
                <c:pt idx="7">
                  <c:v>2.4699999999999998</c:v>
                </c:pt>
                <c:pt idx="8">
                  <c:v>2.4699999999999998</c:v>
                </c:pt>
                <c:pt idx="9">
                  <c:v>2.4699999999999998</c:v>
                </c:pt>
                <c:pt idx="10">
                  <c:v>2.4699999999999998</c:v>
                </c:pt>
                <c:pt idx="11">
                  <c:v>2.4699999999999998</c:v>
                </c:pt>
                <c:pt idx="12">
                  <c:v>2.4699999999999998</c:v>
                </c:pt>
                <c:pt idx="13">
                  <c:v>2.4699999999999998</c:v>
                </c:pt>
                <c:pt idx="14">
                  <c:v>2.4699999999999998</c:v>
                </c:pt>
                <c:pt idx="15">
                  <c:v>2.4699999999999998</c:v>
                </c:pt>
                <c:pt idx="16">
                  <c:v>2.4699999999999998</c:v>
                </c:pt>
                <c:pt idx="17">
                  <c:v>2.4699999999999998</c:v>
                </c:pt>
                <c:pt idx="18">
                  <c:v>2.4699999999999998</c:v>
                </c:pt>
                <c:pt idx="19">
                  <c:v>2.4699999999999998</c:v>
                </c:pt>
                <c:pt idx="20">
                  <c:v>2.4699999999999998</c:v>
                </c:pt>
                <c:pt idx="21">
                  <c:v>2.4699999999999998</c:v>
                </c:pt>
                <c:pt idx="22">
                  <c:v>2.4699999999999998</c:v>
                </c:pt>
                <c:pt idx="23">
                  <c:v>2.4699999999999998</c:v>
                </c:pt>
                <c:pt idx="24">
                  <c:v>2.4699999999999998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D20-485A-9C7B-9B8AA78DEB91}"/>
            </c:ext>
          </c:extLst>
        </c:ser>
        <c:ser>
          <c:idx val="25"/>
          <c:order val="28"/>
          <c:tx>
            <c:strRef>
              <c:f>'STD All'!$CU$1</c:f>
              <c:strCache>
                <c:ptCount val="1"/>
                <c:pt idx="0">
                  <c:v>STD4 1σ high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[0]!CT</c:f>
              <c:numCache>
                <c:formatCode>General</c:formatCode>
                <c:ptCount val="25"/>
                <c:pt idx="0">
                  <c:v>2.4699999999999998</c:v>
                </c:pt>
                <c:pt idx="1">
                  <c:v>2.4699999999999998</c:v>
                </c:pt>
                <c:pt idx="2">
                  <c:v>2.4699999999999998</c:v>
                </c:pt>
                <c:pt idx="3">
                  <c:v>2.4699999999999998</c:v>
                </c:pt>
                <c:pt idx="4">
                  <c:v>2.4699999999999998</c:v>
                </c:pt>
                <c:pt idx="5">
                  <c:v>2.4699999999999998</c:v>
                </c:pt>
                <c:pt idx="6">
                  <c:v>2.4699999999999998</c:v>
                </c:pt>
                <c:pt idx="7">
                  <c:v>2.4699999999999998</c:v>
                </c:pt>
                <c:pt idx="8">
                  <c:v>2.4699999999999998</c:v>
                </c:pt>
                <c:pt idx="9">
                  <c:v>2.4699999999999998</c:v>
                </c:pt>
                <c:pt idx="10">
                  <c:v>2.4699999999999998</c:v>
                </c:pt>
                <c:pt idx="11">
                  <c:v>2.4699999999999998</c:v>
                </c:pt>
                <c:pt idx="12">
                  <c:v>2.4699999999999998</c:v>
                </c:pt>
                <c:pt idx="13">
                  <c:v>2.4699999999999998</c:v>
                </c:pt>
                <c:pt idx="14">
                  <c:v>2.4699999999999998</c:v>
                </c:pt>
                <c:pt idx="15">
                  <c:v>2.4699999999999998</c:v>
                </c:pt>
                <c:pt idx="16">
                  <c:v>2.4699999999999998</c:v>
                </c:pt>
                <c:pt idx="17">
                  <c:v>2.4699999999999998</c:v>
                </c:pt>
                <c:pt idx="18">
                  <c:v>2.4699999999999998</c:v>
                </c:pt>
                <c:pt idx="19">
                  <c:v>2.4699999999999998</c:v>
                </c:pt>
                <c:pt idx="20">
                  <c:v>2.4699999999999998</c:v>
                </c:pt>
                <c:pt idx="21">
                  <c:v>2.4699999999999998</c:v>
                </c:pt>
                <c:pt idx="22">
                  <c:v>2.4699999999999998</c:v>
                </c:pt>
                <c:pt idx="23">
                  <c:v>2.4699999999999998</c:v>
                </c:pt>
                <c:pt idx="24">
                  <c:v>2.4699999999999998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D20-485A-9C7B-9B8AA78DEB91}"/>
            </c:ext>
          </c:extLst>
        </c:ser>
        <c:ser>
          <c:idx val="26"/>
          <c:order val="29"/>
          <c:tx>
            <c:strRef>
              <c:f>'STD All'!$CV$1</c:f>
              <c:strCache>
                <c:ptCount val="1"/>
                <c:pt idx="0">
                  <c:v>STD4 2σ high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[0]!CU</c:f>
              <c:numCache>
                <c:formatCode>General</c:formatCode>
                <c:ptCount val="25"/>
                <c:pt idx="0">
                  <c:v>2.4699999999999998</c:v>
                </c:pt>
                <c:pt idx="1">
                  <c:v>2.4699999999999998</c:v>
                </c:pt>
                <c:pt idx="2">
                  <c:v>2.4699999999999998</c:v>
                </c:pt>
                <c:pt idx="3">
                  <c:v>2.4699999999999998</c:v>
                </c:pt>
                <c:pt idx="4">
                  <c:v>2.4699999999999998</c:v>
                </c:pt>
                <c:pt idx="5">
                  <c:v>2.4699999999999998</c:v>
                </c:pt>
                <c:pt idx="6">
                  <c:v>2.4699999999999998</c:v>
                </c:pt>
                <c:pt idx="7">
                  <c:v>2.4699999999999998</c:v>
                </c:pt>
                <c:pt idx="8">
                  <c:v>2.4699999999999998</c:v>
                </c:pt>
                <c:pt idx="9">
                  <c:v>2.4699999999999998</c:v>
                </c:pt>
                <c:pt idx="10">
                  <c:v>2.4699999999999998</c:v>
                </c:pt>
                <c:pt idx="11">
                  <c:v>2.4699999999999998</c:v>
                </c:pt>
                <c:pt idx="12">
                  <c:v>2.4699999999999998</c:v>
                </c:pt>
                <c:pt idx="13">
                  <c:v>2.4699999999999998</c:v>
                </c:pt>
                <c:pt idx="14">
                  <c:v>2.4699999999999998</c:v>
                </c:pt>
                <c:pt idx="15">
                  <c:v>2.4699999999999998</c:v>
                </c:pt>
                <c:pt idx="16">
                  <c:v>2.4699999999999998</c:v>
                </c:pt>
                <c:pt idx="17">
                  <c:v>2.4699999999999998</c:v>
                </c:pt>
                <c:pt idx="18">
                  <c:v>2.4699999999999998</c:v>
                </c:pt>
                <c:pt idx="19">
                  <c:v>2.4699999999999998</c:v>
                </c:pt>
                <c:pt idx="20">
                  <c:v>2.4699999999999998</c:v>
                </c:pt>
                <c:pt idx="21">
                  <c:v>2.4699999999999998</c:v>
                </c:pt>
                <c:pt idx="22">
                  <c:v>2.4699999999999998</c:v>
                </c:pt>
                <c:pt idx="23">
                  <c:v>2.4699999999999998</c:v>
                </c:pt>
                <c:pt idx="24">
                  <c:v>2.4699999999999998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D20-485A-9C7B-9B8AA78DEB91}"/>
            </c:ext>
          </c:extLst>
        </c:ser>
        <c:ser>
          <c:idx val="27"/>
          <c:order val="30"/>
          <c:tx>
            <c:strRef>
              <c:f>'STD All'!$CW$1</c:f>
              <c:strCache>
                <c:ptCount val="1"/>
                <c:pt idx="0">
                  <c:v>STD4 3σ high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[0]!CV</c:f>
              <c:numCache>
                <c:formatCode>General</c:formatCode>
                <c:ptCount val="25"/>
                <c:pt idx="0">
                  <c:v>2.4699999999999998</c:v>
                </c:pt>
                <c:pt idx="1">
                  <c:v>2.4699999999999998</c:v>
                </c:pt>
                <c:pt idx="2">
                  <c:v>2.4699999999999998</c:v>
                </c:pt>
                <c:pt idx="3">
                  <c:v>2.4699999999999998</c:v>
                </c:pt>
                <c:pt idx="4">
                  <c:v>2.4699999999999998</c:v>
                </c:pt>
                <c:pt idx="5">
                  <c:v>2.4699999999999998</c:v>
                </c:pt>
                <c:pt idx="6">
                  <c:v>2.4699999999999998</c:v>
                </c:pt>
                <c:pt idx="7">
                  <c:v>2.4699999999999998</c:v>
                </c:pt>
                <c:pt idx="8">
                  <c:v>2.4699999999999998</c:v>
                </c:pt>
                <c:pt idx="9">
                  <c:v>2.4699999999999998</c:v>
                </c:pt>
                <c:pt idx="10">
                  <c:v>2.4699999999999998</c:v>
                </c:pt>
                <c:pt idx="11">
                  <c:v>2.4699999999999998</c:v>
                </c:pt>
                <c:pt idx="12">
                  <c:v>2.4699999999999998</c:v>
                </c:pt>
                <c:pt idx="13">
                  <c:v>2.4699999999999998</c:v>
                </c:pt>
                <c:pt idx="14">
                  <c:v>2.4699999999999998</c:v>
                </c:pt>
                <c:pt idx="15">
                  <c:v>2.4699999999999998</c:v>
                </c:pt>
                <c:pt idx="16">
                  <c:v>2.4699999999999998</c:v>
                </c:pt>
                <c:pt idx="17">
                  <c:v>2.4699999999999998</c:v>
                </c:pt>
                <c:pt idx="18">
                  <c:v>2.4699999999999998</c:v>
                </c:pt>
                <c:pt idx="19">
                  <c:v>2.4699999999999998</c:v>
                </c:pt>
                <c:pt idx="20">
                  <c:v>2.4699999999999998</c:v>
                </c:pt>
                <c:pt idx="21">
                  <c:v>2.4699999999999998</c:v>
                </c:pt>
                <c:pt idx="22">
                  <c:v>2.4699999999999998</c:v>
                </c:pt>
                <c:pt idx="23">
                  <c:v>2.4699999999999998</c:v>
                </c:pt>
                <c:pt idx="24">
                  <c:v>2.4699999999999998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D20-485A-9C7B-9B8AA78DE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903135"/>
        <c:axId val="1272903615"/>
      </c:areaChart>
      <c:scatterChart>
        <c:scatterStyle val="lineMarker"/>
        <c:varyColors val="0"/>
        <c:ser>
          <c:idx val="28"/>
          <c:order val="1"/>
          <c:tx>
            <c:strRef>
              <c:f>'STD All'!$BD$1</c:f>
              <c:strCache>
                <c:ptCount val="1"/>
                <c:pt idx="0">
                  <c:v>M1 Readings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xVal>
            <c:numRef>
              <c:f>[0]!BA</c:f>
              <c:numCache>
                <c:formatCode>0</c:formatCode>
                <c:ptCount val="245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5</c:v>
                </c:pt>
                <c:pt idx="212">
                  <c:v>6</c:v>
                </c:pt>
                <c:pt idx="213">
                  <c:v>5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5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5</c:v>
                </c:pt>
                <c:pt idx="236">
                  <c:v>6</c:v>
                </c:pt>
                <c:pt idx="237">
                  <c:v>6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5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8</c:v>
                </c:pt>
                <c:pt idx="311">
                  <c:v>7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9</c:v>
                </c:pt>
                <c:pt idx="347">
                  <c:v>9</c:v>
                </c:pt>
                <c:pt idx="348">
                  <c:v>9</c:v>
                </c:pt>
                <c:pt idx="349">
                  <c:v>9</c:v>
                </c:pt>
                <c:pt idx="350">
                  <c:v>9</c:v>
                </c:pt>
                <c:pt idx="351">
                  <c:v>9</c:v>
                </c:pt>
                <c:pt idx="352">
                  <c:v>9</c:v>
                </c:pt>
                <c:pt idx="353">
                  <c:v>9</c:v>
                </c:pt>
                <c:pt idx="354">
                  <c:v>9</c:v>
                </c:pt>
                <c:pt idx="355">
                  <c:v>9</c:v>
                </c:pt>
                <c:pt idx="356">
                  <c:v>9</c:v>
                </c:pt>
                <c:pt idx="357">
                  <c:v>9</c:v>
                </c:pt>
                <c:pt idx="358">
                  <c:v>9</c:v>
                </c:pt>
                <c:pt idx="359">
                  <c:v>9</c:v>
                </c:pt>
                <c:pt idx="360">
                  <c:v>9</c:v>
                </c:pt>
                <c:pt idx="361">
                  <c:v>9</c:v>
                </c:pt>
                <c:pt idx="362">
                  <c:v>9</c:v>
                </c:pt>
                <c:pt idx="363">
                  <c:v>9</c:v>
                </c:pt>
                <c:pt idx="364">
                  <c:v>9</c:v>
                </c:pt>
                <c:pt idx="365">
                  <c:v>9</c:v>
                </c:pt>
                <c:pt idx="366">
                  <c:v>9</c:v>
                </c:pt>
                <c:pt idx="367">
                  <c:v>9</c:v>
                </c:pt>
                <c:pt idx="368">
                  <c:v>9</c:v>
                </c:pt>
                <c:pt idx="369">
                  <c:v>9</c:v>
                </c:pt>
                <c:pt idx="370">
                  <c:v>9</c:v>
                </c:pt>
                <c:pt idx="371">
                  <c:v>9</c:v>
                </c:pt>
                <c:pt idx="372">
                  <c:v>9</c:v>
                </c:pt>
                <c:pt idx="373">
                  <c:v>9</c:v>
                </c:pt>
                <c:pt idx="374">
                  <c:v>9</c:v>
                </c:pt>
                <c:pt idx="375">
                  <c:v>9</c:v>
                </c:pt>
                <c:pt idx="376">
                  <c:v>9</c:v>
                </c:pt>
                <c:pt idx="377">
                  <c:v>9</c:v>
                </c:pt>
                <c:pt idx="378">
                  <c:v>9</c:v>
                </c:pt>
                <c:pt idx="379">
                  <c:v>9</c:v>
                </c:pt>
                <c:pt idx="380">
                  <c:v>9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</c:v>
                </c:pt>
                <c:pt idx="385">
                  <c:v>9</c:v>
                </c:pt>
                <c:pt idx="386">
                  <c:v>9</c:v>
                </c:pt>
                <c:pt idx="387">
                  <c:v>9</c:v>
                </c:pt>
                <c:pt idx="388">
                  <c:v>9</c:v>
                </c:pt>
                <c:pt idx="389">
                  <c:v>9</c:v>
                </c:pt>
                <c:pt idx="390">
                  <c:v>9</c:v>
                </c:pt>
                <c:pt idx="391">
                  <c:v>9</c:v>
                </c:pt>
                <c:pt idx="392">
                  <c:v>9</c:v>
                </c:pt>
                <c:pt idx="393">
                  <c:v>9</c:v>
                </c:pt>
                <c:pt idx="394">
                  <c:v>9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9</c:v>
                </c:pt>
                <c:pt idx="399">
                  <c:v>9</c:v>
                </c:pt>
                <c:pt idx="400">
                  <c:v>9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9</c:v>
                </c:pt>
                <c:pt idx="407">
                  <c:v>9</c:v>
                </c:pt>
                <c:pt idx="408">
                  <c:v>9</c:v>
                </c:pt>
                <c:pt idx="409">
                  <c:v>9</c:v>
                </c:pt>
                <c:pt idx="410">
                  <c:v>9</c:v>
                </c:pt>
                <c:pt idx="411">
                  <c:v>9</c:v>
                </c:pt>
                <c:pt idx="412">
                  <c:v>9</c:v>
                </c:pt>
                <c:pt idx="413">
                  <c:v>9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10</c:v>
                </c:pt>
                <c:pt idx="419">
                  <c:v>10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</c:v>
                </c:pt>
                <c:pt idx="425">
                  <c:v>10</c:v>
                </c:pt>
                <c:pt idx="426">
                  <c:v>10</c:v>
                </c:pt>
                <c:pt idx="427">
                  <c:v>10</c:v>
                </c:pt>
                <c:pt idx="428">
                  <c:v>10</c:v>
                </c:pt>
                <c:pt idx="429">
                  <c:v>10</c:v>
                </c:pt>
                <c:pt idx="430">
                  <c:v>10</c:v>
                </c:pt>
                <c:pt idx="431">
                  <c:v>10</c:v>
                </c:pt>
                <c:pt idx="432">
                  <c:v>10</c:v>
                </c:pt>
                <c:pt idx="433">
                  <c:v>10</c:v>
                </c:pt>
                <c:pt idx="434">
                  <c:v>10</c:v>
                </c:pt>
                <c:pt idx="435">
                  <c:v>10</c:v>
                </c:pt>
                <c:pt idx="436">
                  <c:v>10</c:v>
                </c:pt>
                <c:pt idx="437">
                  <c:v>10</c:v>
                </c:pt>
                <c:pt idx="438">
                  <c:v>10</c:v>
                </c:pt>
                <c:pt idx="439">
                  <c:v>10</c:v>
                </c:pt>
                <c:pt idx="440">
                  <c:v>10</c:v>
                </c:pt>
                <c:pt idx="441">
                  <c:v>10</c:v>
                </c:pt>
                <c:pt idx="442">
                  <c:v>10</c:v>
                </c:pt>
                <c:pt idx="443">
                  <c:v>10</c:v>
                </c:pt>
                <c:pt idx="444">
                  <c:v>10</c:v>
                </c:pt>
                <c:pt idx="445">
                  <c:v>10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10</c:v>
                </c:pt>
                <c:pt idx="456">
                  <c:v>10</c:v>
                </c:pt>
                <c:pt idx="457">
                  <c:v>10</c:v>
                </c:pt>
                <c:pt idx="458">
                  <c:v>10</c:v>
                </c:pt>
                <c:pt idx="459">
                  <c:v>10</c:v>
                </c:pt>
                <c:pt idx="460">
                  <c:v>10</c:v>
                </c:pt>
                <c:pt idx="461">
                  <c:v>10</c:v>
                </c:pt>
                <c:pt idx="462">
                  <c:v>10</c:v>
                </c:pt>
                <c:pt idx="463">
                  <c:v>10</c:v>
                </c:pt>
                <c:pt idx="464">
                  <c:v>10</c:v>
                </c:pt>
                <c:pt idx="465">
                  <c:v>10</c:v>
                </c:pt>
                <c:pt idx="466">
                  <c:v>10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10</c:v>
                </c:pt>
                <c:pt idx="471">
                  <c:v>10</c:v>
                </c:pt>
                <c:pt idx="472">
                  <c:v>10</c:v>
                </c:pt>
                <c:pt idx="473">
                  <c:v>10</c:v>
                </c:pt>
                <c:pt idx="474">
                  <c:v>10</c:v>
                </c:pt>
                <c:pt idx="475">
                  <c:v>10</c:v>
                </c:pt>
                <c:pt idx="476">
                  <c:v>10</c:v>
                </c:pt>
                <c:pt idx="477">
                  <c:v>11</c:v>
                </c:pt>
                <c:pt idx="478">
                  <c:v>11</c:v>
                </c:pt>
                <c:pt idx="479">
                  <c:v>11</c:v>
                </c:pt>
                <c:pt idx="480">
                  <c:v>11</c:v>
                </c:pt>
                <c:pt idx="481">
                  <c:v>11</c:v>
                </c:pt>
                <c:pt idx="482">
                  <c:v>11</c:v>
                </c:pt>
                <c:pt idx="483">
                  <c:v>11</c:v>
                </c:pt>
                <c:pt idx="484">
                  <c:v>11</c:v>
                </c:pt>
                <c:pt idx="485">
                  <c:v>11</c:v>
                </c:pt>
                <c:pt idx="486">
                  <c:v>11</c:v>
                </c:pt>
                <c:pt idx="487">
                  <c:v>11</c:v>
                </c:pt>
                <c:pt idx="488">
                  <c:v>11</c:v>
                </c:pt>
                <c:pt idx="489">
                  <c:v>11</c:v>
                </c:pt>
                <c:pt idx="490">
                  <c:v>11</c:v>
                </c:pt>
                <c:pt idx="491">
                  <c:v>11</c:v>
                </c:pt>
                <c:pt idx="492">
                  <c:v>11</c:v>
                </c:pt>
                <c:pt idx="493">
                  <c:v>11</c:v>
                </c:pt>
                <c:pt idx="494">
                  <c:v>11</c:v>
                </c:pt>
                <c:pt idx="495">
                  <c:v>11</c:v>
                </c:pt>
                <c:pt idx="496">
                  <c:v>11</c:v>
                </c:pt>
                <c:pt idx="497">
                  <c:v>11</c:v>
                </c:pt>
                <c:pt idx="498">
                  <c:v>11</c:v>
                </c:pt>
                <c:pt idx="499">
                  <c:v>11</c:v>
                </c:pt>
                <c:pt idx="500">
                  <c:v>11</c:v>
                </c:pt>
                <c:pt idx="501">
                  <c:v>11</c:v>
                </c:pt>
                <c:pt idx="502">
                  <c:v>11</c:v>
                </c:pt>
                <c:pt idx="503">
                  <c:v>11</c:v>
                </c:pt>
                <c:pt idx="504">
                  <c:v>11</c:v>
                </c:pt>
                <c:pt idx="505">
                  <c:v>11</c:v>
                </c:pt>
                <c:pt idx="506">
                  <c:v>11</c:v>
                </c:pt>
                <c:pt idx="507">
                  <c:v>11</c:v>
                </c:pt>
                <c:pt idx="508">
                  <c:v>11</c:v>
                </c:pt>
                <c:pt idx="509">
                  <c:v>11</c:v>
                </c:pt>
                <c:pt idx="510">
                  <c:v>11</c:v>
                </c:pt>
                <c:pt idx="511">
                  <c:v>11</c:v>
                </c:pt>
                <c:pt idx="512">
                  <c:v>11</c:v>
                </c:pt>
                <c:pt idx="513">
                  <c:v>11</c:v>
                </c:pt>
                <c:pt idx="514">
                  <c:v>11</c:v>
                </c:pt>
                <c:pt idx="515">
                  <c:v>11</c:v>
                </c:pt>
                <c:pt idx="516">
                  <c:v>11</c:v>
                </c:pt>
                <c:pt idx="517">
                  <c:v>11</c:v>
                </c:pt>
                <c:pt idx="518">
                  <c:v>11</c:v>
                </c:pt>
                <c:pt idx="519">
                  <c:v>11</c:v>
                </c:pt>
                <c:pt idx="520">
                  <c:v>11</c:v>
                </c:pt>
                <c:pt idx="521">
                  <c:v>11</c:v>
                </c:pt>
                <c:pt idx="522">
                  <c:v>11</c:v>
                </c:pt>
                <c:pt idx="523">
                  <c:v>11</c:v>
                </c:pt>
                <c:pt idx="524">
                  <c:v>11</c:v>
                </c:pt>
                <c:pt idx="525">
                  <c:v>11</c:v>
                </c:pt>
                <c:pt idx="526">
                  <c:v>11</c:v>
                </c:pt>
                <c:pt idx="527">
                  <c:v>11</c:v>
                </c:pt>
                <c:pt idx="528">
                  <c:v>11</c:v>
                </c:pt>
                <c:pt idx="529">
                  <c:v>11</c:v>
                </c:pt>
                <c:pt idx="530">
                  <c:v>11</c:v>
                </c:pt>
                <c:pt idx="531">
                  <c:v>11</c:v>
                </c:pt>
                <c:pt idx="532">
                  <c:v>11</c:v>
                </c:pt>
                <c:pt idx="533">
                  <c:v>11</c:v>
                </c:pt>
                <c:pt idx="534">
                  <c:v>11</c:v>
                </c:pt>
                <c:pt idx="535">
                  <c:v>11</c:v>
                </c:pt>
                <c:pt idx="536">
                  <c:v>11</c:v>
                </c:pt>
                <c:pt idx="537">
                  <c:v>11</c:v>
                </c:pt>
                <c:pt idx="538">
                  <c:v>11</c:v>
                </c:pt>
                <c:pt idx="539">
                  <c:v>11</c:v>
                </c:pt>
                <c:pt idx="540">
                  <c:v>11</c:v>
                </c:pt>
                <c:pt idx="541">
                  <c:v>11</c:v>
                </c:pt>
                <c:pt idx="542">
                  <c:v>11</c:v>
                </c:pt>
                <c:pt idx="543">
                  <c:v>11</c:v>
                </c:pt>
                <c:pt idx="544">
                  <c:v>11</c:v>
                </c:pt>
                <c:pt idx="545">
                  <c:v>11</c:v>
                </c:pt>
                <c:pt idx="546">
                  <c:v>11</c:v>
                </c:pt>
                <c:pt idx="547">
                  <c:v>11</c:v>
                </c:pt>
                <c:pt idx="548">
                  <c:v>11</c:v>
                </c:pt>
                <c:pt idx="549">
                  <c:v>11</c:v>
                </c:pt>
                <c:pt idx="550">
                  <c:v>11</c:v>
                </c:pt>
                <c:pt idx="551">
                  <c:v>11</c:v>
                </c:pt>
                <c:pt idx="552">
                  <c:v>11</c:v>
                </c:pt>
                <c:pt idx="553">
                  <c:v>11</c:v>
                </c:pt>
                <c:pt idx="554">
                  <c:v>11</c:v>
                </c:pt>
                <c:pt idx="555">
                  <c:v>11</c:v>
                </c:pt>
                <c:pt idx="556">
                  <c:v>11</c:v>
                </c:pt>
                <c:pt idx="557">
                  <c:v>11</c:v>
                </c:pt>
                <c:pt idx="558">
                  <c:v>11</c:v>
                </c:pt>
                <c:pt idx="559">
                  <c:v>11</c:v>
                </c:pt>
                <c:pt idx="560">
                  <c:v>11</c:v>
                </c:pt>
                <c:pt idx="561">
                  <c:v>11</c:v>
                </c:pt>
                <c:pt idx="562">
                  <c:v>11</c:v>
                </c:pt>
                <c:pt idx="563">
                  <c:v>11</c:v>
                </c:pt>
                <c:pt idx="564">
                  <c:v>11</c:v>
                </c:pt>
                <c:pt idx="565">
                  <c:v>11</c:v>
                </c:pt>
                <c:pt idx="566">
                  <c:v>11</c:v>
                </c:pt>
                <c:pt idx="567">
                  <c:v>11</c:v>
                </c:pt>
                <c:pt idx="568">
                  <c:v>11</c:v>
                </c:pt>
                <c:pt idx="569">
                  <c:v>11</c:v>
                </c:pt>
                <c:pt idx="570">
                  <c:v>11</c:v>
                </c:pt>
                <c:pt idx="571">
                  <c:v>11</c:v>
                </c:pt>
                <c:pt idx="572">
                  <c:v>11</c:v>
                </c:pt>
                <c:pt idx="573">
                  <c:v>11</c:v>
                </c:pt>
                <c:pt idx="574">
                  <c:v>11</c:v>
                </c:pt>
                <c:pt idx="575">
                  <c:v>11</c:v>
                </c:pt>
                <c:pt idx="576">
                  <c:v>11</c:v>
                </c:pt>
                <c:pt idx="577">
                  <c:v>11</c:v>
                </c:pt>
                <c:pt idx="578">
                  <c:v>11</c:v>
                </c:pt>
                <c:pt idx="579">
                  <c:v>11</c:v>
                </c:pt>
                <c:pt idx="580">
                  <c:v>11</c:v>
                </c:pt>
                <c:pt idx="581">
                  <c:v>11</c:v>
                </c:pt>
                <c:pt idx="582">
                  <c:v>11</c:v>
                </c:pt>
                <c:pt idx="583">
                  <c:v>11</c:v>
                </c:pt>
                <c:pt idx="584">
                  <c:v>11</c:v>
                </c:pt>
                <c:pt idx="585">
                  <c:v>11</c:v>
                </c:pt>
                <c:pt idx="586">
                  <c:v>11</c:v>
                </c:pt>
                <c:pt idx="587">
                  <c:v>11</c:v>
                </c:pt>
                <c:pt idx="588">
                  <c:v>11</c:v>
                </c:pt>
                <c:pt idx="589">
                  <c:v>11</c:v>
                </c:pt>
                <c:pt idx="590">
                  <c:v>11</c:v>
                </c:pt>
                <c:pt idx="591">
                  <c:v>11</c:v>
                </c:pt>
                <c:pt idx="592">
                  <c:v>11</c:v>
                </c:pt>
                <c:pt idx="593">
                  <c:v>11</c:v>
                </c:pt>
                <c:pt idx="594">
                  <c:v>11</c:v>
                </c:pt>
                <c:pt idx="595">
                  <c:v>11</c:v>
                </c:pt>
                <c:pt idx="596">
                  <c:v>11</c:v>
                </c:pt>
                <c:pt idx="597">
                  <c:v>11</c:v>
                </c:pt>
                <c:pt idx="598">
                  <c:v>11</c:v>
                </c:pt>
                <c:pt idx="599">
                  <c:v>11</c:v>
                </c:pt>
                <c:pt idx="600">
                  <c:v>11</c:v>
                </c:pt>
                <c:pt idx="601">
                  <c:v>11</c:v>
                </c:pt>
                <c:pt idx="602">
                  <c:v>11</c:v>
                </c:pt>
                <c:pt idx="603">
                  <c:v>11</c:v>
                </c:pt>
                <c:pt idx="604">
                  <c:v>11</c:v>
                </c:pt>
                <c:pt idx="605">
                  <c:v>11</c:v>
                </c:pt>
                <c:pt idx="606">
                  <c:v>11</c:v>
                </c:pt>
                <c:pt idx="607">
                  <c:v>11</c:v>
                </c:pt>
                <c:pt idx="608">
                  <c:v>11</c:v>
                </c:pt>
                <c:pt idx="609">
                  <c:v>11</c:v>
                </c:pt>
                <c:pt idx="610">
                  <c:v>11</c:v>
                </c:pt>
                <c:pt idx="611">
                  <c:v>11</c:v>
                </c:pt>
                <c:pt idx="612">
                  <c:v>11</c:v>
                </c:pt>
                <c:pt idx="613">
                  <c:v>11</c:v>
                </c:pt>
                <c:pt idx="614">
                  <c:v>11</c:v>
                </c:pt>
                <c:pt idx="615">
                  <c:v>11</c:v>
                </c:pt>
                <c:pt idx="616">
                  <c:v>11</c:v>
                </c:pt>
                <c:pt idx="617">
                  <c:v>11</c:v>
                </c:pt>
                <c:pt idx="618">
                  <c:v>11</c:v>
                </c:pt>
                <c:pt idx="619">
                  <c:v>11</c:v>
                </c:pt>
                <c:pt idx="620">
                  <c:v>11</c:v>
                </c:pt>
                <c:pt idx="621">
                  <c:v>11</c:v>
                </c:pt>
                <c:pt idx="622">
                  <c:v>11</c:v>
                </c:pt>
                <c:pt idx="623">
                  <c:v>11</c:v>
                </c:pt>
                <c:pt idx="624">
                  <c:v>12</c:v>
                </c:pt>
                <c:pt idx="625">
                  <c:v>12</c:v>
                </c:pt>
                <c:pt idx="626">
                  <c:v>12</c:v>
                </c:pt>
                <c:pt idx="627">
                  <c:v>12</c:v>
                </c:pt>
                <c:pt idx="628">
                  <c:v>12</c:v>
                </c:pt>
                <c:pt idx="629">
                  <c:v>12</c:v>
                </c:pt>
                <c:pt idx="630">
                  <c:v>12</c:v>
                </c:pt>
                <c:pt idx="631">
                  <c:v>12</c:v>
                </c:pt>
                <c:pt idx="632">
                  <c:v>12</c:v>
                </c:pt>
                <c:pt idx="633">
                  <c:v>12</c:v>
                </c:pt>
                <c:pt idx="634">
                  <c:v>12</c:v>
                </c:pt>
                <c:pt idx="635">
                  <c:v>12</c:v>
                </c:pt>
                <c:pt idx="636">
                  <c:v>12</c:v>
                </c:pt>
                <c:pt idx="637">
                  <c:v>12</c:v>
                </c:pt>
                <c:pt idx="638">
                  <c:v>12</c:v>
                </c:pt>
                <c:pt idx="639">
                  <c:v>12</c:v>
                </c:pt>
                <c:pt idx="640">
                  <c:v>12</c:v>
                </c:pt>
                <c:pt idx="641">
                  <c:v>12</c:v>
                </c:pt>
                <c:pt idx="642">
                  <c:v>12</c:v>
                </c:pt>
                <c:pt idx="643">
                  <c:v>12</c:v>
                </c:pt>
                <c:pt idx="644">
                  <c:v>12</c:v>
                </c:pt>
                <c:pt idx="645">
                  <c:v>12</c:v>
                </c:pt>
                <c:pt idx="646">
                  <c:v>12</c:v>
                </c:pt>
                <c:pt idx="647">
                  <c:v>12</c:v>
                </c:pt>
                <c:pt idx="648">
                  <c:v>12</c:v>
                </c:pt>
                <c:pt idx="649">
                  <c:v>12</c:v>
                </c:pt>
                <c:pt idx="650">
                  <c:v>12</c:v>
                </c:pt>
                <c:pt idx="651">
                  <c:v>12</c:v>
                </c:pt>
                <c:pt idx="652">
                  <c:v>12</c:v>
                </c:pt>
                <c:pt idx="653">
                  <c:v>12</c:v>
                </c:pt>
                <c:pt idx="654">
                  <c:v>12</c:v>
                </c:pt>
                <c:pt idx="655">
                  <c:v>13</c:v>
                </c:pt>
                <c:pt idx="656">
                  <c:v>13</c:v>
                </c:pt>
                <c:pt idx="657">
                  <c:v>13</c:v>
                </c:pt>
                <c:pt idx="658">
                  <c:v>13</c:v>
                </c:pt>
                <c:pt idx="659">
                  <c:v>13</c:v>
                </c:pt>
                <c:pt idx="660">
                  <c:v>13</c:v>
                </c:pt>
                <c:pt idx="661">
                  <c:v>13</c:v>
                </c:pt>
                <c:pt idx="662">
                  <c:v>13</c:v>
                </c:pt>
                <c:pt idx="663">
                  <c:v>13</c:v>
                </c:pt>
                <c:pt idx="664">
                  <c:v>13</c:v>
                </c:pt>
                <c:pt idx="665">
                  <c:v>13</c:v>
                </c:pt>
                <c:pt idx="666">
                  <c:v>13</c:v>
                </c:pt>
                <c:pt idx="667">
                  <c:v>13</c:v>
                </c:pt>
                <c:pt idx="668">
                  <c:v>13</c:v>
                </c:pt>
                <c:pt idx="669">
                  <c:v>13</c:v>
                </c:pt>
                <c:pt idx="670">
                  <c:v>13</c:v>
                </c:pt>
                <c:pt idx="671">
                  <c:v>13</c:v>
                </c:pt>
                <c:pt idx="672">
                  <c:v>13</c:v>
                </c:pt>
                <c:pt idx="673">
                  <c:v>13</c:v>
                </c:pt>
                <c:pt idx="674">
                  <c:v>13</c:v>
                </c:pt>
                <c:pt idx="675">
                  <c:v>13</c:v>
                </c:pt>
                <c:pt idx="676">
                  <c:v>13</c:v>
                </c:pt>
                <c:pt idx="677">
                  <c:v>13</c:v>
                </c:pt>
                <c:pt idx="678">
                  <c:v>13</c:v>
                </c:pt>
                <c:pt idx="679">
                  <c:v>13</c:v>
                </c:pt>
                <c:pt idx="680">
                  <c:v>13</c:v>
                </c:pt>
                <c:pt idx="681">
                  <c:v>13</c:v>
                </c:pt>
                <c:pt idx="682">
                  <c:v>13</c:v>
                </c:pt>
                <c:pt idx="683">
                  <c:v>13</c:v>
                </c:pt>
                <c:pt idx="684">
                  <c:v>13</c:v>
                </c:pt>
                <c:pt idx="685">
                  <c:v>13</c:v>
                </c:pt>
                <c:pt idx="686">
                  <c:v>13</c:v>
                </c:pt>
                <c:pt idx="687">
                  <c:v>13</c:v>
                </c:pt>
                <c:pt idx="688">
                  <c:v>13</c:v>
                </c:pt>
                <c:pt idx="689">
                  <c:v>14</c:v>
                </c:pt>
                <c:pt idx="690">
                  <c:v>14</c:v>
                </c:pt>
                <c:pt idx="691">
                  <c:v>14</c:v>
                </c:pt>
                <c:pt idx="692">
                  <c:v>14</c:v>
                </c:pt>
                <c:pt idx="693">
                  <c:v>14</c:v>
                </c:pt>
                <c:pt idx="694">
                  <c:v>14</c:v>
                </c:pt>
                <c:pt idx="695">
                  <c:v>14</c:v>
                </c:pt>
                <c:pt idx="696">
                  <c:v>14</c:v>
                </c:pt>
                <c:pt idx="697">
                  <c:v>14</c:v>
                </c:pt>
                <c:pt idx="698">
                  <c:v>14</c:v>
                </c:pt>
                <c:pt idx="699">
                  <c:v>14</c:v>
                </c:pt>
                <c:pt idx="700">
                  <c:v>14</c:v>
                </c:pt>
                <c:pt idx="701">
                  <c:v>14</c:v>
                </c:pt>
                <c:pt idx="702">
                  <c:v>14</c:v>
                </c:pt>
                <c:pt idx="703">
                  <c:v>14</c:v>
                </c:pt>
                <c:pt idx="704">
                  <c:v>14</c:v>
                </c:pt>
                <c:pt idx="705">
                  <c:v>14</c:v>
                </c:pt>
                <c:pt idx="706">
                  <c:v>14</c:v>
                </c:pt>
                <c:pt idx="707">
                  <c:v>14</c:v>
                </c:pt>
                <c:pt idx="708">
                  <c:v>14</c:v>
                </c:pt>
                <c:pt idx="709">
                  <c:v>14</c:v>
                </c:pt>
                <c:pt idx="710">
                  <c:v>14</c:v>
                </c:pt>
                <c:pt idx="711">
                  <c:v>14</c:v>
                </c:pt>
                <c:pt idx="712">
                  <c:v>14</c:v>
                </c:pt>
                <c:pt idx="713">
                  <c:v>14</c:v>
                </c:pt>
                <c:pt idx="714">
                  <c:v>14</c:v>
                </c:pt>
                <c:pt idx="715">
                  <c:v>14</c:v>
                </c:pt>
                <c:pt idx="716">
                  <c:v>14</c:v>
                </c:pt>
                <c:pt idx="717">
                  <c:v>14</c:v>
                </c:pt>
                <c:pt idx="718">
                  <c:v>14</c:v>
                </c:pt>
                <c:pt idx="719">
                  <c:v>14</c:v>
                </c:pt>
                <c:pt idx="720">
                  <c:v>14</c:v>
                </c:pt>
                <c:pt idx="721">
                  <c:v>14</c:v>
                </c:pt>
                <c:pt idx="722">
                  <c:v>14</c:v>
                </c:pt>
                <c:pt idx="723">
                  <c:v>14</c:v>
                </c:pt>
                <c:pt idx="724">
                  <c:v>14</c:v>
                </c:pt>
                <c:pt idx="725">
                  <c:v>14</c:v>
                </c:pt>
                <c:pt idx="726">
                  <c:v>14</c:v>
                </c:pt>
                <c:pt idx="727">
                  <c:v>14</c:v>
                </c:pt>
                <c:pt idx="728">
                  <c:v>14</c:v>
                </c:pt>
                <c:pt idx="729">
                  <c:v>14</c:v>
                </c:pt>
                <c:pt idx="730">
                  <c:v>14</c:v>
                </c:pt>
                <c:pt idx="731">
                  <c:v>14</c:v>
                </c:pt>
                <c:pt idx="732">
                  <c:v>14</c:v>
                </c:pt>
                <c:pt idx="733">
                  <c:v>14</c:v>
                </c:pt>
                <c:pt idx="734">
                  <c:v>14</c:v>
                </c:pt>
                <c:pt idx="735">
                  <c:v>14</c:v>
                </c:pt>
                <c:pt idx="736">
                  <c:v>14</c:v>
                </c:pt>
                <c:pt idx="737">
                  <c:v>14</c:v>
                </c:pt>
                <c:pt idx="738">
                  <c:v>14</c:v>
                </c:pt>
                <c:pt idx="739">
                  <c:v>14</c:v>
                </c:pt>
                <c:pt idx="740">
                  <c:v>14</c:v>
                </c:pt>
                <c:pt idx="741">
                  <c:v>14</c:v>
                </c:pt>
                <c:pt idx="742">
                  <c:v>14</c:v>
                </c:pt>
                <c:pt idx="743">
                  <c:v>14</c:v>
                </c:pt>
                <c:pt idx="744">
                  <c:v>14</c:v>
                </c:pt>
                <c:pt idx="745">
                  <c:v>14</c:v>
                </c:pt>
                <c:pt idx="746">
                  <c:v>14</c:v>
                </c:pt>
                <c:pt idx="747">
                  <c:v>14</c:v>
                </c:pt>
                <c:pt idx="748">
                  <c:v>14</c:v>
                </c:pt>
                <c:pt idx="749">
                  <c:v>14</c:v>
                </c:pt>
                <c:pt idx="750">
                  <c:v>14</c:v>
                </c:pt>
                <c:pt idx="751">
                  <c:v>14</c:v>
                </c:pt>
                <c:pt idx="752">
                  <c:v>14</c:v>
                </c:pt>
                <c:pt idx="753">
                  <c:v>14</c:v>
                </c:pt>
                <c:pt idx="754">
                  <c:v>14</c:v>
                </c:pt>
                <c:pt idx="755">
                  <c:v>14</c:v>
                </c:pt>
                <c:pt idx="756">
                  <c:v>14</c:v>
                </c:pt>
                <c:pt idx="757">
                  <c:v>14</c:v>
                </c:pt>
                <c:pt idx="758">
                  <c:v>14</c:v>
                </c:pt>
                <c:pt idx="759">
                  <c:v>14</c:v>
                </c:pt>
                <c:pt idx="760">
                  <c:v>14</c:v>
                </c:pt>
                <c:pt idx="761">
                  <c:v>14</c:v>
                </c:pt>
                <c:pt idx="762">
                  <c:v>14</c:v>
                </c:pt>
                <c:pt idx="763">
                  <c:v>14</c:v>
                </c:pt>
                <c:pt idx="764">
                  <c:v>14</c:v>
                </c:pt>
                <c:pt idx="765">
                  <c:v>14</c:v>
                </c:pt>
                <c:pt idx="766">
                  <c:v>14</c:v>
                </c:pt>
                <c:pt idx="767">
                  <c:v>14</c:v>
                </c:pt>
                <c:pt idx="768">
                  <c:v>14</c:v>
                </c:pt>
                <c:pt idx="769">
                  <c:v>14</c:v>
                </c:pt>
                <c:pt idx="770">
                  <c:v>14</c:v>
                </c:pt>
                <c:pt idx="771">
                  <c:v>14</c:v>
                </c:pt>
                <c:pt idx="772">
                  <c:v>14</c:v>
                </c:pt>
                <c:pt idx="773">
                  <c:v>14</c:v>
                </c:pt>
                <c:pt idx="774">
                  <c:v>14</c:v>
                </c:pt>
                <c:pt idx="775">
                  <c:v>14</c:v>
                </c:pt>
                <c:pt idx="776">
                  <c:v>14</c:v>
                </c:pt>
                <c:pt idx="777">
                  <c:v>14</c:v>
                </c:pt>
                <c:pt idx="778">
                  <c:v>14</c:v>
                </c:pt>
                <c:pt idx="779">
                  <c:v>14</c:v>
                </c:pt>
                <c:pt idx="780">
                  <c:v>14</c:v>
                </c:pt>
                <c:pt idx="781">
                  <c:v>14</c:v>
                </c:pt>
                <c:pt idx="782">
                  <c:v>14</c:v>
                </c:pt>
                <c:pt idx="783">
                  <c:v>14</c:v>
                </c:pt>
                <c:pt idx="784">
                  <c:v>14</c:v>
                </c:pt>
                <c:pt idx="785">
                  <c:v>14</c:v>
                </c:pt>
                <c:pt idx="786">
                  <c:v>14</c:v>
                </c:pt>
                <c:pt idx="787">
                  <c:v>14</c:v>
                </c:pt>
                <c:pt idx="788">
                  <c:v>14</c:v>
                </c:pt>
                <c:pt idx="789">
                  <c:v>14</c:v>
                </c:pt>
                <c:pt idx="790">
                  <c:v>14</c:v>
                </c:pt>
                <c:pt idx="791">
                  <c:v>14</c:v>
                </c:pt>
                <c:pt idx="792">
                  <c:v>14</c:v>
                </c:pt>
                <c:pt idx="793">
                  <c:v>14</c:v>
                </c:pt>
                <c:pt idx="794">
                  <c:v>14</c:v>
                </c:pt>
                <c:pt idx="795">
                  <c:v>14</c:v>
                </c:pt>
                <c:pt idx="796">
                  <c:v>14</c:v>
                </c:pt>
                <c:pt idx="797">
                  <c:v>14</c:v>
                </c:pt>
                <c:pt idx="798">
                  <c:v>14</c:v>
                </c:pt>
                <c:pt idx="799">
                  <c:v>14</c:v>
                </c:pt>
                <c:pt idx="800">
                  <c:v>14</c:v>
                </c:pt>
                <c:pt idx="801">
                  <c:v>14</c:v>
                </c:pt>
                <c:pt idx="802">
                  <c:v>14</c:v>
                </c:pt>
                <c:pt idx="803">
                  <c:v>15</c:v>
                </c:pt>
                <c:pt idx="804">
                  <c:v>15</c:v>
                </c:pt>
                <c:pt idx="805">
                  <c:v>15</c:v>
                </c:pt>
                <c:pt idx="806">
                  <c:v>15</c:v>
                </c:pt>
                <c:pt idx="807">
                  <c:v>15</c:v>
                </c:pt>
                <c:pt idx="808">
                  <c:v>15</c:v>
                </c:pt>
                <c:pt idx="809">
                  <c:v>15</c:v>
                </c:pt>
                <c:pt idx="810">
                  <c:v>15</c:v>
                </c:pt>
                <c:pt idx="811">
                  <c:v>15</c:v>
                </c:pt>
                <c:pt idx="812">
                  <c:v>15</c:v>
                </c:pt>
                <c:pt idx="813">
                  <c:v>15</c:v>
                </c:pt>
                <c:pt idx="814">
                  <c:v>15</c:v>
                </c:pt>
                <c:pt idx="815">
                  <c:v>15</c:v>
                </c:pt>
                <c:pt idx="816">
                  <c:v>15</c:v>
                </c:pt>
                <c:pt idx="817">
                  <c:v>15</c:v>
                </c:pt>
                <c:pt idx="818">
                  <c:v>15</c:v>
                </c:pt>
                <c:pt idx="819">
                  <c:v>15</c:v>
                </c:pt>
                <c:pt idx="820">
                  <c:v>15</c:v>
                </c:pt>
                <c:pt idx="821">
                  <c:v>15</c:v>
                </c:pt>
                <c:pt idx="822">
                  <c:v>15</c:v>
                </c:pt>
                <c:pt idx="823">
                  <c:v>15</c:v>
                </c:pt>
                <c:pt idx="824">
                  <c:v>15</c:v>
                </c:pt>
                <c:pt idx="825">
                  <c:v>15</c:v>
                </c:pt>
                <c:pt idx="826">
                  <c:v>15</c:v>
                </c:pt>
                <c:pt idx="827">
                  <c:v>15</c:v>
                </c:pt>
                <c:pt idx="828">
                  <c:v>15</c:v>
                </c:pt>
                <c:pt idx="829">
                  <c:v>15</c:v>
                </c:pt>
                <c:pt idx="830">
                  <c:v>15</c:v>
                </c:pt>
                <c:pt idx="831">
                  <c:v>15</c:v>
                </c:pt>
                <c:pt idx="832">
                  <c:v>15</c:v>
                </c:pt>
                <c:pt idx="833">
                  <c:v>15</c:v>
                </c:pt>
                <c:pt idx="834">
                  <c:v>15</c:v>
                </c:pt>
                <c:pt idx="835">
                  <c:v>15</c:v>
                </c:pt>
                <c:pt idx="836">
                  <c:v>15</c:v>
                </c:pt>
                <c:pt idx="837">
                  <c:v>15</c:v>
                </c:pt>
                <c:pt idx="838">
                  <c:v>15</c:v>
                </c:pt>
                <c:pt idx="839">
                  <c:v>15</c:v>
                </c:pt>
                <c:pt idx="840">
                  <c:v>15</c:v>
                </c:pt>
                <c:pt idx="841">
                  <c:v>15</c:v>
                </c:pt>
                <c:pt idx="842">
                  <c:v>15</c:v>
                </c:pt>
                <c:pt idx="843">
                  <c:v>15</c:v>
                </c:pt>
                <c:pt idx="844">
                  <c:v>15</c:v>
                </c:pt>
                <c:pt idx="845">
                  <c:v>15</c:v>
                </c:pt>
                <c:pt idx="846">
                  <c:v>15</c:v>
                </c:pt>
                <c:pt idx="847">
                  <c:v>15</c:v>
                </c:pt>
                <c:pt idx="848">
                  <c:v>15</c:v>
                </c:pt>
                <c:pt idx="849">
                  <c:v>15</c:v>
                </c:pt>
                <c:pt idx="850">
                  <c:v>15</c:v>
                </c:pt>
                <c:pt idx="851">
                  <c:v>15</c:v>
                </c:pt>
                <c:pt idx="852">
                  <c:v>15</c:v>
                </c:pt>
                <c:pt idx="853">
                  <c:v>15</c:v>
                </c:pt>
                <c:pt idx="854">
                  <c:v>15</c:v>
                </c:pt>
                <c:pt idx="855">
                  <c:v>15</c:v>
                </c:pt>
                <c:pt idx="856">
                  <c:v>15</c:v>
                </c:pt>
                <c:pt idx="857">
                  <c:v>15</c:v>
                </c:pt>
                <c:pt idx="858">
                  <c:v>16</c:v>
                </c:pt>
                <c:pt idx="859">
                  <c:v>16</c:v>
                </c:pt>
                <c:pt idx="860">
                  <c:v>16</c:v>
                </c:pt>
                <c:pt idx="861">
                  <c:v>16</c:v>
                </c:pt>
                <c:pt idx="862">
                  <c:v>16</c:v>
                </c:pt>
                <c:pt idx="863">
                  <c:v>16</c:v>
                </c:pt>
                <c:pt idx="864">
                  <c:v>16</c:v>
                </c:pt>
                <c:pt idx="865">
                  <c:v>16</c:v>
                </c:pt>
                <c:pt idx="866">
                  <c:v>16</c:v>
                </c:pt>
                <c:pt idx="867">
                  <c:v>16</c:v>
                </c:pt>
                <c:pt idx="868">
                  <c:v>16</c:v>
                </c:pt>
                <c:pt idx="869">
                  <c:v>16</c:v>
                </c:pt>
                <c:pt idx="870">
                  <c:v>16</c:v>
                </c:pt>
                <c:pt idx="871">
                  <c:v>16</c:v>
                </c:pt>
                <c:pt idx="872">
                  <c:v>16</c:v>
                </c:pt>
                <c:pt idx="873">
                  <c:v>16</c:v>
                </c:pt>
                <c:pt idx="874">
                  <c:v>16</c:v>
                </c:pt>
                <c:pt idx="875">
                  <c:v>16</c:v>
                </c:pt>
                <c:pt idx="876">
                  <c:v>16</c:v>
                </c:pt>
                <c:pt idx="877">
                  <c:v>16</c:v>
                </c:pt>
                <c:pt idx="878">
                  <c:v>16</c:v>
                </c:pt>
                <c:pt idx="879">
                  <c:v>16</c:v>
                </c:pt>
                <c:pt idx="880">
                  <c:v>16</c:v>
                </c:pt>
                <c:pt idx="881">
                  <c:v>16</c:v>
                </c:pt>
                <c:pt idx="882">
                  <c:v>16</c:v>
                </c:pt>
                <c:pt idx="883">
                  <c:v>16</c:v>
                </c:pt>
                <c:pt idx="884">
                  <c:v>16</c:v>
                </c:pt>
                <c:pt idx="885">
                  <c:v>16</c:v>
                </c:pt>
                <c:pt idx="886">
                  <c:v>16</c:v>
                </c:pt>
                <c:pt idx="887">
                  <c:v>16</c:v>
                </c:pt>
                <c:pt idx="888">
                  <c:v>16</c:v>
                </c:pt>
                <c:pt idx="889">
                  <c:v>16</c:v>
                </c:pt>
                <c:pt idx="890">
                  <c:v>16</c:v>
                </c:pt>
                <c:pt idx="891">
                  <c:v>16</c:v>
                </c:pt>
                <c:pt idx="892">
                  <c:v>16</c:v>
                </c:pt>
                <c:pt idx="893">
                  <c:v>16</c:v>
                </c:pt>
                <c:pt idx="894">
                  <c:v>16</c:v>
                </c:pt>
                <c:pt idx="895">
                  <c:v>16</c:v>
                </c:pt>
                <c:pt idx="896">
                  <c:v>16</c:v>
                </c:pt>
                <c:pt idx="897">
                  <c:v>16</c:v>
                </c:pt>
                <c:pt idx="898">
                  <c:v>16</c:v>
                </c:pt>
                <c:pt idx="899">
                  <c:v>16</c:v>
                </c:pt>
                <c:pt idx="900">
                  <c:v>16</c:v>
                </c:pt>
                <c:pt idx="901">
                  <c:v>16</c:v>
                </c:pt>
                <c:pt idx="902">
                  <c:v>16</c:v>
                </c:pt>
                <c:pt idx="903">
                  <c:v>16</c:v>
                </c:pt>
                <c:pt idx="904">
                  <c:v>16</c:v>
                </c:pt>
                <c:pt idx="905">
                  <c:v>16</c:v>
                </c:pt>
                <c:pt idx="906">
                  <c:v>16</c:v>
                </c:pt>
                <c:pt idx="907">
                  <c:v>16</c:v>
                </c:pt>
                <c:pt idx="908">
                  <c:v>16</c:v>
                </c:pt>
                <c:pt idx="909">
                  <c:v>16</c:v>
                </c:pt>
                <c:pt idx="910">
                  <c:v>16</c:v>
                </c:pt>
                <c:pt idx="911">
                  <c:v>16</c:v>
                </c:pt>
                <c:pt idx="912">
                  <c:v>16</c:v>
                </c:pt>
                <c:pt idx="913">
                  <c:v>16</c:v>
                </c:pt>
                <c:pt idx="914">
                  <c:v>16</c:v>
                </c:pt>
                <c:pt idx="915">
                  <c:v>16</c:v>
                </c:pt>
                <c:pt idx="916">
                  <c:v>16</c:v>
                </c:pt>
                <c:pt idx="917">
                  <c:v>16</c:v>
                </c:pt>
                <c:pt idx="918">
                  <c:v>16</c:v>
                </c:pt>
                <c:pt idx="919">
                  <c:v>16</c:v>
                </c:pt>
                <c:pt idx="920">
                  <c:v>16</c:v>
                </c:pt>
                <c:pt idx="921">
                  <c:v>16</c:v>
                </c:pt>
                <c:pt idx="922">
                  <c:v>16</c:v>
                </c:pt>
                <c:pt idx="923">
                  <c:v>16</c:v>
                </c:pt>
                <c:pt idx="924">
                  <c:v>16</c:v>
                </c:pt>
                <c:pt idx="925">
                  <c:v>16</c:v>
                </c:pt>
                <c:pt idx="926">
                  <c:v>16</c:v>
                </c:pt>
                <c:pt idx="927">
                  <c:v>16</c:v>
                </c:pt>
                <c:pt idx="928">
                  <c:v>16</c:v>
                </c:pt>
                <c:pt idx="929">
                  <c:v>16</c:v>
                </c:pt>
                <c:pt idx="930">
                  <c:v>16</c:v>
                </c:pt>
                <c:pt idx="931">
                  <c:v>16</c:v>
                </c:pt>
                <c:pt idx="932">
                  <c:v>16</c:v>
                </c:pt>
                <c:pt idx="933">
                  <c:v>16</c:v>
                </c:pt>
                <c:pt idx="934">
                  <c:v>16</c:v>
                </c:pt>
                <c:pt idx="935">
                  <c:v>16</c:v>
                </c:pt>
                <c:pt idx="936">
                  <c:v>16</c:v>
                </c:pt>
                <c:pt idx="937">
                  <c:v>16</c:v>
                </c:pt>
                <c:pt idx="938">
                  <c:v>16</c:v>
                </c:pt>
                <c:pt idx="939">
                  <c:v>16</c:v>
                </c:pt>
                <c:pt idx="940">
                  <c:v>16</c:v>
                </c:pt>
                <c:pt idx="941">
                  <c:v>16</c:v>
                </c:pt>
                <c:pt idx="942">
                  <c:v>16</c:v>
                </c:pt>
                <c:pt idx="943">
                  <c:v>16</c:v>
                </c:pt>
                <c:pt idx="944">
                  <c:v>16</c:v>
                </c:pt>
                <c:pt idx="945">
                  <c:v>16</c:v>
                </c:pt>
                <c:pt idx="946">
                  <c:v>16</c:v>
                </c:pt>
                <c:pt idx="947">
                  <c:v>16</c:v>
                </c:pt>
                <c:pt idx="948">
                  <c:v>16</c:v>
                </c:pt>
                <c:pt idx="949">
                  <c:v>16</c:v>
                </c:pt>
                <c:pt idx="950">
                  <c:v>16</c:v>
                </c:pt>
                <c:pt idx="951">
                  <c:v>16</c:v>
                </c:pt>
                <c:pt idx="952">
                  <c:v>16</c:v>
                </c:pt>
                <c:pt idx="953">
                  <c:v>16</c:v>
                </c:pt>
                <c:pt idx="954">
                  <c:v>16</c:v>
                </c:pt>
                <c:pt idx="955">
                  <c:v>16</c:v>
                </c:pt>
                <c:pt idx="956">
                  <c:v>16</c:v>
                </c:pt>
                <c:pt idx="957">
                  <c:v>16</c:v>
                </c:pt>
                <c:pt idx="958">
                  <c:v>16</c:v>
                </c:pt>
                <c:pt idx="959">
                  <c:v>16</c:v>
                </c:pt>
                <c:pt idx="960">
                  <c:v>16</c:v>
                </c:pt>
                <c:pt idx="961">
                  <c:v>16</c:v>
                </c:pt>
                <c:pt idx="962">
                  <c:v>16</c:v>
                </c:pt>
                <c:pt idx="963">
                  <c:v>16</c:v>
                </c:pt>
                <c:pt idx="964">
                  <c:v>16</c:v>
                </c:pt>
                <c:pt idx="965">
                  <c:v>16</c:v>
                </c:pt>
                <c:pt idx="966">
                  <c:v>16</c:v>
                </c:pt>
                <c:pt idx="967">
                  <c:v>16</c:v>
                </c:pt>
                <c:pt idx="968">
                  <c:v>16</c:v>
                </c:pt>
                <c:pt idx="969">
                  <c:v>16</c:v>
                </c:pt>
                <c:pt idx="970">
                  <c:v>16</c:v>
                </c:pt>
                <c:pt idx="971">
                  <c:v>16</c:v>
                </c:pt>
                <c:pt idx="972">
                  <c:v>16</c:v>
                </c:pt>
                <c:pt idx="973">
                  <c:v>16</c:v>
                </c:pt>
                <c:pt idx="974">
                  <c:v>16</c:v>
                </c:pt>
                <c:pt idx="975">
                  <c:v>16</c:v>
                </c:pt>
                <c:pt idx="976">
                  <c:v>16</c:v>
                </c:pt>
                <c:pt idx="977">
                  <c:v>16</c:v>
                </c:pt>
                <c:pt idx="978">
                  <c:v>16</c:v>
                </c:pt>
                <c:pt idx="979">
                  <c:v>16</c:v>
                </c:pt>
                <c:pt idx="980">
                  <c:v>16</c:v>
                </c:pt>
                <c:pt idx="981">
                  <c:v>16</c:v>
                </c:pt>
                <c:pt idx="982">
                  <c:v>16</c:v>
                </c:pt>
                <c:pt idx="983">
                  <c:v>16</c:v>
                </c:pt>
                <c:pt idx="984">
                  <c:v>16</c:v>
                </c:pt>
                <c:pt idx="985">
                  <c:v>16</c:v>
                </c:pt>
                <c:pt idx="986">
                  <c:v>16</c:v>
                </c:pt>
                <c:pt idx="987">
                  <c:v>16</c:v>
                </c:pt>
                <c:pt idx="988">
                  <c:v>16</c:v>
                </c:pt>
                <c:pt idx="989">
                  <c:v>16</c:v>
                </c:pt>
                <c:pt idx="990">
                  <c:v>16</c:v>
                </c:pt>
                <c:pt idx="991">
                  <c:v>16</c:v>
                </c:pt>
                <c:pt idx="992">
                  <c:v>16</c:v>
                </c:pt>
                <c:pt idx="993">
                  <c:v>16</c:v>
                </c:pt>
                <c:pt idx="994">
                  <c:v>16</c:v>
                </c:pt>
                <c:pt idx="995">
                  <c:v>16</c:v>
                </c:pt>
                <c:pt idx="996">
                  <c:v>16</c:v>
                </c:pt>
                <c:pt idx="997">
                  <c:v>16</c:v>
                </c:pt>
                <c:pt idx="998">
                  <c:v>16</c:v>
                </c:pt>
                <c:pt idx="999">
                  <c:v>16</c:v>
                </c:pt>
                <c:pt idx="1000">
                  <c:v>16</c:v>
                </c:pt>
                <c:pt idx="1001">
                  <c:v>16</c:v>
                </c:pt>
                <c:pt idx="1002">
                  <c:v>16</c:v>
                </c:pt>
                <c:pt idx="1003">
                  <c:v>16</c:v>
                </c:pt>
                <c:pt idx="1004">
                  <c:v>16</c:v>
                </c:pt>
                <c:pt idx="1005">
                  <c:v>16</c:v>
                </c:pt>
                <c:pt idx="1006">
                  <c:v>16</c:v>
                </c:pt>
                <c:pt idx="1007">
                  <c:v>16</c:v>
                </c:pt>
                <c:pt idx="1008">
                  <c:v>16</c:v>
                </c:pt>
                <c:pt idx="1009">
                  <c:v>16</c:v>
                </c:pt>
                <c:pt idx="1010">
                  <c:v>16</c:v>
                </c:pt>
                <c:pt idx="1011">
                  <c:v>16</c:v>
                </c:pt>
                <c:pt idx="1012">
                  <c:v>16</c:v>
                </c:pt>
                <c:pt idx="1013">
                  <c:v>16</c:v>
                </c:pt>
                <c:pt idx="1014">
                  <c:v>16</c:v>
                </c:pt>
                <c:pt idx="1015">
                  <c:v>16</c:v>
                </c:pt>
                <c:pt idx="1016">
                  <c:v>16</c:v>
                </c:pt>
                <c:pt idx="1017">
                  <c:v>16</c:v>
                </c:pt>
                <c:pt idx="1018">
                  <c:v>16</c:v>
                </c:pt>
                <c:pt idx="1019">
                  <c:v>16</c:v>
                </c:pt>
                <c:pt idx="1020">
                  <c:v>16</c:v>
                </c:pt>
                <c:pt idx="1021">
                  <c:v>16</c:v>
                </c:pt>
                <c:pt idx="1022">
                  <c:v>16</c:v>
                </c:pt>
                <c:pt idx="1023">
                  <c:v>16</c:v>
                </c:pt>
                <c:pt idx="1024">
                  <c:v>16</c:v>
                </c:pt>
                <c:pt idx="1025">
                  <c:v>16</c:v>
                </c:pt>
                <c:pt idx="1026">
                  <c:v>16</c:v>
                </c:pt>
                <c:pt idx="1027">
                  <c:v>16</c:v>
                </c:pt>
                <c:pt idx="1028">
                  <c:v>16</c:v>
                </c:pt>
                <c:pt idx="1029">
                  <c:v>16</c:v>
                </c:pt>
                <c:pt idx="1030">
                  <c:v>16</c:v>
                </c:pt>
                <c:pt idx="1031">
                  <c:v>16</c:v>
                </c:pt>
                <c:pt idx="1032">
                  <c:v>16</c:v>
                </c:pt>
                <c:pt idx="1033">
                  <c:v>17</c:v>
                </c:pt>
                <c:pt idx="1034">
                  <c:v>17</c:v>
                </c:pt>
                <c:pt idx="1035">
                  <c:v>17</c:v>
                </c:pt>
                <c:pt idx="1036">
                  <c:v>17</c:v>
                </c:pt>
                <c:pt idx="1037">
                  <c:v>17</c:v>
                </c:pt>
                <c:pt idx="1038">
                  <c:v>17</c:v>
                </c:pt>
                <c:pt idx="1039">
                  <c:v>17</c:v>
                </c:pt>
                <c:pt idx="1040">
                  <c:v>17</c:v>
                </c:pt>
                <c:pt idx="1041">
                  <c:v>17</c:v>
                </c:pt>
                <c:pt idx="1042">
                  <c:v>17</c:v>
                </c:pt>
                <c:pt idx="1043">
                  <c:v>17</c:v>
                </c:pt>
                <c:pt idx="1044">
                  <c:v>17</c:v>
                </c:pt>
                <c:pt idx="1045">
                  <c:v>17</c:v>
                </c:pt>
                <c:pt idx="1046">
                  <c:v>17</c:v>
                </c:pt>
                <c:pt idx="1047">
                  <c:v>17</c:v>
                </c:pt>
                <c:pt idx="1048">
                  <c:v>17</c:v>
                </c:pt>
                <c:pt idx="1049">
                  <c:v>17</c:v>
                </c:pt>
                <c:pt idx="1050">
                  <c:v>17</c:v>
                </c:pt>
                <c:pt idx="1051">
                  <c:v>17</c:v>
                </c:pt>
                <c:pt idx="1052">
                  <c:v>17</c:v>
                </c:pt>
                <c:pt idx="1053">
                  <c:v>17</c:v>
                </c:pt>
                <c:pt idx="1054">
                  <c:v>17</c:v>
                </c:pt>
                <c:pt idx="1055">
                  <c:v>17</c:v>
                </c:pt>
                <c:pt idx="1056">
                  <c:v>17</c:v>
                </c:pt>
                <c:pt idx="1057">
                  <c:v>17</c:v>
                </c:pt>
                <c:pt idx="1058">
                  <c:v>17</c:v>
                </c:pt>
                <c:pt idx="1059">
                  <c:v>17</c:v>
                </c:pt>
                <c:pt idx="1060">
                  <c:v>17</c:v>
                </c:pt>
                <c:pt idx="1061">
                  <c:v>17</c:v>
                </c:pt>
                <c:pt idx="1062">
                  <c:v>17</c:v>
                </c:pt>
                <c:pt idx="1063">
                  <c:v>17</c:v>
                </c:pt>
                <c:pt idx="1064">
                  <c:v>17</c:v>
                </c:pt>
                <c:pt idx="1065">
                  <c:v>17</c:v>
                </c:pt>
                <c:pt idx="1066">
                  <c:v>17</c:v>
                </c:pt>
                <c:pt idx="1067">
                  <c:v>17</c:v>
                </c:pt>
                <c:pt idx="1068">
                  <c:v>17</c:v>
                </c:pt>
                <c:pt idx="1069">
                  <c:v>17</c:v>
                </c:pt>
                <c:pt idx="1070">
                  <c:v>17</c:v>
                </c:pt>
                <c:pt idx="1071">
                  <c:v>17</c:v>
                </c:pt>
                <c:pt idx="1072">
                  <c:v>17</c:v>
                </c:pt>
                <c:pt idx="1073">
                  <c:v>17</c:v>
                </c:pt>
                <c:pt idx="1074">
                  <c:v>17</c:v>
                </c:pt>
                <c:pt idx="1075">
                  <c:v>17</c:v>
                </c:pt>
                <c:pt idx="1076">
                  <c:v>17</c:v>
                </c:pt>
                <c:pt idx="1077">
                  <c:v>17</c:v>
                </c:pt>
                <c:pt idx="1078">
                  <c:v>17</c:v>
                </c:pt>
                <c:pt idx="1079">
                  <c:v>17</c:v>
                </c:pt>
                <c:pt idx="1080">
                  <c:v>17</c:v>
                </c:pt>
                <c:pt idx="1081">
                  <c:v>17</c:v>
                </c:pt>
                <c:pt idx="1082">
                  <c:v>17</c:v>
                </c:pt>
                <c:pt idx="1083">
                  <c:v>17</c:v>
                </c:pt>
                <c:pt idx="1084">
                  <c:v>17</c:v>
                </c:pt>
                <c:pt idx="1085">
                  <c:v>17</c:v>
                </c:pt>
                <c:pt idx="1086">
                  <c:v>17</c:v>
                </c:pt>
                <c:pt idx="1087">
                  <c:v>17</c:v>
                </c:pt>
                <c:pt idx="1088">
                  <c:v>17</c:v>
                </c:pt>
                <c:pt idx="1089">
                  <c:v>17</c:v>
                </c:pt>
                <c:pt idx="1090">
                  <c:v>17</c:v>
                </c:pt>
                <c:pt idx="1091">
                  <c:v>17</c:v>
                </c:pt>
                <c:pt idx="1092">
                  <c:v>17</c:v>
                </c:pt>
                <c:pt idx="1093">
                  <c:v>17</c:v>
                </c:pt>
                <c:pt idx="1094">
                  <c:v>17</c:v>
                </c:pt>
                <c:pt idx="1095">
                  <c:v>17</c:v>
                </c:pt>
                <c:pt idx="1096">
                  <c:v>17</c:v>
                </c:pt>
                <c:pt idx="1097">
                  <c:v>17</c:v>
                </c:pt>
                <c:pt idx="1098">
                  <c:v>17</c:v>
                </c:pt>
                <c:pt idx="1099">
                  <c:v>17</c:v>
                </c:pt>
                <c:pt idx="1100">
                  <c:v>17</c:v>
                </c:pt>
                <c:pt idx="1101">
                  <c:v>17</c:v>
                </c:pt>
                <c:pt idx="1102">
                  <c:v>17</c:v>
                </c:pt>
                <c:pt idx="1103">
                  <c:v>17</c:v>
                </c:pt>
                <c:pt idx="1104">
                  <c:v>17</c:v>
                </c:pt>
                <c:pt idx="1105">
                  <c:v>17</c:v>
                </c:pt>
                <c:pt idx="1106">
                  <c:v>17</c:v>
                </c:pt>
                <c:pt idx="1107">
                  <c:v>17</c:v>
                </c:pt>
                <c:pt idx="1108">
                  <c:v>17</c:v>
                </c:pt>
                <c:pt idx="1109">
                  <c:v>17</c:v>
                </c:pt>
                <c:pt idx="1110">
                  <c:v>17</c:v>
                </c:pt>
                <c:pt idx="1111">
                  <c:v>17</c:v>
                </c:pt>
                <c:pt idx="1112">
                  <c:v>17</c:v>
                </c:pt>
                <c:pt idx="1113">
                  <c:v>17</c:v>
                </c:pt>
                <c:pt idx="1114">
                  <c:v>17</c:v>
                </c:pt>
                <c:pt idx="1115">
                  <c:v>18</c:v>
                </c:pt>
                <c:pt idx="1116">
                  <c:v>17</c:v>
                </c:pt>
                <c:pt idx="1117">
                  <c:v>18</c:v>
                </c:pt>
                <c:pt idx="1118">
                  <c:v>18</c:v>
                </c:pt>
                <c:pt idx="1119">
                  <c:v>18</c:v>
                </c:pt>
                <c:pt idx="1120">
                  <c:v>18</c:v>
                </c:pt>
                <c:pt idx="1121">
                  <c:v>18</c:v>
                </c:pt>
                <c:pt idx="1122">
                  <c:v>18</c:v>
                </c:pt>
                <c:pt idx="1123">
                  <c:v>18</c:v>
                </c:pt>
                <c:pt idx="1124">
                  <c:v>17</c:v>
                </c:pt>
                <c:pt idx="1125">
                  <c:v>17</c:v>
                </c:pt>
                <c:pt idx="1126">
                  <c:v>18</c:v>
                </c:pt>
                <c:pt idx="1127">
                  <c:v>18</c:v>
                </c:pt>
                <c:pt idx="1128">
                  <c:v>18</c:v>
                </c:pt>
                <c:pt idx="1129">
                  <c:v>18</c:v>
                </c:pt>
                <c:pt idx="1130">
                  <c:v>18</c:v>
                </c:pt>
                <c:pt idx="1131">
                  <c:v>18</c:v>
                </c:pt>
                <c:pt idx="1132">
                  <c:v>18</c:v>
                </c:pt>
                <c:pt idx="1133">
                  <c:v>18</c:v>
                </c:pt>
                <c:pt idx="1134">
                  <c:v>17</c:v>
                </c:pt>
                <c:pt idx="1135">
                  <c:v>17</c:v>
                </c:pt>
                <c:pt idx="1136">
                  <c:v>18</c:v>
                </c:pt>
                <c:pt idx="1137">
                  <c:v>18</c:v>
                </c:pt>
                <c:pt idx="1138">
                  <c:v>18</c:v>
                </c:pt>
                <c:pt idx="1139">
                  <c:v>18</c:v>
                </c:pt>
                <c:pt idx="1140">
                  <c:v>18</c:v>
                </c:pt>
                <c:pt idx="1141">
                  <c:v>18</c:v>
                </c:pt>
                <c:pt idx="1142">
                  <c:v>18</c:v>
                </c:pt>
                <c:pt idx="1143">
                  <c:v>18</c:v>
                </c:pt>
                <c:pt idx="1144">
                  <c:v>18</c:v>
                </c:pt>
                <c:pt idx="1145">
                  <c:v>18</c:v>
                </c:pt>
                <c:pt idx="1146">
                  <c:v>18</c:v>
                </c:pt>
                <c:pt idx="1147">
                  <c:v>18</c:v>
                </c:pt>
                <c:pt idx="1148">
                  <c:v>18</c:v>
                </c:pt>
                <c:pt idx="1149">
                  <c:v>18</c:v>
                </c:pt>
                <c:pt idx="1150">
                  <c:v>18</c:v>
                </c:pt>
                <c:pt idx="1151">
                  <c:v>18</c:v>
                </c:pt>
                <c:pt idx="1152">
                  <c:v>18</c:v>
                </c:pt>
                <c:pt idx="1153">
                  <c:v>18</c:v>
                </c:pt>
                <c:pt idx="1154">
                  <c:v>18</c:v>
                </c:pt>
                <c:pt idx="1155">
                  <c:v>18</c:v>
                </c:pt>
                <c:pt idx="1156">
                  <c:v>18</c:v>
                </c:pt>
                <c:pt idx="1157">
                  <c:v>18</c:v>
                </c:pt>
                <c:pt idx="1158">
                  <c:v>18</c:v>
                </c:pt>
                <c:pt idx="1159">
                  <c:v>18</c:v>
                </c:pt>
                <c:pt idx="1160">
                  <c:v>18</c:v>
                </c:pt>
                <c:pt idx="1161">
                  <c:v>18</c:v>
                </c:pt>
                <c:pt idx="1162">
                  <c:v>18</c:v>
                </c:pt>
                <c:pt idx="1163">
                  <c:v>18</c:v>
                </c:pt>
                <c:pt idx="1164">
                  <c:v>18</c:v>
                </c:pt>
                <c:pt idx="1165">
                  <c:v>18</c:v>
                </c:pt>
                <c:pt idx="1166">
                  <c:v>18</c:v>
                </c:pt>
                <c:pt idx="1167">
                  <c:v>18</c:v>
                </c:pt>
                <c:pt idx="1168">
                  <c:v>18</c:v>
                </c:pt>
                <c:pt idx="1169">
                  <c:v>18</c:v>
                </c:pt>
                <c:pt idx="1170">
                  <c:v>18</c:v>
                </c:pt>
                <c:pt idx="1171">
                  <c:v>18</c:v>
                </c:pt>
                <c:pt idx="1172">
                  <c:v>18</c:v>
                </c:pt>
                <c:pt idx="1173">
                  <c:v>18</c:v>
                </c:pt>
                <c:pt idx="1174">
                  <c:v>18</c:v>
                </c:pt>
                <c:pt idx="1175">
                  <c:v>18</c:v>
                </c:pt>
                <c:pt idx="1176">
                  <c:v>18</c:v>
                </c:pt>
                <c:pt idx="1177">
                  <c:v>18</c:v>
                </c:pt>
                <c:pt idx="1178">
                  <c:v>18</c:v>
                </c:pt>
                <c:pt idx="1179">
                  <c:v>18</c:v>
                </c:pt>
                <c:pt idx="1180">
                  <c:v>18</c:v>
                </c:pt>
                <c:pt idx="1181">
                  <c:v>18</c:v>
                </c:pt>
                <c:pt idx="1182">
                  <c:v>18</c:v>
                </c:pt>
                <c:pt idx="1183">
                  <c:v>18</c:v>
                </c:pt>
                <c:pt idx="1184">
                  <c:v>18</c:v>
                </c:pt>
                <c:pt idx="1185">
                  <c:v>18</c:v>
                </c:pt>
                <c:pt idx="1186">
                  <c:v>18</c:v>
                </c:pt>
                <c:pt idx="1187">
                  <c:v>18</c:v>
                </c:pt>
                <c:pt idx="1188">
                  <c:v>18</c:v>
                </c:pt>
                <c:pt idx="1189">
                  <c:v>18</c:v>
                </c:pt>
                <c:pt idx="1190">
                  <c:v>18</c:v>
                </c:pt>
                <c:pt idx="1191">
                  <c:v>18</c:v>
                </c:pt>
                <c:pt idx="1192">
                  <c:v>18</c:v>
                </c:pt>
                <c:pt idx="1193">
                  <c:v>18</c:v>
                </c:pt>
                <c:pt idx="1194">
                  <c:v>18</c:v>
                </c:pt>
                <c:pt idx="1195">
                  <c:v>18</c:v>
                </c:pt>
                <c:pt idx="1196">
                  <c:v>18</c:v>
                </c:pt>
                <c:pt idx="1197">
                  <c:v>18</c:v>
                </c:pt>
                <c:pt idx="1198">
                  <c:v>18</c:v>
                </c:pt>
                <c:pt idx="1199">
                  <c:v>18</c:v>
                </c:pt>
                <c:pt idx="1200">
                  <c:v>18</c:v>
                </c:pt>
                <c:pt idx="1201">
                  <c:v>18</c:v>
                </c:pt>
                <c:pt idx="1202">
                  <c:v>18</c:v>
                </c:pt>
                <c:pt idx="1203">
                  <c:v>18</c:v>
                </c:pt>
                <c:pt idx="1204">
                  <c:v>18</c:v>
                </c:pt>
                <c:pt idx="1205">
                  <c:v>18</c:v>
                </c:pt>
                <c:pt idx="1206">
                  <c:v>18</c:v>
                </c:pt>
                <c:pt idx="1207">
                  <c:v>18</c:v>
                </c:pt>
                <c:pt idx="1208">
                  <c:v>18</c:v>
                </c:pt>
                <c:pt idx="1209">
                  <c:v>18</c:v>
                </c:pt>
                <c:pt idx="1210">
                  <c:v>18</c:v>
                </c:pt>
                <c:pt idx="1211">
                  <c:v>18</c:v>
                </c:pt>
                <c:pt idx="1212">
                  <c:v>18</c:v>
                </c:pt>
                <c:pt idx="1213">
                  <c:v>18</c:v>
                </c:pt>
                <c:pt idx="1214">
                  <c:v>18</c:v>
                </c:pt>
                <c:pt idx="1215">
                  <c:v>18</c:v>
                </c:pt>
                <c:pt idx="1216">
                  <c:v>18</c:v>
                </c:pt>
                <c:pt idx="1217">
                  <c:v>18</c:v>
                </c:pt>
                <c:pt idx="1218">
                  <c:v>18</c:v>
                </c:pt>
                <c:pt idx="1219">
                  <c:v>18</c:v>
                </c:pt>
                <c:pt idx="1220">
                  <c:v>18</c:v>
                </c:pt>
                <c:pt idx="1221">
                  <c:v>18</c:v>
                </c:pt>
                <c:pt idx="1222">
                  <c:v>18</c:v>
                </c:pt>
                <c:pt idx="1223">
                  <c:v>18</c:v>
                </c:pt>
                <c:pt idx="1224">
                  <c:v>18</c:v>
                </c:pt>
                <c:pt idx="1225">
                  <c:v>18</c:v>
                </c:pt>
                <c:pt idx="1226">
                  <c:v>18</c:v>
                </c:pt>
                <c:pt idx="1227">
                  <c:v>18</c:v>
                </c:pt>
                <c:pt idx="1228">
                  <c:v>18</c:v>
                </c:pt>
                <c:pt idx="1229">
                  <c:v>18</c:v>
                </c:pt>
                <c:pt idx="1230">
                  <c:v>18</c:v>
                </c:pt>
                <c:pt idx="1231">
                  <c:v>18</c:v>
                </c:pt>
                <c:pt idx="1232">
                  <c:v>18</c:v>
                </c:pt>
                <c:pt idx="1233">
                  <c:v>18</c:v>
                </c:pt>
                <c:pt idx="1234">
                  <c:v>18</c:v>
                </c:pt>
                <c:pt idx="1235">
                  <c:v>18</c:v>
                </c:pt>
                <c:pt idx="1236">
                  <c:v>18</c:v>
                </c:pt>
                <c:pt idx="1237">
                  <c:v>18</c:v>
                </c:pt>
                <c:pt idx="1238">
                  <c:v>18</c:v>
                </c:pt>
                <c:pt idx="1239">
                  <c:v>18</c:v>
                </c:pt>
                <c:pt idx="1240">
                  <c:v>18</c:v>
                </c:pt>
                <c:pt idx="1241">
                  <c:v>18</c:v>
                </c:pt>
                <c:pt idx="1242">
                  <c:v>18</c:v>
                </c:pt>
                <c:pt idx="1243">
                  <c:v>18</c:v>
                </c:pt>
                <c:pt idx="1244">
                  <c:v>18</c:v>
                </c:pt>
                <c:pt idx="1245">
                  <c:v>18</c:v>
                </c:pt>
                <c:pt idx="1246">
                  <c:v>18</c:v>
                </c:pt>
                <c:pt idx="1247">
                  <c:v>18</c:v>
                </c:pt>
                <c:pt idx="1248">
                  <c:v>18</c:v>
                </c:pt>
                <c:pt idx="1249">
                  <c:v>18</c:v>
                </c:pt>
                <c:pt idx="1250">
                  <c:v>18</c:v>
                </c:pt>
                <c:pt idx="1251">
                  <c:v>18</c:v>
                </c:pt>
                <c:pt idx="1252">
                  <c:v>18</c:v>
                </c:pt>
                <c:pt idx="1253">
                  <c:v>18</c:v>
                </c:pt>
                <c:pt idx="1254">
                  <c:v>18</c:v>
                </c:pt>
                <c:pt idx="1255">
                  <c:v>18</c:v>
                </c:pt>
                <c:pt idx="1256">
                  <c:v>18</c:v>
                </c:pt>
                <c:pt idx="1257">
                  <c:v>18</c:v>
                </c:pt>
                <c:pt idx="1258">
                  <c:v>18</c:v>
                </c:pt>
                <c:pt idx="1259">
                  <c:v>18</c:v>
                </c:pt>
                <c:pt idx="1260">
                  <c:v>18</c:v>
                </c:pt>
                <c:pt idx="1261">
                  <c:v>18</c:v>
                </c:pt>
                <c:pt idx="1262">
                  <c:v>18</c:v>
                </c:pt>
                <c:pt idx="1263">
                  <c:v>18</c:v>
                </c:pt>
                <c:pt idx="1264">
                  <c:v>18</c:v>
                </c:pt>
                <c:pt idx="1265">
                  <c:v>18</c:v>
                </c:pt>
                <c:pt idx="1266">
                  <c:v>18</c:v>
                </c:pt>
                <c:pt idx="1267">
                  <c:v>18</c:v>
                </c:pt>
                <c:pt idx="1268">
                  <c:v>18</c:v>
                </c:pt>
                <c:pt idx="1269">
                  <c:v>18</c:v>
                </c:pt>
                <c:pt idx="1270">
                  <c:v>19</c:v>
                </c:pt>
                <c:pt idx="1271">
                  <c:v>19</c:v>
                </c:pt>
                <c:pt idx="1272">
                  <c:v>19</c:v>
                </c:pt>
                <c:pt idx="1273">
                  <c:v>19</c:v>
                </c:pt>
                <c:pt idx="1274">
                  <c:v>19</c:v>
                </c:pt>
                <c:pt idx="1275">
                  <c:v>19</c:v>
                </c:pt>
                <c:pt idx="1276">
                  <c:v>19</c:v>
                </c:pt>
                <c:pt idx="1277">
                  <c:v>19</c:v>
                </c:pt>
                <c:pt idx="1278">
                  <c:v>19</c:v>
                </c:pt>
                <c:pt idx="1279">
                  <c:v>19</c:v>
                </c:pt>
                <c:pt idx="1280">
                  <c:v>19</c:v>
                </c:pt>
                <c:pt idx="1281">
                  <c:v>19</c:v>
                </c:pt>
                <c:pt idx="1282">
                  <c:v>19</c:v>
                </c:pt>
                <c:pt idx="1283">
                  <c:v>19</c:v>
                </c:pt>
                <c:pt idx="1284">
                  <c:v>19</c:v>
                </c:pt>
                <c:pt idx="1285">
                  <c:v>19</c:v>
                </c:pt>
                <c:pt idx="1286">
                  <c:v>19</c:v>
                </c:pt>
                <c:pt idx="1287">
                  <c:v>19</c:v>
                </c:pt>
                <c:pt idx="1288">
                  <c:v>19</c:v>
                </c:pt>
                <c:pt idx="1289">
                  <c:v>19</c:v>
                </c:pt>
                <c:pt idx="1290">
                  <c:v>19</c:v>
                </c:pt>
                <c:pt idx="1291">
                  <c:v>19</c:v>
                </c:pt>
                <c:pt idx="1292">
                  <c:v>19</c:v>
                </c:pt>
                <c:pt idx="1293">
                  <c:v>19</c:v>
                </c:pt>
                <c:pt idx="1294">
                  <c:v>19</c:v>
                </c:pt>
                <c:pt idx="1295">
                  <c:v>19</c:v>
                </c:pt>
                <c:pt idx="1296">
                  <c:v>19</c:v>
                </c:pt>
                <c:pt idx="1297">
                  <c:v>19</c:v>
                </c:pt>
                <c:pt idx="1298">
                  <c:v>19</c:v>
                </c:pt>
                <c:pt idx="1299">
                  <c:v>19</c:v>
                </c:pt>
                <c:pt idx="1300">
                  <c:v>19</c:v>
                </c:pt>
                <c:pt idx="1301">
                  <c:v>19</c:v>
                </c:pt>
                <c:pt idx="1302">
                  <c:v>19</c:v>
                </c:pt>
                <c:pt idx="1303">
                  <c:v>19</c:v>
                </c:pt>
                <c:pt idx="1304">
                  <c:v>19</c:v>
                </c:pt>
                <c:pt idx="1305">
                  <c:v>19</c:v>
                </c:pt>
                <c:pt idx="1306">
                  <c:v>19</c:v>
                </c:pt>
                <c:pt idx="1307">
                  <c:v>19</c:v>
                </c:pt>
                <c:pt idx="1308">
                  <c:v>19</c:v>
                </c:pt>
                <c:pt idx="1309">
                  <c:v>19</c:v>
                </c:pt>
                <c:pt idx="1310">
                  <c:v>19</c:v>
                </c:pt>
                <c:pt idx="1311">
                  <c:v>19</c:v>
                </c:pt>
                <c:pt idx="1312">
                  <c:v>19</c:v>
                </c:pt>
                <c:pt idx="1313">
                  <c:v>19</c:v>
                </c:pt>
                <c:pt idx="1314">
                  <c:v>19</c:v>
                </c:pt>
                <c:pt idx="1315">
                  <c:v>19</c:v>
                </c:pt>
                <c:pt idx="1316">
                  <c:v>19</c:v>
                </c:pt>
                <c:pt idx="1317">
                  <c:v>19</c:v>
                </c:pt>
                <c:pt idx="1318">
                  <c:v>19</c:v>
                </c:pt>
                <c:pt idx="1319">
                  <c:v>19</c:v>
                </c:pt>
                <c:pt idx="1320">
                  <c:v>19</c:v>
                </c:pt>
                <c:pt idx="1321">
                  <c:v>19</c:v>
                </c:pt>
                <c:pt idx="1322">
                  <c:v>19</c:v>
                </c:pt>
                <c:pt idx="1323">
                  <c:v>19</c:v>
                </c:pt>
                <c:pt idx="1324">
                  <c:v>19</c:v>
                </c:pt>
                <c:pt idx="1325">
                  <c:v>19</c:v>
                </c:pt>
                <c:pt idx="1326">
                  <c:v>19</c:v>
                </c:pt>
                <c:pt idx="1327">
                  <c:v>19</c:v>
                </c:pt>
                <c:pt idx="1328">
                  <c:v>19</c:v>
                </c:pt>
                <c:pt idx="1329">
                  <c:v>19</c:v>
                </c:pt>
                <c:pt idx="1330">
                  <c:v>19</c:v>
                </c:pt>
                <c:pt idx="1331">
                  <c:v>19</c:v>
                </c:pt>
                <c:pt idx="1332">
                  <c:v>19</c:v>
                </c:pt>
                <c:pt idx="1333">
                  <c:v>19</c:v>
                </c:pt>
                <c:pt idx="1334">
                  <c:v>19</c:v>
                </c:pt>
                <c:pt idx="1335">
                  <c:v>19</c:v>
                </c:pt>
                <c:pt idx="1336">
                  <c:v>19</c:v>
                </c:pt>
                <c:pt idx="1337">
                  <c:v>19</c:v>
                </c:pt>
                <c:pt idx="1338">
                  <c:v>19</c:v>
                </c:pt>
                <c:pt idx="1339">
                  <c:v>19</c:v>
                </c:pt>
                <c:pt idx="1340">
                  <c:v>19</c:v>
                </c:pt>
                <c:pt idx="1341">
                  <c:v>19</c:v>
                </c:pt>
                <c:pt idx="1342">
                  <c:v>19</c:v>
                </c:pt>
                <c:pt idx="1343">
                  <c:v>19</c:v>
                </c:pt>
                <c:pt idx="1344">
                  <c:v>19</c:v>
                </c:pt>
                <c:pt idx="1345">
                  <c:v>19</c:v>
                </c:pt>
                <c:pt idx="1346">
                  <c:v>19</c:v>
                </c:pt>
                <c:pt idx="1347">
                  <c:v>19</c:v>
                </c:pt>
                <c:pt idx="1348">
                  <c:v>19</c:v>
                </c:pt>
                <c:pt idx="1349">
                  <c:v>19</c:v>
                </c:pt>
                <c:pt idx="1350">
                  <c:v>19</c:v>
                </c:pt>
                <c:pt idx="1351">
                  <c:v>19</c:v>
                </c:pt>
                <c:pt idx="1352">
                  <c:v>19</c:v>
                </c:pt>
                <c:pt idx="1353">
                  <c:v>19</c:v>
                </c:pt>
                <c:pt idx="1354">
                  <c:v>19</c:v>
                </c:pt>
                <c:pt idx="1355">
                  <c:v>19</c:v>
                </c:pt>
                <c:pt idx="1356">
                  <c:v>20</c:v>
                </c:pt>
                <c:pt idx="1357">
                  <c:v>20</c:v>
                </c:pt>
                <c:pt idx="1358">
                  <c:v>20</c:v>
                </c:pt>
                <c:pt idx="1359">
                  <c:v>20</c:v>
                </c:pt>
                <c:pt idx="1360">
                  <c:v>20</c:v>
                </c:pt>
                <c:pt idx="1361">
                  <c:v>20</c:v>
                </c:pt>
                <c:pt idx="1362">
                  <c:v>20</c:v>
                </c:pt>
                <c:pt idx="1363">
                  <c:v>20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20</c:v>
                </c:pt>
                <c:pt idx="1373">
                  <c:v>20</c:v>
                </c:pt>
                <c:pt idx="1374">
                  <c:v>20</c:v>
                </c:pt>
                <c:pt idx="1375">
                  <c:v>20</c:v>
                </c:pt>
                <c:pt idx="1376">
                  <c:v>20</c:v>
                </c:pt>
                <c:pt idx="1377">
                  <c:v>20</c:v>
                </c:pt>
                <c:pt idx="1378">
                  <c:v>20</c:v>
                </c:pt>
                <c:pt idx="1379">
                  <c:v>20</c:v>
                </c:pt>
                <c:pt idx="1380">
                  <c:v>20</c:v>
                </c:pt>
                <c:pt idx="1381">
                  <c:v>20</c:v>
                </c:pt>
                <c:pt idx="1382">
                  <c:v>20</c:v>
                </c:pt>
                <c:pt idx="1383">
                  <c:v>20</c:v>
                </c:pt>
                <c:pt idx="1384">
                  <c:v>20</c:v>
                </c:pt>
                <c:pt idx="1385">
                  <c:v>20</c:v>
                </c:pt>
                <c:pt idx="1386">
                  <c:v>20</c:v>
                </c:pt>
                <c:pt idx="1387">
                  <c:v>20</c:v>
                </c:pt>
                <c:pt idx="1388">
                  <c:v>20</c:v>
                </c:pt>
                <c:pt idx="1389">
                  <c:v>20</c:v>
                </c:pt>
                <c:pt idx="1390">
                  <c:v>20</c:v>
                </c:pt>
                <c:pt idx="1391">
                  <c:v>20</c:v>
                </c:pt>
                <c:pt idx="1392">
                  <c:v>20</c:v>
                </c:pt>
                <c:pt idx="1393">
                  <c:v>20</c:v>
                </c:pt>
                <c:pt idx="1394">
                  <c:v>20</c:v>
                </c:pt>
                <c:pt idx="1395">
                  <c:v>20</c:v>
                </c:pt>
                <c:pt idx="1396">
                  <c:v>20</c:v>
                </c:pt>
                <c:pt idx="1397">
                  <c:v>20</c:v>
                </c:pt>
                <c:pt idx="1398">
                  <c:v>20</c:v>
                </c:pt>
                <c:pt idx="1399">
                  <c:v>20</c:v>
                </c:pt>
                <c:pt idx="1400">
                  <c:v>20</c:v>
                </c:pt>
                <c:pt idx="1401">
                  <c:v>20</c:v>
                </c:pt>
                <c:pt idx="1402">
                  <c:v>20</c:v>
                </c:pt>
                <c:pt idx="1403">
                  <c:v>20</c:v>
                </c:pt>
                <c:pt idx="1404">
                  <c:v>20</c:v>
                </c:pt>
                <c:pt idx="1405">
                  <c:v>20</c:v>
                </c:pt>
                <c:pt idx="1406">
                  <c:v>20</c:v>
                </c:pt>
                <c:pt idx="1407">
                  <c:v>20</c:v>
                </c:pt>
                <c:pt idx="1408">
                  <c:v>20</c:v>
                </c:pt>
                <c:pt idx="1409">
                  <c:v>20</c:v>
                </c:pt>
                <c:pt idx="1410">
                  <c:v>20</c:v>
                </c:pt>
                <c:pt idx="1411">
                  <c:v>20</c:v>
                </c:pt>
                <c:pt idx="1412">
                  <c:v>20</c:v>
                </c:pt>
                <c:pt idx="1413">
                  <c:v>20</c:v>
                </c:pt>
                <c:pt idx="1414">
                  <c:v>20</c:v>
                </c:pt>
                <c:pt idx="1415">
                  <c:v>20</c:v>
                </c:pt>
                <c:pt idx="1416">
                  <c:v>20</c:v>
                </c:pt>
                <c:pt idx="1417">
                  <c:v>20</c:v>
                </c:pt>
                <c:pt idx="1418">
                  <c:v>20</c:v>
                </c:pt>
                <c:pt idx="1419">
                  <c:v>20</c:v>
                </c:pt>
                <c:pt idx="1420">
                  <c:v>20</c:v>
                </c:pt>
                <c:pt idx="1421">
                  <c:v>20</c:v>
                </c:pt>
                <c:pt idx="1422">
                  <c:v>20</c:v>
                </c:pt>
                <c:pt idx="1423">
                  <c:v>20</c:v>
                </c:pt>
                <c:pt idx="1424">
                  <c:v>20</c:v>
                </c:pt>
                <c:pt idx="1425">
                  <c:v>20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20</c:v>
                </c:pt>
                <c:pt idx="1442">
                  <c:v>20</c:v>
                </c:pt>
                <c:pt idx="1443">
                  <c:v>20</c:v>
                </c:pt>
                <c:pt idx="1444">
                  <c:v>20</c:v>
                </c:pt>
                <c:pt idx="1445">
                  <c:v>20</c:v>
                </c:pt>
                <c:pt idx="1446">
                  <c:v>20</c:v>
                </c:pt>
                <c:pt idx="1447">
                  <c:v>20</c:v>
                </c:pt>
                <c:pt idx="1448">
                  <c:v>20</c:v>
                </c:pt>
                <c:pt idx="1449">
                  <c:v>20</c:v>
                </c:pt>
                <c:pt idx="1450">
                  <c:v>20</c:v>
                </c:pt>
                <c:pt idx="1451">
                  <c:v>20</c:v>
                </c:pt>
                <c:pt idx="1452">
                  <c:v>20</c:v>
                </c:pt>
                <c:pt idx="1453">
                  <c:v>20</c:v>
                </c:pt>
                <c:pt idx="1454">
                  <c:v>20</c:v>
                </c:pt>
                <c:pt idx="1455">
                  <c:v>20</c:v>
                </c:pt>
                <c:pt idx="1456">
                  <c:v>20</c:v>
                </c:pt>
                <c:pt idx="1457">
                  <c:v>20</c:v>
                </c:pt>
                <c:pt idx="1458">
                  <c:v>20</c:v>
                </c:pt>
                <c:pt idx="1459">
                  <c:v>20</c:v>
                </c:pt>
                <c:pt idx="1460">
                  <c:v>20</c:v>
                </c:pt>
                <c:pt idx="1461">
                  <c:v>20</c:v>
                </c:pt>
                <c:pt idx="1462">
                  <c:v>20</c:v>
                </c:pt>
                <c:pt idx="1463">
                  <c:v>20</c:v>
                </c:pt>
                <c:pt idx="1464">
                  <c:v>20</c:v>
                </c:pt>
                <c:pt idx="1465">
                  <c:v>20</c:v>
                </c:pt>
                <c:pt idx="1466">
                  <c:v>20</c:v>
                </c:pt>
                <c:pt idx="1467">
                  <c:v>20</c:v>
                </c:pt>
                <c:pt idx="1468">
                  <c:v>20</c:v>
                </c:pt>
                <c:pt idx="1469">
                  <c:v>20</c:v>
                </c:pt>
                <c:pt idx="1470">
                  <c:v>20</c:v>
                </c:pt>
                <c:pt idx="1471">
                  <c:v>20</c:v>
                </c:pt>
                <c:pt idx="1472">
                  <c:v>20</c:v>
                </c:pt>
                <c:pt idx="1473">
                  <c:v>20</c:v>
                </c:pt>
                <c:pt idx="1474">
                  <c:v>20</c:v>
                </c:pt>
                <c:pt idx="1475">
                  <c:v>20</c:v>
                </c:pt>
                <c:pt idx="1476">
                  <c:v>20</c:v>
                </c:pt>
                <c:pt idx="1477">
                  <c:v>20</c:v>
                </c:pt>
                <c:pt idx="1478">
                  <c:v>20</c:v>
                </c:pt>
                <c:pt idx="1479">
                  <c:v>20</c:v>
                </c:pt>
                <c:pt idx="1480">
                  <c:v>20</c:v>
                </c:pt>
                <c:pt idx="1481">
                  <c:v>20</c:v>
                </c:pt>
                <c:pt idx="1482">
                  <c:v>20</c:v>
                </c:pt>
                <c:pt idx="1483">
                  <c:v>20</c:v>
                </c:pt>
                <c:pt idx="1484">
                  <c:v>20</c:v>
                </c:pt>
                <c:pt idx="1485">
                  <c:v>20</c:v>
                </c:pt>
                <c:pt idx="1486">
                  <c:v>20</c:v>
                </c:pt>
                <c:pt idx="1487">
                  <c:v>20</c:v>
                </c:pt>
                <c:pt idx="1488">
                  <c:v>20</c:v>
                </c:pt>
                <c:pt idx="1489">
                  <c:v>20</c:v>
                </c:pt>
                <c:pt idx="1490">
                  <c:v>20</c:v>
                </c:pt>
                <c:pt idx="1491">
                  <c:v>20</c:v>
                </c:pt>
                <c:pt idx="1492">
                  <c:v>20</c:v>
                </c:pt>
                <c:pt idx="1493">
                  <c:v>20</c:v>
                </c:pt>
                <c:pt idx="1494">
                  <c:v>20</c:v>
                </c:pt>
                <c:pt idx="1495">
                  <c:v>20</c:v>
                </c:pt>
                <c:pt idx="1496">
                  <c:v>20</c:v>
                </c:pt>
                <c:pt idx="1497">
                  <c:v>20</c:v>
                </c:pt>
                <c:pt idx="1498">
                  <c:v>20</c:v>
                </c:pt>
                <c:pt idx="1499">
                  <c:v>20</c:v>
                </c:pt>
                <c:pt idx="1500">
                  <c:v>20</c:v>
                </c:pt>
                <c:pt idx="1501">
                  <c:v>20</c:v>
                </c:pt>
                <c:pt idx="1502">
                  <c:v>20</c:v>
                </c:pt>
                <c:pt idx="1503">
                  <c:v>20</c:v>
                </c:pt>
                <c:pt idx="1504">
                  <c:v>20</c:v>
                </c:pt>
                <c:pt idx="1505">
                  <c:v>20</c:v>
                </c:pt>
                <c:pt idx="1506">
                  <c:v>20</c:v>
                </c:pt>
                <c:pt idx="1507">
                  <c:v>20</c:v>
                </c:pt>
                <c:pt idx="1508">
                  <c:v>20</c:v>
                </c:pt>
                <c:pt idx="1509">
                  <c:v>20</c:v>
                </c:pt>
                <c:pt idx="1510">
                  <c:v>20</c:v>
                </c:pt>
                <c:pt idx="1511">
                  <c:v>20</c:v>
                </c:pt>
                <c:pt idx="1512">
                  <c:v>20</c:v>
                </c:pt>
                <c:pt idx="1513">
                  <c:v>20</c:v>
                </c:pt>
                <c:pt idx="1514">
                  <c:v>20</c:v>
                </c:pt>
                <c:pt idx="1515">
                  <c:v>20</c:v>
                </c:pt>
                <c:pt idx="1516">
                  <c:v>20</c:v>
                </c:pt>
                <c:pt idx="1517">
                  <c:v>20</c:v>
                </c:pt>
                <c:pt idx="1518">
                  <c:v>20</c:v>
                </c:pt>
                <c:pt idx="1519">
                  <c:v>20</c:v>
                </c:pt>
                <c:pt idx="1520">
                  <c:v>20</c:v>
                </c:pt>
                <c:pt idx="1521">
                  <c:v>20</c:v>
                </c:pt>
                <c:pt idx="1522">
                  <c:v>20</c:v>
                </c:pt>
                <c:pt idx="1523">
                  <c:v>20</c:v>
                </c:pt>
                <c:pt idx="1524">
                  <c:v>20</c:v>
                </c:pt>
                <c:pt idx="1525">
                  <c:v>20</c:v>
                </c:pt>
                <c:pt idx="1526">
                  <c:v>20</c:v>
                </c:pt>
                <c:pt idx="1527">
                  <c:v>20</c:v>
                </c:pt>
                <c:pt idx="1528">
                  <c:v>20</c:v>
                </c:pt>
                <c:pt idx="1529">
                  <c:v>20</c:v>
                </c:pt>
                <c:pt idx="1530">
                  <c:v>20</c:v>
                </c:pt>
                <c:pt idx="1531">
                  <c:v>20</c:v>
                </c:pt>
                <c:pt idx="1532">
                  <c:v>20</c:v>
                </c:pt>
                <c:pt idx="1533">
                  <c:v>20</c:v>
                </c:pt>
                <c:pt idx="1534">
                  <c:v>20</c:v>
                </c:pt>
                <c:pt idx="1535">
                  <c:v>20</c:v>
                </c:pt>
                <c:pt idx="1536">
                  <c:v>20</c:v>
                </c:pt>
                <c:pt idx="1537">
                  <c:v>20</c:v>
                </c:pt>
                <c:pt idx="1538">
                  <c:v>20</c:v>
                </c:pt>
                <c:pt idx="1539">
                  <c:v>20</c:v>
                </c:pt>
                <c:pt idx="1540">
                  <c:v>20</c:v>
                </c:pt>
                <c:pt idx="1541">
                  <c:v>20</c:v>
                </c:pt>
                <c:pt idx="1542">
                  <c:v>20</c:v>
                </c:pt>
                <c:pt idx="1543">
                  <c:v>20</c:v>
                </c:pt>
                <c:pt idx="1544">
                  <c:v>20</c:v>
                </c:pt>
                <c:pt idx="1545">
                  <c:v>20</c:v>
                </c:pt>
                <c:pt idx="1546">
                  <c:v>20</c:v>
                </c:pt>
                <c:pt idx="1547">
                  <c:v>20</c:v>
                </c:pt>
                <c:pt idx="1548">
                  <c:v>20</c:v>
                </c:pt>
                <c:pt idx="1549">
                  <c:v>20</c:v>
                </c:pt>
                <c:pt idx="1550">
                  <c:v>20</c:v>
                </c:pt>
                <c:pt idx="1551">
                  <c:v>20</c:v>
                </c:pt>
                <c:pt idx="1552">
                  <c:v>20</c:v>
                </c:pt>
                <c:pt idx="1553">
                  <c:v>20</c:v>
                </c:pt>
                <c:pt idx="1554">
                  <c:v>20</c:v>
                </c:pt>
                <c:pt idx="1555">
                  <c:v>20</c:v>
                </c:pt>
                <c:pt idx="1556">
                  <c:v>20</c:v>
                </c:pt>
                <c:pt idx="1557">
                  <c:v>20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20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20</c:v>
                </c:pt>
                <c:pt idx="1566">
                  <c:v>20</c:v>
                </c:pt>
                <c:pt idx="1567">
                  <c:v>20</c:v>
                </c:pt>
                <c:pt idx="1568">
                  <c:v>20</c:v>
                </c:pt>
                <c:pt idx="1569">
                  <c:v>20</c:v>
                </c:pt>
                <c:pt idx="1570">
                  <c:v>21</c:v>
                </c:pt>
                <c:pt idx="1571">
                  <c:v>21</c:v>
                </c:pt>
                <c:pt idx="1572">
                  <c:v>21</c:v>
                </c:pt>
                <c:pt idx="1573">
                  <c:v>21</c:v>
                </c:pt>
                <c:pt idx="1574">
                  <c:v>21</c:v>
                </c:pt>
                <c:pt idx="1575">
                  <c:v>21</c:v>
                </c:pt>
                <c:pt idx="1576">
                  <c:v>21</c:v>
                </c:pt>
                <c:pt idx="1577">
                  <c:v>21</c:v>
                </c:pt>
                <c:pt idx="1578">
                  <c:v>21</c:v>
                </c:pt>
                <c:pt idx="1579">
                  <c:v>21</c:v>
                </c:pt>
                <c:pt idx="1580">
                  <c:v>21</c:v>
                </c:pt>
                <c:pt idx="1581">
                  <c:v>21</c:v>
                </c:pt>
                <c:pt idx="1582">
                  <c:v>21</c:v>
                </c:pt>
                <c:pt idx="1583">
                  <c:v>21</c:v>
                </c:pt>
                <c:pt idx="1584">
                  <c:v>21</c:v>
                </c:pt>
                <c:pt idx="1585">
                  <c:v>21</c:v>
                </c:pt>
                <c:pt idx="1586">
                  <c:v>21</c:v>
                </c:pt>
                <c:pt idx="1587">
                  <c:v>21</c:v>
                </c:pt>
                <c:pt idx="1588">
                  <c:v>21</c:v>
                </c:pt>
                <c:pt idx="1589">
                  <c:v>21</c:v>
                </c:pt>
                <c:pt idx="1590">
                  <c:v>21</c:v>
                </c:pt>
                <c:pt idx="1591">
                  <c:v>21</c:v>
                </c:pt>
                <c:pt idx="1592">
                  <c:v>21</c:v>
                </c:pt>
                <c:pt idx="1593">
                  <c:v>21</c:v>
                </c:pt>
                <c:pt idx="1594">
                  <c:v>21</c:v>
                </c:pt>
                <c:pt idx="1595">
                  <c:v>21</c:v>
                </c:pt>
                <c:pt idx="1596">
                  <c:v>21</c:v>
                </c:pt>
                <c:pt idx="1597">
                  <c:v>21</c:v>
                </c:pt>
                <c:pt idx="1598">
                  <c:v>21</c:v>
                </c:pt>
                <c:pt idx="1599">
                  <c:v>21</c:v>
                </c:pt>
                <c:pt idx="1600">
                  <c:v>21</c:v>
                </c:pt>
                <c:pt idx="1601">
                  <c:v>21</c:v>
                </c:pt>
                <c:pt idx="1602">
                  <c:v>21</c:v>
                </c:pt>
                <c:pt idx="1603">
                  <c:v>21</c:v>
                </c:pt>
                <c:pt idx="1604">
                  <c:v>21</c:v>
                </c:pt>
                <c:pt idx="1605">
                  <c:v>21</c:v>
                </c:pt>
                <c:pt idx="1606">
                  <c:v>21</c:v>
                </c:pt>
                <c:pt idx="1607">
                  <c:v>21</c:v>
                </c:pt>
                <c:pt idx="1608">
                  <c:v>21</c:v>
                </c:pt>
                <c:pt idx="1609">
                  <c:v>21</c:v>
                </c:pt>
                <c:pt idx="1610">
                  <c:v>21</c:v>
                </c:pt>
                <c:pt idx="1611">
                  <c:v>21</c:v>
                </c:pt>
                <c:pt idx="1612">
                  <c:v>21</c:v>
                </c:pt>
                <c:pt idx="1613">
                  <c:v>21</c:v>
                </c:pt>
                <c:pt idx="1614">
                  <c:v>21</c:v>
                </c:pt>
                <c:pt idx="1615">
                  <c:v>21</c:v>
                </c:pt>
                <c:pt idx="1616">
                  <c:v>21</c:v>
                </c:pt>
                <c:pt idx="1617">
                  <c:v>21</c:v>
                </c:pt>
                <c:pt idx="1618">
                  <c:v>21</c:v>
                </c:pt>
                <c:pt idx="1619">
                  <c:v>21</c:v>
                </c:pt>
                <c:pt idx="1620">
                  <c:v>21</c:v>
                </c:pt>
                <c:pt idx="1621">
                  <c:v>21</c:v>
                </c:pt>
                <c:pt idx="1622">
                  <c:v>21</c:v>
                </c:pt>
                <c:pt idx="1623">
                  <c:v>21</c:v>
                </c:pt>
                <c:pt idx="1624">
                  <c:v>21</c:v>
                </c:pt>
                <c:pt idx="1625">
                  <c:v>21</c:v>
                </c:pt>
                <c:pt idx="1626">
                  <c:v>21</c:v>
                </c:pt>
                <c:pt idx="1627">
                  <c:v>21</c:v>
                </c:pt>
                <c:pt idx="1628">
                  <c:v>21</c:v>
                </c:pt>
                <c:pt idx="1629">
                  <c:v>21</c:v>
                </c:pt>
                <c:pt idx="1630">
                  <c:v>21</c:v>
                </c:pt>
                <c:pt idx="1631">
                  <c:v>21</c:v>
                </c:pt>
                <c:pt idx="1632">
                  <c:v>21</c:v>
                </c:pt>
                <c:pt idx="1633">
                  <c:v>21</c:v>
                </c:pt>
                <c:pt idx="1634">
                  <c:v>21</c:v>
                </c:pt>
                <c:pt idx="1635">
                  <c:v>21</c:v>
                </c:pt>
                <c:pt idx="1636">
                  <c:v>21</c:v>
                </c:pt>
                <c:pt idx="1637">
                  <c:v>21</c:v>
                </c:pt>
                <c:pt idx="1638">
                  <c:v>21</c:v>
                </c:pt>
                <c:pt idx="1639">
                  <c:v>21</c:v>
                </c:pt>
                <c:pt idx="1640">
                  <c:v>21</c:v>
                </c:pt>
                <c:pt idx="1641">
                  <c:v>21</c:v>
                </c:pt>
                <c:pt idx="1642">
                  <c:v>21</c:v>
                </c:pt>
                <c:pt idx="1643">
                  <c:v>21</c:v>
                </c:pt>
                <c:pt idx="1644">
                  <c:v>21</c:v>
                </c:pt>
                <c:pt idx="1645">
                  <c:v>21</c:v>
                </c:pt>
                <c:pt idx="1646">
                  <c:v>21</c:v>
                </c:pt>
                <c:pt idx="1647">
                  <c:v>21</c:v>
                </c:pt>
                <c:pt idx="1648">
                  <c:v>21</c:v>
                </c:pt>
                <c:pt idx="1649">
                  <c:v>21</c:v>
                </c:pt>
                <c:pt idx="1650">
                  <c:v>21</c:v>
                </c:pt>
                <c:pt idx="1651">
                  <c:v>21</c:v>
                </c:pt>
                <c:pt idx="1652">
                  <c:v>21</c:v>
                </c:pt>
                <c:pt idx="1653">
                  <c:v>21</c:v>
                </c:pt>
                <c:pt idx="1654">
                  <c:v>21</c:v>
                </c:pt>
                <c:pt idx="1655">
                  <c:v>21</c:v>
                </c:pt>
                <c:pt idx="1656">
                  <c:v>21</c:v>
                </c:pt>
                <c:pt idx="1657">
                  <c:v>21</c:v>
                </c:pt>
                <c:pt idx="1658">
                  <c:v>21</c:v>
                </c:pt>
                <c:pt idx="1659">
                  <c:v>21</c:v>
                </c:pt>
                <c:pt idx="1660">
                  <c:v>21</c:v>
                </c:pt>
                <c:pt idx="1661">
                  <c:v>21</c:v>
                </c:pt>
                <c:pt idx="1662">
                  <c:v>21</c:v>
                </c:pt>
                <c:pt idx="1663">
                  <c:v>21</c:v>
                </c:pt>
                <c:pt idx="1664">
                  <c:v>21</c:v>
                </c:pt>
                <c:pt idx="1665">
                  <c:v>21</c:v>
                </c:pt>
                <c:pt idx="1666">
                  <c:v>21</c:v>
                </c:pt>
                <c:pt idx="1667">
                  <c:v>21</c:v>
                </c:pt>
                <c:pt idx="1668">
                  <c:v>21</c:v>
                </c:pt>
                <c:pt idx="1669">
                  <c:v>21</c:v>
                </c:pt>
                <c:pt idx="1670">
                  <c:v>21</c:v>
                </c:pt>
                <c:pt idx="1671">
                  <c:v>21</c:v>
                </c:pt>
                <c:pt idx="1672">
                  <c:v>21</c:v>
                </c:pt>
                <c:pt idx="1673">
                  <c:v>21</c:v>
                </c:pt>
                <c:pt idx="1674">
                  <c:v>21</c:v>
                </c:pt>
                <c:pt idx="1675">
                  <c:v>21</c:v>
                </c:pt>
                <c:pt idx="1676">
                  <c:v>21</c:v>
                </c:pt>
                <c:pt idx="1677">
                  <c:v>21</c:v>
                </c:pt>
                <c:pt idx="1678">
                  <c:v>21</c:v>
                </c:pt>
                <c:pt idx="1679">
                  <c:v>21</c:v>
                </c:pt>
                <c:pt idx="1680">
                  <c:v>21</c:v>
                </c:pt>
                <c:pt idx="1681">
                  <c:v>21</c:v>
                </c:pt>
                <c:pt idx="1682">
                  <c:v>21</c:v>
                </c:pt>
                <c:pt idx="1683">
                  <c:v>21</c:v>
                </c:pt>
                <c:pt idx="1684">
                  <c:v>21</c:v>
                </c:pt>
                <c:pt idx="1685">
                  <c:v>21</c:v>
                </c:pt>
                <c:pt idx="1686">
                  <c:v>21</c:v>
                </c:pt>
                <c:pt idx="1687">
                  <c:v>21</c:v>
                </c:pt>
                <c:pt idx="1688">
                  <c:v>21</c:v>
                </c:pt>
                <c:pt idx="1689">
                  <c:v>21</c:v>
                </c:pt>
                <c:pt idx="1690">
                  <c:v>21</c:v>
                </c:pt>
                <c:pt idx="1691">
                  <c:v>21</c:v>
                </c:pt>
                <c:pt idx="1692">
                  <c:v>21</c:v>
                </c:pt>
                <c:pt idx="1693">
                  <c:v>21</c:v>
                </c:pt>
                <c:pt idx="1694">
                  <c:v>21</c:v>
                </c:pt>
                <c:pt idx="1695">
                  <c:v>22</c:v>
                </c:pt>
                <c:pt idx="1696">
                  <c:v>22</c:v>
                </c:pt>
                <c:pt idx="1697">
                  <c:v>22</c:v>
                </c:pt>
                <c:pt idx="1698">
                  <c:v>22</c:v>
                </c:pt>
                <c:pt idx="1699">
                  <c:v>22</c:v>
                </c:pt>
                <c:pt idx="1700">
                  <c:v>22</c:v>
                </c:pt>
                <c:pt idx="1701">
                  <c:v>22</c:v>
                </c:pt>
                <c:pt idx="1702">
                  <c:v>21</c:v>
                </c:pt>
                <c:pt idx="1703">
                  <c:v>21</c:v>
                </c:pt>
                <c:pt idx="1704">
                  <c:v>22</c:v>
                </c:pt>
                <c:pt idx="1705">
                  <c:v>22</c:v>
                </c:pt>
                <c:pt idx="1706">
                  <c:v>22</c:v>
                </c:pt>
                <c:pt idx="1707">
                  <c:v>22</c:v>
                </c:pt>
                <c:pt idx="1708">
                  <c:v>22</c:v>
                </c:pt>
                <c:pt idx="1709">
                  <c:v>22</c:v>
                </c:pt>
                <c:pt idx="1710">
                  <c:v>22</c:v>
                </c:pt>
                <c:pt idx="1711">
                  <c:v>21</c:v>
                </c:pt>
                <c:pt idx="1712">
                  <c:v>22</c:v>
                </c:pt>
                <c:pt idx="1713">
                  <c:v>22</c:v>
                </c:pt>
                <c:pt idx="1714">
                  <c:v>22</c:v>
                </c:pt>
                <c:pt idx="1715">
                  <c:v>22</c:v>
                </c:pt>
                <c:pt idx="1716">
                  <c:v>22</c:v>
                </c:pt>
                <c:pt idx="1717">
                  <c:v>22</c:v>
                </c:pt>
                <c:pt idx="1718">
                  <c:v>22</c:v>
                </c:pt>
                <c:pt idx="1719">
                  <c:v>22</c:v>
                </c:pt>
                <c:pt idx="1720">
                  <c:v>22</c:v>
                </c:pt>
                <c:pt idx="1721">
                  <c:v>22</c:v>
                </c:pt>
                <c:pt idx="1722">
                  <c:v>22</c:v>
                </c:pt>
                <c:pt idx="1723">
                  <c:v>22</c:v>
                </c:pt>
                <c:pt idx="1724">
                  <c:v>22</c:v>
                </c:pt>
                <c:pt idx="1725">
                  <c:v>22</c:v>
                </c:pt>
                <c:pt idx="1726">
                  <c:v>21</c:v>
                </c:pt>
                <c:pt idx="1727">
                  <c:v>22</c:v>
                </c:pt>
                <c:pt idx="1728">
                  <c:v>22</c:v>
                </c:pt>
                <c:pt idx="1729">
                  <c:v>21</c:v>
                </c:pt>
                <c:pt idx="1730">
                  <c:v>22</c:v>
                </c:pt>
                <c:pt idx="1731">
                  <c:v>22</c:v>
                </c:pt>
                <c:pt idx="1732">
                  <c:v>22</c:v>
                </c:pt>
                <c:pt idx="1733">
                  <c:v>22</c:v>
                </c:pt>
                <c:pt idx="1734">
                  <c:v>22</c:v>
                </c:pt>
                <c:pt idx="1735">
                  <c:v>22</c:v>
                </c:pt>
                <c:pt idx="1736">
                  <c:v>22</c:v>
                </c:pt>
                <c:pt idx="1737">
                  <c:v>22</c:v>
                </c:pt>
                <c:pt idx="1738">
                  <c:v>22</c:v>
                </c:pt>
                <c:pt idx="1739">
                  <c:v>22</c:v>
                </c:pt>
                <c:pt idx="1740">
                  <c:v>22</c:v>
                </c:pt>
                <c:pt idx="1741">
                  <c:v>22</c:v>
                </c:pt>
                <c:pt idx="1742">
                  <c:v>22</c:v>
                </c:pt>
                <c:pt idx="1743">
                  <c:v>22</c:v>
                </c:pt>
                <c:pt idx="1744">
                  <c:v>22</c:v>
                </c:pt>
                <c:pt idx="1745">
                  <c:v>22</c:v>
                </c:pt>
                <c:pt idx="1746">
                  <c:v>21</c:v>
                </c:pt>
                <c:pt idx="1747">
                  <c:v>22</c:v>
                </c:pt>
                <c:pt idx="1748">
                  <c:v>22</c:v>
                </c:pt>
                <c:pt idx="1749">
                  <c:v>22</c:v>
                </c:pt>
                <c:pt idx="1750">
                  <c:v>22</c:v>
                </c:pt>
                <c:pt idx="1751">
                  <c:v>22</c:v>
                </c:pt>
                <c:pt idx="1752">
                  <c:v>22</c:v>
                </c:pt>
                <c:pt idx="1753">
                  <c:v>22</c:v>
                </c:pt>
                <c:pt idx="1754">
                  <c:v>22</c:v>
                </c:pt>
                <c:pt idx="1755">
                  <c:v>22</c:v>
                </c:pt>
                <c:pt idx="1756">
                  <c:v>22</c:v>
                </c:pt>
                <c:pt idx="1757">
                  <c:v>22</c:v>
                </c:pt>
                <c:pt idx="1758">
                  <c:v>22</c:v>
                </c:pt>
                <c:pt idx="1759">
                  <c:v>22</c:v>
                </c:pt>
                <c:pt idx="1760">
                  <c:v>22</c:v>
                </c:pt>
                <c:pt idx="1761">
                  <c:v>22</c:v>
                </c:pt>
                <c:pt idx="1762">
                  <c:v>21</c:v>
                </c:pt>
                <c:pt idx="1763">
                  <c:v>21</c:v>
                </c:pt>
                <c:pt idx="1764">
                  <c:v>22</c:v>
                </c:pt>
                <c:pt idx="1765">
                  <c:v>22</c:v>
                </c:pt>
                <c:pt idx="1766">
                  <c:v>22</c:v>
                </c:pt>
                <c:pt idx="1767">
                  <c:v>22</c:v>
                </c:pt>
                <c:pt idx="1768">
                  <c:v>22</c:v>
                </c:pt>
                <c:pt idx="1769">
                  <c:v>22</c:v>
                </c:pt>
                <c:pt idx="1770">
                  <c:v>22</c:v>
                </c:pt>
                <c:pt idx="1771">
                  <c:v>22</c:v>
                </c:pt>
                <c:pt idx="1772">
                  <c:v>22</c:v>
                </c:pt>
                <c:pt idx="1773">
                  <c:v>22</c:v>
                </c:pt>
                <c:pt idx="1774">
                  <c:v>22</c:v>
                </c:pt>
                <c:pt idx="1775">
                  <c:v>22</c:v>
                </c:pt>
                <c:pt idx="1776">
                  <c:v>22</c:v>
                </c:pt>
                <c:pt idx="1777">
                  <c:v>22</c:v>
                </c:pt>
                <c:pt idx="1778">
                  <c:v>22</c:v>
                </c:pt>
                <c:pt idx="1779">
                  <c:v>22</c:v>
                </c:pt>
                <c:pt idx="1780">
                  <c:v>22</c:v>
                </c:pt>
                <c:pt idx="1781">
                  <c:v>22</c:v>
                </c:pt>
                <c:pt idx="1782">
                  <c:v>22</c:v>
                </c:pt>
                <c:pt idx="1783">
                  <c:v>22</c:v>
                </c:pt>
                <c:pt idx="1784">
                  <c:v>22</c:v>
                </c:pt>
                <c:pt idx="1785">
                  <c:v>22</c:v>
                </c:pt>
                <c:pt idx="1786">
                  <c:v>22</c:v>
                </c:pt>
                <c:pt idx="1787">
                  <c:v>22</c:v>
                </c:pt>
                <c:pt idx="1788">
                  <c:v>22</c:v>
                </c:pt>
                <c:pt idx="1789">
                  <c:v>22</c:v>
                </c:pt>
                <c:pt idx="1790">
                  <c:v>22</c:v>
                </c:pt>
                <c:pt idx="1791">
                  <c:v>22</c:v>
                </c:pt>
                <c:pt idx="1792">
                  <c:v>22</c:v>
                </c:pt>
                <c:pt idx="1793">
                  <c:v>22</c:v>
                </c:pt>
                <c:pt idx="1794">
                  <c:v>22</c:v>
                </c:pt>
                <c:pt idx="1795">
                  <c:v>22</c:v>
                </c:pt>
                <c:pt idx="1796">
                  <c:v>22</c:v>
                </c:pt>
                <c:pt idx="1797">
                  <c:v>22</c:v>
                </c:pt>
                <c:pt idx="1798">
                  <c:v>22</c:v>
                </c:pt>
                <c:pt idx="1799">
                  <c:v>22</c:v>
                </c:pt>
                <c:pt idx="1800">
                  <c:v>22</c:v>
                </c:pt>
                <c:pt idx="1801">
                  <c:v>22</c:v>
                </c:pt>
                <c:pt idx="1802">
                  <c:v>22</c:v>
                </c:pt>
                <c:pt idx="1803">
                  <c:v>22</c:v>
                </c:pt>
                <c:pt idx="1804">
                  <c:v>22</c:v>
                </c:pt>
                <c:pt idx="1805">
                  <c:v>22</c:v>
                </c:pt>
                <c:pt idx="1806">
                  <c:v>22</c:v>
                </c:pt>
                <c:pt idx="1807">
                  <c:v>22</c:v>
                </c:pt>
                <c:pt idx="1808">
                  <c:v>22</c:v>
                </c:pt>
                <c:pt idx="1809">
                  <c:v>22</c:v>
                </c:pt>
                <c:pt idx="1810">
                  <c:v>22</c:v>
                </c:pt>
                <c:pt idx="1811">
                  <c:v>22</c:v>
                </c:pt>
                <c:pt idx="1812">
                  <c:v>22</c:v>
                </c:pt>
                <c:pt idx="1813">
                  <c:v>22</c:v>
                </c:pt>
                <c:pt idx="1814">
                  <c:v>22</c:v>
                </c:pt>
                <c:pt idx="1815">
                  <c:v>22</c:v>
                </c:pt>
                <c:pt idx="1816">
                  <c:v>22</c:v>
                </c:pt>
                <c:pt idx="1817">
                  <c:v>22</c:v>
                </c:pt>
                <c:pt idx="1818">
                  <c:v>22</c:v>
                </c:pt>
                <c:pt idx="1819">
                  <c:v>22</c:v>
                </c:pt>
                <c:pt idx="1820">
                  <c:v>22</c:v>
                </c:pt>
                <c:pt idx="1821">
                  <c:v>22</c:v>
                </c:pt>
                <c:pt idx="1822">
                  <c:v>22</c:v>
                </c:pt>
                <c:pt idx="1823">
                  <c:v>22</c:v>
                </c:pt>
                <c:pt idx="1824">
                  <c:v>22</c:v>
                </c:pt>
                <c:pt idx="1825">
                  <c:v>22</c:v>
                </c:pt>
                <c:pt idx="1826">
                  <c:v>22</c:v>
                </c:pt>
                <c:pt idx="1827">
                  <c:v>22</c:v>
                </c:pt>
                <c:pt idx="1828">
                  <c:v>22</c:v>
                </c:pt>
                <c:pt idx="1829">
                  <c:v>22</c:v>
                </c:pt>
                <c:pt idx="1830">
                  <c:v>22</c:v>
                </c:pt>
                <c:pt idx="1831">
                  <c:v>22</c:v>
                </c:pt>
                <c:pt idx="1832">
                  <c:v>22</c:v>
                </c:pt>
                <c:pt idx="1833">
                  <c:v>22</c:v>
                </c:pt>
                <c:pt idx="1834">
                  <c:v>22</c:v>
                </c:pt>
                <c:pt idx="1835">
                  <c:v>22</c:v>
                </c:pt>
                <c:pt idx="1836">
                  <c:v>22</c:v>
                </c:pt>
                <c:pt idx="1837">
                  <c:v>22</c:v>
                </c:pt>
                <c:pt idx="1838">
                  <c:v>22</c:v>
                </c:pt>
                <c:pt idx="1839">
                  <c:v>22</c:v>
                </c:pt>
                <c:pt idx="1840">
                  <c:v>22</c:v>
                </c:pt>
                <c:pt idx="1841">
                  <c:v>22</c:v>
                </c:pt>
                <c:pt idx="1842">
                  <c:v>22</c:v>
                </c:pt>
                <c:pt idx="1843">
                  <c:v>22</c:v>
                </c:pt>
                <c:pt idx="1844">
                  <c:v>22</c:v>
                </c:pt>
                <c:pt idx="1845">
                  <c:v>22</c:v>
                </c:pt>
                <c:pt idx="1846">
                  <c:v>22</c:v>
                </c:pt>
                <c:pt idx="1847">
                  <c:v>22</c:v>
                </c:pt>
                <c:pt idx="1848">
                  <c:v>22</c:v>
                </c:pt>
                <c:pt idx="1849">
                  <c:v>22</c:v>
                </c:pt>
                <c:pt idx="1850">
                  <c:v>22</c:v>
                </c:pt>
                <c:pt idx="1851">
                  <c:v>22</c:v>
                </c:pt>
                <c:pt idx="1852">
                  <c:v>22</c:v>
                </c:pt>
                <c:pt idx="1853">
                  <c:v>22</c:v>
                </c:pt>
                <c:pt idx="1854">
                  <c:v>22</c:v>
                </c:pt>
                <c:pt idx="1855">
                  <c:v>22</c:v>
                </c:pt>
                <c:pt idx="1856">
                  <c:v>22</c:v>
                </c:pt>
                <c:pt idx="1857">
                  <c:v>22</c:v>
                </c:pt>
                <c:pt idx="1858">
                  <c:v>22</c:v>
                </c:pt>
                <c:pt idx="1859">
                  <c:v>22</c:v>
                </c:pt>
                <c:pt idx="1860">
                  <c:v>22</c:v>
                </c:pt>
                <c:pt idx="1861">
                  <c:v>22</c:v>
                </c:pt>
                <c:pt idx="1862">
                  <c:v>22</c:v>
                </c:pt>
                <c:pt idx="1863">
                  <c:v>22</c:v>
                </c:pt>
                <c:pt idx="1864">
                  <c:v>22</c:v>
                </c:pt>
                <c:pt idx="1865">
                  <c:v>23</c:v>
                </c:pt>
                <c:pt idx="1866">
                  <c:v>23</c:v>
                </c:pt>
                <c:pt idx="1867">
                  <c:v>23</c:v>
                </c:pt>
                <c:pt idx="1868">
                  <c:v>23</c:v>
                </c:pt>
                <c:pt idx="1869">
                  <c:v>23</c:v>
                </c:pt>
                <c:pt idx="1870">
                  <c:v>23</c:v>
                </c:pt>
                <c:pt idx="1871">
                  <c:v>23</c:v>
                </c:pt>
                <c:pt idx="1872">
                  <c:v>23</c:v>
                </c:pt>
                <c:pt idx="1873">
                  <c:v>23</c:v>
                </c:pt>
                <c:pt idx="1874">
                  <c:v>23</c:v>
                </c:pt>
                <c:pt idx="1875">
                  <c:v>23</c:v>
                </c:pt>
                <c:pt idx="1876">
                  <c:v>23</c:v>
                </c:pt>
                <c:pt idx="1877">
                  <c:v>23</c:v>
                </c:pt>
                <c:pt idx="1878">
                  <c:v>23</c:v>
                </c:pt>
                <c:pt idx="1879">
                  <c:v>23</c:v>
                </c:pt>
                <c:pt idx="1880">
                  <c:v>23</c:v>
                </c:pt>
                <c:pt idx="1881">
                  <c:v>23</c:v>
                </c:pt>
                <c:pt idx="1882">
                  <c:v>23</c:v>
                </c:pt>
                <c:pt idx="1883">
                  <c:v>23</c:v>
                </c:pt>
                <c:pt idx="1884">
                  <c:v>23</c:v>
                </c:pt>
                <c:pt idx="1885">
                  <c:v>23</c:v>
                </c:pt>
                <c:pt idx="1886">
                  <c:v>23</c:v>
                </c:pt>
                <c:pt idx="1887">
                  <c:v>23</c:v>
                </c:pt>
                <c:pt idx="1888">
                  <c:v>23</c:v>
                </c:pt>
                <c:pt idx="1889">
                  <c:v>23</c:v>
                </c:pt>
                <c:pt idx="1890">
                  <c:v>23</c:v>
                </c:pt>
                <c:pt idx="1891">
                  <c:v>23</c:v>
                </c:pt>
                <c:pt idx="1892">
                  <c:v>23</c:v>
                </c:pt>
                <c:pt idx="1893">
                  <c:v>23</c:v>
                </c:pt>
                <c:pt idx="1894">
                  <c:v>23</c:v>
                </c:pt>
                <c:pt idx="1895">
                  <c:v>23</c:v>
                </c:pt>
                <c:pt idx="1896">
                  <c:v>23</c:v>
                </c:pt>
                <c:pt idx="1897">
                  <c:v>23</c:v>
                </c:pt>
                <c:pt idx="1898">
                  <c:v>23</c:v>
                </c:pt>
                <c:pt idx="1899">
                  <c:v>23</c:v>
                </c:pt>
                <c:pt idx="1900">
                  <c:v>23</c:v>
                </c:pt>
                <c:pt idx="1901">
                  <c:v>23</c:v>
                </c:pt>
                <c:pt idx="1902">
                  <c:v>23</c:v>
                </c:pt>
                <c:pt idx="1903">
                  <c:v>23</c:v>
                </c:pt>
                <c:pt idx="1904">
                  <c:v>23</c:v>
                </c:pt>
                <c:pt idx="1905">
                  <c:v>23</c:v>
                </c:pt>
                <c:pt idx="1906">
                  <c:v>23</c:v>
                </c:pt>
                <c:pt idx="1907">
                  <c:v>23</c:v>
                </c:pt>
                <c:pt idx="1908">
                  <c:v>23</c:v>
                </c:pt>
                <c:pt idx="1909">
                  <c:v>23</c:v>
                </c:pt>
                <c:pt idx="1910">
                  <c:v>23</c:v>
                </c:pt>
                <c:pt idx="1911">
                  <c:v>23</c:v>
                </c:pt>
                <c:pt idx="1912">
                  <c:v>23</c:v>
                </c:pt>
                <c:pt idx="1913">
                  <c:v>23</c:v>
                </c:pt>
                <c:pt idx="1914">
                  <c:v>23</c:v>
                </c:pt>
                <c:pt idx="1915">
                  <c:v>23</c:v>
                </c:pt>
                <c:pt idx="1916">
                  <c:v>23</c:v>
                </c:pt>
                <c:pt idx="1917">
                  <c:v>23</c:v>
                </c:pt>
                <c:pt idx="1918">
                  <c:v>23</c:v>
                </c:pt>
                <c:pt idx="1919">
                  <c:v>23</c:v>
                </c:pt>
                <c:pt idx="1920">
                  <c:v>23</c:v>
                </c:pt>
                <c:pt idx="1921">
                  <c:v>23</c:v>
                </c:pt>
                <c:pt idx="1922">
                  <c:v>23</c:v>
                </c:pt>
                <c:pt idx="1923">
                  <c:v>23</c:v>
                </c:pt>
                <c:pt idx="1924">
                  <c:v>23</c:v>
                </c:pt>
                <c:pt idx="1925">
                  <c:v>23</c:v>
                </c:pt>
                <c:pt idx="1926">
                  <c:v>23</c:v>
                </c:pt>
                <c:pt idx="1927">
                  <c:v>23</c:v>
                </c:pt>
                <c:pt idx="1928">
                  <c:v>23</c:v>
                </c:pt>
                <c:pt idx="1929">
                  <c:v>23</c:v>
                </c:pt>
                <c:pt idx="1930">
                  <c:v>23</c:v>
                </c:pt>
                <c:pt idx="1931">
                  <c:v>23</c:v>
                </c:pt>
                <c:pt idx="1932">
                  <c:v>23</c:v>
                </c:pt>
                <c:pt idx="1933">
                  <c:v>23</c:v>
                </c:pt>
                <c:pt idx="1934">
                  <c:v>23</c:v>
                </c:pt>
                <c:pt idx="1935">
                  <c:v>23</c:v>
                </c:pt>
                <c:pt idx="1936">
                  <c:v>23</c:v>
                </c:pt>
                <c:pt idx="1937">
                  <c:v>23</c:v>
                </c:pt>
                <c:pt idx="1938">
                  <c:v>23</c:v>
                </c:pt>
                <c:pt idx="1939">
                  <c:v>23</c:v>
                </c:pt>
                <c:pt idx="1940">
                  <c:v>23</c:v>
                </c:pt>
                <c:pt idx="1941">
                  <c:v>23</c:v>
                </c:pt>
                <c:pt idx="1942">
                  <c:v>23</c:v>
                </c:pt>
                <c:pt idx="1943">
                  <c:v>23</c:v>
                </c:pt>
                <c:pt idx="1944">
                  <c:v>23</c:v>
                </c:pt>
                <c:pt idx="1945">
                  <c:v>23</c:v>
                </c:pt>
                <c:pt idx="1946">
                  <c:v>23</c:v>
                </c:pt>
                <c:pt idx="1947">
                  <c:v>23</c:v>
                </c:pt>
                <c:pt idx="1948">
                  <c:v>23</c:v>
                </c:pt>
                <c:pt idx="1949">
                  <c:v>23</c:v>
                </c:pt>
                <c:pt idx="1950">
                  <c:v>23</c:v>
                </c:pt>
                <c:pt idx="1951">
                  <c:v>23</c:v>
                </c:pt>
                <c:pt idx="1952">
                  <c:v>23</c:v>
                </c:pt>
                <c:pt idx="1953">
                  <c:v>23</c:v>
                </c:pt>
                <c:pt idx="1954">
                  <c:v>23</c:v>
                </c:pt>
                <c:pt idx="1955">
                  <c:v>23</c:v>
                </c:pt>
                <c:pt idx="1956">
                  <c:v>23</c:v>
                </c:pt>
                <c:pt idx="1957">
                  <c:v>23</c:v>
                </c:pt>
                <c:pt idx="1958">
                  <c:v>23</c:v>
                </c:pt>
                <c:pt idx="1959">
                  <c:v>23</c:v>
                </c:pt>
                <c:pt idx="1960">
                  <c:v>23</c:v>
                </c:pt>
                <c:pt idx="1961">
                  <c:v>23</c:v>
                </c:pt>
                <c:pt idx="1962">
                  <c:v>23</c:v>
                </c:pt>
                <c:pt idx="1963">
                  <c:v>23</c:v>
                </c:pt>
                <c:pt idx="1964">
                  <c:v>23</c:v>
                </c:pt>
                <c:pt idx="1965">
                  <c:v>23</c:v>
                </c:pt>
                <c:pt idx="1966">
                  <c:v>23</c:v>
                </c:pt>
                <c:pt idx="1967">
                  <c:v>23</c:v>
                </c:pt>
                <c:pt idx="1968">
                  <c:v>23</c:v>
                </c:pt>
                <c:pt idx="1969">
                  <c:v>23</c:v>
                </c:pt>
                <c:pt idx="1970">
                  <c:v>23</c:v>
                </c:pt>
                <c:pt idx="1971">
                  <c:v>23</c:v>
                </c:pt>
                <c:pt idx="1972">
                  <c:v>23</c:v>
                </c:pt>
                <c:pt idx="1973">
                  <c:v>23</c:v>
                </c:pt>
                <c:pt idx="1974">
                  <c:v>23</c:v>
                </c:pt>
                <c:pt idx="1975">
                  <c:v>23</c:v>
                </c:pt>
                <c:pt idx="1976">
                  <c:v>23</c:v>
                </c:pt>
                <c:pt idx="1977">
                  <c:v>23</c:v>
                </c:pt>
                <c:pt idx="1978">
                  <c:v>23</c:v>
                </c:pt>
                <c:pt idx="1979">
                  <c:v>23</c:v>
                </c:pt>
                <c:pt idx="1980">
                  <c:v>23</c:v>
                </c:pt>
                <c:pt idx="1981">
                  <c:v>23</c:v>
                </c:pt>
                <c:pt idx="1982">
                  <c:v>23</c:v>
                </c:pt>
                <c:pt idx="1983">
                  <c:v>23</c:v>
                </c:pt>
                <c:pt idx="1984">
                  <c:v>23</c:v>
                </c:pt>
                <c:pt idx="1985">
                  <c:v>23</c:v>
                </c:pt>
                <c:pt idx="1986">
                  <c:v>23</c:v>
                </c:pt>
                <c:pt idx="1987">
                  <c:v>23</c:v>
                </c:pt>
                <c:pt idx="1988">
                  <c:v>23</c:v>
                </c:pt>
                <c:pt idx="1989">
                  <c:v>23</c:v>
                </c:pt>
                <c:pt idx="1990">
                  <c:v>23</c:v>
                </c:pt>
                <c:pt idx="1991">
                  <c:v>23</c:v>
                </c:pt>
                <c:pt idx="1992">
                  <c:v>23</c:v>
                </c:pt>
                <c:pt idx="1993">
                  <c:v>23</c:v>
                </c:pt>
                <c:pt idx="1994">
                  <c:v>23</c:v>
                </c:pt>
                <c:pt idx="1995">
                  <c:v>23</c:v>
                </c:pt>
                <c:pt idx="1996">
                  <c:v>23</c:v>
                </c:pt>
                <c:pt idx="1997">
                  <c:v>23</c:v>
                </c:pt>
                <c:pt idx="1998">
                  <c:v>23</c:v>
                </c:pt>
                <c:pt idx="1999">
                  <c:v>23</c:v>
                </c:pt>
                <c:pt idx="2000">
                  <c:v>23</c:v>
                </c:pt>
                <c:pt idx="2001">
                  <c:v>23</c:v>
                </c:pt>
                <c:pt idx="2002">
                  <c:v>23</c:v>
                </c:pt>
                <c:pt idx="2003">
                  <c:v>23</c:v>
                </c:pt>
                <c:pt idx="2004">
                  <c:v>23</c:v>
                </c:pt>
                <c:pt idx="2005">
                  <c:v>23</c:v>
                </c:pt>
                <c:pt idx="2006">
                  <c:v>23</c:v>
                </c:pt>
                <c:pt idx="2007">
                  <c:v>23</c:v>
                </c:pt>
                <c:pt idx="2008">
                  <c:v>23</c:v>
                </c:pt>
                <c:pt idx="2009">
                  <c:v>23</c:v>
                </c:pt>
                <c:pt idx="2010">
                  <c:v>23</c:v>
                </c:pt>
                <c:pt idx="2011">
                  <c:v>23</c:v>
                </c:pt>
                <c:pt idx="2012">
                  <c:v>23</c:v>
                </c:pt>
                <c:pt idx="2013">
                  <c:v>23</c:v>
                </c:pt>
                <c:pt idx="2014">
                  <c:v>23</c:v>
                </c:pt>
                <c:pt idx="2015">
                  <c:v>23</c:v>
                </c:pt>
                <c:pt idx="2016">
                  <c:v>23</c:v>
                </c:pt>
                <c:pt idx="2017">
                  <c:v>23</c:v>
                </c:pt>
                <c:pt idx="2018">
                  <c:v>23</c:v>
                </c:pt>
                <c:pt idx="2019">
                  <c:v>23</c:v>
                </c:pt>
                <c:pt idx="2020">
                  <c:v>23</c:v>
                </c:pt>
                <c:pt idx="2021">
                  <c:v>23</c:v>
                </c:pt>
                <c:pt idx="2022">
                  <c:v>23</c:v>
                </c:pt>
                <c:pt idx="2023">
                  <c:v>23</c:v>
                </c:pt>
                <c:pt idx="2024">
                  <c:v>23</c:v>
                </c:pt>
                <c:pt idx="2025">
                  <c:v>23</c:v>
                </c:pt>
                <c:pt idx="2026">
                  <c:v>23</c:v>
                </c:pt>
                <c:pt idx="2027">
                  <c:v>23</c:v>
                </c:pt>
                <c:pt idx="2028">
                  <c:v>23</c:v>
                </c:pt>
                <c:pt idx="2029">
                  <c:v>23</c:v>
                </c:pt>
                <c:pt idx="2030">
                  <c:v>23</c:v>
                </c:pt>
                <c:pt idx="2031">
                  <c:v>23</c:v>
                </c:pt>
                <c:pt idx="2032">
                  <c:v>23</c:v>
                </c:pt>
                <c:pt idx="2033">
                  <c:v>23</c:v>
                </c:pt>
                <c:pt idx="2034">
                  <c:v>23</c:v>
                </c:pt>
                <c:pt idx="2035">
                  <c:v>23</c:v>
                </c:pt>
                <c:pt idx="2036">
                  <c:v>23</c:v>
                </c:pt>
                <c:pt idx="2037">
                  <c:v>23</c:v>
                </c:pt>
                <c:pt idx="2038">
                  <c:v>23</c:v>
                </c:pt>
                <c:pt idx="2039">
                  <c:v>23</c:v>
                </c:pt>
                <c:pt idx="2040">
                  <c:v>23</c:v>
                </c:pt>
                <c:pt idx="2041">
                  <c:v>23</c:v>
                </c:pt>
                <c:pt idx="2042">
                  <c:v>23</c:v>
                </c:pt>
                <c:pt idx="2043">
                  <c:v>23</c:v>
                </c:pt>
                <c:pt idx="2044">
                  <c:v>23</c:v>
                </c:pt>
                <c:pt idx="2045">
                  <c:v>23</c:v>
                </c:pt>
                <c:pt idx="2046">
                  <c:v>23</c:v>
                </c:pt>
                <c:pt idx="2047">
                  <c:v>23</c:v>
                </c:pt>
                <c:pt idx="2048">
                  <c:v>23</c:v>
                </c:pt>
                <c:pt idx="2049">
                  <c:v>23</c:v>
                </c:pt>
                <c:pt idx="2050">
                  <c:v>23</c:v>
                </c:pt>
                <c:pt idx="2051">
                  <c:v>23</c:v>
                </c:pt>
                <c:pt idx="2052">
                  <c:v>23</c:v>
                </c:pt>
                <c:pt idx="2053">
                  <c:v>23</c:v>
                </c:pt>
                <c:pt idx="2054">
                  <c:v>23</c:v>
                </c:pt>
                <c:pt idx="2055">
                  <c:v>23</c:v>
                </c:pt>
                <c:pt idx="2056">
                  <c:v>23</c:v>
                </c:pt>
                <c:pt idx="2057">
                  <c:v>23</c:v>
                </c:pt>
                <c:pt idx="2058">
                  <c:v>23</c:v>
                </c:pt>
                <c:pt idx="2059">
                  <c:v>23</c:v>
                </c:pt>
                <c:pt idx="2060">
                  <c:v>23</c:v>
                </c:pt>
                <c:pt idx="2061">
                  <c:v>23</c:v>
                </c:pt>
                <c:pt idx="2062">
                  <c:v>23</c:v>
                </c:pt>
                <c:pt idx="2063">
                  <c:v>23</c:v>
                </c:pt>
                <c:pt idx="2064">
                  <c:v>23</c:v>
                </c:pt>
                <c:pt idx="2065">
                  <c:v>23</c:v>
                </c:pt>
                <c:pt idx="2066">
                  <c:v>23</c:v>
                </c:pt>
                <c:pt idx="2067">
                  <c:v>23</c:v>
                </c:pt>
                <c:pt idx="2068">
                  <c:v>23</c:v>
                </c:pt>
                <c:pt idx="2069">
                  <c:v>23</c:v>
                </c:pt>
                <c:pt idx="2070">
                  <c:v>23</c:v>
                </c:pt>
                <c:pt idx="2071">
                  <c:v>23</c:v>
                </c:pt>
                <c:pt idx="2072">
                  <c:v>23</c:v>
                </c:pt>
                <c:pt idx="2073">
                  <c:v>23</c:v>
                </c:pt>
                <c:pt idx="2074">
                  <c:v>23</c:v>
                </c:pt>
                <c:pt idx="2075">
                  <c:v>23</c:v>
                </c:pt>
                <c:pt idx="2076">
                  <c:v>23</c:v>
                </c:pt>
                <c:pt idx="2077">
                  <c:v>23</c:v>
                </c:pt>
                <c:pt idx="2078">
                  <c:v>23</c:v>
                </c:pt>
                <c:pt idx="2079">
                  <c:v>23</c:v>
                </c:pt>
                <c:pt idx="2080">
                  <c:v>23</c:v>
                </c:pt>
                <c:pt idx="2081">
                  <c:v>23</c:v>
                </c:pt>
                <c:pt idx="2082">
                  <c:v>23</c:v>
                </c:pt>
                <c:pt idx="2083">
                  <c:v>23</c:v>
                </c:pt>
                <c:pt idx="2084">
                  <c:v>23</c:v>
                </c:pt>
                <c:pt idx="2085">
                  <c:v>23</c:v>
                </c:pt>
                <c:pt idx="2086">
                  <c:v>23</c:v>
                </c:pt>
                <c:pt idx="2087">
                  <c:v>23</c:v>
                </c:pt>
                <c:pt idx="2088">
                  <c:v>23</c:v>
                </c:pt>
                <c:pt idx="2089">
                  <c:v>23</c:v>
                </c:pt>
                <c:pt idx="2090">
                  <c:v>23</c:v>
                </c:pt>
                <c:pt idx="2091">
                  <c:v>23</c:v>
                </c:pt>
                <c:pt idx="2092">
                  <c:v>23</c:v>
                </c:pt>
                <c:pt idx="2093">
                  <c:v>23</c:v>
                </c:pt>
                <c:pt idx="2094">
                  <c:v>23</c:v>
                </c:pt>
                <c:pt idx="2095">
                  <c:v>23</c:v>
                </c:pt>
                <c:pt idx="2096">
                  <c:v>23</c:v>
                </c:pt>
                <c:pt idx="2097">
                  <c:v>23</c:v>
                </c:pt>
                <c:pt idx="2098">
                  <c:v>23</c:v>
                </c:pt>
                <c:pt idx="2099">
                  <c:v>23</c:v>
                </c:pt>
                <c:pt idx="2100">
                  <c:v>23</c:v>
                </c:pt>
                <c:pt idx="2101">
                  <c:v>23</c:v>
                </c:pt>
                <c:pt idx="2102">
                  <c:v>23</c:v>
                </c:pt>
                <c:pt idx="2103">
                  <c:v>23</c:v>
                </c:pt>
                <c:pt idx="2104">
                  <c:v>23</c:v>
                </c:pt>
                <c:pt idx="2105">
                  <c:v>23</c:v>
                </c:pt>
                <c:pt idx="2106">
                  <c:v>23</c:v>
                </c:pt>
                <c:pt idx="2107">
                  <c:v>23</c:v>
                </c:pt>
                <c:pt idx="2108">
                  <c:v>23</c:v>
                </c:pt>
                <c:pt idx="2109">
                  <c:v>23</c:v>
                </c:pt>
                <c:pt idx="2110">
                  <c:v>23</c:v>
                </c:pt>
                <c:pt idx="2111">
                  <c:v>23</c:v>
                </c:pt>
                <c:pt idx="2112">
                  <c:v>23</c:v>
                </c:pt>
                <c:pt idx="2113">
                  <c:v>23</c:v>
                </c:pt>
                <c:pt idx="2114">
                  <c:v>23</c:v>
                </c:pt>
                <c:pt idx="2115">
                  <c:v>23</c:v>
                </c:pt>
                <c:pt idx="2116">
                  <c:v>23</c:v>
                </c:pt>
                <c:pt idx="2117">
                  <c:v>23</c:v>
                </c:pt>
                <c:pt idx="2118">
                  <c:v>23</c:v>
                </c:pt>
                <c:pt idx="2119">
                  <c:v>23</c:v>
                </c:pt>
                <c:pt idx="2120">
                  <c:v>23</c:v>
                </c:pt>
                <c:pt idx="2121">
                  <c:v>23</c:v>
                </c:pt>
                <c:pt idx="2122">
                  <c:v>23</c:v>
                </c:pt>
                <c:pt idx="2123">
                  <c:v>23</c:v>
                </c:pt>
                <c:pt idx="2124">
                  <c:v>23</c:v>
                </c:pt>
                <c:pt idx="2125">
                  <c:v>23</c:v>
                </c:pt>
                <c:pt idx="2126">
                  <c:v>23</c:v>
                </c:pt>
                <c:pt idx="2127">
                  <c:v>23</c:v>
                </c:pt>
                <c:pt idx="2128">
                  <c:v>23</c:v>
                </c:pt>
                <c:pt idx="2129">
                  <c:v>23</c:v>
                </c:pt>
                <c:pt idx="2130">
                  <c:v>23</c:v>
                </c:pt>
                <c:pt idx="2131">
                  <c:v>23</c:v>
                </c:pt>
                <c:pt idx="2132">
                  <c:v>23</c:v>
                </c:pt>
                <c:pt idx="2133">
                  <c:v>23</c:v>
                </c:pt>
                <c:pt idx="2134">
                  <c:v>23</c:v>
                </c:pt>
                <c:pt idx="2135">
                  <c:v>23</c:v>
                </c:pt>
                <c:pt idx="2136">
                  <c:v>23</c:v>
                </c:pt>
                <c:pt idx="2137">
                  <c:v>23</c:v>
                </c:pt>
                <c:pt idx="2138">
                  <c:v>24</c:v>
                </c:pt>
                <c:pt idx="2139">
                  <c:v>24</c:v>
                </c:pt>
                <c:pt idx="2140">
                  <c:v>24</c:v>
                </c:pt>
                <c:pt idx="2141">
                  <c:v>24</c:v>
                </c:pt>
                <c:pt idx="2142">
                  <c:v>24</c:v>
                </c:pt>
                <c:pt idx="2143">
                  <c:v>24</c:v>
                </c:pt>
                <c:pt idx="2144">
                  <c:v>24</c:v>
                </c:pt>
                <c:pt idx="2145">
                  <c:v>24</c:v>
                </c:pt>
                <c:pt idx="2146">
                  <c:v>24</c:v>
                </c:pt>
                <c:pt idx="2147">
                  <c:v>24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24</c:v>
                </c:pt>
                <c:pt idx="2152">
                  <c:v>24</c:v>
                </c:pt>
                <c:pt idx="2153">
                  <c:v>24</c:v>
                </c:pt>
                <c:pt idx="2154">
                  <c:v>24</c:v>
                </c:pt>
                <c:pt idx="2155">
                  <c:v>24</c:v>
                </c:pt>
                <c:pt idx="2156">
                  <c:v>24</c:v>
                </c:pt>
                <c:pt idx="2157">
                  <c:v>24</c:v>
                </c:pt>
                <c:pt idx="2158">
                  <c:v>24</c:v>
                </c:pt>
                <c:pt idx="2159">
                  <c:v>24</c:v>
                </c:pt>
                <c:pt idx="2160">
                  <c:v>24</c:v>
                </c:pt>
                <c:pt idx="2161">
                  <c:v>24</c:v>
                </c:pt>
                <c:pt idx="2162">
                  <c:v>24</c:v>
                </c:pt>
                <c:pt idx="2163">
                  <c:v>24</c:v>
                </c:pt>
                <c:pt idx="2164">
                  <c:v>24</c:v>
                </c:pt>
                <c:pt idx="2165">
                  <c:v>24</c:v>
                </c:pt>
                <c:pt idx="2166">
                  <c:v>24</c:v>
                </c:pt>
                <c:pt idx="2167">
                  <c:v>24</c:v>
                </c:pt>
                <c:pt idx="2168">
                  <c:v>24</c:v>
                </c:pt>
                <c:pt idx="2169">
                  <c:v>24</c:v>
                </c:pt>
                <c:pt idx="2170">
                  <c:v>24</c:v>
                </c:pt>
                <c:pt idx="2171">
                  <c:v>24</c:v>
                </c:pt>
                <c:pt idx="2172">
                  <c:v>24</c:v>
                </c:pt>
                <c:pt idx="2173">
                  <c:v>24</c:v>
                </c:pt>
                <c:pt idx="2174">
                  <c:v>24</c:v>
                </c:pt>
                <c:pt idx="2175">
                  <c:v>24</c:v>
                </c:pt>
                <c:pt idx="2176">
                  <c:v>24</c:v>
                </c:pt>
                <c:pt idx="2177">
                  <c:v>24</c:v>
                </c:pt>
                <c:pt idx="2178">
                  <c:v>24</c:v>
                </c:pt>
                <c:pt idx="2179">
                  <c:v>24</c:v>
                </c:pt>
                <c:pt idx="2180">
                  <c:v>24</c:v>
                </c:pt>
                <c:pt idx="2181">
                  <c:v>24</c:v>
                </c:pt>
                <c:pt idx="2182">
                  <c:v>24</c:v>
                </c:pt>
                <c:pt idx="2183">
                  <c:v>24</c:v>
                </c:pt>
                <c:pt idx="2184">
                  <c:v>24</c:v>
                </c:pt>
                <c:pt idx="2185">
                  <c:v>24</c:v>
                </c:pt>
                <c:pt idx="2186">
                  <c:v>24</c:v>
                </c:pt>
                <c:pt idx="2187">
                  <c:v>24</c:v>
                </c:pt>
                <c:pt idx="2188">
                  <c:v>24</c:v>
                </c:pt>
                <c:pt idx="2189">
                  <c:v>24</c:v>
                </c:pt>
                <c:pt idx="2190">
                  <c:v>24</c:v>
                </c:pt>
                <c:pt idx="2191">
                  <c:v>24</c:v>
                </c:pt>
                <c:pt idx="2192">
                  <c:v>24</c:v>
                </c:pt>
                <c:pt idx="2193">
                  <c:v>24</c:v>
                </c:pt>
                <c:pt idx="2194">
                  <c:v>24</c:v>
                </c:pt>
                <c:pt idx="2195">
                  <c:v>24</c:v>
                </c:pt>
                <c:pt idx="2196">
                  <c:v>24</c:v>
                </c:pt>
                <c:pt idx="2197">
                  <c:v>24</c:v>
                </c:pt>
                <c:pt idx="2198">
                  <c:v>24</c:v>
                </c:pt>
                <c:pt idx="2199">
                  <c:v>24</c:v>
                </c:pt>
                <c:pt idx="2200">
                  <c:v>24</c:v>
                </c:pt>
                <c:pt idx="2201">
                  <c:v>24</c:v>
                </c:pt>
                <c:pt idx="2202">
                  <c:v>24</c:v>
                </c:pt>
                <c:pt idx="2203">
                  <c:v>24</c:v>
                </c:pt>
                <c:pt idx="2204">
                  <c:v>24</c:v>
                </c:pt>
                <c:pt idx="2205">
                  <c:v>24</c:v>
                </c:pt>
                <c:pt idx="2206">
                  <c:v>24</c:v>
                </c:pt>
                <c:pt idx="2207">
                  <c:v>24</c:v>
                </c:pt>
                <c:pt idx="2208">
                  <c:v>24</c:v>
                </c:pt>
                <c:pt idx="2209">
                  <c:v>24</c:v>
                </c:pt>
                <c:pt idx="2210">
                  <c:v>24</c:v>
                </c:pt>
                <c:pt idx="2211">
                  <c:v>24</c:v>
                </c:pt>
                <c:pt idx="2212">
                  <c:v>24</c:v>
                </c:pt>
                <c:pt idx="2213">
                  <c:v>24</c:v>
                </c:pt>
                <c:pt idx="2214">
                  <c:v>24</c:v>
                </c:pt>
                <c:pt idx="2215">
                  <c:v>24</c:v>
                </c:pt>
                <c:pt idx="2216">
                  <c:v>24</c:v>
                </c:pt>
                <c:pt idx="2217">
                  <c:v>24</c:v>
                </c:pt>
                <c:pt idx="2218">
                  <c:v>24</c:v>
                </c:pt>
                <c:pt idx="2219">
                  <c:v>24</c:v>
                </c:pt>
                <c:pt idx="2220">
                  <c:v>24</c:v>
                </c:pt>
                <c:pt idx="2221">
                  <c:v>24</c:v>
                </c:pt>
                <c:pt idx="2222">
                  <c:v>24</c:v>
                </c:pt>
                <c:pt idx="2223">
                  <c:v>24</c:v>
                </c:pt>
                <c:pt idx="2224">
                  <c:v>24</c:v>
                </c:pt>
                <c:pt idx="2225">
                  <c:v>24</c:v>
                </c:pt>
                <c:pt idx="2226">
                  <c:v>24</c:v>
                </c:pt>
                <c:pt idx="2227">
                  <c:v>24</c:v>
                </c:pt>
                <c:pt idx="2228">
                  <c:v>24</c:v>
                </c:pt>
                <c:pt idx="2229">
                  <c:v>24</c:v>
                </c:pt>
                <c:pt idx="2230">
                  <c:v>24</c:v>
                </c:pt>
                <c:pt idx="2231">
                  <c:v>24</c:v>
                </c:pt>
                <c:pt idx="2232">
                  <c:v>24</c:v>
                </c:pt>
                <c:pt idx="2233">
                  <c:v>24</c:v>
                </c:pt>
                <c:pt idx="2234">
                  <c:v>24</c:v>
                </c:pt>
                <c:pt idx="2235">
                  <c:v>24</c:v>
                </c:pt>
                <c:pt idx="2236">
                  <c:v>24</c:v>
                </c:pt>
                <c:pt idx="2237">
                  <c:v>24</c:v>
                </c:pt>
                <c:pt idx="2238">
                  <c:v>24</c:v>
                </c:pt>
                <c:pt idx="2239">
                  <c:v>24</c:v>
                </c:pt>
                <c:pt idx="2240">
                  <c:v>24</c:v>
                </c:pt>
                <c:pt idx="2241">
                  <c:v>24</c:v>
                </c:pt>
                <c:pt idx="2242">
                  <c:v>24</c:v>
                </c:pt>
                <c:pt idx="2243">
                  <c:v>24</c:v>
                </c:pt>
                <c:pt idx="2244">
                  <c:v>24</c:v>
                </c:pt>
                <c:pt idx="2245">
                  <c:v>24</c:v>
                </c:pt>
                <c:pt idx="2246">
                  <c:v>24</c:v>
                </c:pt>
                <c:pt idx="2247">
                  <c:v>24</c:v>
                </c:pt>
                <c:pt idx="2248">
                  <c:v>24</c:v>
                </c:pt>
                <c:pt idx="2249">
                  <c:v>24</c:v>
                </c:pt>
                <c:pt idx="2250">
                  <c:v>24</c:v>
                </c:pt>
                <c:pt idx="2251">
                  <c:v>24</c:v>
                </c:pt>
                <c:pt idx="2252">
                  <c:v>24</c:v>
                </c:pt>
                <c:pt idx="2253">
                  <c:v>24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24</c:v>
                </c:pt>
                <c:pt idx="2258">
                  <c:v>24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24</c:v>
                </c:pt>
                <c:pt idx="2281">
                  <c:v>24</c:v>
                </c:pt>
                <c:pt idx="2282">
                  <c:v>24</c:v>
                </c:pt>
                <c:pt idx="2283">
                  <c:v>24</c:v>
                </c:pt>
                <c:pt idx="2284">
                  <c:v>24</c:v>
                </c:pt>
                <c:pt idx="2285">
                  <c:v>24</c:v>
                </c:pt>
                <c:pt idx="2286">
                  <c:v>24</c:v>
                </c:pt>
                <c:pt idx="2287">
                  <c:v>24</c:v>
                </c:pt>
                <c:pt idx="2288">
                  <c:v>24</c:v>
                </c:pt>
                <c:pt idx="2289">
                  <c:v>24</c:v>
                </c:pt>
                <c:pt idx="2290">
                  <c:v>24</c:v>
                </c:pt>
                <c:pt idx="2291">
                  <c:v>24</c:v>
                </c:pt>
                <c:pt idx="2292">
                  <c:v>24</c:v>
                </c:pt>
                <c:pt idx="2293">
                  <c:v>24</c:v>
                </c:pt>
                <c:pt idx="2294">
                  <c:v>24</c:v>
                </c:pt>
                <c:pt idx="2295">
                  <c:v>24</c:v>
                </c:pt>
                <c:pt idx="2296">
                  <c:v>24</c:v>
                </c:pt>
                <c:pt idx="2297">
                  <c:v>24</c:v>
                </c:pt>
                <c:pt idx="2298">
                  <c:v>24</c:v>
                </c:pt>
                <c:pt idx="2299">
                  <c:v>24</c:v>
                </c:pt>
                <c:pt idx="2300">
                  <c:v>24</c:v>
                </c:pt>
                <c:pt idx="2301">
                  <c:v>24</c:v>
                </c:pt>
                <c:pt idx="2302">
                  <c:v>24</c:v>
                </c:pt>
                <c:pt idx="2303">
                  <c:v>24</c:v>
                </c:pt>
                <c:pt idx="2304">
                  <c:v>24</c:v>
                </c:pt>
                <c:pt idx="2305">
                  <c:v>24</c:v>
                </c:pt>
                <c:pt idx="2306">
                  <c:v>24</c:v>
                </c:pt>
                <c:pt idx="2307">
                  <c:v>24</c:v>
                </c:pt>
                <c:pt idx="2308">
                  <c:v>24</c:v>
                </c:pt>
                <c:pt idx="2309">
                  <c:v>24</c:v>
                </c:pt>
                <c:pt idx="2310">
                  <c:v>24</c:v>
                </c:pt>
                <c:pt idx="2311">
                  <c:v>24</c:v>
                </c:pt>
                <c:pt idx="2312">
                  <c:v>24</c:v>
                </c:pt>
                <c:pt idx="2313">
                  <c:v>24</c:v>
                </c:pt>
                <c:pt idx="2314">
                  <c:v>24</c:v>
                </c:pt>
                <c:pt idx="2315">
                  <c:v>24</c:v>
                </c:pt>
                <c:pt idx="2316">
                  <c:v>24</c:v>
                </c:pt>
                <c:pt idx="2317">
                  <c:v>24</c:v>
                </c:pt>
                <c:pt idx="2318">
                  <c:v>24</c:v>
                </c:pt>
                <c:pt idx="2319">
                  <c:v>24</c:v>
                </c:pt>
                <c:pt idx="2320">
                  <c:v>24</c:v>
                </c:pt>
                <c:pt idx="2321">
                  <c:v>24</c:v>
                </c:pt>
                <c:pt idx="2322">
                  <c:v>24</c:v>
                </c:pt>
                <c:pt idx="2323">
                  <c:v>24</c:v>
                </c:pt>
                <c:pt idx="2324">
                  <c:v>24</c:v>
                </c:pt>
                <c:pt idx="2325">
                  <c:v>24</c:v>
                </c:pt>
                <c:pt idx="2326">
                  <c:v>24</c:v>
                </c:pt>
                <c:pt idx="2327">
                  <c:v>24</c:v>
                </c:pt>
                <c:pt idx="2328">
                  <c:v>25</c:v>
                </c:pt>
                <c:pt idx="2329">
                  <c:v>25</c:v>
                </c:pt>
                <c:pt idx="2330">
                  <c:v>25</c:v>
                </c:pt>
                <c:pt idx="2331">
                  <c:v>24</c:v>
                </c:pt>
                <c:pt idx="2332">
                  <c:v>24</c:v>
                </c:pt>
                <c:pt idx="2333">
                  <c:v>25</c:v>
                </c:pt>
                <c:pt idx="2334">
                  <c:v>24</c:v>
                </c:pt>
                <c:pt idx="2335">
                  <c:v>24</c:v>
                </c:pt>
                <c:pt idx="2336">
                  <c:v>25</c:v>
                </c:pt>
                <c:pt idx="2337">
                  <c:v>25</c:v>
                </c:pt>
                <c:pt idx="2338">
                  <c:v>25</c:v>
                </c:pt>
                <c:pt idx="2339">
                  <c:v>25</c:v>
                </c:pt>
                <c:pt idx="2340">
                  <c:v>25</c:v>
                </c:pt>
                <c:pt idx="2341">
                  <c:v>25</c:v>
                </c:pt>
                <c:pt idx="2342">
                  <c:v>24</c:v>
                </c:pt>
                <c:pt idx="2343">
                  <c:v>24</c:v>
                </c:pt>
                <c:pt idx="2344">
                  <c:v>24</c:v>
                </c:pt>
                <c:pt idx="2345">
                  <c:v>24</c:v>
                </c:pt>
                <c:pt idx="2346">
                  <c:v>24</c:v>
                </c:pt>
                <c:pt idx="2347">
                  <c:v>25</c:v>
                </c:pt>
                <c:pt idx="2348">
                  <c:v>24</c:v>
                </c:pt>
                <c:pt idx="2349">
                  <c:v>25</c:v>
                </c:pt>
                <c:pt idx="2350">
                  <c:v>25</c:v>
                </c:pt>
                <c:pt idx="2351">
                  <c:v>24</c:v>
                </c:pt>
                <c:pt idx="2352">
                  <c:v>24</c:v>
                </c:pt>
                <c:pt idx="2353">
                  <c:v>25</c:v>
                </c:pt>
                <c:pt idx="2354">
                  <c:v>25</c:v>
                </c:pt>
                <c:pt idx="2355">
                  <c:v>25</c:v>
                </c:pt>
                <c:pt idx="2356">
                  <c:v>25</c:v>
                </c:pt>
                <c:pt idx="2357">
                  <c:v>25</c:v>
                </c:pt>
                <c:pt idx="2358">
                  <c:v>25</c:v>
                </c:pt>
                <c:pt idx="2359">
                  <c:v>25</c:v>
                </c:pt>
                <c:pt idx="2360">
                  <c:v>25</c:v>
                </c:pt>
                <c:pt idx="2361">
                  <c:v>25</c:v>
                </c:pt>
                <c:pt idx="2362">
                  <c:v>25</c:v>
                </c:pt>
                <c:pt idx="2363">
                  <c:v>25</c:v>
                </c:pt>
                <c:pt idx="2364">
                  <c:v>25</c:v>
                </c:pt>
                <c:pt idx="2365">
                  <c:v>25</c:v>
                </c:pt>
                <c:pt idx="2366">
                  <c:v>25</c:v>
                </c:pt>
                <c:pt idx="2367">
                  <c:v>25</c:v>
                </c:pt>
                <c:pt idx="2368">
                  <c:v>25</c:v>
                </c:pt>
                <c:pt idx="2369">
                  <c:v>25</c:v>
                </c:pt>
                <c:pt idx="2370">
                  <c:v>25</c:v>
                </c:pt>
                <c:pt idx="2371">
                  <c:v>25</c:v>
                </c:pt>
                <c:pt idx="2372">
                  <c:v>25</c:v>
                </c:pt>
                <c:pt idx="2373">
                  <c:v>25</c:v>
                </c:pt>
                <c:pt idx="2374">
                  <c:v>25</c:v>
                </c:pt>
                <c:pt idx="2375">
                  <c:v>25</c:v>
                </c:pt>
                <c:pt idx="2376">
                  <c:v>25</c:v>
                </c:pt>
                <c:pt idx="2377">
                  <c:v>25</c:v>
                </c:pt>
                <c:pt idx="2378">
                  <c:v>25</c:v>
                </c:pt>
                <c:pt idx="2379">
                  <c:v>25</c:v>
                </c:pt>
                <c:pt idx="2380">
                  <c:v>25</c:v>
                </c:pt>
                <c:pt idx="2381">
                  <c:v>25</c:v>
                </c:pt>
                <c:pt idx="2382">
                  <c:v>25</c:v>
                </c:pt>
                <c:pt idx="2383">
                  <c:v>25</c:v>
                </c:pt>
                <c:pt idx="2384">
                  <c:v>25</c:v>
                </c:pt>
                <c:pt idx="2385">
                  <c:v>25</c:v>
                </c:pt>
                <c:pt idx="2386">
                  <c:v>25</c:v>
                </c:pt>
                <c:pt idx="2387">
                  <c:v>25</c:v>
                </c:pt>
                <c:pt idx="2388">
                  <c:v>25</c:v>
                </c:pt>
                <c:pt idx="2389">
                  <c:v>25</c:v>
                </c:pt>
                <c:pt idx="2390">
                  <c:v>25</c:v>
                </c:pt>
                <c:pt idx="2391">
                  <c:v>25</c:v>
                </c:pt>
                <c:pt idx="2392">
                  <c:v>25</c:v>
                </c:pt>
                <c:pt idx="2393">
                  <c:v>25</c:v>
                </c:pt>
                <c:pt idx="2394">
                  <c:v>25</c:v>
                </c:pt>
                <c:pt idx="2395">
                  <c:v>25</c:v>
                </c:pt>
                <c:pt idx="2396">
                  <c:v>25</c:v>
                </c:pt>
                <c:pt idx="2397">
                  <c:v>25</c:v>
                </c:pt>
                <c:pt idx="2398">
                  <c:v>25</c:v>
                </c:pt>
                <c:pt idx="2399">
                  <c:v>25</c:v>
                </c:pt>
                <c:pt idx="2400">
                  <c:v>25</c:v>
                </c:pt>
                <c:pt idx="2401">
                  <c:v>25</c:v>
                </c:pt>
                <c:pt idx="2402">
                  <c:v>25</c:v>
                </c:pt>
                <c:pt idx="2403">
                  <c:v>25</c:v>
                </c:pt>
                <c:pt idx="2404">
                  <c:v>25</c:v>
                </c:pt>
                <c:pt idx="2405">
                  <c:v>25</c:v>
                </c:pt>
                <c:pt idx="2406">
                  <c:v>25</c:v>
                </c:pt>
                <c:pt idx="2407">
                  <c:v>25</c:v>
                </c:pt>
                <c:pt idx="2408">
                  <c:v>25</c:v>
                </c:pt>
                <c:pt idx="2409">
                  <c:v>25</c:v>
                </c:pt>
                <c:pt idx="2410">
                  <c:v>25</c:v>
                </c:pt>
                <c:pt idx="2411">
                  <c:v>25</c:v>
                </c:pt>
                <c:pt idx="2412">
                  <c:v>25</c:v>
                </c:pt>
                <c:pt idx="2413">
                  <c:v>25</c:v>
                </c:pt>
                <c:pt idx="2414">
                  <c:v>25</c:v>
                </c:pt>
                <c:pt idx="2415">
                  <c:v>25</c:v>
                </c:pt>
                <c:pt idx="2416">
                  <c:v>25</c:v>
                </c:pt>
                <c:pt idx="2417">
                  <c:v>25</c:v>
                </c:pt>
                <c:pt idx="2418">
                  <c:v>25</c:v>
                </c:pt>
                <c:pt idx="2419">
                  <c:v>25</c:v>
                </c:pt>
                <c:pt idx="2420">
                  <c:v>25</c:v>
                </c:pt>
                <c:pt idx="2421">
                  <c:v>25</c:v>
                </c:pt>
                <c:pt idx="2422">
                  <c:v>25</c:v>
                </c:pt>
                <c:pt idx="2423">
                  <c:v>25</c:v>
                </c:pt>
                <c:pt idx="2424">
                  <c:v>25</c:v>
                </c:pt>
                <c:pt idx="2425">
                  <c:v>25</c:v>
                </c:pt>
                <c:pt idx="2426">
                  <c:v>25</c:v>
                </c:pt>
                <c:pt idx="2427">
                  <c:v>25</c:v>
                </c:pt>
                <c:pt idx="2428">
                  <c:v>25</c:v>
                </c:pt>
                <c:pt idx="2429">
                  <c:v>25</c:v>
                </c:pt>
                <c:pt idx="2430">
                  <c:v>25</c:v>
                </c:pt>
                <c:pt idx="2431">
                  <c:v>25</c:v>
                </c:pt>
                <c:pt idx="2432">
                  <c:v>25</c:v>
                </c:pt>
                <c:pt idx="2433">
                  <c:v>25</c:v>
                </c:pt>
                <c:pt idx="2434">
                  <c:v>25</c:v>
                </c:pt>
                <c:pt idx="2435">
                  <c:v>25</c:v>
                </c:pt>
                <c:pt idx="2436">
                  <c:v>25</c:v>
                </c:pt>
                <c:pt idx="2437">
                  <c:v>25</c:v>
                </c:pt>
                <c:pt idx="2438">
                  <c:v>25</c:v>
                </c:pt>
                <c:pt idx="2439">
                  <c:v>25</c:v>
                </c:pt>
                <c:pt idx="2440">
                  <c:v>25</c:v>
                </c:pt>
                <c:pt idx="2441">
                  <c:v>25</c:v>
                </c:pt>
                <c:pt idx="2442">
                  <c:v>25</c:v>
                </c:pt>
                <c:pt idx="2443">
                  <c:v>25</c:v>
                </c:pt>
                <c:pt idx="2444">
                  <c:v>25</c:v>
                </c:pt>
                <c:pt idx="2445">
                  <c:v>25</c:v>
                </c:pt>
                <c:pt idx="2446">
                  <c:v>25</c:v>
                </c:pt>
                <c:pt idx="2447">
                  <c:v>25</c:v>
                </c:pt>
                <c:pt idx="2448">
                  <c:v>25</c:v>
                </c:pt>
                <c:pt idx="2449">
                  <c:v>25</c:v>
                </c:pt>
                <c:pt idx="2450">
                  <c:v>25</c:v>
                </c:pt>
                <c:pt idx="2451">
                  <c:v>25</c:v>
                </c:pt>
                <c:pt idx="2452">
                  <c:v>25</c:v>
                </c:pt>
                <c:pt idx="2453">
                  <c:v>25</c:v>
                </c:pt>
                <c:pt idx="2454">
                  <c:v>25</c:v>
                </c:pt>
                <c:pt idx="2455">
                  <c:v>21</c:v>
                </c:pt>
                <c:pt idx="2456">
                  <c:v>21</c:v>
                </c:pt>
                <c:pt idx="2457">
                  <c:v>21</c:v>
                </c:pt>
                <c:pt idx="2458">
                  <c:v>21</c:v>
                </c:pt>
              </c:numCache>
            </c:numRef>
          </c:xVal>
          <c:yVal>
            <c:numRef>
              <c:f>[0]!BD</c:f>
              <c:numCache>
                <c:formatCode>0.00</c:formatCode>
                <c:ptCount val="2459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0.6</c:v>
                </c:pt>
                <c:pt idx="4">
                  <c:v>16.600000000000001</c:v>
                </c:pt>
                <c:pt idx="5">
                  <c:v>17.2</c:v>
                </c:pt>
                <c:pt idx="6">
                  <c:v>17</c:v>
                </c:pt>
                <c:pt idx="7">
                  <c:v>15.7</c:v>
                </c:pt>
                <c:pt idx="8">
                  <c:v>17.2</c:v>
                </c:pt>
                <c:pt idx="9">
                  <c:v>37.9</c:v>
                </c:pt>
                <c:pt idx="10">
                  <c:v>38.700000000000003</c:v>
                </c:pt>
                <c:pt idx="11">
                  <c:v>35.9</c:v>
                </c:pt>
                <c:pt idx="12">
                  <c:v>38.700000000000003</c:v>
                </c:pt>
                <c:pt idx="13">
                  <c:v>39.799999999999997</c:v>
                </c:pt>
                <c:pt idx="14">
                  <c:v>64.7</c:v>
                </c:pt>
                <c:pt idx="15">
                  <c:v>64</c:v>
                </c:pt>
                <c:pt idx="16">
                  <c:v>63.9</c:v>
                </c:pt>
                <c:pt idx="17">
                  <c:v>65.099999999999994</c:v>
                </c:pt>
                <c:pt idx="18">
                  <c:v>64.599999999999994</c:v>
                </c:pt>
                <c:pt idx="19">
                  <c:v>0.4</c:v>
                </c:pt>
                <c:pt idx="20">
                  <c:v>0.4</c:v>
                </c:pt>
                <c:pt idx="21">
                  <c:v>0.6</c:v>
                </c:pt>
                <c:pt idx="22">
                  <c:v>0.7</c:v>
                </c:pt>
                <c:pt idx="23">
                  <c:v>16.399999999999999</c:v>
                </c:pt>
                <c:pt idx="24">
                  <c:v>16</c:v>
                </c:pt>
                <c:pt idx="25">
                  <c:v>16.2</c:v>
                </c:pt>
                <c:pt idx="26">
                  <c:v>16.600000000000001</c:v>
                </c:pt>
                <c:pt idx="27">
                  <c:v>37.700000000000003</c:v>
                </c:pt>
                <c:pt idx="28">
                  <c:v>38</c:v>
                </c:pt>
                <c:pt idx="29">
                  <c:v>38.6</c:v>
                </c:pt>
                <c:pt idx="30">
                  <c:v>36.4</c:v>
                </c:pt>
                <c:pt idx="31">
                  <c:v>61.8</c:v>
                </c:pt>
                <c:pt idx="32">
                  <c:v>62.6</c:v>
                </c:pt>
                <c:pt idx="33">
                  <c:v>63.4</c:v>
                </c:pt>
                <c:pt idx="34">
                  <c:v>61.9</c:v>
                </c:pt>
                <c:pt idx="35">
                  <c:v>18</c:v>
                </c:pt>
                <c:pt idx="36">
                  <c:v>0</c:v>
                </c:pt>
                <c:pt idx="37">
                  <c:v>15.3</c:v>
                </c:pt>
                <c:pt idx="38">
                  <c:v>17.7</c:v>
                </c:pt>
                <c:pt idx="39">
                  <c:v>16.100000000000001</c:v>
                </c:pt>
                <c:pt idx="40">
                  <c:v>16.2</c:v>
                </c:pt>
                <c:pt idx="41">
                  <c:v>16.600000000000001</c:v>
                </c:pt>
                <c:pt idx="42">
                  <c:v>15.7</c:v>
                </c:pt>
                <c:pt idx="43">
                  <c:v>17.2</c:v>
                </c:pt>
                <c:pt idx="44">
                  <c:v>13.9</c:v>
                </c:pt>
                <c:pt idx="45">
                  <c:v>14.4</c:v>
                </c:pt>
                <c:pt idx="46">
                  <c:v>17.8</c:v>
                </c:pt>
                <c:pt idx="47">
                  <c:v>16.100000000000001</c:v>
                </c:pt>
                <c:pt idx="48">
                  <c:v>16</c:v>
                </c:pt>
                <c:pt idx="49">
                  <c:v>39</c:v>
                </c:pt>
                <c:pt idx="50">
                  <c:v>35.700000000000003</c:v>
                </c:pt>
                <c:pt idx="51">
                  <c:v>33.200000000000003</c:v>
                </c:pt>
                <c:pt idx="52">
                  <c:v>35.9</c:v>
                </c:pt>
                <c:pt idx="53">
                  <c:v>36.200000000000003</c:v>
                </c:pt>
                <c:pt idx="54">
                  <c:v>34.5</c:v>
                </c:pt>
                <c:pt idx="55">
                  <c:v>39.1</c:v>
                </c:pt>
                <c:pt idx="56">
                  <c:v>35.5</c:v>
                </c:pt>
                <c:pt idx="57">
                  <c:v>38.299999999999997</c:v>
                </c:pt>
                <c:pt idx="58">
                  <c:v>33.5</c:v>
                </c:pt>
                <c:pt idx="59">
                  <c:v>37.200000000000003</c:v>
                </c:pt>
                <c:pt idx="60">
                  <c:v>37.799999999999997</c:v>
                </c:pt>
                <c:pt idx="61">
                  <c:v>34.799999999999997</c:v>
                </c:pt>
                <c:pt idx="62">
                  <c:v>39.6</c:v>
                </c:pt>
                <c:pt idx="63">
                  <c:v>32.799999999999997</c:v>
                </c:pt>
                <c:pt idx="64">
                  <c:v>67.7</c:v>
                </c:pt>
                <c:pt idx="65">
                  <c:v>61.7</c:v>
                </c:pt>
                <c:pt idx="66">
                  <c:v>61.5</c:v>
                </c:pt>
                <c:pt idx="67">
                  <c:v>64.400000000000006</c:v>
                </c:pt>
                <c:pt idx="68">
                  <c:v>66.8</c:v>
                </c:pt>
                <c:pt idx="69">
                  <c:v>62.2</c:v>
                </c:pt>
                <c:pt idx="70">
                  <c:v>65.900000000000006</c:v>
                </c:pt>
                <c:pt idx="71">
                  <c:v>65.400000000000006</c:v>
                </c:pt>
                <c:pt idx="72">
                  <c:v>63.1</c:v>
                </c:pt>
                <c:pt idx="73">
                  <c:v>61.8</c:v>
                </c:pt>
                <c:pt idx="74">
                  <c:v>0.1</c:v>
                </c:pt>
                <c:pt idx="75">
                  <c:v>0.1</c:v>
                </c:pt>
                <c:pt idx="76">
                  <c:v>14.7</c:v>
                </c:pt>
                <c:pt idx="77">
                  <c:v>15.9</c:v>
                </c:pt>
                <c:pt idx="78">
                  <c:v>15.7</c:v>
                </c:pt>
                <c:pt idx="79">
                  <c:v>15.4</c:v>
                </c:pt>
                <c:pt idx="80">
                  <c:v>16.2</c:v>
                </c:pt>
                <c:pt idx="81">
                  <c:v>15.4</c:v>
                </c:pt>
                <c:pt idx="82">
                  <c:v>15.9</c:v>
                </c:pt>
                <c:pt idx="83">
                  <c:v>14.9</c:v>
                </c:pt>
                <c:pt idx="84">
                  <c:v>37.9</c:v>
                </c:pt>
                <c:pt idx="85">
                  <c:v>36.6</c:v>
                </c:pt>
                <c:pt idx="86">
                  <c:v>35.5</c:v>
                </c:pt>
                <c:pt idx="87">
                  <c:v>36.700000000000003</c:v>
                </c:pt>
                <c:pt idx="88">
                  <c:v>36.4</c:v>
                </c:pt>
                <c:pt idx="89">
                  <c:v>35.799999999999997</c:v>
                </c:pt>
                <c:pt idx="90">
                  <c:v>36.299999999999997</c:v>
                </c:pt>
                <c:pt idx="91">
                  <c:v>37.700000000000003</c:v>
                </c:pt>
                <c:pt idx="92">
                  <c:v>58.9</c:v>
                </c:pt>
                <c:pt idx="93">
                  <c:v>60.3</c:v>
                </c:pt>
                <c:pt idx="94">
                  <c:v>64.900000000000006</c:v>
                </c:pt>
                <c:pt idx="95">
                  <c:v>61.8</c:v>
                </c:pt>
                <c:pt idx="96">
                  <c:v>63.6</c:v>
                </c:pt>
                <c:pt idx="97">
                  <c:v>60</c:v>
                </c:pt>
                <c:pt idx="98">
                  <c:v>59.8</c:v>
                </c:pt>
                <c:pt idx="99">
                  <c:v>63.9</c:v>
                </c:pt>
                <c:pt idx="100">
                  <c:v>0.1</c:v>
                </c:pt>
                <c:pt idx="101">
                  <c:v>0.1</c:v>
                </c:pt>
                <c:pt idx="102">
                  <c:v>15.2</c:v>
                </c:pt>
                <c:pt idx="103">
                  <c:v>14.6</c:v>
                </c:pt>
                <c:pt idx="104">
                  <c:v>14.7</c:v>
                </c:pt>
                <c:pt idx="105">
                  <c:v>14.7</c:v>
                </c:pt>
                <c:pt idx="106">
                  <c:v>14.5</c:v>
                </c:pt>
                <c:pt idx="107">
                  <c:v>14.8</c:v>
                </c:pt>
                <c:pt idx="108">
                  <c:v>16</c:v>
                </c:pt>
                <c:pt idx="109">
                  <c:v>32.799999999999997</c:v>
                </c:pt>
                <c:pt idx="110">
                  <c:v>33</c:v>
                </c:pt>
                <c:pt idx="111">
                  <c:v>31.8</c:v>
                </c:pt>
                <c:pt idx="112">
                  <c:v>35.5</c:v>
                </c:pt>
                <c:pt idx="113">
                  <c:v>33</c:v>
                </c:pt>
                <c:pt idx="114">
                  <c:v>35.1</c:v>
                </c:pt>
                <c:pt idx="115">
                  <c:v>33.799999999999997</c:v>
                </c:pt>
                <c:pt idx="116">
                  <c:v>33.5</c:v>
                </c:pt>
                <c:pt idx="117">
                  <c:v>33.1</c:v>
                </c:pt>
                <c:pt idx="118">
                  <c:v>32.700000000000003</c:v>
                </c:pt>
                <c:pt idx="119">
                  <c:v>60.1</c:v>
                </c:pt>
                <c:pt idx="120">
                  <c:v>61</c:v>
                </c:pt>
                <c:pt idx="121">
                  <c:v>60.5</c:v>
                </c:pt>
                <c:pt idx="122">
                  <c:v>53.6</c:v>
                </c:pt>
                <c:pt idx="123">
                  <c:v>59.3</c:v>
                </c:pt>
                <c:pt idx="124">
                  <c:v>57.6</c:v>
                </c:pt>
                <c:pt idx="125">
                  <c:v>59.8</c:v>
                </c:pt>
                <c:pt idx="126">
                  <c:v>0.2</c:v>
                </c:pt>
                <c:pt idx="127">
                  <c:v>0.2</c:v>
                </c:pt>
                <c:pt idx="128">
                  <c:v>16.3</c:v>
                </c:pt>
                <c:pt idx="129">
                  <c:v>16.2</c:v>
                </c:pt>
                <c:pt idx="130">
                  <c:v>37.1</c:v>
                </c:pt>
                <c:pt idx="131">
                  <c:v>38.5</c:v>
                </c:pt>
                <c:pt idx="132">
                  <c:v>37.200000000000003</c:v>
                </c:pt>
                <c:pt idx="133">
                  <c:v>62.6</c:v>
                </c:pt>
                <c:pt idx="134">
                  <c:v>61.5</c:v>
                </c:pt>
                <c:pt idx="135">
                  <c:v>17.600000000000001</c:v>
                </c:pt>
                <c:pt idx="136">
                  <c:v>17.899999999999999</c:v>
                </c:pt>
                <c:pt idx="137">
                  <c:v>17.100000000000001</c:v>
                </c:pt>
                <c:pt idx="138">
                  <c:v>17.2</c:v>
                </c:pt>
                <c:pt idx="139">
                  <c:v>18</c:v>
                </c:pt>
                <c:pt idx="140">
                  <c:v>16.5</c:v>
                </c:pt>
                <c:pt idx="141">
                  <c:v>16.899999999999999</c:v>
                </c:pt>
                <c:pt idx="142">
                  <c:v>15.6</c:v>
                </c:pt>
                <c:pt idx="143">
                  <c:v>16.8</c:v>
                </c:pt>
                <c:pt idx="144">
                  <c:v>36</c:v>
                </c:pt>
                <c:pt idx="145">
                  <c:v>38.5</c:v>
                </c:pt>
                <c:pt idx="146">
                  <c:v>39.1</c:v>
                </c:pt>
                <c:pt idx="147">
                  <c:v>38.4</c:v>
                </c:pt>
                <c:pt idx="148">
                  <c:v>42.3</c:v>
                </c:pt>
                <c:pt idx="149">
                  <c:v>37.799999999999997</c:v>
                </c:pt>
                <c:pt idx="150">
                  <c:v>36.5</c:v>
                </c:pt>
                <c:pt idx="151">
                  <c:v>38.700000000000003</c:v>
                </c:pt>
                <c:pt idx="152">
                  <c:v>38.6</c:v>
                </c:pt>
                <c:pt idx="153">
                  <c:v>39</c:v>
                </c:pt>
                <c:pt idx="154">
                  <c:v>38</c:v>
                </c:pt>
                <c:pt idx="155">
                  <c:v>41</c:v>
                </c:pt>
                <c:pt idx="156">
                  <c:v>38.700000000000003</c:v>
                </c:pt>
                <c:pt idx="157">
                  <c:v>36.6</c:v>
                </c:pt>
                <c:pt idx="158">
                  <c:v>40.700000000000003</c:v>
                </c:pt>
                <c:pt idx="159">
                  <c:v>42.4</c:v>
                </c:pt>
                <c:pt idx="160">
                  <c:v>60.4</c:v>
                </c:pt>
                <c:pt idx="161">
                  <c:v>64.900000000000006</c:v>
                </c:pt>
                <c:pt idx="162">
                  <c:v>61.7</c:v>
                </c:pt>
                <c:pt idx="163">
                  <c:v>60.5</c:v>
                </c:pt>
                <c:pt idx="164">
                  <c:v>61.2</c:v>
                </c:pt>
                <c:pt idx="165">
                  <c:v>62.7</c:v>
                </c:pt>
                <c:pt idx="166">
                  <c:v>66.5</c:v>
                </c:pt>
                <c:pt idx="167">
                  <c:v>64.2</c:v>
                </c:pt>
                <c:pt idx="168">
                  <c:v>0.6</c:v>
                </c:pt>
                <c:pt idx="169">
                  <c:v>17.899999999999999</c:v>
                </c:pt>
                <c:pt idx="170">
                  <c:v>16.899999999999999</c:v>
                </c:pt>
                <c:pt idx="171">
                  <c:v>17</c:v>
                </c:pt>
                <c:pt idx="172">
                  <c:v>15.9</c:v>
                </c:pt>
                <c:pt idx="173">
                  <c:v>15.7</c:v>
                </c:pt>
                <c:pt idx="174">
                  <c:v>16.7</c:v>
                </c:pt>
                <c:pt idx="175">
                  <c:v>17.2</c:v>
                </c:pt>
                <c:pt idx="176">
                  <c:v>17.5</c:v>
                </c:pt>
                <c:pt idx="177">
                  <c:v>17.8</c:v>
                </c:pt>
                <c:pt idx="178">
                  <c:v>18.399999999999999</c:v>
                </c:pt>
                <c:pt idx="179">
                  <c:v>18.5</c:v>
                </c:pt>
                <c:pt idx="180">
                  <c:v>17.7</c:v>
                </c:pt>
                <c:pt idx="181">
                  <c:v>38.1</c:v>
                </c:pt>
                <c:pt idx="182">
                  <c:v>37.799999999999997</c:v>
                </c:pt>
                <c:pt idx="183">
                  <c:v>36.799999999999997</c:v>
                </c:pt>
                <c:pt idx="184">
                  <c:v>36.200000000000003</c:v>
                </c:pt>
                <c:pt idx="185">
                  <c:v>38.5</c:v>
                </c:pt>
                <c:pt idx="186">
                  <c:v>38.1</c:v>
                </c:pt>
                <c:pt idx="187">
                  <c:v>38.200000000000003</c:v>
                </c:pt>
                <c:pt idx="188">
                  <c:v>38.1</c:v>
                </c:pt>
                <c:pt idx="189">
                  <c:v>38.6</c:v>
                </c:pt>
                <c:pt idx="190">
                  <c:v>38.299999999999997</c:v>
                </c:pt>
                <c:pt idx="191">
                  <c:v>59.9</c:v>
                </c:pt>
                <c:pt idx="192">
                  <c:v>60.8</c:v>
                </c:pt>
                <c:pt idx="193">
                  <c:v>61.4</c:v>
                </c:pt>
                <c:pt idx="194">
                  <c:v>61.6</c:v>
                </c:pt>
                <c:pt idx="195">
                  <c:v>60.8</c:v>
                </c:pt>
                <c:pt idx="196">
                  <c:v>62.3</c:v>
                </c:pt>
                <c:pt idx="197">
                  <c:v>62.8</c:v>
                </c:pt>
                <c:pt idx="198">
                  <c:v>62.7</c:v>
                </c:pt>
                <c:pt idx="199">
                  <c:v>59.1</c:v>
                </c:pt>
                <c:pt idx="200">
                  <c:v>62.2</c:v>
                </c:pt>
                <c:pt idx="201">
                  <c:v>63.1</c:v>
                </c:pt>
                <c:pt idx="202">
                  <c:v>0.4</c:v>
                </c:pt>
                <c:pt idx="203">
                  <c:v>0.3</c:v>
                </c:pt>
                <c:pt idx="204">
                  <c:v>14.9</c:v>
                </c:pt>
                <c:pt idx="205">
                  <c:v>16.3</c:v>
                </c:pt>
                <c:pt idx="206">
                  <c:v>15.7</c:v>
                </c:pt>
                <c:pt idx="207">
                  <c:v>16.3</c:v>
                </c:pt>
                <c:pt idx="208">
                  <c:v>15.6</c:v>
                </c:pt>
                <c:pt idx="209">
                  <c:v>17.2</c:v>
                </c:pt>
                <c:pt idx="210">
                  <c:v>17</c:v>
                </c:pt>
                <c:pt idx="211">
                  <c:v>17.3</c:v>
                </c:pt>
                <c:pt idx="212">
                  <c:v>14</c:v>
                </c:pt>
                <c:pt idx="213">
                  <c:v>17.2</c:v>
                </c:pt>
                <c:pt idx="214">
                  <c:v>15.7</c:v>
                </c:pt>
                <c:pt idx="215">
                  <c:v>15.5</c:v>
                </c:pt>
                <c:pt idx="216">
                  <c:v>16.8</c:v>
                </c:pt>
                <c:pt idx="217">
                  <c:v>16.5</c:v>
                </c:pt>
                <c:pt idx="218">
                  <c:v>14.2</c:v>
                </c:pt>
                <c:pt idx="219">
                  <c:v>35</c:v>
                </c:pt>
                <c:pt idx="220">
                  <c:v>37.6</c:v>
                </c:pt>
                <c:pt idx="221">
                  <c:v>33.6</c:v>
                </c:pt>
                <c:pt idx="222">
                  <c:v>38.9</c:v>
                </c:pt>
                <c:pt idx="223">
                  <c:v>36.6</c:v>
                </c:pt>
                <c:pt idx="224">
                  <c:v>36.700000000000003</c:v>
                </c:pt>
                <c:pt idx="225">
                  <c:v>35.299999999999997</c:v>
                </c:pt>
                <c:pt idx="226">
                  <c:v>38.700000000000003</c:v>
                </c:pt>
                <c:pt idx="227">
                  <c:v>35.5</c:v>
                </c:pt>
                <c:pt idx="228">
                  <c:v>37.200000000000003</c:v>
                </c:pt>
                <c:pt idx="229">
                  <c:v>36.6</c:v>
                </c:pt>
                <c:pt idx="230">
                  <c:v>39</c:v>
                </c:pt>
                <c:pt idx="231">
                  <c:v>38</c:v>
                </c:pt>
                <c:pt idx="232">
                  <c:v>38.5</c:v>
                </c:pt>
                <c:pt idx="233">
                  <c:v>39.200000000000003</c:v>
                </c:pt>
                <c:pt idx="234">
                  <c:v>38.4</c:v>
                </c:pt>
                <c:pt idx="235">
                  <c:v>37.799999999999997</c:v>
                </c:pt>
                <c:pt idx="236">
                  <c:v>37.299999999999997</c:v>
                </c:pt>
                <c:pt idx="237">
                  <c:v>57.7</c:v>
                </c:pt>
                <c:pt idx="238">
                  <c:v>60.5</c:v>
                </c:pt>
                <c:pt idx="239">
                  <c:v>58</c:v>
                </c:pt>
                <c:pt idx="240">
                  <c:v>55.6</c:v>
                </c:pt>
                <c:pt idx="241">
                  <c:v>57.3</c:v>
                </c:pt>
                <c:pt idx="242">
                  <c:v>57.6</c:v>
                </c:pt>
                <c:pt idx="243">
                  <c:v>60.8</c:v>
                </c:pt>
                <c:pt idx="244">
                  <c:v>61</c:v>
                </c:pt>
                <c:pt idx="245">
                  <c:v>62.7</c:v>
                </c:pt>
                <c:pt idx="246">
                  <c:v>61.5</c:v>
                </c:pt>
                <c:pt idx="247">
                  <c:v>60.5</c:v>
                </c:pt>
                <c:pt idx="248">
                  <c:v>60.8</c:v>
                </c:pt>
                <c:pt idx="249">
                  <c:v>63</c:v>
                </c:pt>
                <c:pt idx="250">
                  <c:v>60.4</c:v>
                </c:pt>
                <c:pt idx="251">
                  <c:v>60.1</c:v>
                </c:pt>
                <c:pt idx="252">
                  <c:v>0</c:v>
                </c:pt>
                <c:pt idx="253">
                  <c:v>17.5</c:v>
                </c:pt>
                <c:pt idx="254">
                  <c:v>16.600000000000001</c:v>
                </c:pt>
                <c:pt idx="255">
                  <c:v>17</c:v>
                </c:pt>
                <c:pt idx="256">
                  <c:v>17.3</c:v>
                </c:pt>
                <c:pt idx="257">
                  <c:v>17.3</c:v>
                </c:pt>
                <c:pt idx="258">
                  <c:v>15.8</c:v>
                </c:pt>
                <c:pt idx="259">
                  <c:v>16.600000000000001</c:v>
                </c:pt>
                <c:pt idx="260">
                  <c:v>14.9</c:v>
                </c:pt>
                <c:pt idx="261">
                  <c:v>15.9</c:v>
                </c:pt>
                <c:pt idx="262">
                  <c:v>15.3</c:v>
                </c:pt>
                <c:pt idx="263">
                  <c:v>15</c:v>
                </c:pt>
                <c:pt idx="264">
                  <c:v>16.600000000000001</c:v>
                </c:pt>
                <c:pt idx="265">
                  <c:v>16.399999999999999</c:v>
                </c:pt>
                <c:pt idx="266">
                  <c:v>16.5</c:v>
                </c:pt>
                <c:pt idx="267">
                  <c:v>15.6</c:v>
                </c:pt>
                <c:pt idx="268">
                  <c:v>37.700000000000003</c:v>
                </c:pt>
                <c:pt idx="269">
                  <c:v>37.5</c:v>
                </c:pt>
                <c:pt idx="270">
                  <c:v>37.6</c:v>
                </c:pt>
                <c:pt idx="271">
                  <c:v>36.700000000000003</c:v>
                </c:pt>
                <c:pt idx="272">
                  <c:v>38.700000000000003</c:v>
                </c:pt>
                <c:pt idx="273">
                  <c:v>36.299999999999997</c:v>
                </c:pt>
                <c:pt idx="274">
                  <c:v>38.5</c:v>
                </c:pt>
                <c:pt idx="275">
                  <c:v>38.299999999999997</c:v>
                </c:pt>
                <c:pt idx="276">
                  <c:v>38.1</c:v>
                </c:pt>
                <c:pt idx="277">
                  <c:v>38.200000000000003</c:v>
                </c:pt>
                <c:pt idx="278">
                  <c:v>38.6</c:v>
                </c:pt>
                <c:pt idx="279">
                  <c:v>38.299999999999997</c:v>
                </c:pt>
                <c:pt idx="280">
                  <c:v>37</c:v>
                </c:pt>
                <c:pt idx="281">
                  <c:v>38.200000000000003</c:v>
                </c:pt>
                <c:pt idx="282">
                  <c:v>38.700000000000003</c:v>
                </c:pt>
                <c:pt idx="283">
                  <c:v>38.6</c:v>
                </c:pt>
                <c:pt idx="284">
                  <c:v>37</c:v>
                </c:pt>
                <c:pt idx="285">
                  <c:v>37.299999999999997</c:v>
                </c:pt>
                <c:pt idx="286">
                  <c:v>40.299999999999997</c:v>
                </c:pt>
                <c:pt idx="287">
                  <c:v>60.7</c:v>
                </c:pt>
                <c:pt idx="288">
                  <c:v>64.8</c:v>
                </c:pt>
                <c:pt idx="289">
                  <c:v>62.4</c:v>
                </c:pt>
                <c:pt idx="290">
                  <c:v>57.8</c:v>
                </c:pt>
                <c:pt idx="291">
                  <c:v>64.5</c:v>
                </c:pt>
                <c:pt idx="292">
                  <c:v>62.3</c:v>
                </c:pt>
                <c:pt idx="293">
                  <c:v>62.4</c:v>
                </c:pt>
                <c:pt idx="294">
                  <c:v>62.1</c:v>
                </c:pt>
                <c:pt idx="295">
                  <c:v>63.2</c:v>
                </c:pt>
                <c:pt idx="296">
                  <c:v>62.7</c:v>
                </c:pt>
                <c:pt idx="297">
                  <c:v>62.8</c:v>
                </c:pt>
                <c:pt idx="298">
                  <c:v>61.1</c:v>
                </c:pt>
                <c:pt idx="299">
                  <c:v>62.1</c:v>
                </c:pt>
                <c:pt idx="300">
                  <c:v>60.2</c:v>
                </c:pt>
                <c:pt idx="301">
                  <c:v>64</c:v>
                </c:pt>
                <c:pt idx="302">
                  <c:v>62.9</c:v>
                </c:pt>
                <c:pt idx="303">
                  <c:v>17.5</c:v>
                </c:pt>
                <c:pt idx="304">
                  <c:v>17.100000000000001</c:v>
                </c:pt>
                <c:pt idx="305">
                  <c:v>17.100000000000001</c:v>
                </c:pt>
                <c:pt idx="306">
                  <c:v>17.100000000000001</c:v>
                </c:pt>
                <c:pt idx="307">
                  <c:v>38.200000000000003</c:v>
                </c:pt>
                <c:pt idx="308">
                  <c:v>38.700000000000003</c:v>
                </c:pt>
                <c:pt idx="309">
                  <c:v>37</c:v>
                </c:pt>
                <c:pt idx="310">
                  <c:v>38.5</c:v>
                </c:pt>
                <c:pt idx="311">
                  <c:v>37.1</c:v>
                </c:pt>
                <c:pt idx="312">
                  <c:v>63.3</c:v>
                </c:pt>
                <c:pt idx="313">
                  <c:v>62.5</c:v>
                </c:pt>
                <c:pt idx="314">
                  <c:v>61.6</c:v>
                </c:pt>
                <c:pt idx="315">
                  <c:v>0</c:v>
                </c:pt>
                <c:pt idx="316">
                  <c:v>0.2</c:v>
                </c:pt>
                <c:pt idx="317">
                  <c:v>16.100000000000001</c:v>
                </c:pt>
                <c:pt idx="318">
                  <c:v>16.100000000000001</c:v>
                </c:pt>
                <c:pt idx="319">
                  <c:v>17</c:v>
                </c:pt>
                <c:pt idx="320">
                  <c:v>17</c:v>
                </c:pt>
                <c:pt idx="321">
                  <c:v>17.600000000000001</c:v>
                </c:pt>
                <c:pt idx="322">
                  <c:v>16.100000000000001</c:v>
                </c:pt>
                <c:pt idx="323">
                  <c:v>15.4</c:v>
                </c:pt>
                <c:pt idx="324">
                  <c:v>16.5</c:v>
                </c:pt>
                <c:pt idx="325">
                  <c:v>16.2</c:v>
                </c:pt>
                <c:pt idx="326">
                  <c:v>15.6</c:v>
                </c:pt>
                <c:pt idx="327">
                  <c:v>38.700000000000003</c:v>
                </c:pt>
                <c:pt idx="328">
                  <c:v>38</c:v>
                </c:pt>
                <c:pt idx="329">
                  <c:v>37.5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38</c:v>
                </c:pt>
                <c:pt idx="333">
                  <c:v>37.6</c:v>
                </c:pt>
                <c:pt idx="334">
                  <c:v>38.200000000000003</c:v>
                </c:pt>
                <c:pt idx="335">
                  <c:v>37.9</c:v>
                </c:pt>
                <c:pt idx="336">
                  <c:v>62.8</c:v>
                </c:pt>
                <c:pt idx="337">
                  <c:v>63.7</c:v>
                </c:pt>
                <c:pt idx="338">
                  <c:v>62.1</c:v>
                </c:pt>
                <c:pt idx="339">
                  <c:v>63.5</c:v>
                </c:pt>
                <c:pt idx="340">
                  <c:v>62.5</c:v>
                </c:pt>
                <c:pt idx="341">
                  <c:v>63.5</c:v>
                </c:pt>
                <c:pt idx="342">
                  <c:v>64.599999999999994</c:v>
                </c:pt>
                <c:pt idx="343">
                  <c:v>62.2</c:v>
                </c:pt>
                <c:pt idx="344">
                  <c:v>64.2</c:v>
                </c:pt>
                <c:pt idx="345">
                  <c:v>62.3</c:v>
                </c:pt>
                <c:pt idx="346">
                  <c:v>0</c:v>
                </c:pt>
                <c:pt idx="347">
                  <c:v>0</c:v>
                </c:pt>
                <c:pt idx="348">
                  <c:v>15.2</c:v>
                </c:pt>
                <c:pt idx="349">
                  <c:v>17.2</c:v>
                </c:pt>
                <c:pt idx="350">
                  <c:v>17.399999999999999</c:v>
                </c:pt>
                <c:pt idx="351">
                  <c:v>17</c:v>
                </c:pt>
                <c:pt idx="352">
                  <c:v>17.5</c:v>
                </c:pt>
                <c:pt idx="353">
                  <c:v>16.100000000000001</c:v>
                </c:pt>
                <c:pt idx="354">
                  <c:v>16.2</c:v>
                </c:pt>
                <c:pt idx="355">
                  <c:v>17.2</c:v>
                </c:pt>
                <c:pt idx="356">
                  <c:v>16.2</c:v>
                </c:pt>
                <c:pt idx="357">
                  <c:v>16.3</c:v>
                </c:pt>
                <c:pt idx="358">
                  <c:v>15.9</c:v>
                </c:pt>
                <c:pt idx="359">
                  <c:v>18</c:v>
                </c:pt>
                <c:pt idx="360">
                  <c:v>17</c:v>
                </c:pt>
                <c:pt idx="361">
                  <c:v>38.700000000000003</c:v>
                </c:pt>
                <c:pt idx="362">
                  <c:v>36.4</c:v>
                </c:pt>
                <c:pt idx="363">
                  <c:v>36.5</c:v>
                </c:pt>
                <c:pt idx="364">
                  <c:v>38</c:v>
                </c:pt>
                <c:pt idx="365">
                  <c:v>37.6</c:v>
                </c:pt>
                <c:pt idx="366">
                  <c:v>38.6</c:v>
                </c:pt>
                <c:pt idx="367">
                  <c:v>38.6</c:v>
                </c:pt>
                <c:pt idx="368">
                  <c:v>35.5</c:v>
                </c:pt>
                <c:pt idx="369">
                  <c:v>37.799999999999997</c:v>
                </c:pt>
                <c:pt idx="370">
                  <c:v>36</c:v>
                </c:pt>
                <c:pt idx="371">
                  <c:v>37</c:v>
                </c:pt>
                <c:pt idx="372">
                  <c:v>38.5</c:v>
                </c:pt>
                <c:pt idx="373">
                  <c:v>38.1</c:v>
                </c:pt>
                <c:pt idx="374">
                  <c:v>37.200000000000003</c:v>
                </c:pt>
                <c:pt idx="375">
                  <c:v>37.9</c:v>
                </c:pt>
                <c:pt idx="376">
                  <c:v>38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62.6</c:v>
                </c:pt>
                <c:pt idx="380">
                  <c:v>60.3</c:v>
                </c:pt>
                <c:pt idx="381">
                  <c:v>62.8</c:v>
                </c:pt>
                <c:pt idx="382">
                  <c:v>59.8</c:v>
                </c:pt>
                <c:pt idx="383">
                  <c:v>62.3</c:v>
                </c:pt>
                <c:pt idx="384">
                  <c:v>62.4</c:v>
                </c:pt>
                <c:pt idx="385">
                  <c:v>61.5</c:v>
                </c:pt>
                <c:pt idx="386">
                  <c:v>61.4</c:v>
                </c:pt>
                <c:pt idx="387">
                  <c:v>62.2</c:v>
                </c:pt>
                <c:pt idx="388">
                  <c:v>56.8</c:v>
                </c:pt>
                <c:pt idx="389">
                  <c:v>61.4</c:v>
                </c:pt>
                <c:pt idx="390">
                  <c:v>59.9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16.5</c:v>
                </c:pt>
                <c:pt idx="396">
                  <c:v>15.5</c:v>
                </c:pt>
                <c:pt idx="397">
                  <c:v>16.2</c:v>
                </c:pt>
                <c:pt idx="398">
                  <c:v>16.600000000000001</c:v>
                </c:pt>
                <c:pt idx="399">
                  <c:v>15.4</c:v>
                </c:pt>
                <c:pt idx="400">
                  <c:v>15.2</c:v>
                </c:pt>
                <c:pt idx="401">
                  <c:v>36</c:v>
                </c:pt>
                <c:pt idx="402">
                  <c:v>37.1</c:v>
                </c:pt>
                <c:pt idx="403">
                  <c:v>35.700000000000003</c:v>
                </c:pt>
                <c:pt idx="404">
                  <c:v>36.200000000000003</c:v>
                </c:pt>
                <c:pt idx="405">
                  <c:v>35.299999999999997</c:v>
                </c:pt>
                <c:pt idx="406">
                  <c:v>35.9</c:v>
                </c:pt>
                <c:pt idx="407">
                  <c:v>35.1</c:v>
                </c:pt>
                <c:pt idx="408">
                  <c:v>36.9</c:v>
                </c:pt>
                <c:pt idx="409">
                  <c:v>36.1</c:v>
                </c:pt>
                <c:pt idx="410">
                  <c:v>36.700000000000003</c:v>
                </c:pt>
                <c:pt idx="411">
                  <c:v>55.8</c:v>
                </c:pt>
                <c:pt idx="412">
                  <c:v>62.1</c:v>
                </c:pt>
                <c:pt idx="413">
                  <c:v>57.9</c:v>
                </c:pt>
                <c:pt idx="414">
                  <c:v>60.3</c:v>
                </c:pt>
                <c:pt idx="415">
                  <c:v>60.8</c:v>
                </c:pt>
                <c:pt idx="416">
                  <c:v>63.2</c:v>
                </c:pt>
                <c:pt idx="417">
                  <c:v>58.7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16.5</c:v>
                </c:pt>
                <c:pt idx="424">
                  <c:v>16.399999999999999</c:v>
                </c:pt>
                <c:pt idx="425">
                  <c:v>15.8</c:v>
                </c:pt>
                <c:pt idx="426">
                  <c:v>16</c:v>
                </c:pt>
                <c:pt idx="427">
                  <c:v>16.8</c:v>
                </c:pt>
                <c:pt idx="428">
                  <c:v>15.9</c:v>
                </c:pt>
                <c:pt idx="429">
                  <c:v>16.399999999999999</c:v>
                </c:pt>
                <c:pt idx="430">
                  <c:v>17.399999999999999</c:v>
                </c:pt>
                <c:pt idx="431">
                  <c:v>16.2</c:v>
                </c:pt>
                <c:pt idx="432">
                  <c:v>17.399999999999999</c:v>
                </c:pt>
                <c:pt idx="433">
                  <c:v>16.7</c:v>
                </c:pt>
                <c:pt idx="434">
                  <c:v>17.2</c:v>
                </c:pt>
                <c:pt idx="435">
                  <c:v>17.399999999999999</c:v>
                </c:pt>
                <c:pt idx="436">
                  <c:v>14.7</c:v>
                </c:pt>
                <c:pt idx="437">
                  <c:v>36.6</c:v>
                </c:pt>
                <c:pt idx="438">
                  <c:v>34.4</c:v>
                </c:pt>
                <c:pt idx="439">
                  <c:v>33</c:v>
                </c:pt>
                <c:pt idx="440">
                  <c:v>37.4</c:v>
                </c:pt>
                <c:pt idx="441">
                  <c:v>33.6</c:v>
                </c:pt>
                <c:pt idx="442">
                  <c:v>34.1</c:v>
                </c:pt>
                <c:pt idx="443">
                  <c:v>34.9</c:v>
                </c:pt>
                <c:pt idx="444">
                  <c:v>35.299999999999997</c:v>
                </c:pt>
                <c:pt idx="445">
                  <c:v>36.5</c:v>
                </c:pt>
                <c:pt idx="446">
                  <c:v>35</c:v>
                </c:pt>
                <c:pt idx="447">
                  <c:v>35.200000000000003</c:v>
                </c:pt>
                <c:pt idx="448">
                  <c:v>38.200000000000003</c:v>
                </c:pt>
                <c:pt idx="449">
                  <c:v>34</c:v>
                </c:pt>
                <c:pt idx="450">
                  <c:v>36.6</c:v>
                </c:pt>
                <c:pt idx="451">
                  <c:v>62.2</c:v>
                </c:pt>
                <c:pt idx="452">
                  <c:v>60.8</c:v>
                </c:pt>
                <c:pt idx="453">
                  <c:v>60.1</c:v>
                </c:pt>
                <c:pt idx="454">
                  <c:v>59.7</c:v>
                </c:pt>
                <c:pt idx="455">
                  <c:v>62.5</c:v>
                </c:pt>
                <c:pt idx="456">
                  <c:v>62</c:v>
                </c:pt>
                <c:pt idx="457">
                  <c:v>59.6</c:v>
                </c:pt>
                <c:pt idx="458">
                  <c:v>62.2</c:v>
                </c:pt>
                <c:pt idx="459">
                  <c:v>63.8</c:v>
                </c:pt>
                <c:pt idx="460">
                  <c:v>63.3</c:v>
                </c:pt>
                <c:pt idx="461">
                  <c:v>58</c:v>
                </c:pt>
                <c:pt idx="462">
                  <c:v>58.2</c:v>
                </c:pt>
                <c:pt idx="463">
                  <c:v>57.6</c:v>
                </c:pt>
                <c:pt idx="464">
                  <c:v>62.6</c:v>
                </c:pt>
                <c:pt idx="465">
                  <c:v>15</c:v>
                </c:pt>
                <c:pt idx="466">
                  <c:v>16.600000000000001</c:v>
                </c:pt>
                <c:pt idx="467">
                  <c:v>16</c:v>
                </c:pt>
                <c:pt idx="468">
                  <c:v>16.7</c:v>
                </c:pt>
                <c:pt idx="469">
                  <c:v>38.6</c:v>
                </c:pt>
                <c:pt idx="470">
                  <c:v>37.5</c:v>
                </c:pt>
                <c:pt idx="471">
                  <c:v>37.4</c:v>
                </c:pt>
                <c:pt idx="472">
                  <c:v>38.200000000000003</c:v>
                </c:pt>
                <c:pt idx="473">
                  <c:v>61.1</c:v>
                </c:pt>
                <c:pt idx="474">
                  <c:v>59.1</c:v>
                </c:pt>
                <c:pt idx="475">
                  <c:v>62.3</c:v>
                </c:pt>
                <c:pt idx="476">
                  <c:v>61.1</c:v>
                </c:pt>
                <c:pt idx="477">
                  <c:v>0</c:v>
                </c:pt>
                <c:pt idx="478">
                  <c:v>0</c:v>
                </c:pt>
                <c:pt idx="479">
                  <c:v>16.5</c:v>
                </c:pt>
                <c:pt idx="480">
                  <c:v>16.8</c:v>
                </c:pt>
                <c:pt idx="481">
                  <c:v>36.799999999999997</c:v>
                </c:pt>
                <c:pt idx="482">
                  <c:v>38.200000000000003</c:v>
                </c:pt>
                <c:pt idx="483">
                  <c:v>62.1</c:v>
                </c:pt>
                <c:pt idx="484">
                  <c:v>61.3</c:v>
                </c:pt>
                <c:pt idx="485">
                  <c:v>0</c:v>
                </c:pt>
                <c:pt idx="486">
                  <c:v>0</c:v>
                </c:pt>
                <c:pt idx="487">
                  <c:v>17.7</c:v>
                </c:pt>
                <c:pt idx="488">
                  <c:v>17.899999999999999</c:v>
                </c:pt>
                <c:pt idx="489">
                  <c:v>16.600000000000001</c:v>
                </c:pt>
                <c:pt idx="490">
                  <c:v>16.899999999999999</c:v>
                </c:pt>
                <c:pt idx="491">
                  <c:v>17.7</c:v>
                </c:pt>
                <c:pt idx="492">
                  <c:v>15.9</c:v>
                </c:pt>
                <c:pt idx="493">
                  <c:v>16</c:v>
                </c:pt>
                <c:pt idx="494">
                  <c:v>17.100000000000001</c:v>
                </c:pt>
                <c:pt idx="495">
                  <c:v>16.3</c:v>
                </c:pt>
                <c:pt idx="496">
                  <c:v>17.2</c:v>
                </c:pt>
                <c:pt idx="497">
                  <c:v>17.7</c:v>
                </c:pt>
                <c:pt idx="498">
                  <c:v>15.8</c:v>
                </c:pt>
                <c:pt idx="499">
                  <c:v>15.8</c:v>
                </c:pt>
                <c:pt idx="500">
                  <c:v>17.2</c:v>
                </c:pt>
                <c:pt idx="501">
                  <c:v>35.9</c:v>
                </c:pt>
                <c:pt idx="502">
                  <c:v>33.299999999999997</c:v>
                </c:pt>
                <c:pt idx="503">
                  <c:v>34.799999999999997</c:v>
                </c:pt>
                <c:pt idx="504">
                  <c:v>36.6</c:v>
                </c:pt>
                <c:pt idx="505">
                  <c:v>38</c:v>
                </c:pt>
                <c:pt idx="506">
                  <c:v>35.9</c:v>
                </c:pt>
                <c:pt idx="507">
                  <c:v>35</c:v>
                </c:pt>
                <c:pt idx="508">
                  <c:v>37.799999999999997</c:v>
                </c:pt>
                <c:pt idx="509">
                  <c:v>37.6</c:v>
                </c:pt>
                <c:pt idx="510">
                  <c:v>35</c:v>
                </c:pt>
                <c:pt idx="511">
                  <c:v>37.5</c:v>
                </c:pt>
                <c:pt idx="512">
                  <c:v>37.299999999999997</c:v>
                </c:pt>
                <c:pt idx="513">
                  <c:v>39.200000000000003</c:v>
                </c:pt>
                <c:pt idx="514">
                  <c:v>37.700000000000003</c:v>
                </c:pt>
                <c:pt idx="515">
                  <c:v>37.299999999999997</c:v>
                </c:pt>
                <c:pt idx="516">
                  <c:v>59</c:v>
                </c:pt>
                <c:pt idx="517">
                  <c:v>60</c:v>
                </c:pt>
                <c:pt idx="518">
                  <c:v>61</c:v>
                </c:pt>
                <c:pt idx="519">
                  <c:v>58.5</c:v>
                </c:pt>
                <c:pt idx="520">
                  <c:v>61.6</c:v>
                </c:pt>
                <c:pt idx="521">
                  <c:v>62</c:v>
                </c:pt>
                <c:pt idx="522">
                  <c:v>57.3</c:v>
                </c:pt>
                <c:pt idx="523">
                  <c:v>61.7</c:v>
                </c:pt>
                <c:pt idx="524">
                  <c:v>62.5</c:v>
                </c:pt>
                <c:pt idx="525">
                  <c:v>61.2</c:v>
                </c:pt>
                <c:pt idx="526">
                  <c:v>63.6</c:v>
                </c:pt>
                <c:pt idx="527">
                  <c:v>61.2</c:v>
                </c:pt>
                <c:pt idx="528">
                  <c:v>63.1</c:v>
                </c:pt>
                <c:pt idx="529">
                  <c:v>64.2</c:v>
                </c:pt>
                <c:pt idx="530">
                  <c:v>0</c:v>
                </c:pt>
                <c:pt idx="531">
                  <c:v>0</c:v>
                </c:pt>
                <c:pt idx="532">
                  <c:v>17.5</c:v>
                </c:pt>
                <c:pt idx="533">
                  <c:v>15.6</c:v>
                </c:pt>
                <c:pt idx="534">
                  <c:v>15.7</c:v>
                </c:pt>
                <c:pt idx="535">
                  <c:v>15.9</c:v>
                </c:pt>
                <c:pt idx="536">
                  <c:v>15.6</c:v>
                </c:pt>
                <c:pt idx="537">
                  <c:v>15.7</c:v>
                </c:pt>
                <c:pt idx="538">
                  <c:v>17.2</c:v>
                </c:pt>
                <c:pt idx="539">
                  <c:v>17.2</c:v>
                </c:pt>
                <c:pt idx="540">
                  <c:v>15.7</c:v>
                </c:pt>
                <c:pt idx="541">
                  <c:v>15.6</c:v>
                </c:pt>
                <c:pt idx="542">
                  <c:v>17.7</c:v>
                </c:pt>
                <c:pt idx="543">
                  <c:v>16.7</c:v>
                </c:pt>
                <c:pt idx="544">
                  <c:v>15.4</c:v>
                </c:pt>
                <c:pt idx="545">
                  <c:v>15.9</c:v>
                </c:pt>
                <c:pt idx="546">
                  <c:v>36.1</c:v>
                </c:pt>
                <c:pt idx="547">
                  <c:v>36.700000000000003</c:v>
                </c:pt>
                <c:pt idx="548">
                  <c:v>36.1</c:v>
                </c:pt>
                <c:pt idx="549">
                  <c:v>35.6</c:v>
                </c:pt>
                <c:pt idx="550">
                  <c:v>36.700000000000003</c:v>
                </c:pt>
                <c:pt idx="551">
                  <c:v>36.5</c:v>
                </c:pt>
                <c:pt idx="552">
                  <c:v>36.200000000000003</c:v>
                </c:pt>
                <c:pt idx="553">
                  <c:v>36.700000000000003</c:v>
                </c:pt>
                <c:pt idx="554">
                  <c:v>36.700000000000003</c:v>
                </c:pt>
                <c:pt idx="555">
                  <c:v>36.5</c:v>
                </c:pt>
                <c:pt idx="556">
                  <c:v>36.4</c:v>
                </c:pt>
                <c:pt idx="557">
                  <c:v>37</c:v>
                </c:pt>
                <c:pt idx="558">
                  <c:v>36.1</c:v>
                </c:pt>
                <c:pt idx="559">
                  <c:v>36.799999999999997</c:v>
                </c:pt>
                <c:pt idx="560">
                  <c:v>62.9</c:v>
                </c:pt>
                <c:pt idx="561">
                  <c:v>60.2</c:v>
                </c:pt>
                <c:pt idx="562">
                  <c:v>58.4</c:v>
                </c:pt>
                <c:pt idx="563">
                  <c:v>60.6</c:v>
                </c:pt>
                <c:pt idx="564">
                  <c:v>61.2</c:v>
                </c:pt>
                <c:pt idx="565">
                  <c:v>61.9</c:v>
                </c:pt>
                <c:pt idx="566">
                  <c:v>61.3</c:v>
                </c:pt>
                <c:pt idx="567">
                  <c:v>61.4</c:v>
                </c:pt>
                <c:pt idx="568">
                  <c:v>60.9</c:v>
                </c:pt>
                <c:pt idx="569">
                  <c:v>61</c:v>
                </c:pt>
                <c:pt idx="570">
                  <c:v>60.1</c:v>
                </c:pt>
                <c:pt idx="571">
                  <c:v>59.2</c:v>
                </c:pt>
                <c:pt idx="572">
                  <c:v>60.9</c:v>
                </c:pt>
                <c:pt idx="573">
                  <c:v>59.2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15.3</c:v>
                </c:pt>
                <c:pt idx="578">
                  <c:v>15.7</c:v>
                </c:pt>
                <c:pt idx="579">
                  <c:v>17.5</c:v>
                </c:pt>
                <c:pt idx="580">
                  <c:v>17.100000000000001</c:v>
                </c:pt>
                <c:pt idx="581">
                  <c:v>17.7</c:v>
                </c:pt>
                <c:pt idx="582">
                  <c:v>17.600000000000001</c:v>
                </c:pt>
                <c:pt idx="583">
                  <c:v>15.2</c:v>
                </c:pt>
                <c:pt idx="584">
                  <c:v>14.7</c:v>
                </c:pt>
                <c:pt idx="585">
                  <c:v>18.100000000000001</c:v>
                </c:pt>
                <c:pt idx="586">
                  <c:v>17.5</c:v>
                </c:pt>
                <c:pt idx="587">
                  <c:v>14.8</c:v>
                </c:pt>
                <c:pt idx="588">
                  <c:v>14.1</c:v>
                </c:pt>
                <c:pt idx="589">
                  <c:v>38.700000000000003</c:v>
                </c:pt>
                <c:pt idx="590">
                  <c:v>36.1</c:v>
                </c:pt>
                <c:pt idx="591">
                  <c:v>38.700000000000003</c:v>
                </c:pt>
                <c:pt idx="592">
                  <c:v>38.6</c:v>
                </c:pt>
                <c:pt idx="593">
                  <c:v>35.700000000000003</c:v>
                </c:pt>
                <c:pt idx="594">
                  <c:v>38.299999999999997</c:v>
                </c:pt>
                <c:pt idx="595">
                  <c:v>36.9</c:v>
                </c:pt>
                <c:pt idx="596">
                  <c:v>39.299999999999997</c:v>
                </c:pt>
                <c:pt idx="597">
                  <c:v>38.200000000000003</c:v>
                </c:pt>
                <c:pt idx="598">
                  <c:v>38.200000000000003</c:v>
                </c:pt>
                <c:pt idx="599">
                  <c:v>36.799999999999997</c:v>
                </c:pt>
                <c:pt idx="600">
                  <c:v>38.6</c:v>
                </c:pt>
                <c:pt idx="601">
                  <c:v>63.9</c:v>
                </c:pt>
                <c:pt idx="602">
                  <c:v>62.1</c:v>
                </c:pt>
                <c:pt idx="603">
                  <c:v>63.1</c:v>
                </c:pt>
                <c:pt idx="604">
                  <c:v>60.1</c:v>
                </c:pt>
                <c:pt idx="605">
                  <c:v>59.6</c:v>
                </c:pt>
                <c:pt idx="606">
                  <c:v>62</c:v>
                </c:pt>
                <c:pt idx="607">
                  <c:v>64.400000000000006</c:v>
                </c:pt>
                <c:pt idx="608">
                  <c:v>62</c:v>
                </c:pt>
                <c:pt idx="609">
                  <c:v>61.4</c:v>
                </c:pt>
                <c:pt idx="610">
                  <c:v>59.8</c:v>
                </c:pt>
                <c:pt idx="611">
                  <c:v>63.1</c:v>
                </c:pt>
                <c:pt idx="612">
                  <c:v>60.1</c:v>
                </c:pt>
                <c:pt idx="613">
                  <c:v>17.100000000000001</c:v>
                </c:pt>
                <c:pt idx="614">
                  <c:v>17.2</c:v>
                </c:pt>
                <c:pt idx="615">
                  <c:v>16.600000000000001</c:v>
                </c:pt>
                <c:pt idx="616">
                  <c:v>16.3</c:v>
                </c:pt>
                <c:pt idx="617">
                  <c:v>36.799999999999997</c:v>
                </c:pt>
                <c:pt idx="618">
                  <c:v>38.1</c:v>
                </c:pt>
                <c:pt idx="619">
                  <c:v>36.700000000000003</c:v>
                </c:pt>
                <c:pt idx="620">
                  <c:v>37.5</c:v>
                </c:pt>
                <c:pt idx="621">
                  <c:v>61.9</c:v>
                </c:pt>
                <c:pt idx="622">
                  <c:v>60.5</c:v>
                </c:pt>
                <c:pt idx="623">
                  <c:v>59.6</c:v>
                </c:pt>
                <c:pt idx="624">
                  <c:v>0</c:v>
                </c:pt>
                <c:pt idx="625">
                  <c:v>0</c:v>
                </c:pt>
                <c:pt idx="626">
                  <c:v>13.4</c:v>
                </c:pt>
                <c:pt idx="627">
                  <c:v>14.6</c:v>
                </c:pt>
                <c:pt idx="628">
                  <c:v>14.4</c:v>
                </c:pt>
                <c:pt idx="629">
                  <c:v>14.1</c:v>
                </c:pt>
                <c:pt idx="630">
                  <c:v>31.4</c:v>
                </c:pt>
                <c:pt idx="631">
                  <c:v>36.200000000000003</c:v>
                </c:pt>
                <c:pt idx="632">
                  <c:v>29.3</c:v>
                </c:pt>
                <c:pt idx="633">
                  <c:v>35.4</c:v>
                </c:pt>
                <c:pt idx="634">
                  <c:v>34.700000000000003</c:v>
                </c:pt>
                <c:pt idx="635">
                  <c:v>35.9</c:v>
                </c:pt>
                <c:pt idx="636">
                  <c:v>59.3</c:v>
                </c:pt>
                <c:pt idx="637">
                  <c:v>58.4</c:v>
                </c:pt>
                <c:pt idx="638">
                  <c:v>56.7</c:v>
                </c:pt>
                <c:pt idx="639">
                  <c:v>55.6</c:v>
                </c:pt>
                <c:pt idx="640">
                  <c:v>0</c:v>
                </c:pt>
                <c:pt idx="641">
                  <c:v>0</c:v>
                </c:pt>
                <c:pt idx="642">
                  <c:v>15.7</c:v>
                </c:pt>
                <c:pt idx="643">
                  <c:v>15.7</c:v>
                </c:pt>
                <c:pt idx="644">
                  <c:v>14</c:v>
                </c:pt>
                <c:pt idx="645">
                  <c:v>16.8</c:v>
                </c:pt>
                <c:pt idx="646">
                  <c:v>36.5</c:v>
                </c:pt>
                <c:pt idx="647">
                  <c:v>35.799999999999997</c:v>
                </c:pt>
                <c:pt idx="648">
                  <c:v>35.5</c:v>
                </c:pt>
                <c:pt idx="649">
                  <c:v>35.5</c:v>
                </c:pt>
                <c:pt idx="650">
                  <c:v>35.9</c:v>
                </c:pt>
                <c:pt idx="651">
                  <c:v>63.3</c:v>
                </c:pt>
                <c:pt idx="652">
                  <c:v>61.9</c:v>
                </c:pt>
                <c:pt idx="653">
                  <c:v>62.6</c:v>
                </c:pt>
                <c:pt idx="654">
                  <c:v>57</c:v>
                </c:pt>
                <c:pt idx="655">
                  <c:v>15.4</c:v>
                </c:pt>
                <c:pt idx="656">
                  <c:v>16.100000000000001</c:v>
                </c:pt>
                <c:pt idx="657">
                  <c:v>14.4</c:v>
                </c:pt>
                <c:pt idx="658">
                  <c:v>16.3</c:v>
                </c:pt>
                <c:pt idx="659">
                  <c:v>37.4</c:v>
                </c:pt>
                <c:pt idx="660">
                  <c:v>38.1</c:v>
                </c:pt>
                <c:pt idx="661">
                  <c:v>36.299999999999997</c:v>
                </c:pt>
                <c:pt idx="662">
                  <c:v>35.1</c:v>
                </c:pt>
                <c:pt idx="663">
                  <c:v>38.299999999999997</c:v>
                </c:pt>
                <c:pt idx="664">
                  <c:v>62.7</c:v>
                </c:pt>
                <c:pt idx="665">
                  <c:v>63.5</c:v>
                </c:pt>
                <c:pt idx="666">
                  <c:v>64.599999999999994</c:v>
                </c:pt>
                <c:pt idx="667">
                  <c:v>61.1</c:v>
                </c:pt>
                <c:pt idx="668">
                  <c:v>59.3</c:v>
                </c:pt>
                <c:pt idx="669">
                  <c:v>0</c:v>
                </c:pt>
                <c:pt idx="670">
                  <c:v>0</c:v>
                </c:pt>
                <c:pt idx="671">
                  <c:v>15.5</c:v>
                </c:pt>
                <c:pt idx="672">
                  <c:v>15.3</c:v>
                </c:pt>
                <c:pt idx="673">
                  <c:v>15.6</c:v>
                </c:pt>
                <c:pt idx="674">
                  <c:v>15.6</c:v>
                </c:pt>
                <c:pt idx="675">
                  <c:v>15</c:v>
                </c:pt>
                <c:pt idx="676">
                  <c:v>15.9</c:v>
                </c:pt>
                <c:pt idx="677">
                  <c:v>37.4</c:v>
                </c:pt>
                <c:pt idx="678">
                  <c:v>37.200000000000003</c:v>
                </c:pt>
                <c:pt idx="679">
                  <c:v>36.6</c:v>
                </c:pt>
                <c:pt idx="680">
                  <c:v>36.5</c:v>
                </c:pt>
                <c:pt idx="681">
                  <c:v>38.1</c:v>
                </c:pt>
                <c:pt idx="682">
                  <c:v>37.4</c:v>
                </c:pt>
                <c:pt idx="683">
                  <c:v>62</c:v>
                </c:pt>
                <c:pt idx="684">
                  <c:v>63.3</c:v>
                </c:pt>
                <c:pt idx="685">
                  <c:v>57.9</c:v>
                </c:pt>
                <c:pt idx="686">
                  <c:v>59.6</c:v>
                </c:pt>
                <c:pt idx="687">
                  <c:v>61.5</c:v>
                </c:pt>
                <c:pt idx="688">
                  <c:v>60.7</c:v>
                </c:pt>
                <c:pt idx="689">
                  <c:v>14.2</c:v>
                </c:pt>
                <c:pt idx="690">
                  <c:v>15</c:v>
                </c:pt>
                <c:pt idx="691">
                  <c:v>14.2</c:v>
                </c:pt>
                <c:pt idx="692">
                  <c:v>16.399999999999999</c:v>
                </c:pt>
                <c:pt idx="693">
                  <c:v>15.2</c:v>
                </c:pt>
                <c:pt idx="694">
                  <c:v>16</c:v>
                </c:pt>
                <c:pt idx="695">
                  <c:v>16</c:v>
                </c:pt>
                <c:pt idx="696">
                  <c:v>16.399999999999999</c:v>
                </c:pt>
                <c:pt idx="697">
                  <c:v>15.2</c:v>
                </c:pt>
                <c:pt idx="698">
                  <c:v>16</c:v>
                </c:pt>
                <c:pt idx="699">
                  <c:v>16</c:v>
                </c:pt>
                <c:pt idx="700">
                  <c:v>15</c:v>
                </c:pt>
                <c:pt idx="701">
                  <c:v>34.299999999999997</c:v>
                </c:pt>
                <c:pt idx="702">
                  <c:v>34.6</c:v>
                </c:pt>
                <c:pt idx="703">
                  <c:v>37.299999999999997</c:v>
                </c:pt>
                <c:pt idx="704">
                  <c:v>35.5</c:v>
                </c:pt>
                <c:pt idx="705">
                  <c:v>38.5</c:v>
                </c:pt>
                <c:pt idx="706">
                  <c:v>35.5</c:v>
                </c:pt>
                <c:pt idx="707">
                  <c:v>34.299999999999997</c:v>
                </c:pt>
                <c:pt idx="708">
                  <c:v>36.200000000000003</c:v>
                </c:pt>
                <c:pt idx="709">
                  <c:v>37.299999999999997</c:v>
                </c:pt>
                <c:pt idx="710">
                  <c:v>34.6</c:v>
                </c:pt>
                <c:pt idx="711">
                  <c:v>38.5</c:v>
                </c:pt>
                <c:pt idx="712">
                  <c:v>36.200000000000003</c:v>
                </c:pt>
                <c:pt idx="713">
                  <c:v>58</c:v>
                </c:pt>
                <c:pt idx="714">
                  <c:v>58</c:v>
                </c:pt>
                <c:pt idx="715">
                  <c:v>59.1</c:v>
                </c:pt>
                <c:pt idx="716">
                  <c:v>60</c:v>
                </c:pt>
                <c:pt idx="717">
                  <c:v>57.5</c:v>
                </c:pt>
                <c:pt idx="718">
                  <c:v>62</c:v>
                </c:pt>
                <c:pt idx="719">
                  <c:v>60</c:v>
                </c:pt>
                <c:pt idx="720">
                  <c:v>57.5</c:v>
                </c:pt>
                <c:pt idx="721">
                  <c:v>60.9</c:v>
                </c:pt>
                <c:pt idx="722">
                  <c:v>60.9</c:v>
                </c:pt>
                <c:pt idx="723">
                  <c:v>62</c:v>
                </c:pt>
                <c:pt idx="724">
                  <c:v>59.1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14.6</c:v>
                </c:pt>
                <c:pt idx="730">
                  <c:v>14.3</c:v>
                </c:pt>
                <c:pt idx="731">
                  <c:v>13.3</c:v>
                </c:pt>
                <c:pt idx="732">
                  <c:v>14.7</c:v>
                </c:pt>
                <c:pt idx="733">
                  <c:v>13.3</c:v>
                </c:pt>
                <c:pt idx="734">
                  <c:v>14.7</c:v>
                </c:pt>
                <c:pt idx="735">
                  <c:v>14.6</c:v>
                </c:pt>
                <c:pt idx="736">
                  <c:v>14.3</c:v>
                </c:pt>
                <c:pt idx="737">
                  <c:v>31.1</c:v>
                </c:pt>
                <c:pt idx="738">
                  <c:v>34.4</c:v>
                </c:pt>
                <c:pt idx="739">
                  <c:v>35.4</c:v>
                </c:pt>
                <c:pt idx="740">
                  <c:v>35.200000000000003</c:v>
                </c:pt>
                <c:pt idx="741">
                  <c:v>35.4</c:v>
                </c:pt>
                <c:pt idx="742">
                  <c:v>34.4</c:v>
                </c:pt>
                <c:pt idx="743">
                  <c:v>35.200000000000003</c:v>
                </c:pt>
                <c:pt idx="744">
                  <c:v>31.1</c:v>
                </c:pt>
                <c:pt idx="745">
                  <c:v>55.3</c:v>
                </c:pt>
                <c:pt idx="746">
                  <c:v>55.7</c:v>
                </c:pt>
                <c:pt idx="747">
                  <c:v>55.6</c:v>
                </c:pt>
                <c:pt idx="748">
                  <c:v>58.3</c:v>
                </c:pt>
                <c:pt idx="749">
                  <c:v>55.3</c:v>
                </c:pt>
                <c:pt idx="750">
                  <c:v>58.3</c:v>
                </c:pt>
                <c:pt idx="751">
                  <c:v>55.7</c:v>
                </c:pt>
                <c:pt idx="752">
                  <c:v>55.6</c:v>
                </c:pt>
                <c:pt idx="753">
                  <c:v>12.8</c:v>
                </c:pt>
                <c:pt idx="754">
                  <c:v>15.3</c:v>
                </c:pt>
                <c:pt idx="755">
                  <c:v>14.7</c:v>
                </c:pt>
                <c:pt idx="756">
                  <c:v>14.6</c:v>
                </c:pt>
                <c:pt idx="757">
                  <c:v>13</c:v>
                </c:pt>
                <c:pt idx="758">
                  <c:v>14.6</c:v>
                </c:pt>
                <c:pt idx="759">
                  <c:v>16.2</c:v>
                </c:pt>
                <c:pt idx="760">
                  <c:v>13.5</c:v>
                </c:pt>
                <c:pt idx="761">
                  <c:v>14.9</c:v>
                </c:pt>
                <c:pt idx="762">
                  <c:v>12.7</c:v>
                </c:pt>
                <c:pt idx="763">
                  <c:v>15.3</c:v>
                </c:pt>
                <c:pt idx="764">
                  <c:v>14.6</c:v>
                </c:pt>
                <c:pt idx="765">
                  <c:v>12.9</c:v>
                </c:pt>
                <c:pt idx="766">
                  <c:v>33.1</c:v>
                </c:pt>
                <c:pt idx="767">
                  <c:v>37.5</c:v>
                </c:pt>
                <c:pt idx="768">
                  <c:v>37.4</c:v>
                </c:pt>
                <c:pt idx="769">
                  <c:v>38.6</c:v>
                </c:pt>
                <c:pt idx="770">
                  <c:v>35.299999999999997</c:v>
                </c:pt>
                <c:pt idx="771">
                  <c:v>32.1</c:v>
                </c:pt>
                <c:pt idx="772">
                  <c:v>38</c:v>
                </c:pt>
                <c:pt idx="773">
                  <c:v>38</c:v>
                </c:pt>
                <c:pt idx="774">
                  <c:v>38.299999999999997</c:v>
                </c:pt>
                <c:pt idx="775">
                  <c:v>38.5</c:v>
                </c:pt>
                <c:pt idx="776">
                  <c:v>34.799999999999997</c:v>
                </c:pt>
                <c:pt idx="777">
                  <c:v>29.6</c:v>
                </c:pt>
                <c:pt idx="778">
                  <c:v>36.4</c:v>
                </c:pt>
                <c:pt idx="779">
                  <c:v>33.9</c:v>
                </c:pt>
                <c:pt idx="780">
                  <c:v>32</c:v>
                </c:pt>
                <c:pt idx="781">
                  <c:v>36.700000000000003</c:v>
                </c:pt>
                <c:pt idx="782">
                  <c:v>55.1</c:v>
                </c:pt>
                <c:pt idx="783">
                  <c:v>54.1</c:v>
                </c:pt>
                <c:pt idx="784">
                  <c:v>54.2</c:v>
                </c:pt>
                <c:pt idx="785">
                  <c:v>59.9</c:v>
                </c:pt>
                <c:pt idx="786">
                  <c:v>58.6</c:v>
                </c:pt>
                <c:pt idx="787">
                  <c:v>59.4</c:v>
                </c:pt>
                <c:pt idx="788">
                  <c:v>62</c:v>
                </c:pt>
                <c:pt idx="789">
                  <c:v>61.1</c:v>
                </c:pt>
                <c:pt idx="790">
                  <c:v>60.2</c:v>
                </c:pt>
                <c:pt idx="791">
                  <c:v>59</c:v>
                </c:pt>
                <c:pt idx="792">
                  <c:v>58.1</c:v>
                </c:pt>
                <c:pt idx="793">
                  <c:v>54.6</c:v>
                </c:pt>
                <c:pt idx="794">
                  <c:v>58.9</c:v>
                </c:pt>
                <c:pt idx="795">
                  <c:v>59.2</c:v>
                </c:pt>
                <c:pt idx="796">
                  <c:v>55.6</c:v>
                </c:pt>
                <c:pt idx="797">
                  <c:v>14.3</c:v>
                </c:pt>
                <c:pt idx="798">
                  <c:v>13.6</c:v>
                </c:pt>
                <c:pt idx="799">
                  <c:v>36.6</c:v>
                </c:pt>
                <c:pt idx="800">
                  <c:v>32.5</c:v>
                </c:pt>
                <c:pt idx="801">
                  <c:v>55.5</c:v>
                </c:pt>
                <c:pt idx="802">
                  <c:v>55.1</c:v>
                </c:pt>
                <c:pt idx="803">
                  <c:v>0</c:v>
                </c:pt>
                <c:pt idx="804">
                  <c:v>0</c:v>
                </c:pt>
                <c:pt idx="805">
                  <c:v>14.2</c:v>
                </c:pt>
                <c:pt idx="806">
                  <c:v>14.9</c:v>
                </c:pt>
                <c:pt idx="807">
                  <c:v>13.1</c:v>
                </c:pt>
                <c:pt idx="808">
                  <c:v>13.8</c:v>
                </c:pt>
                <c:pt idx="809">
                  <c:v>13.2</c:v>
                </c:pt>
                <c:pt idx="810">
                  <c:v>14.1</c:v>
                </c:pt>
                <c:pt idx="811">
                  <c:v>12.5</c:v>
                </c:pt>
                <c:pt idx="812">
                  <c:v>14.5</c:v>
                </c:pt>
                <c:pt idx="813">
                  <c:v>15</c:v>
                </c:pt>
                <c:pt idx="814">
                  <c:v>14.4</c:v>
                </c:pt>
                <c:pt idx="815">
                  <c:v>15.2</c:v>
                </c:pt>
                <c:pt idx="816">
                  <c:v>13.3</c:v>
                </c:pt>
                <c:pt idx="817">
                  <c:v>13.8</c:v>
                </c:pt>
                <c:pt idx="818">
                  <c:v>12.3</c:v>
                </c:pt>
                <c:pt idx="819">
                  <c:v>33.4</c:v>
                </c:pt>
                <c:pt idx="820">
                  <c:v>36.1</c:v>
                </c:pt>
                <c:pt idx="821">
                  <c:v>33.700000000000003</c:v>
                </c:pt>
                <c:pt idx="822">
                  <c:v>32</c:v>
                </c:pt>
                <c:pt idx="823">
                  <c:v>31.5</c:v>
                </c:pt>
                <c:pt idx="824">
                  <c:v>35.4</c:v>
                </c:pt>
                <c:pt idx="825">
                  <c:v>34.5</c:v>
                </c:pt>
                <c:pt idx="826">
                  <c:v>32</c:v>
                </c:pt>
                <c:pt idx="827">
                  <c:v>33.6</c:v>
                </c:pt>
                <c:pt idx="828">
                  <c:v>35.799999999999997</c:v>
                </c:pt>
                <c:pt idx="829">
                  <c:v>32</c:v>
                </c:pt>
                <c:pt idx="830">
                  <c:v>33.4</c:v>
                </c:pt>
                <c:pt idx="831">
                  <c:v>34.5</c:v>
                </c:pt>
                <c:pt idx="832">
                  <c:v>32.700000000000003</c:v>
                </c:pt>
                <c:pt idx="833">
                  <c:v>32.700000000000003</c:v>
                </c:pt>
                <c:pt idx="834">
                  <c:v>56.5</c:v>
                </c:pt>
                <c:pt idx="835">
                  <c:v>54.9</c:v>
                </c:pt>
                <c:pt idx="836">
                  <c:v>61.4</c:v>
                </c:pt>
                <c:pt idx="837">
                  <c:v>58.4</c:v>
                </c:pt>
                <c:pt idx="838">
                  <c:v>61</c:v>
                </c:pt>
                <c:pt idx="839">
                  <c:v>57.9</c:v>
                </c:pt>
                <c:pt idx="840">
                  <c:v>56.8</c:v>
                </c:pt>
                <c:pt idx="841">
                  <c:v>59.1</c:v>
                </c:pt>
                <c:pt idx="842">
                  <c:v>61.2</c:v>
                </c:pt>
                <c:pt idx="843">
                  <c:v>55.8</c:v>
                </c:pt>
                <c:pt idx="844">
                  <c:v>55.1</c:v>
                </c:pt>
                <c:pt idx="845">
                  <c:v>54.2</c:v>
                </c:pt>
                <c:pt idx="846">
                  <c:v>55.8</c:v>
                </c:pt>
                <c:pt idx="847">
                  <c:v>53.7</c:v>
                </c:pt>
                <c:pt idx="848">
                  <c:v>12.1</c:v>
                </c:pt>
                <c:pt idx="849">
                  <c:v>14.9</c:v>
                </c:pt>
                <c:pt idx="850">
                  <c:v>15</c:v>
                </c:pt>
                <c:pt idx="851">
                  <c:v>31.9</c:v>
                </c:pt>
                <c:pt idx="852">
                  <c:v>35</c:v>
                </c:pt>
                <c:pt idx="853">
                  <c:v>34.6</c:v>
                </c:pt>
                <c:pt idx="854">
                  <c:v>31.6</c:v>
                </c:pt>
                <c:pt idx="855">
                  <c:v>51</c:v>
                </c:pt>
                <c:pt idx="856">
                  <c:v>56.3</c:v>
                </c:pt>
                <c:pt idx="857">
                  <c:v>56.1</c:v>
                </c:pt>
                <c:pt idx="858">
                  <c:v>13.8</c:v>
                </c:pt>
                <c:pt idx="859">
                  <c:v>13.3</c:v>
                </c:pt>
                <c:pt idx="860">
                  <c:v>0</c:v>
                </c:pt>
                <c:pt idx="861">
                  <c:v>14.4</c:v>
                </c:pt>
                <c:pt idx="862">
                  <c:v>14.2</c:v>
                </c:pt>
                <c:pt idx="863">
                  <c:v>12.5</c:v>
                </c:pt>
                <c:pt idx="864">
                  <c:v>14</c:v>
                </c:pt>
                <c:pt idx="865">
                  <c:v>0</c:v>
                </c:pt>
                <c:pt idx="866">
                  <c:v>32.5</c:v>
                </c:pt>
                <c:pt idx="867">
                  <c:v>33.200000000000003</c:v>
                </c:pt>
                <c:pt idx="868">
                  <c:v>34</c:v>
                </c:pt>
                <c:pt idx="869">
                  <c:v>35.200000000000003</c:v>
                </c:pt>
                <c:pt idx="870">
                  <c:v>34.299999999999997</c:v>
                </c:pt>
                <c:pt idx="871">
                  <c:v>32.5</c:v>
                </c:pt>
                <c:pt idx="872">
                  <c:v>35.200000000000003</c:v>
                </c:pt>
                <c:pt idx="873">
                  <c:v>31.5</c:v>
                </c:pt>
                <c:pt idx="874">
                  <c:v>48.4</c:v>
                </c:pt>
                <c:pt idx="875">
                  <c:v>55.6</c:v>
                </c:pt>
                <c:pt idx="876">
                  <c:v>57.1</c:v>
                </c:pt>
                <c:pt idx="877">
                  <c:v>57.3</c:v>
                </c:pt>
                <c:pt idx="878">
                  <c:v>12.4</c:v>
                </c:pt>
                <c:pt idx="879">
                  <c:v>12.9</c:v>
                </c:pt>
                <c:pt idx="880">
                  <c:v>14.5</c:v>
                </c:pt>
                <c:pt idx="881">
                  <c:v>15</c:v>
                </c:pt>
                <c:pt idx="882">
                  <c:v>11.8</c:v>
                </c:pt>
                <c:pt idx="883">
                  <c:v>14</c:v>
                </c:pt>
                <c:pt idx="884">
                  <c:v>13.2</c:v>
                </c:pt>
                <c:pt idx="885">
                  <c:v>12.3</c:v>
                </c:pt>
                <c:pt idx="886">
                  <c:v>15.6</c:v>
                </c:pt>
                <c:pt idx="887">
                  <c:v>13.8</c:v>
                </c:pt>
                <c:pt idx="888">
                  <c:v>12.3</c:v>
                </c:pt>
                <c:pt idx="889">
                  <c:v>13</c:v>
                </c:pt>
                <c:pt idx="890">
                  <c:v>12.5</c:v>
                </c:pt>
                <c:pt idx="891">
                  <c:v>13.4</c:v>
                </c:pt>
                <c:pt idx="892">
                  <c:v>13.1</c:v>
                </c:pt>
                <c:pt idx="893">
                  <c:v>13.8</c:v>
                </c:pt>
                <c:pt idx="894">
                  <c:v>12.3</c:v>
                </c:pt>
                <c:pt idx="895">
                  <c:v>32.799999999999997</c:v>
                </c:pt>
                <c:pt idx="896">
                  <c:v>32.4</c:v>
                </c:pt>
                <c:pt idx="897">
                  <c:v>30.6</c:v>
                </c:pt>
                <c:pt idx="898">
                  <c:v>33.1</c:v>
                </c:pt>
                <c:pt idx="899">
                  <c:v>31.9</c:v>
                </c:pt>
                <c:pt idx="900">
                  <c:v>30.3</c:v>
                </c:pt>
                <c:pt idx="901">
                  <c:v>34.299999999999997</c:v>
                </c:pt>
                <c:pt idx="902">
                  <c:v>34.299999999999997</c:v>
                </c:pt>
                <c:pt idx="903">
                  <c:v>35</c:v>
                </c:pt>
                <c:pt idx="904">
                  <c:v>34.1</c:v>
                </c:pt>
                <c:pt idx="905">
                  <c:v>32.5</c:v>
                </c:pt>
                <c:pt idx="906">
                  <c:v>24.8</c:v>
                </c:pt>
                <c:pt idx="907">
                  <c:v>31.8</c:v>
                </c:pt>
                <c:pt idx="908">
                  <c:v>33.700000000000003</c:v>
                </c:pt>
                <c:pt idx="909">
                  <c:v>31.3</c:v>
                </c:pt>
                <c:pt idx="910">
                  <c:v>31.6</c:v>
                </c:pt>
                <c:pt idx="911">
                  <c:v>31.3</c:v>
                </c:pt>
                <c:pt idx="912">
                  <c:v>32.4</c:v>
                </c:pt>
                <c:pt idx="913">
                  <c:v>34.4</c:v>
                </c:pt>
                <c:pt idx="914">
                  <c:v>26.6</c:v>
                </c:pt>
                <c:pt idx="915">
                  <c:v>31.9</c:v>
                </c:pt>
                <c:pt idx="916">
                  <c:v>29.6</c:v>
                </c:pt>
                <c:pt idx="917">
                  <c:v>35.1</c:v>
                </c:pt>
                <c:pt idx="918">
                  <c:v>55.2</c:v>
                </c:pt>
                <c:pt idx="919">
                  <c:v>53.8</c:v>
                </c:pt>
                <c:pt idx="920">
                  <c:v>49.7</c:v>
                </c:pt>
                <c:pt idx="921">
                  <c:v>52.3</c:v>
                </c:pt>
                <c:pt idx="922">
                  <c:v>43.2</c:v>
                </c:pt>
                <c:pt idx="923">
                  <c:v>57.1</c:v>
                </c:pt>
                <c:pt idx="924">
                  <c:v>53.4</c:v>
                </c:pt>
                <c:pt idx="925">
                  <c:v>55.9</c:v>
                </c:pt>
                <c:pt idx="926">
                  <c:v>53.9</c:v>
                </c:pt>
                <c:pt idx="927">
                  <c:v>53.9</c:v>
                </c:pt>
                <c:pt idx="928">
                  <c:v>49.3</c:v>
                </c:pt>
                <c:pt idx="929">
                  <c:v>50.4</c:v>
                </c:pt>
                <c:pt idx="930">
                  <c:v>53.3</c:v>
                </c:pt>
                <c:pt idx="931">
                  <c:v>56.3</c:v>
                </c:pt>
                <c:pt idx="932">
                  <c:v>57.2</c:v>
                </c:pt>
                <c:pt idx="933">
                  <c:v>55.8</c:v>
                </c:pt>
                <c:pt idx="934">
                  <c:v>13.3</c:v>
                </c:pt>
                <c:pt idx="935">
                  <c:v>13.4</c:v>
                </c:pt>
                <c:pt idx="936">
                  <c:v>13.9</c:v>
                </c:pt>
                <c:pt idx="937">
                  <c:v>13.5</c:v>
                </c:pt>
                <c:pt idx="938">
                  <c:v>12.6</c:v>
                </c:pt>
                <c:pt idx="939">
                  <c:v>13.9</c:v>
                </c:pt>
                <c:pt idx="940">
                  <c:v>13.6</c:v>
                </c:pt>
                <c:pt idx="941">
                  <c:v>12.8</c:v>
                </c:pt>
                <c:pt idx="942">
                  <c:v>12.8</c:v>
                </c:pt>
                <c:pt idx="943">
                  <c:v>13.8</c:v>
                </c:pt>
                <c:pt idx="944">
                  <c:v>13</c:v>
                </c:pt>
                <c:pt idx="945">
                  <c:v>13.4</c:v>
                </c:pt>
                <c:pt idx="946">
                  <c:v>12.8</c:v>
                </c:pt>
                <c:pt idx="947">
                  <c:v>12.3</c:v>
                </c:pt>
                <c:pt idx="948">
                  <c:v>12.7</c:v>
                </c:pt>
                <c:pt idx="949">
                  <c:v>15.5</c:v>
                </c:pt>
                <c:pt idx="950">
                  <c:v>15</c:v>
                </c:pt>
                <c:pt idx="951">
                  <c:v>16.8</c:v>
                </c:pt>
                <c:pt idx="952">
                  <c:v>16.899999999999999</c:v>
                </c:pt>
                <c:pt idx="953">
                  <c:v>12.3</c:v>
                </c:pt>
                <c:pt idx="954">
                  <c:v>33.4</c:v>
                </c:pt>
                <c:pt idx="955">
                  <c:v>34.799999999999997</c:v>
                </c:pt>
                <c:pt idx="956">
                  <c:v>33.299999999999997</c:v>
                </c:pt>
                <c:pt idx="957">
                  <c:v>34.4</c:v>
                </c:pt>
                <c:pt idx="958">
                  <c:v>36.799999999999997</c:v>
                </c:pt>
                <c:pt idx="959">
                  <c:v>34.5</c:v>
                </c:pt>
                <c:pt idx="960">
                  <c:v>33.700000000000003</c:v>
                </c:pt>
                <c:pt idx="961">
                  <c:v>33.200000000000003</c:v>
                </c:pt>
                <c:pt idx="962">
                  <c:v>33.200000000000003</c:v>
                </c:pt>
                <c:pt idx="963">
                  <c:v>33.200000000000003</c:v>
                </c:pt>
                <c:pt idx="964">
                  <c:v>34.200000000000003</c:v>
                </c:pt>
                <c:pt idx="965">
                  <c:v>31.7</c:v>
                </c:pt>
                <c:pt idx="966">
                  <c:v>32.200000000000003</c:v>
                </c:pt>
                <c:pt idx="967">
                  <c:v>35</c:v>
                </c:pt>
                <c:pt idx="968">
                  <c:v>35.299999999999997</c:v>
                </c:pt>
                <c:pt idx="969">
                  <c:v>35.700000000000003</c:v>
                </c:pt>
                <c:pt idx="970">
                  <c:v>34.299999999999997</c:v>
                </c:pt>
                <c:pt idx="971">
                  <c:v>37.200000000000003</c:v>
                </c:pt>
                <c:pt idx="972">
                  <c:v>34.200000000000003</c:v>
                </c:pt>
                <c:pt idx="973">
                  <c:v>32.799999999999997</c:v>
                </c:pt>
                <c:pt idx="974">
                  <c:v>40.200000000000003</c:v>
                </c:pt>
                <c:pt idx="975">
                  <c:v>33.6</c:v>
                </c:pt>
                <c:pt idx="976">
                  <c:v>58.2</c:v>
                </c:pt>
                <c:pt idx="977">
                  <c:v>56.5</c:v>
                </c:pt>
                <c:pt idx="978">
                  <c:v>58.2</c:v>
                </c:pt>
                <c:pt idx="979">
                  <c:v>56.1</c:v>
                </c:pt>
                <c:pt idx="980">
                  <c:v>57.7</c:v>
                </c:pt>
                <c:pt idx="981">
                  <c:v>58.1</c:v>
                </c:pt>
                <c:pt idx="982">
                  <c:v>58.9</c:v>
                </c:pt>
                <c:pt idx="983">
                  <c:v>57.5</c:v>
                </c:pt>
                <c:pt idx="984">
                  <c:v>57.5</c:v>
                </c:pt>
                <c:pt idx="985">
                  <c:v>55.3</c:v>
                </c:pt>
                <c:pt idx="986">
                  <c:v>54.8</c:v>
                </c:pt>
                <c:pt idx="987">
                  <c:v>56.8</c:v>
                </c:pt>
                <c:pt idx="988">
                  <c:v>58.9</c:v>
                </c:pt>
                <c:pt idx="989">
                  <c:v>57.3</c:v>
                </c:pt>
                <c:pt idx="990">
                  <c:v>61.3</c:v>
                </c:pt>
                <c:pt idx="991">
                  <c:v>56.1</c:v>
                </c:pt>
                <c:pt idx="992">
                  <c:v>54.1</c:v>
                </c:pt>
                <c:pt idx="993">
                  <c:v>53.5</c:v>
                </c:pt>
                <c:pt idx="994">
                  <c:v>54.5</c:v>
                </c:pt>
                <c:pt idx="995">
                  <c:v>55.5</c:v>
                </c:pt>
                <c:pt idx="996">
                  <c:v>14.6</c:v>
                </c:pt>
                <c:pt idx="997">
                  <c:v>12.8</c:v>
                </c:pt>
                <c:pt idx="998">
                  <c:v>13.2</c:v>
                </c:pt>
                <c:pt idx="999">
                  <c:v>12.9</c:v>
                </c:pt>
                <c:pt idx="1000">
                  <c:v>14</c:v>
                </c:pt>
                <c:pt idx="1001">
                  <c:v>14.8</c:v>
                </c:pt>
                <c:pt idx="1002">
                  <c:v>12.3</c:v>
                </c:pt>
                <c:pt idx="1003">
                  <c:v>12.8</c:v>
                </c:pt>
                <c:pt idx="1004">
                  <c:v>12.8</c:v>
                </c:pt>
                <c:pt idx="1005">
                  <c:v>13.6</c:v>
                </c:pt>
                <c:pt idx="1006">
                  <c:v>13.1</c:v>
                </c:pt>
                <c:pt idx="1007">
                  <c:v>34.799999999999997</c:v>
                </c:pt>
                <c:pt idx="1008">
                  <c:v>33.700000000000003</c:v>
                </c:pt>
                <c:pt idx="1009">
                  <c:v>33.700000000000003</c:v>
                </c:pt>
                <c:pt idx="1010">
                  <c:v>34</c:v>
                </c:pt>
                <c:pt idx="1011">
                  <c:v>32.9</c:v>
                </c:pt>
                <c:pt idx="1012">
                  <c:v>33.5</c:v>
                </c:pt>
                <c:pt idx="1013">
                  <c:v>33.799999999999997</c:v>
                </c:pt>
                <c:pt idx="1014">
                  <c:v>34.5</c:v>
                </c:pt>
                <c:pt idx="1015">
                  <c:v>28.9</c:v>
                </c:pt>
                <c:pt idx="1016">
                  <c:v>32.4</c:v>
                </c:pt>
                <c:pt idx="1017">
                  <c:v>30.8</c:v>
                </c:pt>
                <c:pt idx="1018">
                  <c:v>33</c:v>
                </c:pt>
                <c:pt idx="1019">
                  <c:v>33.9</c:v>
                </c:pt>
                <c:pt idx="1020">
                  <c:v>34.799999999999997</c:v>
                </c:pt>
                <c:pt idx="1021">
                  <c:v>54.5</c:v>
                </c:pt>
                <c:pt idx="1022">
                  <c:v>54.4</c:v>
                </c:pt>
                <c:pt idx="1023">
                  <c:v>57.7</c:v>
                </c:pt>
                <c:pt idx="1024">
                  <c:v>54.9</c:v>
                </c:pt>
                <c:pt idx="1025">
                  <c:v>56.3</c:v>
                </c:pt>
                <c:pt idx="1026">
                  <c:v>57</c:v>
                </c:pt>
                <c:pt idx="1027">
                  <c:v>58.9</c:v>
                </c:pt>
                <c:pt idx="1028">
                  <c:v>56.7</c:v>
                </c:pt>
                <c:pt idx="1029">
                  <c:v>58.1</c:v>
                </c:pt>
                <c:pt idx="1030">
                  <c:v>48.5</c:v>
                </c:pt>
                <c:pt idx="1031">
                  <c:v>59.1</c:v>
                </c:pt>
                <c:pt idx="1032">
                  <c:v>57.5</c:v>
                </c:pt>
                <c:pt idx="1033">
                  <c:v>13.2</c:v>
                </c:pt>
                <c:pt idx="1034">
                  <c:v>13.7</c:v>
                </c:pt>
                <c:pt idx="1035">
                  <c:v>14.1</c:v>
                </c:pt>
                <c:pt idx="1036">
                  <c:v>13.8</c:v>
                </c:pt>
                <c:pt idx="1037">
                  <c:v>14.3</c:v>
                </c:pt>
                <c:pt idx="1038">
                  <c:v>13.4</c:v>
                </c:pt>
                <c:pt idx="1039">
                  <c:v>34.1</c:v>
                </c:pt>
                <c:pt idx="1040">
                  <c:v>33.6</c:v>
                </c:pt>
                <c:pt idx="1041">
                  <c:v>32.6</c:v>
                </c:pt>
                <c:pt idx="1042">
                  <c:v>32.299999999999997</c:v>
                </c:pt>
                <c:pt idx="1043">
                  <c:v>33.299999999999997</c:v>
                </c:pt>
                <c:pt idx="1044">
                  <c:v>32.799999999999997</c:v>
                </c:pt>
                <c:pt idx="1045">
                  <c:v>32.9</c:v>
                </c:pt>
                <c:pt idx="1046">
                  <c:v>33.700000000000003</c:v>
                </c:pt>
                <c:pt idx="1047">
                  <c:v>33.799999999999997</c:v>
                </c:pt>
                <c:pt idx="1048">
                  <c:v>32.9</c:v>
                </c:pt>
                <c:pt idx="1049">
                  <c:v>52.1</c:v>
                </c:pt>
                <c:pt idx="1050">
                  <c:v>55.2</c:v>
                </c:pt>
                <c:pt idx="1051">
                  <c:v>55.4</c:v>
                </c:pt>
                <c:pt idx="1052">
                  <c:v>57</c:v>
                </c:pt>
                <c:pt idx="1053">
                  <c:v>57.8</c:v>
                </c:pt>
                <c:pt idx="1054">
                  <c:v>55.8</c:v>
                </c:pt>
                <c:pt idx="1055">
                  <c:v>47.5</c:v>
                </c:pt>
                <c:pt idx="1056">
                  <c:v>15.3</c:v>
                </c:pt>
                <c:pt idx="1057">
                  <c:v>13.9</c:v>
                </c:pt>
                <c:pt idx="1058">
                  <c:v>16</c:v>
                </c:pt>
                <c:pt idx="1059">
                  <c:v>12.5</c:v>
                </c:pt>
                <c:pt idx="1060">
                  <c:v>14.3</c:v>
                </c:pt>
                <c:pt idx="1061">
                  <c:v>13.6</c:v>
                </c:pt>
                <c:pt idx="1062">
                  <c:v>16.3</c:v>
                </c:pt>
                <c:pt idx="1063">
                  <c:v>15.1</c:v>
                </c:pt>
                <c:pt idx="1064">
                  <c:v>16.5</c:v>
                </c:pt>
                <c:pt idx="1065">
                  <c:v>17.2</c:v>
                </c:pt>
                <c:pt idx="1066">
                  <c:v>16.100000000000001</c:v>
                </c:pt>
                <c:pt idx="1067">
                  <c:v>13.9</c:v>
                </c:pt>
                <c:pt idx="1068">
                  <c:v>16.399999999999999</c:v>
                </c:pt>
                <c:pt idx="1069">
                  <c:v>14.5</c:v>
                </c:pt>
                <c:pt idx="1070">
                  <c:v>15.9</c:v>
                </c:pt>
                <c:pt idx="1071">
                  <c:v>15.7</c:v>
                </c:pt>
                <c:pt idx="1072">
                  <c:v>15.5</c:v>
                </c:pt>
                <c:pt idx="1073">
                  <c:v>12.8</c:v>
                </c:pt>
                <c:pt idx="1074">
                  <c:v>35.1</c:v>
                </c:pt>
                <c:pt idx="1075">
                  <c:v>32.700000000000003</c:v>
                </c:pt>
                <c:pt idx="1076">
                  <c:v>35.6</c:v>
                </c:pt>
                <c:pt idx="1077">
                  <c:v>34.700000000000003</c:v>
                </c:pt>
                <c:pt idx="1078">
                  <c:v>34.6</c:v>
                </c:pt>
                <c:pt idx="1079">
                  <c:v>38.4</c:v>
                </c:pt>
                <c:pt idx="1080">
                  <c:v>38</c:v>
                </c:pt>
                <c:pt idx="1081">
                  <c:v>36.4</c:v>
                </c:pt>
                <c:pt idx="1082">
                  <c:v>38.6</c:v>
                </c:pt>
                <c:pt idx="1083">
                  <c:v>36.4</c:v>
                </c:pt>
                <c:pt idx="1084">
                  <c:v>37.299999999999997</c:v>
                </c:pt>
                <c:pt idx="1085">
                  <c:v>35.6</c:v>
                </c:pt>
                <c:pt idx="1086">
                  <c:v>36.299999999999997</c:v>
                </c:pt>
                <c:pt idx="1087">
                  <c:v>36.299999999999997</c:v>
                </c:pt>
                <c:pt idx="1088">
                  <c:v>36</c:v>
                </c:pt>
                <c:pt idx="1089">
                  <c:v>35.299999999999997</c:v>
                </c:pt>
                <c:pt idx="1090">
                  <c:v>37.700000000000003</c:v>
                </c:pt>
                <c:pt idx="1091">
                  <c:v>36.700000000000003</c:v>
                </c:pt>
                <c:pt idx="1092">
                  <c:v>58.5</c:v>
                </c:pt>
                <c:pt idx="1093">
                  <c:v>59</c:v>
                </c:pt>
                <c:pt idx="1094">
                  <c:v>62</c:v>
                </c:pt>
                <c:pt idx="1095">
                  <c:v>61.5</c:v>
                </c:pt>
                <c:pt idx="1096">
                  <c:v>62</c:v>
                </c:pt>
                <c:pt idx="1097">
                  <c:v>58.3</c:v>
                </c:pt>
                <c:pt idx="1098">
                  <c:v>56.2</c:v>
                </c:pt>
                <c:pt idx="1099">
                  <c:v>57.2</c:v>
                </c:pt>
                <c:pt idx="1100">
                  <c:v>56.6</c:v>
                </c:pt>
                <c:pt idx="1101">
                  <c:v>61.1</c:v>
                </c:pt>
                <c:pt idx="1102">
                  <c:v>54.5</c:v>
                </c:pt>
                <c:pt idx="1103">
                  <c:v>60.2</c:v>
                </c:pt>
                <c:pt idx="1104">
                  <c:v>58.3</c:v>
                </c:pt>
                <c:pt idx="1105">
                  <c:v>57.7</c:v>
                </c:pt>
                <c:pt idx="1106">
                  <c:v>57.9</c:v>
                </c:pt>
                <c:pt idx="1107">
                  <c:v>59.4</c:v>
                </c:pt>
                <c:pt idx="1108">
                  <c:v>56.1</c:v>
                </c:pt>
                <c:pt idx="1109">
                  <c:v>59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15.6</c:v>
                </c:pt>
                <c:pt idx="1115">
                  <c:v>13.6</c:v>
                </c:pt>
                <c:pt idx="1116">
                  <c:v>15.6</c:v>
                </c:pt>
                <c:pt idx="1117">
                  <c:v>12.7</c:v>
                </c:pt>
                <c:pt idx="1118">
                  <c:v>15.1</c:v>
                </c:pt>
                <c:pt idx="1119">
                  <c:v>13.3</c:v>
                </c:pt>
                <c:pt idx="1120">
                  <c:v>14.7</c:v>
                </c:pt>
                <c:pt idx="1121">
                  <c:v>15.4</c:v>
                </c:pt>
                <c:pt idx="1122">
                  <c:v>12.9</c:v>
                </c:pt>
                <c:pt idx="1123">
                  <c:v>14.6</c:v>
                </c:pt>
                <c:pt idx="1124">
                  <c:v>33.9</c:v>
                </c:pt>
                <c:pt idx="1125">
                  <c:v>36</c:v>
                </c:pt>
                <c:pt idx="1126">
                  <c:v>33.799999999999997</c:v>
                </c:pt>
                <c:pt idx="1127">
                  <c:v>36.5</c:v>
                </c:pt>
                <c:pt idx="1128">
                  <c:v>35.6</c:v>
                </c:pt>
                <c:pt idx="1129">
                  <c:v>31.4</c:v>
                </c:pt>
                <c:pt idx="1130">
                  <c:v>36</c:v>
                </c:pt>
                <c:pt idx="1131">
                  <c:v>36.200000000000003</c:v>
                </c:pt>
                <c:pt idx="1132">
                  <c:v>38.1</c:v>
                </c:pt>
                <c:pt idx="1133">
                  <c:v>35</c:v>
                </c:pt>
                <c:pt idx="1134">
                  <c:v>61.8</c:v>
                </c:pt>
                <c:pt idx="1135">
                  <c:v>63</c:v>
                </c:pt>
                <c:pt idx="1136">
                  <c:v>57.4</c:v>
                </c:pt>
                <c:pt idx="1137">
                  <c:v>55.2</c:v>
                </c:pt>
                <c:pt idx="1138">
                  <c:v>56.2</c:v>
                </c:pt>
                <c:pt idx="1139">
                  <c:v>55.3</c:v>
                </c:pt>
                <c:pt idx="1140">
                  <c:v>58.8</c:v>
                </c:pt>
                <c:pt idx="1141">
                  <c:v>53.9</c:v>
                </c:pt>
                <c:pt idx="1142">
                  <c:v>57.8</c:v>
                </c:pt>
                <c:pt idx="1143">
                  <c:v>62.4</c:v>
                </c:pt>
                <c:pt idx="1144">
                  <c:v>0</c:v>
                </c:pt>
                <c:pt idx="1145">
                  <c:v>0</c:v>
                </c:pt>
                <c:pt idx="1146">
                  <c:v>15.4</c:v>
                </c:pt>
                <c:pt idx="1147">
                  <c:v>13.7</c:v>
                </c:pt>
                <c:pt idx="1148">
                  <c:v>15.1</c:v>
                </c:pt>
                <c:pt idx="1149">
                  <c:v>15.5</c:v>
                </c:pt>
                <c:pt idx="1150">
                  <c:v>17.7</c:v>
                </c:pt>
                <c:pt idx="1151">
                  <c:v>18.100000000000001</c:v>
                </c:pt>
                <c:pt idx="1152">
                  <c:v>17.399999999999999</c:v>
                </c:pt>
                <c:pt idx="1153">
                  <c:v>17.5</c:v>
                </c:pt>
                <c:pt idx="1154">
                  <c:v>14.9</c:v>
                </c:pt>
                <c:pt idx="1155">
                  <c:v>15.5</c:v>
                </c:pt>
                <c:pt idx="1156">
                  <c:v>16.899999999999999</c:v>
                </c:pt>
                <c:pt idx="1157">
                  <c:v>15.6</c:v>
                </c:pt>
                <c:pt idx="1158">
                  <c:v>15.6</c:v>
                </c:pt>
                <c:pt idx="1159">
                  <c:v>12.5</c:v>
                </c:pt>
                <c:pt idx="1160">
                  <c:v>15.8</c:v>
                </c:pt>
                <c:pt idx="1161">
                  <c:v>15.5</c:v>
                </c:pt>
                <c:pt idx="1162">
                  <c:v>16.100000000000001</c:v>
                </c:pt>
                <c:pt idx="1163">
                  <c:v>37.1</c:v>
                </c:pt>
                <c:pt idx="1164">
                  <c:v>38.5</c:v>
                </c:pt>
                <c:pt idx="1165">
                  <c:v>35.9</c:v>
                </c:pt>
                <c:pt idx="1166">
                  <c:v>35</c:v>
                </c:pt>
                <c:pt idx="1167">
                  <c:v>36</c:v>
                </c:pt>
                <c:pt idx="1168">
                  <c:v>34.6</c:v>
                </c:pt>
                <c:pt idx="1169">
                  <c:v>38.6</c:v>
                </c:pt>
                <c:pt idx="1170">
                  <c:v>38.700000000000003</c:v>
                </c:pt>
                <c:pt idx="1171">
                  <c:v>36.700000000000003</c:v>
                </c:pt>
                <c:pt idx="1172">
                  <c:v>35.1</c:v>
                </c:pt>
                <c:pt idx="1173">
                  <c:v>35.4</c:v>
                </c:pt>
                <c:pt idx="1174">
                  <c:v>37.299999999999997</c:v>
                </c:pt>
                <c:pt idx="1175">
                  <c:v>37.299999999999997</c:v>
                </c:pt>
                <c:pt idx="1176">
                  <c:v>39.1</c:v>
                </c:pt>
                <c:pt idx="1177">
                  <c:v>38.200000000000003</c:v>
                </c:pt>
                <c:pt idx="1178">
                  <c:v>38.4</c:v>
                </c:pt>
                <c:pt idx="1179">
                  <c:v>61.9</c:v>
                </c:pt>
                <c:pt idx="1180">
                  <c:v>64.400000000000006</c:v>
                </c:pt>
                <c:pt idx="1181">
                  <c:v>64.099999999999994</c:v>
                </c:pt>
                <c:pt idx="1182">
                  <c:v>60.1</c:v>
                </c:pt>
                <c:pt idx="1183">
                  <c:v>63.7</c:v>
                </c:pt>
                <c:pt idx="1184">
                  <c:v>63</c:v>
                </c:pt>
                <c:pt idx="1185">
                  <c:v>63.3</c:v>
                </c:pt>
                <c:pt idx="1186">
                  <c:v>60.8</c:v>
                </c:pt>
                <c:pt idx="1187">
                  <c:v>60.1</c:v>
                </c:pt>
                <c:pt idx="1188">
                  <c:v>60.6</c:v>
                </c:pt>
                <c:pt idx="1189">
                  <c:v>63.1</c:v>
                </c:pt>
                <c:pt idx="1190">
                  <c:v>56.3</c:v>
                </c:pt>
                <c:pt idx="1191">
                  <c:v>62.5</c:v>
                </c:pt>
                <c:pt idx="1192">
                  <c:v>58.4</c:v>
                </c:pt>
                <c:pt idx="1193">
                  <c:v>59.4</c:v>
                </c:pt>
                <c:pt idx="1194">
                  <c:v>64.8</c:v>
                </c:pt>
                <c:pt idx="1195">
                  <c:v>15.1</c:v>
                </c:pt>
                <c:pt idx="1196">
                  <c:v>14.9</c:v>
                </c:pt>
                <c:pt idx="1197">
                  <c:v>17.100000000000001</c:v>
                </c:pt>
                <c:pt idx="1198">
                  <c:v>17.899999999999999</c:v>
                </c:pt>
                <c:pt idx="1199">
                  <c:v>17.5</c:v>
                </c:pt>
                <c:pt idx="1200">
                  <c:v>17.8</c:v>
                </c:pt>
                <c:pt idx="1201">
                  <c:v>16.2</c:v>
                </c:pt>
                <c:pt idx="1202">
                  <c:v>14.1</c:v>
                </c:pt>
                <c:pt idx="1203">
                  <c:v>15.7</c:v>
                </c:pt>
                <c:pt idx="1204">
                  <c:v>15.9</c:v>
                </c:pt>
                <c:pt idx="1205">
                  <c:v>34.6</c:v>
                </c:pt>
                <c:pt idx="1206">
                  <c:v>36</c:v>
                </c:pt>
                <c:pt idx="1207">
                  <c:v>36.700000000000003</c:v>
                </c:pt>
                <c:pt idx="1208">
                  <c:v>35.700000000000003</c:v>
                </c:pt>
                <c:pt idx="1209">
                  <c:v>37.4</c:v>
                </c:pt>
                <c:pt idx="1210">
                  <c:v>35.5</c:v>
                </c:pt>
                <c:pt idx="1211">
                  <c:v>35.4</c:v>
                </c:pt>
                <c:pt idx="1212">
                  <c:v>37.299999999999997</c:v>
                </c:pt>
                <c:pt idx="1213">
                  <c:v>35.9</c:v>
                </c:pt>
                <c:pt idx="1214">
                  <c:v>35.6</c:v>
                </c:pt>
                <c:pt idx="1215">
                  <c:v>64.2</c:v>
                </c:pt>
                <c:pt idx="1216">
                  <c:v>62.4</c:v>
                </c:pt>
                <c:pt idx="1217">
                  <c:v>56.9</c:v>
                </c:pt>
                <c:pt idx="1218">
                  <c:v>58.8</c:v>
                </c:pt>
                <c:pt idx="1219">
                  <c:v>55.2</c:v>
                </c:pt>
                <c:pt idx="1220">
                  <c:v>51.3</c:v>
                </c:pt>
                <c:pt idx="1221">
                  <c:v>56.8</c:v>
                </c:pt>
                <c:pt idx="1222">
                  <c:v>56</c:v>
                </c:pt>
                <c:pt idx="1223">
                  <c:v>62.8</c:v>
                </c:pt>
                <c:pt idx="1224">
                  <c:v>64.599999999999994</c:v>
                </c:pt>
                <c:pt idx="1225">
                  <c:v>15.2</c:v>
                </c:pt>
                <c:pt idx="1226">
                  <c:v>15.4</c:v>
                </c:pt>
                <c:pt idx="1227">
                  <c:v>14.6</c:v>
                </c:pt>
                <c:pt idx="1228">
                  <c:v>15.5</c:v>
                </c:pt>
                <c:pt idx="1229">
                  <c:v>14.5</c:v>
                </c:pt>
                <c:pt idx="1230">
                  <c:v>14.4</c:v>
                </c:pt>
                <c:pt idx="1231">
                  <c:v>14</c:v>
                </c:pt>
                <c:pt idx="1232">
                  <c:v>14.2</c:v>
                </c:pt>
                <c:pt idx="1233">
                  <c:v>14.5</c:v>
                </c:pt>
                <c:pt idx="1234">
                  <c:v>36.200000000000003</c:v>
                </c:pt>
                <c:pt idx="1235">
                  <c:v>32.799999999999997</c:v>
                </c:pt>
                <c:pt idx="1236">
                  <c:v>33.5</c:v>
                </c:pt>
                <c:pt idx="1237">
                  <c:v>33.4</c:v>
                </c:pt>
                <c:pt idx="1238">
                  <c:v>34.200000000000003</c:v>
                </c:pt>
                <c:pt idx="1239">
                  <c:v>35.700000000000003</c:v>
                </c:pt>
                <c:pt idx="1240">
                  <c:v>36.1</c:v>
                </c:pt>
                <c:pt idx="1241">
                  <c:v>36.1</c:v>
                </c:pt>
                <c:pt idx="1242">
                  <c:v>32.700000000000003</c:v>
                </c:pt>
                <c:pt idx="1243">
                  <c:v>37.5</c:v>
                </c:pt>
                <c:pt idx="1244">
                  <c:v>59.5</c:v>
                </c:pt>
                <c:pt idx="1245">
                  <c:v>53.1</c:v>
                </c:pt>
                <c:pt idx="1246">
                  <c:v>63.1</c:v>
                </c:pt>
                <c:pt idx="1247">
                  <c:v>63.2</c:v>
                </c:pt>
                <c:pt idx="1248">
                  <c:v>56.3</c:v>
                </c:pt>
                <c:pt idx="1249">
                  <c:v>61.7</c:v>
                </c:pt>
                <c:pt idx="1250">
                  <c:v>58.7</c:v>
                </c:pt>
                <c:pt idx="1251">
                  <c:v>60.5</c:v>
                </c:pt>
                <c:pt idx="1252">
                  <c:v>62.2</c:v>
                </c:pt>
                <c:pt idx="1253">
                  <c:v>16.399999999999999</c:v>
                </c:pt>
                <c:pt idx="1254">
                  <c:v>14.8</c:v>
                </c:pt>
                <c:pt idx="1255">
                  <c:v>16.399999999999999</c:v>
                </c:pt>
                <c:pt idx="1256">
                  <c:v>15.3</c:v>
                </c:pt>
                <c:pt idx="1257">
                  <c:v>39.299999999999997</c:v>
                </c:pt>
                <c:pt idx="1258">
                  <c:v>38.799999999999997</c:v>
                </c:pt>
                <c:pt idx="1259">
                  <c:v>37.700000000000003</c:v>
                </c:pt>
                <c:pt idx="1260">
                  <c:v>35.4</c:v>
                </c:pt>
                <c:pt idx="1261">
                  <c:v>33.299999999999997</c:v>
                </c:pt>
                <c:pt idx="1262">
                  <c:v>37.799999999999997</c:v>
                </c:pt>
                <c:pt idx="1263">
                  <c:v>33.5</c:v>
                </c:pt>
                <c:pt idx="1264">
                  <c:v>40.200000000000003</c:v>
                </c:pt>
                <c:pt idx="1265">
                  <c:v>39.799999999999997</c:v>
                </c:pt>
                <c:pt idx="1266">
                  <c:v>59.9</c:v>
                </c:pt>
                <c:pt idx="1267">
                  <c:v>63.7</c:v>
                </c:pt>
                <c:pt idx="1268">
                  <c:v>56.1</c:v>
                </c:pt>
                <c:pt idx="1269">
                  <c:v>63.5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12.7</c:v>
                </c:pt>
                <c:pt idx="1277">
                  <c:v>14.1</c:v>
                </c:pt>
                <c:pt idx="1278">
                  <c:v>13.9</c:v>
                </c:pt>
                <c:pt idx="1279">
                  <c:v>15</c:v>
                </c:pt>
                <c:pt idx="1280">
                  <c:v>15.1</c:v>
                </c:pt>
                <c:pt idx="1281">
                  <c:v>15.6</c:v>
                </c:pt>
                <c:pt idx="1282">
                  <c:v>35</c:v>
                </c:pt>
                <c:pt idx="1283">
                  <c:v>34.9</c:v>
                </c:pt>
                <c:pt idx="1284">
                  <c:v>32.299999999999997</c:v>
                </c:pt>
                <c:pt idx="1285">
                  <c:v>32.799999999999997</c:v>
                </c:pt>
                <c:pt idx="1286">
                  <c:v>33</c:v>
                </c:pt>
                <c:pt idx="1287">
                  <c:v>32.5</c:v>
                </c:pt>
                <c:pt idx="1288">
                  <c:v>56.4</c:v>
                </c:pt>
                <c:pt idx="1289">
                  <c:v>58</c:v>
                </c:pt>
                <c:pt idx="1290">
                  <c:v>55.2</c:v>
                </c:pt>
                <c:pt idx="1291">
                  <c:v>57.7</c:v>
                </c:pt>
                <c:pt idx="1292">
                  <c:v>57.2</c:v>
                </c:pt>
                <c:pt idx="1293">
                  <c:v>57.3</c:v>
                </c:pt>
                <c:pt idx="1294">
                  <c:v>56.1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13.4</c:v>
                </c:pt>
                <c:pt idx="1302">
                  <c:v>12.7</c:v>
                </c:pt>
                <c:pt idx="1303">
                  <c:v>13.6</c:v>
                </c:pt>
                <c:pt idx="1304">
                  <c:v>13.3</c:v>
                </c:pt>
                <c:pt idx="1305">
                  <c:v>13.9</c:v>
                </c:pt>
                <c:pt idx="1306">
                  <c:v>15</c:v>
                </c:pt>
                <c:pt idx="1307">
                  <c:v>12.7</c:v>
                </c:pt>
                <c:pt idx="1308">
                  <c:v>13.1</c:v>
                </c:pt>
                <c:pt idx="1309">
                  <c:v>12.7</c:v>
                </c:pt>
                <c:pt idx="1310">
                  <c:v>14.1</c:v>
                </c:pt>
                <c:pt idx="1311">
                  <c:v>13.6</c:v>
                </c:pt>
                <c:pt idx="1312">
                  <c:v>13.1</c:v>
                </c:pt>
                <c:pt idx="1313">
                  <c:v>33.200000000000003</c:v>
                </c:pt>
                <c:pt idx="1314">
                  <c:v>31.3</c:v>
                </c:pt>
                <c:pt idx="1315">
                  <c:v>30.9</c:v>
                </c:pt>
                <c:pt idx="1316">
                  <c:v>32.200000000000003</c:v>
                </c:pt>
                <c:pt idx="1317">
                  <c:v>31.7</c:v>
                </c:pt>
                <c:pt idx="1318">
                  <c:v>31.8</c:v>
                </c:pt>
                <c:pt idx="1319">
                  <c:v>31.4</c:v>
                </c:pt>
                <c:pt idx="1320">
                  <c:v>31.5</c:v>
                </c:pt>
                <c:pt idx="1321">
                  <c:v>32.299999999999997</c:v>
                </c:pt>
                <c:pt idx="1322">
                  <c:v>31.5</c:v>
                </c:pt>
                <c:pt idx="1323">
                  <c:v>29.8</c:v>
                </c:pt>
                <c:pt idx="1324">
                  <c:v>31.3</c:v>
                </c:pt>
                <c:pt idx="1325">
                  <c:v>33.1</c:v>
                </c:pt>
                <c:pt idx="1326">
                  <c:v>53.2</c:v>
                </c:pt>
                <c:pt idx="1327">
                  <c:v>52.6</c:v>
                </c:pt>
                <c:pt idx="1328">
                  <c:v>54.5</c:v>
                </c:pt>
                <c:pt idx="1329">
                  <c:v>52.5</c:v>
                </c:pt>
                <c:pt idx="1330">
                  <c:v>56.3</c:v>
                </c:pt>
                <c:pt idx="1331">
                  <c:v>58.5</c:v>
                </c:pt>
                <c:pt idx="1332">
                  <c:v>55.6</c:v>
                </c:pt>
                <c:pt idx="1333">
                  <c:v>55.6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13.9</c:v>
                </c:pt>
                <c:pt idx="1339">
                  <c:v>14.4</c:v>
                </c:pt>
                <c:pt idx="1340">
                  <c:v>14.8</c:v>
                </c:pt>
                <c:pt idx="1341">
                  <c:v>14.3</c:v>
                </c:pt>
                <c:pt idx="1342">
                  <c:v>12.6</c:v>
                </c:pt>
                <c:pt idx="1343">
                  <c:v>14.5</c:v>
                </c:pt>
                <c:pt idx="1344">
                  <c:v>35</c:v>
                </c:pt>
                <c:pt idx="1345">
                  <c:v>33.200000000000003</c:v>
                </c:pt>
                <c:pt idx="1346">
                  <c:v>34.1</c:v>
                </c:pt>
                <c:pt idx="1347">
                  <c:v>34.299999999999997</c:v>
                </c:pt>
                <c:pt idx="1348">
                  <c:v>34.799999999999997</c:v>
                </c:pt>
                <c:pt idx="1349">
                  <c:v>34.5</c:v>
                </c:pt>
                <c:pt idx="1350">
                  <c:v>56.1</c:v>
                </c:pt>
                <c:pt idx="1351">
                  <c:v>56.6</c:v>
                </c:pt>
                <c:pt idx="1352">
                  <c:v>56.7</c:v>
                </c:pt>
                <c:pt idx="1353">
                  <c:v>57.9</c:v>
                </c:pt>
                <c:pt idx="1354">
                  <c:v>56.4</c:v>
                </c:pt>
                <c:pt idx="1355">
                  <c:v>57.1</c:v>
                </c:pt>
                <c:pt idx="1356">
                  <c:v>0</c:v>
                </c:pt>
                <c:pt idx="1357">
                  <c:v>0</c:v>
                </c:pt>
                <c:pt idx="1358">
                  <c:v>13.9</c:v>
                </c:pt>
                <c:pt idx="1359">
                  <c:v>15.8</c:v>
                </c:pt>
                <c:pt idx="1360">
                  <c:v>13.4</c:v>
                </c:pt>
                <c:pt idx="1361">
                  <c:v>15</c:v>
                </c:pt>
                <c:pt idx="1362">
                  <c:v>15.5</c:v>
                </c:pt>
                <c:pt idx="1363">
                  <c:v>15.5</c:v>
                </c:pt>
                <c:pt idx="1364">
                  <c:v>14.6</c:v>
                </c:pt>
                <c:pt idx="1365">
                  <c:v>15.3</c:v>
                </c:pt>
                <c:pt idx="1366">
                  <c:v>13.4</c:v>
                </c:pt>
                <c:pt idx="1367">
                  <c:v>14.5</c:v>
                </c:pt>
                <c:pt idx="1368">
                  <c:v>16.3</c:v>
                </c:pt>
                <c:pt idx="1369">
                  <c:v>13.8</c:v>
                </c:pt>
                <c:pt idx="1370">
                  <c:v>15.4</c:v>
                </c:pt>
                <c:pt idx="1371">
                  <c:v>16.899999999999999</c:v>
                </c:pt>
                <c:pt idx="1372">
                  <c:v>14.8</c:v>
                </c:pt>
                <c:pt idx="1373">
                  <c:v>38.5</c:v>
                </c:pt>
                <c:pt idx="1374">
                  <c:v>38.6</c:v>
                </c:pt>
                <c:pt idx="1375">
                  <c:v>34.4</c:v>
                </c:pt>
                <c:pt idx="1376">
                  <c:v>38.700000000000003</c:v>
                </c:pt>
                <c:pt idx="1377">
                  <c:v>37.200000000000003</c:v>
                </c:pt>
                <c:pt idx="1378">
                  <c:v>33.200000000000003</c:v>
                </c:pt>
                <c:pt idx="1379">
                  <c:v>33.9</c:v>
                </c:pt>
                <c:pt idx="1380">
                  <c:v>34.4</c:v>
                </c:pt>
                <c:pt idx="1381">
                  <c:v>32.799999999999997</c:v>
                </c:pt>
                <c:pt idx="1382">
                  <c:v>35</c:v>
                </c:pt>
                <c:pt idx="1383">
                  <c:v>36.200000000000003</c:v>
                </c:pt>
                <c:pt idx="1384">
                  <c:v>33.200000000000003</c:v>
                </c:pt>
                <c:pt idx="1385">
                  <c:v>35.200000000000003</c:v>
                </c:pt>
                <c:pt idx="1386">
                  <c:v>34.4</c:v>
                </c:pt>
                <c:pt idx="1387">
                  <c:v>34.9</c:v>
                </c:pt>
                <c:pt idx="1388">
                  <c:v>32</c:v>
                </c:pt>
                <c:pt idx="1389">
                  <c:v>35.700000000000003</c:v>
                </c:pt>
                <c:pt idx="1390">
                  <c:v>37.799999999999997</c:v>
                </c:pt>
                <c:pt idx="1391">
                  <c:v>56.8</c:v>
                </c:pt>
                <c:pt idx="1392">
                  <c:v>55.7</c:v>
                </c:pt>
                <c:pt idx="1393">
                  <c:v>56.2</c:v>
                </c:pt>
                <c:pt idx="1394">
                  <c:v>56.7</c:v>
                </c:pt>
                <c:pt idx="1395">
                  <c:v>59.9</c:v>
                </c:pt>
                <c:pt idx="1396">
                  <c:v>52.9</c:v>
                </c:pt>
                <c:pt idx="1397">
                  <c:v>55.2</c:v>
                </c:pt>
                <c:pt idx="1398">
                  <c:v>56</c:v>
                </c:pt>
                <c:pt idx="1399">
                  <c:v>58.8</c:v>
                </c:pt>
                <c:pt idx="1400">
                  <c:v>60.9</c:v>
                </c:pt>
                <c:pt idx="1401">
                  <c:v>56.1</c:v>
                </c:pt>
                <c:pt idx="1402">
                  <c:v>55.3</c:v>
                </c:pt>
                <c:pt idx="1403">
                  <c:v>56.8</c:v>
                </c:pt>
                <c:pt idx="1404">
                  <c:v>59.8</c:v>
                </c:pt>
                <c:pt idx="1405">
                  <c:v>55.2</c:v>
                </c:pt>
                <c:pt idx="1406">
                  <c:v>57.8</c:v>
                </c:pt>
                <c:pt idx="1407">
                  <c:v>0</c:v>
                </c:pt>
                <c:pt idx="1408">
                  <c:v>14.9</c:v>
                </c:pt>
                <c:pt idx="1409">
                  <c:v>14.9</c:v>
                </c:pt>
                <c:pt idx="1410">
                  <c:v>15.4</c:v>
                </c:pt>
                <c:pt idx="1411">
                  <c:v>15.8</c:v>
                </c:pt>
                <c:pt idx="1412">
                  <c:v>14.9</c:v>
                </c:pt>
                <c:pt idx="1413">
                  <c:v>15</c:v>
                </c:pt>
                <c:pt idx="1414">
                  <c:v>14.7</c:v>
                </c:pt>
                <c:pt idx="1415">
                  <c:v>16.399999999999999</c:v>
                </c:pt>
                <c:pt idx="1416">
                  <c:v>14.5</c:v>
                </c:pt>
                <c:pt idx="1417">
                  <c:v>14.4</c:v>
                </c:pt>
                <c:pt idx="1418">
                  <c:v>15.6</c:v>
                </c:pt>
                <c:pt idx="1419">
                  <c:v>16.600000000000001</c:v>
                </c:pt>
                <c:pt idx="1420">
                  <c:v>14.9</c:v>
                </c:pt>
                <c:pt idx="1421">
                  <c:v>34.700000000000003</c:v>
                </c:pt>
                <c:pt idx="1422">
                  <c:v>35</c:v>
                </c:pt>
                <c:pt idx="1423">
                  <c:v>37.6</c:v>
                </c:pt>
                <c:pt idx="1424">
                  <c:v>35</c:v>
                </c:pt>
                <c:pt idx="1425">
                  <c:v>35.4</c:v>
                </c:pt>
                <c:pt idx="1426">
                  <c:v>33.1</c:v>
                </c:pt>
                <c:pt idx="1427">
                  <c:v>35.200000000000003</c:v>
                </c:pt>
                <c:pt idx="1428">
                  <c:v>35.200000000000003</c:v>
                </c:pt>
                <c:pt idx="1429">
                  <c:v>32.4</c:v>
                </c:pt>
                <c:pt idx="1430">
                  <c:v>35.299999999999997</c:v>
                </c:pt>
                <c:pt idx="1431">
                  <c:v>34.200000000000003</c:v>
                </c:pt>
                <c:pt idx="1432">
                  <c:v>36.4</c:v>
                </c:pt>
                <c:pt idx="1433">
                  <c:v>33.6</c:v>
                </c:pt>
                <c:pt idx="1434">
                  <c:v>36.5</c:v>
                </c:pt>
                <c:pt idx="1435">
                  <c:v>36.1</c:v>
                </c:pt>
                <c:pt idx="1436">
                  <c:v>33.700000000000003</c:v>
                </c:pt>
                <c:pt idx="1437">
                  <c:v>55.3</c:v>
                </c:pt>
                <c:pt idx="1438">
                  <c:v>59.9</c:v>
                </c:pt>
                <c:pt idx="1439">
                  <c:v>60.4</c:v>
                </c:pt>
                <c:pt idx="1440">
                  <c:v>55.1</c:v>
                </c:pt>
                <c:pt idx="1441">
                  <c:v>59.6</c:v>
                </c:pt>
                <c:pt idx="1442">
                  <c:v>56.1</c:v>
                </c:pt>
                <c:pt idx="1443">
                  <c:v>56.3</c:v>
                </c:pt>
                <c:pt idx="1444">
                  <c:v>57.2</c:v>
                </c:pt>
                <c:pt idx="1445">
                  <c:v>54.4</c:v>
                </c:pt>
                <c:pt idx="1446">
                  <c:v>57</c:v>
                </c:pt>
                <c:pt idx="1447">
                  <c:v>51.4</c:v>
                </c:pt>
                <c:pt idx="1448">
                  <c:v>59.1</c:v>
                </c:pt>
                <c:pt idx="1449">
                  <c:v>58.8</c:v>
                </c:pt>
                <c:pt idx="1450">
                  <c:v>55.4</c:v>
                </c:pt>
                <c:pt idx="1451">
                  <c:v>57.7</c:v>
                </c:pt>
                <c:pt idx="1452">
                  <c:v>59.3</c:v>
                </c:pt>
                <c:pt idx="1453">
                  <c:v>57.6</c:v>
                </c:pt>
                <c:pt idx="1454">
                  <c:v>56.2</c:v>
                </c:pt>
                <c:pt idx="1455">
                  <c:v>0</c:v>
                </c:pt>
                <c:pt idx="1456">
                  <c:v>0</c:v>
                </c:pt>
                <c:pt idx="1457">
                  <c:v>14.9</c:v>
                </c:pt>
                <c:pt idx="1458">
                  <c:v>14.1</c:v>
                </c:pt>
                <c:pt idx="1459">
                  <c:v>15</c:v>
                </c:pt>
                <c:pt idx="1460">
                  <c:v>15.1</c:v>
                </c:pt>
                <c:pt idx="1461">
                  <c:v>13.8</c:v>
                </c:pt>
                <c:pt idx="1462">
                  <c:v>14.2</c:v>
                </c:pt>
                <c:pt idx="1463">
                  <c:v>16.3</c:v>
                </c:pt>
                <c:pt idx="1464">
                  <c:v>17.5</c:v>
                </c:pt>
                <c:pt idx="1465">
                  <c:v>15.1</c:v>
                </c:pt>
                <c:pt idx="1466">
                  <c:v>15.3</c:v>
                </c:pt>
                <c:pt idx="1467">
                  <c:v>13.6</c:v>
                </c:pt>
                <c:pt idx="1468">
                  <c:v>15</c:v>
                </c:pt>
                <c:pt idx="1469">
                  <c:v>15.5</c:v>
                </c:pt>
                <c:pt idx="1470">
                  <c:v>15.4</c:v>
                </c:pt>
                <c:pt idx="1471">
                  <c:v>34.6</c:v>
                </c:pt>
                <c:pt idx="1472">
                  <c:v>37</c:v>
                </c:pt>
                <c:pt idx="1473">
                  <c:v>36.700000000000003</c:v>
                </c:pt>
                <c:pt idx="1474">
                  <c:v>33.9</c:v>
                </c:pt>
                <c:pt idx="1475">
                  <c:v>35.1</c:v>
                </c:pt>
                <c:pt idx="1476">
                  <c:v>31.6</c:v>
                </c:pt>
                <c:pt idx="1477">
                  <c:v>35.6</c:v>
                </c:pt>
                <c:pt idx="1478">
                  <c:v>35.9</c:v>
                </c:pt>
                <c:pt idx="1479">
                  <c:v>32.4</c:v>
                </c:pt>
                <c:pt idx="1480">
                  <c:v>36.1</c:v>
                </c:pt>
                <c:pt idx="1481">
                  <c:v>33.9</c:v>
                </c:pt>
                <c:pt idx="1482">
                  <c:v>35.200000000000003</c:v>
                </c:pt>
                <c:pt idx="1483">
                  <c:v>35.1</c:v>
                </c:pt>
                <c:pt idx="1484">
                  <c:v>34.5</c:v>
                </c:pt>
                <c:pt idx="1485">
                  <c:v>59.9</c:v>
                </c:pt>
                <c:pt idx="1486">
                  <c:v>55.6</c:v>
                </c:pt>
                <c:pt idx="1487">
                  <c:v>57.3</c:v>
                </c:pt>
                <c:pt idx="1488">
                  <c:v>58.1</c:v>
                </c:pt>
                <c:pt idx="1489">
                  <c:v>55.1</c:v>
                </c:pt>
                <c:pt idx="1490">
                  <c:v>55.4</c:v>
                </c:pt>
                <c:pt idx="1491">
                  <c:v>60.2</c:v>
                </c:pt>
                <c:pt idx="1492">
                  <c:v>56.1</c:v>
                </c:pt>
                <c:pt idx="1493">
                  <c:v>55.6</c:v>
                </c:pt>
                <c:pt idx="1494">
                  <c:v>56.2</c:v>
                </c:pt>
                <c:pt idx="1495">
                  <c:v>55.4</c:v>
                </c:pt>
                <c:pt idx="1496">
                  <c:v>56.5</c:v>
                </c:pt>
                <c:pt idx="1497">
                  <c:v>59.3</c:v>
                </c:pt>
                <c:pt idx="1498">
                  <c:v>55.1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15</c:v>
                </c:pt>
                <c:pt idx="1505">
                  <c:v>14.4</c:v>
                </c:pt>
                <c:pt idx="1506">
                  <c:v>15</c:v>
                </c:pt>
                <c:pt idx="1507">
                  <c:v>15.5</c:v>
                </c:pt>
                <c:pt idx="1508">
                  <c:v>15.1</c:v>
                </c:pt>
                <c:pt idx="1509">
                  <c:v>13.9</c:v>
                </c:pt>
                <c:pt idx="1510">
                  <c:v>14.7</c:v>
                </c:pt>
                <c:pt idx="1511">
                  <c:v>14.6</c:v>
                </c:pt>
                <c:pt idx="1512">
                  <c:v>13.9</c:v>
                </c:pt>
                <c:pt idx="1513">
                  <c:v>15.7</c:v>
                </c:pt>
                <c:pt idx="1514">
                  <c:v>14.2</c:v>
                </c:pt>
                <c:pt idx="1515">
                  <c:v>14.1</c:v>
                </c:pt>
                <c:pt idx="1516">
                  <c:v>15.7</c:v>
                </c:pt>
                <c:pt idx="1517">
                  <c:v>15.1</c:v>
                </c:pt>
                <c:pt idx="1518">
                  <c:v>15.8</c:v>
                </c:pt>
                <c:pt idx="1519">
                  <c:v>15.4</c:v>
                </c:pt>
                <c:pt idx="1520">
                  <c:v>38.1</c:v>
                </c:pt>
                <c:pt idx="1521">
                  <c:v>38.1</c:v>
                </c:pt>
                <c:pt idx="1522">
                  <c:v>38</c:v>
                </c:pt>
                <c:pt idx="1523">
                  <c:v>37.9</c:v>
                </c:pt>
                <c:pt idx="1524">
                  <c:v>33.1</c:v>
                </c:pt>
                <c:pt idx="1525">
                  <c:v>33.299999999999997</c:v>
                </c:pt>
                <c:pt idx="1526">
                  <c:v>34.700000000000003</c:v>
                </c:pt>
                <c:pt idx="1527">
                  <c:v>32.1</c:v>
                </c:pt>
                <c:pt idx="1528">
                  <c:v>33.799999999999997</c:v>
                </c:pt>
                <c:pt idx="1529">
                  <c:v>34</c:v>
                </c:pt>
                <c:pt idx="1530">
                  <c:v>33.6</c:v>
                </c:pt>
                <c:pt idx="1531">
                  <c:v>34.9</c:v>
                </c:pt>
                <c:pt idx="1532">
                  <c:v>35.700000000000003</c:v>
                </c:pt>
                <c:pt idx="1533">
                  <c:v>32.200000000000003</c:v>
                </c:pt>
                <c:pt idx="1534">
                  <c:v>33.1</c:v>
                </c:pt>
                <c:pt idx="1535">
                  <c:v>31.6</c:v>
                </c:pt>
                <c:pt idx="1536">
                  <c:v>56.4</c:v>
                </c:pt>
                <c:pt idx="1537">
                  <c:v>63.6</c:v>
                </c:pt>
                <c:pt idx="1538">
                  <c:v>61.9</c:v>
                </c:pt>
                <c:pt idx="1539">
                  <c:v>55.4</c:v>
                </c:pt>
                <c:pt idx="1540">
                  <c:v>58.7</c:v>
                </c:pt>
                <c:pt idx="1541">
                  <c:v>55.3</c:v>
                </c:pt>
                <c:pt idx="1542">
                  <c:v>55.4</c:v>
                </c:pt>
                <c:pt idx="1543">
                  <c:v>56</c:v>
                </c:pt>
                <c:pt idx="1544">
                  <c:v>55.5</c:v>
                </c:pt>
                <c:pt idx="1545">
                  <c:v>56.2</c:v>
                </c:pt>
                <c:pt idx="1546">
                  <c:v>56.6</c:v>
                </c:pt>
                <c:pt idx="1547">
                  <c:v>59</c:v>
                </c:pt>
                <c:pt idx="1548">
                  <c:v>55.2</c:v>
                </c:pt>
                <c:pt idx="1549">
                  <c:v>55.7</c:v>
                </c:pt>
                <c:pt idx="1550">
                  <c:v>57.4</c:v>
                </c:pt>
                <c:pt idx="1551">
                  <c:v>55.5</c:v>
                </c:pt>
                <c:pt idx="1552">
                  <c:v>14</c:v>
                </c:pt>
                <c:pt idx="1553">
                  <c:v>14.8</c:v>
                </c:pt>
                <c:pt idx="1554">
                  <c:v>14.4</c:v>
                </c:pt>
                <c:pt idx="1555">
                  <c:v>14.5</c:v>
                </c:pt>
                <c:pt idx="1556">
                  <c:v>13.4</c:v>
                </c:pt>
                <c:pt idx="1557">
                  <c:v>14.5</c:v>
                </c:pt>
                <c:pt idx="1558">
                  <c:v>34.4</c:v>
                </c:pt>
                <c:pt idx="1559">
                  <c:v>37.9</c:v>
                </c:pt>
                <c:pt idx="1560">
                  <c:v>33.9</c:v>
                </c:pt>
                <c:pt idx="1561">
                  <c:v>35.4</c:v>
                </c:pt>
                <c:pt idx="1562">
                  <c:v>33.299999999999997</c:v>
                </c:pt>
                <c:pt idx="1563">
                  <c:v>33</c:v>
                </c:pt>
                <c:pt idx="1564">
                  <c:v>59.5</c:v>
                </c:pt>
                <c:pt idx="1565">
                  <c:v>56.1</c:v>
                </c:pt>
                <c:pt idx="1566">
                  <c:v>55.4</c:v>
                </c:pt>
                <c:pt idx="1567">
                  <c:v>55.2</c:v>
                </c:pt>
                <c:pt idx="1568">
                  <c:v>56.2</c:v>
                </c:pt>
                <c:pt idx="1569">
                  <c:v>60.2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15.5</c:v>
                </c:pt>
                <c:pt idx="1577">
                  <c:v>15.5</c:v>
                </c:pt>
                <c:pt idx="1578">
                  <c:v>14.8</c:v>
                </c:pt>
                <c:pt idx="1579">
                  <c:v>15.7</c:v>
                </c:pt>
                <c:pt idx="1580">
                  <c:v>16.7</c:v>
                </c:pt>
                <c:pt idx="1581">
                  <c:v>0</c:v>
                </c:pt>
                <c:pt idx="1582">
                  <c:v>15.8</c:v>
                </c:pt>
                <c:pt idx="1583">
                  <c:v>17.7</c:v>
                </c:pt>
                <c:pt idx="1584">
                  <c:v>17.3</c:v>
                </c:pt>
                <c:pt idx="1585">
                  <c:v>38.1</c:v>
                </c:pt>
                <c:pt idx="1586">
                  <c:v>38.200000000000003</c:v>
                </c:pt>
                <c:pt idx="1587">
                  <c:v>38.6</c:v>
                </c:pt>
                <c:pt idx="1588">
                  <c:v>38.4</c:v>
                </c:pt>
                <c:pt idx="1589">
                  <c:v>36.200000000000003</c:v>
                </c:pt>
                <c:pt idx="1590">
                  <c:v>34.799999999999997</c:v>
                </c:pt>
                <c:pt idx="1591">
                  <c:v>35.799999999999997</c:v>
                </c:pt>
                <c:pt idx="1592">
                  <c:v>38.4</c:v>
                </c:pt>
                <c:pt idx="1593">
                  <c:v>55.4</c:v>
                </c:pt>
                <c:pt idx="1594">
                  <c:v>59.7</c:v>
                </c:pt>
                <c:pt idx="1595">
                  <c:v>60.1</c:v>
                </c:pt>
                <c:pt idx="1596">
                  <c:v>60.5</c:v>
                </c:pt>
                <c:pt idx="1597">
                  <c:v>61.9</c:v>
                </c:pt>
                <c:pt idx="1598">
                  <c:v>60.8</c:v>
                </c:pt>
                <c:pt idx="1599">
                  <c:v>63.1</c:v>
                </c:pt>
                <c:pt idx="1600">
                  <c:v>62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16</c:v>
                </c:pt>
                <c:pt idx="1608">
                  <c:v>14.6</c:v>
                </c:pt>
                <c:pt idx="1609">
                  <c:v>16.100000000000001</c:v>
                </c:pt>
                <c:pt idx="1610">
                  <c:v>16</c:v>
                </c:pt>
                <c:pt idx="1611">
                  <c:v>15.6</c:v>
                </c:pt>
                <c:pt idx="1612">
                  <c:v>15.7</c:v>
                </c:pt>
                <c:pt idx="1613">
                  <c:v>14.9</c:v>
                </c:pt>
                <c:pt idx="1614">
                  <c:v>15</c:v>
                </c:pt>
                <c:pt idx="1615">
                  <c:v>15.6</c:v>
                </c:pt>
                <c:pt idx="1616">
                  <c:v>15.2</c:v>
                </c:pt>
                <c:pt idx="1617">
                  <c:v>14.9</c:v>
                </c:pt>
                <c:pt idx="1618">
                  <c:v>15.9</c:v>
                </c:pt>
                <c:pt idx="1619">
                  <c:v>38.700000000000003</c:v>
                </c:pt>
                <c:pt idx="1620">
                  <c:v>37.9</c:v>
                </c:pt>
                <c:pt idx="1621">
                  <c:v>37.799999999999997</c:v>
                </c:pt>
                <c:pt idx="1622">
                  <c:v>37.9</c:v>
                </c:pt>
                <c:pt idx="1623">
                  <c:v>38.5</c:v>
                </c:pt>
                <c:pt idx="1624">
                  <c:v>38.5</c:v>
                </c:pt>
                <c:pt idx="1625">
                  <c:v>35.4</c:v>
                </c:pt>
                <c:pt idx="1626">
                  <c:v>35.200000000000003</c:v>
                </c:pt>
                <c:pt idx="1627">
                  <c:v>38.299999999999997</c:v>
                </c:pt>
                <c:pt idx="1628">
                  <c:v>37.5</c:v>
                </c:pt>
                <c:pt idx="1629">
                  <c:v>37.1</c:v>
                </c:pt>
                <c:pt idx="1630">
                  <c:v>38.1</c:v>
                </c:pt>
                <c:pt idx="1631">
                  <c:v>38.5</c:v>
                </c:pt>
                <c:pt idx="1632">
                  <c:v>36.200000000000003</c:v>
                </c:pt>
                <c:pt idx="1633">
                  <c:v>58.7</c:v>
                </c:pt>
                <c:pt idx="1634">
                  <c:v>61</c:v>
                </c:pt>
                <c:pt idx="1635">
                  <c:v>56.6</c:v>
                </c:pt>
                <c:pt idx="1636">
                  <c:v>60.5</c:v>
                </c:pt>
                <c:pt idx="1637">
                  <c:v>63.4</c:v>
                </c:pt>
                <c:pt idx="1638">
                  <c:v>60.9</c:v>
                </c:pt>
                <c:pt idx="1639">
                  <c:v>60.1</c:v>
                </c:pt>
                <c:pt idx="1640">
                  <c:v>58.5</c:v>
                </c:pt>
                <c:pt idx="1641">
                  <c:v>61.9</c:v>
                </c:pt>
                <c:pt idx="1642">
                  <c:v>62.1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15.7</c:v>
                </c:pt>
                <c:pt idx="1654">
                  <c:v>15.8</c:v>
                </c:pt>
                <c:pt idx="1655">
                  <c:v>14.1</c:v>
                </c:pt>
                <c:pt idx="1656">
                  <c:v>15.7</c:v>
                </c:pt>
                <c:pt idx="1657">
                  <c:v>15</c:v>
                </c:pt>
                <c:pt idx="1658">
                  <c:v>15.5</c:v>
                </c:pt>
                <c:pt idx="1659">
                  <c:v>14.8</c:v>
                </c:pt>
                <c:pt idx="1660">
                  <c:v>16.100000000000001</c:v>
                </c:pt>
                <c:pt idx="1661">
                  <c:v>15.5</c:v>
                </c:pt>
                <c:pt idx="1662">
                  <c:v>15.7</c:v>
                </c:pt>
                <c:pt idx="1663">
                  <c:v>15.8</c:v>
                </c:pt>
                <c:pt idx="1664">
                  <c:v>16.5</c:v>
                </c:pt>
                <c:pt idx="1665">
                  <c:v>14.4</c:v>
                </c:pt>
                <c:pt idx="1666">
                  <c:v>14.4</c:v>
                </c:pt>
                <c:pt idx="1667">
                  <c:v>36.6</c:v>
                </c:pt>
                <c:pt idx="1668">
                  <c:v>34.4</c:v>
                </c:pt>
                <c:pt idx="1669">
                  <c:v>37.4</c:v>
                </c:pt>
                <c:pt idx="1670">
                  <c:v>35.6</c:v>
                </c:pt>
                <c:pt idx="1671">
                  <c:v>36.9</c:v>
                </c:pt>
                <c:pt idx="1672">
                  <c:v>37.1</c:v>
                </c:pt>
                <c:pt idx="1673">
                  <c:v>37.299999999999997</c:v>
                </c:pt>
                <c:pt idx="1674">
                  <c:v>37.5</c:v>
                </c:pt>
                <c:pt idx="1675">
                  <c:v>37.700000000000003</c:v>
                </c:pt>
                <c:pt idx="1676">
                  <c:v>36.299999999999997</c:v>
                </c:pt>
                <c:pt idx="1677">
                  <c:v>37.200000000000003</c:v>
                </c:pt>
                <c:pt idx="1678">
                  <c:v>37</c:v>
                </c:pt>
                <c:pt idx="1679">
                  <c:v>35</c:v>
                </c:pt>
                <c:pt idx="1680">
                  <c:v>37.700000000000003</c:v>
                </c:pt>
                <c:pt idx="1681">
                  <c:v>61.2</c:v>
                </c:pt>
                <c:pt idx="1682">
                  <c:v>60.8</c:v>
                </c:pt>
                <c:pt idx="1683">
                  <c:v>63.4</c:v>
                </c:pt>
                <c:pt idx="1684">
                  <c:v>60.1</c:v>
                </c:pt>
                <c:pt idx="1685">
                  <c:v>59.8</c:v>
                </c:pt>
                <c:pt idx="1686">
                  <c:v>62.1</c:v>
                </c:pt>
                <c:pt idx="1687">
                  <c:v>61.7</c:v>
                </c:pt>
                <c:pt idx="1688">
                  <c:v>62</c:v>
                </c:pt>
                <c:pt idx="1689">
                  <c:v>64.2</c:v>
                </c:pt>
                <c:pt idx="1690">
                  <c:v>60.9</c:v>
                </c:pt>
                <c:pt idx="1691">
                  <c:v>62.8</c:v>
                </c:pt>
                <c:pt idx="1692">
                  <c:v>58.3</c:v>
                </c:pt>
                <c:pt idx="1693">
                  <c:v>60.2</c:v>
                </c:pt>
                <c:pt idx="1694">
                  <c:v>59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15.5</c:v>
                </c:pt>
                <c:pt idx="1712">
                  <c:v>14.5</c:v>
                </c:pt>
                <c:pt idx="1713">
                  <c:v>13.9</c:v>
                </c:pt>
                <c:pt idx="1714">
                  <c:v>14.6</c:v>
                </c:pt>
                <c:pt idx="1715">
                  <c:v>13.7</c:v>
                </c:pt>
                <c:pt idx="1716">
                  <c:v>13.7</c:v>
                </c:pt>
                <c:pt idx="1717">
                  <c:v>14.3</c:v>
                </c:pt>
                <c:pt idx="1718">
                  <c:v>16.899999999999999</c:v>
                </c:pt>
                <c:pt idx="1719">
                  <c:v>17.2</c:v>
                </c:pt>
                <c:pt idx="1720">
                  <c:v>16.2</c:v>
                </c:pt>
                <c:pt idx="1721">
                  <c:v>17.100000000000001</c:v>
                </c:pt>
                <c:pt idx="1722">
                  <c:v>16.2</c:v>
                </c:pt>
                <c:pt idx="1723">
                  <c:v>15.8</c:v>
                </c:pt>
                <c:pt idx="1724">
                  <c:v>14.8</c:v>
                </c:pt>
                <c:pt idx="1725">
                  <c:v>14.3</c:v>
                </c:pt>
                <c:pt idx="1726">
                  <c:v>15</c:v>
                </c:pt>
                <c:pt idx="1727">
                  <c:v>14.7</c:v>
                </c:pt>
                <c:pt idx="1728">
                  <c:v>12.9</c:v>
                </c:pt>
                <c:pt idx="1729">
                  <c:v>37.200000000000003</c:v>
                </c:pt>
                <c:pt idx="1730">
                  <c:v>34.6</c:v>
                </c:pt>
                <c:pt idx="1731">
                  <c:v>34.6</c:v>
                </c:pt>
                <c:pt idx="1732">
                  <c:v>35.9</c:v>
                </c:pt>
                <c:pt idx="1733">
                  <c:v>35.6</c:v>
                </c:pt>
                <c:pt idx="1734">
                  <c:v>36.9</c:v>
                </c:pt>
                <c:pt idx="1735">
                  <c:v>37.5</c:v>
                </c:pt>
                <c:pt idx="1736">
                  <c:v>32.6</c:v>
                </c:pt>
                <c:pt idx="1737">
                  <c:v>36</c:v>
                </c:pt>
                <c:pt idx="1738">
                  <c:v>32.700000000000003</c:v>
                </c:pt>
                <c:pt idx="1739">
                  <c:v>38.200000000000003</c:v>
                </c:pt>
                <c:pt idx="1740">
                  <c:v>37.700000000000003</c:v>
                </c:pt>
                <c:pt idx="1741">
                  <c:v>37.200000000000003</c:v>
                </c:pt>
                <c:pt idx="1742">
                  <c:v>38</c:v>
                </c:pt>
                <c:pt idx="1743">
                  <c:v>36.799999999999997</c:v>
                </c:pt>
                <c:pt idx="1744">
                  <c:v>37.200000000000003</c:v>
                </c:pt>
                <c:pt idx="1745">
                  <c:v>38</c:v>
                </c:pt>
                <c:pt idx="1746">
                  <c:v>36.4</c:v>
                </c:pt>
                <c:pt idx="1747">
                  <c:v>58</c:v>
                </c:pt>
                <c:pt idx="1748">
                  <c:v>57.3</c:v>
                </c:pt>
                <c:pt idx="1749">
                  <c:v>62.8</c:v>
                </c:pt>
                <c:pt idx="1750">
                  <c:v>61.2</c:v>
                </c:pt>
                <c:pt idx="1751">
                  <c:v>63</c:v>
                </c:pt>
                <c:pt idx="1752">
                  <c:v>62.1</c:v>
                </c:pt>
                <c:pt idx="1753">
                  <c:v>58.7</c:v>
                </c:pt>
                <c:pt idx="1754">
                  <c:v>58.8</c:v>
                </c:pt>
                <c:pt idx="1755">
                  <c:v>57.9</c:v>
                </c:pt>
                <c:pt idx="1756">
                  <c:v>58.8</c:v>
                </c:pt>
                <c:pt idx="1757">
                  <c:v>64</c:v>
                </c:pt>
                <c:pt idx="1758">
                  <c:v>60.6</c:v>
                </c:pt>
                <c:pt idx="1759">
                  <c:v>59.7</c:v>
                </c:pt>
                <c:pt idx="1760">
                  <c:v>55.5</c:v>
                </c:pt>
                <c:pt idx="1761">
                  <c:v>56.7</c:v>
                </c:pt>
                <c:pt idx="1762">
                  <c:v>58.2</c:v>
                </c:pt>
                <c:pt idx="1763">
                  <c:v>61</c:v>
                </c:pt>
                <c:pt idx="1764">
                  <c:v>56.2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16</c:v>
                </c:pt>
                <c:pt idx="1771">
                  <c:v>15.2</c:v>
                </c:pt>
                <c:pt idx="1772">
                  <c:v>15.4</c:v>
                </c:pt>
                <c:pt idx="1773">
                  <c:v>17</c:v>
                </c:pt>
                <c:pt idx="1774">
                  <c:v>16</c:v>
                </c:pt>
                <c:pt idx="1775">
                  <c:v>16.600000000000001</c:v>
                </c:pt>
                <c:pt idx="1776">
                  <c:v>16</c:v>
                </c:pt>
                <c:pt idx="1777">
                  <c:v>15.7</c:v>
                </c:pt>
                <c:pt idx="1778">
                  <c:v>16.100000000000001</c:v>
                </c:pt>
                <c:pt idx="1779">
                  <c:v>17.7</c:v>
                </c:pt>
                <c:pt idx="1780">
                  <c:v>15.5</c:v>
                </c:pt>
                <c:pt idx="1781">
                  <c:v>16.5</c:v>
                </c:pt>
                <c:pt idx="1782">
                  <c:v>16.8</c:v>
                </c:pt>
                <c:pt idx="1783">
                  <c:v>15.6</c:v>
                </c:pt>
                <c:pt idx="1784">
                  <c:v>35.9</c:v>
                </c:pt>
                <c:pt idx="1785">
                  <c:v>35.200000000000003</c:v>
                </c:pt>
                <c:pt idx="1786">
                  <c:v>38.1</c:v>
                </c:pt>
                <c:pt idx="1787">
                  <c:v>38.5</c:v>
                </c:pt>
                <c:pt idx="1788">
                  <c:v>37.5</c:v>
                </c:pt>
                <c:pt idx="1789">
                  <c:v>38.4</c:v>
                </c:pt>
                <c:pt idx="1790">
                  <c:v>35</c:v>
                </c:pt>
                <c:pt idx="1791">
                  <c:v>36.700000000000003</c:v>
                </c:pt>
                <c:pt idx="1792">
                  <c:v>36.4</c:v>
                </c:pt>
                <c:pt idx="1793">
                  <c:v>36.9</c:v>
                </c:pt>
                <c:pt idx="1794">
                  <c:v>38.700000000000003</c:v>
                </c:pt>
                <c:pt idx="1795">
                  <c:v>35.4</c:v>
                </c:pt>
                <c:pt idx="1796">
                  <c:v>37.4</c:v>
                </c:pt>
                <c:pt idx="1797">
                  <c:v>34.200000000000003</c:v>
                </c:pt>
                <c:pt idx="1798">
                  <c:v>57.3</c:v>
                </c:pt>
                <c:pt idx="1799">
                  <c:v>60.2</c:v>
                </c:pt>
                <c:pt idx="1800">
                  <c:v>63.1</c:v>
                </c:pt>
                <c:pt idx="1801">
                  <c:v>57.7</c:v>
                </c:pt>
                <c:pt idx="1802">
                  <c:v>59</c:v>
                </c:pt>
                <c:pt idx="1803">
                  <c:v>56.7</c:v>
                </c:pt>
                <c:pt idx="1804">
                  <c:v>60.4</c:v>
                </c:pt>
                <c:pt idx="1805">
                  <c:v>56.6</c:v>
                </c:pt>
                <c:pt idx="1806">
                  <c:v>64.2</c:v>
                </c:pt>
                <c:pt idx="1807">
                  <c:v>60</c:v>
                </c:pt>
                <c:pt idx="1808">
                  <c:v>63.2</c:v>
                </c:pt>
                <c:pt idx="1809">
                  <c:v>59.2</c:v>
                </c:pt>
                <c:pt idx="1810">
                  <c:v>63.5</c:v>
                </c:pt>
                <c:pt idx="1811">
                  <c:v>60.1</c:v>
                </c:pt>
                <c:pt idx="1812">
                  <c:v>0</c:v>
                </c:pt>
                <c:pt idx="1813">
                  <c:v>0</c:v>
                </c:pt>
                <c:pt idx="1814">
                  <c:v>17.5</c:v>
                </c:pt>
                <c:pt idx="1815">
                  <c:v>16.899999999999999</c:v>
                </c:pt>
                <c:pt idx="1816">
                  <c:v>16.899999999999999</c:v>
                </c:pt>
                <c:pt idx="1817">
                  <c:v>14.4</c:v>
                </c:pt>
                <c:pt idx="1818">
                  <c:v>15.6</c:v>
                </c:pt>
                <c:pt idx="1819">
                  <c:v>16.3</c:v>
                </c:pt>
                <c:pt idx="1820">
                  <c:v>17.7</c:v>
                </c:pt>
                <c:pt idx="1821">
                  <c:v>15.8</c:v>
                </c:pt>
                <c:pt idx="1822">
                  <c:v>16.899999999999999</c:v>
                </c:pt>
                <c:pt idx="1823">
                  <c:v>17.600000000000001</c:v>
                </c:pt>
                <c:pt idx="1824">
                  <c:v>38.299999999999997</c:v>
                </c:pt>
                <c:pt idx="1825">
                  <c:v>38.5</c:v>
                </c:pt>
                <c:pt idx="1826">
                  <c:v>35.299999999999997</c:v>
                </c:pt>
                <c:pt idx="1827">
                  <c:v>37</c:v>
                </c:pt>
                <c:pt idx="1828">
                  <c:v>35.6</c:v>
                </c:pt>
                <c:pt idx="1829">
                  <c:v>37.299999999999997</c:v>
                </c:pt>
                <c:pt idx="1830">
                  <c:v>36.799999999999997</c:v>
                </c:pt>
                <c:pt idx="1831">
                  <c:v>37.9</c:v>
                </c:pt>
                <c:pt idx="1832">
                  <c:v>37.5</c:v>
                </c:pt>
                <c:pt idx="1833">
                  <c:v>37.799999999999997</c:v>
                </c:pt>
                <c:pt idx="1834">
                  <c:v>55.4</c:v>
                </c:pt>
                <c:pt idx="1835">
                  <c:v>60.6</c:v>
                </c:pt>
                <c:pt idx="1836">
                  <c:v>58.4</c:v>
                </c:pt>
                <c:pt idx="1837">
                  <c:v>61.3</c:v>
                </c:pt>
                <c:pt idx="1838">
                  <c:v>58.7</c:v>
                </c:pt>
                <c:pt idx="1839">
                  <c:v>55.8</c:v>
                </c:pt>
                <c:pt idx="1840">
                  <c:v>61.5</c:v>
                </c:pt>
                <c:pt idx="1841">
                  <c:v>58.1</c:v>
                </c:pt>
                <c:pt idx="1842">
                  <c:v>58.5</c:v>
                </c:pt>
                <c:pt idx="1843">
                  <c:v>55.7</c:v>
                </c:pt>
                <c:pt idx="1844">
                  <c:v>56.8</c:v>
                </c:pt>
                <c:pt idx="1845">
                  <c:v>0</c:v>
                </c:pt>
                <c:pt idx="1846">
                  <c:v>0</c:v>
                </c:pt>
                <c:pt idx="1847">
                  <c:v>16.100000000000001</c:v>
                </c:pt>
                <c:pt idx="1848">
                  <c:v>16.399999999999999</c:v>
                </c:pt>
                <c:pt idx="1849">
                  <c:v>15.9</c:v>
                </c:pt>
                <c:pt idx="1850">
                  <c:v>16.399999999999999</c:v>
                </c:pt>
                <c:pt idx="1851">
                  <c:v>17</c:v>
                </c:pt>
                <c:pt idx="1852">
                  <c:v>17.3</c:v>
                </c:pt>
                <c:pt idx="1853">
                  <c:v>34.1</c:v>
                </c:pt>
                <c:pt idx="1854">
                  <c:v>35.200000000000003</c:v>
                </c:pt>
                <c:pt idx="1855">
                  <c:v>34.200000000000003</c:v>
                </c:pt>
                <c:pt idx="1856">
                  <c:v>35.799999999999997</c:v>
                </c:pt>
                <c:pt idx="1857">
                  <c:v>36.6</c:v>
                </c:pt>
                <c:pt idx="1858">
                  <c:v>37.799999999999997</c:v>
                </c:pt>
                <c:pt idx="1859">
                  <c:v>57.1</c:v>
                </c:pt>
                <c:pt idx="1860">
                  <c:v>57.3</c:v>
                </c:pt>
                <c:pt idx="1861">
                  <c:v>56.8</c:v>
                </c:pt>
                <c:pt idx="1862">
                  <c:v>55.8</c:v>
                </c:pt>
                <c:pt idx="1863">
                  <c:v>55.7</c:v>
                </c:pt>
                <c:pt idx="1864">
                  <c:v>60.1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16.399999999999999</c:v>
                </c:pt>
                <c:pt idx="1872">
                  <c:v>16.7</c:v>
                </c:pt>
                <c:pt idx="1873">
                  <c:v>14.2</c:v>
                </c:pt>
                <c:pt idx="1874">
                  <c:v>13.5</c:v>
                </c:pt>
                <c:pt idx="1875">
                  <c:v>14.5</c:v>
                </c:pt>
                <c:pt idx="1876">
                  <c:v>16.399999999999999</c:v>
                </c:pt>
                <c:pt idx="1877">
                  <c:v>16.5</c:v>
                </c:pt>
                <c:pt idx="1878">
                  <c:v>14.2</c:v>
                </c:pt>
                <c:pt idx="1879">
                  <c:v>14.1</c:v>
                </c:pt>
                <c:pt idx="1880">
                  <c:v>14.5</c:v>
                </c:pt>
                <c:pt idx="1881">
                  <c:v>13.4</c:v>
                </c:pt>
                <c:pt idx="1882">
                  <c:v>14.4</c:v>
                </c:pt>
                <c:pt idx="1883">
                  <c:v>16</c:v>
                </c:pt>
                <c:pt idx="1884">
                  <c:v>15.4</c:v>
                </c:pt>
                <c:pt idx="1885">
                  <c:v>15.1</c:v>
                </c:pt>
                <c:pt idx="1886">
                  <c:v>15.3</c:v>
                </c:pt>
                <c:pt idx="1887">
                  <c:v>15.5</c:v>
                </c:pt>
                <c:pt idx="1888">
                  <c:v>31.7</c:v>
                </c:pt>
                <c:pt idx="1889">
                  <c:v>31.6</c:v>
                </c:pt>
                <c:pt idx="1890">
                  <c:v>35.5</c:v>
                </c:pt>
                <c:pt idx="1891">
                  <c:v>34.700000000000003</c:v>
                </c:pt>
                <c:pt idx="1892">
                  <c:v>33.299999999999997</c:v>
                </c:pt>
                <c:pt idx="1893">
                  <c:v>36.4</c:v>
                </c:pt>
                <c:pt idx="1894">
                  <c:v>36.9</c:v>
                </c:pt>
                <c:pt idx="1895">
                  <c:v>32.299999999999997</c:v>
                </c:pt>
                <c:pt idx="1896">
                  <c:v>33.700000000000003</c:v>
                </c:pt>
                <c:pt idx="1897">
                  <c:v>36.9</c:v>
                </c:pt>
                <c:pt idx="1898">
                  <c:v>33.700000000000003</c:v>
                </c:pt>
                <c:pt idx="1899">
                  <c:v>36.299999999999997</c:v>
                </c:pt>
                <c:pt idx="1900">
                  <c:v>33</c:v>
                </c:pt>
                <c:pt idx="1901">
                  <c:v>35.799999999999997</c:v>
                </c:pt>
                <c:pt idx="1902">
                  <c:v>31.3</c:v>
                </c:pt>
                <c:pt idx="1903">
                  <c:v>32.200000000000003</c:v>
                </c:pt>
                <c:pt idx="1904">
                  <c:v>33.4</c:v>
                </c:pt>
                <c:pt idx="1905">
                  <c:v>35.5</c:v>
                </c:pt>
                <c:pt idx="1906">
                  <c:v>36.200000000000003</c:v>
                </c:pt>
                <c:pt idx="1907">
                  <c:v>38.799999999999997</c:v>
                </c:pt>
                <c:pt idx="1908">
                  <c:v>55.7</c:v>
                </c:pt>
                <c:pt idx="1909">
                  <c:v>61.7</c:v>
                </c:pt>
                <c:pt idx="1910">
                  <c:v>56.4</c:v>
                </c:pt>
                <c:pt idx="1911">
                  <c:v>62.3</c:v>
                </c:pt>
                <c:pt idx="1912">
                  <c:v>53.3</c:v>
                </c:pt>
                <c:pt idx="1913">
                  <c:v>55.2</c:v>
                </c:pt>
                <c:pt idx="1914">
                  <c:v>54.2</c:v>
                </c:pt>
                <c:pt idx="1915">
                  <c:v>56.8</c:v>
                </c:pt>
                <c:pt idx="1916">
                  <c:v>56.5</c:v>
                </c:pt>
                <c:pt idx="1917">
                  <c:v>57.9</c:v>
                </c:pt>
                <c:pt idx="1918">
                  <c:v>55.5</c:v>
                </c:pt>
                <c:pt idx="1919">
                  <c:v>55.2</c:v>
                </c:pt>
                <c:pt idx="1920">
                  <c:v>57.1</c:v>
                </c:pt>
                <c:pt idx="1921">
                  <c:v>51.8</c:v>
                </c:pt>
                <c:pt idx="1922">
                  <c:v>54.3</c:v>
                </c:pt>
                <c:pt idx="1923">
                  <c:v>57.2</c:v>
                </c:pt>
                <c:pt idx="1924">
                  <c:v>55.4</c:v>
                </c:pt>
                <c:pt idx="1925">
                  <c:v>56.6</c:v>
                </c:pt>
                <c:pt idx="1926">
                  <c:v>55.2</c:v>
                </c:pt>
                <c:pt idx="1927">
                  <c:v>61.1</c:v>
                </c:pt>
                <c:pt idx="1928">
                  <c:v>56.3</c:v>
                </c:pt>
                <c:pt idx="1929">
                  <c:v>61.2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12.8</c:v>
                </c:pt>
                <c:pt idx="1939">
                  <c:v>15.8</c:v>
                </c:pt>
                <c:pt idx="1940">
                  <c:v>14.5</c:v>
                </c:pt>
                <c:pt idx="1941">
                  <c:v>13.1</c:v>
                </c:pt>
                <c:pt idx="1942">
                  <c:v>14.6</c:v>
                </c:pt>
                <c:pt idx="1943">
                  <c:v>13.2</c:v>
                </c:pt>
                <c:pt idx="1944">
                  <c:v>14.6</c:v>
                </c:pt>
                <c:pt idx="1945">
                  <c:v>15.9</c:v>
                </c:pt>
                <c:pt idx="1946">
                  <c:v>12.7</c:v>
                </c:pt>
                <c:pt idx="1947">
                  <c:v>12</c:v>
                </c:pt>
                <c:pt idx="1948">
                  <c:v>14.5</c:v>
                </c:pt>
                <c:pt idx="1949">
                  <c:v>13.5</c:v>
                </c:pt>
                <c:pt idx="1950">
                  <c:v>15.1</c:v>
                </c:pt>
                <c:pt idx="1951">
                  <c:v>16.5</c:v>
                </c:pt>
                <c:pt idx="1952">
                  <c:v>13.5</c:v>
                </c:pt>
                <c:pt idx="1953">
                  <c:v>13.6</c:v>
                </c:pt>
                <c:pt idx="1954">
                  <c:v>15.3</c:v>
                </c:pt>
                <c:pt idx="1955">
                  <c:v>14.5</c:v>
                </c:pt>
                <c:pt idx="1956">
                  <c:v>14.2</c:v>
                </c:pt>
                <c:pt idx="1957">
                  <c:v>14.2</c:v>
                </c:pt>
                <c:pt idx="1958">
                  <c:v>16.7</c:v>
                </c:pt>
                <c:pt idx="1959">
                  <c:v>34</c:v>
                </c:pt>
                <c:pt idx="1960">
                  <c:v>35.6</c:v>
                </c:pt>
                <c:pt idx="1961">
                  <c:v>37.200000000000003</c:v>
                </c:pt>
                <c:pt idx="1962">
                  <c:v>33.5</c:v>
                </c:pt>
                <c:pt idx="1963">
                  <c:v>36</c:v>
                </c:pt>
                <c:pt idx="1964">
                  <c:v>34.6</c:v>
                </c:pt>
                <c:pt idx="1965">
                  <c:v>33.1</c:v>
                </c:pt>
                <c:pt idx="1966">
                  <c:v>33.4</c:v>
                </c:pt>
                <c:pt idx="1967">
                  <c:v>31.5</c:v>
                </c:pt>
                <c:pt idx="1968">
                  <c:v>31.4</c:v>
                </c:pt>
                <c:pt idx="1969">
                  <c:v>33.9</c:v>
                </c:pt>
                <c:pt idx="1970">
                  <c:v>32.799999999999997</c:v>
                </c:pt>
                <c:pt idx="1971">
                  <c:v>34.5</c:v>
                </c:pt>
                <c:pt idx="1972">
                  <c:v>33.1</c:v>
                </c:pt>
                <c:pt idx="1973">
                  <c:v>33.299999999999997</c:v>
                </c:pt>
                <c:pt idx="1974">
                  <c:v>32.700000000000003</c:v>
                </c:pt>
                <c:pt idx="1975">
                  <c:v>32.4</c:v>
                </c:pt>
                <c:pt idx="1976">
                  <c:v>35.6</c:v>
                </c:pt>
                <c:pt idx="1977">
                  <c:v>35.200000000000003</c:v>
                </c:pt>
                <c:pt idx="1978">
                  <c:v>31.1</c:v>
                </c:pt>
                <c:pt idx="1979">
                  <c:v>32.6</c:v>
                </c:pt>
                <c:pt idx="1980">
                  <c:v>56.7</c:v>
                </c:pt>
                <c:pt idx="1981">
                  <c:v>55.6</c:v>
                </c:pt>
                <c:pt idx="1982">
                  <c:v>60</c:v>
                </c:pt>
                <c:pt idx="1983">
                  <c:v>59.7</c:v>
                </c:pt>
                <c:pt idx="1984">
                  <c:v>59.3</c:v>
                </c:pt>
                <c:pt idx="1985">
                  <c:v>57.2</c:v>
                </c:pt>
                <c:pt idx="1986">
                  <c:v>55.3</c:v>
                </c:pt>
                <c:pt idx="1987">
                  <c:v>56.9</c:v>
                </c:pt>
                <c:pt idx="1988">
                  <c:v>59.1</c:v>
                </c:pt>
                <c:pt idx="1989">
                  <c:v>50.1</c:v>
                </c:pt>
                <c:pt idx="1990">
                  <c:v>55.5</c:v>
                </c:pt>
                <c:pt idx="1991">
                  <c:v>55.9</c:v>
                </c:pt>
                <c:pt idx="1992">
                  <c:v>48.7</c:v>
                </c:pt>
                <c:pt idx="1993">
                  <c:v>50.7</c:v>
                </c:pt>
                <c:pt idx="1994">
                  <c:v>56.3</c:v>
                </c:pt>
                <c:pt idx="1995">
                  <c:v>56.9</c:v>
                </c:pt>
                <c:pt idx="1996">
                  <c:v>55.4</c:v>
                </c:pt>
                <c:pt idx="1997">
                  <c:v>55.7</c:v>
                </c:pt>
                <c:pt idx="1998">
                  <c:v>55.4</c:v>
                </c:pt>
                <c:pt idx="1999">
                  <c:v>52.7</c:v>
                </c:pt>
                <c:pt idx="2000">
                  <c:v>54.7</c:v>
                </c:pt>
                <c:pt idx="2001">
                  <c:v>0.1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16</c:v>
                </c:pt>
                <c:pt idx="2008">
                  <c:v>14.8</c:v>
                </c:pt>
                <c:pt idx="2009">
                  <c:v>15.4</c:v>
                </c:pt>
                <c:pt idx="2010">
                  <c:v>14.3</c:v>
                </c:pt>
                <c:pt idx="2011">
                  <c:v>15.6</c:v>
                </c:pt>
                <c:pt idx="2012">
                  <c:v>13.9</c:v>
                </c:pt>
                <c:pt idx="2013">
                  <c:v>12.7</c:v>
                </c:pt>
                <c:pt idx="2014">
                  <c:v>13.8</c:v>
                </c:pt>
                <c:pt idx="2015">
                  <c:v>13.9</c:v>
                </c:pt>
                <c:pt idx="2016">
                  <c:v>13.5</c:v>
                </c:pt>
                <c:pt idx="2017">
                  <c:v>13.9</c:v>
                </c:pt>
                <c:pt idx="2018">
                  <c:v>12.9</c:v>
                </c:pt>
                <c:pt idx="2019">
                  <c:v>12.6</c:v>
                </c:pt>
                <c:pt idx="2020">
                  <c:v>13.2</c:v>
                </c:pt>
                <c:pt idx="2021">
                  <c:v>15</c:v>
                </c:pt>
                <c:pt idx="2022">
                  <c:v>15.8</c:v>
                </c:pt>
                <c:pt idx="2023">
                  <c:v>15</c:v>
                </c:pt>
                <c:pt idx="2024">
                  <c:v>14.7</c:v>
                </c:pt>
                <c:pt idx="2025">
                  <c:v>14.1</c:v>
                </c:pt>
                <c:pt idx="2026">
                  <c:v>12.9</c:v>
                </c:pt>
                <c:pt idx="2027">
                  <c:v>33.700000000000003</c:v>
                </c:pt>
                <c:pt idx="2028">
                  <c:v>32.4</c:v>
                </c:pt>
                <c:pt idx="2029">
                  <c:v>31.5</c:v>
                </c:pt>
                <c:pt idx="2030">
                  <c:v>33.799999999999997</c:v>
                </c:pt>
                <c:pt idx="2031">
                  <c:v>35.700000000000003</c:v>
                </c:pt>
                <c:pt idx="2032">
                  <c:v>35</c:v>
                </c:pt>
                <c:pt idx="2033">
                  <c:v>31.3</c:v>
                </c:pt>
                <c:pt idx="2034">
                  <c:v>30.4</c:v>
                </c:pt>
                <c:pt idx="2035">
                  <c:v>33.5</c:v>
                </c:pt>
                <c:pt idx="2036">
                  <c:v>31.3</c:v>
                </c:pt>
                <c:pt idx="2037">
                  <c:v>33.1</c:v>
                </c:pt>
                <c:pt idx="2038">
                  <c:v>32.1</c:v>
                </c:pt>
                <c:pt idx="2039">
                  <c:v>32.700000000000003</c:v>
                </c:pt>
                <c:pt idx="2040">
                  <c:v>31.6</c:v>
                </c:pt>
                <c:pt idx="2041">
                  <c:v>33.5</c:v>
                </c:pt>
                <c:pt idx="2042">
                  <c:v>32.4</c:v>
                </c:pt>
                <c:pt idx="2043">
                  <c:v>34.799999999999997</c:v>
                </c:pt>
                <c:pt idx="2044">
                  <c:v>35.200000000000003</c:v>
                </c:pt>
                <c:pt idx="2045">
                  <c:v>32.700000000000003</c:v>
                </c:pt>
                <c:pt idx="2046">
                  <c:v>33.700000000000003</c:v>
                </c:pt>
                <c:pt idx="2047">
                  <c:v>33.5</c:v>
                </c:pt>
                <c:pt idx="2048">
                  <c:v>55.6</c:v>
                </c:pt>
                <c:pt idx="2049">
                  <c:v>56</c:v>
                </c:pt>
                <c:pt idx="2050">
                  <c:v>56.2</c:v>
                </c:pt>
                <c:pt idx="2051">
                  <c:v>61.4</c:v>
                </c:pt>
                <c:pt idx="2052">
                  <c:v>60.3</c:v>
                </c:pt>
                <c:pt idx="2053">
                  <c:v>59</c:v>
                </c:pt>
                <c:pt idx="2054">
                  <c:v>57.2</c:v>
                </c:pt>
                <c:pt idx="2055">
                  <c:v>53.6</c:v>
                </c:pt>
                <c:pt idx="2056">
                  <c:v>57.6</c:v>
                </c:pt>
                <c:pt idx="2057">
                  <c:v>57</c:v>
                </c:pt>
                <c:pt idx="2058">
                  <c:v>55.1</c:v>
                </c:pt>
                <c:pt idx="2059">
                  <c:v>56.6</c:v>
                </c:pt>
                <c:pt idx="2060">
                  <c:v>58.4</c:v>
                </c:pt>
                <c:pt idx="2061">
                  <c:v>55.7</c:v>
                </c:pt>
                <c:pt idx="2062">
                  <c:v>57.1</c:v>
                </c:pt>
                <c:pt idx="2063">
                  <c:v>57.5</c:v>
                </c:pt>
                <c:pt idx="2064">
                  <c:v>56.5</c:v>
                </c:pt>
                <c:pt idx="2065">
                  <c:v>55.9</c:v>
                </c:pt>
                <c:pt idx="2066">
                  <c:v>55.7</c:v>
                </c:pt>
                <c:pt idx="2067">
                  <c:v>56.7</c:v>
                </c:pt>
                <c:pt idx="2068">
                  <c:v>55.5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16</c:v>
                </c:pt>
                <c:pt idx="2075">
                  <c:v>15.8</c:v>
                </c:pt>
                <c:pt idx="2076">
                  <c:v>16.7</c:v>
                </c:pt>
                <c:pt idx="2077">
                  <c:v>16.8</c:v>
                </c:pt>
                <c:pt idx="2078">
                  <c:v>14.3</c:v>
                </c:pt>
                <c:pt idx="2079">
                  <c:v>13.4</c:v>
                </c:pt>
                <c:pt idx="2080">
                  <c:v>13.6</c:v>
                </c:pt>
                <c:pt idx="2081">
                  <c:v>14.3</c:v>
                </c:pt>
                <c:pt idx="2082">
                  <c:v>15.6</c:v>
                </c:pt>
                <c:pt idx="2083">
                  <c:v>13.9</c:v>
                </c:pt>
                <c:pt idx="2084">
                  <c:v>14.6</c:v>
                </c:pt>
                <c:pt idx="2085">
                  <c:v>16.600000000000001</c:v>
                </c:pt>
                <c:pt idx="2086">
                  <c:v>14.6</c:v>
                </c:pt>
                <c:pt idx="2087">
                  <c:v>15.3</c:v>
                </c:pt>
                <c:pt idx="2088">
                  <c:v>33.299999999999997</c:v>
                </c:pt>
                <c:pt idx="2089">
                  <c:v>32.6</c:v>
                </c:pt>
                <c:pt idx="2090">
                  <c:v>37.299999999999997</c:v>
                </c:pt>
                <c:pt idx="2091">
                  <c:v>35.6</c:v>
                </c:pt>
                <c:pt idx="2092">
                  <c:v>34.6</c:v>
                </c:pt>
                <c:pt idx="2093">
                  <c:v>34.6</c:v>
                </c:pt>
                <c:pt idx="2094">
                  <c:v>35.1</c:v>
                </c:pt>
                <c:pt idx="2095">
                  <c:v>33.6</c:v>
                </c:pt>
                <c:pt idx="2096">
                  <c:v>34.200000000000003</c:v>
                </c:pt>
                <c:pt idx="2097">
                  <c:v>35.6</c:v>
                </c:pt>
                <c:pt idx="2098">
                  <c:v>34.9</c:v>
                </c:pt>
                <c:pt idx="2099">
                  <c:v>34.200000000000003</c:v>
                </c:pt>
                <c:pt idx="2100">
                  <c:v>37.9</c:v>
                </c:pt>
                <c:pt idx="2101">
                  <c:v>35.700000000000003</c:v>
                </c:pt>
                <c:pt idx="2102">
                  <c:v>60.6</c:v>
                </c:pt>
                <c:pt idx="2103">
                  <c:v>55.4</c:v>
                </c:pt>
                <c:pt idx="2104">
                  <c:v>59.2</c:v>
                </c:pt>
                <c:pt idx="2105">
                  <c:v>60.4</c:v>
                </c:pt>
                <c:pt idx="2106">
                  <c:v>56.5</c:v>
                </c:pt>
                <c:pt idx="2107">
                  <c:v>53.6</c:v>
                </c:pt>
                <c:pt idx="2108">
                  <c:v>53.9</c:v>
                </c:pt>
                <c:pt idx="2109">
                  <c:v>55.8</c:v>
                </c:pt>
                <c:pt idx="2110">
                  <c:v>55.7</c:v>
                </c:pt>
                <c:pt idx="2111">
                  <c:v>56.3</c:v>
                </c:pt>
                <c:pt idx="2112">
                  <c:v>53.6</c:v>
                </c:pt>
                <c:pt idx="2113">
                  <c:v>55.3</c:v>
                </c:pt>
                <c:pt idx="2114">
                  <c:v>56.2</c:v>
                </c:pt>
                <c:pt idx="2115">
                  <c:v>54.7</c:v>
                </c:pt>
                <c:pt idx="2116">
                  <c:v>62.1</c:v>
                </c:pt>
                <c:pt idx="2117">
                  <c:v>57.9</c:v>
                </c:pt>
                <c:pt idx="2118">
                  <c:v>55.7</c:v>
                </c:pt>
                <c:pt idx="2119">
                  <c:v>59.7</c:v>
                </c:pt>
                <c:pt idx="2120">
                  <c:v>13.5</c:v>
                </c:pt>
                <c:pt idx="2121">
                  <c:v>15</c:v>
                </c:pt>
                <c:pt idx="2122">
                  <c:v>13.3</c:v>
                </c:pt>
                <c:pt idx="2123">
                  <c:v>13.1</c:v>
                </c:pt>
                <c:pt idx="2124">
                  <c:v>12.7</c:v>
                </c:pt>
                <c:pt idx="2125">
                  <c:v>14.8</c:v>
                </c:pt>
                <c:pt idx="2126">
                  <c:v>32.6</c:v>
                </c:pt>
                <c:pt idx="2127">
                  <c:v>31.5</c:v>
                </c:pt>
                <c:pt idx="2128">
                  <c:v>31.5</c:v>
                </c:pt>
                <c:pt idx="2129">
                  <c:v>32.299999999999997</c:v>
                </c:pt>
                <c:pt idx="2130">
                  <c:v>33.1</c:v>
                </c:pt>
                <c:pt idx="2131">
                  <c:v>35.299999999999997</c:v>
                </c:pt>
                <c:pt idx="2132">
                  <c:v>56.2</c:v>
                </c:pt>
                <c:pt idx="2133">
                  <c:v>55.1</c:v>
                </c:pt>
                <c:pt idx="2134">
                  <c:v>60</c:v>
                </c:pt>
                <c:pt idx="2135">
                  <c:v>53.4</c:v>
                </c:pt>
                <c:pt idx="2136">
                  <c:v>57.2</c:v>
                </c:pt>
                <c:pt idx="2137">
                  <c:v>54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16.600000000000001</c:v>
                </c:pt>
                <c:pt idx="2142">
                  <c:v>17.7</c:v>
                </c:pt>
                <c:pt idx="2143">
                  <c:v>15.8</c:v>
                </c:pt>
                <c:pt idx="2144">
                  <c:v>15.9</c:v>
                </c:pt>
                <c:pt idx="2145">
                  <c:v>14.8</c:v>
                </c:pt>
                <c:pt idx="2146">
                  <c:v>16.3</c:v>
                </c:pt>
                <c:pt idx="2147">
                  <c:v>16.600000000000001</c:v>
                </c:pt>
                <c:pt idx="2148">
                  <c:v>15.6</c:v>
                </c:pt>
                <c:pt idx="2149">
                  <c:v>16.100000000000001</c:v>
                </c:pt>
                <c:pt idx="2150">
                  <c:v>16.3</c:v>
                </c:pt>
                <c:pt idx="2151">
                  <c:v>18</c:v>
                </c:pt>
                <c:pt idx="2152">
                  <c:v>17</c:v>
                </c:pt>
                <c:pt idx="2153">
                  <c:v>15.4</c:v>
                </c:pt>
                <c:pt idx="2154">
                  <c:v>15.6</c:v>
                </c:pt>
                <c:pt idx="2155">
                  <c:v>14.3</c:v>
                </c:pt>
                <c:pt idx="2156">
                  <c:v>14.4</c:v>
                </c:pt>
                <c:pt idx="2157">
                  <c:v>17.5</c:v>
                </c:pt>
                <c:pt idx="2158">
                  <c:v>16</c:v>
                </c:pt>
                <c:pt idx="2159">
                  <c:v>15.8</c:v>
                </c:pt>
                <c:pt idx="2160">
                  <c:v>38.700000000000003</c:v>
                </c:pt>
                <c:pt idx="2161">
                  <c:v>38.9</c:v>
                </c:pt>
                <c:pt idx="2162">
                  <c:v>37.1</c:v>
                </c:pt>
                <c:pt idx="2163">
                  <c:v>37</c:v>
                </c:pt>
                <c:pt idx="2164">
                  <c:v>38</c:v>
                </c:pt>
                <c:pt idx="2165">
                  <c:v>46.8</c:v>
                </c:pt>
                <c:pt idx="2166">
                  <c:v>41.1</c:v>
                </c:pt>
                <c:pt idx="2167">
                  <c:v>39.200000000000003</c:v>
                </c:pt>
                <c:pt idx="2168">
                  <c:v>38</c:v>
                </c:pt>
                <c:pt idx="2169">
                  <c:v>37.200000000000003</c:v>
                </c:pt>
                <c:pt idx="2170">
                  <c:v>38.200000000000003</c:v>
                </c:pt>
                <c:pt idx="2171">
                  <c:v>38.4</c:v>
                </c:pt>
                <c:pt idx="2172">
                  <c:v>35.299999999999997</c:v>
                </c:pt>
                <c:pt idx="2173">
                  <c:v>40.700000000000003</c:v>
                </c:pt>
                <c:pt idx="2174">
                  <c:v>38.200000000000003</c:v>
                </c:pt>
                <c:pt idx="2175">
                  <c:v>35.700000000000003</c:v>
                </c:pt>
                <c:pt idx="2176">
                  <c:v>37.9</c:v>
                </c:pt>
                <c:pt idx="2177">
                  <c:v>38</c:v>
                </c:pt>
                <c:pt idx="2178">
                  <c:v>38.700000000000003</c:v>
                </c:pt>
                <c:pt idx="2179">
                  <c:v>38.6</c:v>
                </c:pt>
                <c:pt idx="2180">
                  <c:v>36.6</c:v>
                </c:pt>
                <c:pt idx="2181">
                  <c:v>38</c:v>
                </c:pt>
                <c:pt idx="2182">
                  <c:v>38.200000000000003</c:v>
                </c:pt>
                <c:pt idx="2183">
                  <c:v>59.3</c:v>
                </c:pt>
                <c:pt idx="2184">
                  <c:v>63.4</c:v>
                </c:pt>
                <c:pt idx="2185">
                  <c:v>63.1</c:v>
                </c:pt>
                <c:pt idx="2186">
                  <c:v>64.8</c:v>
                </c:pt>
                <c:pt idx="2187">
                  <c:v>64</c:v>
                </c:pt>
                <c:pt idx="2188">
                  <c:v>63</c:v>
                </c:pt>
                <c:pt idx="2189">
                  <c:v>62.3</c:v>
                </c:pt>
                <c:pt idx="2190">
                  <c:v>58.9</c:v>
                </c:pt>
                <c:pt idx="2191">
                  <c:v>64.2</c:v>
                </c:pt>
                <c:pt idx="2192">
                  <c:v>61.8</c:v>
                </c:pt>
                <c:pt idx="2193">
                  <c:v>63.1</c:v>
                </c:pt>
                <c:pt idx="2194">
                  <c:v>64.400000000000006</c:v>
                </c:pt>
                <c:pt idx="2195">
                  <c:v>63.3</c:v>
                </c:pt>
                <c:pt idx="2196">
                  <c:v>59.5</c:v>
                </c:pt>
                <c:pt idx="2197">
                  <c:v>61.4</c:v>
                </c:pt>
                <c:pt idx="2198">
                  <c:v>62.3</c:v>
                </c:pt>
                <c:pt idx="2199">
                  <c:v>64.2</c:v>
                </c:pt>
                <c:pt idx="2200">
                  <c:v>63.1</c:v>
                </c:pt>
                <c:pt idx="2201">
                  <c:v>64.900000000000006</c:v>
                </c:pt>
                <c:pt idx="2202">
                  <c:v>59.8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0.1</c:v>
                </c:pt>
                <c:pt idx="2207">
                  <c:v>0</c:v>
                </c:pt>
                <c:pt idx="2208">
                  <c:v>14.2</c:v>
                </c:pt>
                <c:pt idx="2209">
                  <c:v>16.2</c:v>
                </c:pt>
                <c:pt idx="2210">
                  <c:v>16.600000000000001</c:v>
                </c:pt>
                <c:pt idx="2211">
                  <c:v>16.5</c:v>
                </c:pt>
                <c:pt idx="2212">
                  <c:v>16.8</c:v>
                </c:pt>
                <c:pt idx="2213">
                  <c:v>16.8</c:v>
                </c:pt>
                <c:pt idx="2214">
                  <c:v>15.8</c:v>
                </c:pt>
                <c:pt idx="2215">
                  <c:v>16.2</c:v>
                </c:pt>
                <c:pt idx="2216">
                  <c:v>15.2</c:v>
                </c:pt>
                <c:pt idx="2217">
                  <c:v>16</c:v>
                </c:pt>
                <c:pt idx="2218">
                  <c:v>16.3</c:v>
                </c:pt>
                <c:pt idx="2219">
                  <c:v>15.1</c:v>
                </c:pt>
                <c:pt idx="2220">
                  <c:v>16.7</c:v>
                </c:pt>
                <c:pt idx="2221">
                  <c:v>16.100000000000001</c:v>
                </c:pt>
                <c:pt idx="2222">
                  <c:v>16.600000000000001</c:v>
                </c:pt>
                <c:pt idx="2223">
                  <c:v>16.8</c:v>
                </c:pt>
                <c:pt idx="2224">
                  <c:v>40.9</c:v>
                </c:pt>
                <c:pt idx="2225">
                  <c:v>38.700000000000003</c:v>
                </c:pt>
                <c:pt idx="2226">
                  <c:v>38.200000000000003</c:v>
                </c:pt>
                <c:pt idx="2227">
                  <c:v>37.700000000000003</c:v>
                </c:pt>
                <c:pt idx="2228">
                  <c:v>39</c:v>
                </c:pt>
                <c:pt idx="2229">
                  <c:v>41.5</c:v>
                </c:pt>
                <c:pt idx="2230">
                  <c:v>38.299999999999997</c:v>
                </c:pt>
                <c:pt idx="2231">
                  <c:v>39.9</c:v>
                </c:pt>
                <c:pt idx="2232">
                  <c:v>38</c:v>
                </c:pt>
                <c:pt idx="2233">
                  <c:v>39</c:v>
                </c:pt>
                <c:pt idx="2234">
                  <c:v>39.1</c:v>
                </c:pt>
                <c:pt idx="2235">
                  <c:v>39.4</c:v>
                </c:pt>
                <c:pt idx="2236">
                  <c:v>38.5</c:v>
                </c:pt>
                <c:pt idx="2237">
                  <c:v>38.5</c:v>
                </c:pt>
                <c:pt idx="2238">
                  <c:v>39.799999999999997</c:v>
                </c:pt>
                <c:pt idx="2239">
                  <c:v>38.1</c:v>
                </c:pt>
                <c:pt idx="2240">
                  <c:v>37.1</c:v>
                </c:pt>
                <c:pt idx="2241">
                  <c:v>38.6</c:v>
                </c:pt>
                <c:pt idx="2242">
                  <c:v>38.299999999999997</c:v>
                </c:pt>
                <c:pt idx="2243">
                  <c:v>36.700000000000003</c:v>
                </c:pt>
                <c:pt idx="2244">
                  <c:v>37.1</c:v>
                </c:pt>
                <c:pt idx="2245">
                  <c:v>38</c:v>
                </c:pt>
                <c:pt idx="2246">
                  <c:v>38.700000000000003</c:v>
                </c:pt>
                <c:pt idx="2247">
                  <c:v>61.2</c:v>
                </c:pt>
                <c:pt idx="2248">
                  <c:v>64</c:v>
                </c:pt>
                <c:pt idx="2249">
                  <c:v>55.3</c:v>
                </c:pt>
                <c:pt idx="2250">
                  <c:v>60.3</c:v>
                </c:pt>
                <c:pt idx="2251">
                  <c:v>60.8</c:v>
                </c:pt>
                <c:pt idx="2252">
                  <c:v>60.4</c:v>
                </c:pt>
                <c:pt idx="2253">
                  <c:v>62.4</c:v>
                </c:pt>
                <c:pt idx="2254">
                  <c:v>56.9</c:v>
                </c:pt>
                <c:pt idx="2255">
                  <c:v>56.3</c:v>
                </c:pt>
                <c:pt idx="2256">
                  <c:v>59.1</c:v>
                </c:pt>
                <c:pt idx="2257">
                  <c:v>58.5</c:v>
                </c:pt>
                <c:pt idx="2258">
                  <c:v>63.5</c:v>
                </c:pt>
                <c:pt idx="2259">
                  <c:v>60.6</c:v>
                </c:pt>
                <c:pt idx="2260">
                  <c:v>63.4</c:v>
                </c:pt>
                <c:pt idx="2261">
                  <c:v>64.7</c:v>
                </c:pt>
                <c:pt idx="2262">
                  <c:v>62.2</c:v>
                </c:pt>
                <c:pt idx="2263">
                  <c:v>59.8</c:v>
                </c:pt>
                <c:pt idx="2264">
                  <c:v>62.5</c:v>
                </c:pt>
                <c:pt idx="2265">
                  <c:v>0</c:v>
                </c:pt>
                <c:pt idx="2266">
                  <c:v>0</c:v>
                </c:pt>
                <c:pt idx="2267">
                  <c:v>15.1</c:v>
                </c:pt>
                <c:pt idx="2268">
                  <c:v>14.6</c:v>
                </c:pt>
                <c:pt idx="2269">
                  <c:v>14</c:v>
                </c:pt>
                <c:pt idx="2270">
                  <c:v>16.5</c:v>
                </c:pt>
                <c:pt idx="2271">
                  <c:v>16.399999999999999</c:v>
                </c:pt>
                <c:pt idx="2272">
                  <c:v>13.8</c:v>
                </c:pt>
                <c:pt idx="2273">
                  <c:v>16.3</c:v>
                </c:pt>
                <c:pt idx="2274">
                  <c:v>13.4</c:v>
                </c:pt>
                <c:pt idx="2275">
                  <c:v>15.9</c:v>
                </c:pt>
                <c:pt idx="2276">
                  <c:v>16.399999999999999</c:v>
                </c:pt>
                <c:pt idx="2277">
                  <c:v>14.6</c:v>
                </c:pt>
                <c:pt idx="2278">
                  <c:v>14.8</c:v>
                </c:pt>
                <c:pt idx="2279">
                  <c:v>16.899999999999999</c:v>
                </c:pt>
                <c:pt idx="2280">
                  <c:v>15.9</c:v>
                </c:pt>
                <c:pt idx="2281">
                  <c:v>16</c:v>
                </c:pt>
                <c:pt idx="2282">
                  <c:v>14.6</c:v>
                </c:pt>
                <c:pt idx="2283">
                  <c:v>14.6</c:v>
                </c:pt>
                <c:pt idx="2284">
                  <c:v>16.7</c:v>
                </c:pt>
                <c:pt idx="2285">
                  <c:v>15.5</c:v>
                </c:pt>
                <c:pt idx="2286">
                  <c:v>15</c:v>
                </c:pt>
                <c:pt idx="2287">
                  <c:v>38.200000000000003</c:v>
                </c:pt>
                <c:pt idx="2288">
                  <c:v>35.700000000000003</c:v>
                </c:pt>
                <c:pt idx="2289">
                  <c:v>37.9</c:v>
                </c:pt>
                <c:pt idx="2290">
                  <c:v>37.799999999999997</c:v>
                </c:pt>
                <c:pt idx="2291">
                  <c:v>39.799999999999997</c:v>
                </c:pt>
                <c:pt idx="2292">
                  <c:v>39.799999999999997</c:v>
                </c:pt>
                <c:pt idx="2293">
                  <c:v>37.700000000000003</c:v>
                </c:pt>
                <c:pt idx="2294">
                  <c:v>34.799999999999997</c:v>
                </c:pt>
                <c:pt idx="2295">
                  <c:v>38.200000000000003</c:v>
                </c:pt>
                <c:pt idx="2296">
                  <c:v>37.1</c:v>
                </c:pt>
                <c:pt idx="2297">
                  <c:v>32.799999999999997</c:v>
                </c:pt>
                <c:pt idx="2298">
                  <c:v>37.4</c:v>
                </c:pt>
                <c:pt idx="2299">
                  <c:v>35</c:v>
                </c:pt>
                <c:pt idx="2300">
                  <c:v>34.6</c:v>
                </c:pt>
                <c:pt idx="2301">
                  <c:v>33.9</c:v>
                </c:pt>
                <c:pt idx="2302">
                  <c:v>35.700000000000003</c:v>
                </c:pt>
                <c:pt idx="2303">
                  <c:v>33.200000000000003</c:v>
                </c:pt>
                <c:pt idx="2304">
                  <c:v>32.1</c:v>
                </c:pt>
                <c:pt idx="2305">
                  <c:v>35.799999999999997</c:v>
                </c:pt>
                <c:pt idx="2306">
                  <c:v>35.6</c:v>
                </c:pt>
                <c:pt idx="2307">
                  <c:v>35</c:v>
                </c:pt>
                <c:pt idx="2308">
                  <c:v>56.4</c:v>
                </c:pt>
                <c:pt idx="2309">
                  <c:v>64.599999999999994</c:v>
                </c:pt>
                <c:pt idx="2310">
                  <c:v>63</c:v>
                </c:pt>
                <c:pt idx="2311">
                  <c:v>61.6</c:v>
                </c:pt>
                <c:pt idx="2312">
                  <c:v>60.3</c:v>
                </c:pt>
                <c:pt idx="2313">
                  <c:v>58.3</c:v>
                </c:pt>
                <c:pt idx="2314">
                  <c:v>60.7</c:v>
                </c:pt>
                <c:pt idx="2315">
                  <c:v>61.3</c:v>
                </c:pt>
                <c:pt idx="2316">
                  <c:v>56.9</c:v>
                </c:pt>
                <c:pt idx="2317">
                  <c:v>59.6</c:v>
                </c:pt>
                <c:pt idx="2318">
                  <c:v>55.8</c:v>
                </c:pt>
                <c:pt idx="2319">
                  <c:v>57.4</c:v>
                </c:pt>
                <c:pt idx="2320">
                  <c:v>57.2</c:v>
                </c:pt>
                <c:pt idx="2321">
                  <c:v>58.7</c:v>
                </c:pt>
                <c:pt idx="2322">
                  <c:v>55.1</c:v>
                </c:pt>
                <c:pt idx="2323">
                  <c:v>56.2</c:v>
                </c:pt>
                <c:pt idx="2324">
                  <c:v>55.2</c:v>
                </c:pt>
                <c:pt idx="2325">
                  <c:v>55.3</c:v>
                </c:pt>
                <c:pt idx="2326">
                  <c:v>57</c:v>
                </c:pt>
                <c:pt idx="2327">
                  <c:v>56.6</c:v>
                </c:pt>
                <c:pt idx="2328">
                  <c:v>0</c:v>
                </c:pt>
                <c:pt idx="2329">
                  <c:v>0</c:v>
                </c:pt>
                <c:pt idx="2330">
                  <c:v>17</c:v>
                </c:pt>
                <c:pt idx="2331">
                  <c:v>14.1</c:v>
                </c:pt>
                <c:pt idx="2332">
                  <c:v>14.6</c:v>
                </c:pt>
                <c:pt idx="2333">
                  <c:v>17.5</c:v>
                </c:pt>
                <c:pt idx="2334">
                  <c:v>15.1</c:v>
                </c:pt>
                <c:pt idx="2335">
                  <c:v>16</c:v>
                </c:pt>
                <c:pt idx="2336">
                  <c:v>15.1</c:v>
                </c:pt>
                <c:pt idx="2337">
                  <c:v>14.8</c:v>
                </c:pt>
                <c:pt idx="2338">
                  <c:v>34.6</c:v>
                </c:pt>
                <c:pt idx="2339">
                  <c:v>37.799999999999997</c:v>
                </c:pt>
                <c:pt idx="2340">
                  <c:v>36.200000000000003</c:v>
                </c:pt>
                <c:pt idx="2341">
                  <c:v>37.5</c:v>
                </c:pt>
                <c:pt idx="2342">
                  <c:v>35</c:v>
                </c:pt>
                <c:pt idx="2343">
                  <c:v>37.700000000000003</c:v>
                </c:pt>
                <c:pt idx="2344">
                  <c:v>35.299999999999997</c:v>
                </c:pt>
                <c:pt idx="2345">
                  <c:v>35.5</c:v>
                </c:pt>
                <c:pt idx="2346">
                  <c:v>63.8</c:v>
                </c:pt>
                <c:pt idx="2347">
                  <c:v>58.6</c:v>
                </c:pt>
                <c:pt idx="2348">
                  <c:v>60.6</c:v>
                </c:pt>
                <c:pt idx="2349">
                  <c:v>61.3</c:v>
                </c:pt>
                <c:pt idx="2350">
                  <c:v>55.6</c:v>
                </c:pt>
                <c:pt idx="2351">
                  <c:v>57.8</c:v>
                </c:pt>
                <c:pt idx="2352">
                  <c:v>60.3</c:v>
                </c:pt>
                <c:pt idx="2353">
                  <c:v>56.6</c:v>
                </c:pt>
                <c:pt idx="2354">
                  <c:v>0</c:v>
                </c:pt>
                <c:pt idx="2355">
                  <c:v>0</c:v>
                </c:pt>
                <c:pt idx="2356">
                  <c:v>17.600000000000001</c:v>
                </c:pt>
                <c:pt idx="2357">
                  <c:v>17.2</c:v>
                </c:pt>
                <c:pt idx="2358">
                  <c:v>14.4</c:v>
                </c:pt>
                <c:pt idx="2359">
                  <c:v>15.6</c:v>
                </c:pt>
                <c:pt idx="2360">
                  <c:v>13.6</c:v>
                </c:pt>
                <c:pt idx="2361">
                  <c:v>14.8</c:v>
                </c:pt>
                <c:pt idx="2362">
                  <c:v>16.8</c:v>
                </c:pt>
                <c:pt idx="2363">
                  <c:v>17.3</c:v>
                </c:pt>
                <c:pt idx="2364">
                  <c:v>16.8</c:v>
                </c:pt>
                <c:pt idx="2365">
                  <c:v>15.9</c:v>
                </c:pt>
                <c:pt idx="2366">
                  <c:v>16.899999999999999</c:v>
                </c:pt>
                <c:pt idx="2367">
                  <c:v>15.2</c:v>
                </c:pt>
                <c:pt idx="2368">
                  <c:v>14.3</c:v>
                </c:pt>
                <c:pt idx="2369">
                  <c:v>16.7</c:v>
                </c:pt>
                <c:pt idx="2370">
                  <c:v>16</c:v>
                </c:pt>
                <c:pt idx="2371">
                  <c:v>14.3</c:v>
                </c:pt>
                <c:pt idx="2372">
                  <c:v>14.4</c:v>
                </c:pt>
                <c:pt idx="2373">
                  <c:v>36</c:v>
                </c:pt>
                <c:pt idx="2374">
                  <c:v>36.5</c:v>
                </c:pt>
                <c:pt idx="2375">
                  <c:v>38.4</c:v>
                </c:pt>
                <c:pt idx="2376">
                  <c:v>35.200000000000003</c:v>
                </c:pt>
                <c:pt idx="2377">
                  <c:v>37.799999999999997</c:v>
                </c:pt>
                <c:pt idx="2378">
                  <c:v>37.1</c:v>
                </c:pt>
                <c:pt idx="2379">
                  <c:v>37.1</c:v>
                </c:pt>
                <c:pt idx="2380">
                  <c:v>36.700000000000003</c:v>
                </c:pt>
                <c:pt idx="2381">
                  <c:v>37.700000000000003</c:v>
                </c:pt>
                <c:pt idx="2382">
                  <c:v>38.1</c:v>
                </c:pt>
                <c:pt idx="2383">
                  <c:v>37.5</c:v>
                </c:pt>
                <c:pt idx="2384">
                  <c:v>36.6</c:v>
                </c:pt>
                <c:pt idx="2385">
                  <c:v>34.6</c:v>
                </c:pt>
                <c:pt idx="2386">
                  <c:v>31.4</c:v>
                </c:pt>
                <c:pt idx="2387">
                  <c:v>37.1</c:v>
                </c:pt>
                <c:pt idx="2388">
                  <c:v>36.299999999999997</c:v>
                </c:pt>
                <c:pt idx="2389">
                  <c:v>35.299999999999997</c:v>
                </c:pt>
                <c:pt idx="2390">
                  <c:v>36.1</c:v>
                </c:pt>
                <c:pt idx="2391">
                  <c:v>62.6</c:v>
                </c:pt>
                <c:pt idx="2392">
                  <c:v>59.7</c:v>
                </c:pt>
                <c:pt idx="2393">
                  <c:v>58.6</c:v>
                </c:pt>
                <c:pt idx="2394">
                  <c:v>59.9</c:v>
                </c:pt>
                <c:pt idx="2395">
                  <c:v>58.3</c:v>
                </c:pt>
                <c:pt idx="2396">
                  <c:v>59.2</c:v>
                </c:pt>
                <c:pt idx="2397">
                  <c:v>64.900000000000006</c:v>
                </c:pt>
                <c:pt idx="2398">
                  <c:v>58.8</c:v>
                </c:pt>
                <c:pt idx="2399">
                  <c:v>57.2</c:v>
                </c:pt>
                <c:pt idx="2400">
                  <c:v>60.1</c:v>
                </c:pt>
                <c:pt idx="2401">
                  <c:v>58.9</c:v>
                </c:pt>
                <c:pt idx="2402">
                  <c:v>55.9</c:v>
                </c:pt>
                <c:pt idx="2403">
                  <c:v>61.1</c:v>
                </c:pt>
                <c:pt idx="2404">
                  <c:v>58.7</c:v>
                </c:pt>
                <c:pt idx="2405">
                  <c:v>61.8</c:v>
                </c:pt>
                <c:pt idx="2406">
                  <c:v>14.9</c:v>
                </c:pt>
                <c:pt idx="2407">
                  <c:v>16.8</c:v>
                </c:pt>
                <c:pt idx="2408">
                  <c:v>9.4</c:v>
                </c:pt>
                <c:pt idx="2409">
                  <c:v>15.7</c:v>
                </c:pt>
                <c:pt idx="2410">
                  <c:v>15.2</c:v>
                </c:pt>
                <c:pt idx="2411">
                  <c:v>15.1</c:v>
                </c:pt>
                <c:pt idx="2412">
                  <c:v>17.100000000000001</c:v>
                </c:pt>
                <c:pt idx="2413">
                  <c:v>16.600000000000001</c:v>
                </c:pt>
                <c:pt idx="2414">
                  <c:v>16.3</c:v>
                </c:pt>
                <c:pt idx="2415">
                  <c:v>16</c:v>
                </c:pt>
                <c:pt idx="2416">
                  <c:v>15.8</c:v>
                </c:pt>
                <c:pt idx="2417">
                  <c:v>14.4</c:v>
                </c:pt>
                <c:pt idx="2418">
                  <c:v>34.9</c:v>
                </c:pt>
                <c:pt idx="2419">
                  <c:v>36.9</c:v>
                </c:pt>
                <c:pt idx="2420">
                  <c:v>38</c:v>
                </c:pt>
                <c:pt idx="2421">
                  <c:v>33.299999999999997</c:v>
                </c:pt>
                <c:pt idx="2422">
                  <c:v>34.9</c:v>
                </c:pt>
                <c:pt idx="2423">
                  <c:v>37.5</c:v>
                </c:pt>
                <c:pt idx="2424">
                  <c:v>39.5</c:v>
                </c:pt>
                <c:pt idx="2425">
                  <c:v>37.200000000000003</c:v>
                </c:pt>
                <c:pt idx="2426">
                  <c:v>35.799999999999997</c:v>
                </c:pt>
                <c:pt idx="2427">
                  <c:v>35.299999999999997</c:v>
                </c:pt>
                <c:pt idx="2428">
                  <c:v>36.1</c:v>
                </c:pt>
                <c:pt idx="2429">
                  <c:v>36</c:v>
                </c:pt>
                <c:pt idx="2430">
                  <c:v>60.3</c:v>
                </c:pt>
                <c:pt idx="2431">
                  <c:v>56.3</c:v>
                </c:pt>
                <c:pt idx="2432">
                  <c:v>55.6</c:v>
                </c:pt>
                <c:pt idx="2433">
                  <c:v>59.2</c:v>
                </c:pt>
                <c:pt idx="2434">
                  <c:v>62.3</c:v>
                </c:pt>
                <c:pt idx="2435">
                  <c:v>59.5</c:v>
                </c:pt>
                <c:pt idx="2436">
                  <c:v>51.4</c:v>
                </c:pt>
                <c:pt idx="2437">
                  <c:v>56.9</c:v>
                </c:pt>
                <c:pt idx="2438">
                  <c:v>58.6</c:v>
                </c:pt>
                <c:pt idx="2439">
                  <c:v>59.4</c:v>
                </c:pt>
                <c:pt idx="2440">
                  <c:v>0</c:v>
                </c:pt>
                <c:pt idx="2441">
                  <c:v>0</c:v>
                </c:pt>
                <c:pt idx="2442">
                  <c:v>17.100000000000001</c:v>
                </c:pt>
                <c:pt idx="2443">
                  <c:v>17.2</c:v>
                </c:pt>
                <c:pt idx="2444">
                  <c:v>17.7</c:v>
                </c:pt>
                <c:pt idx="2445">
                  <c:v>14.4</c:v>
                </c:pt>
                <c:pt idx="2446">
                  <c:v>38.200000000000003</c:v>
                </c:pt>
                <c:pt idx="2447">
                  <c:v>38.6</c:v>
                </c:pt>
                <c:pt idx="2448">
                  <c:v>38.5</c:v>
                </c:pt>
                <c:pt idx="2449">
                  <c:v>38.4</c:v>
                </c:pt>
                <c:pt idx="2450">
                  <c:v>63.6</c:v>
                </c:pt>
                <c:pt idx="2451">
                  <c:v>62.5</c:v>
                </c:pt>
                <c:pt idx="2452">
                  <c:v>55.6</c:v>
                </c:pt>
                <c:pt idx="2453">
                  <c:v>59.7</c:v>
                </c:pt>
                <c:pt idx="2454">
                  <c:v>55.6</c:v>
                </c:pt>
                <c:pt idx="2455">
                  <c:v>0</c:v>
                </c:pt>
                <c:pt idx="2456">
                  <c:v>0</c:v>
                </c:pt>
                <c:pt idx="2457">
                  <c:v>62.1</c:v>
                </c:pt>
                <c:pt idx="2458">
                  <c:v>60.6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D20-485A-9C7B-9B8AA78DEB91}"/>
            </c:ext>
          </c:extLst>
        </c:ser>
        <c:ser>
          <c:idx val="41"/>
          <c:order val="2"/>
          <c:tx>
            <c:strRef>
              <c:f>'STD All'!$BE$1</c:f>
              <c:strCache>
                <c:ptCount val="1"/>
                <c:pt idx="0">
                  <c:v>M2 Readings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[0]!AX</c:f>
              <c:numCache>
                <c:formatCode>General</c:formatCode>
                <c:ptCount val="2459"/>
                <c:pt idx="0" formatCode="0.0">
                  <c:v>1.1000000000000001</c:v>
                </c:pt>
                <c:pt idx="1">
                  <c:v>1.1000000000000001</c:v>
                </c:pt>
                <c:pt idx="2">
                  <c:v>1.1000000000000001</c:v>
                </c:pt>
                <c:pt idx="3">
                  <c:v>1.1000000000000001</c:v>
                </c:pt>
                <c:pt idx="4">
                  <c:v>1.1000000000000001</c:v>
                </c:pt>
                <c:pt idx="5">
                  <c:v>1.1000000000000001</c:v>
                </c:pt>
                <c:pt idx="6">
                  <c:v>1.1000000000000001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1.1000000000000001</c:v>
                </c:pt>
                <c:pt idx="10">
                  <c:v>1.1000000000000001</c:v>
                </c:pt>
                <c:pt idx="11">
                  <c:v>1.1000000000000001</c:v>
                </c:pt>
                <c:pt idx="12">
                  <c:v>1.1000000000000001</c:v>
                </c:pt>
                <c:pt idx="13">
                  <c:v>1.1000000000000001</c:v>
                </c:pt>
                <c:pt idx="14">
                  <c:v>1.1000000000000001</c:v>
                </c:pt>
                <c:pt idx="15">
                  <c:v>1.1000000000000001</c:v>
                </c:pt>
                <c:pt idx="16">
                  <c:v>1.1000000000000001</c:v>
                </c:pt>
                <c:pt idx="17">
                  <c:v>1.1000000000000001</c:v>
                </c:pt>
                <c:pt idx="18">
                  <c:v>1.1000000000000001</c:v>
                </c:pt>
                <c:pt idx="19">
                  <c:v>2.1</c:v>
                </c:pt>
                <c:pt idx="20">
                  <c:v>2.1</c:v>
                </c:pt>
                <c:pt idx="21">
                  <c:v>2.1</c:v>
                </c:pt>
                <c:pt idx="22">
                  <c:v>2.1</c:v>
                </c:pt>
                <c:pt idx="23">
                  <c:v>2.1</c:v>
                </c:pt>
                <c:pt idx="24">
                  <c:v>2.1</c:v>
                </c:pt>
                <c:pt idx="25">
                  <c:v>2.1</c:v>
                </c:pt>
                <c:pt idx="26">
                  <c:v>2.1</c:v>
                </c:pt>
                <c:pt idx="27">
                  <c:v>2.1</c:v>
                </c:pt>
                <c:pt idx="28">
                  <c:v>2.1</c:v>
                </c:pt>
                <c:pt idx="29">
                  <c:v>2.1</c:v>
                </c:pt>
                <c:pt idx="30">
                  <c:v>2.1</c:v>
                </c:pt>
                <c:pt idx="31">
                  <c:v>2.1</c:v>
                </c:pt>
                <c:pt idx="32">
                  <c:v>2.1</c:v>
                </c:pt>
                <c:pt idx="33">
                  <c:v>2.1</c:v>
                </c:pt>
                <c:pt idx="34">
                  <c:v>2.1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4.0999999999999996</c:v>
                </c:pt>
                <c:pt idx="75">
                  <c:v>4.0999999999999996</c:v>
                </c:pt>
                <c:pt idx="76">
                  <c:v>4.0999999999999996</c:v>
                </c:pt>
                <c:pt idx="77">
                  <c:v>4.0999999999999996</c:v>
                </c:pt>
                <c:pt idx="78">
                  <c:v>4.0999999999999996</c:v>
                </c:pt>
                <c:pt idx="79">
                  <c:v>4.0999999999999996</c:v>
                </c:pt>
                <c:pt idx="80">
                  <c:v>4.0999999999999996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4.0999999999999996</c:v>
                </c:pt>
                <c:pt idx="84">
                  <c:v>4.0999999999999996</c:v>
                </c:pt>
                <c:pt idx="85">
                  <c:v>4.0999999999999996</c:v>
                </c:pt>
                <c:pt idx="86">
                  <c:v>4.0999999999999996</c:v>
                </c:pt>
                <c:pt idx="87">
                  <c:v>4.0999999999999996</c:v>
                </c:pt>
                <c:pt idx="88">
                  <c:v>4.0999999999999996</c:v>
                </c:pt>
                <c:pt idx="89">
                  <c:v>4.0999999999999996</c:v>
                </c:pt>
                <c:pt idx="90">
                  <c:v>4.0999999999999996</c:v>
                </c:pt>
                <c:pt idx="91">
                  <c:v>4.0999999999999996</c:v>
                </c:pt>
                <c:pt idx="92">
                  <c:v>4.0999999999999996</c:v>
                </c:pt>
                <c:pt idx="93">
                  <c:v>4.0999999999999996</c:v>
                </c:pt>
                <c:pt idx="94">
                  <c:v>4.0999999999999996</c:v>
                </c:pt>
                <c:pt idx="95">
                  <c:v>4.0999999999999996</c:v>
                </c:pt>
                <c:pt idx="96">
                  <c:v>4.0999999999999996</c:v>
                </c:pt>
                <c:pt idx="97">
                  <c:v>4.0999999999999996</c:v>
                </c:pt>
                <c:pt idx="98">
                  <c:v>4.0999999999999996</c:v>
                </c:pt>
                <c:pt idx="99">
                  <c:v>4.0999999999999996</c:v>
                </c:pt>
                <c:pt idx="100">
                  <c:v>4.0999999999999996</c:v>
                </c:pt>
                <c:pt idx="101">
                  <c:v>4.0999999999999996</c:v>
                </c:pt>
                <c:pt idx="102">
                  <c:v>4.0999999999999996</c:v>
                </c:pt>
                <c:pt idx="103">
                  <c:v>4.0999999999999996</c:v>
                </c:pt>
                <c:pt idx="104">
                  <c:v>4.0999999999999996</c:v>
                </c:pt>
                <c:pt idx="105">
                  <c:v>4.0999999999999996</c:v>
                </c:pt>
                <c:pt idx="106">
                  <c:v>4.0999999999999996</c:v>
                </c:pt>
                <c:pt idx="107">
                  <c:v>4.0999999999999996</c:v>
                </c:pt>
                <c:pt idx="108">
                  <c:v>4.0999999999999996</c:v>
                </c:pt>
                <c:pt idx="109">
                  <c:v>4.0999999999999996</c:v>
                </c:pt>
                <c:pt idx="110">
                  <c:v>4.0999999999999996</c:v>
                </c:pt>
                <c:pt idx="111">
                  <c:v>4.0999999999999996</c:v>
                </c:pt>
                <c:pt idx="112">
                  <c:v>4.0999999999999996</c:v>
                </c:pt>
                <c:pt idx="113">
                  <c:v>4.0999999999999996</c:v>
                </c:pt>
                <c:pt idx="114">
                  <c:v>4.0999999999999996</c:v>
                </c:pt>
                <c:pt idx="115">
                  <c:v>4.0999999999999996</c:v>
                </c:pt>
                <c:pt idx="116">
                  <c:v>4.0999999999999996</c:v>
                </c:pt>
                <c:pt idx="117">
                  <c:v>4.0999999999999996</c:v>
                </c:pt>
                <c:pt idx="118">
                  <c:v>4.0999999999999996</c:v>
                </c:pt>
                <c:pt idx="119">
                  <c:v>4.0999999999999996</c:v>
                </c:pt>
                <c:pt idx="120">
                  <c:v>4.0999999999999996</c:v>
                </c:pt>
                <c:pt idx="121">
                  <c:v>4.0999999999999996</c:v>
                </c:pt>
                <c:pt idx="122">
                  <c:v>4.0999999999999996</c:v>
                </c:pt>
                <c:pt idx="123">
                  <c:v>4.0999999999999996</c:v>
                </c:pt>
                <c:pt idx="124">
                  <c:v>4.0999999999999996</c:v>
                </c:pt>
                <c:pt idx="125">
                  <c:v>4.0999999999999996</c:v>
                </c:pt>
                <c:pt idx="126">
                  <c:v>4.0999999999999996</c:v>
                </c:pt>
                <c:pt idx="127">
                  <c:v>4.0999999999999996</c:v>
                </c:pt>
                <c:pt idx="128">
                  <c:v>4.0999999999999996</c:v>
                </c:pt>
                <c:pt idx="129">
                  <c:v>4.0999999999999996</c:v>
                </c:pt>
                <c:pt idx="130">
                  <c:v>4.0999999999999996</c:v>
                </c:pt>
                <c:pt idx="131">
                  <c:v>4.0999999999999996</c:v>
                </c:pt>
                <c:pt idx="132">
                  <c:v>4.0999999999999996</c:v>
                </c:pt>
                <c:pt idx="133">
                  <c:v>4.0999999999999996</c:v>
                </c:pt>
                <c:pt idx="134">
                  <c:v>4.0999999999999996</c:v>
                </c:pt>
                <c:pt idx="135">
                  <c:v>5.0999999999999996</c:v>
                </c:pt>
                <c:pt idx="136">
                  <c:v>5.0999999999999996</c:v>
                </c:pt>
                <c:pt idx="137">
                  <c:v>5.0999999999999996</c:v>
                </c:pt>
                <c:pt idx="138">
                  <c:v>5.0999999999999996</c:v>
                </c:pt>
                <c:pt idx="139">
                  <c:v>5.0999999999999996</c:v>
                </c:pt>
                <c:pt idx="140">
                  <c:v>5.0999999999999996</c:v>
                </c:pt>
                <c:pt idx="141">
                  <c:v>5.0999999999999996</c:v>
                </c:pt>
                <c:pt idx="142">
                  <c:v>5.0999999999999996</c:v>
                </c:pt>
                <c:pt idx="143">
                  <c:v>5.0999999999999996</c:v>
                </c:pt>
                <c:pt idx="144">
                  <c:v>5.0999999999999996</c:v>
                </c:pt>
                <c:pt idx="145">
                  <c:v>5.0999999999999996</c:v>
                </c:pt>
                <c:pt idx="146">
                  <c:v>5.0999999999999996</c:v>
                </c:pt>
                <c:pt idx="147">
                  <c:v>5.0999999999999996</c:v>
                </c:pt>
                <c:pt idx="148">
                  <c:v>5.0999999999999996</c:v>
                </c:pt>
                <c:pt idx="149">
                  <c:v>5.0999999999999996</c:v>
                </c:pt>
                <c:pt idx="150">
                  <c:v>5.0999999999999996</c:v>
                </c:pt>
                <c:pt idx="151">
                  <c:v>5.0999999999999996</c:v>
                </c:pt>
                <c:pt idx="152">
                  <c:v>5.0999999999999996</c:v>
                </c:pt>
                <c:pt idx="153">
                  <c:v>5.0999999999999996</c:v>
                </c:pt>
                <c:pt idx="154">
                  <c:v>5.0999999999999996</c:v>
                </c:pt>
                <c:pt idx="155">
                  <c:v>5.0999999999999996</c:v>
                </c:pt>
                <c:pt idx="156">
                  <c:v>5.0999999999999996</c:v>
                </c:pt>
                <c:pt idx="157">
                  <c:v>5.0999999999999996</c:v>
                </c:pt>
                <c:pt idx="158">
                  <c:v>5.0999999999999996</c:v>
                </c:pt>
                <c:pt idx="159">
                  <c:v>5.0999999999999996</c:v>
                </c:pt>
                <c:pt idx="160">
                  <c:v>5.0999999999999996</c:v>
                </c:pt>
                <c:pt idx="161">
                  <c:v>5.0999999999999996</c:v>
                </c:pt>
                <c:pt idx="162">
                  <c:v>5.0999999999999996</c:v>
                </c:pt>
                <c:pt idx="163">
                  <c:v>5.0999999999999996</c:v>
                </c:pt>
                <c:pt idx="164">
                  <c:v>5.0999999999999996</c:v>
                </c:pt>
                <c:pt idx="165">
                  <c:v>5.0999999999999996</c:v>
                </c:pt>
                <c:pt idx="166">
                  <c:v>5.0999999999999996</c:v>
                </c:pt>
                <c:pt idx="167">
                  <c:v>5.0999999999999996</c:v>
                </c:pt>
                <c:pt idx="168">
                  <c:v>5.0999999999999996</c:v>
                </c:pt>
                <c:pt idx="169">
                  <c:v>5.0999999999999996</c:v>
                </c:pt>
                <c:pt idx="170">
                  <c:v>5.0999999999999996</c:v>
                </c:pt>
                <c:pt idx="171">
                  <c:v>5.0999999999999996</c:v>
                </c:pt>
                <c:pt idx="172">
                  <c:v>5.0999999999999996</c:v>
                </c:pt>
                <c:pt idx="173">
                  <c:v>5.0999999999999996</c:v>
                </c:pt>
                <c:pt idx="174">
                  <c:v>5.0999999999999996</c:v>
                </c:pt>
                <c:pt idx="175">
                  <c:v>5.0999999999999996</c:v>
                </c:pt>
                <c:pt idx="176">
                  <c:v>5.0999999999999996</c:v>
                </c:pt>
                <c:pt idx="177">
                  <c:v>5.0999999999999996</c:v>
                </c:pt>
                <c:pt idx="178">
                  <c:v>5.0999999999999996</c:v>
                </c:pt>
                <c:pt idx="179">
                  <c:v>5.0999999999999996</c:v>
                </c:pt>
                <c:pt idx="180">
                  <c:v>5.0999999999999996</c:v>
                </c:pt>
                <c:pt idx="181">
                  <c:v>5.0999999999999996</c:v>
                </c:pt>
                <c:pt idx="182">
                  <c:v>5.0999999999999996</c:v>
                </c:pt>
                <c:pt idx="183">
                  <c:v>5.0999999999999996</c:v>
                </c:pt>
                <c:pt idx="184">
                  <c:v>5.0999999999999996</c:v>
                </c:pt>
                <c:pt idx="185">
                  <c:v>5.0999999999999996</c:v>
                </c:pt>
                <c:pt idx="186">
                  <c:v>5.0999999999999996</c:v>
                </c:pt>
                <c:pt idx="187">
                  <c:v>5.0999999999999996</c:v>
                </c:pt>
                <c:pt idx="188">
                  <c:v>5.0999999999999996</c:v>
                </c:pt>
                <c:pt idx="189">
                  <c:v>5.0999999999999996</c:v>
                </c:pt>
                <c:pt idx="190">
                  <c:v>5.0999999999999996</c:v>
                </c:pt>
                <c:pt idx="191">
                  <c:v>5.0999999999999996</c:v>
                </c:pt>
                <c:pt idx="192">
                  <c:v>5.0999999999999996</c:v>
                </c:pt>
                <c:pt idx="193">
                  <c:v>5.0999999999999996</c:v>
                </c:pt>
                <c:pt idx="194">
                  <c:v>5.0999999999999996</c:v>
                </c:pt>
                <c:pt idx="195">
                  <c:v>5.0999999999999996</c:v>
                </c:pt>
                <c:pt idx="196">
                  <c:v>5.0999999999999996</c:v>
                </c:pt>
                <c:pt idx="197">
                  <c:v>5.0999999999999996</c:v>
                </c:pt>
                <c:pt idx="198">
                  <c:v>5.0999999999999996</c:v>
                </c:pt>
                <c:pt idx="199">
                  <c:v>5.0999999999999996</c:v>
                </c:pt>
                <c:pt idx="200">
                  <c:v>5.0999999999999996</c:v>
                </c:pt>
                <c:pt idx="201">
                  <c:v>5.0999999999999996</c:v>
                </c:pt>
                <c:pt idx="202">
                  <c:v>6.1</c:v>
                </c:pt>
                <c:pt idx="203">
                  <c:v>6.1</c:v>
                </c:pt>
                <c:pt idx="204">
                  <c:v>6.1</c:v>
                </c:pt>
                <c:pt idx="205">
                  <c:v>6.1</c:v>
                </c:pt>
                <c:pt idx="206">
                  <c:v>6.1</c:v>
                </c:pt>
                <c:pt idx="207">
                  <c:v>6.1</c:v>
                </c:pt>
                <c:pt idx="208">
                  <c:v>6.1</c:v>
                </c:pt>
                <c:pt idx="209">
                  <c:v>6.1</c:v>
                </c:pt>
                <c:pt idx="210">
                  <c:v>6.1</c:v>
                </c:pt>
                <c:pt idx="211">
                  <c:v>5.0999999999999996</c:v>
                </c:pt>
                <c:pt idx="212">
                  <c:v>6.1</c:v>
                </c:pt>
                <c:pt idx="213">
                  <c:v>5.0999999999999996</c:v>
                </c:pt>
                <c:pt idx="214">
                  <c:v>6.1</c:v>
                </c:pt>
                <c:pt idx="215">
                  <c:v>6.1</c:v>
                </c:pt>
                <c:pt idx="216">
                  <c:v>6.1</c:v>
                </c:pt>
                <c:pt idx="217">
                  <c:v>6.1</c:v>
                </c:pt>
                <c:pt idx="218">
                  <c:v>6.1</c:v>
                </c:pt>
                <c:pt idx="219">
                  <c:v>6.1</c:v>
                </c:pt>
                <c:pt idx="220">
                  <c:v>5.0999999999999996</c:v>
                </c:pt>
                <c:pt idx="221">
                  <c:v>6.1</c:v>
                </c:pt>
                <c:pt idx="222">
                  <c:v>6.1</c:v>
                </c:pt>
                <c:pt idx="223">
                  <c:v>6.1</c:v>
                </c:pt>
                <c:pt idx="224">
                  <c:v>6.1</c:v>
                </c:pt>
                <c:pt idx="225">
                  <c:v>6.1</c:v>
                </c:pt>
                <c:pt idx="226">
                  <c:v>6.1</c:v>
                </c:pt>
                <c:pt idx="227">
                  <c:v>6.1</c:v>
                </c:pt>
                <c:pt idx="228">
                  <c:v>6.1</c:v>
                </c:pt>
                <c:pt idx="229">
                  <c:v>6.1</c:v>
                </c:pt>
                <c:pt idx="230">
                  <c:v>6.1</c:v>
                </c:pt>
                <c:pt idx="231">
                  <c:v>6.1</c:v>
                </c:pt>
                <c:pt idx="232">
                  <c:v>6.1</c:v>
                </c:pt>
                <c:pt idx="233">
                  <c:v>6.1</c:v>
                </c:pt>
                <c:pt idx="234">
                  <c:v>6.1</c:v>
                </c:pt>
                <c:pt idx="235">
                  <c:v>5.0999999999999996</c:v>
                </c:pt>
                <c:pt idx="236">
                  <c:v>6.1</c:v>
                </c:pt>
                <c:pt idx="237">
                  <c:v>6.1</c:v>
                </c:pt>
                <c:pt idx="238">
                  <c:v>5.0999999999999996</c:v>
                </c:pt>
                <c:pt idx="239">
                  <c:v>6.1</c:v>
                </c:pt>
                <c:pt idx="240">
                  <c:v>6.1</c:v>
                </c:pt>
                <c:pt idx="241">
                  <c:v>6.1</c:v>
                </c:pt>
                <c:pt idx="242">
                  <c:v>6.1</c:v>
                </c:pt>
                <c:pt idx="243">
                  <c:v>6.1</c:v>
                </c:pt>
                <c:pt idx="244">
                  <c:v>6.1</c:v>
                </c:pt>
                <c:pt idx="245">
                  <c:v>6.1</c:v>
                </c:pt>
                <c:pt idx="246">
                  <c:v>6.1</c:v>
                </c:pt>
                <c:pt idx="247">
                  <c:v>6.1</c:v>
                </c:pt>
                <c:pt idx="248">
                  <c:v>6.1</c:v>
                </c:pt>
                <c:pt idx="249">
                  <c:v>5.0999999999999996</c:v>
                </c:pt>
                <c:pt idx="250">
                  <c:v>7.1</c:v>
                </c:pt>
                <c:pt idx="251">
                  <c:v>7.1</c:v>
                </c:pt>
                <c:pt idx="252">
                  <c:v>7.1</c:v>
                </c:pt>
                <c:pt idx="253">
                  <c:v>7.1</c:v>
                </c:pt>
                <c:pt idx="254">
                  <c:v>7.1</c:v>
                </c:pt>
                <c:pt idx="255">
                  <c:v>7.1</c:v>
                </c:pt>
                <c:pt idx="256">
                  <c:v>7.1</c:v>
                </c:pt>
                <c:pt idx="257">
                  <c:v>7.1</c:v>
                </c:pt>
                <c:pt idx="258">
                  <c:v>7.1</c:v>
                </c:pt>
                <c:pt idx="259">
                  <c:v>7.1</c:v>
                </c:pt>
                <c:pt idx="260">
                  <c:v>7.1</c:v>
                </c:pt>
                <c:pt idx="261">
                  <c:v>7.1</c:v>
                </c:pt>
                <c:pt idx="262">
                  <c:v>7.1</c:v>
                </c:pt>
                <c:pt idx="263">
                  <c:v>7.1</c:v>
                </c:pt>
                <c:pt idx="264">
                  <c:v>7.1</c:v>
                </c:pt>
                <c:pt idx="265">
                  <c:v>7.1</c:v>
                </c:pt>
                <c:pt idx="266">
                  <c:v>7.1</c:v>
                </c:pt>
                <c:pt idx="267">
                  <c:v>7.1</c:v>
                </c:pt>
                <c:pt idx="268">
                  <c:v>7.1</c:v>
                </c:pt>
                <c:pt idx="269">
                  <c:v>7.1</c:v>
                </c:pt>
                <c:pt idx="270">
                  <c:v>7.1</c:v>
                </c:pt>
                <c:pt idx="271">
                  <c:v>7.1</c:v>
                </c:pt>
                <c:pt idx="272">
                  <c:v>7.1</c:v>
                </c:pt>
                <c:pt idx="273">
                  <c:v>7.1</c:v>
                </c:pt>
                <c:pt idx="274">
                  <c:v>7.1</c:v>
                </c:pt>
                <c:pt idx="275">
                  <c:v>7.1</c:v>
                </c:pt>
                <c:pt idx="276">
                  <c:v>7.1</c:v>
                </c:pt>
                <c:pt idx="277">
                  <c:v>7.1</c:v>
                </c:pt>
                <c:pt idx="278">
                  <c:v>7.1</c:v>
                </c:pt>
                <c:pt idx="279">
                  <c:v>7.1</c:v>
                </c:pt>
                <c:pt idx="280">
                  <c:v>7.1</c:v>
                </c:pt>
                <c:pt idx="281">
                  <c:v>7.1</c:v>
                </c:pt>
                <c:pt idx="282">
                  <c:v>7.1</c:v>
                </c:pt>
                <c:pt idx="283">
                  <c:v>7.1</c:v>
                </c:pt>
                <c:pt idx="284">
                  <c:v>7.1</c:v>
                </c:pt>
                <c:pt idx="285">
                  <c:v>7.1</c:v>
                </c:pt>
                <c:pt idx="286">
                  <c:v>7.1</c:v>
                </c:pt>
                <c:pt idx="287">
                  <c:v>7.1</c:v>
                </c:pt>
                <c:pt idx="288">
                  <c:v>7.1</c:v>
                </c:pt>
                <c:pt idx="289">
                  <c:v>7.1</c:v>
                </c:pt>
                <c:pt idx="290">
                  <c:v>7.1</c:v>
                </c:pt>
                <c:pt idx="291">
                  <c:v>7.1</c:v>
                </c:pt>
                <c:pt idx="292">
                  <c:v>7.1</c:v>
                </c:pt>
                <c:pt idx="293">
                  <c:v>7.1</c:v>
                </c:pt>
                <c:pt idx="294">
                  <c:v>7.1</c:v>
                </c:pt>
                <c:pt idx="295">
                  <c:v>7.1</c:v>
                </c:pt>
                <c:pt idx="296">
                  <c:v>7.1</c:v>
                </c:pt>
                <c:pt idx="297">
                  <c:v>7.1</c:v>
                </c:pt>
                <c:pt idx="298">
                  <c:v>7.1</c:v>
                </c:pt>
                <c:pt idx="299">
                  <c:v>7.1</c:v>
                </c:pt>
                <c:pt idx="300">
                  <c:v>7.1</c:v>
                </c:pt>
                <c:pt idx="301">
                  <c:v>7.1</c:v>
                </c:pt>
                <c:pt idx="302">
                  <c:v>7.1</c:v>
                </c:pt>
                <c:pt idx="303">
                  <c:v>7.1</c:v>
                </c:pt>
                <c:pt idx="304">
                  <c:v>7.1</c:v>
                </c:pt>
                <c:pt idx="305">
                  <c:v>7.1</c:v>
                </c:pt>
                <c:pt idx="306">
                  <c:v>7.1</c:v>
                </c:pt>
                <c:pt idx="307">
                  <c:v>7.1</c:v>
                </c:pt>
                <c:pt idx="308">
                  <c:v>7.1</c:v>
                </c:pt>
                <c:pt idx="309">
                  <c:v>7.1</c:v>
                </c:pt>
                <c:pt idx="310">
                  <c:v>8.1</c:v>
                </c:pt>
                <c:pt idx="311">
                  <c:v>7.1</c:v>
                </c:pt>
                <c:pt idx="312">
                  <c:v>7.1</c:v>
                </c:pt>
                <c:pt idx="313">
                  <c:v>7.1</c:v>
                </c:pt>
                <c:pt idx="314">
                  <c:v>7.1</c:v>
                </c:pt>
                <c:pt idx="315">
                  <c:v>8.1</c:v>
                </c:pt>
                <c:pt idx="316">
                  <c:v>8.1</c:v>
                </c:pt>
                <c:pt idx="317">
                  <c:v>8.1</c:v>
                </c:pt>
                <c:pt idx="318">
                  <c:v>8.1</c:v>
                </c:pt>
                <c:pt idx="319">
                  <c:v>8.1</c:v>
                </c:pt>
                <c:pt idx="320">
                  <c:v>8.1</c:v>
                </c:pt>
                <c:pt idx="321">
                  <c:v>8.1</c:v>
                </c:pt>
                <c:pt idx="322">
                  <c:v>8.1</c:v>
                </c:pt>
                <c:pt idx="323">
                  <c:v>8.1</c:v>
                </c:pt>
                <c:pt idx="324">
                  <c:v>8.1</c:v>
                </c:pt>
                <c:pt idx="325">
                  <c:v>8.1</c:v>
                </c:pt>
                <c:pt idx="326">
                  <c:v>8.1</c:v>
                </c:pt>
                <c:pt idx="327">
                  <c:v>8.1</c:v>
                </c:pt>
                <c:pt idx="328">
                  <c:v>8.1</c:v>
                </c:pt>
                <c:pt idx="329">
                  <c:v>8.1</c:v>
                </c:pt>
                <c:pt idx="330">
                  <c:v>8.1</c:v>
                </c:pt>
                <c:pt idx="331">
                  <c:v>8.1</c:v>
                </c:pt>
                <c:pt idx="332">
                  <c:v>8.1</c:v>
                </c:pt>
                <c:pt idx="333">
                  <c:v>8.1</c:v>
                </c:pt>
                <c:pt idx="334">
                  <c:v>8.1</c:v>
                </c:pt>
                <c:pt idx="335">
                  <c:v>8.1</c:v>
                </c:pt>
                <c:pt idx="336">
                  <c:v>8.1</c:v>
                </c:pt>
                <c:pt idx="337">
                  <c:v>8.1</c:v>
                </c:pt>
                <c:pt idx="338">
                  <c:v>8.1</c:v>
                </c:pt>
                <c:pt idx="339">
                  <c:v>8.1</c:v>
                </c:pt>
                <c:pt idx="340">
                  <c:v>8.1</c:v>
                </c:pt>
                <c:pt idx="341">
                  <c:v>8.1</c:v>
                </c:pt>
                <c:pt idx="342">
                  <c:v>8.1</c:v>
                </c:pt>
                <c:pt idx="343">
                  <c:v>8.1</c:v>
                </c:pt>
                <c:pt idx="344">
                  <c:v>8.1</c:v>
                </c:pt>
                <c:pt idx="345">
                  <c:v>8.1</c:v>
                </c:pt>
                <c:pt idx="346">
                  <c:v>9.1</c:v>
                </c:pt>
                <c:pt idx="347">
                  <c:v>9.1</c:v>
                </c:pt>
                <c:pt idx="348">
                  <c:v>9.1</c:v>
                </c:pt>
                <c:pt idx="349">
                  <c:v>9.1</c:v>
                </c:pt>
                <c:pt idx="350">
                  <c:v>9.1</c:v>
                </c:pt>
                <c:pt idx="351">
                  <c:v>9.1</c:v>
                </c:pt>
                <c:pt idx="352">
                  <c:v>9.1</c:v>
                </c:pt>
                <c:pt idx="353">
                  <c:v>9.1</c:v>
                </c:pt>
                <c:pt idx="354">
                  <c:v>9.1</c:v>
                </c:pt>
                <c:pt idx="355">
                  <c:v>9.1</c:v>
                </c:pt>
                <c:pt idx="356">
                  <c:v>9.1</c:v>
                </c:pt>
                <c:pt idx="357">
                  <c:v>9.1</c:v>
                </c:pt>
                <c:pt idx="358">
                  <c:v>9.1</c:v>
                </c:pt>
                <c:pt idx="359">
                  <c:v>9.1</c:v>
                </c:pt>
                <c:pt idx="360">
                  <c:v>9.1</c:v>
                </c:pt>
                <c:pt idx="361">
                  <c:v>9.1</c:v>
                </c:pt>
                <c:pt idx="362">
                  <c:v>9.1</c:v>
                </c:pt>
                <c:pt idx="363">
                  <c:v>9.1</c:v>
                </c:pt>
                <c:pt idx="364">
                  <c:v>9.1</c:v>
                </c:pt>
                <c:pt idx="365">
                  <c:v>9.1</c:v>
                </c:pt>
                <c:pt idx="366">
                  <c:v>9.1</c:v>
                </c:pt>
                <c:pt idx="367">
                  <c:v>9.1</c:v>
                </c:pt>
                <c:pt idx="368">
                  <c:v>9.1</c:v>
                </c:pt>
                <c:pt idx="369">
                  <c:v>9.1</c:v>
                </c:pt>
                <c:pt idx="370">
                  <c:v>9.1</c:v>
                </c:pt>
                <c:pt idx="371">
                  <c:v>9.1</c:v>
                </c:pt>
                <c:pt idx="372">
                  <c:v>9.1</c:v>
                </c:pt>
                <c:pt idx="373">
                  <c:v>9.1</c:v>
                </c:pt>
                <c:pt idx="374">
                  <c:v>9.1</c:v>
                </c:pt>
                <c:pt idx="375">
                  <c:v>9.1</c:v>
                </c:pt>
                <c:pt idx="376">
                  <c:v>9.1</c:v>
                </c:pt>
                <c:pt idx="377">
                  <c:v>9.1</c:v>
                </c:pt>
                <c:pt idx="378">
                  <c:v>9.1</c:v>
                </c:pt>
                <c:pt idx="379">
                  <c:v>9.1</c:v>
                </c:pt>
                <c:pt idx="380">
                  <c:v>9.1</c:v>
                </c:pt>
                <c:pt idx="381">
                  <c:v>9.1</c:v>
                </c:pt>
                <c:pt idx="382">
                  <c:v>9.1</c:v>
                </c:pt>
                <c:pt idx="383">
                  <c:v>9.1</c:v>
                </c:pt>
                <c:pt idx="384">
                  <c:v>9.1</c:v>
                </c:pt>
                <c:pt idx="385">
                  <c:v>9.1</c:v>
                </c:pt>
                <c:pt idx="386">
                  <c:v>9.1</c:v>
                </c:pt>
                <c:pt idx="387">
                  <c:v>9.1</c:v>
                </c:pt>
                <c:pt idx="388">
                  <c:v>9.1</c:v>
                </c:pt>
                <c:pt idx="389">
                  <c:v>9.1</c:v>
                </c:pt>
                <c:pt idx="390">
                  <c:v>9.1</c:v>
                </c:pt>
                <c:pt idx="391">
                  <c:v>9.1</c:v>
                </c:pt>
                <c:pt idx="392">
                  <c:v>9.1</c:v>
                </c:pt>
                <c:pt idx="393">
                  <c:v>9.1</c:v>
                </c:pt>
                <c:pt idx="394">
                  <c:v>9.1</c:v>
                </c:pt>
                <c:pt idx="395">
                  <c:v>9.1</c:v>
                </c:pt>
                <c:pt idx="396">
                  <c:v>9.1</c:v>
                </c:pt>
                <c:pt idx="397">
                  <c:v>9.1</c:v>
                </c:pt>
                <c:pt idx="398">
                  <c:v>9.1</c:v>
                </c:pt>
                <c:pt idx="399">
                  <c:v>9.1</c:v>
                </c:pt>
                <c:pt idx="400">
                  <c:v>9.1</c:v>
                </c:pt>
                <c:pt idx="401">
                  <c:v>9.1</c:v>
                </c:pt>
                <c:pt idx="402">
                  <c:v>9.1</c:v>
                </c:pt>
                <c:pt idx="403">
                  <c:v>9.1</c:v>
                </c:pt>
                <c:pt idx="404">
                  <c:v>9.1</c:v>
                </c:pt>
                <c:pt idx="405">
                  <c:v>9.1</c:v>
                </c:pt>
                <c:pt idx="406">
                  <c:v>9.1</c:v>
                </c:pt>
                <c:pt idx="407">
                  <c:v>9.1</c:v>
                </c:pt>
                <c:pt idx="408">
                  <c:v>9.1</c:v>
                </c:pt>
                <c:pt idx="409">
                  <c:v>9.1</c:v>
                </c:pt>
                <c:pt idx="410">
                  <c:v>9.1</c:v>
                </c:pt>
                <c:pt idx="411">
                  <c:v>9.1</c:v>
                </c:pt>
                <c:pt idx="412">
                  <c:v>9.1</c:v>
                </c:pt>
                <c:pt idx="413">
                  <c:v>9.1</c:v>
                </c:pt>
                <c:pt idx="414">
                  <c:v>9.1</c:v>
                </c:pt>
                <c:pt idx="415">
                  <c:v>9.1</c:v>
                </c:pt>
                <c:pt idx="416">
                  <c:v>9.1</c:v>
                </c:pt>
                <c:pt idx="417">
                  <c:v>9.1</c:v>
                </c:pt>
                <c:pt idx="418">
                  <c:v>10.1</c:v>
                </c:pt>
                <c:pt idx="419">
                  <c:v>10.1</c:v>
                </c:pt>
                <c:pt idx="420">
                  <c:v>10.1</c:v>
                </c:pt>
                <c:pt idx="421">
                  <c:v>10.1</c:v>
                </c:pt>
                <c:pt idx="422">
                  <c:v>10.1</c:v>
                </c:pt>
                <c:pt idx="423">
                  <c:v>10.1</c:v>
                </c:pt>
                <c:pt idx="424">
                  <c:v>10.1</c:v>
                </c:pt>
                <c:pt idx="425">
                  <c:v>10.1</c:v>
                </c:pt>
                <c:pt idx="426">
                  <c:v>10.1</c:v>
                </c:pt>
                <c:pt idx="427">
                  <c:v>10.1</c:v>
                </c:pt>
                <c:pt idx="428">
                  <c:v>10.1</c:v>
                </c:pt>
                <c:pt idx="429">
                  <c:v>10.1</c:v>
                </c:pt>
                <c:pt idx="430">
                  <c:v>10.1</c:v>
                </c:pt>
                <c:pt idx="431">
                  <c:v>10.1</c:v>
                </c:pt>
                <c:pt idx="432">
                  <c:v>10.1</c:v>
                </c:pt>
                <c:pt idx="433">
                  <c:v>10.1</c:v>
                </c:pt>
                <c:pt idx="434">
                  <c:v>10.1</c:v>
                </c:pt>
                <c:pt idx="435">
                  <c:v>10.1</c:v>
                </c:pt>
                <c:pt idx="436">
                  <c:v>10.1</c:v>
                </c:pt>
                <c:pt idx="437">
                  <c:v>10.1</c:v>
                </c:pt>
                <c:pt idx="438">
                  <c:v>10.1</c:v>
                </c:pt>
                <c:pt idx="439">
                  <c:v>10.1</c:v>
                </c:pt>
                <c:pt idx="440">
                  <c:v>10.1</c:v>
                </c:pt>
                <c:pt idx="441">
                  <c:v>10.1</c:v>
                </c:pt>
                <c:pt idx="442">
                  <c:v>10.1</c:v>
                </c:pt>
                <c:pt idx="443">
                  <c:v>10.1</c:v>
                </c:pt>
                <c:pt idx="444">
                  <c:v>10.1</c:v>
                </c:pt>
                <c:pt idx="445">
                  <c:v>10.1</c:v>
                </c:pt>
                <c:pt idx="446">
                  <c:v>10.1</c:v>
                </c:pt>
                <c:pt idx="447">
                  <c:v>10.1</c:v>
                </c:pt>
                <c:pt idx="448">
                  <c:v>10.1</c:v>
                </c:pt>
                <c:pt idx="449">
                  <c:v>10.1</c:v>
                </c:pt>
                <c:pt idx="450">
                  <c:v>10.1</c:v>
                </c:pt>
                <c:pt idx="451">
                  <c:v>10.1</c:v>
                </c:pt>
                <c:pt idx="452">
                  <c:v>10.1</c:v>
                </c:pt>
                <c:pt idx="453">
                  <c:v>10.1</c:v>
                </c:pt>
                <c:pt idx="454">
                  <c:v>10.1</c:v>
                </c:pt>
                <c:pt idx="455">
                  <c:v>10.1</c:v>
                </c:pt>
                <c:pt idx="456">
                  <c:v>10.1</c:v>
                </c:pt>
                <c:pt idx="457">
                  <c:v>10.1</c:v>
                </c:pt>
                <c:pt idx="458">
                  <c:v>10.1</c:v>
                </c:pt>
                <c:pt idx="459">
                  <c:v>10.1</c:v>
                </c:pt>
                <c:pt idx="460">
                  <c:v>10.1</c:v>
                </c:pt>
                <c:pt idx="461">
                  <c:v>10.1</c:v>
                </c:pt>
                <c:pt idx="462">
                  <c:v>10.1</c:v>
                </c:pt>
                <c:pt idx="463">
                  <c:v>10.1</c:v>
                </c:pt>
                <c:pt idx="464">
                  <c:v>10.1</c:v>
                </c:pt>
                <c:pt idx="465">
                  <c:v>10.1</c:v>
                </c:pt>
                <c:pt idx="466">
                  <c:v>10.1</c:v>
                </c:pt>
                <c:pt idx="467">
                  <c:v>10.1</c:v>
                </c:pt>
                <c:pt idx="468">
                  <c:v>10.1</c:v>
                </c:pt>
                <c:pt idx="469">
                  <c:v>10.1</c:v>
                </c:pt>
                <c:pt idx="470">
                  <c:v>10.1</c:v>
                </c:pt>
                <c:pt idx="471">
                  <c:v>10.1</c:v>
                </c:pt>
                <c:pt idx="472">
                  <c:v>10.1</c:v>
                </c:pt>
                <c:pt idx="473">
                  <c:v>10.1</c:v>
                </c:pt>
                <c:pt idx="474">
                  <c:v>10.1</c:v>
                </c:pt>
                <c:pt idx="475">
                  <c:v>10.1</c:v>
                </c:pt>
                <c:pt idx="476">
                  <c:v>10.1</c:v>
                </c:pt>
                <c:pt idx="477">
                  <c:v>11.1</c:v>
                </c:pt>
                <c:pt idx="478">
                  <c:v>11.1</c:v>
                </c:pt>
                <c:pt idx="479">
                  <c:v>11.1</c:v>
                </c:pt>
                <c:pt idx="480">
                  <c:v>11.1</c:v>
                </c:pt>
                <c:pt idx="481">
                  <c:v>11.1</c:v>
                </c:pt>
                <c:pt idx="482">
                  <c:v>11.1</c:v>
                </c:pt>
                <c:pt idx="483">
                  <c:v>11.1</c:v>
                </c:pt>
                <c:pt idx="484">
                  <c:v>11.1</c:v>
                </c:pt>
                <c:pt idx="485">
                  <c:v>11.1</c:v>
                </c:pt>
                <c:pt idx="486">
                  <c:v>11.1</c:v>
                </c:pt>
                <c:pt idx="487">
                  <c:v>11.1</c:v>
                </c:pt>
                <c:pt idx="488">
                  <c:v>11.1</c:v>
                </c:pt>
                <c:pt idx="489">
                  <c:v>11.1</c:v>
                </c:pt>
                <c:pt idx="490">
                  <c:v>11.1</c:v>
                </c:pt>
                <c:pt idx="491">
                  <c:v>11.1</c:v>
                </c:pt>
                <c:pt idx="492">
                  <c:v>11.1</c:v>
                </c:pt>
                <c:pt idx="493">
                  <c:v>11.1</c:v>
                </c:pt>
                <c:pt idx="494">
                  <c:v>11.1</c:v>
                </c:pt>
                <c:pt idx="495">
                  <c:v>11.1</c:v>
                </c:pt>
                <c:pt idx="496">
                  <c:v>11.1</c:v>
                </c:pt>
                <c:pt idx="497">
                  <c:v>11.1</c:v>
                </c:pt>
                <c:pt idx="498">
                  <c:v>11.1</c:v>
                </c:pt>
                <c:pt idx="499">
                  <c:v>11.1</c:v>
                </c:pt>
                <c:pt idx="500">
                  <c:v>11.1</c:v>
                </c:pt>
                <c:pt idx="501">
                  <c:v>11.1</c:v>
                </c:pt>
                <c:pt idx="502">
                  <c:v>11.1</c:v>
                </c:pt>
                <c:pt idx="503">
                  <c:v>11.1</c:v>
                </c:pt>
                <c:pt idx="504">
                  <c:v>11.1</c:v>
                </c:pt>
                <c:pt idx="505">
                  <c:v>11.1</c:v>
                </c:pt>
                <c:pt idx="506">
                  <c:v>11.1</c:v>
                </c:pt>
                <c:pt idx="507">
                  <c:v>11.1</c:v>
                </c:pt>
                <c:pt idx="508">
                  <c:v>11.1</c:v>
                </c:pt>
                <c:pt idx="509">
                  <c:v>11.1</c:v>
                </c:pt>
                <c:pt idx="510">
                  <c:v>11.1</c:v>
                </c:pt>
                <c:pt idx="511">
                  <c:v>11.1</c:v>
                </c:pt>
                <c:pt idx="512">
                  <c:v>11.1</c:v>
                </c:pt>
                <c:pt idx="513">
                  <c:v>11.1</c:v>
                </c:pt>
                <c:pt idx="514">
                  <c:v>11.1</c:v>
                </c:pt>
                <c:pt idx="515">
                  <c:v>11.1</c:v>
                </c:pt>
                <c:pt idx="516">
                  <c:v>11.1</c:v>
                </c:pt>
                <c:pt idx="517">
                  <c:v>11.1</c:v>
                </c:pt>
                <c:pt idx="518">
                  <c:v>11.1</c:v>
                </c:pt>
                <c:pt idx="519">
                  <c:v>11.1</c:v>
                </c:pt>
                <c:pt idx="520">
                  <c:v>11.1</c:v>
                </c:pt>
                <c:pt idx="521">
                  <c:v>11.1</c:v>
                </c:pt>
                <c:pt idx="522">
                  <c:v>11.1</c:v>
                </c:pt>
                <c:pt idx="523">
                  <c:v>11.1</c:v>
                </c:pt>
                <c:pt idx="524">
                  <c:v>11.1</c:v>
                </c:pt>
                <c:pt idx="525">
                  <c:v>11.1</c:v>
                </c:pt>
                <c:pt idx="526">
                  <c:v>11.1</c:v>
                </c:pt>
                <c:pt idx="527">
                  <c:v>11.1</c:v>
                </c:pt>
                <c:pt idx="528">
                  <c:v>11.1</c:v>
                </c:pt>
                <c:pt idx="529">
                  <c:v>11.1</c:v>
                </c:pt>
                <c:pt idx="530">
                  <c:v>11.1</c:v>
                </c:pt>
                <c:pt idx="531">
                  <c:v>11.1</c:v>
                </c:pt>
                <c:pt idx="532">
                  <c:v>11.1</c:v>
                </c:pt>
                <c:pt idx="533">
                  <c:v>11.1</c:v>
                </c:pt>
                <c:pt idx="534">
                  <c:v>11.1</c:v>
                </c:pt>
                <c:pt idx="535">
                  <c:v>11.1</c:v>
                </c:pt>
                <c:pt idx="536">
                  <c:v>11.1</c:v>
                </c:pt>
                <c:pt idx="537">
                  <c:v>11.1</c:v>
                </c:pt>
                <c:pt idx="538">
                  <c:v>11.1</c:v>
                </c:pt>
                <c:pt idx="539">
                  <c:v>11.1</c:v>
                </c:pt>
                <c:pt idx="540">
                  <c:v>11.1</c:v>
                </c:pt>
                <c:pt idx="541">
                  <c:v>11.1</c:v>
                </c:pt>
                <c:pt idx="542">
                  <c:v>11.1</c:v>
                </c:pt>
                <c:pt idx="543">
                  <c:v>11.1</c:v>
                </c:pt>
                <c:pt idx="544">
                  <c:v>11.1</c:v>
                </c:pt>
                <c:pt idx="545">
                  <c:v>11.1</c:v>
                </c:pt>
                <c:pt idx="546">
                  <c:v>11.1</c:v>
                </c:pt>
                <c:pt idx="547">
                  <c:v>11.1</c:v>
                </c:pt>
                <c:pt idx="548">
                  <c:v>11.1</c:v>
                </c:pt>
                <c:pt idx="549">
                  <c:v>11.1</c:v>
                </c:pt>
                <c:pt idx="550">
                  <c:v>11.1</c:v>
                </c:pt>
                <c:pt idx="551">
                  <c:v>11.1</c:v>
                </c:pt>
                <c:pt idx="552">
                  <c:v>11.1</c:v>
                </c:pt>
                <c:pt idx="553">
                  <c:v>11.1</c:v>
                </c:pt>
                <c:pt idx="554">
                  <c:v>11.1</c:v>
                </c:pt>
                <c:pt idx="555">
                  <c:v>11.1</c:v>
                </c:pt>
                <c:pt idx="556">
                  <c:v>11.1</c:v>
                </c:pt>
                <c:pt idx="557">
                  <c:v>11.1</c:v>
                </c:pt>
                <c:pt idx="558">
                  <c:v>11.1</c:v>
                </c:pt>
                <c:pt idx="559">
                  <c:v>11.1</c:v>
                </c:pt>
                <c:pt idx="560">
                  <c:v>11.1</c:v>
                </c:pt>
                <c:pt idx="561">
                  <c:v>11.1</c:v>
                </c:pt>
                <c:pt idx="562">
                  <c:v>11.1</c:v>
                </c:pt>
                <c:pt idx="563">
                  <c:v>11.1</c:v>
                </c:pt>
                <c:pt idx="564">
                  <c:v>11.1</c:v>
                </c:pt>
                <c:pt idx="565">
                  <c:v>11.1</c:v>
                </c:pt>
                <c:pt idx="566">
                  <c:v>11.1</c:v>
                </c:pt>
                <c:pt idx="567">
                  <c:v>11.1</c:v>
                </c:pt>
                <c:pt idx="568">
                  <c:v>11.1</c:v>
                </c:pt>
                <c:pt idx="569">
                  <c:v>11.1</c:v>
                </c:pt>
                <c:pt idx="570">
                  <c:v>11.1</c:v>
                </c:pt>
                <c:pt idx="571">
                  <c:v>11.1</c:v>
                </c:pt>
                <c:pt idx="572">
                  <c:v>11.1</c:v>
                </c:pt>
                <c:pt idx="573">
                  <c:v>11.1</c:v>
                </c:pt>
                <c:pt idx="574">
                  <c:v>11.1</c:v>
                </c:pt>
                <c:pt idx="575">
                  <c:v>11.1</c:v>
                </c:pt>
                <c:pt idx="576">
                  <c:v>11.1</c:v>
                </c:pt>
                <c:pt idx="577">
                  <c:v>11.1</c:v>
                </c:pt>
                <c:pt idx="578">
                  <c:v>11.1</c:v>
                </c:pt>
                <c:pt idx="579">
                  <c:v>11.1</c:v>
                </c:pt>
                <c:pt idx="580">
                  <c:v>11.1</c:v>
                </c:pt>
                <c:pt idx="581">
                  <c:v>11.1</c:v>
                </c:pt>
                <c:pt idx="582">
                  <c:v>11.1</c:v>
                </c:pt>
                <c:pt idx="583">
                  <c:v>11.1</c:v>
                </c:pt>
                <c:pt idx="584">
                  <c:v>11.1</c:v>
                </c:pt>
                <c:pt idx="585">
                  <c:v>11.1</c:v>
                </c:pt>
                <c:pt idx="586">
                  <c:v>11.1</c:v>
                </c:pt>
                <c:pt idx="587">
                  <c:v>11.1</c:v>
                </c:pt>
                <c:pt idx="588">
                  <c:v>11.1</c:v>
                </c:pt>
                <c:pt idx="589">
                  <c:v>11.1</c:v>
                </c:pt>
                <c:pt idx="590">
                  <c:v>11.1</c:v>
                </c:pt>
                <c:pt idx="591">
                  <c:v>11.1</c:v>
                </c:pt>
                <c:pt idx="592">
                  <c:v>11.1</c:v>
                </c:pt>
                <c:pt idx="593">
                  <c:v>11.1</c:v>
                </c:pt>
                <c:pt idx="594">
                  <c:v>11.1</c:v>
                </c:pt>
                <c:pt idx="595">
                  <c:v>11.1</c:v>
                </c:pt>
                <c:pt idx="596">
                  <c:v>11.1</c:v>
                </c:pt>
                <c:pt idx="597">
                  <c:v>11.1</c:v>
                </c:pt>
                <c:pt idx="598">
                  <c:v>11.1</c:v>
                </c:pt>
                <c:pt idx="599">
                  <c:v>11.1</c:v>
                </c:pt>
                <c:pt idx="600">
                  <c:v>11.1</c:v>
                </c:pt>
                <c:pt idx="601">
                  <c:v>11.1</c:v>
                </c:pt>
                <c:pt idx="602">
                  <c:v>11.1</c:v>
                </c:pt>
                <c:pt idx="603">
                  <c:v>11.1</c:v>
                </c:pt>
                <c:pt idx="604">
                  <c:v>11.1</c:v>
                </c:pt>
                <c:pt idx="605">
                  <c:v>11.1</c:v>
                </c:pt>
                <c:pt idx="606">
                  <c:v>11.1</c:v>
                </c:pt>
                <c:pt idx="607">
                  <c:v>11.1</c:v>
                </c:pt>
                <c:pt idx="608">
                  <c:v>11.1</c:v>
                </c:pt>
                <c:pt idx="609">
                  <c:v>11.1</c:v>
                </c:pt>
                <c:pt idx="610">
                  <c:v>11.1</c:v>
                </c:pt>
                <c:pt idx="611">
                  <c:v>11.1</c:v>
                </c:pt>
                <c:pt idx="612">
                  <c:v>11.1</c:v>
                </c:pt>
                <c:pt idx="613">
                  <c:v>11.1</c:v>
                </c:pt>
                <c:pt idx="614">
                  <c:v>11.1</c:v>
                </c:pt>
                <c:pt idx="615">
                  <c:v>11.1</c:v>
                </c:pt>
                <c:pt idx="616">
                  <c:v>11.1</c:v>
                </c:pt>
                <c:pt idx="617">
                  <c:v>11.1</c:v>
                </c:pt>
                <c:pt idx="618">
                  <c:v>11.1</c:v>
                </c:pt>
                <c:pt idx="619">
                  <c:v>11.1</c:v>
                </c:pt>
                <c:pt idx="620">
                  <c:v>11.1</c:v>
                </c:pt>
                <c:pt idx="621">
                  <c:v>11.1</c:v>
                </c:pt>
                <c:pt idx="622">
                  <c:v>11.1</c:v>
                </c:pt>
                <c:pt idx="623">
                  <c:v>11.1</c:v>
                </c:pt>
                <c:pt idx="624">
                  <c:v>12.1</c:v>
                </c:pt>
                <c:pt idx="625">
                  <c:v>12.1</c:v>
                </c:pt>
                <c:pt idx="626">
                  <c:v>12.1</c:v>
                </c:pt>
                <c:pt idx="627">
                  <c:v>12.1</c:v>
                </c:pt>
                <c:pt idx="628">
                  <c:v>12.1</c:v>
                </c:pt>
                <c:pt idx="629">
                  <c:v>12.1</c:v>
                </c:pt>
                <c:pt idx="630">
                  <c:v>12.1</c:v>
                </c:pt>
                <c:pt idx="631">
                  <c:v>12.1</c:v>
                </c:pt>
                <c:pt idx="632">
                  <c:v>12.1</c:v>
                </c:pt>
                <c:pt idx="633">
                  <c:v>12.1</c:v>
                </c:pt>
                <c:pt idx="634">
                  <c:v>12.1</c:v>
                </c:pt>
                <c:pt idx="635">
                  <c:v>12.1</c:v>
                </c:pt>
                <c:pt idx="636">
                  <c:v>12.1</c:v>
                </c:pt>
                <c:pt idx="637">
                  <c:v>12.1</c:v>
                </c:pt>
                <c:pt idx="638">
                  <c:v>12.1</c:v>
                </c:pt>
                <c:pt idx="639">
                  <c:v>12.1</c:v>
                </c:pt>
                <c:pt idx="640">
                  <c:v>12.1</c:v>
                </c:pt>
                <c:pt idx="641">
                  <c:v>12.1</c:v>
                </c:pt>
                <c:pt idx="642">
                  <c:v>12.1</c:v>
                </c:pt>
                <c:pt idx="643">
                  <c:v>12.1</c:v>
                </c:pt>
                <c:pt idx="644">
                  <c:v>12.1</c:v>
                </c:pt>
                <c:pt idx="645">
                  <c:v>12.1</c:v>
                </c:pt>
                <c:pt idx="646">
                  <c:v>12.1</c:v>
                </c:pt>
                <c:pt idx="647">
                  <c:v>12.1</c:v>
                </c:pt>
                <c:pt idx="648">
                  <c:v>12.1</c:v>
                </c:pt>
                <c:pt idx="649">
                  <c:v>12.1</c:v>
                </c:pt>
                <c:pt idx="650">
                  <c:v>12.1</c:v>
                </c:pt>
                <c:pt idx="651">
                  <c:v>12.1</c:v>
                </c:pt>
                <c:pt idx="652">
                  <c:v>12.1</c:v>
                </c:pt>
                <c:pt idx="653">
                  <c:v>12.1</c:v>
                </c:pt>
                <c:pt idx="654">
                  <c:v>12.1</c:v>
                </c:pt>
                <c:pt idx="655">
                  <c:v>13.1</c:v>
                </c:pt>
                <c:pt idx="656">
                  <c:v>13.1</c:v>
                </c:pt>
                <c:pt idx="657">
                  <c:v>13.1</c:v>
                </c:pt>
                <c:pt idx="658">
                  <c:v>13.1</c:v>
                </c:pt>
                <c:pt idx="659">
                  <c:v>13.1</c:v>
                </c:pt>
                <c:pt idx="660">
                  <c:v>13.1</c:v>
                </c:pt>
                <c:pt idx="661">
                  <c:v>13.1</c:v>
                </c:pt>
                <c:pt idx="662">
                  <c:v>13.1</c:v>
                </c:pt>
                <c:pt idx="663">
                  <c:v>13.1</c:v>
                </c:pt>
                <c:pt idx="664">
                  <c:v>13.1</c:v>
                </c:pt>
                <c:pt idx="665">
                  <c:v>13.1</c:v>
                </c:pt>
                <c:pt idx="666">
                  <c:v>13.1</c:v>
                </c:pt>
                <c:pt idx="667">
                  <c:v>13.1</c:v>
                </c:pt>
                <c:pt idx="668">
                  <c:v>13.1</c:v>
                </c:pt>
                <c:pt idx="669">
                  <c:v>13.1</c:v>
                </c:pt>
                <c:pt idx="670">
                  <c:v>13.1</c:v>
                </c:pt>
                <c:pt idx="671">
                  <c:v>13.1</c:v>
                </c:pt>
                <c:pt idx="672">
                  <c:v>13.1</c:v>
                </c:pt>
                <c:pt idx="673">
                  <c:v>13.1</c:v>
                </c:pt>
                <c:pt idx="674">
                  <c:v>13.1</c:v>
                </c:pt>
                <c:pt idx="675">
                  <c:v>13.1</c:v>
                </c:pt>
                <c:pt idx="676">
                  <c:v>13.1</c:v>
                </c:pt>
                <c:pt idx="677">
                  <c:v>13.1</c:v>
                </c:pt>
                <c:pt idx="678">
                  <c:v>13.1</c:v>
                </c:pt>
                <c:pt idx="679">
                  <c:v>13.1</c:v>
                </c:pt>
                <c:pt idx="680">
                  <c:v>13.1</c:v>
                </c:pt>
                <c:pt idx="681">
                  <c:v>13.1</c:v>
                </c:pt>
                <c:pt idx="682">
                  <c:v>13.1</c:v>
                </c:pt>
                <c:pt idx="683">
                  <c:v>13.1</c:v>
                </c:pt>
                <c:pt idx="684">
                  <c:v>13.1</c:v>
                </c:pt>
                <c:pt idx="685">
                  <c:v>13.1</c:v>
                </c:pt>
                <c:pt idx="686">
                  <c:v>13.1</c:v>
                </c:pt>
                <c:pt idx="687">
                  <c:v>13.1</c:v>
                </c:pt>
                <c:pt idx="688">
                  <c:v>13.1</c:v>
                </c:pt>
                <c:pt idx="689">
                  <c:v>14.1</c:v>
                </c:pt>
                <c:pt idx="690">
                  <c:v>14.1</c:v>
                </c:pt>
                <c:pt idx="691">
                  <c:v>14.1</c:v>
                </c:pt>
                <c:pt idx="692">
                  <c:v>14.1</c:v>
                </c:pt>
                <c:pt idx="693">
                  <c:v>14.1</c:v>
                </c:pt>
                <c:pt idx="694">
                  <c:v>14.1</c:v>
                </c:pt>
                <c:pt idx="695">
                  <c:v>14.1</c:v>
                </c:pt>
                <c:pt idx="696">
                  <c:v>14.1</c:v>
                </c:pt>
                <c:pt idx="697">
                  <c:v>14.1</c:v>
                </c:pt>
                <c:pt idx="698">
                  <c:v>14.1</c:v>
                </c:pt>
                <c:pt idx="699">
                  <c:v>14.1</c:v>
                </c:pt>
                <c:pt idx="700">
                  <c:v>14.1</c:v>
                </c:pt>
                <c:pt idx="701">
                  <c:v>14.1</c:v>
                </c:pt>
                <c:pt idx="702">
                  <c:v>14.1</c:v>
                </c:pt>
                <c:pt idx="703">
                  <c:v>14.1</c:v>
                </c:pt>
                <c:pt idx="704">
                  <c:v>14.1</c:v>
                </c:pt>
                <c:pt idx="705">
                  <c:v>14.1</c:v>
                </c:pt>
                <c:pt idx="706">
                  <c:v>14.1</c:v>
                </c:pt>
                <c:pt idx="707">
                  <c:v>14.1</c:v>
                </c:pt>
                <c:pt idx="708">
                  <c:v>14.1</c:v>
                </c:pt>
                <c:pt idx="709">
                  <c:v>14.1</c:v>
                </c:pt>
                <c:pt idx="710">
                  <c:v>14.1</c:v>
                </c:pt>
                <c:pt idx="711">
                  <c:v>14.1</c:v>
                </c:pt>
                <c:pt idx="712">
                  <c:v>14.1</c:v>
                </c:pt>
                <c:pt idx="713">
                  <c:v>14.1</c:v>
                </c:pt>
                <c:pt idx="714">
                  <c:v>14.1</c:v>
                </c:pt>
                <c:pt idx="715">
                  <c:v>14.1</c:v>
                </c:pt>
                <c:pt idx="716">
                  <c:v>14.1</c:v>
                </c:pt>
                <c:pt idx="717">
                  <c:v>14.1</c:v>
                </c:pt>
                <c:pt idx="718">
                  <c:v>14.1</c:v>
                </c:pt>
                <c:pt idx="719">
                  <c:v>14.1</c:v>
                </c:pt>
                <c:pt idx="720">
                  <c:v>14.1</c:v>
                </c:pt>
                <c:pt idx="721">
                  <c:v>14.1</c:v>
                </c:pt>
                <c:pt idx="722">
                  <c:v>14.1</c:v>
                </c:pt>
                <c:pt idx="723">
                  <c:v>14.1</c:v>
                </c:pt>
                <c:pt idx="724">
                  <c:v>14.1</c:v>
                </c:pt>
                <c:pt idx="725">
                  <c:v>14.1</c:v>
                </c:pt>
                <c:pt idx="726">
                  <c:v>14.1</c:v>
                </c:pt>
                <c:pt idx="727">
                  <c:v>14.1</c:v>
                </c:pt>
                <c:pt idx="728">
                  <c:v>14.1</c:v>
                </c:pt>
                <c:pt idx="729">
                  <c:v>14.1</c:v>
                </c:pt>
                <c:pt idx="730">
                  <c:v>14.1</c:v>
                </c:pt>
                <c:pt idx="731">
                  <c:v>14.1</c:v>
                </c:pt>
                <c:pt idx="732">
                  <c:v>14.1</c:v>
                </c:pt>
                <c:pt idx="733">
                  <c:v>14.1</c:v>
                </c:pt>
                <c:pt idx="734">
                  <c:v>14.1</c:v>
                </c:pt>
                <c:pt idx="735">
                  <c:v>14.1</c:v>
                </c:pt>
                <c:pt idx="736">
                  <c:v>14.1</c:v>
                </c:pt>
                <c:pt idx="737">
                  <c:v>14.1</c:v>
                </c:pt>
                <c:pt idx="738">
                  <c:v>14.1</c:v>
                </c:pt>
                <c:pt idx="739">
                  <c:v>14.1</c:v>
                </c:pt>
                <c:pt idx="740">
                  <c:v>14.1</c:v>
                </c:pt>
                <c:pt idx="741">
                  <c:v>14.1</c:v>
                </c:pt>
                <c:pt idx="742">
                  <c:v>14.1</c:v>
                </c:pt>
                <c:pt idx="743">
                  <c:v>14.1</c:v>
                </c:pt>
                <c:pt idx="744">
                  <c:v>14.1</c:v>
                </c:pt>
                <c:pt idx="745">
                  <c:v>14.1</c:v>
                </c:pt>
                <c:pt idx="746">
                  <c:v>14.1</c:v>
                </c:pt>
                <c:pt idx="747">
                  <c:v>14.1</c:v>
                </c:pt>
                <c:pt idx="748">
                  <c:v>14.1</c:v>
                </c:pt>
                <c:pt idx="749">
                  <c:v>14.1</c:v>
                </c:pt>
                <c:pt idx="750">
                  <c:v>14.1</c:v>
                </c:pt>
                <c:pt idx="751">
                  <c:v>14.1</c:v>
                </c:pt>
                <c:pt idx="752">
                  <c:v>14.1</c:v>
                </c:pt>
                <c:pt idx="753">
                  <c:v>14.1</c:v>
                </c:pt>
                <c:pt idx="754">
                  <c:v>14.1</c:v>
                </c:pt>
                <c:pt idx="755">
                  <c:v>14.1</c:v>
                </c:pt>
                <c:pt idx="756">
                  <c:v>14.1</c:v>
                </c:pt>
                <c:pt idx="757">
                  <c:v>14.1</c:v>
                </c:pt>
                <c:pt idx="758">
                  <c:v>14.1</c:v>
                </c:pt>
                <c:pt idx="759">
                  <c:v>14.1</c:v>
                </c:pt>
                <c:pt idx="760">
                  <c:v>14.1</c:v>
                </c:pt>
                <c:pt idx="761">
                  <c:v>14.1</c:v>
                </c:pt>
                <c:pt idx="762">
                  <c:v>14.1</c:v>
                </c:pt>
                <c:pt idx="763">
                  <c:v>14.1</c:v>
                </c:pt>
                <c:pt idx="764">
                  <c:v>14.1</c:v>
                </c:pt>
                <c:pt idx="765">
                  <c:v>14.1</c:v>
                </c:pt>
                <c:pt idx="766">
                  <c:v>14.1</c:v>
                </c:pt>
                <c:pt idx="767">
                  <c:v>14.1</c:v>
                </c:pt>
                <c:pt idx="768">
                  <c:v>14.1</c:v>
                </c:pt>
                <c:pt idx="769">
                  <c:v>14.1</c:v>
                </c:pt>
                <c:pt idx="770">
                  <c:v>14.1</c:v>
                </c:pt>
                <c:pt idx="771">
                  <c:v>14.1</c:v>
                </c:pt>
                <c:pt idx="772">
                  <c:v>14.1</c:v>
                </c:pt>
                <c:pt idx="773">
                  <c:v>14.1</c:v>
                </c:pt>
                <c:pt idx="774">
                  <c:v>14.1</c:v>
                </c:pt>
                <c:pt idx="775">
                  <c:v>14.1</c:v>
                </c:pt>
                <c:pt idx="776">
                  <c:v>14.1</c:v>
                </c:pt>
                <c:pt idx="777">
                  <c:v>14.1</c:v>
                </c:pt>
                <c:pt idx="778">
                  <c:v>14.1</c:v>
                </c:pt>
                <c:pt idx="779">
                  <c:v>14.1</c:v>
                </c:pt>
                <c:pt idx="780">
                  <c:v>14.1</c:v>
                </c:pt>
                <c:pt idx="781">
                  <c:v>14.1</c:v>
                </c:pt>
                <c:pt idx="782">
                  <c:v>14.1</c:v>
                </c:pt>
                <c:pt idx="783">
                  <c:v>14.1</c:v>
                </c:pt>
                <c:pt idx="784">
                  <c:v>14.1</c:v>
                </c:pt>
                <c:pt idx="785">
                  <c:v>14.1</c:v>
                </c:pt>
                <c:pt idx="786">
                  <c:v>14.1</c:v>
                </c:pt>
                <c:pt idx="787">
                  <c:v>14.1</c:v>
                </c:pt>
                <c:pt idx="788">
                  <c:v>14.1</c:v>
                </c:pt>
                <c:pt idx="789">
                  <c:v>14.1</c:v>
                </c:pt>
                <c:pt idx="790">
                  <c:v>14.1</c:v>
                </c:pt>
                <c:pt idx="791">
                  <c:v>14.1</c:v>
                </c:pt>
                <c:pt idx="792">
                  <c:v>14.1</c:v>
                </c:pt>
                <c:pt idx="793">
                  <c:v>14.1</c:v>
                </c:pt>
                <c:pt idx="794">
                  <c:v>14.1</c:v>
                </c:pt>
                <c:pt idx="795">
                  <c:v>14.1</c:v>
                </c:pt>
                <c:pt idx="796">
                  <c:v>14.1</c:v>
                </c:pt>
                <c:pt idx="797">
                  <c:v>14.1</c:v>
                </c:pt>
                <c:pt idx="798">
                  <c:v>14.1</c:v>
                </c:pt>
                <c:pt idx="799">
                  <c:v>14.1</c:v>
                </c:pt>
                <c:pt idx="800">
                  <c:v>14.1</c:v>
                </c:pt>
                <c:pt idx="801">
                  <c:v>14.1</c:v>
                </c:pt>
                <c:pt idx="802">
                  <c:v>14.1</c:v>
                </c:pt>
                <c:pt idx="803">
                  <c:v>15.1</c:v>
                </c:pt>
                <c:pt idx="804">
                  <c:v>15.1</c:v>
                </c:pt>
                <c:pt idx="805">
                  <c:v>15.1</c:v>
                </c:pt>
                <c:pt idx="806">
                  <c:v>15.1</c:v>
                </c:pt>
                <c:pt idx="807">
                  <c:v>15.1</c:v>
                </c:pt>
                <c:pt idx="808">
                  <c:v>15.1</c:v>
                </c:pt>
                <c:pt idx="809">
                  <c:v>15.1</c:v>
                </c:pt>
                <c:pt idx="810">
                  <c:v>15.1</c:v>
                </c:pt>
                <c:pt idx="811">
                  <c:v>15.1</c:v>
                </c:pt>
                <c:pt idx="812">
                  <c:v>15.1</c:v>
                </c:pt>
                <c:pt idx="813">
                  <c:v>15.1</c:v>
                </c:pt>
                <c:pt idx="814">
                  <c:v>15.1</c:v>
                </c:pt>
                <c:pt idx="815">
                  <c:v>15.1</c:v>
                </c:pt>
                <c:pt idx="816">
                  <c:v>15.1</c:v>
                </c:pt>
                <c:pt idx="817">
                  <c:v>15.1</c:v>
                </c:pt>
                <c:pt idx="818">
                  <c:v>15.1</c:v>
                </c:pt>
                <c:pt idx="819">
                  <c:v>15.1</c:v>
                </c:pt>
                <c:pt idx="820">
                  <c:v>15.1</c:v>
                </c:pt>
                <c:pt idx="821">
                  <c:v>15.1</c:v>
                </c:pt>
                <c:pt idx="822">
                  <c:v>15.1</c:v>
                </c:pt>
                <c:pt idx="823">
                  <c:v>15.1</c:v>
                </c:pt>
                <c:pt idx="824">
                  <c:v>15.1</c:v>
                </c:pt>
                <c:pt idx="825">
                  <c:v>15.1</c:v>
                </c:pt>
                <c:pt idx="826">
                  <c:v>15.1</c:v>
                </c:pt>
                <c:pt idx="827">
                  <c:v>15.1</c:v>
                </c:pt>
                <c:pt idx="828">
                  <c:v>15.1</c:v>
                </c:pt>
                <c:pt idx="829">
                  <c:v>15.1</c:v>
                </c:pt>
                <c:pt idx="830">
                  <c:v>15.1</c:v>
                </c:pt>
                <c:pt idx="831">
                  <c:v>15.1</c:v>
                </c:pt>
                <c:pt idx="832">
                  <c:v>15.1</c:v>
                </c:pt>
                <c:pt idx="833">
                  <c:v>15.1</c:v>
                </c:pt>
                <c:pt idx="834">
                  <c:v>15.1</c:v>
                </c:pt>
                <c:pt idx="835">
                  <c:v>15.1</c:v>
                </c:pt>
                <c:pt idx="836">
                  <c:v>15.1</c:v>
                </c:pt>
                <c:pt idx="837">
                  <c:v>15.1</c:v>
                </c:pt>
                <c:pt idx="838">
                  <c:v>15.1</c:v>
                </c:pt>
                <c:pt idx="839">
                  <c:v>15.1</c:v>
                </c:pt>
                <c:pt idx="840">
                  <c:v>15.1</c:v>
                </c:pt>
                <c:pt idx="841">
                  <c:v>15.1</c:v>
                </c:pt>
                <c:pt idx="842">
                  <c:v>15.1</c:v>
                </c:pt>
                <c:pt idx="843">
                  <c:v>15.1</c:v>
                </c:pt>
                <c:pt idx="844">
                  <c:v>15.1</c:v>
                </c:pt>
                <c:pt idx="845">
                  <c:v>15.1</c:v>
                </c:pt>
                <c:pt idx="846">
                  <c:v>15.1</c:v>
                </c:pt>
                <c:pt idx="847">
                  <c:v>15.1</c:v>
                </c:pt>
                <c:pt idx="848">
                  <c:v>15.1</c:v>
                </c:pt>
                <c:pt idx="849">
                  <c:v>15.1</c:v>
                </c:pt>
                <c:pt idx="850">
                  <c:v>15.1</c:v>
                </c:pt>
                <c:pt idx="851">
                  <c:v>15.1</c:v>
                </c:pt>
                <c:pt idx="852">
                  <c:v>15.1</c:v>
                </c:pt>
                <c:pt idx="853">
                  <c:v>15.1</c:v>
                </c:pt>
                <c:pt idx="854">
                  <c:v>15.1</c:v>
                </c:pt>
                <c:pt idx="855">
                  <c:v>15.1</c:v>
                </c:pt>
                <c:pt idx="856">
                  <c:v>15.1</c:v>
                </c:pt>
                <c:pt idx="857">
                  <c:v>15.1</c:v>
                </c:pt>
                <c:pt idx="858">
                  <c:v>16.100000000000001</c:v>
                </c:pt>
                <c:pt idx="859">
                  <c:v>16.100000000000001</c:v>
                </c:pt>
                <c:pt idx="860">
                  <c:v>16.100000000000001</c:v>
                </c:pt>
                <c:pt idx="861">
                  <c:v>16.100000000000001</c:v>
                </c:pt>
                <c:pt idx="862">
                  <c:v>16.100000000000001</c:v>
                </c:pt>
                <c:pt idx="863">
                  <c:v>16.100000000000001</c:v>
                </c:pt>
                <c:pt idx="864">
                  <c:v>16.100000000000001</c:v>
                </c:pt>
                <c:pt idx="865">
                  <c:v>16.100000000000001</c:v>
                </c:pt>
                <c:pt idx="866">
                  <c:v>16.100000000000001</c:v>
                </c:pt>
                <c:pt idx="867">
                  <c:v>16.100000000000001</c:v>
                </c:pt>
                <c:pt idx="868">
                  <c:v>16.100000000000001</c:v>
                </c:pt>
                <c:pt idx="869">
                  <c:v>16.100000000000001</c:v>
                </c:pt>
                <c:pt idx="870">
                  <c:v>16.100000000000001</c:v>
                </c:pt>
                <c:pt idx="871">
                  <c:v>16.100000000000001</c:v>
                </c:pt>
                <c:pt idx="872">
                  <c:v>16.100000000000001</c:v>
                </c:pt>
                <c:pt idx="873">
                  <c:v>16.100000000000001</c:v>
                </c:pt>
                <c:pt idx="874">
                  <c:v>16.100000000000001</c:v>
                </c:pt>
                <c:pt idx="875">
                  <c:v>16.100000000000001</c:v>
                </c:pt>
                <c:pt idx="876">
                  <c:v>16.100000000000001</c:v>
                </c:pt>
                <c:pt idx="877">
                  <c:v>16.100000000000001</c:v>
                </c:pt>
                <c:pt idx="878">
                  <c:v>16.100000000000001</c:v>
                </c:pt>
                <c:pt idx="879">
                  <c:v>16.100000000000001</c:v>
                </c:pt>
                <c:pt idx="880">
                  <c:v>16.100000000000001</c:v>
                </c:pt>
                <c:pt idx="881">
                  <c:v>16.100000000000001</c:v>
                </c:pt>
                <c:pt idx="882">
                  <c:v>16.100000000000001</c:v>
                </c:pt>
                <c:pt idx="883">
                  <c:v>16.100000000000001</c:v>
                </c:pt>
                <c:pt idx="884">
                  <c:v>16.100000000000001</c:v>
                </c:pt>
                <c:pt idx="885">
                  <c:v>16.100000000000001</c:v>
                </c:pt>
                <c:pt idx="886">
                  <c:v>16.100000000000001</c:v>
                </c:pt>
                <c:pt idx="887">
                  <c:v>16.100000000000001</c:v>
                </c:pt>
                <c:pt idx="888">
                  <c:v>16.100000000000001</c:v>
                </c:pt>
                <c:pt idx="889">
                  <c:v>16.100000000000001</c:v>
                </c:pt>
                <c:pt idx="890">
                  <c:v>16.100000000000001</c:v>
                </c:pt>
                <c:pt idx="891">
                  <c:v>16.100000000000001</c:v>
                </c:pt>
                <c:pt idx="892">
                  <c:v>16.100000000000001</c:v>
                </c:pt>
                <c:pt idx="893">
                  <c:v>16.100000000000001</c:v>
                </c:pt>
                <c:pt idx="894">
                  <c:v>16.100000000000001</c:v>
                </c:pt>
                <c:pt idx="895">
                  <c:v>16.100000000000001</c:v>
                </c:pt>
                <c:pt idx="896">
                  <c:v>16.100000000000001</c:v>
                </c:pt>
                <c:pt idx="897">
                  <c:v>16.100000000000001</c:v>
                </c:pt>
                <c:pt idx="898">
                  <c:v>16.100000000000001</c:v>
                </c:pt>
                <c:pt idx="899">
                  <c:v>16.100000000000001</c:v>
                </c:pt>
                <c:pt idx="900">
                  <c:v>16.100000000000001</c:v>
                </c:pt>
                <c:pt idx="901">
                  <c:v>16.100000000000001</c:v>
                </c:pt>
                <c:pt idx="902">
                  <c:v>16.100000000000001</c:v>
                </c:pt>
                <c:pt idx="903">
                  <c:v>16.100000000000001</c:v>
                </c:pt>
                <c:pt idx="904">
                  <c:v>16.100000000000001</c:v>
                </c:pt>
                <c:pt idx="905">
                  <c:v>16.100000000000001</c:v>
                </c:pt>
                <c:pt idx="906">
                  <c:v>16.100000000000001</c:v>
                </c:pt>
                <c:pt idx="907">
                  <c:v>16.100000000000001</c:v>
                </c:pt>
                <c:pt idx="908">
                  <c:v>16.100000000000001</c:v>
                </c:pt>
                <c:pt idx="909">
                  <c:v>16.100000000000001</c:v>
                </c:pt>
                <c:pt idx="910">
                  <c:v>16.100000000000001</c:v>
                </c:pt>
                <c:pt idx="911">
                  <c:v>16.100000000000001</c:v>
                </c:pt>
                <c:pt idx="912">
                  <c:v>16.100000000000001</c:v>
                </c:pt>
                <c:pt idx="913">
                  <c:v>16.100000000000001</c:v>
                </c:pt>
                <c:pt idx="914">
                  <c:v>16.100000000000001</c:v>
                </c:pt>
                <c:pt idx="915">
                  <c:v>16.100000000000001</c:v>
                </c:pt>
                <c:pt idx="916">
                  <c:v>16.100000000000001</c:v>
                </c:pt>
                <c:pt idx="917">
                  <c:v>16.100000000000001</c:v>
                </c:pt>
                <c:pt idx="918">
                  <c:v>16.100000000000001</c:v>
                </c:pt>
                <c:pt idx="919">
                  <c:v>16.100000000000001</c:v>
                </c:pt>
                <c:pt idx="920">
                  <c:v>16.100000000000001</c:v>
                </c:pt>
                <c:pt idx="921">
                  <c:v>16.100000000000001</c:v>
                </c:pt>
                <c:pt idx="922">
                  <c:v>16.100000000000001</c:v>
                </c:pt>
                <c:pt idx="923">
                  <c:v>16.100000000000001</c:v>
                </c:pt>
                <c:pt idx="924">
                  <c:v>16.100000000000001</c:v>
                </c:pt>
                <c:pt idx="925">
                  <c:v>16.100000000000001</c:v>
                </c:pt>
                <c:pt idx="926">
                  <c:v>16.100000000000001</c:v>
                </c:pt>
                <c:pt idx="927">
                  <c:v>16.100000000000001</c:v>
                </c:pt>
                <c:pt idx="928">
                  <c:v>16.100000000000001</c:v>
                </c:pt>
                <c:pt idx="929">
                  <c:v>16.100000000000001</c:v>
                </c:pt>
                <c:pt idx="930">
                  <c:v>16.100000000000001</c:v>
                </c:pt>
                <c:pt idx="931">
                  <c:v>16.100000000000001</c:v>
                </c:pt>
                <c:pt idx="932">
                  <c:v>16.100000000000001</c:v>
                </c:pt>
                <c:pt idx="933">
                  <c:v>16.100000000000001</c:v>
                </c:pt>
                <c:pt idx="934">
                  <c:v>16.100000000000001</c:v>
                </c:pt>
                <c:pt idx="935">
                  <c:v>16.100000000000001</c:v>
                </c:pt>
                <c:pt idx="936">
                  <c:v>16.100000000000001</c:v>
                </c:pt>
                <c:pt idx="937">
                  <c:v>16.100000000000001</c:v>
                </c:pt>
                <c:pt idx="938">
                  <c:v>16.100000000000001</c:v>
                </c:pt>
                <c:pt idx="939">
                  <c:v>16.100000000000001</c:v>
                </c:pt>
                <c:pt idx="940">
                  <c:v>16.100000000000001</c:v>
                </c:pt>
                <c:pt idx="941">
                  <c:v>16.100000000000001</c:v>
                </c:pt>
                <c:pt idx="942">
                  <c:v>16.100000000000001</c:v>
                </c:pt>
                <c:pt idx="943">
                  <c:v>16.100000000000001</c:v>
                </c:pt>
                <c:pt idx="944">
                  <c:v>16.100000000000001</c:v>
                </c:pt>
                <c:pt idx="945">
                  <c:v>16.100000000000001</c:v>
                </c:pt>
                <c:pt idx="946">
                  <c:v>16.100000000000001</c:v>
                </c:pt>
                <c:pt idx="947">
                  <c:v>16.100000000000001</c:v>
                </c:pt>
                <c:pt idx="948">
                  <c:v>16.100000000000001</c:v>
                </c:pt>
                <c:pt idx="949">
                  <c:v>16.100000000000001</c:v>
                </c:pt>
                <c:pt idx="950">
                  <c:v>16.100000000000001</c:v>
                </c:pt>
                <c:pt idx="951">
                  <c:v>16.100000000000001</c:v>
                </c:pt>
                <c:pt idx="952">
                  <c:v>16.100000000000001</c:v>
                </c:pt>
                <c:pt idx="953">
                  <c:v>16.100000000000001</c:v>
                </c:pt>
                <c:pt idx="954">
                  <c:v>16.100000000000001</c:v>
                </c:pt>
                <c:pt idx="955">
                  <c:v>16.100000000000001</c:v>
                </c:pt>
                <c:pt idx="956">
                  <c:v>16.100000000000001</c:v>
                </c:pt>
                <c:pt idx="957">
                  <c:v>16.100000000000001</c:v>
                </c:pt>
                <c:pt idx="958">
                  <c:v>16.100000000000001</c:v>
                </c:pt>
                <c:pt idx="959">
                  <c:v>16.100000000000001</c:v>
                </c:pt>
                <c:pt idx="960">
                  <c:v>16.100000000000001</c:v>
                </c:pt>
                <c:pt idx="961">
                  <c:v>16.100000000000001</c:v>
                </c:pt>
                <c:pt idx="962">
                  <c:v>16.100000000000001</c:v>
                </c:pt>
                <c:pt idx="963">
                  <c:v>16.100000000000001</c:v>
                </c:pt>
                <c:pt idx="964">
                  <c:v>16.100000000000001</c:v>
                </c:pt>
                <c:pt idx="965">
                  <c:v>16.100000000000001</c:v>
                </c:pt>
                <c:pt idx="966">
                  <c:v>16.100000000000001</c:v>
                </c:pt>
                <c:pt idx="967">
                  <c:v>16.100000000000001</c:v>
                </c:pt>
                <c:pt idx="968">
                  <c:v>16.100000000000001</c:v>
                </c:pt>
                <c:pt idx="969">
                  <c:v>16.100000000000001</c:v>
                </c:pt>
                <c:pt idx="970">
                  <c:v>16.100000000000001</c:v>
                </c:pt>
                <c:pt idx="971">
                  <c:v>16.100000000000001</c:v>
                </c:pt>
                <c:pt idx="972">
                  <c:v>16.100000000000001</c:v>
                </c:pt>
                <c:pt idx="973">
                  <c:v>16.100000000000001</c:v>
                </c:pt>
                <c:pt idx="974">
                  <c:v>16.100000000000001</c:v>
                </c:pt>
                <c:pt idx="975">
                  <c:v>16.100000000000001</c:v>
                </c:pt>
                <c:pt idx="976">
                  <c:v>16.100000000000001</c:v>
                </c:pt>
                <c:pt idx="977">
                  <c:v>16.100000000000001</c:v>
                </c:pt>
                <c:pt idx="978">
                  <c:v>16.100000000000001</c:v>
                </c:pt>
                <c:pt idx="979">
                  <c:v>16.100000000000001</c:v>
                </c:pt>
                <c:pt idx="980">
                  <c:v>16.100000000000001</c:v>
                </c:pt>
                <c:pt idx="981">
                  <c:v>16.100000000000001</c:v>
                </c:pt>
                <c:pt idx="982">
                  <c:v>16.100000000000001</c:v>
                </c:pt>
                <c:pt idx="983">
                  <c:v>16.100000000000001</c:v>
                </c:pt>
                <c:pt idx="984">
                  <c:v>16.100000000000001</c:v>
                </c:pt>
                <c:pt idx="985">
                  <c:v>16.100000000000001</c:v>
                </c:pt>
                <c:pt idx="986">
                  <c:v>16.100000000000001</c:v>
                </c:pt>
                <c:pt idx="987">
                  <c:v>16.100000000000001</c:v>
                </c:pt>
                <c:pt idx="988">
                  <c:v>16.100000000000001</c:v>
                </c:pt>
                <c:pt idx="989">
                  <c:v>16.100000000000001</c:v>
                </c:pt>
                <c:pt idx="990">
                  <c:v>16.100000000000001</c:v>
                </c:pt>
                <c:pt idx="991">
                  <c:v>16.100000000000001</c:v>
                </c:pt>
                <c:pt idx="992">
                  <c:v>16.100000000000001</c:v>
                </c:pt>
                <c:pt idx="993">
                  <c:v>16.100000000000001</c:v>
                </c:pt>
                <c:pt idx="994">
                  <c:v>16.100000000000001</c:v>
                </c:pt>
                <c:pt idx="995">
                  <c:v>16.100000000000001</c:v>
                </c:pt>
                <c:pt idx="996">
                  <c:v>16.100000000000001</c:v>
                </c:pt>
                <c:pt idx="997">
                  <c:v>16.100000000000001</c:v>
                </c:pt>
                <c:pt idx="998">
                  <c:v>16.100000000000001</c:v>
                </c:pt>
                <c:pt idx="999">
                  <c:v>16.100000000000001</c:v>
                </c:pt>
                <c:pt idx="1000">
                  <c:v>16.100000000000001</c:v>
                </c:pt>
                <c:pt idx="1001">
                  <c:v>16.100000000000001</c:v>
                </c:pt>
                <c:pt idx="1002">
                  <c:v>16.100000000000001</c:v>
                </c:pt>
                <c:pt idx="1003">
                  <c:v>16.100000000000001</c:v>
                </c:pt>
                <c:pt idx="1004">
                  <c:v>16.100000000000001</c:v>
                </c:pt>
                <c:pt idx="1005">
                  <c:v>16.100000000000001</c:v>
                </c:pt>
                <c:pt idx="1006">
                  <c:v>16.100000000000001</c:v>
                </c:pt>
                <c:pt idx="1007">
                  <c:v>16.100000000000001</c:v>
                </c:pt>
                <c:pt idx="1008">
                  <c:v>16.100000000000001</c:v>
                </c:pt>
                <c:pt idx="1009">
                  <c:v>16.100000000000001</c:v>
                </c:pt>
                <c:pt idx="1010">
                  <c:v>16.100000000000001</c:v>
                </c:pt>
                <c:pt idx="1011">
                  <c:v>16.100000000000001</c:v>
                </c:pt>
                <c:pt idx="1012">
                  <c:v>16.100000000000001</c:v>
                </c:pt>
                <c:pt idx="1013">
                  <c:v>16.100000000000001</c:v>
                </c:pt>
                <c:pt idx="1014">
                  <c:v>16.100000000000001</c:v>
                </c:pt>
                <c:pt idx="1015">
                  <c:v>16.100000000000001</c:v>
                </c:pt>
                <c:pt idx="1016">
                  <c:v>16.100000000000001</c:v>
                </c:pt>
                <c:pt idx="1017">
                  <c:v>16.100000000000001</c:v>
                </c:pt>
                <c:pt idx="1018">
                  <c:v>16.100000000000001</c:v>
                </c:pt>
                <c:pt idx="1019">
                  <c:v>16.100000000000001</c:v>
                </c:pt>
                <c:pt idx="1020">
                  <c:v>16.100000000000001</c:v>
                </c:pt>
                <c:pt idx="1021">
                  <c:v>16.100000000000001</c:v>
                </c:pt>
                <c:pt idx="1022">
                  <c:v>16.100000000000001</c:v>
                </c:pt>
                <c:pt idx="1023">
                  <c:v>16.100000000000001</c:v>
                </c:pt>
                <c:pt idx="1024">
                  <c:v>16.100000000000001</c:v>
                </c:pt>
                <c:pt idx="1025">
                  <c:v>16.100000000000001</c:v>
                </c:pt>
                <c:pt idx="1026">
                  <c:v>16.100000000000001</c:v>
                </c:pt>
                <c:pt idx="1027">
                  <c:v>16.100000000000001</c:v>
                </c:pt>
                <c:pt idx="1028">
                  <c:v>16.100000000000001</c:v>
                </c:pt>
                <c:pt idx="1029">
                  <c:v>16.100000000000001</c:v>
                </c:pt>
                <c:pt idx="1030">
                  <c:v>16.100000000000001</c:v>
                </c:pt>
                <c:pt idx="1031">
                  <c:v>16.100000000000001</c:v>
                </c:pt>
                <c:pt idx="1032">
                  <c:v>16.100000000000001</c:v>
                </c:pt>
                <c:pt idx="1033">
                  <c:v>17.100000000000001</c:v>
                </c:pt>
                <c:pt idx="1034">
                  <c:v>17.100000000000001</c:v>
                </c:pt>
                <c:pt idx="1035">
                  <c:v>17.100000000000001</c:v>
                </c:pt>
                <c:pt idx="1036">
                  <c:v>17.100000000000001</c:v>
                </c:pt>
                <c:pt idx="1037">
                  <c:v>17.100000000000001</c:v>
                </c:pt>
                <c:pt idx="1038">
                  <c:v>17.100000000000001</c:v>
                </c:pt>
                <c:pt idx="1039">
                  <c:v>17.100000000000001</c:v>
                </c:pt>
                <c:pt idx="1040">
                  <c:v>17.100000000000001</c:v>
                </c:pt>
                <c:pt idx="1041">
                  <c:v>17.100000000000001</c:v>
                </c:pt>
                <c:pt idx="1042">
                  <c:v>17.100000000000001</c:v>
                </c:pt>
                <c:pt idx="1043">
                  <c:v>17.100000000000001</c:v>
                </c:pt>
                <c:pt idx="1044">
                  <c:v>17.100000000000001</c:v>
                </c:pt>
                <c:pt idx="1045">
                  <c:v>17.100000000000001</c:v>
                </c:pt>
                <c:pt idx="1046">
                  <c:v>17.100000000000001</c:v>
                </c:pt>
                <c:pt idx="1047">
                  <c:v>17.100000000000001</c:v>
                </c:pt>
                <c:pt idx="1048">
                  <c:v>17.100000000000001</c:v>
                </c:pt>
                <c:pt idx="1049">
                  <c:v>17.100000000000001</c:v>
                </c:pt>
                <c:pt idx="1050">
                  <c:v>17.100000000000001</c:v>
                </c:pt>
                <c:pt idx="1051">
                  <c:v>17.100000000000001</c:v>
                </c:pt>
                <c:pt idx="1052">
                  <c:v>17.100000000000001</c:v>
                </c:pt>
                <c:pt idx="1053">
                  <c:v>17.100000000000001</c:v>
                </c:pt>
                <c:pt idx="1054">
                  <c:v>17.100000000000001</c:v>
                </c:pt>
                <c:pt idx="1055">
                  <c:v>17.100000000000001</c:v>
                </c:pt>
                <c:pt idx="1056">
                  <c:v>17.100000000000001</c:v>
                </c:pt>
                <c:pt idx="1057">
                  <c:v>17.100000000000001</c:v>
                </c:pt>
                <c:pt idx="1058">
                  <c:v>17.100000000000001</c:v>
                </c:pt>
                <c:pt idx="1059">
                  <c:v>17.100000000000001</c:v>
                </c:pt>
                <c:pt idx="1060">
                  <c:v>17.100000000000001</c:v>
                </c:pt>
                <c:pt idx="1061">
                  <c:v>17.100000000000001</c:v>
                </c:pt>
                <c:pt idx="1062">
                  <c:v>17.100000000000001</c:v>
                </c:pt>
                <c:pt idx="1063">
                  <c:v>17.100000000000001</c:v>
                </c:pt>
                <c:pt idx="1064">
                  <c:v>17.100000000000001</c:v>
                </c:pt>
                <c:pt idx="1065">
                  <c:v>17.100000000000001</c:v>
                </c:pt>
                <c:pt idx="1066">
                  <c:v>17.100000000000001</c:v>
                </c:pt>
                <c:pt idx="1067">
                  <c:v>17.100000000000001</c:v>
                </c:pt>
                <c:pt idx="1068">
                  <c:v>17.100000000000001</c:v>
                </c:pt>
                <c:pt idx="1069">
                  <c:v>17.100000000000001</c:v>
                </c:pt>
                <c:pt idx="1070">
                  <c:v>17.100000000000001</c:v>
                </c:pt>
                <c:pt idx="1071">
                  <c:v>17.100000000000001</c:v>
                </c:pt>
                <c:pt idx="1072">
                  <c:v>17.100000000000001</c:v>
                </c:pt>
                <c:pt idx="1073">
                  <c:v>17.100000000000001</c:v>
                </c:pt>
                <c:pt idx="1074">
                  <c:v>17.100000000000001</c:v>
                </c:pt>
                <c:pt idx="1075">
                  <c:v>17.100000000000001</c:v>
                </c:pt>
                <c:pt idx="1076">
                  <c:v>17.100000000000001</c:v>
                </c:pt>
                <c:pt idx="1077">
                  <c:v>17.100000000000001</c:v>
                </c:pt>
                <c:pt idx="1078">
                  <c:v>17.100000000000001</c:v>
                </c:pt>
                <c:pt idx="1079">
                  <c:v>17.100000000000001</c:v>
                </c:pt>
                <c:pt idx="1080">
                  <c:v>17.100000000000001</c:v>
                </c:pt>
                <c:pt idx="1081">
                  <c:v>17.100000000000001</c:v>
                </c:pt>
                <c:pt idx="1082">
                  <c:v>17.100000000000001</c:v>
                </c:pt>
                <c:pt idx="1083">
                  <c:v>17.100000000000001</c:v>
                </c:pt>
                <c:pt idx="1084">
                  <c:v>17.100000000000001</c:v>
                </c:pt>
                <c:pt idx="1085">
                  <c:v>17.100000000000001</c:v>
                </c:pt>
                <c:pt idx="1086">
                  <c:v>17.100000000000001</c:v>
                </c:pt>
                <c:pt idx="1087">
                  <c:v>17.100000000000001</c:v>
                </c:pt>
                <c:pt idx="1088">
                  <c:v>17.100000000000001</c:v>
                </c:pt>
                <c:pt idx="1089">
                  <c:v>17.100000000000001</c:v>
                </c:pt>
                <c:pt idx="1090">
                  <c:v>17.100000000000001</c:v>
                </c:pt>
                <c:pt idx="1091">
                  <c:v>17.100000000000001</c:v>
                </c:pt>
                <c:pt idx="1092">
                  <c:v>17.100000000000001</c:v>
                </c:pt>
                <c:pt idx="1093">
                  <c:v>17.100000000000001</c:v>
                </c:pt>
                <c:pt idx="1094">
                  <c:v>17.100000000000001</c:v>
                </c:pt>
                <c:pt idx="1095">
                  <c:v>17.100000000000001</c:v>
                </c:pt>
                <c:pt idx="1096">
                  <c:v>17.100000000000001</c:v>
                </c:pt>
                <c:pt idx="1097">
                  <c:v>17.100000000000001</c:v>
                </c:pt>
                <c:pt idx="1098">
                  <c:v>17.100000000000001</c:v>
                </c:pt>
                <c:pt idx="1099">
                  <c:v>17.100000000000001</c:v>
                </c:pt>
                <c:pt idx="1100">
                  <c:v>17.100000000000001</c:v>
                </c:pt>
                <c:pt idx="1101">
                  <c:v>17.100000000000001</c:v>
                </c:pt>
                <c:pt idx="1102">
                  <c:v>17.100000000000001</c:v>
                </c:pt>
                <c:pt idx="1103">
                  <c:v>17.100000000000001</c:v>
                </c:pt>
                <c:pt idx="1104">
                  <c:v>17.100000000000001</c:v>
                </c:pt>
                <c:pt idx="1105">
                  <c:v>17.100000000000001</c:v>
                </c:pt>
                <c:pt idx="1106">
                  <c:v>17.100000000000001</c:v>
                </c:pt>
                <c:pt idx="1107">
                  <c:v>17.100000000000001</c:v>
                </c:pt>
                <c:pt idx="1108">
                  <c:v>17.100000000000001</c:v>
                </c:pt>
                <c:pt idx="1109">
                  <c:v>17.100000000000001</c:v>
                </c:pt>
                <c:pt idx="1110">
                  <c:v>17.100000000000001</c:v>
                </c:pt>
                <c:pt idx="1111">
                  <c:v>17.100000000000001</c:v>
                </c:pt>
                <c:pt idx="1112">
                  <c:v>17.100000000000001</c:v>
                </c:pt>
                <c:pt idx="1113">
                  <c:v>17.100000000000001</c:v>
                </c:pt>
                <c:pt idx="1114">
                  <c:v>17.100000000000001</c:v>
                </c:pt>
                <c:pt idx="1115">
                  <c:v>18.100000000000001</c:v>
                </c:pt>
                <c:pt idx="1116">
                  <c:v>17.100000000000001</c:v>
                </c:pt>
                <c:pt idx="1117">
                  <c:v>18.100000000000001</c:v>
                </c:pt>
                <c:pt idx="1118">
                  <c:v>18.100000000000001</c:v>
                </c:pt>
                <c:pt idx="1119">
                  <c:v>18.100000000000001</c:v>
                </c:pt>
                <c:pt idx="1120">
                  <c:v>18.100000000000001</c:v>
                </c:pt>
                <c:pt idx="1121">
                  <c:v>18.100000000000001</c:v>
                </c:pt>
                <c:pt idx="1122">
                  <c:v>18.100000000000001</c:v>
                </c:pt>
                <c:pt idx="1123">
                  <c:v>18.100000000000001</c:v>
                </c:pt>
                <c:pt idx="1124">
                  <c:v>17.100000000000001</c:v>
                </c:pt>
                <c:pt idx="1125">
                  <c:v>17.100000000000001</c:v>
                </c:pt>
                <c:pt idx="1126">
                  <c:v>18.100000000000001</c:v>
                </c:pt>
                <c:pt idx="1127">
                  <c:v>18.100000000000001</c:v>
                </c:pt>
                <c:pt idx="1128">
                  <c:v>18.100000000000001</c:v>
                </c:pt>
                <c:pt idx="1129">
                  <c:v>18.100000000000001</c:v>
                </c:pt>
                <c:pt idx="1130">
                  <c:v>18.100000000000001</c:v>
                </c:pt>
                <c:pt idx="1131">
                  <c:v>18.100000000000001</c:v>
                </c:pt>
                <c:pt idx="1132">
                  <c:v>18.100000000000001</c:v>
                </c:pt>
                <c:pt idx="1133">
                  <c:v>18.100000000000001</c:v>
                </c:pt>
                <c:pt idx="1134">
                  <c:v>17.100000000000001</c:v>
                </c:pt>
                <c:pt idx="1135">
                  <c:v>17.100000000000001</c:v>
                </c:pt>
                <c:pt idx="1136">
                  <c:v>18.100000000000001</c:v>
                </c:pt>
                <c:pt idx="1137">
                  <c:v>18.100000000000001</c:v>
                </c:pt>
                <c:pt idx="1138">
                  <c:v>18.100000000000001</c:v>
                </c:pt>
                <c:pt idx="1139">
                  <c:v>18.100000000000001</c:v>
                </c:pt>
                <c:pt idx="1140">
                  <c:v>18.100000000000001</c:v>
                </c:pt>
                <c:pt idx="1141">
                  <c:v>18.100000000000001</c:v>
                </c:pt>
                <c:pt idx="1142">
                  <c:v>18.100000000000001</c:v>
                </c:pt>
                <c:pt idx="1143">
                  <c:v>18.100000000000001</c:v>
                </c:pt>
                <c:pt idx="1144">
                  <c:v>18.100000000000001</c:v>
                </c:pt>
                <c:pt idx="1145">
                  <c:v>18.100000000000001</c:v>
                </c:pt>
                <c:pt idx="1146">
                  <c:v>18.100000000000001</c:v>
                </c:pt>
                <c:pt idx="1147">
                  <c:v>18.100000000000001</c:v>
                </c:pt>
                <c:pt idx="1148">
                  <c:v>18.100000000000001</c:v>
                </c:pt>
                <c:pt idx="1149">
                  <c:v>18.100000000000001</c:v>
                </c:pt>
                <c:pt idx="1150">
                  <c:v>18.100000000000001</c:v>
                </c:pt>
                <c:pt idx="1151">
                  <c:v>18.100000000000001</c:v>
                </c:pt>
                <c:pt idx="1152">
                  <c:v>18.100000000000001</c:v>
                </c:pt>
                <c:pt idx="1153">
                  <c:v>18.100000000000001</c:v>
                </c:pt>
                <c:pt idx="1154">
                  <c:v>18.100000000000001</c:v>
                </c:pt>
                <c:pt idx="1155">
                  <c:v>18.100000000000001</c:v>
                </c:pt>
                <c:pt idx="1156">
                  <c:v>18.100000000000001</c:v>
                </c:pt>
                <c:pt idx="1157">
                  <c:v>18.100000000000001</c:v>
                </c:pt>
                <c:pt idx="1158">
                  <c:v>18.100000000000001</c:v>
                </c:pt>
                <c:pt idx="1159">
                  <c:v>18.100000000000001</c:v>
                </c:pt>
                <c:pt idx="1160">
                  <c:v>18.100000000000001</c:v>
                </c:pt>
                <c:pt idx="1161">
                  <c:v>18.100000000000001</c:v>
                </c:pt>
                <c:pt idx="1162">
                  <c:v>18.100000000000001</c:v>
                </c:pt>
                <c:pt idx="1163">
                  <c:v>18.100000000000001</c:v>
                </c:pt>
                <c:pt idx="1164">
                  <c:v>18.100000000000001</c:v>
                </c:pt>
                <c:pt idx="1165">
                  <c:v>18.100000000000001</c:v>
                </c:pt>
                <c:pt idx="1166">
                  <c:v>18.100000000000001</c:v>
                </c:pt>
                <c:pt idx="1167">
                  <c:v>18.100000000000001</c:v>
                </c:pt>
                <c:pt idx="1168">
                  <c:v>18.100000000000001</c:v>
                </c:pt>
                <c:pt idx="1169">
                  <c:v>18.100000000000001</c:v>
                </c:pt>
                <c:pt idx="1170">
                  <c:v>18.100000000000001</c:v>
                </c:pt>
                <c:pt idx="1171">
                  <c:v>18.100000000000001</c:v>
                </c:pt>
                <c:pt idx="1172">
                  <c:v>18.100000000000001</c:v>
                </c:pt>
                <c:pt idx="1173">
                  <c:v>18.100000000000001</c:v>
                </c:pt>
                <c:pt idx="1174">
                  <c:v>18.100000000000001</c:v>
                </c:pt>
                <c:pt idx="1175">
                  <c:v>18.100000000000001</c:v>
                </c:pt>
                <c:pt idx="1176">
                  <c:v>18.100000000000001</c:v>
                </c:pt>
                <c:pt idx="1177">
                  <c:v>18.100000000000001</c:v>
                </c:pt>
                <c:pt idx="1178">
                  <c:v>18.100000000000001</c:v>
                </c:pt>
                <c:pt idx="1179">
                  <c:v>18.100000000000001</c:v>
                </c:pt>
                <c:pt idx="1180">
                  <c:v>18.100000000000001</c:v>
                </c:pt>
                <c:pt idx="1181">
                  <c:v>18.100000000000001</c:v>
                </c:pt>
                <c:pt idx="1182">
                  <c:v>18.100000000000001</c:v>
                </c:pt>
                <c:pt idx="1183">
                  <c:v>18.100000000000001</c:v>
                </c:pt>
                <c:pt idx="1184">
                  <c:v>18.100000000000001</c:v>
                </c:pt>
                <c:pt idx="1185">
                  <c:v>18.100000000000001</c:v>
                </c:pt>
                <c:pt idx="1186">
                  <c:v>18.100000000000001</c:v>
                </c:pt>
                <c:pt idx="1187">
                  <c:v>18.100000000000001</c:v>
                </c:pt>
                <c:pt idx="1188">
                  <c:v>18.100000000000001</c:v>
                </c:pt>
                <c:pt idx="1189">
                  <c:v>18.100000000000001</c:v>
                </c:pt>
                <c:pt idx="1190">
                  <c:v>18.100000000000001</c:v>
                </c:pt>
                <c:pt idx="1191">
                  <c:v>18.100000000000001</c:v>
                </c:pt>
                <c:pt idx="1192">
                  <c:v>18.100000000000001</c:v>
                </c:pt>
                <c:pt idx="1193">
                  <c:v>18.100000000000001</c:v>
                </c:pt>
                <c:pt idx="1194">
                  <c:v>18.100000000000001</c:v>
                </c:pt>
                <c:pt idx="1195">
                  <c:v>18.100000000000001</c:v>
                </c:pt>
                <c:pt idx="1196">
                  <c:v>18.100000000000001</c:v>
                </c:pt>
                <c:pt idx="1197">
                  <c:v>18.100000000000001</c:v>
                </c:pt>
                <c:pt idx="1198">
                  <c:v>18.100000000000001</c:v>
                </c:pt>
                <c:pt idx="1199">
                  <c:v>18.100000000000001</c:v>
                </c:pt>
                <c:pt idx="1200">
                  <c:v>18.100000000000001</c:v>
                </c:pt>
                <c:pt idx="1201">
                  <c:v>18.100000000000001</c:v>
                </c:pt>
                <c:pt idx="1202">
                  <c:v>18.100000000000001</c:v>
                </c:pt>
                <c:pt idx="1203">
                  <c:v>18.100000000000001</c:v>
                </c:pt>
                <c:pt idx="1204">
                  <c:v>18.100000000000001</c:v>
                </c:pt>
                <c:pt idx="1205">
                  <c:v>18.100000000000001</c:v>
                </c:pt>
                <c:pt idx="1206">
                  <c:v>18.100000000000001</c:v>
                </c:pt>
                <c:pt idx="1207">
                  <c:v>18.100000000000001</c:v>
                </c:pt>
                <c:pt idx="1208">
                  <c:v>18.100000000000001</c:v>
                </c:pt>
                <c:pt idx="1209">
                  <c:v>18.100000000000001</c:v>
                </c:pt>
                <c:pt idx="1210">
                  <c:v>18.100000000000001</c:v>
                </c:pt>
                <c:pt idx="1211">
                  <c:v>18.100000000000001</c:v>
                </c:pt>
                <c:pt idx="1212">
                  <c:v>18.100000000000001</c:v>
                </c:pt>
                <c:pt idx="1213">
                  <c:v>18.100000000000001</c:v>
                </c:pt>
                <c:pt idx="1214">
                  <c:v>18.100000000000001</c:v>
                </c:pt>
                <c:pt idx="1215">
                  <c:v>18.100000000000001</c:v>
                </c:pt>
                <c:pt idx="1216">
                  <c:v>18.100000000000001</c:v>
                </c:pt>
                <c:pt idx="1217">
                  <c:v>18.100000000000001</c:v>
                </c:pt>
                <c:pt idx="1218">
                  <c:v>18.100000000000001</c:v>
                </c:pt>
                <c:pt idx="1219">
                  <c:v>18.100000000000001</c:v>
                </c:pt>
                <c:pt idx="1220">
                  <c:v>18.100000000000001</c:v>
                </c:pt>
                <c:pt idx="1221">
                  <c:v>18.100000000000001</c:v>
                </c:pt>
                <c:pt idx="1222">
                  <c:v>18.100000000000001</c:v>
                </c:pt>
                <c:pt idx="1223">
                  <c:v>18.100000000000001</c:v>
                </c:pt>
                <c:pt idx="1224">
                  <c:v>18.100000000000001</c:v>
                </c:pt>
                <c:pt idx="1225">
                  <c:v>18.100000000000001</c:v>
                </c:pt>
                <c:pt idx="1226">
                  <c:v>18.100000000000001</c:v>
                </c:pt>
                <c:pt idx="1227">
                  <c:v>18.100000000000001</c:v>
                </c:pt>
                <c:pt idx="1228">
                  <c:v>18.100000000000001</c:v>
                </c:pt>
                <c:pt idx="1229">
                  <c:v>18.100000000000001</c:v>
                </c:pt>
                <c:pt idx="1230">
                  <c:v>18.100000000000001</c:v>
                </c:pt>
                <c:pt idx="1231">
                  <c:v>18.100000000000001</c:v>
                </c:pt>
                <c:pt idx="1232">
                  <c:v>18.100000000000001</c:v>
                </c:pt>
                <c:pt idx="1233">
                  <c:v>18.100000000000001</c:v>
                </c:pt>
                <c:pt idx="1234">
                  <c:v>18.100000000000001</c:v>
                </c:pt>
                <c:pt idx="1235">
                  <c:v>18.100000000000001</c:v>
                </c:pt>
                <c:pt idx="1236">
                  <c:v>18.100000000000001</c:v>
                </c:pt>
                <c:pt idx="1237">
                  <c:v>18.100000000000001</c:v>
                </c:pt>
                <c:pt idx="1238">
                  <c:v>18.100000000000001</c:v>
                </c:pt>
                <c:pt idx="1239">
                  <c:v>18.100000000000001</c:v>
                </c:pt>
                <c:pt idx="1240">
                  <c:v>18.100000000000001</c:v>
                </c:pt>
                <c:pt idx="1241">
                  <c:v>18.100000000000001</c:v>
                </c:pt>
                <c:pt idx="1242">
                  <c:v>18.100000000000001</c:v>
                </c:pt>
                <c:pt idx="1243">
                  <c:v>18.100000000000001</c:v>
                </c:pt>
                <c:pt idx="1244">
                  <c:v>18.100000000000001</c:v>
                </c:pt>
                <c:pt idx="1245">
                  <c:v>18.100000000000001</c:v>
                </c:pt>
                <c:pt idx="1246">
                  <c:v>18.100000000000001</c:v>
                </c:pt>
                <c:pt idx="1247">
                  <c:v>18.100000000000001</c:v>
                </c:pt>
                <c:pt idx="1248">
                  <c:v>18.100000000000001</c:v>
                </c:pt>
                <c:pt idx="1249">
                  <c:v>18.100000000000001</c:v>
                </c:pt>
                <c:pt idx="1250">
                  <c:v>18.100000000000001</c:v>
                </c:pt>
                <c:pt idx="1251">
                  <c:v>18.100000000000001</c:v>
                </c:pt>
                <c:pt idx="1252">
                  <c:v>18.100000000000001</c:v>
                </c:pt>
                <c:pt idx="1253">
                  <c:v>18.100000000000001</c:v>
                </c:pt>
                <c:pt idx="1254">
                  <c:v>18.100000000000001</c:v>
                </c:pt>
                <c:pt idx="1255">
                  <c:v>18.100000000000001</c:v>
                </c:pt>
                <c:pt idx="1256">
                  <c:v>18.100000000000001</c:v>
                </c:pt>
                <c:pt idx="1257">
                  <c:v>18.100000000000001</c:v>
                </c:pt>
                <c:pt idx="1258">
                  <c:v>18.100000000000001</c:v>
                </c:pt>
                <c:pt idx="1259">
                  <c:v>18.100000000000001</c:v>
                </c:pt>
                <c:pt idx="1260">
                  <c:v>18.100000000000001</c:v>
                </c:pt>
                <c:pt idx="1261">
                  <c:v>18.100000000000001</c:v>
                </c:pt>
                <c:pt idx="1262">
                  <c:v>18.100000000000001</c:v>
                </c:pt>
                <c:pt idx="1263">
                  <c:v>18.100000000000001</c:v>
                </c:pt>
                <c:pt idx="1264">
                  <c:v>18.100000000000001</c:v>
                </c:pt>
                <c:pt idx="1265">
                  <c:v>18.100000000000001</c:v>
                </c:pt>
                <c:pt idx="1266">
                  <c:v>18.100000000000001</c:v>
                </c:pt>
                <c:pt idx="1267">
                  <c:v>18.100000000000001</c:v>
                </c:pt>
                <c:pt idx="1268">
                  <c:v>18.100000000000001</c:v>
                </c:pt>
                <c:pt idx="1269">
                  <c:v>18.100000000000001</c:v>
                </c:pt>
                <c:pt idx="1270">
                  <c:v>19.100000000000001</c:v>
                </c:pt>
                <c:pt idx="1271">
                  <c:v>19.100000000000001</c:v>
                </c:pt>
                <c:pt idx="1272">
                  <c:v>19.100000000000001</c:v>
                </c:pt>
                <c:pt idx="1273">
                  <c:v>19.100000000000001</c:v>
                </c:pt>
                <c:pt idx="1274">
                  <c:v>19.100000000000001</c:v>
                </c:pt>
                <c:pt idx="1275">
                  <c:v>19.100000000000001</c:v>
                </c:pt>
                <c:pt idx="1276">
                  <c:v>19.100000000000001</c:v>
                </c:pt>
                <c:pt idx="1277">
                  <c:v>19.100000000000001</c:v>
                </c:pt>
                <c:pt idx="1278">
                  <c:v>19.100000000000001</c:v>
                </c:pt>
                <c:pt idx="1279">
                  <c:v>19.100000000000001</c:v>
                </c:pt>
                <c:pt idx="1280">
                  <c:v>19.100000000000001</c:v>
                </c:pt>
                <c:pt idx="1281">
                  <c:v>19.100000000000001</c:v>
                </c:pt>
                <c:pt idx="1282">
                  <c:v>19.100000000000001</c:v>
                </c:pt>
                <c:pt idx="1283">
                  <c:v>19.100000000000001</c:v>
                </c:pt>
                <c:pt idx="1284">
                  <c:v>19.100000000000001</c:v>
                </c:pt>
                <c:pt idx="1285">
                  <c:v>19.100000000000001</c:v>
                </c:pt>
                <c:pt idx="1286">
                  <c:v>19.100000000000001</c:v>
                </c:pt>
                <c:pt idx="1287">
                  <c:v>19.100000000000001</c:v>
                </c:pt>
                <c:pt idx="1288">
                  <c:v>19.100000000000001</c:v>
                </c:pt>
                <c:pt idx="1289">
                  <c:v>19.100000000000001</c:v>
                </c:pt>
                <c:pt idx="1290">
                  <c:v>19.100000000000001</c:v>
                </c:pt>
                <c:pt idx="1291">
                  <c:v>19.100000000000001</c:v>
                </c:pt>
                <c:pt idx="1292">
                  <c:v>19.100000000000001</c:v>
                </c:pt>
                <c:pt idx="1293">
                  <c:v>19.100000000000001</c:v>
                </c:pt>
                <c:pt idx="1294">
                  <c:v>19.100000000000001</c:v>
                </c:pt>
                <c:pt idx="1295">
                  <c:v>19.100000000000001</c:v>
                </c:pt>
                <c:pt idx="1296">
                  <c:v>19.100000000000001</c:v>
                </c:pt>
                <c:pt idx="1297">
                  <c:v>19.100000000000001</c:v>
                </c:pt>
                <c:pt idx="1298">
                  <c:v>19.100000000000001</c:v>
                </c:pt>
                <c:pt idx="1299">
                  <c:v>19.100000000000001</c:v>
                </c:pt>
                <c:pt idx="1300">
                  <c:v>19.100000000000001</c:v>
                </c:pt>
                <c:pt idx="1301">
                  <c:v>19.100000000000001</c:v>
                </c:pt>
                <c:pt idx="1302">
                  <c:v>19.100000000000001</c:v>
                </c:pt>
                <c:pt idx="1303">
                  <c:v>19.100000000000001</c:v>
                </c:pt>
                <c:pt idx="1304">
                  <c:v>19.100000000000001</c:v>
                </c:pt>
                <c:pt idx="1305">
                  <c:v>19.100000000000001</c:v>
                </c:pt>
                <c:pt idx="1306">
                  <c:v>19.100000000000001</c:v>
                </c:pt>
                <c:pt idx="1307">
                  <c:v>19.100000000000001</c:v>
                </c:pt>
                <c:pt idx="1308">
                  <c:v>19.100000000000001</c:v>
                </c:pt>
                <c:pt idx="1309">
                  <c:v>19.100000000000001</c:v>
                </c:pt>
                <c:pt idx="1310">
                  <c:v>19.100000000000001</c:v>
                </c:pt>
                <c:pt idx="1311">
                  <c:v>19.100000000000001</c:v>
                </c:pt>
                <c:pt idx="1312">
                  <c:v>19.100000000000001</c:v>
                </c:pt>
                <c:pt idx="1313">
                  <c:v>19.100000000000001</c:v>
                </c:pt>
                <c:pt idx="1314">
                  <c:v>19.100000000000001</c:v>
                </c:pt>
                <c:pt idx="1315">
                  <c:v>19.100000000000001</c:v>
                </c:pt>
                <c:pt idx="1316">
                  <c:v>19.100000000000001</c:v>
                </c:pt>
                <c:pt idx="1317">
                  <c:v>19.100000000000001</c:v>
                </c:pt>
                <c:pt idx="1318">
                  <c:v>19.100000000000001</c:v>
                </c:pt>
                <c:pt idx="1319">
                  <c:v>19.100000000000001</c:v>
                </c:pt>
                <c:pt idx="1320">
                  <c:v>19.100000000000001</c:v>
                </c:pt>
                <c:pt idx="1321">
                  <c:v>19.100000000000001</c:v>
                </c:pt>
                <c:pt idx="1322">
                  <c:v>19.100000000000001</c:v>
                </c:pt>
                <c:pt idx="1323">
                  <c:v>19.100000000000001</c:v>
                </c:pt>
                <c:pt idx="1324">
                  <c:v>19.100000000000001</c:v>
                </c:pt>
                <c:pt idx="1325">
                  <c:v>19.100000000000001</c:v>
                </c:pt>
                <c:pt idx="1326">
                  <c:v>19.100000000000001</c:v>
                </c:pt>
                <c:pt idx="1327">
                  <c:v>19.100000000000001</c:v>
                </c:pt>
                <c:pt idx="1328">
                  <c:v>19.100000000000001</c:v>
                </c:pt>
                <c:pt idx="1329">
                  <c:v>19.100000000000001</c:v>
                </c:pt>
                <c:pt idx="1330">
                  <c:v>19.100000000000001</c:v>
                </c:pt>
                <c:pt idx="1331">
                  <c:v>19.100000000000001</c:v>
                </c:pt>
                <c:pt idx="1332">
                  <c:v>19.100000000000001</c:v>
                </c:pt>
                <c:pt idx="1333">
                  <c:v>19.100000000000001</c:v>
                </c:pt>
                <c:pt idx="1334">
                  <c:v>19.100000000000001</c:v>
                </c:pt>
                <c:pt idx="1335">
                  <c:v>19.100000000000001</c:v>
                </c:pt>
                <c:pt idx="1336">
                  <c:v>19.100000000000001</c:v>
                </c:pt>
                <c:pt idx="1337">
                  <c:v>19.100000000000001</c:v>
                </c:pt>
                <c:pt idx="1338">
                  <c:v>19.100000000000001</c:v>
                </c:pt>
                <c:pt idx="1339">
                  <c:v>19.100000000000001</c:v>
                </c:pt>
                <c:pt idx="1340">
                  <c:v>19.100000000000001</c:v>
                </c:pt>
                <c:pt idx="1341">
                  <c:v>19.100000000000001</c:v>
                </c:pt>
                <c:pt idx="1342">
                  <c:v>19.100000000000001</c:v>
                </c:pt>
                <c:pt idx="1343">
                  <c:v>19.100000000000001</c:v>
                </c:pt>
                <c:pt idx="1344">
                  <c:v>19.100000000000001</c:v>
                </c:pt>
                <c:pt idx="1345">
                  <c:v>19.100000000000001</c:v>
                </c:pt>
                <c:pt idx="1346">
                  <c:v>19.100000000000001</c:v>
                </c:pt>
                <c:pt idx="1347">
                  <c:v>19.100000000000001</c:v>
                </c:pt>
                <c:pt idx="1348">
                  <c:v>19.100000000000001</c:v>
                </c:pt>
                <c:pt idx="1349">
                  <c:v>19.100000000000001</c:v>
                </c:pt>
                <c:pt idx="1350">
                  <c:v>19.100000000000001</c:v>
                </c:pt>
                <c:pt idx="1351">
                  <c:v>19.100000000000001</c:v>
                </c:pt>
                <c:pt idx="1352">
                  <c:v>19.100000000000001</c:v>
                </c:pt>
                <c:pt idx="1353">
                  <c:v>19.100000000000001</c:v>
                </c:pt>
                <c:pt idx="1354">
                  <c:v>19.100000000000001</c:v>
                </c:pt>
                <c:pt idx="1355">
                  <c:v>19.100000000000001</c:v>
                </c:pt>
                <c:pt idx="1356">
                  <c:v>20.100000000000001</c:v>
                </c:pt>
                <c:pt idx="1357">
                  <c:v>20.100000000000001</c:v>
                </c:pt>
                <c:pt idx="1358">
                  <c:v>20.100000000000001</c:v>
                </c:pt>
                <c:pt idx="1359">
                  <c:v>20.100000000000001</c:v>
                </c:pt>
                <c:pt idx="1360">
                  <c:v>20.100000000000001</c:v>
                </c:pt>
                <c:pt idx="1361">
                  <c:v>20.100000000000001</c:v>
                </c:pt>
                <c:pt idx="1362">
                  <c:v>20.100000000000001</c:v>
                </c:pt>
                <c:pt idx="1363">
                  <c:v>20.100000000000001</c:v>
                </c:pt>
                <c:pt idx="1364">
                  <c:v>20.100000000000001</c:v>
                </c:pt>
                <c:pt idx="1365">
                  <c:v>20.100000000000001</c:v>
                </c:pt>
                <c:pt idx="1366">
                  <c:v>20.100000000000001</c:v>
                </c:pt>
                <c:pt idx="1367">
                  <c:v>20.100000000000001</c:v>
                </c:pt>
                <c:pt idx="1368">
                  <c:v>20.100000000000001</c:v>
                </c:pt>
                <c:pt idx="1369">
                  <c:v>20.100000000000001</c:v>
                </c:pt>
                <c:pt idx="1370">
                  <c:v>20.100000000000001</c:v>
                </c:pt>
                <c:pt idx="1371">
                  <c:v>20.100000000000001</c:v>
                </c:pt>
                <c:pt idx="1372">
                  <c:v>20.100000000000001</c:v>
                </c:pt>
                <c:pt idx="1373">
                  <c:v>20.100000000000001</c:v>
                </c:pt>
                <c:pt idx="1374">
                  <c:v>20.100000000000001</c:v>
                </c:pt>
                <c:pt idx="1375">
                  <c:v>20.100000000000001</c:v>
                </c:pt>
                <c:pt idx="1376">
                  <c:v>20.100000000000001</c:v>
                </c:pt>
                <c:pt idx="1377">
                  <c:v>20.100000000000001</c:v>
                </c:pt>
                <c:pt idx="1378">
                  <c:v>20.100000000000001</c:v>
                </c:pt>
                <c:pt idx="1379">
                  <c:v>20.100000000000001</c:v>
                </c:pt>
                <c:pt idx="1380">
                  <c:v>20.100000000000001</c:v>
                </c:pt>
                <c:pt idx="1381">
                  <c:v>20.100000000000001</c:v>
                </c:pt>
                <c:pt idx="1382">
                  <c:v>20.100000000000001</c:v>
                </c:pt>
                <c:pt idx="1383">
                  <c:v>20.100000000000001</c:v>
                </c:pt>
                <c:pt idx="1384">
                  <c:v>20.100000000000001</c:v>
                </c:pt>
                <c:pt idx="1385">
                  <c:v>20.100000000000001</c:v>
                </c:pt>
                <c:pt idx="1386">
                  <c:v>20.100000000000001</c:v>
                </c:pt>
                <c:pt idx="1387">
                  <c:v>20.100000000000001</c:v>
                </c:pt>
                <c:pt idx="1388">
                  <c:v>20.100000000000001</c:v>
                </c:pt>
                <c:pt idx="1389">
                  <c:v>20.100000000000001</c:v>
                </c:pt>
                <c:pt idx="1390">
                  <c:v>20.100000000000001</c:v>
                </c:pt>
                <c:pt idx="1391">
                  <c:v>20.100000000000001</c:v>
                </c:pt>
                <c:pt idx="1392">
                  <c:v>20.100000000000001</c:v>
                </c:pt>
                <c:pt idx="1393">
                  <c:v>20.100000000000001</c:v>
                </c:pt>
                <c:pt idx="1394">
                  <c:v>20.100000000000001</c:v>
                </c:pt>
                <c:pt idx="1395">
                  <c:v>20.100000000000001</c:v>
                </c:pt>
                <c:pt idx="1396">
                  <c:v>20.100000000000001</c:v>
                </c:pt>
                <c:pt idx="1397">
                  <c:v>20.100000000000001</c:v>
                </c:pt>
                <c:pt idx="1398">
                  <c:v>20.100000000000001</c:v>
                </c:pt>
                <c:pt idx="1399">
                  <c:v>20.100000000000001</c:v>
                </c:pt>
                <c:pt idx="1400">
                  <c:v>20.100000000000001</c:v>
                </c:pt>
                <c:pt idx="1401">
                  <c:v>20.100000000000001</c:v>
                </c:pt>
                <c:pt idx="1402">
                  <c:v>20.100000000000001</c:v>
                </c:pt>
                <c:pt idx="1403">
                  <c:v>20.100000000000001</c:v>
                </c:pt>
                <c:pt idx="1404">
                  <c:v>20.100000000000001</c:v>
                </c:pt>
                <c:pt idx="1405">
                  <c:v>20.100000000000001</c:v>
                </c:pt>
                <c:pt idx="1406">
                  <c:v>20.100000000000001</c:v>
                </c:pt>
                <c:pt idx="1407">
                  <c:v>20.100000000000001</c:v>
                </c:pt>
                <c:pt idx="1408">
                  <c:v>20.100000000000001</c:v>
                </c:pt>
                <c:pt idx="1409">
                  <c:v>20.100000000000001</c:v>
                </c:pt>
                <c:pt idx="1410">
                  <c:v>20.100000000000001</c:v>
                </c:pt>
                <c:pt idx="1411">
                  <c:v>20.100000000000001</c:v>
                </c:pt>
                <c:pt idx="1412">
                  <c:v>20.100000000000001</c:v>
                </c:pt>
                <c:pt idx="1413">
                  <c:v>20.100000000000001</c:v>
                </c:pt>
                <c:pt idx="1414">
                  <c:v>20.100000000000001</c:v>
                </c:pt>
                <c:pt idx="1415">
                  <c:v>20.100000000000001</c:v>
                </c:pt>
                <c:pt idx="1416">
                  <c:v>20.100000000000001</c:v>
                </c:pt>
                <c:pt idx="1417">
                  <c:v>20.100000000000001</c:v>
                </c:pt>
                <c:pt idx="1418">
                  <c:v>20.100000000000001</c:v>
                </c:pt>
                <c:pt idx="1419">
                  <c:v>20.100000000000001</c:v>
                </c:pt>
                <c:pt idx="1420">
                  <c:v>20.100000000000001</c:v>
                </c:pt>
                <c:pt idx="1421">
                  <c:v>20.100000000000001</c:v>
                </c:pt>
                <c:pt idx="1422">
                  <c:v>20.100000000000001</c:v>
                </c:pt>
                <c:pt idx="1423">
                  <c:v>20.100000000000001</c:v>
                </c:pt>
                <c:pt idx="1424">
                  <c:v>20.100000000000001</c:v>
                </c:pt>
                <c:pt idx="1425">
                  <c:v>20.100000000000001</c:v>
                </c:pt>
                <c:pt idx="1426">
                  <c:v>20.100000000000001</c:v>
                </c:pt>
                <c:pt idx="1427">
                  <c:v>20.100000000000001</c:v>
                </c:pt>
                <c:pt idx="1428">
                  <c:v>20.100000000000001</c:v>
                </c:pt>
                <c:pt idx="1429">
                  <c:v>20.100000000000001</c:v>
                </c:pt>
                <c:pt idx="1430">
                  <c:v>20.100000000000001</c:v>
                </c:pt>
                <c:pt idx="1431">
                  <c:v>20.100000000000001</c:v>
                </c:pt>
                <c:pt idx="1432">
                  <c:v>20.100000000000001</c:v>
                </c:pt>
                <c:pt idx="1433">
                  <c:v>20.100000000000001</c:v>
                </c:pt>
                <c:pt idx="1434">
                  <c:v>20.100000000000001</c:v>
                </c:pt>
                <c:pt idx="1435">
                  <c:v>20.100000000000001</c:v>
                </c:pt>
                <c:pt idx="1436">
                  <c:v>20.100000000000001</c:v>
                </c:pt>
                <c:pt idx="1437">
                  <c:v>20.100000000000001</c:v>
                </c:pt>
                <c:pt idx="1438">
                  <c:v>20.100000000000001</c:v>
                </c:pt>
                <c:pt idx="1439">
                  <c:v>20.100000000000001</c:v>
                </c:pt>
                <c:pt idx="1440">
                  <c:v>20.100000000000001</c:v>
                </c:pt>
                <c:pt idx="1441">
                  <c:v>20.100000000000001</c:v>
                </c:pt>
                <c:pt idx="1442">
                  <c:v>20.100000000000001</c:v>
                </c:pt>
                <c:pt idx="1443">
                  <c:v>20.100000000000001</c:v>
                </c:pt>
                <c:pt idx="1444">
                  <c:v>20.100000000000001</c:v>
                </c:pt>
                <c:pt idx="1445">
                  <c:v>20.100000000000001</c:v>
                </c:pt>
                <c:pt idx="1446">
                  <c:v>20.100000000000001</c:v>
                </c:pt>
                <c:pt idx="1447">
                  <c:v>20.100000000000001</c:v>
                </c:pt>
                <c:pt idx="1448">
                  <c:v>20.100000000000001</c:v>
                </c:pt>
                <c:pt idx="1449">
                  <c:v>20.100000000000001</c:v>
                </c:pt>
                <c:pt idx="1450">
                  <c:v>20.100000000000001</c:v>
                </c:pt>
                <c:pt idx="1451">
                  <c:v>20.100000000000001</c:v>
                </c:pt>
                <c:pt idx="1452">
                  <c:v>20.100000000000001</c:v>
                </c:pt>
                <c:pt idx="1453">
                  <c:v>20.100000000000001</c:v>
                </c:pt>
                <c:pt idx="1454">
                  <c:v>20.100000000000001</c:v>
                </c:pt>
                <c:pt idx="1455">
                  <c:v>20.100000000000001</c:v>
                </c:pt>
                <c:pt idx="1456">
                  <c:v>20.100000000000001</c:v>
                </c:pt>
                <c:pt idx="1457">
                  <c:v>20.100000000000001</c:v>
                </c:pt>
                <c:pt idx="1458">
                  <c:v>20.100000000000001</c:v>
                </c:pt>
                <c:pt idx="1459">
                  <c:v>20.100000000000001</c:v>
                </c:pt>
                <c:pt idx="1460">
                  <c:v>20.100000000000001</c:v>
                </c:pt>
                <c:pt idx="1461">
                  <c:v>20.100000000000001</c:v>
                </c:pt>
                <c:pt idx="1462">
                  <c:v>20.100000000000001</c:v>
                </c:pt>
                <c:pt idx="1463">
                  <c:v>20.100000000000001</c:v>
                </c:pt>
                <c:pt idx="1464">
                  <c:v>20.100000000000001</c:v>
                </c:pt>
                <c:pt idx="1465">
                  <c:v>20.100000000000001</c:v>
                </c:pt>
                <c:pt idx="1466">
                  <c:v>20.100000000000001</c:v>
                </c:pt>
                <c:pt idx="1467">
                  <c:v>20.100000000000001</c:v>
                </c:pt>
                <c:pt idx="1468">
                  <c:v>20.100000000000001</c:v>
                </c:pt>
                <c:pt idx="1469">
                  <c:v>20.100000000000001</c:v>
                </c:pt>
                <c:pt idx="1470">
                  <c:v>20.100000000000001</c:v>
                </c:pt>
                <c:pt idx="1471">
                  <c:v>20.100000000000001</c:v>
                </c:pt>
                <c:pt idx="1472">
                  <c:v>20.100000000000001</c:v>
                </c:pt>
                <c:pt idx="1473">
                  <c:v>20.100000000000001</c:v>
                </c:pt>
                <c:pt idx="1474">
                  <c:v>20.100000000000001</c:v>
                </c:pt>
                <c:pt idx="1475">
                  <c:v>20.100000000000001</c:v>
                </c:pt>
                <c:pt idx="1476">
                  <c:v>20.100000000000001</c:v>
                </c:pt>
                <c:pt idx="1477">
                  <c:v>20.100000000000001</c:v>
                </c:pt>
                <c:pt idx="1478">
                  <c:v>20.100000000000001</c:v>
                </c:pt>
                <c:pt idx="1479">
                  <c:v>20.100000000000001</c:v>
                </c:pt>
                <c:pt idx="1480">
                  <c:v>20.100000000000001</c:v>
                </c:pt>
                <c:pt idx="1481">
                  <c:v>20.100000000000001</c:v>
                </c:pt>
                <c:pt idx="1482">
                  <c:v>20.100000000000001</c:v>
                </c:pt>
                <c:pt idx="1483">
                  <c:v>20.100000000000001</c:v>
                </c:pt>
                <c:pt idx="1484">
                  <c:v>20.100000000000001</c:v>
                </c:pt>
                <c:pt idx="1485">
                  <c:v>20.100000000000001</c:v>
                </c:pt>
                <c:pt idx="1486">
                  <c:v>20.100000000000001</c:v>
                </c:pt>
                <c:pt idx="1487">
                  <c:v>20.100000000000001</c:v>
                </c:pt>
                <c:pt idx="1488">
                  <c:v>20.100000000000001</c:v>
                </c:pt>
                <c:pt idx="1489">
                  <c:v>20.100000000000001</c:v>
                </c:pt>
                <c:pt idx="1490">
                  <c:v>20.100000000000001</c:v>
                </c:pt>
                <c:pt idx="1491">
                  <c:v>20.100000000000001</c:v>
                </c:pt>
                <c:pt idx="1492">
                  <c:v>20.100000000000001</c:v>
                </c:pt>
                <c:pt idx="1493">
                  <c:v>20.100000000000001</c:v>
                </c:pt>
                <c:pt idx="1494">
                  <c:v>20.100000000000001</c:v>
                </c:pt>
                <c:pt idx="1495">
                  <c:v>20.100000000000001</c:v>
                </c:pt>
                <c:pt idx="1496">
                  <c:v>20.100000000000001</c:v>
                </c:pt>
                <c:pt idx="1497">
                  <c:v>20.100000000000001</c:v>
                </c:pt>
                <c:pt idx="1498">
                  <c:v>20.100000000000001</c:v>
                </c:pt>
                <c:pt idx="1499">
                  <c:v>20.100000000000001</c:v>
                </c:pt>
                <c:pt idx="1500">
                  <c:v>20.100000000000001</c:v>
                </c:pt>
                <c:pt idx="1501">
                  <c:v>20.100000000000001</c:v>
                </c:pt>
                <c:pt idx="1502">
                  <c:v>20.100000000000001</c:v>
                </c:pt>
                <c:pt idx="1503">
                  <c:v>20.100000000000001</c:v>
                </c:pt>
                <c:pt idx="1504">
                  <c:v>20.100000000000001</c:v>
                </c:pt>
                <c:pt idx="1505">
                  <c:v>20.100000000000001</c:v>
                </c:pt>
                <c:pt idx="1506">
                  <c:v>20.100000000000001</c:v>
                </c:pt>
                <c:pt idx="1507">
                  <c:v>20.100000000000001</c:v>
                </c:pt>
                <c:pt idx="1508">
                  <c:v>20.100000000000001</c:v>
                </c:pt>
                <c:pt idx="1509">
                  <c:v>20.100000000000001</c:v>
                </c:pt>
                <c:pt idx="1510">
                  <c:v>20.100000000000001</c:v>
                </c:pt>
                <c:pt idx="1511">
                  <c:v>20.100000000000001</c:v>
                </c:pt>
                <c:pt idx="1512">
                  <c:v>20.100000000000001</c:v>
                </c:pt>
                <c:pt idx="1513">
                  <c:v>20.100000000000001</c:v>
                </c:pt>
                <c:pt idx="1514">
                  <c:v>20.100000000000001</c:v>
                </c:pt>
                <c:pt idx="1515">
                  <c:v>20.100000000000001</c:v>
                </c:pt>
                <c:pt idx="1516">
                  <c:v>20.100000000000001</c:v>
                </c:pt>
                <c:pt idx="1517">
                  <c:v>20.100000000000001</c:v>
                </c:pt>
                <c:pt idx="1518">
                  <c:v>20.100000000000001</c:v>
                </c:pt>
                <c:pt idx="1519">
                  <c:v>20.100000000000001</c:v>
                </c:pt>
                <c:pt idx="1520">
                  <c:v>20.100000000000001</c:v>
                </c:pt>
                <c:pt idx="1521">
                  <c:v>20.100000000000001</c:v>
                </c:pt>
                <c:pt idx="1522">
                  <c:v>20.100000000000001</c:v>
                </c:pt>
                <c:pt idx="1523">
                  <c:v>20.100000000000001</c:v>
                </c:pt>
                <c:pt idx="1524">
                  <c:v>20.100000000000001</c:v>
                </c:pt>
                <c:pt idx="1525">
                  <c:v>20.100000000000001</c:v>
                </c:pt>
                <c:pt idx="1526">
                  <c:v>20.100000000000001</c:v>
                </c:pt>
                <c:pt idx="1527">
                  <c:v>20.100000000000001</c:v>
                </c:pt>
                <c:pt idx="1528">
                  <c:v>20.100000000000001</c:v>
                </c:pt>
                <c:pt idx="1529">
                  <c:v>20.100000000000001</c:v>
                </c:pt>
                <c:pt idx="1530">
                  <c:v>20.100000000000001</c:v>
                </c:pt>
                <c:pt idx="1531">
                  <c:v>20.100000000000001</c:v>
                </c:pt>
                <c:pt idx="1532">
                  <c:v>20.100000000000001</c:v>
                </c:pt>
                <c:pt idx="1533">
                  <c:v>20.100000000000001</c:v>
                </c:pt>
                <c:pt idx="1534">
                  <c:v>20.100000000000001</c:v>
                </c:pt>
                <c:pt idx="1535">
                  <c:v>20.100000000000001</c:v>
                </c:pt>
                <c:pt idx="1536">
                  <c:v>20.100000000000001</c:v>
                </c:pt>
                <c:pt idx="1537">
                  <c:v>20.100000000000001</c:v>
                </c:pt>
                <c:pt idx="1538">
                  <c:v>20.100000000000001</c:v>
                </c:pt>
                <c:pt idx="1539">
                  <c:v>20.100000000000001</c:v>
                </c:pt>
                <c:pt idx="1540">
                  <c:v>20.100000000000001</c:v>
                </c:pt>
                <c:pt idx="1541">
                  <c:v>20.100000000000001</c:v>
                </c:pt>
                <c:pt idx="1542">
                  <c:v>20.100000000000001</c:v>
                </c:pt>
                <c:pt idx="1543">
                  <c:v>20.100000000000001</c:v>
                </c:pt>
                <c:pt idx="1544">
                  <c:v>20.100000000000001</c:v>
                </c:pt>
                <c:pt idx="1545">
                  <c:v>20.100000000000001</c:v>
                </c:pt>
                <c:pt idx="1546">
                  <c:v>20.100000000000001</c:v>
                </c:pt>
                <c:pt idx="1547">
                  <c:v>20.100000000000001</c:v>
                </c:pt>
                <c:pt idx="1548">
                  <c:v>20.100000000000001</c:v>
                </c:pt>
                <c:pt idx="1549">
                  <c:v>20.100000000000001</c:v>
                </c:pt>
                <c:pt idx="1550">
                  <c:v>20.100000000000001</c:v>
                </c:pt>
                <c:pt idx="1551">
                  <c:v>20.100000000000001</c:v>
                </c:pt>
                <c:pt idx="1552">
                  <c:v>20.100000000000001</c:v>
                </c:pt>
                <c:pt idx="1553">
                  <c:v>20.100000000000001</c:v>
                </c:pt>
                <c:pt idx="1554">
                  <c:v>20.100000000000001</c:v>
                </c:pt>
                <c:pt idx="1555">
                  <c:v>20.100000000000001</c:v>
                </c:pt>
                <c:pt idx="1556">
                  <c:v>20.100000000000001</c:v>
                </c:pt>
                <c:pt idx="1557">
                  <c:v>20.100000000000001</c:v>
                </c:pt>
                <c:pt idx="1558">
                  <c:v>20.100000000000001</c:v>
                </c:pt>
                <c:pt idx="1559">
                  <c:v>20.100000000000001</c:v>
                </c:pt>
                <c:pt idx="1560">
                  <c:v>20.100000000000001</c:v>
                </c:pt>
                <c:pt idx="1561">
                  <c:v>20.100000000000001</c:v>
                </c:pt>
                <c:pt idx="1562">
                  <c:v>20.100000000000001</c:v>
                </c:pt>
                <c:pt idx="1563">
                  <c:v>20.100000000000001</c:v>
                </c:pt>
                <c:pt idx="1564">
                  <c:v>20.100000000000001</c:v>
                </c:pt>
                <c:pt idx="1565">
                  <c:v>20.100000000000001</c:v>
                </c:pt>
                <c:pt idx="1566">
                  <c:v>20.100000000000001</c:v>
                </c:pt>
                <c:pt idx="1567">
                  <c:v>20.100000000000001</c:v>
                </c:pt>
                <c:pt idx="1568">
                  <c:v>20.100000000000001</c:v>
                </c:pt>
                <c:pt idx="1569">
                  <c:v>20.100000000000001</c:v>
                </c:pt>
                <c:pt idx="1570">
                  <c:v>21.1</c:v>
                </c:pt>
                <c:pt idx="1571">
                  <c:v>21.1</c:v>
                </c:pt>
                <c:pt idx="1572">
                  <c:v>21.1</c:v>
                </c:pt>
                <c:pt idx="1573">
                  <c:v>21.1</c:v>
                </c:pt>
                <c:pt idx="1574">
                  <c:v>21.1</c:v>
                </c:pt>
                <c:pt idx="1575">
                  <c:v>21.1</c:v>
                </c:pt>
                <c:pt idx="1576">
                  <c:v>21.1</c:v>
                </c:pt>
                <c:pt idx="1577">
                  <c:v>21.1</c:v>
                </c:pt>
                <c:pt idx="1578">
                  <c:v>21.1</c:v>
                </c:pt>
                <c:pt idx="1579">
                  <c:v>21.1</c:v>
                </c:pt>
                <c:pt idx="1580">
                  <c:v>21.1</c:v>
                </c:pt>
                <c:pt idx="1581">
                  <c:v>21.1</c:v>
                </c:pt>
                <c:pt idx="1582">
                  <c:v>21.1</c:v>
                </c:pt>
                <c:pt idx="1583">
                  <c:v>21.1</c:v>
                </c:pt>
                <c:pt idx="1584">
                  <c:v>21.1</c:v>
                </c:pt>
                <c:pt idx="1585">
                  <c:v>21.1</c:v>
                </c:pt>
                <c:pt idx="1586">
                  <c:v>21.1</c:v>
                </c:pt>
                <c:pt idx="1587">
                  <c:v>21.1</c:v>
                </c:pt>
                <c:pt idx="1588">
                  <c:v>21.1</c:v>
                </c:pt>
                <c:pt idx="1589">
                  <c:v>21.1</c:v>
                </c:pt>
                <c:pt idx="1590">
                  <c:v>21.1</c:v>
                </c:pt>
                <c:pt idx="1591">
                  <c:v>21.1</c:v>
                </c:pt>
                <c:pt idx="1592">
                  <c:v>21.1</c:v>
                </c:pt>
                <c:pt idx="1593">
                  <c:v>21.1</c:v>
                </c:pt>
                <c:pt idx="1594">
                  <c:v>21.1</c:v>
                </c:pt>
                <c:pt idx="1595">
                  <c:v>21.1</c:v>
                </c:pt>
                <c:pt idx="1596">
                  <c:v>21.1</c:v>
                </c:pt>
                <c:pt idx="1597">
                  <c:v>21.1</c:v>
                </c:pt>
                <c:pt idx="1598">
                  <c:v>21.1</c:v>
                </c:pt>
                <c:pt idx="1599">
                  <c:v>21.1</c:v>
                </c:pt>
                <c:pt idx="1600">
                  <c:v>21.1</c:v>
                </c:pt>
                <c:pt idx="1601">
                  <c:v>21.1</c:v>
                </c:pt>
                <c:pt idx="1602">
                  <c:v>21.1</c:v>
                </c:pt>
                <c:pt idx="1603">
                  <c:v>21.1</c:v>
                </c:pt>
                <c:pt idx="1604">
                  <c:v>21.1</c:v>
                </c:pt>
                <c:pt idx="1605">
                  <c:v>21.1</c:v>
                </c:pt>
                <c:pt idx="1606">
                  <c:v>21.1</c:v>
                </c:pt>
                <c:pt idx="1607">
                  <c:v>21.1</c:v>
                </c:pt>
                <c:pt idx="1608">
                  <c:v>21.1</c:v>
                </c:pt>
                <c:pt idx="1609">
                  <c:v>21.1</c:v>
                </c:pt>
                <c:pt idx="1610">
                  <c:v>21.1</c:v>
                </c:pt>
                <c:pt idx="1611">
                  <c:v>21.1</c:v>
                </c:pt>
                <c:pt idx="1612">
                  <c:v>21.1</c:v>
                </c:pt>
                <c:pt idx="1613">
                  <c:v>21.1</c:v>
                </c:pt>
                <c:pt idx="1614">
                  <c:v>21.1</c:v>
                </c:pt>
                <c:pt idx="1615">
                  <c:v>21.1</c:v>
                </c:pt>
                <c:pt idx="1616">
                  <c:v>21.1</c:v>
                </c:pt>
                <c:pt idx="1617">
                  <c:v>21.1</c:v>
                </c:pt>
                <c:pt idx="1618">
                  <c:v>21.1</c:v>
                </c:pt>
                <c:pt idx="1619">
                  <c:v>21.1</c:v>
                </c:pt>
                <c:pt idx="1620">
                  <c:v>21.1</c:v>
                </c:pt>
                <c:pt idx="1621">
                  <c:v>21.1</c:v>
                </c:pt>
                <c:pt idx="1622">
                  <c:v>21.1</c:v>
                </c:pt>
                <c:pt idx="1623">
                  <c:v>21.1</c:v>
                </c:pt>
                <c:pt idx="1624">
                  <c:v>21.1</c:v>
                </c:pt>
                <c:pt idx="1625">
                  <c:v>21.1</c:v>
                </c:pt>
                <c:pt idx="1626">
                  <c:v>21.1</c:v>
                </c:pt>
                <c:pt idx="1627">
                  <c:v>21.1</c:v>
                </c:pt>
                <c:pt idx="1628">
                  <c:v>21.1</c:v>
                </c:pt>
                <c:pt idx="1629">
                  <c:v>21.1</c:v>
                </c:pt>
                <c:pt idx="1630">
                  <c:v>21.1</c:v>
                </c:pt>
                <c:pt idx="1631">
                  <c:v>21.1</c:v>
                </c:pt>
                <c:pt idx="1632">
                  <c:v>21.1</c:v>
                </c:pt>
                <c:pt idx="1633">
                  <c:v>21.1</c:v>
                </c:pt>
                <c:pt idx="1634">
                  <c:v>21.1</c:v>
                </c:pt>
                <c:pt idx="1635">
                  <c:v>21.1</c:v>
                </c:pt>
                <c:pt idx="1636">
                  <c:v>21.1</c:v>
                </c:pt>
                <c:pt idx="1637">
                  <c:v>21.1</c:v>
                </c:pt>
                <c:pt idx="1638">
                  <c:v>21.1</c:v>
                </c:pt>
                <c:pt idx="1639">
                  <c:v>21.1</c:v>
                </c:pt>
                <c:pt idx="1640">
                  <c:v>21.1</c:v>
                </c:pt>
                <c:pt idx="1641">
                  <c:v>21.1</c:v>
                </c:pt>
                <c:pt idx="1642">
                  <c:v>21.1</c:v>
                </c:pt>
                <c:pt idx="1643">
                  <c:v>21.1</c:v>
                </c:pt>
                <c:pt idx="1644">
                  <c:v>21.1</c:v>
                </c:pt>
                <c:pt idx="1645">
                  <c:v>21.1</c:v>
                </c:pt>
                <c:pt idx="1646">
                  <c:v>21.1</c:v>
                </c:pt>
                <c:pt idx="1647">
                  <c:v>21.1</c:v>
                </c:pt>
                <c:pt idx="1648">
                  <c:v>21.1</c:v>
                </c:pt>
                <c:pt idx="1649">
                  <c:v>21.1</c:v>
                </c:pt>
                <c:pt idx="1650">
                  <c:v>21.1</c:v>
                </c:pt>
                <c:pt idx="1651">
                  <c:v>21.1</c:v>
                </c:pt>
                <c:pt idx="1652">
                  <c:v>21.1</c:v>
                </c:pt>
                <c:pt idx="1653">
                  <c:v>21.1</c:v>
                </c:pt>
                <c:pt idx="1654">
                  <c:v>21.1</c:v>
                </c:pt>
                <c:pt idx="1655">
                  <c:v>21.1</c:v>
                </c:pt>
                <c:pt idx="1656">
                  <c:v>21.1</c:v>
                </c:pt>
                <c:pt idx="1657">
                  <c:v>21.1</c:v>
                </c:pt>
                <c:pt idx="1658">
                  <c:v>21.1</c:v>
                </c:pt>
                <c:pt idx="1659">
                  <c:v>21.1</c:v>
                </c:pt>
                <c:pt idx="1660">
                  <c:v>21.1</c:v>
                </c:pt>
                <c:pt idx="1661">
                  <c:v>21.1</c:v>
                </c:pt>
                <c:pt idx="1662">
                  <c:v>21.1</c:v>
                </c:pt>
                <c:pt idx="1663">
                  <c:v>21.1</c:v>
                </c:pt>
                <c:pt idx="1664">
                  <c:v>21.1</c:v>
                </c:pt>
                <c:pt idx="1665">
                  <c:v>21.1</c:v>
                </c:pt>
                <c:pt idx="1666">
                  <c:v>21.1</c:v>
                </c:pt>
                <c:pt idx="1667">
                  <c:v>21.1</c:v>
                </c:pt>
                <c:pt idx="1668">
                  <c:v>21.1</c:v>
                </c:pt>
                <c:pt idx="1669">
                  <c:v>21.1</c:v>
                </c:pt>
                <c:pt idx="1670">
                  <c:v>21.1</c:v>
                </c:pt>
                <c:pt idx="1671">
                  <c:v>21.1</c:v>
                </c:pt>
                <c:pt idx="1672">
                  <c:v>21.1</c:v>
                </c:pt>
                <c:pt idx="1673">
                  <c:v>21.1</c:v>
                </c:pt>
                <c:pt idx="1674">
                  <c:v>21.1</c:v>
                </c:pt>
                <c:pt idx="1675">
                  <c:v>21.1</c:v>
                </c:pt>
                <c:pt idx="1676">
                  <c:v>21.1</c:v>
                </c:pt>
                <c:pt idx="1677">
                  <c:v>21.1</c:v>
                </c:pt>
                <c:pt idx="1678">
                  <c:v>21.1</c:v>
                </c:pt>
                <c:pt idx="1679">
                  <c:v>21.1</c:v>
                </c:pt>
                <c:pt idx="1680">
                  <c:v>21.1</c:v>
                </c:pt>
                <c:pt idx="1681">
                  <c:v>21.1</c:v>
                </c:pt>
                <c:pt idx="1682">
                  <c:v>21.1</c:v>
                </c:pt>
                <c:pt idx="1683">
                  <c:v>21.1</c:v>
                </c:pt>
                <c:pt idx="1684">
                  <c:v>21.1</c:v>
                </c:pt>
                <c:pt idx="1685">
                  <c:v>21.1</c:v>
                </c:pt>
                <c:pt idx="1686">
                  <c:v>21.1</c:v>
                </c:pt>
                <c:pt idx="1687">
                  <c:v>21.1</c:v>
                </c:pt>
                <c:pt idx="1688">
                  <c:v>21.1</c:v>
                </c:pt>
                <c:pt idx="1689">
                  <c:v>21.1</c:v>
                </c:pt>
                <c:pt idx="1690">
                  <c:v>21.1</c:v>
                </c:pt>
                <c:pt idx="1691">
                  <c:v>21.1</c:v>
                </c:pt>
                <c:pt idx="1692">
                  <c:v>21.1</c:v>
                </c:pt>
                <c:pt idx="1693">
                  <c:v>21.1</c:v>
                </c:pt>
                <c:pt idx="1694">
                  <c:v>21.1</c:v>
                </c:pt>
                <c:pt idx="1695">
                  <c:v>22.1</c:v>
                </c:pt>
                <c:pt idx="1696">
                  <c:v>22.1</c:v>
                </c:pt>
                <c:pt idx="1697">
                  <c:v>22.1</c:v>
                </c:pt>
                <c:pt idx="1698">
                  <c:v>22.1</c:v>
                </c:pt>
                <c:pt idx="1699">
                  <c:v>22.1</c:v>
                </c:pt>
                <c:pt idx="1700">
                  <c:v>22.1</c:v>
                </c:pt>
                <c:pt idx="1701">
                  <c:v>22.1</c:v>
                </c:pt>
                <c:pt idx="1702">
                  <c:v>21.1</c:v>
                </c:pt>
                <c:pt idx="1703">
                  <c:v>21.1</c:v>
                </c:pt>
                <c:pt idx="1704">
                  <c:v>22.1</c:v>
                </c:pt>
                <c:pt idx="1705">
                  <c:v>22.1</c:v>
                </c:pt>
                <c:pt idx="1706">
                  <c:v>22.1</c:v>
                </c:pt>
                <c:pt idx="1707">
                  <c:v>22.1</c:v>
                </c:pt>
                <c:pt idx="1708">
                  <c:v>22.1</c:v>
                </c:pt>
                <c:pt idx="1709">
                  <c:v>22.1</c:v>
                </c:pt>
                <c:pt idx="1710">
                  <c:v>22.1</c:v>
                </c:pt>
                <c:pt idx="1711">
                  <c:v>21.1</c:v>
                </c:pt>
                <c:pt idx="1712">
                  <c:v>22.1</c:v>
                </c:pt>
                <c:pt idx="1713">
                  <c:v>22.1</c:v>
                </c:pt>
                <c:pt idx="1714">
                  <c:v>22.1</c:v>
                </c:pt>
                <c:pt idx="1715">
                  <c:v>22.1</c:v>
                </c:pt>
                <c:pt idx="1716">
                  <c:v>22.1</c:v>
                </c:pt>
                <c:pt idx="1717">
                  <c:v>22.1</c:v>
                </c:pt>
                <c:pt idx="1718">
                  <c:v>22.1</c:v>
                </c:pt>
                <c:pt idx="1719">
                  <c:v>22.1</c:v>
                </c:pt>
                <c:pt idx="1720">
                  <c:v>22.1</c:v>
                </c:pt>
                <c:pt idx="1721">
                  <c:v>22.1</c:v>
                </c:pt>
                <c:pt idx="1722">
                  <c:v>22.1</c:v>
                </c:pt>
                <c:pt idx="1723">
                  <c:v>22.1</c:v>
                </c:pt>
                <c:pt idx="1724">
                  <c:v>22.1</c:v>
                </c:pt>
                <c:pt idx="1725">
                  <c:v>22.1</c:v>
                </c:pt>
                <c:pt idx="1726">
                  <c:v>21.1</c:v>
                </c:pt>
                <c:pt idx="1727">
                  <c:v>22.1</c:v>
                </c:pt>
                <c:pt idx="1728">
                  <c:v>22.1</c:v>
                </c:pt>
                <c:pt idx="1729">
                  <c:v>21.1</c:v>
                </c:pt>
                <c:pt idx="1730">
                  <c:v>22.1</c:v>
                </c:pt>
                <c:pt idx="1731">
                  <c:v>22.1</c:v>
                </c:pt>
                <c:pt idx="1732">
                  <c:v>22.1</c:v>
                </c:pt>
                <c:pt idx="1733">
                  <c:v>22.1</c:v>
                </c:pt>
                <c:pt idx="1734">
                  <c:v>22.1</c:v>
                </c:pt>
                <c:pt idx="1735">
                  <c:v>22.1</c:v>
                </c:pt>
                <c:pt idx="1736">
                  <c:v>22.1</c:v>
                </c:pt>
                <c:pt idx="1737">
                  <c:v>22.1</c:v>
                </c:pt>
                <c:pt idx="1738">
                  <c:v>22.1</c:v>
                </c:pt>
                <c:pt idx="1739">
                  <c:v>22.1</c:v>
                </c:pt>
                <c:pt idx="1740">
                  <c:v>22.1</c:v>
                </c:pt>
                <c:pt idx="1741">
                  <c:v>22.1</c:v>
                </c:pt>
                <c:pt idx="1742">
                  <c:v>22.1</c:v>
                </c:pt>
                <c:pt idx="1743">
                  <c:v>22.1</c:v>
                </c:pt>
                <c:pt idx="1744">
                  <c:v>22.1</c:v>
                </c:pt>
                <c:pt idx="1745">
                  <c:v>22.1</c:v>
                </c:pt>
                <c:pt idx="1746">
                  <c:v>21.1</c:v>
                </c:pt>
                <c:pt idx="1747">
                  <c:v>22.1</c:v>
                </c:pt>
                <c:pt idx="1748">
                  <c:v>22.1</c:v>
                </c:pt>
                <c:pt idx="1749">
                  <c:v>22.1</c:v>
                </c:pt>
                <c:pt idx="1750">
                  <c:v>22.1</c:v>
                </c:pt>
                <c:pt idx="1751">
                  <c:v>22.1</c:v>
                </c:pt>
                <c:pt idx="1752">
                  <c:v>22.1</c:v>
                </c:pt>
                <c:pt idx="1753">
                  <c:v>22.1</c:v>
                </c:pt>
                <c:pt idx="1754">
                  <c:v>22.1</c:v>
                </c:pt>
                <c:pt idx="1755">
                  <c:v>22.1</c:v>
                </c:pt>
                <c:pt idx="1756">
                  <c:v>22.1</c:v>
                </c:pt>
                <c:pt idx="1757">
                  <c:v>22.1</c:v>
                </c:pt>
                <c:pt idx="1758">
                  <c:v>22.1</c:v>
                </c:pt>
                <c:pt idx="1759">
                  <c:v>22.1</c:v>
                </c:pt>
                <c:pt idx="1760">
                  <c:v>22.1</c:v>
                </c:pt>
                <c:pt idx="1761">
                  <c:v>22.1</c:v>
                </c:pt>
                <c:pt idx="1762">
                  <c:v>21.1</c:v>
                </c:pt>
                <c:pt idx="1763">
                  <c:v>21.1</c:v>
                </c:pt>
                <c:pt idx="1764">
                  <c:v>22.1</c:v>
                </c:pt>
                <c:pt idx="1765">
                  <c:v>22.1</c:v>
                </c:pt>
                <c:pt idx="1766">
                  <c:v>22.1</c:v>
                </c:pt>
                <c:pt idx="1767">
                  <c:v>22.1</c:v>
                </c:pt>
                <c:pt idx="1768">
                  <c:v>22.1</c:v>
                </c:pt>
                <c:pt idx="1769">
                  <c:v>22.1</c:v>
                </c:pt>
                <c:pt idx="1770">
                  <c:v>22.1</c:v>
                </c:pt>
                <c:pt idx="1771">
                  <c:v>22.1</c:v>
                </c:pt>
                <c:pt idx="1772">
                  <c:v>22.1</c:v>
                </c:pt>
                <c:pt idx="1773">
                  <c:v>22.1</c:v>
                </c:pt>
                <c:pt idx="1774">
                  <c:v>22.1</c:v>
                </c:pt>
                <c:pt idx="1775">
                  <c:v>22.1</c:v>
                </c:pt>
                <c:pt idx="1776">
                  <c:v>22.1</c:v>
                </c:pt>
                <c:pt idx="1777">
                  <c:v>22.1</c:v>
                </c:pt>
                <c:pt idx="1778">
                  <c:v>22.1</c:v>
                </c:pt>
                <c:pt idx="1779">
                  <c:v>22.1</c:v>
                </c:pt>
                <c:pt idx="1780">
                  <c:v>22.1</c:v>
                </c:pt>
                <c:pt idx="1781">
                  <c:v>22.1</c:v>
                </c:pt>
                <c:pt idx="1782">
                  <c:v>22.1</c:v>
                </c:pt>
                <c:pt idx="1783">
                  <c:v>22.1</c:v>
                </c:pt>
                <c:pt idx="1784">
                  <c:v>22.1</c:v>
                </c:pt>
                <c:pt idx="1785">
                  <c:v>22.1</c:v>
                </c:pt>
                <c:pt idx="1786">
                  <c:v>22.1</c:v>
                </c:pt>
                <c:pt idx="1787">
                  <c:v>22.1</c:v>
                </c:pt>
                <c:pt idx="1788">
                  <c:v>22.1</c:v>
                </c:pt>
                <c:pt idx="1789">
                  <c:v>22.1</c:v>
                </c:pt>
                <c:pt idx="1790">
                  <c:v>22.1</c:v>
                </c:pt>
                <c:pt idx="1791">
                  <c:v>22.1</c:v>
                </c:pt>
                <c:pt idx="1792">
                  <c:v>22.1</c:v>
                </c:pt>
                <c:pt idx="1793">
                  <c:v>22.1</c:v>
                </c:pt>
                <c:pt idx="1794">
                  <c:v>22.1</c:v>
                </c:pt>
                <c:pt idx="1795">
                  <c:v>22.1</c:v>
                </c:pt>
                <c:pt idx="1796">
                  <c:v>22.1</c:v>
                </c:pt>
                <c:pt idx="1797">
                  <c:v>22.1</c:v>
                </c:pt>
                <c:pt idx="1798">
                  <c:v>22.1</c:v>
                </c:pt>
                <c:pt idx="1799">
                  <c:v>22.1</c:v>
                </c:pt>
                <c:pt idx="1800">
                  <c:v>22.1</c:v>
                </c:pt>
                <c:pt idx="1801">
                  <c:v>22.1</c:v>
                </c:pt>
                <c:pt idx="1802">
                  <c:v>22.1</c:v>
                </c:pt>
                <c:pt idx="1803">
                  <c:v>22.1</c:v>
                </c:pt>
                <c:pt idx="1804">
                  <c:v>22.1</c:v>
                </c:pt>
                <c:pt idx="1805">
                  <c:v>22.1</c:v>
                </c:pt>
                <c:pt idx="1806">
                  <c:v>22.1</c:v>
                </c:pt>
                <c:pt idx="1807">
                  <c:v>22.1</c:v>
                </c:pt>
                <c:pt idx="1808">
                  <c:v>22.1</c:v>
                </c:pt>
                <c:pt idx="1809">
                  <c:v>22.1</c:v>
                </c:pt>
                <c:pt idx="1810">
                  <c:v>22.1</c:v>
                </c:pt>
                <c:pt idx="1811">
                  <c:v>22.1</c:v>
                </c:pt>
                <c:pt idx="1812">
                  <c:v>22.1</c:v>
                </c:pt>
                <c:pt idx="1813">
                  <c:v>22.1</c:v>
                </c:pt>
                <c:pt idx="1814">
                  <c:v>22.1</c:v>
                </c:pt>
                <c:pt idx="1815">
                  <c:v>22.1</c:v>
                </c:pt>
                <c:pt idx="1816">
                  <c:v>22.1</c:v>
                </c:pt>
                <c:pt idx="1817">
                  <c:v>22.1</c:v>
                </c:pt>
                <c:pt idx="1818">
                  <c:v>22.1</c:v>
                </c:pt>
                <c:pt idx="1819">
                  <c:v>22.1</c:v>
                </c:pt>
                <c:pt idx="1820">
                  <c:v>22.1</c:v>
                </c:pt>
                <c:pt idx="1821">
                  <c:v>22.1</c:v>
                </c:pt>
                <c:pt idx="1822">
                  <c:v>22.1</c:v>
                </c:pt>
                <c:pt idx="1823">
                  <c:v>22.1</c:v>
                </c:pt>
                <c:pt idx="1824">
                  <c:v>22.1</c:v>
                </c:pt>
                <c:pt idx="1825">
                  <c:v>22.1</c:v>
                </c:pt>
                <c:pt idx="1826">
                  <c:v>22.1</c:v>
                </c:pt>
                <c:pt idx="1827">
                  <c:v>22.1</c:v>
                </c:pt>
                <c:pt idx="1828">
                  <c:v>22.1</c:v>
                </c:pt>
                <c:pt idx="1829">
                  <c:v>22.1</c:v>
                </c:pt>
                <c:pt idx="1830">
                  <c:v>22.1</c:v>
                </c:pt>
                <c:pt idx="1831">
                  <c:v>22.1</c:v>
                </c:pt>
                <c:pt idx="1832">
                  <c:v>22.1</c:v>
                </c:pt>
                <c:pt idx="1833">
                  <c:v>22.1</c:v>
                </c:pt>
                <c:pt idx="1834">
                  <c:v>22.1</c:v>
                </c:pt>
                <c:pt idx="1835">
                  <c:v>22.1</c:v>
                </c:pt>
                <c:pt idx="1836">
                  <c:v>22.1</c:v>
                </c:pt>
                <c:pt idx="1837">
                  <c:v>22.1</c:v>
                </c:pt>
                <c:pt idx="1838">
                  <c:v>22.1</c:v>
                </c:pt>
                <c:pt idx="1839">
                  <c:v>22.1</c:v>
                </c:pt>
                <c:pt idx="1840">
                  <c:v>22.1</c:v>
                </c:pt>
                <c:pt idx="1841">
                  <c:v>22.1</c:v>
                </c:pt>
                <c:pt idx="1842">
                  <c:v>22.1</c:v>
                </c:pt>
                <c:pt idx="1843">
                  <c:v>22.1</c:v>
                </c:pt>
                <c:pt idx="1844">
                  <c:v>22.1</c:v>
                </c:pt>
                <c:pt idx="1845">
                  <c:v>22.1</c:v>
                </c:pt>
                <c:pt idx="1846">
                  <c:v>22.1</c:v>
                </c:pt>
                <c:pt idx="1847">
                  <c:v>22.1</c:v>
                </c:pt>
                <c:pt idx="1848">
                  <c:v>22.1</c:v>
                </c:pt>
                <c:pt idx="1849">
                  <c:v>22.1</c:v>
                </c:pt>
                <c:pt idx="1850">
                  <c:v>22.1</c:v>
                </c:pt>
                <c:pt idx="1851">
                  <c:v>22.1</c:v>
                </c:pt>
                <c:pt idx="1852">
                  <c:v>22.1</c:v>
                </c:pt>
                <c:pt idx="1853">
                  <c:v>22.1</c:v>
                </c:pt>
                <c:pt idx="1854">
                  <c:v>22.1</c:v>
                </c:pt>
                <c:pt idx="1855">
                  <c:v>22.1</c:v>
                </c:pt>
                <c:pt idx="1856">
                  <c:v>22.1</c:v>
                </c:pt>
                <c:pt idx="1857">
                  <c:v>22.1</c:v>
                </c:pt>
                <c:pt idx="1858">
                  <c:v>22.1</c:v>
                </c:pt>
                <c:pt idx="1859">
                  <c:v>22.1</c:v>
                </c:pt>
                <c:pt idx="1860">
                  <c:v>22.1</c:v>
                </c:pt>
                <c:pt idx="1861">
                  <c:v>22.1</c:v>
                </c:pt>
                <c:pt idx="1862">
                  <c:v>22.1</c:v>
                </c:pt>
                <c:pt idx="1863">
                  <c:v>22.1</c:v>
                </c:pt>
                <c:pt idx="1864">
                  <c:v>22.1</c:v>
                </c:pt>
                <c:pt idx="1865">
                  <c:v>23.1</c:v>
                </c:pt>
                <c:pt idx="1866">
                  <c:v>23.1</c:v>
                </c:pt>
                <c:pt idx="1867">
                  <c:v>23.1</c:v>
                </c:pt>
                <c:pt idx="1868">
                  <c:v>23.1</c:v>
                </c:pt>
                <c:pt idx="1869">
                  <c:v>23.1</c:v>
                </c:pt>
                <c:pt idx="1870">
                  <c:v>23.1</c:v>
                </c:pt>
                <c:pt idx="1871">
                  <c:v>23.1</c:v>
                </c:pt>
                <c:pt idx="1872">
                  <c:v>23.1</c:v>
                </c:pt>
                <c:pt idx="1873">
                  <c:v>23.1</c:v>
                </c:pt>
                <c:pt idx="1874">
                  <c:v>23.1</c:v>
                </c:pt>
                <c:pt idx="1875">
                  <c:v>23.1</c:v>
                </c:pt>
                <c:pt idx="1876">
                  <c:v>23.1</c:v>
                </c:pt>
                <c:pt idx="1877">
                  <c:v>23.1</c:v>
                </c:pt>
                <c:pt idx="1878">
                  <c:v>23.1</c:v>
                </c:pt>
                <c:pt idx="1879">
                  <c:v>23.1</c:v>
                </c:pt>
                <c:pt idx="1880">
                  <c:v>23.1</c:v>
                </c:pt>
                <c:pt idx="1881">
                  <c:v>23.1</c:v>
                </c:pt>
                <c:pt idx="1882">
                  <c:v>23.1</c:v>
                </c:pt>
                <c:pt idx="1883">
                  <c:v>23.1</c:v>
                </c:pt>
                <c:pt idx="1884">
                  <c:v>23.1</c:v>
                </c:pt>
                <c:pt idx="1885">
                  <c:v>23.1</c:v>
                </c:pt>
                <c:pt idx="1886">
                  <c:v>23.1</c:v>
                </c:pt>
                <c:pt idx="1887">
                  <c:v>23.1</c:v>
                </c:pt>
                <c:pt idx="1888">
                  <c:v>23.1</c:v>
                </c:pt>
                <c:pt idx="1889">
                  <c:v>23.1</c:v>
                </c:pt>
                <c:pt idx="1890">
                  <c:v>23.1</c:v>
                </c:pt>
                <c:pt idx="1891">
                  <c:v>23.1</c:v>
                </c:pt>
                <c:pt idx="1892">
                  <c:v>23.1</c:v>
                </c:pt>
                <c:pt idx="1893">
                  <c:v>23.1</c:v>
                </c:pt>
                <c:pt idx="1894">
                  <c:v>23.1</c:v>
                </c:pt>
                <c:pt idx="1895">
                  <c:v>23.1</c:v>
                </c:pt>
                <c:pt idx="1896">
                  <c:v>23.1</c:v>
                </c:pt>
                <c:pt idx="1897">
                  <c:v>23.1</c:v>
                </c:pt>
                <c:pt idx="1898">
                  <c:v>23.1</c:v>
                </c:pt>
                <c:pt idx="1899">
                  <c:v>23.1</c:v>
                </c:pt>
                <c:pt idx="1900">
                  <c:v>23.1</c:v>
                </c:pt>
                <c:pt idx="1901">
                  <c:v>23.1</c:v>
                </c:pt>
                <c:pt idx="1902">
                  <c:v>23.1</c:v>
                </c:pt>
                <c:pt idx="1903">
                  <c:v>23.1</c:v>
                </c:pt>
                <c:pt idx="1904">
                  <c:v>23.1</c:v>
                </c:pt>
                <c:pt idx="1905">
                  <c:v>23.1</c:v>
                </c:pt>
                <c:pt idx="1906">
                  <c:v>23.1</c:v>
                </c:pt>
                <c:pt idx="1907">
                  <c:v>23.1</c:v>
                </c:pt>
                <c:pt idx="1908">
                  <c:v>23.1</c:v>
                </c:pt>
                <c:pt idx="1909">
                  <c:v>23.1</c:v>
                </c:pt>
                <c:pt idx="1910">
                  <c:v>23.1</c:v>
                </c:pt>
                <c:pt idx="1911">
                  <c:v>23.1</c:v>
                </c:pt>
                <c:pt idx="1912">
                  <c:v>23.1</c:v>
                </c:pt>
                <c:pt idx="1913">
                  <c:v>23.1</c:v>
                </c:pt>
                <c:pt idx="1914">
                  <c:v>23.1</c:v>
                </c:pt>
                <c:pt idx="1915">
                  <c:v>23.1</c:v>
                </c:pt>
                <c:pt idx="1916">
                  <c:v>23.1</c:v>
                </c:pt>
                <c:pt idx="1917">
                  <c:v>23.1</c:v>
                </c:pt>
                <c:pt idx="1918">
                  <c:v>23.1</c:v>
                </c:pt>
                <c:pt idx="1919">
                  <c:v>23.1</c:v>
                </c:pt>
                <c:pt idx="1920">
                  <c:v>23.1</c:v>
                </c:pt>
                <c:pt idx="1921">
                  <c:v>23.1</c:v>
                </c:pt>
                <c:pt idx="1922">
                  <c:v>23.1</c:v>
                </c:pt>
                <c:pt idx="1923">
                  <c:v>23.1</c:v>
                </c:pt>
                <c:pt idx="1924">
                  <c:v>23.1</c:v>
                </c:pt>
                <c:pt idx="1925">
                  <c:v>23.1</c:v>
                </c:pt>
                <c:pt idx="1926">
                  <c:v>23.1</c:v>
                </c:pt>
                <c:pt idx="1927">
                  <c:v>23.1</c:v>
                </c:pt>
                <c:pt idx="1928">
                  <c:v>23.1</c:v>
                </c:pt>
                <c:pt idx="1929">
                  <c:v>23.1</c:v>
                </c:pt>
                <c:pt idx="1930">
                  <c:v>23.1</c:v>
                </c:pt>
                <c:pt idx="1931">
                  <c:v>23.1</c:v>
                </c:pt>
                <c:pt idx="1932">
                  <c:v>23.1</c:v>
                </c:pt>
                <c:pt idx="1933">
                  <c:v>23.1</c:v>
                </c:pt>
                <c:pt idx="1934">
                  <c:v>23.1</c:v>
                </c:pt>
                <c:pt idx="1935">
                  <c:v>23.1</c:v>
                </c:pt>
                <c:pt idx="1936">
                  <c:v>23.1</c:v>
                </c:pt>
                <c:pt idx="1937">
                  <c:v>23.1</c:v>
                </c:pt>
                <c:pt idx="1938">
                  <c:v>23.1</c:v>
                </c:pt>
                <c:pt idx="1939">
                  <c:v>23.1</c:v>
                </c:pt>
                <c:pt idx="1940">
                  <c:v>23.1</c:v>
                </c:pt>
                <c:pt idx="1941">
                  <c:v>23.1</c:v>
                </c:pt>
                <c:pt idx="1942">
                  <c:v>23.1</c:v>
                </c:pt>
                <c:pt idx="1943">
                  <c:v>23.1</c:v>
                </c:pt>
                <c:pt idx="1944">
                  <c:v>23.1</c:v>
                </c:pt>
                <c:pt idx="1945">
                  <c:v>23.1</c:v>
                </c:pt>
                <c:pt idx="1946">
                  <c:v>23.1</c:v>
                </c:pt>
                <c:pt idx="1947">
                  <c:v>23.1</c:v>
                </c:pt>
                <c:pt idx="1948">
                  <c:v>23.1</c:v>
                </c:pt>
                <c:pt idx="1949">
                  <c:v>23.1</c:v>
                </c:pt>
                <c:pt idx="1950">
                  <c:v>23.1</c:v>
                </c:pt>
                <c:pt idx="1951">
                  <c:v>23.1</c:v>
                </c:pt>
                <c:pt idx="1952">
                  <c:v>23.1</c:v>
                </c:pt>
                <c:pt idx="1953">
                  <c:v>23.1</c:v>
                </c:pt>
                <c:pt idx="1954">
                  <c:v>23.1</c:v>
                </c:pt>
                <c:pt idx="1955">
                  <c:v>23.1</c:v>
                </c:pt>
                <c:pt idx="1956">
                  <c:v>23.1</c:v>
                </c:pt>
                <c:pt idx="1957">
                  <c:v>23.1</c:v>
                </c:pt>
                <c:pt idx="1958">
                  <c:v>23.1</c:v>
                </c:pt>
                <c:pt idx="1959">
                  <c:v>23.1</c:v>
                </c:pt>
                <c:pt idx="1960">
                  <c:v>23.1</c:v>
                </c:pt>
                <c:pt idx="1961">
                  <c:v>23.1</c:v>
                </c:pt>
                <c:pt idx="1962">
                  <c:v>23.1</c:v>
                </c:pt>
                <c:pt idx="1963">
                  <c:v>23.1</c:v>
                </c:pt>
                <c:pt idx="1964">
                  <c:v>23.1</c:v>
                </c:pt>
                <c:pt idx="1965">
                  <c:v>23.1</c:v>
                </c:pt>
                <c:pt idx="1966">
                  <c:v>23.1</c:v>
                </c:pt>
                <c:pt idx="1967">
                  <c:v>23.1</c:v>
                </c:pt>
                <c:pt idx="1968">
                  <c:v>23.1</c:v>
                </c:pt>
                <c:pt idx="1969">
                  <c:v>23.1</c:v>
                </c:pt>
                <c:pt idx="1970">
                  <c:v>23.1</c:v>
                </c:pt>
                <c:pt idx="1971">
                  <c:v>23.1</c:v>
                </c:pt>
                <c:pt idx="1972">
                  <c:v>23.1</c:v>
                </c:pt>
                <c:pt idx="1973">
                  <c:v>23.1</c:v>
                </c:pt>
                <c:pt idx="1974">
                  <c:v>23.1</c:v>
                </c:pt>
                <c:pt idx="1975">
                  <c:v>23.1</c:v>
                </c:pt>
                <c:pt idx="1976">
                  <c:v>23.1</c:v>
                </c:pt>
                <c:pt idx="1977">
                  <c:v>23.1</c:v>
                </c:pt>
                <c:pt idx="1978">
                  <c:v>23.1</c:v>
                </c:pt>
                <c:pt idx="1979">
                  <c:v>23.1</c:v>
                </c:pt>
                <c:pt idx="1980">
                  <c:v>23.1</c:v>
                </c:pt>
                <c:pt idx="1981">
                  <c:v>23.1</c:v>
                </c:pt>
                <c:pt idx="1982">
                  <c:v>23.1</c:v>
                </c:pt>
                <c:pt idx="1983">
                  <c:v>23.1</c:v>
                </c:pt>
                <c:pt idx="1984">
                  <c:v>23.1</c:v>
                </c:pt>
                <c:pt idx="1985">
                  <c:v>23.1</c:v>
                </c:pt>
                <c:pt idx="1986">
                  <c:v>23.1</c:v>
                </c:pt>
                <c:pt idx="1987">
                  <c:v>23.1</c:v>
                </c:pt>
                <c:pt idx="1988">
                  <c:v>23.1</c:v>
                </c:pt>
                <c:pt idx="1989">
                  <c:v>23.1</c:v>
                </c:pt>
                <c:pt idx="1990">
                  <c:v>23.1</c:v>
                </c:pt>
                <c:pt idx="1991">
                  <c:v>23.1</c:v>
                </c:pt>
                <c:pt idx="1992">
                  <c:v>23.1</c:v>
                </c:pt>
                <c:pt idx="1993">
                  <c:v>23.1</c:v>
                </c:pt>
                <c:pt idx="1994">
                  <c:v>23.1</c:v>
                </c:pt>
                <c:pt idx="1995">
                  <c:v>23.1</c:v>
                </c:pt>
                <c:pt idx="1996">
                  <c:v>23.1</c:v>
                </c:pt>
                <c:pt idx="1997">
                  <c:v>23.1</c:v>
                </c:pt>
                <c:pt idx="1998">
                  <c:v>23.1</c:v>
                </c:pt>
                <c:pt idx="1999">
                  <c:v>23.1</c:v>
                </c:pt>
                <c:pt idx="2000">
                  <c:v>23.1</c:v>
                </c:pt>
                <c:pt idx="2001">
                  <c:v>23.1</c:v>
                </c:pt>
                <c:pt idx="2002">
                  <c:v>23.1</c:v>
                </c:pt>
                <c:pt idx="2003">
                  <c:v>23.1</c:v>
                </c:pt>
                <c:pt idx="2004">
                  <c:v>23.1</c:v>
                </c:pt>
                <c:pt idx="2005">
                  <c:v>23.1</c:v>
                </c:pt>
                <c:pt idx="2006">
                  <c:v>23.1</c:v>
                </c:pt>
                <c:pt idx="2007">
                  <c:v>23.1</c:v>
                </c:pt>
                <c:pt idx="2008">
                  <c:v>23.1</c:v>
                </c:pt>
                <c:pt idx="2009">
                  <c:v>23.1</c:v>
                </c:pt>
                <c:pt idx="2010">
                  <c:v>23.1</c:v>
                </c:pt>
                <c:pt idx="2011">
                  <c:v>23.1</c:v>
                </c:pt>
                <c:pt idx="2012">
                  <c:v>23.1</c:v>
                </c:pt>
                <c:pt idx="2013">
                  <c:v>23.1</c:v>
                </c:pt>
                <c:pt idx="2014">
                  <c:v>23.1</c:v>
                </c:pt>
                <c:pt idx="2015">
                  <c:v>23.1</c:v>
                </c:pt>
                <c:pt idx="2016">
                  <c:v>23.1</c:v>
                </c:pt>
                <c:pt idx="2017">
                  <c:v>23.1</c:v>
                </c:pt>
                <c:pt idx="2018">
                  <c:v>23.1</c:v>
                </c:pt>
                <c:pt idx="2019">
                  <c:v>23.1</c:v>
                </c:pt>
                <c:pt idx="2020">
                  <c:v>23.1</c:v>
                </c:pt>
                <c:pt idx="2021">
                  <c:v>23.1</c:v>
                </c:pt>
                <c:pt idx="2022">
                  <c:v>23.1</c:v>
                </c:pt>
                <c:pt idx="2023">
                  <c:v>23.1</c:v>
                </c:pt>
                <c:pt idx="2024">
                  <c:v>23.1</c:v>
                </c:pt>
                <c:pt idx="2025">
                  <c:v>23.1</c:v>
                </c:pt>
                <c:pt idx="2026">
                  <c:v>23.1</c:v>
                </c:pt>
                <c:pt idx="2027">
                  <c:v>23.1</c:v>
                </c:pt>
                <c:pt idx="2028">
                  <c:v>23.1</c:v>
                </c:pt>
                <c:pt idx="2029">
                  <c:v>23.1</c:v>
                </c:pt>
                <c:pt idx="2030">
                  <c:v>23.1</c:v>
                </c:pt>
                <c:pt idx="2031">
                  <c:v>23.1</c:v>
                </c:pt>
                <c:pt idx="2032">
                  <c:v>23.1</c:v>
                </c:pt>
                <c:pt idx="2033">
                  <c:v>23.1</c:v>
                </c:pt>
                <c:pt idx="2034">
                  <c:v>23.1</c:v>
                </c:pt>
                <c:pt idx="2035">
                  <c:v>23.1</c:v>
                </c:pt>
                <c:pt idx="2036">
                  <c:v>23.1</c:v>
                </c:pt>
                <c:pt idx="2037">
                  <c:v>23.1</c:v>
                </c:pt>
                <c:pt idx="2038">
                  <c:v>23.1</c:v>
                </c:pt>
                <c:pt idx="2039">
                  <c:v>23.1</c:v>
                </c:pt>
                <c:pt idx="2040">
                  <c:v>23.1</c:v>
                </c:pt>
                <c:pt idx="2041">
                  <c:v>23.1</c:v>
                </c:pt>
                <c:pt idx="2042">
                  <c:v>23.1</c:v>
                </c:pt>
                <c:pt idx="2043">
                  <c:v>23.1</c:v>
                </c:pt>
                <c:pt idx="2044">
                  <c:v>23.1</c:v>
                </c:pt>
                <c:pt idx="2045">
                  <c:v>23.1</c:v>
                </c:pt>
                <c:pt idx="2046">
                  <c:v>23.1</c:v>
                </c:pt>
                <c:pt idx="2047">
                  <c:v>23.1</c:v>
                </c:pt>
                <c:pt idx="2048">
                  <c:v>23.1</c:v>
                </c:pt>
                <c:pt idx="2049">
                  <c:v>23.1</c:v>
                </c:pt>
                <c:pt idx="2050">
                  <c:v>23.1</c:v>
                </c:pt>
                <c:pt idx="2051">
                  <c:v>23.1</c:v>
                </c:pt>
                <c:pt idx="2052">
                  <c:v>23.1</c:v>
                </c:pt>
                <c:pt idx="2053">
                  <c:v>23.1</c:v>
                </c:pt>
                <c:pt idx="2054">
                  <c:v>23.1</c:v>
                </c:pt>
                <c:pt idx="2055">
                  <c:v>23.1</c:v>
                </c:pt>
                <c:pt idx="2056">
                  <c:v>23.1</c:v>
                </c:pt>
                <c:pt idx="2057">
                  <c:v>23.1</c:v>
                </c:pt>
                <c:pt idx="2058">
                  <c:v>23.1</c:v>
                </c:pt>
                <c:pt idx="2059">
                  <c:v>23.1</c:v>
                </c:pt>
                <c:pt idx="2060">
                  <c:v>23.1</c:v>
                </c:pt>
                <c:pt idx="2061">
                  <c:v>23.1</c:v>
                </c:pt>
                <c:pt idx="2062">
                  <c:v>23.1</c:v>
                </c:pt>
                <c:pt idx="2063">
                  <c:v>23.1</c:v>
                </c:pt>
                <c:pt idx="2064">
                  <c:v>23.1</c:v>
                </c:pt>
                <c:pt idx="2065">
                  <c:v>23.1</c:v>
                </c:pt>
                <c:pt idx="2066">
                  <c:v>23.1</c:v>
                </c:pt>
                <c:pt idx="2067">
                  <c:v>23.1</c:v>
                </c:pt>
                <c:pt idx="2068">
                  <c:v>23.1</c:v>
                </c:pt>
                <c:pt idx="2069">
                  <c:v>23.1</c:v>
                </c:pt>
                <c:pt idx="2070">
                  <c:v>23.1</c:v>
                </c:pt>
                <c:pt idx="2071">
                  <c:v>23.1</c:v>
                </c:pt>
                <c:pt idx="2072">
                  <c:v>23.1</c:v>
                </c:pt>
                <c:pt idx="2073">
                  <c:v>23.1</c:v>
                </c:pt>
                <c:pt idx="2074">
                  <c:v>23.1</c:v>
                </c:pt>
                <c:pt idx="2075">
                  <c:v>23.1</c:v>
                </c:pt>
                <c:pt idx="2076">
                  <c:v>23.1</c:v>
                </c:pt>
                <c:pt idx="2077">
                  <c:v>23.1</c:v>
                </c:pt>
                <c:pt idx="2078">
                  <c:v>23.1</c:v>
                </c:pt>
                <c:pt idx="2079">
                  <c:v>23.1</c:v>
                </c:pt>
                <c:pt idx="2080">
                  <c:v>23.1</c:v>
                </c:pt>
                <c:pt idx="2081">
                  <c:v>23.1</c:v>
                </c:pt>
                <c:pt idx="2082">
                  <c:v>23.1</c:v>
                </c:pt>
                <c:pt idx="2083">
                  <c:v>23.1</c:v>
                </c:pt>
                <c:pt idx="2084">
                  <c:v>23.1</c:v>
                </c:pt>
                <c:pt idx="2085">
                  <c:v>23.1</c:v>
                </c:pt>
                <c:pt idx="2086">
                  <c:v>23.1</c:v>
                </c:pt>
                <c:pt idx="2087">
                  <c:v>23.1</c:v>
                </c:pt>
                <c:pt idx="2088">
                  <c:v>23.1</c:v>
                </c:pt>
                <c:pt idx="2089">
                  <c:v>23.1</c:v>
                </c:pt>
                <c:pt idx="2090">
                  <c:v>23.1</c:v>
                </c:pt>
                <c:pt idx="2091">
                  <c:v>23.1</c:v>
                </c:pt>
                <c:pt idx="2092">
                  <c:v>23.1</c:v>
                </c:pt>
                <c:pt idx="2093">
                  <c:v>23.1</c:v>
                </c:pt>
                <c:pt idx="2094">
                  <c:v>23.1</c:v>
                </c:pt>
                <c:pt idx="2095">
                  <c:v>23.1</c:v>
                </c:pt>
                <c:pt idx="2096">
                  <c:v>23.1</c:v>
                </c:pt>
                <c:pt idx="2097">
                  <c:v>23.1</c:v>
                </c:pt>
                <c:pt idx="2098">
                  <c:v>23.1</c:v>
                </c:pt>
                <c:pt idx="2099">
                  <c:v>23.1</c:v>
                </c:pt>
                <c:pt idx="2100">
                  <c:v>23.1</c:v>
                </c:pt>
                <c:pt idx="2101">
                  <c:v>23.1</c:v>
                </c:pt>
                <c:pt idx="2102">
                  <c:v>23.1</c:v>
                </c:pt>
                <c:pt idx="2103">
                  <c:v>23.1</c:v>
                </c:pt>
                <c:pt idx="2104">
                  <c:v>23.1</c:v>
                </c:pt>
                <c:pt idx="2105">
                  <c:v>23.1</c:v>
                </c:pt>
                <c:pt idx="2106">
                  <c:v>23.1</c:v>
                </c:pt>
                <c:pt idx="2107">
                  <c:v>23.1</c:v>
                </c:pt>
                <c:pt idx="2108">
                  <c:v>23.1</c:v>
                </c:pt>
                <c:pt idx="2109">
                  <c:v>23.1</c:v>
                </c:pt>
                <c:pt idx="2110">
                  <c:v>23.1</c:v>
                </c:pt>
                <c:pt idx="2111">
                  <c:v>23.1</c:v>
                </c:pt>
                <c:pt idx="2112">
                  <c:v>23.1</c:v>
                </c:pt>
                <c:pt idx="2113">
                  <c:v>23.1</c:v>
                </c:pt>
                <c:pt idx="2114">
                  <c:v>23.1</c:v>
                </c:pt>
                <c:pt idx="2115">
                  <c:v>23.1</c:v>
                </c:pt>
                <c:pt idx="2116">
                  <c:v>23.1</c:v>
                </c:pt>
                <c:pt idx="2117">
                  <c:v>23.1</c:v>
                </c:pt>
                <c:pt idx="2118">
                  <c:v>23.1</c:v>
                </c:pt>
                <c:pt idx="2119">
                  <c:v>23.1</c:v>
                </c:pt>
                <c:pt idx="2120">
                  <c:v>23.1</c:v>
                </c:pt>
                <c:pt idx="2121">
                  <c:v>23.1</c:v>
                </c:pt>
                <c:pt idx="2122">
                  <c:v>23.1</c:v>
                </c:pt>
                <c:pt idx="2123">
                  <c:v>23.1</c:v>
                </c:pt>
                <c:pt idx="2124">
                  <c:v>23.1</c:v>
                </c:pt>
                <c:pt idx="2125">
                  <c:v>23.1</c:v>
                </c:pt>
                <c:pt idx="2126">
                  <c:v>23.1</c:v>
                </c:pt>
                <c:pt idx="2127">
                  <c:v>23.1</c:v>
                </c:pt>
                <c:pt idx="2128">
                  <c:v>23.1</c:v>
                </c:pt>
                <c:pt idx="2129">
                  <c:v>23.1</c:v>
                </c:pt>
                <c:pt idx="2130">
                  <c:v>23.1</c:v>
                </c:pt>
                <c:pt idx="2131">
                  <c:v>23.1</c:v>
                </c:pt>
                <c:pt idx="2132">
                  <c:v>23.1</c:v>
                </c:pt>
                <c:pt idx="2133">
                  <c:v>23.1</c:v>
                </c:pt>
                <c:pt idx="2134">
                  <c:v>23.1</c:v>
                </c:pt>
                <c:pt idx="2135">
                  <c:v>23.1</c:v>
                </c:pt>
                <c:pt idx="2136">
                  <c:v>23.1</c:v>
                </c:pt>
                <c:pt idx="2137">
                  <c:v>23.1</c:v>
                </c:pt>
                <c:pt idx="2138">
                  <c:v>24.1</c:v>
                </c:pt>
                <c:pt idx="2139">
                  <c:v>24.1</c:v>
                </c:pt>
                <c:pt idx="2140">
                  <c:v>24.1</c:v>
                </c:pt>
                <c:pt idx="2141">
                  <c:v>24.1</c:v>
                </c:pt>
                <c:pt idx="2142">
                  <c:v>24.1</c:v>
                </c:pt>
                <c:pt idx="2143">
                  <c:v>24.1</c:v>
                </c:pt>
                <c:pt idx="2144">
                  <c:v>24.1</c:v>
                </c:pt>
                <c:pt idx="2145">
                  <c:v>24.1</c:v>
                </c:pt>
                <c:pt idx="2146">
                  <c:v>24.1</c:v>
                </c:pt>
                <c:pt idx="2147">
                  <c:v>24.1</c:v>
                </c:pt>
                <c:pt idx="2148">
                  <c:v>24.1</c:v>
                </c:pt>
                <c:pt idx="2149">
                  <c:v>24.1</c:v>
                </c:pt>
                <c:pt idx="2150">
                  <c:v>24.1</c:v>
                </c:pt>
                <c:pt idx="2151">
                  <c:v>24.1</c:v>
                </c:pt>
                <c:pt idx="2152">
                  <c:v>24.1</c:v>
                </c:pt>
                <c:pt idx="2153">
                  <c:v>24.1</c:v>
                </c:pt>
                <c:pt idx="2154">
                  <c:v>24.1</c:v>
                </c:pt>
                <c:pt idx="2155">
                  <c:v>24.1</c:v>
                </c:pt>
                <c:pt idx="2156">
                  <c:v>24.1</c:v>
                </c:pt>
                <c:pt idx="2157">
                  <c:v>24.1</c:v>
                </c:pt>
                <c:pt idx="2158">
                  <c:v>24.1</c:v>
                </c:pt>
                <c:pt idx="2159">
                  <c:v>24.1</c:v>
                </c:pt>
                <c:pt idx="2160">
                  <c:v>24.1</c:v>
                </c:pt>
                <c:pt idx="2161">
                  <c:v>24.1</c:v>
                </c:pt>
                <c:pt idx="2162">
                  <c:v>24.1</c:v>
                </c:pt>
                <c:pt idx="2163">
                  <c:v>24.1</c:v>
                </c:pt>
                <c:pt idx="2164">
                  <c:v>24.1</c:v>
                </c:pt>
                <c:pt idx="2165">
                  <c:v>24.1</c:v>
                </c:pt>
                <c:pt idx="2166">
                  <c:v>24.1</c:v>
                </c:pt>
                <c:pt idx="2167">
                  <c:v>24.1</c:v>
                </c:pt>
                <c:pt idx="2168">
                  <c:v>24.1</c:v>
                </c:pt>
                <c:pt idx="2169">
                  <c:v>24.1</c:v>
                </c:pt>
                <c:pt idx="2170">
                  <c:v>24.1</c:v>
                </c:pt>
                <c:pt idx="2171">
                  <c:v>24.1</c:v>
                </c:pt>
                <c:pt idx="2172">
                  <c:v>24.1</c:v>
                </c:pt>
                <c:pt idx="2173">
                  <c:v>24.1</c:v>
                </c:pt>
                <c:pt idx="2174">
                  <c:v>24.1</c:v>
                </c:pt>
                <c:pt idx="2175">
                  <c:v>24.1</c:v>
                </c:pt>
                <c:pt idx="2176">
                  <c:v>24.1</c:v>
                </c:pt>
                <c:pt idx="2177">
                  <c:v>24.1</c:v>
                </c:pt>
                <c:pt idx="2178">
                  <c:v>24.1</c:v>
                </c:pt>
                <c:pt idx="2179">
                  <c:v>24.1</c:v>
                </c:pt>
                <c:pt idx="2180">
                  <c:v>24.1</c:v>
                </c:pt>
                <c:pt idx="2181">
                  <c:v>24.1</c:v>
                </c:pt>
                <c:pt idx="2182">
                  <c:v>24.1</c:v>
                </c:pt>
                <c:pt idx="2183">
                  <c:v>24.1</c:v>
                </c:pt>
                <c:pt idx="2184">
                  <c:v>24.1</c:v>
                </c:pt>
                <c:pt idx="2185">
                  <c:v>24.1</c:v>
                </c:pt>
                <c:pt idx="2186">
                  <c:v>24.1</c:v>
                </c:pt>
                <c:pt idx="2187">
                  <c:v>24.1</c:v>
                </c:pt>
                <c:pt idx="2188">
                  <c:v>24.1</c:v>
                </c:pt>
                <c:pt idx="2189">
                  <c:v>24.1</c:v>
                </c:pt>
                <c:pt idx="2190">
                  <c:v>24.1</c:v>
                </c:pt>
                <c:pt idx="2191">
                  <c:v>24.1</c:v>
                </c:pt>
                <c:pt idx="2192">
                  <c:v>24.1</c:v>
                </c:pt>
                <c:pt idx="2193">
                  <c:v>24.1</c:v>
                </c:pt>
                <c:pt idx="2194">
                  <c:v>24.1</c:v>
                </c:pt>
                <c:pt idx="2195">
                  <c:v>24.1</c:v>
                </c:pt>
                <c:pt idx="2196">
                  <c:v>24.1</c:v>
                </c:pt>
                <c:pt idx="2197">
                  <c:v>24.1</c:v>
                </c:pt>
                <c:pt idx="2198">
                  <c:v>24.1</c:v>
                </c:pt>
                <c:pt idx="2199">
                  <c:v>24.1</c:v>
                </c:pt>
                <c:pt idx="2200">
                  <c:v>24.1</c:v>
                </c:pt>
                <c:pt idx="2201">
                  <c:v>24.1</c:v>
                </c:pt>
                <c:pt idx="2202">
                  <c:v>24.1</c:v>
                </c:pt>
                <c:pt idx="2203">
                  <c:v>24.1</c:v>
                </c:pt>
                <c:pt idx="2204">
                  <c:v>24.1</c:v>
                </c:pt>
                <c:pt idx="2205">
                  <c:v>24.1</c:v>
                </c:pt>
                <c:pt idx="2206">
                  <c:v>24.1</c:v>
                </c:pt>
                <c:pt idx="2207">
                  <c:v>24.1</c:v>
                </c:pt>
                <c:pt idx="2208">
                  <c:v>24.1</c:v>
                </c:pt>
                <c:pt idx="2209">
                  <c:v>24.1</c:v>
                </c:pt>
                <c:pt idx="2210">
                  <c:v>24.1</c:v>
                </c:pt>
                <c:pt idx="2211">
                  <c:v>24.1</c:v>
                </c:pt>
                <c:pt idx="2212">
                  <c:v>24.1</c:v>
                </c:pt>
                <c:pt idx="2213">
                  <c:v>24.1</c:v>
                </c:pt>
                <c:pt idx="2214">
                  <c:v>24.1</c:v>
                </c:pt>
                <c:pt idx="2215">
                  <c:v>24.1</c:v>
                </c:pt>
                <c:pt idx="2216">
                  <c:v>24.1</c:v>
                </c:pt>
                <c:pt idx="2217">
                  <c:v>24.1</c:v>
                </c:pt>
                <c:pt idx="2218">
                  <c:v>24.1</c:v>
                </c:pt>
                <c:pt idx="2219">
                  <c:v>24.1</c:v>
                </c:pt>
                <c:pt idx="2220">
                  <c:v>24.1</c:v>
                </c:pt>
                <c:pt idx="2221">
                  <c:v>24.1</c:v>
                </c:pt>
                <c:pt idx="2222">
                  <c:v>24.1</c:v>
                </c:pt>
                <c:pt idx="2223">
                  <c:v>24.1</c:v>
                </c:pt>
                <c:pt idx="2224">
                  <c:v>24.1</c:v>
                </c:pt>
                <c:pt idx="2225">
                  <c:v>24.1</c:v>
                </c:pt>
                <c:pt idx="2226">
                  <c:v>24.1</c:v>
                </c:pt>
                <c:pt idx="2227">
                  <c:v>24.1</c:v>
                </c:pt>
                <c:pt idx="2228">
                  <c:v>24.1</c:v>
                </c:pt>
                <c:pt idx="2229">
                  <c:v>24.1</c:v>
                </c:pt>
                <c:pt idx="2230">
                  <c:v>24.1</c:v>
                </c:pt>
                <c:pt idx="2231">
                  <c:v>24.1</c:v>
                </c:pt>
                <c:pt idx="2232">
                  <c:v>24.1</c:v>
                </c:pt>
                <c:pt idx="2233">
                  <c:v>24.1</c:v>
                </c:pt>
                <c:pt idx="2234">
                  <c:v>24.1</c:v>
                </c:pt>
                <c:pt idx="2235">
                  <c:v>24.1</c:v>
                </c:pt>
                <c:pt idx="2236">
                  <c:v>24.1</c:v>
                </c:pt>
                <c:pt idx="2237">
                  <c:v>24.1</c:v>
                </c:pt>
                <c:pt idx="2238">
                  <c:v>24.1</c:v>
                </c:pt>
                <c:pt idx="2239">
                  <c:v>24.1</c:v>
                </c:pt>
                <c:pt idx="2240">
                  <c:v>24.1</c:v>
                </c:pt>
                <c:pt idx="2241">
                  <c:v>24.1</c:v>
                </c:pt>
                <c:pt idx="2242">
                  <c:v>24.1</c:v>
                </c:pt>
                <c:pt idx="2243">
                  <c:v>24.1</c:v>
                </c:pt>
                <c:pt idx="2244">
                  <c:v>24.1</c:v>
                </c:pt>
                <c:pt idx="2245">
                  <c:v>24.1</c:v>
                </c:pt>
                <c:pt idx="2246">
                  <c:v>24.1</c:v>
                </c:pt>
                <c:pt idx="2247">
                  <c:v>24.1</c:v>
                </c:pt>
                <c:pt idx="2248">
                  <c:v>24.1</c:v>
                </c:pt>
                <c:pt idx="2249">
                  <c:v>24.1</c:v>
                </c:pt>
                <c:pt idx="2250">
                  <c:v>24.1</c:v>
                </c:pt>
                <c:pt idx="2251">
                  <c:v>24.1</c:v>
                </c:pt>
                <c:pt idx="2252">
                  <c:v>24.1</c:v>
                </c:pt>
                <c:pt idx="2253">
                  <c:v>24.1</c:v>
                </c:pt>
                <c:pt idx="2254">
                  <c:v>24.1</c:v>
                </c:pt>
                <c:pt idx="2255">
                  <c:v>24.1</c:v>
                </c:pt>
                <c:pt idx="2256">
                  <c:v>24.1</c:v>
                </c:pt>
                <c:pt idx="2257">
                  <c:v>24.1</c:v>
                </c:pt>
                <c:pt idx="2258">
                  <c:v>24.1</c:v>
                </c:pt>
                <c:pt idx="2259">
                  <c:v>24.1</c:v>
                </c:pt>
                <c:pt idx="2260">
                  <c:v>24.1</c:v>
                </c:pt>
                <c:pt idx="2261">
                  <c:v>24.1</c:v>
                </c:pt>
                <c:pt idx="2262">
                  <c:v>24.1</c:v>
                </c:pt>
                <c:pt idx="2263">
                  <c:v>24.1</c:v>
                </c:pt>
                <c:pt idx="2264">
                  <c:v>24.1</c:v>
                </c:pt>
                <c:pt idx="2265">
                  <c:v>24.1</c:v>
                </c:pt>
                <c:pt idx="2266">
                  <c:v>24.1</c:v>
                </c:pt>
                <c:pt idx="2267">
                  <c:v>24.1</c:v>
                </c:pt>
                <c:pt idx="2268">
                  <c:v>24.1</c:v>
                </c:pt>
                <c:pt idx="2269">
                  <c:v>24.1</c:v>
                </c:pt>
                <c:pt idx="2270">
                  <c:v>24.1</c:v>
                </c:pt>
                <c:pt idx="2271">
                  <c:v>24.1</c:v>
                </c:pt>
                <c:pt idx="2272">
                  <c:v>24.1</c:v>
                </c:pt>
                <c:pt idx="2273">
                  <c:v>24.1</c:v>
                </c:pt>
                <c:pt idx="2274">
                  <c:v>24.1</c:v>
                </c:pt>
                <c:pt idx="2275">
                  <c:v>24.1</c:v>
                </c:pt>
                <c:pt idx="2276">
                  <c:v>24.1</c:v>
                </c:pt>
                <c:pt idx="2277">
                  <c:v>24.1</c:v>
                </c:pt>
                <c:pt idx="2278">
                  <c:v>24.1</c:v>
                </c:pt>
                <c:pt idx="2279">
                  <c:v>24.1</c:v>
                </c:pt>
                <c:pt idx="2280">
                  <c:v>24.1</c:v>
                </c:pt>
                <c:pt idx="2281">
                  <c:v>24.1</c:v>
                </c:pt>
                <c:pt idx="2282">
                  <c:v>24.1</c:v>
                </c:pt>
                <c:pt idx="2283">
                  <c:v>24.1</c:v>
                </c:pt>
                <c:pt idx="2284">
                  <c:v>24.1</c:v>
                </c:pt>
                <c:pt idx="2285">
                  <c:v>24.1</c:v>
                </c:pt>
                <c:pt idx="2286">
                  <c:v>24.1</c:v>
                </c:pt>
                <c:pt idx="2287">
                  <c:v>24.1</c:v>
                </c:pt>
                <c:pt idx="2288">
                  <c:v>24.1</c:v>
                </c:pt>
                <c:pt idx="2289">
                  <c:v>24.1</c:v>
                </c:pt>
                <c:pt idx="2290">
                  <c:v>24.1</c:v>
                </c:pt>
                <c:pt idx="2291">
                  <c:v>24.1</c:v>
                </c:pt>
                <c:pt idx="2292">
                  <c:v>24.1</c:v>
                </c:pt>
                <c:pt idx="2293">
                  <c:v>24.1</c:v>
                </c:pt>
                <c:pt idx="2294">
                  <c:v>24.1</c:v>
                </c:pt>
                <c:pt idx="2295">
                  <c:v>24.1</c:v>
                </c:pt>
                <c:pt idx="2296">
                  <c:v>24.1</c:v>
                </c:pt>
                <c:pt idx="2297">
                  <c:v>24.1</c:v>
                </c:pt>
                <c:pt idx="2298">
                  <c:v>24.1</c:v>
                </c:pt>
                <c:pt idx="2299">
                  <c:v>24.1</c:v>
                </c:pt>
                <c:pt idx="2300">
                  <c:v>24.1</c:v>
                </c:pt>
                <c:pt idx="2301">
                  <c:v>24.1</c:v>
                </c:pt>
                <c:pt idx="2302">
                  <c:v>24.1</c:v>
                </c:pt>
                <c:pt idx="2303">
                  <c:v>24.1</c:v>
                </c:pt>
                <c:pt idx="2304">
                  <c:v>24.1</c:v>
                </c:pt>
                <c:pt idx="2305">
                  <c:v>24.1</c:v>
                </c:pt>
                <c:pt idx="2306">
                  <c:v>24.1</c:v>
                </c:pt>
                <c:pt idx="2307">
                  <c:v>24.1</c:v>
                </c:pt>
                <c:pt idx="2308">
                  <c:v>24.1</c:v>
                </c:pt>
                <c:pt idx="2309">
                  <c:v>24.1</c:v>
                </c:pt>
                <c:pt idx="2310">
                  <c:v>24.1</c:v>
                </c:pt>
                <c:pt idx="2311">
                  <c:v>24.1</c:v>
                </c:pt>
                <c:pt idx="2312">
                  <c:v>24.1</c:v>
                </c:pt>
                <c:pt idx="2313">
                  <c:v>24.1</c:v>
                </c:pt>
                <c:pt idx="2314">
                  <c:v>24.1</c:v>
                </c:pt>
                <c:pt idx="2315">
                  <c:v>24.1</c:v>
                </c:pt>
                <c:pt idx="2316">
                  <c:v>24.1</c:v>
                </c:pt>
                <c:pt idx="2317">
                  <c:v>24.1</c:v>
                </c:pt>
                <c:pt idx="2318">
                  <c:v>24.1</c:v>
                </c:pt>
                <c:pt idx="2319">
                  <c:v>24.1</c:v>
                </c:pt>
                <c:pt idx="2320">
                  <c:v>24.1</c:v>
                </c:pt>
                <c:pt idx="2321">
                  <c:v>24.1</c:v>
                </c:pt>
                <c:pt idx="2322">
                  <c:v>24.1</c:v>
                </c:pt>
                <c:pt idx="2323">
                  <c:v>24.1</c:v>
                </c:pt>
                <c:pt idx="2324">
                  <c:v>24.1</c:v>
                </c:pt>
                <c:pt idx="2325">
                  <c:v>24.1</c:v>
                </c:pt>
                <c:pt idx="2326">
                  <c:v>24.1</c:v>
                </c:pt>
                <c:pt idx="2327">
                  <c:v>24.1</c:v>
                </c:pt>
                <c:pt idx="2328">
                  <c:v>25.1</c:v>
                </c:pt>
                <c:pt idx="2329">
                  <c:v>25.1</c:v>
                </c:pt>
                <c:pt idx="2330">
                  <c:v>25.1</c:v>
                </c:pt>
                <c:pt idx="2331">
                  <c:v>24.1</c:v>
                </c:pt>
                <c:pt idx="2332">
                  <c:v>24.1</c:v>
                </c:pt>
                <c:pt idx="2333">
                  <c:v>25.1</c:v>
                </c:pt>
                <c:pt idx="2334">
                  <c:v>24.1</c:v>
                </c:pt>
                <c:pt idx="2335">
                  <c:v>24.1</c:v>
                </c:pt>
                <c:pt idx="2336">
                  <c:v>25.1</c:v>
                </c:pt>
                <c:pt idx="2337">
                  <c:v>25.1</c:v>
                </c:pt>
                <c:pt idx="2338">
                  <c:v>25.1</c:v>
                </c:pt>
                <c:pt idx="2339">
                  <c:v>25.1</c:v>
                </c:pt>
                <c:pt idx="2340">
                  <c:v>25.1</c:v>
                </c:pt>
                <c:pt idx="2341">
                  <c:v>25.1</c:v>
                </c:pt>
                <c:pt idx="2342">
                  <c:v>24.1</c:v>
                </c:pt>
                <c:pt idx="2343">
                  <c:v>24.1</c:v>
                </c:pt>
                <c:pt idx="2344">
                  <c:v>24.1</c:v>
                </c:pt>
                <c:pt idx="2345">
                  <c:v>24.1</c:v>
                </c:pt>
                <c:pt idx="2346">
                  <c:v>24.1</c:v>
                </c:pt>
                <c:pt idx="2347">
                  <c:v>25.1</c:v>
                </c:pt>
                <c:pt idx="2348">
                  <c:v>24.1</c:v>
                </c:pt>
                <c:pt idx="2349">
                  <c:v>25.1</c:v>
                </c:pt>
                <c:pt idx="2350">
                  <c:v>25.1</c:v>
                </c:pt>
                <c:pt idx="2351">
                  <c:v>24.1</c:v>
                </c:pt>
                <c:pt idx="2352">
                  <c:v>24.1</c:v>
                </c:pt>
                <c:pt idx="2353">
                  <c:v>25.1</c:v>
                </c:pt>
                <c:pt idx="2354">
                  <c:v>25.1</c:v>
                </c:pt>
                <c:pt idx="2355">
                  <c:v>25.1</c:v>
                </c:pt>
                <c:pt idx="2356">
                  <c:v>25.1</c:v>
                </c:pt>
                <c:pt idx="2357">
                  <c:v>25.1</c:v>
                </c:pt>
                <c:pt idx="2358">
                  <c:v>25.1</c:v>
                </c:pt>
                <c:pt idx="2359">
                  <c:v>25.1</c:v>
                </c:pt>
                <c:pt idx="2360">
                  <c:v>25.1</c:v>
                </c:pt>
                <c:pt idx="2361">
                  <c:v>25.1</c:v>
                </c:pt>
                <c:pt idx="2362">
                  <c:v>25.1</c:v>
                </c:pt>
                <c:pt idx="2363">
                  <c:v>25.1</c:v>
                </c:pt>
                <c:pt idx="2364">
                  <c:v>25.1</c:v>
                </c:pt>
                <c:pt idx="2365">
                  <c:v>25.1</c:v>
                </c:pt>
                <c:pt idx="2366">
                  <c:v>25.1</c:v>
                </c:pt>
                <c:pt idx="2367">
                  <c:v>25.1</c:v>
                </c:pt>
                <c:pt idx="2368">
                  <c:v>25.1</c:v>
                </c:pt>
                <c:pt idx="2369">
                  <c:v>25.1</c:v>
                </c:pt>
                <c:pt idx="2370">
                  <c:v>25.1</c:v>
                </c:pt>
                <c:pt idx="2371">
                  <c:v>25.1</c:v>
                </c:pt>
                <c:pt idx="2372">
                  <c:v>25.1</c:v>
                </c:pt>
                <c:pt idx="2373">
                  <c:v>25.1</c:v>
                </c:pt>
                <c:pt idx="2374">
                  <c:v>25.1</c:v>
                </c:pt>
                <c:pt idx="2375">
                  <c:v>25.1</c:v>
                </c:pt>
                <c:pt idx="2376">
                  <c:v>25.1</c:v>
                </c:pt>
                <c:pt idx="2377">
                  <c:v>25.1</c:v>
                </c:pt>
                <c:pt idx="2378">
                  <c:v>25.1</c:v>
                </c:pt>
                <c:pt idx="2379">
                  <c:v>25.1</c:v>
                </c:pt>
                <c:pt idx="2380">
                  <c:v>25.1</c:v>
                </c:pt>
                <c:pt idx="2381">
                  <c:v>25.1</c:v>
                </c:pt>
                <c:pt idx="2382">
                  <c:v>25.1</c:v>
                </c:pt>
                <c:pt idx="2383">
                  <c:v>25.1</c:v>
                </c:pt>
                <c:pt idx="2384">
                  <c:v>25.1</c:v>
                </c:pt>
                <c:pt idx="2385">
                  <c:v>25.1</c:v>
                </c:pt>
                <c:pt idx="2386">
                  <c:v>25.1</c:v>
                </c:pt>
                <c:pt idx="2387">
                  <c:v>25.1</c:v>
                </c:pt>
                <c:pt idx="2388">
                  <c:v>25.1</c:v>
                </c:pt>
                <c:pt idx="2389">
                  <c:v>25.1</c:v>
                </c:pt>
                <c:pt idx="2390">
                  <c:v>25.1</c:v>
                </c:pt>
                <c:pt idx="2391">
                  <c:v>25.1</c:v>
                </c:pt>
                <c:pt idx="2392">
                  <c:v>25.1</c:v>
                </c:pt>
                <c:pt idx="2393">
                  <c:v>25.1</c:v>
                </c:pt>
                <c:pt idx="2394">
                  <c:v>25.1</c:v>
                </c:pt>
                <c:pt idx="2395">
                  <c:v>25.1</c:v>
                </c:pt>
                <c:pt idx="2396">
                  <c:v>25.1</c:v>
                </c:pt>
                <c:pt idx="2397">
                  <c:v>25.1</c:v>
                </c:pt>
                <c:pt idx="2398">
                  <c:v>25.1</c:v>
                </c:pt>
                <c:pt idx="2399">
                  <c:v>25.1</c:v>
                </c:pt>
                <c:pt idx="2400">
                  <c:v>25.1</c:v>
                </c:pt>
                <c:pt idx="2401">
                  <c:v>25.1</c:v>
                </c:pt>
                <c:pt idx="2402">
                  <c:v>25.1</c:v>
                </c:pt>
                <c:pt idx="2403">
                  <c:v>25.1</c:v>
                </c:pt>
                <c:pt idx="2404">
                  <c:v>25.1</c:v>
                </c:pt>
                <c:pt idx="2405">
                  <c:v>25.1</c:v>
                </c:pt>
                <c:pt idx="2406">
                  <c:v>25.1</c:v>
                </c:pt>
                <c:pt idx="2407">
                  <c:v>25.1</c:v>
                </c:pt>
                <c:pt idx="2408">
                  <c:v>25.1</c:v>
                </c:pt>
                <c:pt idx="2409">
                  <c:v>25.1</c:v>
                </c:pt>
                <c:pt idx="2410">
                  <c:v>25.1</c:v>
                </c:pt>
                <c:pt idx="2411">
                  <c:v>25.1</c:v>
                </c:pt>
                <c:pt idx="2412">
                  <c:v>25.1</c:v>
                </c:pt>
                <c:pt idx="2413">
                  <c:v>25.1</c:v>
                </c:pt>
                <c:pt idx="2414">
                  <c:v>25.1</c:v>
                </c:pt>
                <c:pt idx="2415">
                  <c:v>25.1</c:v>
                </c:pt>
                <c:pt idx="2416">
                  <c:v>25.1</c:v>
                </c:pt>
                <c:pt idx="2417">
                  <c:v>25.1</c:v>
                </c:pt>
                <c:pt idx="2418">
                  <c:v>25.1</c:v>
                </c:pt>
                <c:pt idx="2419">
                  <c:v>25.1</c:v>
                </c:pt>
                <c:pt idx="2420">
                  <c:v>25.1</c:v>
                </c:pt>
                <c:pt idx="2421">
                  <c:v>25.1</c:v>
                </c:pt>
                <c:pt idx="2422">
                  <c:v>25.1</c:v>
                </c:pt>
                <c:pt idx="2423">
                  <c:v>25.1</c:v>
                </c:pt>
                <c:pt idx="2424">
                  <c:v>25.1</c:v>
                </c:pt>
                <c:pt idx="2425">
                  <c:v>25.1</c:v>
                </c:pt>
                <c:pt idx="2426">
                  <c:v>25.1</c:v>
                </c:pt>
                <c:pt idx="2427">
                  <c:v>25.1</c:v>
                </c:pt>
                <c:pt idx="2428">
                  <c:v>25.1</c:v>
                </c:pt>
                <c:pt idx="2429">
                  <c:v>25.1</c:v>
                </c:pt>
                <c:pt idx="2430">
                  <c:v>25.1</c:v>
                </c:pt>
                <c:pt idx="2431">
                  <c:v>25.1</c:v>
                </c:pt>
                <c:pt idx="2432">
                  <c:v>25.1</c:v>
                </c:pt>
                <c:pt idx="2433">
                  <c:v>25.1</c:v>
                </c:pt>
                <c:pt idx="2434">
                  <c:v>25.1</c:v>
                </c:pt>
                <c:pt idx="2435">
                  <c:v>25.1</c:v>
                </c:pt>
                <c:pt idx="2436">
                  <c:v>25.1</c:v>
                </c:pt>
                <c:pt idx="2437">
                  <c:v>25.1</c:v>
                </c:pt>
                <c:pt idx="2438">
                  <c:v>25.1</c:v>
                </c:pt>
                <c:pt idx="2439">
                  <c:v>25.1</c:v>
                </c:pt>
                <c:pt idx="2440">
                  <c:v>25.1</c:v>
                </c:pt>
                <c:pt idx="2441">
                  <c:v>25.1</c:v>
                </c:pt>
                <c:pt idx="2442">
                  <c:v>25.1</c:v>
                </c:pt>
                <c:pt idx="2443">
                  <c:v>25.1</c:v>
                </c:pt>
                <c:pt idx="2444">
                  <c:v>25.1</c:v>
                </c:pt>
                <c:pt idx="2445">
                  <c:v>25.1</c:v>
                </c:pt>
                <c:pt idx="2446">
                  <c:v>25.1</c:v>
                </c:pt>
                <c:pt idx="2447">
                  <c:v>25.1</c:v>
                </c:pt>
                <c:pt idx="2448">
                  <c:v>25.1</c:v>
                </c:pt>
                <c:pt idx="2449">
                  <c:v>25.1</c:v>
                </c:pt>
                <c:pt idx="2450">
                  <c:v>25.1</c:v>
                </c:pt>
                <c:pt idx="2451">
                  <c:v>25.1</c:v>
                </c:pt>
                <c:pt idx="2452">
                  <c:v>25.1</c:v>
                </c:pt>
                <c:pt idx="2453">
                  <c:v>25.1</c:v>
                </c:pt>
                <c:pt idx="2454">
                  <c:v>25.1</c:v>
                </c:pt>
                <c:pt idx="2455">
                  <c:v>21.1</c:v>
                </c:pt>
                <c:pt idx="2456">
                  <c:v>21.1</c:v>
                </c:pt>
                <c:pt idx="2457">
                  <c:v>21.1</c:v>
                </c:pt>
                <c:pt idx="2458">
                  <c:v>21.1</c:v>
                </c:pt>
              </c:numCache>
            </c:numRef>
          </c:xVal>
          <c:yVal>
            <c:numRef>
              <c:f>[0]!BE</c:f>
              <c:numCache>
                <c:formatCode>0.00</c:formatCode>
                <c:ptCount val="24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13.9</c:v>
                </c:pt>
                <c:pt idx="1359">
                  <c:v>15.7</c:v>
                </c:pt>
                <c:pt idx="1360">
                  <c:v>13.4</c:v>
                </c:pt>
                <c:pt idx="1361">
                  <c:v>15</c:v>
                </c:pt>
                <c:pt idx="1362">
                  <c:v>15.7</c:v>
                </c:pt>
                <c:pt idx="1363">
                  <c:v>15.5</c:v>
                </c:pt>
                <c:pt idx="1364">
                  <c:v>14.8</c:v>
                </c:pt>
                <c:pt idx="1365">
                  <c:v>15.3</c:v>
                </c:pt>
                <c:pt idx="1366">
                  <c:v>13.4</c:v>
                </c:pt>
                <c:pt idx="1367">
                  <c:v>14.6</c:v>
                </c:pt>
                <c:pt idx="1368">
                  <c:v>16.2</c:v>
                </c:pt>
                <c:pt idx="1369">
                  <c:v>13.9</c:v>
                </c:pt>
                <c:pt idx="1370">
                  <c:v>15.4</c:v>
                </c:pt>
                <c:pt idx="1371">
                  <c:v>17</c:v>
                </c:pt>
                <c:pt idx="1372">
                  <c:v>14.8</c:v>
                </c:pt>
                <c:pt idx="1373">
                  <c:v>38.5</c:v>
                </c:pt>
                <c:pt idx="1374">
                  <c:v>38.6</c:v>
                </c:pt>
                <c:pt idx="1375">
                  <c:v>34.4</c:v>
                </c:pt>
                <c:pt idx="1376">
                  <c:v>39</c:v>
                </c:pt>
                <c:pt idx="1377">
                  <c:v>37.299999999999997</c:v>
                </c:pt>
                <c:pt idx="1378">
                  <c:v>33.299999999999997</c:v>
                </c:pt>
                <c:pt idx="1379">
                  <c:v>33.9</c:v>
                </c:pt>
                <c:pt idx="1380">
                  <c:v>34.6</c:v>
                </c:pt>
                <c:pt idx="1381">
                  <c:v>33</c:v>
                </c:pt>
                <c:pt idx="1382">
                  <c:v>35.200000000000003</c:v>
                </c:pt>
                <c:pt idx="1383">
                  <c:v>36.4</c:v>
                </c:pt>
                <c:pt idx="1384">
                  <c:v>33.299999999999997</c:v>
                </c:pt>
                <c:pt idx="1385">
                  <c:v>35.4</c:v>
                </c:pt>
                <c:pt idx="1386">
                  <c:v>34.299999999999997</c:v>
                </c:pt>
                <c:pt idx="1387">
                  <c:v>34.200000000000003</c:v>
                </c:pt>
                <c:pt idx="1388">
                  <c:v>32</c:v>
                </c:pt>
                <c:pt idx="1389">
                  <c:v>36</c:v>
                </c:pt>
                <c:pt idx="1390">
                  <c:v>38</c:v>
                </c:pt>
                <c:pt idx="1391">
                  <c:v>57.2</c:v>
                </c:pt>
                <c:pt idx="1392">
                  <c:v>55.7</c:v>
                </c:pt>
                <c:pt idx="1393">
                  <c:v>56.8</c:v>
                </c:pt>
                <c:pt idx="1394">
                  <c:v>56.1</c:v>
                </c:pt>
                <c:pt idx="1395">
                  <c:v>59.4</c:v>
                </c:pt>
                <c:pt idx="1396">
                  <c:v>52.6</c:v>
                </c:pt>
                <c:pt idx="1397">
                  <c:v>54.9</c:v>
                </c:pt>
                <c:pt idx="1398">
                  <c:v>55.9</c:v>
                </c:pt>
                <c:pt idx="1399">
                  <c:v>57.1</c:v>
                </c:pt>
                <c:pt idx="1400">
                  <c:v>60.1</c:v>
                </c:pt>
                <c:pt idx="1401">
                  <c:v>55.8</c:v>
                </c:pt>
                <c:pt idx="1402">
                  <c:v>55.3</c:v>
                </c:pt>
                <c:pt idx="1403">
                  <c:v>56.7</c:v>
                </c:pt>
                <c:pt idx="1404">
                  <c:v>59.7</c:v>
                </c:pt>
                <c:pt idx="1405">
                  <c:v>55.3</c:v>
                </c:pt>
                <c:pt idx="1406">
                  <c:v>57.5</c:v>
                </c:pt>
                <c:pt idx="1407">
                  <c:v>0</c:v>
                </c:pt>
                <c:pt idx="1408">
                  <c:v>14.9</c:v>
                </c:pt>
                <c:pt idx="1409">
                  <c:v>15</c:v>
                </c:pt>
                <c:pt idx="1410">
                  <c:v>15.3</c:v>
                </c:pt>
                <c:pt idx="1411">
                  <c:v>16</c:v>
                </c:pt>
                <c:pt idx="1412">
                  <c:v>14.9</c:v>
                </c:pt>
                <c:pt idx="1413">
                  <c:v>15</c:v>
                </c:pt>
                <c:pt idx="1414">
                  <c:v>14.8</c:v>
                </c:pt>
                <c:pt idx="1415">
                  <c:v>16.3</c:v>
                </c:pt>
                <c:pt idx="1416">
                  <c:v>14.4</c:v>
                </c:pt>
                <c:pt idx="1417">
                  <c:v>14.8</c:v>
                </c:pt>
                <c:pt idx="1418">
                  <c:v>15.9</c:v>
                </c:pt>
                <c:pt idx="1419">
                  <c:v>16.5</c:v>
                </c:pt>
                <c:pt idx="1420">
                  <c:v>15</c:v>
                </c:pt>
                <c:pt idx="1421">
                  <c:v>35</c:v>
                </c:pt>
                <c:pt idx="1422">
                  <c:v>35.1</c:v>
                </c:pt>
                <c:pt idx="1423">
                  <c:v>37.700000000000003</c:v>
                </c:pt>
                <c:pt idx="1424">
                  <c:v>35</c:v>
                </c:pt>
                <c:pt idx="1425">
                  <c:v>35.200000000000003</c:v>
                </c:pt>
                <c:pt idx="1426">
                  <c:v>33.1</c:v>
                </c:pt>
                <c:pt idx="1427">
                  <c:v>35</c:v>
                </c:pt>
                <c:pt idx="1428">
                  <c:v>35.299999999999997</c:v>
                </c:pt>
                <c:pt idx="1429">
                  <c:v>32.4</c:v>
                </c:pt>
                <c:pt idx="1430">
                  <c:v>35.6</c:v>
                </c:pt>
                <c:pt idx="1431">
                  <c:v>34.5</c:v>
                </c:pt>
                <c:pt idx="1432">
                  <c:v>36.4</c:v>
                </c:pt>
                <c:pt idx="1433">
                  <c:v>33.5</c:v>
                </c:pt>
                <c:pt idx="1434">
                  <c:v>36.5</c:v>
                </c:pt>
                <c:pt idx="1435">
                  <c:v>36.1</c:v>
                </c:pt>
                <c:pt idx="1436">
                  <c:v>33.799999999999997</c:v>
                </c:pt>
                <c:pt idx="1437">
                  <c:v>55.4</c:v>
                </c:pt>
                <c:pt idx="1438">
                  <c:v>59.6</c:v>
                </c:pt>
                <c:pt idx="1439">
                  <c:v>60.6</c:v>
                </c:pt>
                <c:pt idx="1440">
                  <c:v>55.6</c:v>
                </c:pt>
                <c:pt idx="1441">
                  <c:v>58.6</c:v>
                </c:pt>
                <c:pt idx="1442">
                  <c:v>57.9</c:v>
                </c:pt>
                <c:pt idx="1443">
                  <c:v>55.6</c:v>
                </c:pt>
                <c:pt idx="1444">
                  <c:v>56.1</c:v>
                </c:pt>
                <c:pt idx="1445">
                  <c:v>55.5</c:v>
                </c:pt>
                <c:pt idx="1446">
                  <c:v>56.2</c:v>
                </c:pt>
                <c:pt idx="1447">
                  <c:v>51.6</c:v>
                </c:pt>
                <c:pt idx="1448">
                  <c:v>59.4</c:v>
                </c:pt>
                <c:pt idx="1449">
                  <c:v>58.6</c:v>
                </c:pt>
                <c:pt idx="1450">
                  <c:v>55.1</c:v>
                </c:pt>
                <c:pt idx="1451">
                  <c:v>57.3</c:v>
                </c:pt>
                <c:pt idx="1452">
                  <c:v>59.8</c:v>
                </c:pt>
                <c:pt idx="1453">
                  <c:v>57.7</c:v>
                </c:pt>
                <c:pt idx="1454">
                  <c:v>56.4</c:v>
                </c:pt>
                <c:pt idx="1455">
                  <c:v>0</c:v>
                </c:pt>
                <c:pt idx="1456">
                  <c:v>0</c:v>
                </c:pt>
                <c:pt idx="1457">
                  <c:v>14.8</c:v>
                </c:pt>
                <c:pt idx="1458">
                  <c:v>14</c:v>
                </c:pt>
                <c:pt idx="1459">
                  <c:v>15</c:v>
                </c:pt>
                <c:pt idx="1460">
                  <c:v>15</c:v>
                </c:pt>
                <c:pt idx="1461">
                  <c:v>13.6</c:v>
                </c:pt>
                <c:pt idx="1462">
                  <c:v>14.2</c:v>
                </c:pt>
                <c:pt idx="1463">
                  <c:v>16.2</c:v>
                </c:pt>
                <c:pt idx="1464">
                  <c:v>17.5</c:v>
                </c:pt>
                <c:pt idx="1465">
                  <c:v>15.2</c:v>
                </c:pt>
                <c:pt idx="1466">
                  <c:v>15.3</c:v>
                </c:pt>
                <c:pt idx="1467">
                  <c:v>13.6</c:v>
                </c:pt>
                <c:pt idx="1468">
                  <c:v>14.9</c:v>
                </c:pt>
                <c:pt idx="1469">
                  <c:v>15.4</c:v>
                </c:pt>
                <c:pt idx="1470">
                  <c:v>15.4</c:v>
                </c:pt>
                <c:pt idx="1471">
                  <c:v>34.6</c:v>
                </c:pt>
                <c:pt idx="1472">
                  <c:v>36.9</c:v>
                </c:pt>
                <c:pt idx="1473">
                  <c:v>37.1</c:v>
                </c:pt>
                <c:pt idx="1474">
                  <c:v>33.799999999999997</c:v>
                </c:pt>
                <c:pt idx="1475">
                  <c:v>35.200000000000003</c:v>
                </c:pt>
                <c:pt idx="1476">
                  <c:v>32</c:v>
                </c:pt>
                <c:pt idx="1477">
                  <c:v>35.1</c:v>
                </c:pt>
                <c:pt idx="1478">
                  <c:v>35.799999999999997</c:v>
                </c:pt>
                <c:pt idx="1479">
                  <c:v>32.4</c:v>
                </c:pt>
                <c:pt idx="1480">
                  <c:v>35.799999999999997</c:v>
                </c:pt>
                <c:pt idx="1481">
                  <c:v>33.9</c:v>
                </c:pt>
                <c:pt idx="1482">
                  <c:v>35</c:v>
                </c:pt>
                <c:pt idx="1483">
                  <c:v>35.200000000000003</c:v>
                </c:pt>
                <c:pt idx="1484">
                  <c:v>34.6</c:v>
                </c:pt>
                <c:pt idx="1485">
                  <c:v>61.3</c:v>
                </c:pt>
                <c:pt idx="1486">
                  <c:v>55.5</c:v>
                </c:pt>
                <c:pt idx="1487">
                  <c:v>59.2</c:v>
                </c:pt>
                <c:pt idx="1488">
                  <c:v>57.8</c:v>
                </c:pt>
                <c:pt idx="1489">
                  <c:v>55.1</c:v>
                </c:pt>
                <c:pt idx="1490">
                  <c:v>55.8</c:v>
                </c:pt>
                <c:pt idx="1491">
                  <c:v>60.3</c:v>
                </c:pt>
                <c:pt idx="1492">
                  <c:v>56.1</c:v>
                </c:pt>
                <c:pt idx="1493">
                  <c:v>55.3</c:v>
                </c:pt>
                <c:pt idx="1494">
                  <c:v>56.2</c:v>
                </c:pt>
                <c:pt idx="1495">
                  <c:v>55.8</c:v>
                </c:pt>
                <c:pt idx="1496">
                  <c:v>56.6</c:v>
                </c:pt>
                <c:pt idx="1497">
                  <c:v>57.9</c:v>
                </c:pt>
                <c:pt idx="1498">
                  <c:v>55.3</c:v>
                </c:pt>
                <c:pt idx="1499">
                  <c:v>0</c:v>
                </c:pt>
                <c:pt idx="1500">
                  <c:v>0.2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14.9</c:v>
                </c:pt>
                <c:pt idx="1505">
                  <c:v>14.5</c:v>
                </c:pt>
                <c:pt idx="1506">
                  <c:v>14.9</c:v>
                </c:pt>
                <c:pt idx="1507">
                  <c:v>15.6</c:v>
                </c:pt>
                <c:pt idx="1508">
                  <c:v>15.2</c:v>
                </c:pt>
                <c:pt idx="1509">
                  <c:v>13.9</c:v>
                </c:pt>
                <c:pt idx="1510">
                  <c:v>14.8</c:v>
                </c:pt>
                <c:pt idx="1511">
                  <c:v>14.2</c:v>
                </c:pt>
                <c:pt idx="1512">
                  <c:v>13.7</c:v>
                </c:pt>
                <c:pt idx="1513">
                  <c:v>15.6</c:v>
                </c:pt>
                <c:pt idx="1514">
                  <c:v>14.3</c:v>
                </c:pt>
                <c:pt idx="1515">
                  <c:v>14</c:v>
                </c:pt>
                <c:pt idx="1516">
                  <c:v>15.8</c:v>
                </c:pt>
                <c:pt idx="1517">
                  <c:v>14.9</c:v>
                </c:pt>
                <c:pt idx="1518">
                  <c:v>15.8</c:v>
                </c:pt>
                <c:pt idx="1519">
                  <c:v>15.6</c:v>
                </c:pt>
                <c:pt idx="1520">
                  <c:v>38.1</c:v>
                </c:pt>
                <c:pt idx="1521">
                  <c:v>38</c:v>
                </c:pt>
                <c:pt idx="1522">
                  <c:v>38.1</c:v>
                </c:pt>
                <c:pt idx="1523">
                  <c:v>37.799999999999997</c:v>
                </c:pt>
                <c:pt idx="1524">
                  <c:v>33.299999999999997</c:v>
                </c:pt>
                <c:pt idx="1525">
                  <c:v>33.4</c:v>
                </c:pt>
                <c:pt idx="1526">
                  <c:v>35</c:v>
                </c:pt>
                <c:pt idx="1527">
                  <c:v>32.299999999999997</c:v>
                </c:pt>
                <c:pt idx="1528">
                  <c:v>34</c:v>
                </c:pt>
                <c:pt idx="1529">
                  <c:v>34.6</c:v>
                </c:pt>
                <c:pt idx="1530">
                  <c:v>33.6</c:v>
                </c:pt>
                <c:pt idx="1531">
                  <c:v>34.9</c:v>
                </c:pt>
                <c:pt idx="1532">
                  <c:v>35.5</c:v>
                </c:pt>
                <c:pt idx="1533">
                  <c:v>32.299999999999997</c:v>
                </c:pt>
                <c:pt idx="1534">
                  <c:v>33.1</c:v>
                </c:pt>
                <c:pt idx="1535">
                  <c:v>31.8</c:v>
                </c:pt>
                <c:pt idx="1536">
                  <c:v>56.5</c:v>
                </c:pt>
                <c:pt idx="1537">
                  <c:v>63.7</c:v>
                </c:pt>
                <c:pt idx="1538">
                  <c:v>61.9</c:v>
                </c:pt>
                <c:pt idx="1539">
                  <c:v>55.4</c:v>
                </c:pt>
                <c:pt idx="1540">
                  <c:v>58.6</c:v>
                </c:pt>
                <c:pt idx="1541">
                  <c:v>55.9</c:v>
                </c:pt>
                <c:pt idx="1542">
                  <c:v>55.6</c:v>
                </c:pt>
                <c:pt idx="1543">
                  <c:v>56</c:v>
                </c:pt>
                <c:pt idx="1544">
                  <c:v>55.5</c:v>
                </c:pt>
                <c:pt idx="1545">
                  <c:v>57</c:v>
                </c:pt>
                <c:pt idx="1546">
                  <c:v>55.8</c:v>
                </c:pt>
                <c:pt idx="1547">
                  <c:v>59.3</c:v>
                </c:pt>
                <c:pt idx="1548">
                  <c:v>55.3</c:v>
                </c:pt>
                <c:pt idx="1549">
                  <c:v>55.7</c:v>
                </c:pt>
                <c:pt idx="1550">
                  <c:v>56.2</c:v>
                </c:pt>
                <c:pt idx="1551">
                  <c:v>55.8</c:v>
                </c:pt>
                <c:pt idx="1552">
                  <c:v>13.8</c:v>
                </c:pt>
                <c:pt idx="1553">
                  <c:v>15</c:v>
                </c:pt>
                <c:pt idx="1554">
                  <c:v>14.5</c:v>
                </c:pt>
                <c:pt idx="1555">
                  <c:v>14.4</c:v>
                </c:pt>
                <c:pt idx="1556">
                  <c:v>13.4</c:v>
                </c:pt>
                <c:pt idx="1557">
                  <c:v>14.6</c:v>
                </c:pt>
                <c:pt idx="1558">
                  <c:v>34.5</c:v>
                </c:pt>
                <c:pt idx="1559">
                  <c:v>37.799999999999997</c:v>
                </c:pt>
                <c:pt idx="1560">
                  <c:v>33.9</c:v>
                </c:pt>
                <c:pt idx="1561">
                  <c:v>35.6</c:v>
                </c:pt>
                <c:pt idx="1562">
                  <c:v>32.9</c:v>
                </c:pt>
                <c:pt idx="1563">
                  <c:v>33.4</c:v>
                </c:pt>
                <c:pt idx="1564">
                  <c:v>59.4</c:v>
                </c:pt>
                <c:pt idx="1565">
                  <c:v>56.1</c:v>
                </c:pt>
                <c:pt idx="1566">
                  <c:v>55.2</c:v>
                </c:pt>
                <c:pt idx="1567">
                  <c:v>54.8</c:v>
                </c:pt>
                <c:pt idx="1568">
                  <c:v>56.3</c:v>
                </c:pt>
                <c:pt idx="1569">
                  <c:v>59.9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16.8</c:v>
                </c:pt>
                <c:pt idx="1872">
                  <c:v>16.899999999999999</c:v>
                </c:pt>
                <c:pt idx="1873">
                  <c:v>14.1</c:v>
                </c:pt>
                <c:pt idx="1874">
                  <c:v>13.5</c:v>
                </c:pt>
                <c:pt idx="1875">
                  <c:v>14.6</c:v>
                </c:pt>
                <c:pt idx="1876">
                  <c:v>16.399999999999999</c:v>
                </c:pt>
                <c:pt idx="1877">
                  <c:v>16.8</c:v>
                </c:pt>
                <c:pt idx="1878">
                  <c:v>14.5</c:v>
                </c:pt>
                <c:pt idx="1879">
                  <c:v>14</c:v>
                </c:pt>
                <c:pt idx="1880">
                  <c:v>14.6</c:v>
                </c:pt>
                <c:pt idx="1881">
                  <c:v>13.5</c:v>
                </c:pt>
                <c:pt idx="1882">
                  <c:v>14.6</c:v>
                </c:pt>
                <c:pt idx="1883">
                  <c:v>16</c:v>
                </c:pt>
                <c:pt idx="1884">
                  <c:v>15.4</c:v>
                </c:pt>
                <c:pt idx="1885">
                  <c:v>14.8</c:v>
                </c:pt>
                <c:pt idx="1886">
                  <c:v>15.1</c:v>
                </c:pt>
                <c:pt idx="1887">
                  <c:v>15.4</c:v>
                </c:pt>
                <c:pt idx="1888">
                  <c:v>31.7</c:v>
                </c:pt>
                <c:pt idx="1889">
                  <c:v>31.6</c:v>
                </c:pt>
                <c:pt idx="1890">
                  <c:v>35.5</c:v>
                </c:pt>
                <c:pt idx="1891">
                  <c:v>34.9</c:v>
                </c:pt>
                <c:pt idx="1892">
                  <c:v>33.4</c:v>
                </c:pt>
                <c:pt idx="1893">
                  <c:v>36.4</c:v>
                </c:pt>
                <c:pt idx="1894">
                  <c:v>36.700000000000003</c:v>
                </c:pt>
                <c:pt idx="1895">
                  <c:v>32.9</c:v>
                </c:pt>
                <c:pt idx="1896">
                  <c:v>33.9</c:v>
                </c:pt>
                <c:pt idx="1897">
                  <c:v>37.1</c:v>
                </c:pt>
                <c:pt idx="1898">
                  <c:v>33.700000000000003</c:v>
                </c:pt>
                <c:pt idx="1899">
                  <c:v>36.6</c:v>
                </c:pt>
                <c:pt idx="1900">
                  <c:v>33.200000000000003</c:v>
                </c:pt>
                <c:pt idx="1901">
                  <c:v>36.299999999999997</c:v>
                </c:pt>
                <c:pt idx="1902">
                  <c:v>31.5</c:v>
                </c:pt>
                <c:pt idx="1903">
                  <c:v>32.5</c:v>
                </c:pt>
                <c:pt idx="1904">
                  <c:v>33.299999999999997</c:v>
                </c:pt>
                <c:pt idx="1905">
                  <c:v>35.700000000000003</c:v>
                </c:pt>
                <c:pt idx="1906">
                  <c:v>36.4</c:v>
                </c:pt>
                <c:pt idx="1907">
                  <c:v>39.1</c:v>
                </c:pt>
                <c:pt idx="1908">
                  <c:v>55.6</c:v>
                </c:pt>
                <c:pt idx="1909">
                  <c:v>61.9</c:v>
                </c:pt>
                <c:pt idx="1910">
                  <c:v>56.8</c:v>
                </c:pt>
                <c:pt idx="1911">
                  <c:v>62.3</c:v>
                </c:pt>
                <c:pt idx="1912">
                  <c:v>54.1</c:v>
                </c:pt>
                <c:pt idx="1913">
                  <c:v>55.2</c:v>
                </c:pt>
                <c:pt idx="1914">
                  <c:v>54.3</c:v>
                </c:pt>
                <c:pt idx="1915">
                  <c:v>55.9</c:v>
                </c:pt>
                <c:pt idx="1916">
                  <c:v>58.4</c:v>
                </c:pt>
                <c:pt idx="1917">
                  <c:v>57.6</c:v>
                </c:pt>
                <c:pt idx="1918">
                  <c:v>57.1</c:v>
                </c:pt>
                <c:pt idx="1919">
                  <c:v>55.8</c:v>
                </c:pt>
                <c:pt idx="1920">
                  <c:v>57.1</c:v>
                </c:pt>
                <c:pt idx="1921">
                  <c:v>51.5</c:v>
                </c:pt>
                <c:pt idx="1922">
                  <c:v>56.1</c:v>
                </c:pt>
                <c:pt idx="1923">
                  <c:v>57.6</c:v>
                </c:pt>
                <c:pt idx="1924">
                  <c:v>55.2</c:v>
                </c:pt>
                <c:pt idx="1925">
                  <c:v>57.5</c:v>
                </c:pt>
                <c:pt idx="1926">
                  <c:v>55.7</c:v>
                </c:pt>
                <c:pt idx="1927">
                  <c:v>59.4</c:v>
                </c:pt>
                <c:pt idx="1928">
                  <c:v>56.3</c:v>
                </c:pt>
                <c:pt idx="1929">
                  <c:v>61.7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15.8</c:v>
                </c:pt>
                <c:pt idx="1940">
                  <c:v>14.5</c:v>
                </c:pt>
                <c:pt idx="1941">
                  <c:v>13</c:v>
                </c:pt>
                <c:pt idx="1942">
                  <c:v>14.6</c:v>
                </c:pt>
                <c:pt idx="1943">
                  <c:v>0</c:v>
                </c:pt>
                <c:pt idx="1944">
                  <c:v>0</c:v>
                </c:pt>
                <c:pt idx="1945">
                  <c:v>15.9</c:v>
                </c:pt>
                <c:pt idx="1946">
                  <c:v>0</c:v>
                </c:pt>
                <c:pt idx="1947">
                  <c:v>0</c:v>
                </c:pt>
                <c:pt idx="1948">
                  <c:v>14.6</c:v>
                </c:pt>
                <c:pt idx="1949">
                  <c:v>13.6</c:v>
                </c:pt>
                <c:pt idx="1950">
                  <c:v>15.3</c:v>
                </c:pt>
                <c:pt idx="1951">
                  <c:v>16.600000000000001</c:v>
                </c:pt>
                <c:pt idx="1952">
                  <c:v>13.6</c:v>
                </c:pt>
                <c:pt idx="1953">
                  <c:v>0</c:v>
                </c:pt>
                <c:pt idx="1954">
                  <c:v>15.3</c:v>
                </c:pt>
                <c:pt idx="1955">
                  <c:v>14.5</c:v>
                </c:pt>
                <c:pt idx="1956">
                  <c:v>0</c:v>
                </c:pt>
                <c:pt idx="1957">
                  <c:v>0</c:v>
                </c:pt>
                <c:pt idx="1958">
                  <c:v>16.7</c:v>
                </c:pt>
                <c:pt idx="1959">
                  <c:v>34</c:v>
                </c:pt>
                <c:pt idx="1960">
                  <c:v>35.6</c:v>
                </c:pt>
                <c:pt idx="1961">
                  <c:v>37.200000000000003</c:v>
                </c:pt>
                <c:pt idx="1962">
                  <c:v>33.5</c:v>
                </c:pt>
                <c:pt idx="1963">
                  <c:v>36</c:v>
                </c:pt>
                <c:pt idx="1964">
                  <c:v>34.6</c:v>
                </c:pt>
                <c:pt idx="1965">
                  <c:v>0</c:v>
                </c:pt>
                <c:pt idx="1966">
                  <c:v>33.4</c:v>
                </c:pt>
                <c:pt idx="1967">
                  <c:v>0</c:v>
                </c:pt>
                <c:pt idx="1968">
                  <c:v>31.5</c:v>
                </c:pt>
                <c:pt idx="1969">
                  <c:v>0</c:v>
                </c:pt>
                <c:pt idx="1970">
                  <c:v>33</c:v>
                </c:pt>
                <c:pt idx="1971">
                  <c:v>34.700000000000003</c:v>
                </c:pt>
                <c:pt idx="1972">
                  <c:v>33</c:v>
                </c:pt>
                <c:pt idx="1973">
                  <c:v>0</c:v>
                </c:pt>
                <c:pt idx="1974">
                  <c:v>32.700000000000003</c:v>
                </c:pt>
                <c:pt idx="1975">
                  <c:v>0</c:v>
                </c:pt>
                <c:pt idx="1976">
                  <c:v>35.6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59.3</c:v>
                </c:pt>
                <c:pt idx="1985">
                  <c:v>57.2</c:v>
                </c:pt>
                <c:pt idx="1986">
                  <c:v>55.3</c:v>
                </c:pt>
                <c:pt idx="1987">
                  <c:v>57</c:v>
                </c:pt>
                <c:pt idx="1988">
                  <c:v>59.1</c:v>
                </c:pt>
                <c:pt idx="1989">
                  <c:v>50.2</c:v>
                </c:pt>
                <c:pt idx="1990">
                  <c:v>56.4</c:v>
                </c:pt>
                <c:pt idx="1991">
                  <c:v>55.9</c:v>
                </c:pt>
                <c:pt idx="1992">
                  <c:v>48.6</c:v>
                </c:pt>
                <c:pt idx="1993">
                  <c:v>50.7</c:v>
                </c:pt>
                <c:pt idx="1994">
                  <c:v>56.3</c:v>
                </c:pt>
                <c:pt idx="1995">
                  <c:v>56.9</c:v>
                </c:pt>
                <c:pt idx="1996">
                  <c:v>55.4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16.100000000000001</c:v>
                </c:pt>
                <c:pt idx="2008">
                  <c:v>14.9</c:v>
                </c:pt>
                <c:pt idx="2009">
                  <c:v>15.5</c:v>
                </c:pt>
                <c:pt idx="2010">
                  <c:v>14.2</c:v>
                </c:pt>
                <c:pt idx="2011">
                  <c:v>15.4</c:v>
                </c:pt>
                <c:pt idx="2012">
                  <c:v>13.9</c:v>
                </c:pt>
                <c:pt idx="2013">
                  <c:v>12.8</c:v>
                </c:pt>
                <c:pt idx="2014">
                  <c:v>13.8</c:v>
                </c:pt>
                <c:pt idx="2015">
                  <c:v>13.6</c:v>
                </c:pt>
                <c:pt idx="2016">
                  <c:v>13.5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15.6</c:v>
                </c:pt>
                <c:pt idx="2023">
                  <c:v>15.2</c:v>
                </c:pt>
                <c:pt idx="2024">
                  <c:v>14.8</c:v>
                </c:pt>
                <c:pt idx="2025">
                  <c:v>14.2</c:v>
                </c:pt>
                <c:pt idx="2026">
                  <c:v>0</c:v>
                </c:pt>
                <c:pt idx="2027">
                  <c:v>33.799999999999997</c:v>
                </c:pt>
                <c:pt idx="2028">
                  <c:v>32.6</c:v>
                </c:pt>
                <c:pt idx="2029">
                  <c:v>31.5</c:v>
                </c:pt>
                <c:pt idx="2030">
                  <c:v>34</c:v>
                </c:pt>
                <c:pt idx="2031">
                  <c:v>35.700000000000003</c:v>
                </c:pt>
                <c:pt idx="2032">
                  <c:v>35</c:v>
                </c:pt>
                <c:pt idx="2033">
                  <c:v>31.4</c:v>
                </c:pt>
                <c:pt idx="2034">
                  <c:v>30.5</c:v>
                </c:pt>
                <c:pt idx="2035">
                  <c:v>33.700000000000003</c:v>
                </c:pt>
                <c:pt idx="2036">
                  <c:v>31.5</c:v>
                </c:pt>
                <c:pt idx="2037">
                  <c:v>33.200000000000003</c:v>
                </c:pt>
                <c:pt idx="2038">
                  <c:v>32.200000000000003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32.5</c:v>
                </c:pt>
                <c:pt idx="2046">
                  <c:v>34.200000000000003</c:v>
                </c:pt>
                <c:pt idx="2047">
                  <c:v>33.4</c:v>
                </c:pt>
                <c:pt idx="2048">
                  <c:v>55.8</c:v>
                </c:pt>
                <c:pt idx="2049">
                  <c:v>56.4</c:v>
                </c:pt>
                <c:pt idx="2050">
                  <c:v>56.8</c:v>
                </c:pt>
                <c:pt idx="2051">
                  <c:v>61.3</c:v>
                </c:pt>
                <c:pt idx="2052">
                  <c:v>60.3</c:v>
                </c:pt>
                <c:pt idx="2053">
                  <c:v>59.1</c:v>
                </c:pt>
                <c:pt idx="2054">
                  <c:v>57</c:v>
                </c:pt>
                <c:pt idx="2055">
                  <c:v>53.8</c:v>
                </c:pt>
                <c:pt idx="2056">
                  <c:v>57.9</c:v>
                </c:pt>
                <c:pt idx="2057">
                  <c:v>0</c:v>
                </c:pt>
                <c:pt idx="2058">
                  <c:v>55.9</c:v>
                </c:pt>
                <c:pt idx="2059">
                  <c:v>56.7</c:v>
                </c:pt>
                <c:pt idx="2060">
                  <c:v>59.1</c:v>
                </c:pt>
                <c:pt idx="2061">
                  <c:v>56.5</c:v>
                </c:pt>
                <c:pt idx="2062">
                  <c:v>57.6</c:v>
                </c:pt>
                <c:pt idx="2063">
                  <c:v>57.1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16.2</c:v>
                </c:pt>
                <c:pt idx="2075">
                  <c:v>16</c:v>
                </c:pt>
                <c:pt idx="2076">
                  <c:v>16.899999999999999</c:v>
                </c:pt>
                <c:pt idx="2077">
                  <c:v>16.7</c:v>
                </c:pt>
                <c:pt idx="2078">
                  <c:v>14.2</c:v>
                </c:pt>
                <c:pt idx="2079">
                  <c:v>13.4</c:v>
                </c:pt>
                <c:pt idx="2080">
                  <c:v>13.6</c:v>
                </c:pt>
                <c:pt idx="2081">
                  <c:v>14.5</c:v>
                </c:pt>
                <c:pt idx="2082">
                  <c:v>15.6</c:v>
                </c:pt>
                <c:pt idx="2083">
                  <c:v>14</c:v>
                </c:pt>
                <c:pt idx="2084">
                  <c:v>14.6</c:v>
                </c:pt>
                <c:pt idx="2085">
                  <c:v>16.7</c:v>
                </c:pt>
                <c:pt idx="2086">
                  <c:v>14.2</c:v>
                </c:pt>
                <c:pt idx="2087">
                  <c:v>15.4</c:v>
                </c:pt>
                <c:pt idx="2088">
                  <c:v>33.4</c:v>
                </c:pt>
                <c:pt idx="2089">
                  <c:v>32.9</c:v>
                </c:pt>
                <c:pt idx="2090">
                  <c:v>37.299999999999997</c:v>
                </c:pt>
                <c:pt idx="2091">
                  <c:v>35.799999999999997</c:v>
                </c:pt>
                <c:pt idx="2092">
                  <c:v>34.9</c:v>
                </c:pt>
                <c:pt idx="2093">
                  <c:v>34.700000000000003</c:v>
                </c:pt>
                <c:pt idx="2094">
                  <c:v>35.5</c:v>
                </c:pt>
                <c:pt idx="2095">
                  <c:v>33.6</c:v>
                </c:pt>
                <c:pt idx="2096">
                  <c:v>34.4</c:v>
                </c:pt>
                <c:pt idx="2097">
                  <c:v>35.9</c:v>
                </c:pt>
                <c:pt idx="2098">
                  <c:v>35.200000000000003</c:v>
                </c:pt>
                <c:pt idx="2099">
                  <c:v>34.9</c:v>
                </c:pt>
                <c:pt idx="2100">
                  <c:v>38.4</c:v>
                </c:pt>
                <c:pt idx="2101">
                  <c:v>35.6</c:v>
                </c:pt>
                <c:pt idx="2102">
                  <c:v>60.8</c:v>
                </c:pt>
                <c:pt idx="2103">
                  <c:v>55.5</c:v>
                </c:pt>
                <c:pt idx="2104">
                  <c:v>59.3</c:v>
                </c:pt>
                <c:pt idx="2105">
                  <c:v>60.9</c:v>
                </c:pt>
                <c:pt idx="2106">
                  <c:v>57.3</c:v>
                </c:pt>
                <c:pt idx="2107">
                  <c:v>53.7</c:v>
                </c:pt>
                <c:pt idx="2108">
                  <c:v>54</c:v>
                </c:pt>
                <c:pt idx="2109">
                  <c:v>55.9</c:v>
                </c:pt>
                <c:pt idx="2110">
                  <c:v>55.8</c:v>
                </c:pt>
                <c:pt idx="2111">
                  <c:v>56.2</c:v>
                </c:pt>
                <c:pt idx="2112">
                  <c:v>53.8</c:v>
                </c:pt>
                <c:pt idx="2113">
                  <c:v>55.4</c:v>
                </c:pt>
                <c:pt idx="2114">
                  <c:v>56.8</c:v>
                </c:pt>
                <c:pt idx="2115">
                  <c:v>55.6</c:v>
                </c:pt>
                <c:pt idx="2116">
                  <c:v>62.5</c:v>
                </c:pt>
                <c:pt idx="2117">
                  <c:v>57.9</c:v>
                </c:pt>
                <c:pt idx="2118">
                  <c:v>55.8</c:v>
                </c:pt>
                <c:pt idx="2119">
                  <c:v>60.8</c:v>
                </c:pt>
                <c:pt idx="2120">
                  <c:v>13.6</c:v>
                </c:pt>
                <c:pt idx="2121">
                  <c:v>15.2</c:v>
                </c:pt>
                <c:pt idx="2122">
                  <c:v>13.6</c:v>
                </c:pt>
                <c:pt idx="2123">
                  <c:v>13.4</c:v>
                </c:pt>
                <c:pt idx="2124">
                  <c:v>12.8</c:v>
                </c:pt>
                <c:pt idx="2125">
                  <c:v>14.7</c:v>
                </c:pt>
                <c:pt idx="2126">
                  <c:v>32.799999999999997</c:v>
                </c:pt>
                <c:pt idx="2127">
                  <c:v>33</c:v>
                </c:pt>
                <c:pt idx="2128">
                  <c:v>33</c:v>
                </c:pt>
                <c:pt idx="2129">
                  <c:v>33</c:v>
                </c:pt>
                <c:pt idx="2130">
                  <c:v>33.200000000000003</c:v>
                </c:pt>
                <c:pt idx="2131">
                  <c:v>35.6</c:v>
                </c:pt>
                <c:pt idx="2132">
                  <c:v>55.9</c:v>
                </c:pt>
                <c:pt idx="2133">
                  <c:v>55.4</c:v>
                </c:pt>
                <c:pt idx="2134">
                  <c:v>60</c:v>
                </c:pt>
                <c:pt idx="2135">
                  <c:v>53.4</c:v>
                </c:pt>
                <c:pt idx="2136">
                  <c:v>57.5</c:v>
                </c:pt>
                <c:pt idx="2137">
                  <c:v>59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16.600000000000001</c:v>
                </c:pt>
                <c:pt idx="2142">
                  <c:v>17.7</c:v>
                </c:pt>
                <c:pt idx="2143">
                  <c:v>15.8</c:v>
                </c:pt>
                <c:pt idx="2144">
                  <c:v>16.100000000000001</c:v>
                </c:pt>
                <c:pt idx="2145">
                  <c:v>14.8</c:v>
                </c:pt>
                <c:pt idx="2146">
                  <c:v>16.399999999999999</c:v>
                </c:pt>
                <c:pt idx="2147">
                  <c:v>16.899999999999999</c:v>
                </c:pt>
                <c:pt idx="2148">
                  <c:v>15.7</c:v>
                </c:pt>
                <c:pt idx="2149">
                  <c:v>16.2</c:v>
                </c:pt>
                <c:pt idx="2150">
                  <c:v>16.3</c:v>
                </c:pt>
                <c:pt idx="2151">
                  <c:v>18</c:v>
                </c:pt>
                <c:pt idx="2152">
                  <c:v>17</c:v>
                </c:pt>
                <c:pt idx="2153">
                  <c:v>15.5</c:v>
                </c:pt>
                <c:pt idx="2154">
                  <c:v>15.5</c:v>
                </c:pt>
                <c:pt idx="2155">
                  <c:v>14.4</c:v>
                </c:pt>
                <c:pt idx="2156">
                  <c:v>14.5</c:v>
                </c:pt>
                <c:pt idx="2157">
                  <c:v>17.600000000000001</c:v>
                </c:pt>
                <c:pt idx="2158">
                  <c:v>16</c:v>
                </c:pt>
                <c:pt idx="2159">
                  <c:v>15.9</c:v>
                </c:pt>
                <c:pt idx="2160">
                  <c:v>39</c:v>
                </c:pt>
                <c:pt idx="2161">
                  <c:v>39</c:v>
                </c:pt>
                <c:pt idx="2162">
                  <c:v>37.200000000000003</c:v>
                </c:pt>
                <c:pt idx="2163">
                  <c:v>37</c:v>
                </c:pt>
                <c:pt idx="2164">
                  <c:v>38.1</c:v>
                </c:pt>
                <c:pt idx="2165">
                  <c:v>47.2</c:v>
                </c:pt>
                <c:pt idx="2166">
                  <c:v>41.1</c:v>
                </c:pt>
                <c:pt idx="2167">
                  <c:v>38.700000000000003</c:v>
                </c:pt>
                <c:pt idx="2168">
                  <c:v>38.200000000000003</c:v>
                </c:pt>
                <c:pt idx="2169">
                  <c:v>37.299999999999997</c:v>
                </c:pt>
                <c:pt idx="2170">
                  <c:v>38.299999999999997</c:v>
                </c:pt>
                <c:pt idx="2171">
                  <c:v>38.6</c:v>
                </c:pt>
                <c:pt idx="2172">
                  <c:v>35.299999999999997</c:v>
                </c:pt>
                <c:pt idx="2173">
                  <c:v>40.6</c:v>
                </c:pt>
                <c:pt idx="2174">
                  <c:v>38.4</c:v>
                </c:pt>
                <c:pt idx="2175">
                  <c:v>35.700000000000003</c:v>
                </c:pt>
                <c:pt idx="2176">
                  <c:v>37.9</c:v>
                </c:pt>
                <c:pt idx="2177">
                  <c:v>38.4</c:v>
                </c:pt>
                <c:pt idx="2178">
                  <c:v>38.700000000000003</c:v>
                </c:pt>
                <c:pt idx="2179">
                  <c:v>38.799999999999997</c:v>
                </c:pt>
                <c:pt idx="2180">
                  <c:v>36.700000000000003</c:v>
                </c:pt>
                <c:pt idx="2181">
                  <c:v>38</c:v>
                </c:pt>
                <c:pt idx="2182">
                  <c:v>38.200000000000003</c:v>
                </c:pt>
                <c:pt idx="2183">
                  <c:v>59.2</c:v>
                </c:pt>
                <c:pt idx="2184">
                  <c:v>63.6</c:v>
                </c:pt>
                <c:pt idx="2185">
                  <c:v>63.3</c:v>
                </c:pt>
                <c:pt idx="2186">
                  <c:v>64.400000000000006</c:v>
                </c:pt>
                <c:pt idx="2187">
                  <c:v>64.5</c:v>
                </c:pt>
                <c:pt idx="2188">
                  <c:v>63.9</c:v>
                </c:pt>
                <c:pt idx="2189">
                  <c:v>62.3</c:v>
                </c:pt>
                <c:pt idx="2190">
                  <c:v>61.5</c:v>
                </c:pt>
                <c:pt idx="2191">
                  <c:v>63.7</c:v>
                </c:pt>
                <c:pt idx="2192">
                  <c:v>61.4</c:v>
                </c:pt>
                <c:pt idx="2193">
                  <c:v>63.9</c:v>
                </c:pt>
                <c:pt idx="2194">
                  <c:v>64</c:v>
                </c:pt>
                <c:pt idx="2195">
                  <c:v>63.9</c:v>
                </c:pt>
                <c:pt idx="2196">
                  <c:v>59.4</c:v>
                </c:pt>
                <c:pt idx="2197">
                  <c:v>61</c:v>
                </c:pt>
                <c:pt idx="2198">
                  <c:v>62</c:v>
                </c:pt>
                <c:pt idx="2199">
                  <c:v>64.2</c:v>
                </c:pt>
                <c:pt idx="2200">
                  <c:v>62.1</c:v>
                </c:pt>
                <c:pt idx="2201">
                  <c:v>64.599999999999994</c:v>
                </c:pt>
                <c:pt idx="2202">
                  <c:v>60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14.4</c:v>
                </c:pt>
                <c:pt idx="2209">
                  <c:v>16.3</c:v>
                </c:pt>
                <c:pt idx="2210">
                  <c:v>16.3</c:v>
                </c:pt>
                <c:pt idx="2211">
                  <c:v>16.5</c:v>
                </c:pt>
                <c:pt idx="2212">
                  <c:v>16.8</c:v>
                </c:pt>
                <c:pt idx="2213">
                  <c:v>16.899999999999999</c:v>
                </c:pt>
                <c:pt idx="2214">
                  <c:v>15.8</c:v>
                </c:pt>
                <c:pt idx="2215">
                  <c:v>16.3</c:v>
                </c:pt>
                <c:pt idx="2216">
                  <c:v>15.3</c:v>
                </c:pt>
                <c:pt idx="2217">
                  <c:v>15.8</c:v>
                </c:pt>
                <c:pt idx="2218">
                  <c:v>16.3</c:v>
                </c:pt>
                <c:pt idx="2219">
                  <c:v>15.2</c:v>
                </c:pt>
                <c:pt idx="2220">
                  <c:v>16.600000000000001</c:v>
                </c:pt>
                <c:pt idx="2221">
                  <c:v>16.3</c:v>
                </c:pt>
                <c:pt idx="2222">
                  <c:v>16.600000000000001</c:v>
                </c:pt>
                <c:pt idx="2223">
                  <c:v>16.899999999999999</c:v>
                </c:pt>
                <c:pt idx="2224">
                  <c:v>41.3</c:v>
                </c:pt>
                <c:pt idx="2225">
                  <c:v>38.5</c:v>
                </c:pt>
                <c:pt idx="2226">
                  <c:v>38.299999999999997</c:v>
                </c:pt>
                <c:pt idx="2227">
                  <c:v>37.700000000000003</c:v>
                </c:pt>
                <c:pt idx="2228">
                  <c:v>39.200000000000003</c:v>
                </c:pt>
                <c:pt idx="2229">
                  <c:v>41.6</c:v>
                </c:pt>
                <c:pt idx="2230">
                  <c:v>38.4</c:v>
                </c:pt>
                <c:pt idx="2231">
                  <c:v>39.9</c:v>
                </c:pt>
                <c:pt idx="2232">
                  <c:v>38.1</c:v>
                </c:pt>
                <c:pt idx="2233">
                  <c:v>39.200000000000003</c:v>
                </c:pt>
                <c:pt idx="2234">
                  <c:v>39.299999999999997</c:v>
                </c:pt>
                <c:pt idx="2235">
                  <c:v>39.700000000000003</c:v>
                </c:pt>
                <c:pt idx="2236">
                  <c:v>38.6</c:v>
                </c:pt>
                <c:pt idx="2237">
                  <c:v>38.6</c:v>
                </c:pt>
                <c:pt idx="2238">
                  <c:v>39.799999999999997</c:v>
                </c:pt>
                <c:pt idx="2239">
                  <c:v>38.1</c:v>
                </c:pt>
                <c:pt idx="2240">
                  <c:v>37.200000000000003</c:v>
                </c:pt>
                <c:pt idx="2241">
                  <c:v>38.700000000000003</c:v>
                </c:pt>
                <c:pt idx="2242">
                  <c:v>38.299999999999997</c:v>
                </c:pt>
                <c:pt idx="2243">
                  <c:v>36.700000000000003</c:v>
                </c:pt>
                <c:pt idx="2244">
                  <c:v>36.9</c:v>
                </c:pt>
                <c:pt idx="2245">
                  <c:v>37.9</c:v>
                </c:pt>
                <c:pt idx="2246">
                  <c:v>38.9</c:v>
                </c:pt>
                <c:pt idx="2247">
                  <c:v>61.3</c:v>
                </c:pt>
                <c:pt idx="2248">
                  <c:v>64</c:v>
                </c:pt>
                <c:pt idx="2249">
                  <c:v>55.6</c:v>
                </c:pt>
                <c:pt idx="2250">
                  <c:v>60.1</c:v>
                </c:pt>
                <c:pt idx="2251">
                  <c:v>60.4</c:v>
                </c:pt>
                <c:pt idx="2252">
                  <c:v>60.1</c:v>
                </c:pt>
                <c:pt idx="2253">
                  <c:v>62.3</c:v>
                </c:pt>
                <c:pt idx="2254">
                  <c:v>56.8</c:v>
                </c:pt>
                <c:pt idx="2255">
                  <c:v>56.5</c:v>
                </c:pt>
                <c:pt idx="2256">
                  <c:v>60.3</c:v>
                </c:pt>
                <c:pt idx="2257">
                  <c:v>58.6</c:v>
                </c:pt>
                <c:pt idx="2258">
                  <c:v>63.6</c:v>
                </c:pt>
                <c:pt idx="2259">
                  <c:v>61</c:v>
                </c:pt>
                <c:pt idx="2260">
                  <c:v>63.6</c:v>
                </c:pt>
                <c:pt idx="2261">
                  <c:v>64.8</c:v>
                </c:pt>
                <c:pt idx="2262">
                  <c:v>62.8</c:v>
                </c:pt>
                <c:pt idx="2263">
                  <c:v>59.6</c:v>
                </c:pt>
                <c:pt idx="2264">
                  <c:v>62.4</c:v>
                </c:pt>
                <c:pt idx="2265">
                  <c:v>0</c:v>
                </c:pt>
                <c:pt idx="2266">
                  <c:v>0.1</c:v>
                </c:pt>
                <c:pt idx="2267">
                  <c:v>15</c:v>
                </c:pt>
                <c:pt idx="2268">
                  <c:v>14.6</c:v>
                </c:pt>
                <c:pt idx="2269">
                  <c:v>14.3</c:v>
                </c:pt>
                <c:pt idx="2270">
                  <c:v>16.5</c:v>
                </c:pt>
                <c:pt idx="2271">
                  <c:v>16.399999999999999</c:v>
                </c:pt>
                <c:pt idx="2272">
                  <c:v>14</c:v>
                </c:pt>
                <c:pt idx="2273">
                  <c:v>16.399999999999999</c:v>
                </c:pt>
                <c:pt idx="2274">
                  <c:v>13.3</c:v>
                </c:pt>
                <c:pt idx="2275">
                  <c:v>15.8</c:v>
                </c:pt>
                <c:pt idx="2276">
                  <c:v>16.5</c:v>
                </c:pt>
                <c:pt idx="2277">
                  <c:v>14.4</c:v>
                </c:pt>
                <c:pt idx="2278">
                  <c:v>14.8</c:v>
                </c:pt>
                <c:pt idx="2279">
                  <c:v>16.899999999999999</c:v>
                </c:pt>
                <c:pt idx="2280">
                  <c:v>16</c:v>
                </c:pt>
                <c:pt idx="2281">
                  <c:v>16</c:v>
                </c:pt>
                <c:pt idx="2282">
                  <c:v>14.5</c:v>
                </c:pt>
                <c:pt idx="2283">
                  <c:v>14.6</c:v>
                </c:pt>
                <c:pt idx="2284">
                  <c:v>16.7</c:v>
                </c:pt>
                <c:pt idx="2285">
                  <c:v>15.6</c:v>
                </c:pt>
                <c:pt idx="2286">
                  <c:v>15</c:v>
                </c:pt>
                <c:pt idx="2287">
                  <c:v>38.4</c:v>
                </c:pt>
                <c:pt idx="2288">
                  <c:v>35.799999999999997</c:v>
                </c:pt>
                <c:pt idx="2289">
                  <c:v>38</c:v>
                </c:pt>
                <c:pt idx="2290">
                  <c:v>37.9</c:v>
                </c:pt>
                <c:pt idx="2291">
                  <c:v>40.200000000000003</c:v>
                </c:pt>
                <c:pt idx="2292">
                  <c:v>40.200000000000003</c:v>
                </c:pt>
                <c:pt idx="2293">
                  <c:v>37.799999999999997</c:v>
                </c:pt>
                <c:pt idx="2294">
                  <c:v>34.799999999999997</c:v>
                </c:pt>
                <c:pt idx="2295">
                  <c:v>38.1</c:v>
                </c:pt>
                <c:pt idx="2296">
                  <c:v>37</c:v>
                </c:pt>
                <c:pt idx="2297">
                  <c:v>32.700000000000003</c:v>
                </c:pt>
                <c:pt idx="2298">
                  <c:v>38.1</c:v>
                </c:pt>
                <c:pt idx="2299">
                  <c:v>35.5</c:v>
                </c:pt>
                <c:pt idx="2300">
                  <c:v>34.9</c:v>
                </c:pt>
                <c:pt idx="2301">
                  <c:v>33.9</c:v>
                </c:pt>
                <c:pt idx="2302">
                  <c:v>35.799999999999997</c:v>
                </c:pt>
                <c:pt idx="2303">
                  <c:v>33.1</c:v>
                </c:pt>
                <c:pt idx="2304">
                  <c:v>32.200000000000003</c:v>
                </c:pt>
                <c:pt idx="2305">
                  <c:v>35.9</c:v>
                </c:pt>
                <c:pt idx="2306">
                  <c:v>35.700000000000003</c:v>
                </c:pt>
                <c:pt idx="2307">
                  <c:v>35</c:v>
                </c:pt>
                <c:pt idx="2308">
                  <c:v>56.5</c:v>
                </c:pt>
                <c:pt idx="2309">
                  <c:v>64.3</c:v>
                </c:pt>
                <c:pt idx="2310">
                  <c:v>63.5</c:v>
                </c:pt>
                <c:pt idx="2311">
                  <c:v>61.3</c:v>
                </c:pt>
                <c:pt idx="2312">
                  <c:v>60.4</c:v>
                </c:pt>
                <c:pt idx="2313">
                  <c:v>58.5</c:v>
                </c:pt>
                <c:pt idx="2314">
                  <c:v>60.6</c:v>
                </c:pt>
                <c:pt idx="2315">
                  <c:v>61.3</c:v>
                </c:pt>
                <c:pt idx="2316">
                  <c:v>57</c:v>
                </c:pt>
                <c:pt idx="2317">
                  <c:v>59.6</c:v>
                </c:pt>
                <c:pt idx="2318">
                  <c:v>55.9</c:v>
                </c:pt>
                <c:pt idx="2319">
                  <c:v>57.8</c:v>
                </c:pt>
                <c:pt idx="2320">
                  <c:v>57.7</c:v>
                </c:pt>
                <c:pt idx="2321">
                  <c:v>60.1</c:v>
                </c:pt>
                <c:pt idx="2322">
                  <c:v>55.6</c:v>
                </c:pt>
                <c:pt idx="2323">
                  <c:v>56.3</c:v>
                </c:pt>
                <c:pt idx="2324">
                  <c:v>55.9</c:v>
                </c:pt>
                <c:pt idx="2325">
                  <c:v>55.1</c:v>
                </c:pt>
                <c:pt idx="2326">
                  <c:v>57.2</c:v>
                </c:pt>
                <c:pt idx="2327">
                  <c:v>56.8</c:v>
                </c:pt>
                <c:pt idx="2328">
                  <c:v>0</c:v>
                </c:pt>
                <c:pt idx="2329">
                  <c:v>0</c:v>
                </c:pt>
                <c:pt idx="2330">
                  <c:v>16.899999999999999</c:v>
                </c:pt>
                <c:pt idx="2331">
                  <c:v>14.2</c:v>
                </c:pt>
                <c:pt idx="2332">
                  <c:v>14.6</c:v>
                </c:pt>
                <c:pt idx="2333">
                  <c:v>17.5</c:v>
                </c:pt>
                <c:pt idx="2334">
                  <c:v>15</c:v>
                </c:pt>
                <c:pt idx="2335">
                  <c:v>16</c:v>
                </c:pt>
                <c:pt idx="2336">
                  <c:v>15.1</c:v>
                </c:pt>
                <c:pt idx="2337">
                  <c:v>14.9</c:v>
                </c:pt>
                <c:pt idx="2338">
                  <c:v>34.700000000000003</c:v>
                </c:pt>
                <c:pt idx="2339">
                  <c:v>37.9</c:v>
                </c:pt>
                <c:pt idx="2340">
                  <c:v>36.299999999999997</c:v>
                </c:pt>
                <c:pt idx="2341">
                  <c:v>37.6</c:v>
                </c:pt>
                <c:pt idx="2342">
                  <c:v>35.1</c:v>
                </c:pt>
                <c:pt idx="2343">
                  <c:v>37.9</c:v>
                </c:pt>
                <c:pt idx="2344">
                  <c:v>35.200000000000003</c:v>
                </c:pt>
                <c:pt idx="2345">
                  <c:v>35.700000000000003</c:v>
                </c:pt>
                <c:pt idx="2346">
                  <c:v>63.8</c:v>
                </c:pt>
                <c:pt idx="2347">
                  <c:v>58.9</c:v>
                </c:pt>
                <c:pt idx="2348">
                  <c:v>60.7</c:v>
                </c:pt>
                <c:pt idx="2349">
                  <c:v>61.3</c:v>
                </c:pt>
                <c:pt idx="2350">
                  <c:v>56.3</c:v>
                </c:pt>
                <c:pt idx="2351">
                  <c:v>57.9</c:v>
                </c:pt>
                <c:pt idx="2352">
                  <c:v>60.4</c:v>
                </c:pt>
                <c:pt idx="2353">
                  <c:v>56.8</c:v>
                </c:pt>
                <c:pt idx="2354">
                  <c:v>0</c:v>
                </c:pt>
                <c:pt idx="2355">
                  <c:v>0</c:v>
                </c:pt>
                <c:pt idx="2356">
                  <c:v>17.7</c:v>
                </c:pt>
                <c:pt idx="2357">
                  <c:v>17.2</c:v>
                </c:pt>
                <c:pt idx="2358">
                  <c:v>14.5</c:v>
                </c:pt>
                <c:pt idx="2359">
                  <c:v>15.7</c:v>
                </c:pt>
                <c:pt idx="2360">
                  <c:v>13.8</c:v>
                </c:pt>
                <c:pt idx="2361">
                  <c:v>14.9</c:v>
                </c:pt>
                <c:pt idx="2362">
                  <c:v>16.7</c:v>
                </c:pt>
                <c:pt idx="2363">
                  <c:v>17.5</c:v>
                </c:pt>
                <c:pt idx="2364">
                  <c:v>16.7</c:v>
                </c:pt>
                <c:pt idx="2365">
                  <c:v>16.2</c:v>
                </c:pt>
                <c:pt idx="2366">
                  <c:v>16.899999999999999</c:v>
                </c:pt>
                <c:pt idx="2367">
                  <c:v>15.3</c:v>
                </c:pt>
                <c:pt idx="2368">
                  <c:v>14.4</c:v>
                </c:pt>
                <c:pt idx="2369">
                  <c:v>16.600000000000001</c:v>
                </c:pt>
                <c:pt idx="2370">
                  <c:v>16</c:v>
                </c:pt>
                <c:pt idx="2371">
                  <c:v>14.3</c:v>
                </c:pt>
                <c:pt idx="2372">
                  <c:v>14.5</c:v>
                </c:pt>
                <c:pt idx="2373">
                  <c:v>36.1</c:v>
                </c:pt>
                <c:pt idx="2374">
                  <c:v>37</c:v>
                </c:pt>
                <c:pt idx="2375">
                  <c:v>38.799999999999997</c:v>
                </c:pt>
                <c:pt idx="2376">
                  <c:v>35.799999999999997</c:v>
                </c:pt>
                <c:pt idx="2377">
                  <c:v>38</c:v>
                </c:pt>
                <c:pt idx="2378">
                  <c:v>37.200000000000003</c:v>
                </c:pt>
                <c:pt idx="2379">
                  <c:v>37.200000000000003</c:v>
                </c:pt>
                <c:pt idx="2380">
                  <c:v>36.6</c:v>
                </c:pt>
                <c:pt idx="2381">
                  <c:v>37.6</c:v>
                </c:pt>
                <c:pt idx="2382">
                  <c:v>38.1</c:v>
                </c:pt>
                <c:pt idx="2383">
                  <c:v>37.4</c:v>
                </c:pt>
                <c:pt idx="2384">
                  <c:v>36.200000000000003</c:v>
                </c:pt>
                <c:pt idx="2385">
                  <c:v>34.700000000000003</c:v>
                </c:pt>
                <c:pt idx="2386">
                  <c:v>31.5</c:v>
                </c:pt>
                <c:pt idx="2387">
                  <c:v>37.1</c:v>
                </c:pt>
                <c:pt idx="2388">
                  <c:v>36.200000000000003</c:v>
                </c:pt>
                <c:pt idx="2389">
                  <c:v>35.5</c:v>
                </c:pt>
                <c:pt idx="2390">
                  <c:v>36</c:v>
                </c:pt>
                <c:pt idx="2391">
                  <c:v>62.3</c:v>
                </c:pt>
                <c:pt idx="2392">
                  <c:v>60.3</c:v>
                </c:pt>
                <c:pt idx="2393">
                  <c:v>59.1</c:v>
                </c:pt>
                <c:pt idx="2394">
                  <c:v>62.3</c:v>
                </c:pt>
                <c:pt idx="2395">
                  <c:v>58.6</c:v>
                </c:pt>
                <c:pt idx="2396">
                  <c:v>59.6</c:v>
                </c:pt>
                <c:pt idx="2397">
                  <c:v>64.2</c:v>
                </c:pt>
                <c:pt idx="2398">
                  <c:v>58.7</c:v>
                </c:pt>
                <c:pt idx="2399">
                  <c:v>57.2</c:v>
                </c:pt>
                <c:pt idx="2400">
                  <c:v>60</c:v>
                </c:pt>
                <c:pt idx="2401">
                  <c:v>59.2</c:v>
                </c:pt>
                <c:pt idx="2402">
                  <c:v>55.8</c:v>
                </c:pt>
                <c:pt idx="2403">
                  <c:v>60.7</c:v>
                </c:pt>
                <c:pt idx="2404">
                  <c:v>58.7</c:v>
                </c:pt>
                <c:pt idx="2405">
                  <c:v>61.9</c:v>
                </c:pt>
                <c:pt idx="2406">
                  <c:v>15</c:v>
                </c:pt>
                <c:pt idx="2407">
                  <c:v>16.7</c:v>
                </c:pt>
                <c:pt idx="2408">
                  <c:v>9.5</c:v>
                </c:pt>
                <c:pt idx="2409">
                  <c:v>15.8</c:v>
                </c:pt>
                <c:pt idx="2410">
                  <c:v>15.2</c:v>
                </c:pt>
                <c:pt idx="2411">
                  <c:v>15.2</c:v>
                </c:pt>
                <c:pt idx="2412">
                  <c:v>17.100000000000001</c:v>
                </c:pt>
                <c:pt idx="2413">
                  <c:v>16.399999999999999</c:v>
                </c:pt>
                <c:pt idx="2414">
                  <c:v>16.399999999999999</c:v>
                </c:pt>
                <c:pt idx="2415">
                  <c:v>16</c:v>
                </c:pt>
                <c:pt idx="2416">
                  <c:v>15.9</c:v>
                </c:pt>
                <c:pt idx="2417">
                  <c:v>14.4</c:v>
                </c:pt>
                <c:pt idx="2418">
                  <c:v>35.200000000000003</c:v>
                </c:pt>
                <c:pt idx="2419">
                  <c:v>37</c:v>
                </c:pt>
                <c:pt idx="2420">
                  <c:v>38.299999999999997</c:v>
                </c:pt>
                <c:pt idx="2421">
                  <c:v>33.4</c:v>
                </c:pt>
                <c:pt idx="2422">
                  <c:v>35.200000000000003</c:v>
                </c:pt>
                <c:pt idx="2423">
                  <c:v>37.5</c:v>
                </c:pt>
                <c:pt idx="2424">
                  <c:v>39.6</c:v>
                </c:pt>
                <c:pt idx="2425">
                  <c:v>37.299999999999997</c:v>
                </c:pt>
                <c:pt idx="2426">
                  <c:v>35.9</c:v>
                </c:pt>
                <c:pt idx="2427">
                  <c:v>35.4</c:v>
                </c:pt>
                <c:pt idx="2428">
                  <c:v>36.1</c:v>
                </c:pt>
                <c:pt idx="2429">
                  <c:v>36</c:v>
                </c:pt>
                <c:pt idx="2430">
                  <c:v>60.5</c:v>
                </c:pt>
                <c:pt idx="2431">
                  <c:v>56.8</c:v>
                </c:pt>
                <c:pt idx="2432">
                  <c:v>55.7</c:v>
                </c:pt>
                <c:pt idx="2433">
                  <c:v>59.7</c:v>
                </c:pt>
                <c:pt idx="2434">
                  <c:v>62.8</c:v>
                </c:pt>
                <c:pt idx="2435">
                  <c:v>59.5</c:v>
                </c:pt>
                <c:pt idx="2436">
                  <c:v>51.6</c:v>
                </c:pt>
                <c:pt idx="2437">
                  <c:v>57.3</c:v>
                </c:pt>
                <c:pt idx="2438">
                  <c:v>59.3</c:v>
                </c:pt>
                <c:pt idx="2439">
                  <c:v>59.4</c:v>
                </c:pt>
                <c:pt idx="2440">
                  <c:v>0</c:v>
                </c:pt>
                <c:pt idx="2441">
                  <c:v>0</c:v>
                </c:pt>
                <c:pt idx="2442">
                  <c:v>17</c:v>
                </c:pt>
                <c:pt idx="2443">
                  <c:v>17.5</c:v>
                </c:pt>
                <c:pt idx="2444">
                  <c:v>17.7</c:v>
                </c:pt>
                <c:pt idx="2445">
                  <c:v>14.4</c:v>
                </c:pt>
                <c:pt idx="2446">
                  <c:v>38.299999999999997</c:v>
                </c:pt>
                <c:pt idx="2447">
                  <c:v>38.6</c:v>
                </c:pt>
                <c:pt idx="2448">
                  <c:v>38.299999999999997</c:v>
                </c:pt>
                <c:pt idx="2449">
                  <c:v>38.5</c:v>
                </c:pt>
                <c:pt idx="2450">
                  <c:v>63.5</c:v>
                </c:pt>
                <c:pt idx="2451">
                  <c:v>63.1</c:v>
                </c:pt>
                <c:pt idx="2452">
                  <c:v>55.7</c:v>
                </c:pt>
                <c:pt idx="2453">
                  <c:v>60</c:v>
                </c:pt>
                <c:pt idx="2454">
                  <c:v>55.7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60-4806-AB56-BF88FC625BF5}"/>
            </c:ext>
          </c:extLst>
        </c:ser>
        <c:ser>
          <c:idx val="48"/>
          <c:order val="3"/>
          <c:tx>
            <c:strRef>
              <c:f>'STD All'!$BF$1</c:f>
              <c:strCache>
                <c:ptCount val="1"/>
                <c:pt idx="0">
                  <c:v>M3 Readings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[0]!AW</c:f>
              <c:numCache>
                <c:formatCode>General</c:formatCode>
                <c:ptCount val="2459"/>
                <c:pt idx="0">
                  <c:v>1.1000000000000001</c:v>
                </c:pt>
                <c:pt idx="1">
                  <c:v>1.1000000000000001</c:v>
                </c:pt>
                <c:pt idx="2">
                  <c:v>1.1000000000000001</c:v>
                </c:pt>
                <c:pt idx="3">
                  <c:v>1.1000000000000001</c:v>
                </c:pt>
                <c:pt idx="4">
                  <c:v>1.1000000000000001</c:v>
                </c:pt>
                <c:pt idx="5">
                  <c:v>1.1000000000000001</c:v>
                </c:pt>
                <c:pt idx="6">
                  <c:v>1.1000000000000001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1.1000000000000001</c:v>
                </c:pt>
                <c:pt idx="10">
                  <c:v>1.1000000000000001</c:v>
                </c:pt>
                <c:pt idx="11">
                  <c:v>1.1000000000000001</c:v>
                </c:pt>
                <c:pt idx="12">
                  <c:v>1.1000000000000001</c:v>
                </c:pt>
                <c:pt idx="13">
                  <c:v>1.1000000000000001</c:v>
                </c:pt>
                <c:pt idx="14">
                  <c:v>1.1000000000000001</c:v>
                </c:pt>
                <c:pt idx="15">
                  <c:v>1.1000000000000001</c:v>
                </c:pt>
                <c:pt idx="16">
                  <c:v>1.1000000000000001</c:v>
                </c:pt>
                <c:pt idx="17">
                  <c:v>1.1000000000000001</c:v>
                </c:pt>
                <c:pt idx="18">
                  <c:v>1.1000000000000001</c:v>
                </c:pt>
                <c:pt idx="19">
                  <c:v>2.1</c:v>
                </c:pt>
                <c:pt idx="20">
                  <c:v>2.1</c:v>
                </c:pt>
                <c:pt idx="21">
                  <c:v>2.1</c:v>
                </c:pt>
                <c:pt idx="22">
                  <c:v>2.1</c:v>
                </c:pt>
                <c:pt idx="23">
                  <c:v>2.1</c:v>
                </c:pt>
                <c:pt idx="24">
                  <c:v>2.1</c:v>
                </c:pt>
                <c:pt idx="25">
                  <c:v>2.1</c:v>
                </c:pt>
                <c:pt idx="26">
                  <c:v>2.1</c:v>
                </c:pt>
                <c:pt idx="27">
                  <c:v>2.1</c:v>
                </c:pt>
                <c:pt idx="28">
                  <c:v>2.1</c:v>
                </c:pt>
                <c:pt idx="29">
                  <c:v>2.1</c:v>
                </c:pt>
                <c:pt idx="30">
                  <c:v>2.1</c:v>
                </c:pt>
                <c:pt idx="31">
                  <c:v>2.1</c:v>
                </c:pt>
                <c:pt idx="32">
                  <c:v>2.1</c:v>
                </c:pt>
                <c:pt idx="33">
                  <c:v>2.1</c:v>
                </c:pt>
                <c:pt idx="34">
                  <c:v>2.1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4.0999999999999996</c:v>
                </c:pt>
                <c:pt idx="75">
                  <c:v>4.0999999999999996</c:v>
                </c:pt>
                <c:pt idx="76">
                  <c:v>4.0999999999999996</c:v>
                </c:pt>
                <c:pt idx="77">
                  <c:v>4.0999999999999996</c:v>
                </c:pt>
                <c:pt idx="78">
                  <c:v>4.0999999999999996</c:v>
                </c:pt>
                <c:pt idx="79">
                  <c:v>4.0999999999999996</c:v>
                </c:pt>
                <c:pt idx="80">
                  <c:v>4.0999999999999996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4.0999999999999996</c:v>
                </c:pt>
                <c:pt idx="84">
                  <c:v>4.0999999999999996</c:v>
                </c:pt>
                <c:pt idx="85">
                  <c:v>4.0999999999999996</c:v>
                </c:pt>
                <c:pt idx="86">
                  <c:v>4.0999999999999996</c:v>
                </c:pt>
                <c:pt idx="87">
                  <c:v>4.0999999999999996</c:v>
                </c:pt>
                <c:pt idx="88">
                  <c:v>4.0999999999999996</c:v>
                </c:pt>
                <c:pt idx="89">
                  <c:v>4.0999999999999996</c:v>
                </c:pt>
                <c:pt idx="90">
                  <c:v>4.0999999999999996</c:v>
                </c:pt>
                <c:pt idx="91">
                  <c:v>4.0999999999999996</c:v>
                </c:pt>
                <c:pt idx="92">
                  <c:v>4.0999999999999996</c:v>
                </c:pt>
                <c:pt idx="93">
                  <c:v>4.0999999999999996</c:v>
                </c:pt>
                <c:pt idx="94">
                  <c:v>4.0999999999999996</c:v>
                </c:pt>
                <c:pt idx="95">
                  <c:v>4.0999999999999996</c:v>
                </c:pt>
                <c:pt idx="96">
                  <c:v>4.0999999999999996</c:v>
                </c:pt>
                <c:pt idx="97">
                  <c:v>4.0999999999999996</c:v>
                </c:pt>
                <c:pt idx="98">
                  <c:v>4.0999999999999996</c:v>
                </c:pt>
                <c:pt idx="99">
                  <c:v>4.0999999999999996</c:v>
                </c:pt>
                <c:pt idx="100">
                  <c:v>4.0999999999999996</c:v>
                </c:pt>
                <c:pt idx="101">
                  <c:v>4.0999999999999996</c:v>
                </c:pt>
                <c:pt idx="102">
                  <c:v>4.0999999999999996</c:v>
                </c:pt>
                <c:pt idx="103">
                  <c:v>4.0999999999999996</c:v>
                </c:pt>
                <c:pt idx="104">
                  <c:v>4.0999999999999996</c:v>
                </c:pt>
                <c:pt idx="105">
                  <c:v>4.0999999999999996</c:v>
                </c:pt>
                <c:pt idx="106">
                  <c:v>4.0999999999999996</c:v>
                </c:pt>
                <c:pt idx="107">
                  <c:v>4.0999999999999996</c:v>
                </c:pt>
                <c:pt idx="108">
                  <c:v>4.0999999999999996</c:v>
                </c:pt>
                <c:pt idx="109">
                  <c:v>4.0999999999999996</c:v>
                </c:pt>
                <c:pt idx="110">
                  <c:v>4.0999999999999996</c:v>
                </c:pt>
                <c:pt idx="111">
                  <c:v>4.0999999999999996</c:v>
                </c:pt>
                <c:pt idx="112">
                  <c:v>4.0999999999999996</c:v>
                </c:pt>
                <c:pt idx="113">
                  <c:v>4.0999999999999996</c:v>
                </c:pt>
                <c:pt idx="114">
                  <c:v>4.0999999999999996</c:v>
                </c:pt>
                <c:pt idx="115">
                  <c:v>4.0999999999999996</c:v>
                </c:pt>
                <c:pt idx="116">
                  <c:v>4.0999999999999996</c:v>
                </c:pt>
                <c:pt idx="117">
                  <c:v>4.0999999999999996</c:v>
                </c:pt>
                <c:pt idx="118">
                  <c:v>4.0999999999999996</c:v>
                </c:pt>
                <c:pt idx="119">
                  <c:v>4.0999999999999996</c:v>
                </c:pt>
                <c:pt idx="120">
                  <c:v>4.0999999999999996</c:v>
                </c:pt>
                <c:pt idx="121">
                  <c:v>4.0999999999999996</c:v>
                </c:pt>
                <c:pt idx="122">
                  <c:v>4.0999999999999996</c:v>
                </c:pt>
                <c:pt idx="123">
                  <c:v>4.0999999999999996</c:v>
                </c:pt>
                <c:pt idx="124">
                  <c:v>4.0999999999999996</c:v>
                </c:pt>
                <c:pt idx="125">
                  <c:v>4.0999999999999996</c:v>
                </c:pt>
                <c:pt idx="126">
                  <c:v>4.0999999999999996</c:v>
                </c:pt>
                <c:pt idx="127">
                  <c:v>4.0999999999999996</c:v>
                </c:pt>
                <c:pt idx="128">
                  <c:v>4.0999999999999996</c:v>
                </c:pt>
                <c:pt idx="129">
                  <c:v>4.0999999999999996</c:v>
                </c:pt>
                <c:pt idx="130">
                  <c:v>4.0999999999999996</c:v>
                </c:pt>
                <c:pt idx="131">
                  <c:v>4.0999999999999996</c:v>
                </c:pt>
                <c:pt idx="132">
                  <c:v>4.0999999999999996</c:v>
                </c:pt>
                <c:pt idx="133">
                  <c:v>4.0999999999999996</c:v>
                </c:pt>
                <c:pt idx="134">
                  <c:v>4.0999999999999996</c:v>
                </c:pt>
                <c:pt idx="135">
                  <c:v>5.0999999999999996</c:v>
                </c:pt>
                <c:pt idx="136">
                  <c:v>5.0999999999999996</c:v>
                </c:pt>
                <c:pt idx="137">
                  <c:v>5.0999999999999996</c:v>
                </c:pt>
                <c:pt idx="138">
                  <c:v>5.0999999999999996</c:v>
                </c:pt>
                <c:pt idx="139">
                  <c:v>5.0999999999999996</c:v>
                </c:pt>
                <c:pt idx="140">
                  <c:v>5.0999999999999996</c:v>
                </c:pt>
                <c:pt idx="141">
                  <c:v>5.0999999999999996</c:v>
                </c:pt>
                <c:pt idx="142">
                  <c:v>5.0999999999999996</c:v>
                </c:pt>
                <c:pt idx="143">
                  <c:v>5.0999999999999996</c:v>
                </c:pt>
                <c:pt idx="144">
                  <c:v>5.0999999999999996</c:v>
                </c:pt>
                <c:pt idx="145">
                  <c:v>5.0999999999999996</c:v>
                </c:pt>
                <c:pt idx="146">
                  <c:v>5.0999999999999996</c:v>
                </c:pt>
                <c:pt idx="147">
                  <c:v>5.0999999999999996</c:v>
                </c:pt>
                <c:pt idx="148">
                  <c:v>5.0999999999999996</c:v>
                </c:pt>
                <c:pt idx="149">
                  <c:v>5.0999999999999996</c:v>
                </c:pt>
                <c:pt idx="150">
                  <c:v>5.0999999999999996</c:v>
                </c:pt>
                <c:pt idx="151">
                  <c:v>5.0999999999999996</c:v>
                </c:pt>
                <c:pt idx="152">
                  <c:v>5.0999999999999996</c:v>
                </c:pt>
                <c:pt idx="153">
                  <c:v>5.0999999999999996</c:v>
                </c:pt>
                <c:pt idx="154">
                  <c:v>5.0999999999999996</c:v>
                </c:pt>
                <c:pt idx="155">
                  <c:v>5.0999999999999996</c:v>
                </c:pt>
                <c:pt idx="156">
                  <c:v>5.0999999999999996</c:v>
                </c:pt>
                <c:pt idx="157">
                  <c:v>5.0999999999999996</c:v>
                </c:pt>
                <c:pt idx="158">
                  <c:v>5.0999999999999996</c:v>
                </c:pt>
                <c:pt idx="159">
                  <c:v>5.0999999999999996</c:v>
                </c:pt>
                <c:pt idx="160">
                  <c:v>5.0999999999999996</c:v>
                </c:pt>
                <c:pt idx="161">
                  <c:v>5.0999999999999996</c:v>
                </c:pt>
                <c:pt idx="162">
                  <c:v>5.0999999999999996</c:v>
                </c:pt>
                <c:pt idx="163">
                  <c:v>5.0999999999999996</c:v>
                </c:pt>
                <c:pt idx="164">
                  <c:v>5.0999999999999996</c:v>
                </c:pt>
                <c:pt idx="165">
                  <c:v>5.0999999999999996</c:v>
                </c:pt>
                <c:pt idx="166">
                  <c:v>5.0999999999999996</c:v>
                </c:pt>
                <c:pt idx="167">
                  <c:v>5.0999999999999996</c:v>
                </c:pt>
                <c:pt idx="168">
                  <c:v>5.0999999999999996</c:v>
                </c:pt>
                <c:pt idx="169">
                  <c:v>5.0999999999999996</c:v>
                </c:pt>
                <c:pt idx="170">
                  <c:v>5.0999999999999996</c:v>
                </c:pt>
                <c:pt idx="171">
                  <c:v>5.0999999999999996</c:v>
                </c:pt>
                <c:pt idx="172">
                  <c:v>5.0999999999999996</c:v>
                </c:pt>
                <c:pt idx="173">
                  <c:v>5.0999999999999996</c:v>
                </c:pt>
                <c:pt idx="174">
                  <c:v>5.0999999999999996</c:v>
                </c:pt>
                <c:pt idx="175">
                  <c:v>5.0999999999999996</c:v>
                </c:pt>
                <c:pt idx="176">
                  <c:v>5.0999999999999996</c:v>
                </c:pt>
                <c:pt idx="177">
                  <c:v>5.0999999999999996</c:v>
                </c:pt>
                <c:pt idx="178">
                  <c:v>5.0999999999999996</c:v>
                </c:pt>
                <c:pt idx="179">
                  <c:v>5.0999999999999996</c:v>
                </c:pt>
                <c:pt idx="180">
                  <c:v>5.0999999999999996</c:v>
                </c:pt>
                <c:pt idx="181">
                  <c:v>5.0999999999999996</c:v>
                </c:pt>
                <c:pt idx="182">
                  <c:v>5.0999999999999996</c:v>
                </c:pt>
                <c:pt idx="183">
                  <c:v>5.0999999999999996</c:v>
                </c:pt>
                <c:pt idx="184">
                  <c:v>5.0999999999999996</c:v>
                </c:pt>
                <c:pt idx="185">
                  <c:v>5.0999999999999996</c:v>
                </c:pt>
                <c:pt idx="186">
                  <c:v>5.0999999999999996</c:v>
                </c:pt>
                <c:pt idx="187">
                  <c:v>5.0999999999999996</c:v>
                </c:pt>
                <c:pt idx="188">
                  <c:v>5.0999999999999996</c:v>
                </c:pt>
                <c:pt idx="189">
                  <c:v>5.0999999999999996</c:v>
                </c:pt>
                <c:pt idx="190">
                  <c:v>5.0999999999999996</c:v>
                </c:pt>
                <c:pt idx="191">
                  <c:v>5.0999999999999996</c:v>
                </c:pt>
                <c:pt idx="192">
                  <c:v>5.0999999999999996</c:v>
                </c:pt>
                <c:pt idx="193">
                  <c:v>5.0999999999999996</c:v>
                </c:pt>
                <c:pt idx="194">
                  <c:v>5.0999999999999996</c:v>
                </c:pt>
                <c:pt idx="195">
                  <c:v>5.0999999999999996</c:v>
                </c:pt>
                <c:pt idx="196">
                  <c:v>5.0999999999999996</c:v>
                </c:pt>
                <c:pt idx="197">
                  <c:v>5.0999999999999996</c:v>
                </c:pt>
                <c:pt idx="198">
                  <c:v>5.0999999999999996</c:v>
                </c:pt>
                <c:pt idx="199">
                  <c:v>5.0999999999999996</c:v>
                </c:pt>
                <c:pt idx="200">
                  <c:v>5.0999999999999996</c:v>
                </c:pt>
                <c:pt idx="201">
                  <c:v>5.0999999999999996</c:v>
                </c:pt>
                <c:pt idx="202">
                  <c:v>6.1</c:v>
                </c:pt>
                <c:pt idx="203">
                  <c:v>6.1</c:v>
                </c:pt>
                <c:pt idx="204">
                  <c:v>6.1</c:v>
                </c:pt>
                <c:pt idx="205">
                  <c:v>6.1</c:v>
                </c:pt>
                <c:pt idx="206">
                  <c:v>6.1</c:v>
                </c:pt>
                <c:pt idx="207">
                  <c:v>6.1</c:v>
                </c:pt>
                <c:pt idx="208">
                  <c:v>6.1</c:v>
                </c:pt>
                <c:pt idx="209">
                  <c:v>6.1</c:v>
                </c:pt>
                <c:pt idx="210">
                  <c:v>6.1</c:v>
                </c:pt>
                <c:pt idx="211">
                  <c:v>5.0999999999999996</c:v>
                </c:pt>
                <c:pt idx="212">
                  <c:v>6.1</c:v>
                </c:pt>
                <c:pt idx="213">
                  <c:v>5.0999999999999996</c:v>
                </c:pt>
                <c:pt idx="214">
                  <c:v>6.1</c:v>
                </c:pt>
                <c:pt idx="215">
                  <c:v>6.1</c:v>
                </c:pt>
                <c:pt idx="216">
                  <c:v>6.1</c:v>
                </c:pt>
                <c:pt idx="217">
                  <c:v>6.1</c:v>
                </c:pt>
                <c:pt idx="218">
                  <c:v>6.1</c:v>
                </c:pt>
                <c:pt idx="219">
                  <c:v>6.1</c:v>
                </c:pt>
                <c:pt idx="220">
                  <c:v>5.0999999999999996</c:v>
                </c:pt>
                <c:pt idx="221">
                  <c:v>6.1</c:v>
                </c:pt>
                <c:pt idx="222">
                  <c:v>6.1</c:v>
                </c:pt>
                <c:pt idx="223">
                  <c:v>6.1</c:v>
                </c:pt>
                <c:pt idx="224">
                  <c:v>6.1</c:v>
                </c:pt>
                <c:pt idx="225">
                  <c:v>6.1</c:v>
                </c:pt>
                <c:pt idx="226">
                  <c:v>6.1</c:v>
                </c:pt>
                <c:pt idx="227">
                  <c:v>6.1</c:v>
                </c:pt>
                <c:pt idx="228">
                  <c:v>6.1</c:v>
                </c:pt>
                <c:pt idx="229">
                  <c:v>6.1</c:v>
                </c:pt>
                <c:pt idx="230">
                  <c:v>6.1</c:v>
                </c:pt>
                <c:pt idx="231">
                  <c:v>6.1</c:v>
                </c:pt>
                <c:pt idx="232">
                  <c:v>6.1</c:v>
                </c:pt>
                <c:pt idx="233">
                  <c:v>6.1</c:v>
                </c:pt>
                <c:pt idx="234">
                  <c:v>6.1</c:v>
                </c:pt>
                <c:pt idx="235">
                  <c:v>5.0999999999999996</c:v>
                </c:pt>
                <c:pt idx="236">
                  <c:v>6.1</c:v>
                </c:pt>
                <c:pt idx="237">
                  <c:v>6.1</c:v>
                </c:pt>
                <c:pt idx="238">
                  <c:v>5.0999999999999996</c:v>
                </c:pt>
                <c:pt idx="239">
                  <c:v>6.1</c:v>
                </c:pt>
                <c:pt idx="240">
                  <c:v>6.1</c:v>
                </c:pt>
                <c:pt idx="241">
                  <c:v>6.1</c:v>
                </c:pt>
                <c:pt idx="242">
                  <c:v>6.1</c:v>
                </c:pt>
                <c:pt idx="243">
                  <c:v>6.1</c:v>
                </c:pt>
                <c:pt idx="244">
                  <c:v>6.1</c:v>
                </c:pt>
                <c:pt idx="245">
                  <c:v>6.1</c:v>
                </c:pt>
                <c:pt idx="246">
                  <c:v>6.1</c:v>
                </c:pt>
                <c:pt idx="247">
                  <c:v>6.1</c:v>
                </c:pt>
                <c:pt idx="248">
                  <c:v>6.1</c:v>
                </c:pt>
                <c:pt idx="249">
                  <c:v>5.0999999999999996</c:v>
                </c:pt>
                <c:pt idx="250">
                  <c:v>7.1</c:v>
                </c:pt>
                <c:pt idx="251">
                  <c:v>7.1</c:v>
                </c:pt>
                <c:pt idx="252">
                  <c:v>7.1</c:v>
                </c:pt>
                <c:pt idx="253">
                  <c:v>7.1</c:v>
                </c:pt>
                <c:pt idx="254">
                  <c:v>7.1</c:v>
                </c:pt>
                <c:pt idx="255">
                  <c:v>7.1</c:v>
                </c:pt>
                <c:pt idx="256">
                  <c:v>7.1</c:v>
                </c:pt>
                <c:pt idx="257">
                  <c:v>7.1</c:v>
                </c:pt>
                <c:pt idx="258">
                  <c:v>7.1</c:v>
                </c:pt>
                <c:pt idx="259">
                  <c:v>7.1</c:v>
                </c:pt>
                <c:pt idx="260">
                  <c:v>7.1</c:v>
                </c:pt>
                <c:pt idx="261">
                  <c:v>7.1</c:v>
                </c:pt>
                <c:pt idx="262">
                  <c:v>7.1</c:v>
                </c:pt>
                <c:pt idx="263">
                  <c:v>7.1</c:v>
                </c:pt>
                <c:pt idx="264">
                  <c:v>7.1</c:v>
                </c:pt>
                <c:pt idx="265">
                  <c:v>7.1</c:v>
                </c:pt>
                <c:pt idx="266">
                  <c:v>7.1</c:v>
                </c:pt>
                <c:pt idx="267">
                  <c:v>7.1</c:v>
                </c:pt>
                <c:pt idx="268">
                  <c:v>7.1</c:v>
                </c:pt>
                <c:pt idx="269">
                  <c:v>7.1</c:v>
                </c:pt>
                <c:pt idx="270">
                  <c:v>7.1</c:v>
                </c:pt>
                <c:pt idx="271">
                  <c:v>7.1</c:v>
                </c:pt>
                <c:pt idx="272">
                  <c:v>7.1</c:v>
                </c:pt>
                <c:pt idx="273">
                  <c:v>7.1</c:v>
                </c:pt>
                <c:pt idx="274">
                  <c:v>7.1</c:v>
                </c:pt>
                <c:pt idx="275">
                  <c:v>7.1</c:v>
                </c:pt>
                <c:pt idx="276">
                  <c:v>7.1</c:v>
                </c:pt>
                <c:pt idx="277">
                  <c:v>7.1</c:v>
                </c:pt>
                <c:pt idx="278">
                  <c:v>7.1</c:v>
                </c:pt>
                <c:pt idx="279">
                  <c:v>7.1</c:v>
                </c:pt>
                <c:pt idx="280">
                  <c:v>7.1</c:v>
                </c:pt>
                <c:pt idx="281">
                  <c:v>7.1</c:v>
                </c:pt>
                <c:pt idx="282">
                  <c:v>7.1</c:v>
                </c:pt>
                <c:pt idx="283">
                  <c:v>7.1</c:v>
                </c:pt>
                <c:pt idx="284">
                  <c:v>7.1</c:v>
                </c:pt>
                <c:pt idx="285">
                  <c:v>7.1</c:v>
                </c:pt>
                <c:pt idx="286">
                  <c:v>7.1</c:v>
                </c:pt>
                <c:pt idx="287">
                  <c:v>7.1</c:v>
                </c:pt>
                <c:pt idx="288">
                  <c:v>7.1</c:v>
                </c:pt>
                <c:pt idx="289">
                  <c:v>7.1</c:v>
                </c:pt>
                <c:pt idx="290">
                  <c:v>7.1</c:v>
                </c:pt>
                <c:pt idx="291">
                  <c:v>7.1</c:v>
                </c:pt>
                <c:pt idx="292">
                  <c:v>7.1</c:v>
                </c:pt>
                <c:pt idx="293">
                  <c:v>7.1</c:v>
                </c:pt>
                <c:pt idx="294">
                  <c:v>7.1</c:v>
                </c:pt>
                <c:pt idx="295">
                  <c:v>7.1</c:v>
                </c:pt>
                <c:pt idx="296">
                  <c:v>7.1</c:v>
                </c:pt>
                <c:pt idx="297">
                  <c:v>7.1</c:v>
                </c:pt>
                <c:pt idx="298">
                  <c:v>7.1</c:v>
                </c:pt>
                <c:pt idx="299">
                  <c:v>7.1</c:v>
                </c:pt>
                <c:pt idx="300">
                  <c:v>7.1</c:v>
                </c:pt>
                <c:pt idx="301">
                  <c:v>7.1</c:v>
                </c:pt>
                <c:pt idx="302">
                  <c:v>7.1</c:v>
                </c:pt>
                <c:pt idx="303">
                  <c:v>7.1</c:v>
                </c:pt>
                <c:pt idx="304">
                  <c:v>7.1</c:v>
                </c:pt>
                <c:pt idx="305">
                  <c:v>7.1</c:v>
                </c:pt>
                <c:pt idx="306">
                  <c:v>7.1</c:v>
                </c:pt>
                <c:pt idx="307">
                  <c:v>7.1</c:v>
                </c:pt>
                <c:pt idx="308">
                  <c:v>7.1</c:v>
                </c:pt>
                <c:pt idx="309">
                  <c:v>7.1</c:v>
                </c:pt>
                <c:pt idx="310">
                  <c:v>8.1</c:v>
                </c:pt>
                <c:pt idx="311">
                  <c:v>7.1</c:v>
                </c:pt>
                <c:pt idx="312">
                  <c:v>7.1</c:v>
                </c:pt>
                <c:pt idx="313">
                  <c:v>7.1</c:v>
                </c:pt>
                <c:pt idx="314">
                  <c:v>7.1</c:v>
                </c:pt>
                <c:pt idx="315">
                  <c:v>8.1</c:v>
                </c:pt>
                <c:pt idx="316">
                  <c:v>8.1</c:v>
                </c:pt>
                <c:pt idx="317">
                  <c:v>8.1</c:v>
                </c:pt>
                <c:pt idx="318">
                  <c:v>8.1</c:v>
                </c:pt>
                <c:pt idx="319">
                  <c:v>8.1</c:v>
                </c:pt>
                <c:pt idx="320">
                  <c:v>8.1</c:v>
                </c:pt>
                <c:pt idx="321">
                  <c:v>8.1</c:v>
                </c:pt>
                <c:pt idx="322">
                  <c:v>8.1</c:v>
                </c:pt>
                <c:pt idx="323">
                  <c:v>8.1</c:v>
                </c:pt>
                <c:pt idx="324">
                  <c:v>8.1</c:v>
                </c:pt>
                <c:pt idx="325">
                  <c:v>8.1</c:v>
                </c:pt>
                <c:pt idx="326">
                  <c:v>8.1</c:v>
                </c:pt>
                <c:pt idx="327">
                  <c:v>8.1</c:v>
                </c:pt>
                <c:pt idx="328">
                  <c:v>8.1</c:v>
                </c:pt>
                <c:pt idx="329">
                  <c:v>8.1</c:v>
                </c:pt>
                <c:pt idx="330">
                  <c:v>8.1</c:v>
                </c:pt>
                <c:pt idx="331">
                  <c:v>8.1</c:v>
                </c:pt>
                <c:pt idx="332">
                  <c:v>8.1</c:v>
                </c:pt>
                <c:pt idx="333">
                  <c:v>8.1</c:v>
                </c:pt>
                <c:pt idx="334">
                  <c:v>8.1</c:v>
                </c:pt>
                <c:pt idx="335">
                  <c:v>8.1</c:v>
                </c:pt>
                <c:pt idx="336">
                  <c:v>8.1</c:v>
                </c:pt>
                <c:pt idx="337">
                  <c:v>8.1</c:v>
                </c:pt>
                <c:pt idx="338">
                  <c:v>8.1</c:v>
                </c:pt>
                <c:pt idx="339">
                  <c:v>8.1</c:v>
                </c:pt>
                <c:pt idx="340">
                  <c:v>8.1</c:v>
                </c:pt>
                <c:pt idx="341">
                  <c:v>8.1</c:v>
                </c:pt>
                <c:pt idx="342">
                  <c:v>8.1</c:v>
                </c:pt>
                <c:pt idx="343">
                  <c:v>8.1</c:v>
                </c:pt>
                <c:pt idx="344">
                  <c:v>8.1</c:v>
                </c:pt>
                <c:pt idx="345">
                  <c:v>8.1</c:v>
                </c:pt>
                <c:pt idx="346">
                  <c:v>9.1</c:v>
                </c:pt>
                <c:pt idx="347">
                  <c:v>9.1</c:v>
                </c:pt>
                <c:pt idx="348">
                  <c:v>9.1</c:v>
                </c:pt>
                <c:pt idx="349">
                  <c:v>9.1</c:v>
                </c:pt>
                <c:pt idx="350">
                  <c:v>9.1</c:v>
                </c:pt>
                <c:pt idx="351">
                  <c:v>9.1</c:v>
                </c:pt>
                <c:pt idx="352">
                  <c:v>9.1</c:v>
                </c:pt>
                <c:pt idx="353">
                  <c:v>9.1</c:v>
                </c:pt>
                <c:pt idx="354">
                  <c:v>9.1</c:v>
                </c:pt>
                <c:pt idx="355">
                  <c:v>9.1</c:v>
                </c:pt>
                <c:pt idx="356">
                  <c:v>9.1</c:v>
                </c:pt>
                <c:pt idx="357">
                  <c:v>9.1</c:v>
                </c:pt>
                <c:pt idx="358">
                  <c:v>9.1</c:v>
                </c:pt>
                <c:pt idx="359">
                  <c:v>9.1</c:v>
                </c:pt>
                <c:pt idx="360">
                  <c:v>9.1</c:v>
                </c:pt>
                <c:pt idx="361">
                  <c:v>9.1</c:v>
                </c:pt>
                <c:pt idx="362">
                  <c:v>9.1</c:v>
                </c:pt>
                <c:pt idx="363">
                  <c:v>9.1</c:v>
                </c:pt>
                <c:pt idx="364">
                  <c:v>9.1</c:v>
                </c:pt>
                <c:pt idx="365">
                  <c:v>9.1</c:v>
                </c:pt>
                <c:pt idx="366">
                  <c:v>9.1</c:v>
                </c:pt>
                <c:pt idx="367">
                  <c:v>9.1</c:v>
                </c:pt>
                <c:pt idx="368">
                  <c:v>9.1</c:v>
                </c:pt>
                <c:pt idx="369">
                  <c:v>9.1</c:v>
                </c:pt>
                <c:pt idx="370">
                  <c:v>9.1</c:v>
                </c:pt>
                <c:pt idx="371">
                  <c:v>9.1</c:v>
                </c:pt>
                <c:pt idx="372">
                  <c:v>9.1</c:v>
                </c:pt>
                <c:pt idx="373">
                  <c:v>9.1</c:v>
                </c:pt>
                <c:pt idx="374">
                  <c:v>9.1</c:v>
                </c:pt>
                <c:pt idx="375">
                  <c:v>9.1</c:v>
                </c:pt>
                <c:pt idx="376">
                  <c:v>9.1</c:v>
                </c:pt>
                <c:pt idx="377">
                  <c:v>9.1</c:v>
                </c:pt>
                <c:pt idx="378">
                  <c:v>9.1</c:v>
                </c:pt>
                <c:pt idx="379">
                  <c:v>9.1</c:v>
                </c:pt>
                <c:pt idx="380">
                  <c:v>9.1</c:v>
                </c:pt>
                <c:pt idx="381">
                  <c:v>9.1</c:v>
                </c:pt>
                <c:pt idx="382">
                  <c:v>9.1</c:v>
                </c:pt>
                <c:pt idx="383">
                  <c:v>9.1</c:v>
                </c:pt>
                <c:pt idx="384">
                  <c:v>9.1</c:v>
                </c:pt>
                <c:pt idx="385">
                  <c:v>9.1</c:v>
                </c:pt>
                <c:pt idx="386">
                  <c:v>9.1</c:v>
                </c:pt>
                <c:pt idx="387">
                  <c:v>9.1</c:v>
                </c:pt>
                <c:pt idx="388">
                  <c:v>9.1</c:v>
                </c:pt>
                <c:pt idx="389">
                  <c:v>9.1</c:v>
                </c:pt>
                <c:pt idx="390">
                  <c:v>9.1</c:v>
                </c:pt>
                <c:pt idx="391">
                  <c:v>9.1</c:v>
                </c:pt>
                <c:pt idx="392">
                  <c:v>9.1</c:v>
                </c:pt>
                <c:pt idx="393">
                  <c:v>9.1</c:v>
                </c:pt>
                <c:pt idx="394">
                  <c:v>9.1</c:v>
                </c:pt>
                <c:pt idx="395">
                  <c:v>9.1</c:v>
                </c:pt>
                <c:pt idx="396">
                  <c:v>9.1</c:v>
                </c:pt>
                <c:pt idx="397">
                  <c:v>9.1</c:v>
                </c:pt>
                <c:pt idx="398">
                  <c:v>9.1</c:v>
                </c:pt>
                <c:pt idx="399">
                  <c:v>9.1</c:v>
                </c:pt>
                <c:pt idx="400">
                  <c:v>9.1</c:v>
                </c:pt>
                <c:pt idx="401">
                  <c:v>9.1</c:v>
                </c:pt>
                <c:pt idx="402">
                  <c:v>9.1</c:v>
                </c:pt>
                <c:pt idx="403">
                  <c:v>9.1</c:v>
                </c:pt>
                <c:pt idx="404">
                  <c:v>9.1</c:v>
                </c:pt>
                <c:pt idx="405">
                  <c:v>9.1</c:v>
                </c:pt>
                <c:pt idx="406">
                  <c:v>9.1</c:v>
                </c:pt>
                <c:pt idx="407">
                  <c:v>9.1</c:v>
                </c:pt>
                <c:pt idx="408">
                  <c:v>9.1</c:v>
                </c:pt>
                <c:pt idx="409">
                  <c:v>9.1</c:v>
                </c:pt>
                <c:pt idx="410">
                  <c:v>9.1</c:v>
                </c:pt>
                <c:pt idx="411">
                  <c:v>9.1</c:v>
                </c:pt>
                <c:pt idx="412">
                  <c:v>9.1</c:v>
                </c:pt>
                <c:pt idx="413">
                  <c:v>9.1</c:v>
                </c:pt>
                <c:pt idx="414">
                  <c:v>9.1</c:v>
                </c:pt>
                <c:pt idx="415">
                  <c:v>9.1</c:v>
                </c:pt>
                <c:pt idx="416">
                  <c:v>9.1</c:v>
                </c:pt>
                <c:pt idx="417">
                  <c:v>9.1</c:v>
                </c:pt>
                <c:pt idx="418">
                  <c:v>10.1</c:v>
                </c:pt>
                <c:pt idx="419">
                  <c:v>10.1</c:v>
                </c:pt>
                <c:pt idx="420">
                  <c:v>10.1</c:v>
                </c:pt>
                <c:pt idx="421">
                  <c:v>10.1</c:v>
                </c:pt>
                <c:pt idx="422">
                  <c:v>10.1</c:v>
                </c:pt>
                <c:pt idx="423">
                  <c:v>10.1</c:v>
                </c:pt>
                <c:pt idx="424">
                  <c:v>10.1</c:v>
                </c:pt>
                <c:pt idx="425">
                  <c:v>10.1</c:v>
                </c:pt>
                <c:pt idx="426">
                  <c:v>10.1</c:v>
                </c:pt>
                <c:pt idx="427">
                  <c:v>10.1</c:v>
                </c:pt>
                <c:pt idx="428">
                  <c:v>10.1</c:v>
                </c:pt>
                <c:pt idx="429">
                  <c:v>10.1</c:v>
                </c:pt>
                <c:pt idx="430">
                  <c:v>10.1</c:v>
                </c:pt>
                <c:pt idx="431">
                  <c:v>10.1</c:v>
                </c:pt>
                <c:pt idx="432">
                  <c:v>10.1</c:v>
                </c:pt>
                <c:pt idx="433">
                  <c:v>10.1</c:v>
                </c:pt>
                <c:pt idx="434">
                  <c:v>10.1</c:v>
                </c:pt>
                <c:pt idx="435">
                  <c:v>10.1</c:v>
                </c:pt>
                <c:pt idx="436">
                  <c:v>10.1</c:v>
                </c:pt>
                <c:pt idx="437">
                  <c:v>10.1</c:v>
                </c:pt>
                <c:pt idx="438">
                  <c:v>10.1</c:v>
                </c:pt>
                <c:pt idx="439">
                  <c:v>10.1</c:v>
                </c:pt>
                <c:pt idx="440">
                  <c:v>10.1</c:v>
                </c:pt>
                <c:pt idx="441">
                  <c:v>10.1</c:v>
                </c:pt>
                <c:pt idx="442">
                  <c:v>10.1</c:v>
                </c:pt>
                <c:pt idx="443">
                  <c:v>10.1</c:v>
                </c:pt>
                <c:pt idx="444">
                  <c:v>10.1</c:v>
                </c:pt>
                <c:pt idx="445">
                  <c:v>10.1</c:v>
                </c:pt>
                <c:pt idx="446">
                  <c:v>10.1</c:v>
                </c:pt>
                <c:pt idx="447">
                  <c:v>10.1</c:v>
                </c:pt>
                <c:pt idx="448">
                  <c:v>10.1</c:v>
                </c:pt>
                <c:pt idx="449">
                  <c:v>10.1</c:v>
                </c:pt>
                <c:pt idx="450">
                  <c:v>10.1</c:v>
                </c:pt>
                <c:pt idx="451">
                  <c:v>10.1</c:v>
                </c:pt>
                <c:pt idx="452">
                  <c:v>10.1</c:v>
                </c:pt>
                <c:pt idx="453">
                  <c:v>10.1</c:v>
                </c:pt>
                <c:pt idx="454">
                  <c:v>10.1</c:v>
                </c:pt>
                <c:pt idx="455">
                  <c:v>10.1</c:v>
                </c:pt>
                <c:pt idx="456">
                  <c:v>10.1</c:v>
                </c:pt>
                <c:pt idx="457">
                  <c:v>10.1</c:v>
                </c:pt>
                <c:pt idx="458">
                  <c:v>10.1</c:v>
                </c:pt>
                <c:pt idx="459">
                  <c:v>10.1</c:v>
                </c:pt>
                <c:pt idx="460">
                  <c:v>10.1</c:v>
                </c:pt>
                <c:pt idx="461">
                  <c:v>10.1</c:v>
                </c:pt>
                <c:pt idx="462">
                  <c:v>10.1</c:v>
                </c:pt>
                <c:pt idx="463">
                  <c:v>10.1</c:v>
                </c:pt>
                <c:pt idx="464">
                  <c:v>10.1</c:v>
                </c:pt>
                <c:pt idx="465">
                  <c:v>10.1</c:v>
                </c:pt>
                <c:pt idx="466">
                  <c:v>10.1</c:v>
                </c:pt>
                <c:pt idx="467">
                  <c:v>10.1</c:v>
                </c:pt>
                <c:pt idx="468">
                  <c:v>10.1</c:v>
                </c:pt>
                <c:pt idx="469">
                  <c:v>10.1</c:v>
                </c:pt>
                <c:pt idx="470">
                  <c:v>10.1</c:v>
                </c:pt>
                <c:pt idx="471">
                  <c:v>10.1</c:v>
                </c:pt>
                <c:pt idx="472">
                  <c:v>10.1</c:v>
                </c:pt>
                <c:pt idx="473">
                  <c:v>10.1</c:v>
                </c:pt>
                <c:pt idx="474">
                  <c:v>10.1</c:v>
                </c:pt>
                <c:pt idx="475">
                  <c:v>10.1</c:v>
                </c:pt>
                <c:pt idx="476">
                  <c:v>10.1</c:v>
                </c:pt>
                <c:pt idx="477">
                  <c:v>11.1</c:v>
                </c:pt>
                <c:pt idx="478">
                  <c:v>11.1</c:v>
                </c:pt>
                <c:pt idx="479">
                  <c:v>11.1</c:v>
                </c:pt>
                <c:pt idx="480">
                  <c:v>11.1</c:v>
                </c:pt>
                <c:pt idx="481">
                  <c:v>11.1</c:v>
                </c:pt>
                <c:pt idx="482">
                  <c:v>11.1</c:v>
                </c:pt>
                <c:pt idx="483">
                  <c:v>11.1</c:v>
                </c:pt>
                <c:pt idx="484">
                  <c:v>11.1</c:v>
                </c:pt>
                <c:pt idx="485">
                  <c:v>11.1</c:v>
                </c:pt>
                <c:pt idx="486">
                  <c:v>11.1</c:v>
                </c:pt>
                <c:pt idx="487">
                  <c:v>11.1</c:v>
                </c:pt>
                <c:pt idx="488">
                  <c:v>11.1</c:v>
                </c:pt>
                <c:pt idx="489">
                  <c:v>11.1</c:v>
                </c:pt>
                <c:pt idx="490">
                  <c:v>11.1</c:v>
                </c:pt>
                <c:pt idx="491">
                  <c:v>11.1</c:v>
                </c:pt>
                <c:pt idx="492">
                  <c:v>11.1</c:v>
                </c:pt>
                <c:pt idx="493">
                  <c:v>11.1</c:v>
                </c:pt>
                <c:pt idx="494">
                  <c:v>11.1</c:v>
                </c:pt>
                <c:pt idx="495">
                  <c:v>11.1</c:v>
                </c:pt>
                <c:pt idx="496">
                  <c:v>11.1</c:v>
                </c:pt>
                <c:pt idx="497">
                  <c:v>11.1</c:v>
                </c:pt>
                <c:pt idx="498">
                  <c:v>11.1</c:v>
                </c:pt>
                <c:pt idx="499">
                  <c:v>11.1</c:v>
                </c:pt>
                <c:pt idx="500">
                  <c:v>11.1</c:v>
                </c:pt>
                <c:pt idx="501">
                  <c:v>11.1</c:v>
                </c:pt>
                <c:pt idx="502">
                  <c:v>11.1</c:v>
                </c:pt>
                <c:pt idx="503">
                  <c:v>11.1</c:v>
                </c:pt>
                <c:pt idx="504">
                  <c:v>11.1</c:v>
                </c:pt>
                <c:pt idx="505">
                  <c:v>11.1</c:v>
                </c:pt>
                <c:pt idx="506">
                  <c:v>11.1</c:v>
                </c:pt>
                <c:pt idx="507">
                  <c:v>11.1</c:v>
                </c:pt>
                <c:pt idx="508">
                  <c:v>11.1</c:v>
                </c:pt>
                <c:pt idx="509">
                  <c:v>11.1</c:v>
                </c:pt>
                <c:pt idx="510">
                  <c:v>11.1</c:v>
                </c:pt>
                <c:pt idx="511">
                  <c:v>11.1</c:v>
                </c:pt>
                <c:pt idx="512">
                  <c:v>11.1</c:v>
                </c:pt>
                <c:pt idx="513">
                  <c:v>11.1</c:v>
                </c:pt>
                <c:pt idx="514">
                  <c:v>11.1</c:v>
                </c:pt>
                <c:pt idx="515">
                  <c:v>11.1</c:v>
                </c:pt>
                <c:pt idx="516">
                  <c:v>11.1</c:v>
                </c:pt>
                <c:pt idx="517">
                  <c:v>11.1</c:v>
                </c:pt>
                <c:pt idx="518">
                  <c:v>11.1</c:v>
                </c:pt>
                <c:pt idx="519">
                  <c:v>11.1</c:v>
                </c:pt>
                <c:pt idx="520">
                  <c:v>11.1</c:v>
                </c:pt>
                <c:pt idx="521">
                  <c:v>11.1</c:v>
                </c:pt>
                <c:pt idx="522">
                  <c:v>11.1</c:v>
                </c:pt>
                <c:pt idx="523">
                  <c:v>11.1</c:v>
                </c:pt>
                <c:pt idx="524">
                  <c:v>11.1</c:v>
                </c:pt>
                <c:pt idx="525">
                  <c:v>11.1</c:v>
                </c:pt>
                <c:pt idx="526">
                  <c:v>11.1</c:v>
                </c:pt>
                <c:pt idx="527">
                  <c:v>11.1</c:v>
                </c:pt>
                <c:pt idx="528">
                  <c:v>11.1</c:v>
                </c:pt>
                <c:pt idx="529">
                  <c:v>11.1</c:v>
                </c:pt>
                <c:pt idx="530">
                  <c:v>11.1</c:v>
                </c:pt>
                <c:pt idx="531">
                  <c:v>11.1</c:v>
                </c:pt>
                <c:pt idx="532">
                  <c:v>11.1</c:v>
                </c:pt>
                <c:pt idx="533">
                  <c:v>11.1</c:v>
                </c:pt>
                <c:pt idx="534">
                  <c:v>11.1</c:v>
                </c:pt>
                <c:pt idx="535">
                  <c:v>11.1</c:v>
                </c:pt>
                <c:pt idx="536">
                  <c:v>11.1</c:v>
                </c:pt>
                <c:pt idx="537">
                  <c:v>11.1</c:v>
                </c:pt>
                <c:pt idx="538">
                  <c:v>11.1</c:v>
                </c:pt>
                <c:pt idx="539">
                  <c:v>11.1</c:v>
                </c:pt>
                <c:pt idx="540">
                  <c:v>11.1</c:v>
                </c:pt>
                <c:pt idx="541">
                  <c:v>11.1</c:v>
                </c:pt>
                <c:pt idx="542">
                  <c:v>11.1</c:v>
                </c:pt>
                <c:pt idx="543">
                  <c:v>11.1</c:v>
                </c:pt>
                <c:pt idx="544">
                  <c:v>11.1</c:v>
                </c:pt>
                <c:pt idx="545">
                  <c:v>11.1</c:v>
                </c:pt>
                <c:pt idx="546">
                  <c:v>11.1</c:v>
                </c:pt>
                <c:pt idx="547">
                  <c:v>11.1</c:v>
                </c:pt>
                <c:pt idx="548">
                  <c:v>11.1</c:v>
                </c:pt>
                <c:pt idx="549">
                  <c:v>11.1</c:v>
                </c:pt>
                <c:pt idx="550">
                  <c:v>11.1</c:v>
                </c:pt>
                <c:pt idx="551">
                  <c:v>11.1</c:v>
                </c:pt>
                <c:pt idx="552">
                  <c:v>11.1</c:v>
                </c:pt>
                <c:pt idx="553">
                  <c:v>11.1</c:v>
                </c:pt>
                <c:pt idx="554">
                  <c:v>11.1</c:v>
                </c:pt>
                <c:pt idx="555">
                  <c:v>11.1</c:v>
                </c:pt>
                <c:pt idx="556">
                  <c:v>11.1</c:v>
                </c:pt>
                <c:pt idx="557">
                  <c:v>11.1</c:v>
                </c:pt>
                <c:pt idx="558">
                  <c:v>11.1</c:v>
                </c:pt>
                <c:pt idx="559">
                  <c:v>11.1</c:v>
                </c:pt>
                <c:pt idx="560">
                  <c:v>11.1</c:v>
                </c:pt>
                <c:pt idx="561">
                  <c:v>11.1</c:v>
                </c:pt>
                <c:pt idx="562">
                  <c:v>11.1</c:v>
                </c:pt>
                <c:pt idx="563">
                  <c:v>11.1</c:v>
                </c:pt>
                <c:pt idx="564">
                  <c:v>11.1</c:v>
                </c:pt>
                <c:pt idx="565">
                  <c:v>11.1</c:v>
                </c:pt>
                <c:pt idx="566">
                  <c:v>11.1</c:v>
                </c:pt>
                <c:pt idx="567">
                  <c:v>11.1</c:v>
                </c:pt>
                <c:pt idx="568">
                  <c:v>11.1</c:v>
                </c:pt>
                <c:pt idx="569">
                  <c:v>11.1</c:v>
                </c:pt>
                <c:pt idx="570">
                  <c:v>11.1</c:v>
                </c:pt>
                <c:pt idx="571">
                  <c:v>11.1</c:v>
                </c:pt>
                <c:pt idx="572">
                  <c:v>11.1</c:v>
                </c:pt>
                <c:pt idx="573">
                  <c:v>11.1</c:v>
                </c:pt>
                <c:pt idx="574">
                  <c:v>11.1</c:v>
                </c:pt>
                <c:pt idx="575">
                  <c:v>11.1</c:v>
                </c:pt>
                <c:pt idx="576">
                  <c:v>11.1</c:v>
                </c:pt>
                <c:pt idx="577">
                  <c:v>11.1</c:v>
                </c:pt>
                <c:pt idx="578">
                  <c:v>11.1</c:v>
                </c:pt>
                <c:pt idx="579">
                  <c:v>11.1</c:v>
                </c:pt>
                <c:pt idx="580">
                  <c:v>11.1</c:v>
                </c:pt>
                <c:pt idx="581">
                  <c:v>11.1</c:v>
                </c:pt>
                <c:pt idx="582">
                  <c:v>11.1</c:v>
                </c:pt>
                <c:pt idx="583">
                  <c:v>11.1</c:v>
                </c:pt>
                <c:pt idx="584">
                  <c:v>11.1</c:v>
                </c:pt>
                <c:pt idx="585">
                  <c:v>11.1</c:v>
                </c:pt>
                <c:pt idx="586">
                  <c:v>11.1</c:v>
                </c:pt>
                <c:pt idx="587">
                  <c:v>11.1</c:v>
                </c:pt>
                <c:pt idx="588">
                  <c:v>11.1</c:v>
                </c:pt>
                <c:pt idx="589">
                  <c:v>11.1</c:v>
                </c:pt>
                <c:pt idx="590">
                  <c:v>11.1</c:v>
                </c:pt>
                <c:pt idx="591">
                  <c:v>11.1</c:v>
                </c:pt>
                <c:pt idx="592">
                  <c:v>11.1</c:v>
                </c:pt>
                <c:pt idx="593">
                  <c:v>11.1</c:v>
                </c:pt>
                <c:pt idx="594">
                  <c:v>11.1</c:v>
                </c:pt>
                <c:pt idx="595">
                  <c:v>11.1</c:v>
                </c:pt>
                <c:pt idx="596">
                  <c:v>11.1</c:v>
                </c:pt>
                <c:pt idx="597">
                  <c:v>11.1</c:v>
                </c:pt>
                <c:pt idx="598">
                  <c:v>11.1</c:v>
                </c:pt>
                <c:pt idx="599">
                  <c:v>11.1</c:v>
                </c:pt>
                <c:pt idx="600">
                  <c:v>11.1</c:v>
                </c:pt>
                <c:pt idx="601">
                  <c:v>11.1</c:v>
                </c:pt>
                <c:pt idx="602">
                  <c:v>11.1</c:v>
                </c:pt>
                <c:pt idx="603">
                  <c:v>11.1</c:v>
                </c:pt>
                <c:pt idx="604">
                  <c:v>11.1</c:v>
                </c:pt>
                <c:pt idx="605">
                  <c:v>11.1</c:v>
                </c:pt>
                <c:pt idx="606">
                  <c:v>11.1</c:v>
                </c:pt>
                <c:pt idx="607">
                  <c:v>11.1</c:v>
                </c:pt>
                <c:pt idx="608">
                  <c:v>11.1</c:v>
                </c:pt>
                <c:pt idx="609">
                  <c:v>11.1</c:v>
                </c:pt>
                <c:pt idx="610">
                  <c:v>11.1</c:v>
                </c:pt>
                <c:pt idx="611">
                  <c:v>11.1</c:v>
                </c:pt>
                <c:pt idx="612">
                  <c:v>11.1</c:v>
                </c:pt>
                <c:pt idx="613">
                  <c:v>11.1</c:v>
                </c:pt>
                <c:pt idx="614">
                  <c:v>11.1</c:v>
                </c:pt>
                <c:pt idx="615">
                  <c:v>11.1</c:v>
                </c:pt>
                <c:pt idx="616">
                  <c:v>11.1</c:v>
                </c:pt>
                <c:pt idx="617">
                  <c:v>11.1</c:v>
                </c:pt>
                <c:pt idx="618">
                  <c:v>11.1</c:v>
                </c:pt>
                <c:pt idx="619">
                  <c:v>11.1</c:v>
                </c:pt>
                <c:pt idx="620">
                  <c:v>11.1</c:v>
                </c:pt>
                <c:pt idx="621">
                  <c:v>11.1</c:v>
                </c:pt>
                <c:pt idx="622">
                  <c:v>11.1</c:v>
                </c:pt>
                <c:pt idx="623">
                  <c:v>11.1</c:v>
                </c:pt>
                <c:pt idx="624">
                  <c:v>12.1</c:v>
                </c:pt>
                <c:pt idx="625">
                  <c:v>12.1</c:v>
                </c:pt>
                <c:pt idx="626">
                  <c:v>12.1</c:v>
                </c:pt>
                <c:pt idx="627">
                  <c:v>12.1</c:v>
                </c:pt>
                <c:pt idx="628">
                  <c:v>12.1</c:v>
                </c:pt>
                <c:pt idx="629">
                  <c:v>12.1</c:v>
                </c:pt>
                <c:pt idx="630">
                  <c:v>12.1</c:v>
                </c:pt>
                <c:pt idx="631">
                  <c:v>12.1</c:v>
                </c:pt>
                <c:pt idx="632">
                  <c:v>12.1</c:v>
                </c:pt>
                <c:pt idx="633">
                  <c:v>12.1</c:v>
                </c:pt>
                <c:pt idx="634">
                  <c:v>12.1</c:v>
                </c:pt>
                <c:pt idx="635">
                  <c:v>12.1</c:v>
                </c:pt>
                <c:pt idx="636">
                  <c:v>12.1</c:v>
                </c:pt>
                <c:pt idx="637">
                  <c:v>12.1</c:v>
                </c:pt>
                <c:pt idx="638">
                  <c:v>12.1</c:v>
                </c:pt>
                <c:pt idx="639">
                  <c:v>12.1</c:v>
                </c:pt>
                <c:pt idx="640">
                  <c:v>12.1</c:v>
                </c:pt>
                <c:pt idx="641">
                  <c:v>12.1</c:v>
                </c:pt>
                <c:pt idx="642">
                  <c:v>12.1</c:v>
                </c:pt>
                <c:pt idx="643">
                  <c:v>12.1</c:v>
                </c:pt>
                <c:pt idx="644">
                  <c:v>12.1</c:v>
                </c:pt>
                <c:pt idx="645">
                  <c:v>12.1</c:v>
                </c:pt>
                <c:pt idx="646">
                  <c:v>12.1</c:v>
                </c:pt>
                <c:pt idx="647">
                  <c:v>12.1</c:v>
                </c:pt>
                <c:pt idx="648">
                  <c:v>12.1</c:v>
                </c:pt>
                <c:pt idx="649">
                  <c:v>12.1</c:v>
                </c:pt>
                <c:pt idx="650">
                  <c:v>12.1</c:v>
                </c:pt>
                <c:pt idx="651">
                  <c:v>12.1</c:v>
                </c:pt>
                <c:pt idx="652">
                  <c:v>12.1</c:v>
                </c:pt>
                <c:pt idx="653">
                  <c:v>12.1</c:v>
                </c:pt>
                <c:pt idx="654">
                  <c:v>12.1</c:v>
                </c:pt>
                <c:pt idx="655">
                  <c:v>13.1</c:v>
                </c:pt>
                <c:pt idx="656">
                  <c:v>13.1</c:v>
                </c:pt>
                <c:pt idx="657">
                  <c:v>13.1</c:v>
                </c:pt>
                <c:pt idx="658">
                  <c:v>13.1</c:v>
                </c:pt>
                <c:pt idx="659">
                  <c:v>13.1</c:v>
                </c:pt>
                <c:pt idx="660">
                  <c:v>13.1</c:v>
                </c:pt>
                <c:pt idx="661">
                  <c:v>13.1</c:v>
                </c:pt>
                <c:pt idx="662">
                  <c:v>13.1</c:v>
                </c:pt>
                <c:pt idx="663">
                  <c:v>13.1</c:v>
                </c:pt>
                <c:pt idx="664">
                  <c:v>13.1</c:v>
                </c:pt>
                <c:pt idx="665">
                  <c:v>13.1</c:v>
                </c:pt>
                <c:pt idx="666">
                  <c:v>13.1</c:v>
                </c:pt>
                <c:pt idx="667">
                  <c:v>13.1</c:v>
                </c:pt>
                <c:pt idx="668">
                  <c:v>13.1</c:v>
                </c:pt>
                <c:pt idx="669">
                  <c:v>13.1</c:v>
                </c:pt>
                <c:pt idx="670">
                  <c:v>13.1</c:v>
                </c:pt>
                <c:pt idx="671">
                  <c:v>13.1</c:v>
                </c:pt>
                <c:pt idx="672">
                  <c:v>13.1</c:v>
                </c:pt>
                <c:pt idx="673">
                  <c:v>13.1</c:v>
                </c:pt>
                <c:pt idx="674">
                  <c:v>13.1</c:v>
                </c:pt>
                <c:pt idx="675">
                  <c:v>13.1</c:v>
                </c:pt>
                <c:pt idx="676">
                  <c:v>13.1</c:v>
                </c:pt>
                <c:pt idx="677">
                  <c:v>13.1</c:v>
                </c:pt>
                <c:pt idx="678">
                  <c:v>13.1</c:v>
                </c:pt>
                <c:pt idx="679">
                  <c:v>13.1</c:v>
                </c:pt>
                <c:pt idx="680">
                  <c:v>13.1</c:v>
                </c:pt>
                <c:pt idx="681">
                  <c:v>13.1</c:v>
                </c:pt>
                <c:pt idx="682">
                  <c:v>13.1</c:v>
                </c:pt>
                <c:pt idx="683">
                  <c:v>13.1</c:v>
                </c:pt>
                <c:pt idx="684">
                  <c:v>13.1</c:v>
                </c:pt>
                <c:pt idx="685">
                  <c:v>13.1</c:v>
                </c:pt>
                <c:pt idx="686">
                  <c:v>13.1</c:v>
                </c:pt>
                <c:pt idx="687">
                  <c:v>13.1</c:v>
                </c:pt>
                <c:pt idx="688">
                  <c:v>13.1</c:v>
                </c:pt>
                <c:pt idx="689">
                  <c:v>14.1</c:v>
                </c:pt>
                <c:pt idx="690">
                  <c:v>14.1</c:v>
                </c:pt>
                <c:pt idx="691">
                  <c:v>14.1</c:v>
                </c:pt>
                <c:pt idx="692">
                  <c:v>14.1</c:v>
                </c:pt>
                <c:pt idx="693">
                  <c:v>14.1</c:v>
                </c:pt>
                <c:pt idx="694">
                  <c:v>14.1</c:v>
                </c:pt>
                <c:pt idx="695">
                  <c:v>14.1</c:v>
                </c:pt>
                <c:pt idx="696">
                  <c:v>14.1</c:v>
                </c:pt>
                <c:pt idx="697">
                  <c:v>14.1</c:v>
                </c:pt>
                <c:pt idx="698">
                  <c:v>14.1</c:v>
                </c:pt>
                <c:pt idx="699">
                  <c:v>14.1</c:v>
                </c:pt>
                <c:pt idx="700">
                  <c:v>14.1</c:v>
                </c:pt>
                <c:pt idx="701">
                  <c:v>14.1</c:v>
                </c:pt>
                <c:pt idx="702">
                  <c:v>14.1</c:v>
                </c:pt>
                <c:pt idx="703">
                  <c:v>14.1</c:v>
                </c:pt>
                <c:pt idx="704">
                  <c:v>14.1</c:v>
                </c:pt>
                <c:pt idx="705">
                  <c:v>14.1</c:v>
                </c:pt>
                <c:pt idx="706">
                  <c:v>14.1</c:v>
                </c:pt>
                <c:pt idx="707">
                  <c:v>14.1</c:v>
                </c:pt>
                <c:pt idx="708">
                  <c:v>14.1</c:v>
                </c:pt>
                <c:pt idx="709">
                  <c:v>14.1</c:v>
                </c:pt>
                <c:pt idx="710">
                  <c:v>14.1</c:v>
                </c:pt>
                <c:pt idx="711">
                  <c:v>14.1</c:v>
                </c:pt>
                <c:pt idx="712">
                  <c:v>14.1</c:v>
                </c:pt>
                <c:pt idx="713">
                  <c:v>14.1</c:v>
                </c:pt>
                <c:pt idx="714">
                  <c:v>14.1</c:v>
                </c:pt>
                <c:pt idx="715">
                  <c:v>14.1</c:v>
                </c:pt>
                <c:pt idx="716">
                  <c:v>14.1</c:v>
                </c:pt>
                <c:pt idx="717">
                  <c:v>14.1</c:v>
                </c:pt>
                <c:pt idx="718">
                  <c:v>14.1</c:v>
                </c:pt>
                <c:pt idx="719">
                  <c:v>14.1</c:v>
                </c:pt>
                <c:pt idx="720">
                  <c:v>14.1</c:v>
                </c:pt>
                <c:pt idx="721">
                  <c:v>14.1</c:v>
                </c:pt>
                <c:pt idx="722">
                  <c:v>14.1</c:v>
                </c:pt>
                <c:pt idx="723">
                  <c:v>14.1</c:v>
                </c:pt>
                <c:pt idx="724">
                  <c:v>14.1</c:v>
                </c:pt>
                <c:pt idx="725">
                  <c:v>14.1</c:v>
                </c:pt>
                <c:pt idx="726">
                  <c:v>14.1</c:v>
                </c:pt>
                <c:pt idx="727">
                  <c:v>14.1</c:v>
                </c:pt>
                <c:pt idx="728">
                  <c:v>14.1</c:v>
                </c:pt>
                <c:pt idx="729">
                  <c:v>14.1</c:v>
                </c:pt>
                <c:pt idx="730">
                  <c:v>14.1</c:v>
                </c:pt>
                <c:pt idx="731">
                  <c:v>14.1</c:v>
                </c:pt>
                <c:pt idx="732">
                  <c:v>14.1</c:v>
                </c:pt>
                <c:pt idx="733">
                  <c:v>14.1</c:v>
                </c:pt>
                <c:pt idx="734">
                  <c:v>14.1</c:v>
                </c:pt>
                <c:pt idx="735">
                  <c:v>14.1</c:v>
                </c:pt>
                <c:pt idx="736">
                  <c:v>14.1</c:v>
                </c:pt>
                <c:pt idx="737">
                  <c:v>14.1</c:v>
                </c:pt>
                <c:pt idx="738">
                  <c:v>14.1</c:v>
                </c:pt>
                <c:pt idx="739">
                  <c:v>14.1</c:v>
                </c:pt>
                <c:pt idx="740">
                  <c:v>14.1</c:v>
                </c:pt>
                <c:pt idx="741">
                  <c:v>14.1</c:v>
                </c:pt>
                <c:pt idx="742">
                  <c:v>14.1</c:v>
                </c:pt>
                <c:pt idx="743">
                  <c:v>14.1</c:v>
                </c:pt>
                <c:pt idx="744">
                  <c:v>14.1</c:v>
                </c:pt>
                <c:pt idx="745">
                  <c:v>14.1</c:v>
                </c:pt>
                <c:pt idx="746">
                  <c:v>14.1</c:v>
                </c:pt>
                <c:pt idx="747">
                  <c:v>14.1</c:v>
                </c:pt>
                <c:pt idx="748">
                  <c:v>14.1</c:v>
                </c:pt>
                <c:pt idx="749">
                  <c:v>14.1</c:v>
                </c:pt>
                <c:pt idx="750">
                  <c:v>14.1</c:v>
                </c:pt>
                <c:pt idx="751">
                  <c:v>14.1</c:v>
                </c:pt>
                <c:pt idx="752">
                  <c:v>14.1</c:v>
                </c:pt>
                <c:pt idx="753">
                  <c:v>14.1</c:v>
                </c:pt>
                <c:pt idx="754">
                  <c:v>14.1</c:v>
                </c:pt>
                <c:pt idx="755">
                  <c:v>14.1</c:v>
                </c:pt>
                <c:pt idx="756">
                  <c:v>14.1</c:v>
                </c:pt>
                <c:pt idx="757">
                  <c:v>14.1</c:v>
                </c:pt>
                <c:pt idx="758">
                  <c:v>14.1</c:v>
                </c:pt>
                <c:pt idx="759">
                  <c:v>14.1</c:v>
                </c:pt>
                <c:pt idx="760">
                  <c:v>14.1</c:v>
                </c:pt>
                <c:pt idx="761">
                  <c:v>14.1</c:v>
                </c:pt>
                <c:pt idx="762">
                  <c:v>14.1</c:v>
                </c:pt>
                <c:pt idx="763">
                  <c:v>14.1</c:v>
                </c:pt>
                <c:pt idx="764">
                  <c:v>14.1</c:v>
                </c:pt>
                <c:pt idx="765">
                  <c:v>14.1</c:v>
                </c:pt>
                <c:pt idx="766">
                  <c:v>14.1</c:v>
                </c:pt>
                <c:pt idx="767">
                  <c:v>14.1</c:v>
                </c:pt>
                <c:pt idx="768">
                  <c:v>14.1</c:v>
                </c:pt>
                <c:pt idx="769">
                  <c:v>14.1</c:v>
                </c:pt>
                <c:pt idx="770">
                  <c:v>14.1</c:v>
                </c:pt>
                <c:pt idx="771">
                  <c:v>14.1</c:v>
                </c:pt>
                <c:pt idx="772">
                  <c:v>14.1</c:v>
                </c:pt>
                <c:pt idx="773">
                  <c:v>14.1</c:v>
                </c:pt>
                <c:pt idx="774">
                  <c:v>14.1</c:v>
                </c:pt>
                <c:pt idx="775">
                  <c:v>14.1</c:v>
                </c:pt>
                <c:pt idx="776">
                  <c:v>14.1</c:v>
                </c:pt>
                <c:pt idx="777">
                  <c:v>14.1</c:v>
                </c:pt>
                <c:pt idx="778">
                  <c:v>14.1</c:v>
                </c:pt>
                <c:pt idx="779">
                  <c:v>14.1</c:v>
                </c:pt>
                <c:pt idx="780">
                  <c:v>14.1</c:v>
                </c:pt>
                <c:pt idx="781">
                  <c:v>14.1</c:v>
                </c:pt>
                <c:pt idx="782">
                  <c:v>14.1</c:v>
                </c:pt>
                <c:pt idx="783">
                  <c:v>14.1</c:v>
                </c:pt>
                <c:pt idx="784">
                  <c:v>14.1</c:v>
                </c:pt>
                <c:pt idx="785">
                  <c:v>14.1</c:v>
                </c:pt>
                <c:pt idx="786">
                  <c:v>14.1</c:v>
                </c:pt>
                <c:pt idx="787">
                  <c:v>14.1</c:v>
                </c:pt>
                <c:pt idx="788">
                  <c:v>14.1</c:v>
                </c:pt>
                <c:pt idx="789">
                  <c:v>14.1</c:v>
                </c:pt>
                <c:pt idx="790">
                  <c:v>14.1</c:v>
                </c:pt>
                <c:pt idx="791">
                  <c:v>14.1</c:v>
                </c:pt>
                <c:pt idx="792">
                  <c:v>14.1</c:v>
                </c:pt>
                <c:pt idx="793">
                  <c:v>14.1</c:v>
                </c:pt>
                <c:pt idx="794">
                  <c:v>14.1</c:v>
                </c:pt>
                <c:pt idx="795">
                  <c:v>14.1</c:v>
                </c:pt>
                <c:pt idx="796">
                  <c:v>14.1</c:v>
                </c:pt>
                <c:pt idx="797">
                  <c:v>14.1</c:v>
                </c:pt>
                <c:pt idx="798">
                  <c:v>14.1</c:v>
                </c:pt>
                <c:pt idx="799">
                  <c:v>14.1</c:v>
                </c:pt>
                <c:pt idx="800">
                  <c:v>14.1</c:v>
                </c:pt>
                <c:pt idx="801">
                  <c:v>14.1</c:v>
                </c:pt>
                <c:pt idx="802">
                  <c:v>14.1</c:v>
                </c:pt>
                <c:pt idx="803">
                  <c:v>15.1</c:v>
                </c:pt>
                <c:pt idx="804">
                  <c:v>15.1</c:v>
                </c:pt>
                <c:pt idx="805">
                  <c:v>15.1</c:v>
                </c:pt>
                <c:pt idx="806">
                  <c:v>15.1</c:v>
                </c:pt>
                <c:pt idx="807">
                  <c:v>15.1</c:v>
                </c:pt>
                <c:pt idx="808">
                  <c:v>15.1</c:v>
                </c:pt>
                <c:pt idx="809">
                  <c:v>15.1</c:v>
                </c:pt>
                <c:pt idx="810">
                  <c:v>15.1</c:v>
                </c:pt>
                <c:pt idx="811">
                  <c:v>15.1</c:v>
                </c:pt>
                <c:pt idx="812">
                  <c:v>15.1</c:v>
                </c:pt>
                <c:pt idx="813">
                  <c:v>15.1</c:v>
                </c:pt>
                <c:pt idx="814">
                  <c:v>15.1</c:v>
                </c:pt>
                <c:pt idx="815">
                  <c:v>15.1</c:v>
                </c:pt>
                <c:pt idx="816">
                  <c:v>15.1</c:v>
                </c:pt>
                <c:pt idx="817">
                  <c:v>15.1</c:v>
                </c:pt>
                <c:pt idx="818">
                  <c:v>15.1</c:v>
                </c:pt>
                <c:pt idx="819">
                  <c:v>15.1</c:v>
                </c:pt>
                <c:pt idx="820">
                  <c:v>15.1</c:v>
                </c:pt>
                <c:pt idx="821">
                  <c:v>15.1</c:v>
                </c:pt>
                <c:pt idx="822">
                  <c:v>15.1</c:v>
                </c:pt>
                <c:pt idx="823">
                  <c:v>15.1</c:v>
                </c:pt>
                <c:pt idx="824">
                  <c:v>15.1</c:v>
                </c:pt>
                <c:pt idx="825">
                  <c:v>15.1</c:v>
                </c:pt>
                <c:pt idx="826">
                  <c:v>15.1</c:v>
                </c:pt>
                <c:pt idx="827">
                  <c:v>15.1</c:v>
                </c:pt>
                <c:pt idx="828">
                  <c:v>15.1</c:v>
                </c:pt>
                <c:pt idx="829">
                  <c:v>15.1</c:v>
                </c:pt>
                <c:pt idx="830">
                  <c:v>15.1</c:v>
                </c:pt>
                <c:pt idx="831">
                  <c:v>15.1</c:v>
                </c:pt>
                <c:pt idx="832">
                  <c:v>15.1</c:v>
                </c:pt>
                <c:pt idx="833">
                  <c:v>15.1</c:v>
                </c:pt>
                <c:pt idx="834">
                  <c:v>15.1</c:v>
                </c:pt>
                <c:pt idx="835">
                  <c:v>15.1</c:v>
                </c:pt>
                <c:pt idx="836">
                  <c:v>15.1</c:v>
                </c:pt>
                <c:pt idx="837">
                  <c:v>15.1</c:v>
                </c:pt>
                <c:pt idx="838">
                  <c:v>15.1</c:v>
                </c:pt>
                <c:pt idx="839">
                  <c:v>15.1</c:v>
                </c:pt>
                <c:pt idx="840">
                  <c:v>15.1</c:v>
                </c:pt>
                <c:pt idx="841">
                  <c:v>15.1</c:v>
                </c:pt>
                <c:pt idx="842">
                  <c:v>15.1</c:v>
                </c:pt>
                <c:pt idx="843">
                  <c:v>15.1</c:v>
                </c:pt>
                <c:pt idx="844">
                  <c:v>15.1</c:v>
                </c:pt>
                <c:pt idx="845">
                  <c:v>15.1</c:v>
                </c:pt>
                <c:pt idx="846">
                  <c:v>15.1</c:v>
                </c:pt>
                <c:pt idx="847">
                  <c:v>15.1</c:v>
                </c:pt>
                <c:pt idx="848">
                  <c:v>15.1</c:v>
                </c:pt>
                <c:pt idx="849">
                  <c:v>15.1</c:v>
                </c:pt>
                <c:pt idx="850">
                  <c:v>15.1</c:v>
                </c:pt>
                <c:pt idx="851">
                  <c:v>15.1</c:v>
                </c:pt>
                <c:pt idx="852">
                  <c:v>15.1</c:v>
                </c:pt>
                <c:pt idx="853">
                  <c:v>15.1</c:v>
                </c:pt>
                <c:pt idx="854">
                  <c:v>15.1</c:v>
                </c:pt>
                <c:pt idx="855">
                  <c:v>15.1</c:v>
                </c:pt>
                <c:pt idx="856">
                  <c:v>15.1</c:v>
                </c:pt>
                <c:pt idx="857">
                  <c:v>15.1</c:v>
                </c:pt>
                <c:pt idx="858">
                  <c:v>16.100000000000001</c:v>
                </c:pt>
                <c:pt idx="859">
                  <c:v>16.100000000000001</c:v>
                </c:pt>
                <c:pt idx="860">
                  <c:v>16.100000000000001</c:v>
                </c:pt>
                <c:pt idx="861">
                  <c:v>16.100000000000001</c:v>
                </c:pt>
                <c:pt idx="862">
                  <c:v>16.100000000000001</c:v>
                </c:pt>
                <c:pt idx="863">
                  <c:v>16.100000000000001</c:v>
                </c:pt>
                <c:pt idx="864">
                  <c:v>16.100000000000001</c:v>
                </c:pt>
                <c:pt idx="865">
                  <c:v>16.100000000000001</c:v>
                </c:pt>
                <c:pt idx="866">
                  <c:v>16.100000000000001</c:v>
                </c:pt>
                <c:pt idx="867">
                  <c:v>16.100000000000001</c:v>
                </c:pt>
                <c:pt idx="868">
                  <c:v>16.100000000000001</c:v>
                </c:pt>
                <c:pt idx="869">
                  <c:v>16.100000000000001</c:v>
                </c:pt>
                <c:pt idx="870">
                  <c:v>16.100000000000001</c:v>
                </c:pt>
                <c:pt idx="871">
                  <c:v>16.100000000000001</c:v>
                </c:pt>
                <c:pt idx="872">
                  <c:v>16.100000000000001</c:v>
                </c:pt>
                <c:pt idx="873">
                  <c:v>16.100000000000001</c:v>
                </c:pt>
                <c:pt idx="874">
                  <c:v>16.100000000000001</c:v>
                </c:pt>
                <c:pt idx="875">
                  <c:v>16.100000000000001</c:v>
                </c:pt>
                <c:pt idx="876">
                  <c:v>16.100000000000001</c:v>
                </c:pt>
                <c:pt idx="877">
                  <c:v>16.100000000000001</c:v>
                </c:pt>
                <c:pt idx="878">
                  <c:v>16.100000000000001</c:v>
                </c:pt>
                <c:pt idx="879">
                  <c:v>16.100000000000001</c:v>
                </c:pt>
                <c:pt idx="880">
                  <c:v>16.100000000000001</c:v>
                </c:pt>
                <c:pt idx="881">
                  <c:v>16.100000000000001</c:v>
                </c:pt>
                <c:pt idx="882">
                  <c:v>16.100000000000001</c:v>
                </c:pt>
                <c:pt idx="883">
                  <c:v>16.100000000000001</c:v>
                </c:pt>
                <c:pt idx="884">
                  <c:v>16.100000000000001</c:v>
                </c:pt>
                <c:pt idx="885">
                  <c:v>16.100000000000001</c:v>
                </c:pt>
                <c:pt idx="886">
                  <c:v>16.100000000000001</c:v>
                </c:pt>
                <c:pt idx="887">
                  <c:v>16.100000000000001</c:v>
                </c:pt>
                <c:pt idx="888">
                  <c:v>16.100000000000001</c:v>
                </c:pt>
                <c:pt idx="889">
                  <c:v>16.100000000000001</c:v>
                </c:pt>
                <c:pt idx="890">
                  <c:v>16.100000000000001</c:v>
                </c:pt>
                <c:pt idx="891">
                  <c:v>16.100000000000001</c:v>
                </c:pt>
                <c:pt idx="892">
                  <c:v>16.100000000000001</c:v>
                </c:pt>
                <c:pt idx="893">
                  <c:v>16.100000000000001</c:v>
                </c:pt>
                <c:pt idx="894">
                  <c:v>16.100000000000001</c:v>
                </c:pt>
                <c:pt idx="895">
                  <c:v>16.100000000000001</c:v>
                </c:pt>
                <c:pt idx="896">
                  <c:v>16.100000000000001</c:v>
                </c:pt>
                <c:pt idx="897">
                  <c:v>16.100000000000001</c:v>
                </c:pt>
                <c:pt idx="898">
                  <c:v>16.100000000000001</c:v>
                </c:pt>
                <c:pt idx="899">
                  <c:v>16.100000000000001</c:v>
                </c:pt>
                <c:pt idx="900">
                  <c:v>16.100000000000001</c:v>
                </c:pt>
                <c:pt idx="901">
                  <c:v>16.100000000000001</c:v>
                </c:pt>
                <c:pt idx="902">
                  <c:v>16.100000000000001</c:v>
                </c:pt>
                <c:pt idx="903">
                  <c:v>16.100000000000001</c:v>
                </c:pt>
                <c:pt idx="904">
                  <c:v>16.100000000000001</c:v>
                </c:pt>
                <c:pt idx="905">
                  <c:v>16.100000000000001</c:v>
                </c:pt>
                <c:pt idx="906">
                  <c:v>16.100000000000001</c:v>
                </c:pt>
                <c:pt idx="907">
                  <c:v>16.100000000000001</c:v>
                </c:pt>
                <c:pt idx="908">
                  <c:v>16.100000000000001</c:v>
                </c:pt>
                <c:pt idx="909">
                  <c:v>16.100000000000001</c:v>
                </c:pt>
                <c:pt idx="910">
                  <c:v>16.100000000000001</c:v>
                </c:pt>
                <c:pt idx="911">
                  <c:v>16.100000000000001</c:v>
                </c:pt>
                <c:pt idx="912">
                  <c:v>16.100000000000001</c:v>
                </c:pt>
                <c:pt idx="913">
                  <c:v>16.100000000000001</c:v>
                </c:pt>
                <c:pt idx="914">
                  <c:v>16.100000000000001</c:v>
                </c:pt>
                <c:pt idx="915">
                  <c:v>16.100000000000001</c:v>
                </c:pt>
                <c:pt idx="916">
                  <c:v>16.100000000000001</c:v>
                </c:pt>
                <c:pt idx="917">
                  <c:v>16.100000000000001</c:v>
                </c:pt>
                <c:pt idx="918">
                  <c:v>16.100000000000001</c:v>
                </c:pt>
                <c:pt idx="919">
                  <c:v>16.100000000000001</c:v>
                </c:pt>
                <c:pt idx="920">
                  <c:v>16.100000000000001</c:v>
                </c:pt>
                <c:pt idx="921">
                  <c:v>16.100000000000001</c:v>
                </c:pt>
                <c:pt idx="922">
                  <c:v>16.100000000000001</c:v>
                </c:pt>
                <c:pt idx="923">
                  <c:v>16.100000000000001</c:v>
                </c:pt>
                <c:pt idx="924">
                  <c:v>16.100000000000001</c:v>
                </c:pt>
                <c:pt idx="925">
                  <c:v>16.100000000000001</c:v>
                </c:pt>
                <c:pt idx="926">
                  <c:v>16.100000000000001</c:v>
                </c:pt>
                <c:pt idx="927">
                  <c:v>16.100000000000001</c:v>
                </c:pt>
                <c:pt idx="928">
                  <c:v>16.100000000000001</c:v>
                </c:pt>
                <c:pt idx="929">
                  <c:v>16.100000000000001</c:v>
                </c:pt>
                <c:pt idx="930">
                  <c:v>16.100000000000001</c:v>
                </c:pt>
                <c:pt idx="931">
                  <c:v>16.100000000000001</c:v>
                </c:pt>
                <c:pt idx="932">
                  <c:v>16.100000000000001</c:v>
                </c:pt>
                <c:pt idx="933">
                  <c:v>16.100000000000001</c:v>
                </c:pt>
                <c:pt idx="934">
                  <c:v>16.100000000000001</c:v>
                </c:pt>
                <c:pt idx="935">
                  <c:v>16.100000000000001</c:v>
                </c:pt>
                <c:pt idx="936">
                  <c:v>16.100000000000001</c:v>
                </c:pt>
                <c:pt idx="937">
                  <c:v>16.100000000000001</c:v>
                </c:pt>
                <c:pt idx="938">
                  <c:v>16.100000000000001</c:v>
                </c:pt>
                <c:pt idx="939">
                  <c:v>16.100000000000001</c:v>
                </c:pt>
                <c:pt idx="940">
                  <c:v>16.100000000000001</c:v>
                </c:pt>
                <c:pt idx="941">
                  <c:v>16.100000000000001</c:v>
                </c:pt>
                <c:pt idx="942">
                  <c:v>16.100000000000001</c:v>
                </c:pt>
                <c:pt idx="943">
                  <c:v>16.100000000000001</c:v>
                </c:pt>
                <c:pt idx="944">
                  <c:v>16.100000000000001</c:v>
                </c:pt>
                <c:pt idx="945">
                  <c:v>16.100000000000001</c:v>
                </c:pt>
                <c:pt idx="946">
                  <c:v>16.100000000000001</c:v>
                </c:pt>
                <c:pt idx="947">
                  <c:v>16.100000000000001</c:v>
                </c:pt>
                <c:pt idx="948">
                  <c:v>16.100000000000001</c:v>
                </c:pt>
                <c:pt idx="949">
                  <c:v>16.100000000000001</c:v>
                </c:pt>
                <c:pt idx="950">
                  <c:v>16.100000000000001</c:v>
                </c:pt>
                <c:pt idx="951">
                  <c:v>16.100000000000001</c:v>
                </c:pt>
                <c:pt idx="952">
                  <c:v>16.100000000000001</c:v>
                </c:pt>
                <c:pt idx="953">
                  <c:v>16.100000000000001</c:v>
                </c:pt>
                <c:pt idx="954">
                  <c:v>16.100000000000001</c:v>
                </c:pt>
                <c:pt idx="955">
                  <c:v>16.100000000000001</c:v>
                </c:pt>
                <c:pt idx="956">
                  <c:v>16.100000000000001</c:v>
                </c:pt>
                <c:pt idx="957">
                  <c:v>16.100000000000001</c:v>
                </c:pt>
                <c:pt idx="958">
                  <c:v>16.100000000000001</c:v>
                </c:pt>
                <c:pt idx="959">
                  <c:v>16.100000000000001</c:v>
                </c:pt>
                <c:pt idx="960">
                  <c:v>16.100000000000001</c:v>
                </c:pt>
                <c:pt idx="961">
                  <c:v>16.100000000000001</c:v>
                </c:pt>
                <c:pt idx="962">
                  <c:v>16.100000000000001</c:v>
                </c:pt>
                <c:pt idx="963">
                  <c:v>16.100000000000001</c:v>
                </c:pt>
                <c:pt idx="964">
                  <c:v>16.100000000000001</c:v>
                </c:pt>
                <c:pt idx="965">
                  <c:v>16.100000000000001</c:v>
                </c:pt>
                <c:pt idx="966">
                  <c:v>16.100000000000001</c:v>
                </c:pt>
                <c:pt idx="967">
                  <c:v>16.100000000000001</c:v>
                </c:pt>
                <c:pt idx="968">
                  <c:v>16.100000000000001</c:v>
                </c:pt>
                <c:pt idx="969">
                  <c:v>16.100000000000001</c:v>
                </c:pt>
                <c:pt idx="970">
                  <c:v>16.100000000000001</c:v>
                </c:pt>
                <c:pt idx="971">
                  <c:v>16.100000000000001</c:v>
                </c:pt>
                <c:pt idx="972">
                  <c:v>16.100000000000001</c:v>
                </c:pt>
                <c:pt idx="973">
                  <c:v>16.100000000000001</c:v>
                </c:pt>
                <c:pt idx="974">
                  <c:v>16.100000000000001</c:v>
                </c:pt>
                <c:pt idx="975">
                  <c:v>16.100000000000001</c:v>
                </c:pt>
                <c:pt idx="976">
                  <c:v>16.100000000000001</c:v>
                </c:pt>
                <c:pt idx="977">
                  <c:v>16.100000000000001</c:v>
                </c:pt>
                <c:pt idx="978">
                  <c:v>16.100000000000001</c:v>
                </c:pt>
                <c:pt idx="979">
                  <c:v>16.100000000000001</c:v>
                </c:pt>
                <c:pt idx="980">
                  <c:v>16.100000000000001</c:v>
                </c:pt>
                <c:pt idx="981">
                  <c:v>16.100000000000001</c:v>
                </c:pt>
                <c:pt idx="982">
                  <c:v>16.100000000000001</c:v>
                </c:pt>
                <c:pt idx="983">
                  <c:v>16.100000000000001</c:v>
                </c:pt>
                <c:pt idx="984">
                  <c:v>16.100000000000001</c:v>
                </c:pt>
                <c:pt idx="985">
                  <c:v>16.100000000000001</c:v>
                </c:pt>
                <c:pt idx="986">
                  <c:v>16.100000000000001</c:v>
                </c:pt>
                <c:pt idx="987">
                  <c:v>16.100000000000001</c:v>
                </c:pt>
                <c:pt idx="988">
                  <c:v>16.100000000000001</c:v>
                </c:pt>
                <c:pt idx="989">
                  <c:v>16.100000000000001</c:v>
                </c:pt>
                <c:pt idx="990">
                  <c:v>16.100000000000001</c:v>
                </c:pt>
                <c:pt idx="991">
                  <c:v>16.100000000000001</c:v>
                </c:pt>
                <c:pt idx="992">
                  <c:v>16.100000000000001</c:v>
                </c:pt>
                <c:pt idx="993">
                  <c:v>16.100000000000001</c:v>
                </c:pt>
                <c:pt idx="994">
                  <c:v>16.100000000000001</c:v>
                </c:pt>
                <c:pt idx="995">
                  <c:v>16.100000000000001</c:v>
                </c:pt>
                <c:pt idx="996">
                  <c:v>16.100000000000001</c:v>
                </c:pt>
                <c:pt idx="997">
                  <c:v>16.100000000000001</c:v>
                </c:pt>
                <c:pt idx="998">
                  <c:v>16.100000000000001</c:v>
                </c:pt>
                <c:pt idx="999">
                  <c:v>16.100000000000001</c:v>
                </c:pt>
                <c:pt idx="1000">
                  <c:v>16.100000000000001</c:v>
                </c:pt>
                <c:pt idx="1001">
                  <c:v>16.100000000000001</c:v>
                </c:pt>
                <c:pt idx="1002">
                  <c:v>16.100000000000001</c:v>
                </c:pt>
                <c:pt idx="1003">
                  <c:v>16.100000000000001</c:v>
                </c:pt>
                <c:pt idx="1004">
                  <c:v>16.100000000000001</c:v>
                </c:pt>
                <c:pt idx="1005">
                  <c:v>16.100000000000001</c:v>
                </c:pt>
                <c:pt idx="1006">
                  <c:v>16.100000000000001</c:v>
                </c:pt>
                <c:pt idx="1007">
                  <c:v>16.100000000000001</c:v>
                </c:pt>
                <c:pt idx="1008">
                  <c:v>16.100000000000001</c:v>
                </c:pt>
                <c:pt idx="1009">
                  <c:v>16.100000000000001</c:v>
                </c:pt>
                <c:pt idx="1010">
                  <c:v>16.100000000000001</c:v>
                </c:pt>
                <c:pt idx="1011">
                  <c:v>16.100000000000001</c:v>
                </c:pt>
                <c:pt idx="1012">
                  <c:v>16.100000000000001</c:v>
                </c:pt>
                <c:pt idx="1013">
                  <c:v>16.100000000000001</c:v>
                </c:pt>
                <c:pt idx="1014">
                  <c:v>16.100000000000001</c:v>
                </c:pt>
                <c:pt idx="1015">
                  <c:v>16.100000000000001</c:v>
                </c:pt>
                <c:pt idx="1016">
                  <c:v>16.100000000000001</c:v>
                </c:pt>
                <c:pt idx="1017">
                  <c:v>16.100000000000001</c:v>
                </c:pt>
                <c:pt idx="1018">
                  <c:v>16.100000000000001</c:v>
                </c:pt>
                <c:pt idx="1019">
                  <c:v>16.100000000000001</c:v>
                </c:pt>
                <c:pt idx="1020">
                  <c:v>16.100000000000001</c:v>
                </c:pt>
                <c:pt idx="1021">
                  <c:v>16.100000000000001</c:v>
                </c:pt>
                <c:pt idx="1022">
                  <c:v>16.100000000000001</c:v>
                </c:pt>
                <c:pt idx="1023">
                  <c:v>16.100000000000001</c:v>
                </c:pt>
                <c:pt idx="1024">
                  <c:v>16.100000000000001</c:v>
                </c:pt>
                <c:pt idx="1025">
                  <c:v>16.100000000000001</c:v>
                </c:pt>
                <c:pt idx="1026">
                  <c:v>16.100000000000001</c:v>
                </c:pt>
                <c:pt idx="1027">
                  <c:v>16.100000000000001</c:v>
                </c:pt>
                <c:pt idx="1028">
                  <c:v>16.100000000000001</c:v>
                </c:pt>
                <c:pt idx="1029">
                  <c:v>16.100000000000001</c:v>
                </c:pt>
                <c:pt idx="1030">
                  <c:v>16.100000000000001</c:v>
                </c:pt>
                <c:pt idx="1031">
                  <c:v>16.100000000000001</c:v>
                </c:pt>
                <c:pt idx="1032">
                  <c:v>16.100000000000001</c:v>
                </c:pt>
                <c:pt idx="1033">
                  <c:v>17.100000000000001</c:v>
                </c:pt>
                <c:pt idx="1034">
                  <c:v>17.100000000000001</c:v>
                </c:pt>
                <c:pt idx="1035">
                  <c:v>17.100000000000001</c:v>
                </c:pt>
                <c:pt idx="1036">
                  <c:v>17.100000000000001</c:v>
                </c:pt>
                <c:pt idx="1037">
                  <c:v>17.100000000000001</c:v>
                </c:pt>
                <c:pt idx="1038">
                  <c:v>17.100000000000001</c:v>
                </c:pt>
                <c:pt idx="1039">
                  <c:v>17.100000000000001</c:v>
                </c:pt>
                <c:pt idx="1040">
                  <c:v>17.100000000000001</c:v>
                </c:pt>
                <c:pt idx="1041">
                  <c:v>17.100000000000001</c:v>
                </c:pt>
                <c:pt idx="1042">
                  <c:v>17.100000000000001</c:v>
                </c:pt>
                <c:pt idx="1043">
                  <c:v>17.100000000000001</c:v>
                </c:pt>
                <c:pt idx="1044">
                  <c:v>17.100000000000001</c:v>
                </c:pt>
                <c:pt idx="1045">
                  <c:v>17.100000000000001</c:v>
                </c:pt>
                <c:pt idx="1046">
                  <c:v>17.100000000000001</c:v>
                </c:pt>
                <c:pt idx="1047">
                  <c:v>17.100000000000001</c:v>
                </c:pt>
                <c:pt idx="1048">
                  <c:v>17.100000000000001</c:v>
                </c:pt>
                <c:pt idx="1049">
                  <c:v>17.100000000000001</c:v>
                </c:pt>
                <c:pt idx="1050">
                  <c:v>17.100000000000001</c:v>
                </c:pt>
                <c:pt idx="1051">
                  <c:v>17.100000000000001</c:v>
                </c:pt>
                <c:pt idx="1052">
                  <c:v>17.100000000000001</c:v>
                </c:pt>
                <c:pt idx="1053">
                  <c:v>17.100000000000001</c:v>
                </c:pt>
                <c:pt idx="1054">
                  <c:v>17.100000000000001</c:v>
                </c:pt>
                <c:pt idx="1055">
                  <c:v>17.100000000000001</c:v>
                </c:pt>
                <c:pt idx="1056">
                  <c:v>17.100000000000001</c:v>
                </c:pt>
                <c:pt idx="1057">
                  <c:v>17.100000000000001</c:v>
                </c:pt>
                <c:pt idx="1058">
                  <c:v>17.100000000000001</c:v>
                </c:pt>
                <c:pt idx="1059">
                  <c:v>17.100000000000001</c:v>
                </c:pt>
                <c:pt idx="1060">
                  <c:v>17.100000000000001</c:v>
                </c:pt>
                <c:pt idx="1061">
                  <c:v>17.100000000000001</c:v>
                </c:pt>
                <c:pt idx="1062">
                  <c:v>17.100000000000001</c:v>
                </c:pt>
                <c:pt idx="1063">
                  <c:v>17.100000000000001</c:v>
                </c:pt>
                <c:pt idx="1064">
                  <c:v>17.100000000000001</c:v>
                </c:pt>
                <c:pt idx="1065">
                  <c:v>17.100000000000001</c:v>
                </c:pt>
                <c:pt idx="1066">
                  <c:v>17.100000000000001</c:v>
                </c:pt>
                <c:pt idx="1067">
                  <c:v>17.100000000000001</c:v>
                </c:pt>
                <c:pt idx="1068">
                  <c:v>17.100000000000001</c:v>
                </c:pt>
                <c:pt idx="1069">
                  <c:v>17.100000000000001</c:v>
                </c:pt>
                <c:pt idx="1070">
                  <c:v>17.100000000000001</c:v>
                </c:pt>
                <c:pt idx="1071">
                  <c:v>17.100000000000001</c:v>
                </c:pt>
                <c:pt idx="1072">
                  <c:v>17.100000000000001</c:v>
                </c:pt>
                <c:pt idx="1073">
                  <c:v>17.100000000000001</c:v>
                </c:pt>
                <c:pt idx="1074">
                  <c:v>17.100000000000001</c:v>
                </c:pt>
                <c:pt idx="1075">
                  <c:v>17.100000000000001</c:v>
                </c:pt>
                <c:pt idx="1076">
                  <c:v>17.100000000000001</c:v>
                </c:pt>
                <c:pt idx="1077">
                  <c:v>17.100000000000001</c:v>
                </c:pt>
                <c:pt idx="1078">
                  <c:v>17.100000000000001</c:v>
                </c:pt>
                <c:pt idx="1079">
                  <c:v>17.100000000000001</c:v>
                </c:pt>
                <c:pt idx="1080">
                  <c:v>17.100000000000001</c:v>
                </c:pt>
                <c:pt idx="1081">
                  <c:v>17.100000000000001</c:v>
                </c:pt>
                <c:pt idx="1082">
                  <c:v>17.100000000000001</c:v>
                </c:pt>
                <c:pt idx="1083">
                  <c:v>17.100000000000001</c:v>
                </c:pt>
                <c:pt idx="1084">
                  <c:v>17.100000000000001</c:v>
                </c:pt>
                <c:pt idx="1085">
                  <c:v>17.100000000000001</c:v>
                </c:pt>
                <c:pt idx="1086">
                  <c:v>17.100000000000001</c:v>
                </c:pt>
                <c:pt idx="1087">
                  <c:v>17.100000000000001</c:v>
                </c:pt>
                <c:pt idx="1088">
                  <c:v>17.100000000000001</c:v>
                </c:pt>
                <c:pt idx="1089">
                  <c:v>17.100000000000001</c:v>
                </c:pt>
                <c:pt idx="1090">
                  <c:v>17.100000000000001</c:v>
                </c:pt>
                <c:pt idx="1091">
                  <c:v>17.100000000000001</c:v>
                </c:pt>
                <c:pt idx="1092">
                  <c:v>17.100000000000001</c:v>
                </c:pt>
                <c:pt idx="1093">
                  <c:v>17.100000000000001</c:v>
                </c:pt>
                <c:pt idx="1094">
                  <c:v>17.100000000000001</c:v>
                </c:pt>
                <c:pt idx="1095">
                  <c:v>17.100000000000001</c:v>
                </c:pt>
                <c:pt idx="1096">
                  <c:v>17.100000000000001</c:v>
                </c:pt>
                <c:pt idx="1097">
                  <c:v>17.100000000000001</c:v>
                </c:pt>
                <c:pt idx="1098">
                  <c:v>17.100000000000001</c:v>
                </c:pt>
                <c:pt idx="1099">
                  <c:v>17.100000000000001</c:v>
                </c:pt>
                <c:pt idx="1100">
                  <c:v>17.100000000000001</c:v>
                </c:pt>
                <c:pt idx="1101">
                  <c:v>17.100000000000001</c:v>
                </c:pt>
                <c:pt idx="1102">
                  <c:v>17.100000000000001</c:v>
                </c:pt>
                <c:pt idx="1103">
                  <c:v>17.100000000000001</c:v>
                </c:pt>
                <c:pt idx="1104">
                  <c:v>17.100000000000001</c:v>
                </c:pt>
                <c:pt idx="1105">
                  <c:v>17.100000000000001</c:v>
                </c:pt>
                <c:pt idx="1106">
                  <c:v>17.100000000000001</c:v>
                </c:pt>
                <c:pt idx="1107">
                  <c:v>17.100000000000001</c:v>
                </c:pt>
                <c:pt idx="1108">
                  <c:v>17.100000000000001</c:v>
                </c:pt>
                <c:pt idx="1109">
                  <c:v>17.100000000000001</c:v>
                </c:pt>
                <c:pt idx="1110">
                  <c:v>17.100000000000001</c:v>
                </c:pt>
                <c:pt idx="1111">
                  <c:v>17.100000000000001</c:v>
                </c:pt>
                <c:pt idx="1112">
                  <c:v>17.100000000000001</c:v>
                </c:pt>
                <c:pt idx="1113">
                  <c:v>17.100000000000001</c:v>
                </c:pt>
                <c:pt idx="1114">
                  <c:v>17.100000000000001</c:v>
                </c:pt>
                <c:pt idx="1115">
                  <c:v>18.100000000000001</c:v>
                </c:pt>
                <c:pt idx="1116">
                  <c:v>17.100000000000001</c:v>
                </c:pt>
                <c:pt idx="1117">
                  <c:v>18.100000000000001</c:v>
                </c:pt>
                <c:pt idx="1118">
                  <c:v>18.100000000000001</c:v>
                </c:pt>
                <c:pt idx="1119">
                  <c:v>18.100000000000001</c:v>
                </c:pt>
                <c:pt idx="1120">
                  <c:v>18.100000000000001</c:v>
                </c:pt>
                <c:pt idx="1121">
                  <c:v>18.100000000000001</c:v>
                </c:pt>
                <c:pt idx="1122">
                  <c:v>18.100000000000001</c:v>
                </c:pt>
                <c:pt idx="1123">
                  <c:v>18.100000000000001</c:v>
                </c:pt>
                <c:pt idx="1124">
                  <c:v>17.100000000000001</c:v>
                </c:pt>
                <c:pt idx="1125">
                  <c:v>17.100000000000001</c:v>
                </c:pt>
                <c:pt idx="1126">
                  <c:v>18.100000000000001</c:v>
                </c:pt>
                <c:pt idx="1127">
                  <c:v>18.100000000000001</c:v>
                </c:pt>
                <c:pt idx="1128">
                  <c:v>18.100000000000001</c:v>
                </c:pt>
                <c:pt idx="1129">
                  <c:v>18.100000000000001</c:v>
                </c:pt>
                <c:pt idx="1130">
                  <c:v>18.100000000000001</c:v>
                </c:pt>
                <c:pt idx="1131">
                  <c:v>18.100000000000001</c:v>
                </c:pt>
                <c:pt idx="1132">
                  <c:v>18.100000000000001</c:v>
                </c:pt>
                <c:pt idx="1133">
                  <c:v>18.100000000000001</c:v>
                </c:pt>
                <c:pt idx="1134">
                  <c:v>17.100000000000001</c:v>
                </c:pt>
                <c:pt idx="1135">
                  <c:v>17.100000000000001</c:v>
                </c:pt>
                <c:pt idx="1136">
                  <c:v>18.100000000000001</c:v>
                </c:pt>
                <c:pt idx="1137">
                  <c:v>18.100000000000001</c:v>
                </c:pt>
                <c:pt idx="1138">
                  <c:v>18.100000000000001</c:v>
                </c:pt>
                <c:pt idx="1139">
                  <c:v>18.100000000000001</c:v>
                </c:pt>
                <c:pt idx="1140">
                  <c:v>18.100000000000001</c:v>
                </c:pt>
                <c:pt idx="1141">
                  <c:v>18.100000000000001</c:v>
                </c:pt>
                <c:pt idx="1142">
                  <c:v>18.100000000000001</c:v>
                </c:pt>
                <c:pt idx="1143">
                  <c:v>18.100000000000001</c:v>
                </c:pt>
                <c:pt idx="1144">
                  <c:v>18.100000000000001</c:v>
                </c:pt>
                <c:pt idx="1145">
                  <c:v>18.100000000000001</c:v>
                </c:pt>
                <c:pt idx="1146">
                  <c:v>18.100000000000001</c:v>
                </c:pt>
                <c:pt idx="1147">
                  <c:v>18.100000000000001</c:v>
                </c:pt>
                <c:pt idx="1148">
                  <c:v>18.100000000000001</c:v>
                </c:pt>
                <c:pt idx="1149">
                  <c:v>18.100000000000001</c:v>
                </c:pt>
                <c:pt idx="1150">
                  <c:v>18.100000000000001</c:v>
                </c:pt>
                <c:pt idx="1151">
                  <c:v>18.100000000000001</c:v>
                </c:pt>
                <c:pt idx="1152">
                  <c:v>18.100000000000001</c:v>
                </c:pt>
                <c:pt idx="1153">
                  <c:v>18.100000000000001</c:v>
                </c:pt>
                <c:pt idx="1154">
                  <c:v>18.100000000000001</c:v>
                </c:pt>
                <c:pt idx="1155">
                  <c:v>18.100000000000001</c:v>
                </c:pt>
                <c:pt idx="1156">
                  <c:v>18.100000000000001</c:v>
                </c:pt>
                <c:pt idx="1157">
                  <c:v>18.100000000000001</c:v>
                </c:pt>
                <c:pt idx="1158">
                  <c:v>18.100000000000001</c:v>
                </c:pt>
                <c:pt idx="1159">
                  <c:v>18.100000000000001</c:v>
                </c:pt>
                <c:pt idx="1160">
                  <c:v>18.100000000000001</c:v>
                </c:pt>
                <c:pt idx="1161">
                  <c:v>18.100000000000001</c:v>
                </c:pt>
                <c:pt idx="1162">
                  <c:v>18.100000000000001</c:v>
                </c:pt>
                <c:pt idx="1163">
                  <c:v>18.100000000000001</c:v>
                </c:pt>
                <c:pt idx="1164">
                  <c:v>18.100000000000001</c:v>
                </c:pt>
                <c:pt idx="1165">
                  <c:v>18.100000000000001</c:v>
                </c:pt>
                <c:pt idx="1166">
                  <c:v>18.100000000000001</c:v>
                </c:pt>
                <c:pt idx="1167">
                  <c:v>18.100000000000001</c:v>
                </c:pt>
                <c:pt idx="1168">
                  <c:v>18.100000000000001</c:v>
                </c:pt>
                <c:pt idx="1169">
                  <c:v>18.100000000000001</c:v>
                </c:pt>
                <c:pt idx="1170">
                  <c:v>18.100000000000001</c:v>
                </c:pt>
                <c:pt idx="1171">
                  <c:v>18.100000000000001</c:v>
                </c:pt>
                <c:pt idx="1172">
                  <c:v>18.100000000000001</c:v>
                </c:pt>
                <c:pt idx="1173">
                  <c:v>18.100000000000001</c:v>
                </c:pt>
                <c:pt idx="1174">
                  <c:v>18.100000000000001</c:v>
                </c:pt>
                <c:pt idx="1175">
                  <c:v>18.100000000000001</c:v>
                </c:pt>
                <c:pt idx="1176">
                  <c:v>18.100000000000001</c:v>
                </c:pt>
                <c:pt idx="1177">
                  <c:v>18.100000000000001</c:v>
                </c:pt>
                <c:pt idx="1178">
                  <c:v>18.100000000000001</c:v>
                </c:pt>
                <c:pt idx="1179">
                  <c:v>18.100000000000001</c:v>
                </c:pt>
                <c:pt idx="1180">
                  <c:v>18.100000000000001</c:v>
                </c:pt>
                <c:pt idx="1181">
                  <c:v>18.100000000000001</c:v>
                </c:pt>
                <c:pt idx="1182">
                  <c:v>18.100000000000001</c:v>
                </c:pt>
                <c:pt idx="1183">
                  <c:v>18.100000000000001</c:v>
                </c:pt>
                <c:pt idx="1184">
                  <c:v>18.100000000000001</c:v>
                </c:pt>
                <c:pt idx="1185">
                  <c:v>18.100000000000001</c:v>
                </c:pt>
                <c:pt idx="1186">
                  <c:v>18.100000000000001</c:v>
                </c:pt>
                <c:pt idx="1187">
                  <c:v>18.100000000000001</c:v>
                </c:pt>
                <c:pt idx="1188">
                  <c:v>18.100000000000001</c:v>
                </c:pt>
                <c:pt idx="1189">
                  <c:v>18.100000000000001</c:v>
                </c:pt>
                <c:pt idx="1190">
                  <c:v>18.100000000000001</c:v>
                </c:pt>
                <c:pt idx="1191">
                  <c:v>18.100000000000001</c:v>
                </c:pt>
                <c:pt idx="1192">
                  <c:v>18.100000000000001</c:v>
                </c:pt>
                <c:pt idx="1193">
                  <c:v>18.100000000000001</c:v>
                </c:pt>
                <c:pt idx="1194">
                  <c:v>18.100000000000001</c:v>
                </c:pt>
                <c:pt idx="1195">
                  <c:v>18.100000000000001</c:v>
                </c:pt>
                <c:pt idx="1196">
                  <c:v>18.100000000000001</c:v>
                </c:pt>
                <c:pt idx="1197">
                  <c:v>18.100000000000001</c:v>
                </c:pt>
                <c:pt idx="1198">
                  <c:v>18.100000000000001</c:v>
                </c:pt>
                <c:pt idx="1199">
                  <c:v>18.100000000000001</c:v>
                </c:pt>
                <c:pt idx="1200">
                  <c:v>18.100000000000001</c:v>
                </c:pt>
                <c:pt idx="1201">
                  <c:v>18.100000000000001</c:v>
                </c:pt>
                <c:pt idx="1202">
                  <c:v>18.100000000000001</c:v>
                </c:pt>
                <c:pt idx="1203">
                  <c:v>18.100000000000001</c:v>
                </c:pt>
                <c:pt idx="1204">
                  <c:v>18.100000000000001</c:v>
                </c:pt>
                <c:pt idx="1205">
                  <c:v>18.100000000000001</c:v>
                </c:pt>
                <c:pt idx="1206">
                  <c:v>18.100000000000001</c:v>
                </c:pt>
                <c:pt idx="1207">
                  <c:v>18.100000000000001</c:v>
                </c:pt>
                <c:pt idx="1208">
                  <c:v>18.100000000000001</c:v>
                </c:pt>
                <c:pt idx="1209">
                  <c:v>18.100000000000001</c:v>
                </c:pt>
                <c:pt idx="1210">
                  <c:v>18.100000000000001</c:v>
                </c:pt>
                <c:pt idx="1211">
                  <c:v>18.100000000000001</c:v>
                </c:pt>
                <c:pt idx="1212">
                  <c:v>18.100000000000001</c:v>
                </c:pt>
                <c:pt idx="1213">
                  <c:v>18.100000000000001</c:v>
                </c:pt>
                <c:pt idx="1214">
                  <c:v>18.100000000000001</c:v>
                </c:pt>
                <c:pt idx="1215">
                  <c:v>18.100000000000001</c:v>
                </c:pt>
                <c:pt idx="1216">
                  <c:v>18.100000000000001</c:v>
                </c:pt>
                <c:pt idx="1217">
                  <c:v>18.100000000000001</c:v>
                </c:pt>
                <c:pt idx="1218">
                  <c:v>18.100000000000001</c:v>
                </c:pt>
                <c:pt idx="1219">
                  <c:v>18.100000000000001</c:v>
                </c:pt>
                <c:pt idx="1220">
                  <c:v>18.100000000000001</c:v>
                </c:pt>
                <c:pt idx="1221">
                  <c:v>18.100000000000001</c:v>
                </c:pt>
                <c:pt idx="1222">
                  <c:v>18.100000000000001</c:v>
                </c:pt>
                <c:pt idx="1223">
                  <c:v>18.100000000000001</c:v>
                </c:pt>
                <c:pt idx="1224">
                  <c:v>18.100000000000001</c:v>
                </c:pt>
                <c:pt idx="1225">
                  <c:v>18.100000000000001</c:v>
                </c:pt>
                <c:pt idx="1226">
                  <c:v>18.100000000000001</c:v>
                </c:pt>
                <c:pt idx="1227">
                  <c:v>18.100000000000001</c:v>
                </c:pt>
                <c:pt idx="1228">
                  <c:v>18.100000000000001</c:v>
                </c:pt>
                <c:pt idx="1229">
                  <c:v>18.100000000000001</c:v>
                </c:pt>
                <c:pt idx="1230">
                  <c:v>18.100000000000001</c:v>
                </c:pt>
                <c:pt idx="1231">
                  <c:v>18.100000000000001</c:v>
                </c:pt>
                <c:pt idx="1232">
                  <c:v>18.100000000000001</c:v>
                </c:pt>
                <c:pt idx="1233">
                  <c:v>18.100000000000001</c:v>
                </c:pt>
                <c:pt idx="1234">
                  <c:v>18.100000000000001</c:v>
                </c:pt>
                <c:pt idx="1235">
                  <c:v>18.100000000000001</c:v>
                </c:pt>
                <c:pt idx="1236">
                  <c:v>18.100000000000001</c:v>
                </c:pt>
                <c:pt idx="1237">
                  <c:v>18.100000000000001</c:v>
                </c:pt>
                <c:pt idx="1238">
                  <c:v>18.100000000000001</c:v>
                </c:pt>
                <c:pt idx="1239">
                  <c:v>18.100000000000001</c:v>
                </c:pt>
                <c:pt idx="1240">
                  <c:v>18.100000000000001</c:v>
                </c:pt>
                <c:pt idx="1241">
                  <c:v>18.100000000000001</c:v>
                </c:pt>
                <c:pt idx="1242">
                  <c:v>18.100000000000001</c:v>
                </c:pt>
                <c:pt idx="1243">
                  <c:v>18.100000000000001</c:v>
                </c:pt>
                <c:pt idx="1244">
                  <c:v>18.100000000000001</c:v>
                </c:pt>
                <c:pt idx="1245">
                  <c:v>18.100000000000001</c:v>
                </c:pt>
                <c:pt idx="1246">
                  <c:v>18.100000000000001</c:v>
                </c:pt>
                <c:pt idx="1247">
                  <c:v>18.100000000000001</c:v>
                </c:pt>
                <c:pt idx="1248">
                  <c:v>18.100000000000001</c:v>
                </c:pt>
                <c:pt idx="1249">
                  <c:v>18.100000000000001</c:v>
                </c:pt>
                <c:pt idx="1250">
                  <c:v>18.100000000000001</c:v>
                </c:pt>
                <c:pt idx="1251">
                  <c:v>18.100000000000001</c:v>
                </c:pt>
                <c:pt idx="1252">
                  <c:v>18.100000000000001</c:v>
                </c:pt>
                <c:pt idx="1253">
                  <c:v>18.100000000000001</c:v>
                </c:pt>
                <c:pt idx="1254">
                  <c:v>18.100000000000001</c:v>
                </c:pt>
                <c:pt idx="1255">
                  <c:v>18.100000000000001</c:v>
                </c:pt>
                <c:pt idx="1256">
                  <c:v>18.100000000000001</c:v>
                </c:pt>
                <c:pt idx="1257">
                  <c:v>18.100000000000001</c:v>
                </c:pt>
                <c:pt idx="1258">
                  <c:v>18.100000000000001</c:v>
                </c:pt>
                <c:pt idx="1259">
                  <c:v>18.100000000000001</c:v>
                </c:pt>
                <c:pt idx="1260">
                  <c:v>18.100000000000001</c:v>
                </c:pt>
                <c:pt idx="1261">
                  <c:v>18.100000000000001</c:v>
                </c:pt>
                <c:pt idx="1262">
                  <c:v>18.100000000000001</c:v>
                </c:pt>
                <c:pt idx="1263">
                  <c:v>18.100000000000001</c:v>
                </c:pt>
                <c:pt idx="1264">
                  <c:v>18.100000000000001</c:v>
                </c:pt>
                <c:pt idx="1265">
                  <c:v>18.100000000000001</c:v>
                </c:pt>
                <c:pt idx="1266">
                  <c:v>18.100000000000001</c:v>
                </c:pt>
                <c:pt idx="1267">
                  <c:v>18.100000000000001</c:v>
                </c:pt>
                <c:pt idx="1268">
                  <c:v>18.100000000000001</c:v>
                </c:pt>
                <c:pt idx="1269">
                  <c:v>18.100000000000001</c:v>
                </c:pt>
                <c:pt idx="1270">
                  <c:v>19.100000000000001</c:v>
                </c:pt>
                <c:pt idx="1271">
                  <c:v>19.100000000000001</c:v>
                </c:pt>
                <c:pt idx="1272">
                  <c:v>19.100000000000001</c:v>
                </c:pt>
                <c:pt idx="1273">
                  <c:v>19.100000000000001</c:v>
                </c:pt>
                <c:pt idx="1274">
                  <c:v>19.100000000000001</c:v>
                </c:pt>
                <c:pt idx="1275">
                  <c:v>19.100000000000001</c:v>
                </c:pt>
                <c:pt idx="1276">
                  <c:v>19.100000000000001</c:v>
                </c:pt>
                <c:pt idx="1277">
                  <c:v>19.100000000000001</c:v>
                </c:pt>
                <c:pt idx="1278">
                  <c:v>19.100000000000001</c:v>
                </c:pt>
                <c:pt idx="1279">
                  <c:v>19.100000000000001</c:v>
                </c:pt>
                <c:pt idx="1280">
                  <c:v>19.100000000000001</c:v>
                </c:pt>
                <c:pt idx="1281">
                  <c:v>19.100000000000001</c:v>
                </c:pt>
                <c:pt idx="1282">
                  <c:v>19.100000000000001</c:v>
                </c:pt>
                <c:pt idx="1283">
                  <c:v>19.100000000000001</c:v>
                </c:pt>
                <c:pt idx="1284">
                  <c:v>19.100000000000001</c:v>
                </c:pt>
                <c:pt idx="1285">
                  <c:v>19.100000000000001</c:v>
                </c:pt>
                <c:pt idx="1286">
                  <c:v>19.100000000000001</c:v>
                </c:pt>
                <c:pt idx="1287">
                  <c:v>19.100000000000001</c:v>
                </c:pt>
                <c:pt idx="1288">
                  <c:v>19.100000000000001</c:v>
                </c:pt>
                <c:pt idx="1289">
                  <c:v>19.100000000000001</c:v>
                </c:pt>
                <c:pt idx="1290">
                  <c:v>19.100000000000001</c:v>
                </c:pt>
                <c:pt idx="1291">
                  <c:v>19.100000000000001</c:v>
                </c:pt>
                <c:pt idx="1292">
                  <c:v>19.100000000000001</c:v>
                </c:pt>
                <c:pt idx="1293">
                  <c:v>19.100000000000001</c:v>
                </c:pt>
                <c:pt idx="1294">
                  <c:v>19.100000000000001</c:v>
                </c:pt>
                <c:pt idx="1295">
                  <c:v>19.100000000000001</c:v>
                </c:pt>
                <c:pt idx="1296">
                  <c:v>19.100000000000001</c:v>
                </c:pt>
                <c:pt idx="1297">
                  <c:v>19.100000000000001</c:v>
                </c:pt>
                <c:pt idx="1298">
                  <c:v>19.100000000000001</c:v>
                </c:pt>
                <c:pt idx="1299">
                  <c:v>19.100000000000001</c:v>
                </c:pt>
                <c:pt idx="1300">
                  <c:v>19.100000000000001</c:v>
                </c:pt>
                <c:pt idx="1301">
                  <c:v>19.100000000000001</c:v>
                </c:pt>
                <c:pt idx="1302">
                  <c:v>19.100000000000001</c:v>
                </c:pt>
                <c:pt idx="1303">
                  <c:v>19.100000000000001</c:v>
                </c:pt>
                <c:pt idx="1304">
                  <c:v>19.100000000000001</c:v>
                </c:pt>
                <c:pt idx="1305">
                  <c:v>19.100000000000001</c:v>
                </c:pt>
                <c:pt idx="1306">
                  <c:v>19.100000000000001</c:v>
                </c:pt>
                <c:pt idx="1307">
                  <c:v>19.100000000000001</c:v>
                </c:pt>
                <c:pt idx="1308">
                  <c:v>19.100000000000001</c:v>
                </c:pt>
                <c:pt idx="1309">
                  <c:v>19.100000000000001</c:v>
                </c:pt>
                <c:pt idx="1310">
                  <c:v>19.100000000000001</c:v>
                </c:pt>
                <c:pt idx="1311">
                  <c:v>19.100000000000001</c:v>
                </c:pt>
                <c:pt idx="1312">
                  <c:v>19.100000000000001</c:v>
                </c:pt>
                <c:pt idx="1313">
                  <c:v>19.100000000000001</c:v>
                </c:pt>
                <c:pt idx="1314">
                  <c:v>19.100000000000001</c:v>
                </c:pt>
                <c:pt idx="1315">
                  <c:v>19.100000000000001</c:v>
                </c:pt>
                <c:pt idx="1316">
                  <c:v>19.100000000000001</c:v>
                </c:pt>
                <c:pt idx="1317">
                  <c:v>19.100000000000001</c:v>
                </c:pt>
                <c:pt idx="1318">
                  <c:v>19.100000000000001</c:v>
                </c:pt>
                <c:pt idx="1319">
                  <c:v>19.100000000000001</c:v>
                </c:pt>
                <c:pt idx="1320">
                  <c:v>19.100000000000001</c:v>
                </c:pt>
                <c:pt idx="1321">
                  <c:v>19.100000000000001</c:v>
                </c:pt>
                <c:pt idx="1322">
                  <c:v>19.100000000000001</c:v>
                </c:pt>
                <c:pt idx="1323">
                  <c:v>19.100000000000001</c:v>
                </c:pt>
                <c:pt idx="1324">
                  <c:v>19.100000000000001</c:v>
                </c:pt>
                <c:pt idx="1325">
                  <c:v>19.100000000000001</c:v>
                </c:pt>
                <c:pt idx="1326">
                  <c:v>19.100000000000001</c:v>
                </c:pt>
                <c:pt idx="1327">
                  <c:v>19.100000000000001</c:v>
                </c:pt>
                <c:pt idx="1328">
                  <c:v>19.100000000000001</c:v>
                </c:pt>
                <c:pt idx="1329">
                  <c:v>19.100000000000001</c:v>
                </c:pt>
                <c:pt idx="1330">
                  <c:v>19.100000000000001</c:v>
                </c:pt>
                <c:pt idx="1331">
                  <c:v>19.100000000000001</c:v>
                </c:pt>
                <c:pt idx="1332">
                  <c:v>19.100000000000001</c:v>
                </c:pt>
                <c:pt idx="1333">
                  <c:v>19.100000000000001</c:v>
                </c:pt>
                <c:pt idx="1334">
                  <c:v>19.100000000000001</c:v>
                </c:pt>
                <c:pt idx="1335">
                  <c:v>19.100000000000001</c:v>
                </c:pt>
                <c:pt idx="1336">
                  <c:v>19.100000000000001</c:v>
                </c:pt>
                <c:pt idx="1337">
                  <c:v>19.100000000000001</c:v>
                </c:pt>
                <c:pt idx="1338">
                  <c:v>19.100000000000001</c:v>
                </c:pt>
                <c:pt idx="1339">
                  <c:v>19.100000000000001</c:v>
                </c:pt>
                <c:pt idx="1340">
                  <c:v>19.100000000000001</c:v>
                </c:pt>
                <c:pt idx="1341">
                  <c:v>19.100000000000001</c:v>
                </c:pt>
                <c:pt idx="1342">
                  <c:v>19.100000000000001</c:v>
                </c:pt>
                <c:pt idx="1343">
                  <c:v>19.100000000000001</c:v>
                </c:pt>
                <c:pt idx="1344">
                  <c:v>19.100000000000001</c:v>
                </c:pt>
                <c:pt idx="1345">
                  <c:v>19.100000000000001</c:v>
                </c:pt>
                <c:pt idx="1346">
                  <c:v>19.100000000000001</c:v>
                </c:pt>
                <c:pt idx="1347">
                  <c:v>19.100000000000001</c:v>
                </c:pt>
                <c:pt idx="1348">
                  <c:v>19.100000000000001</c:v>
                </c:pt>
                <c:pt idx="1349">
                  <c:v>19.100000000000001</c:v>
                </c:pt>
                <c:pt idx="1350">
                  <c:v>19.100000000000001</c:v>
                </c:pt>
                <c:pt idx="1351">
                  <c:v>19.100000000000001</c:v>
                </c:pt>
                <c:pt idx="1352">
                  <c:v>19.100000000000001</c:v>
                </c:pt>
                <c:pt idx="1353">
                  <c:v>19.100000000000001</c:v>
                </c:pt>
                <c:pt idx="1354">
                  <c:v>19.100000000000001</c:v>
                </c:pt>
                <c:pt idx="1355">
                  <c:v>19.100000000000001</c:v>
                </c:pt>
                <c:pt idx="1356">
                  <c:v>20.100000000000001</c:v>
                </c:pt>
                <c:pt idx="1357">
                  <c:v>20.100000000000001</c:v>
                </c:pt>
                <c:pt idx="1358">
                  <c:v>20.100000000000001</c:v>
                </c:pt>
                <c:pt idx="1359">
                  <c:v>20.100000000000001</c:v>
                </c:pt>
                <c:pt idx="1360">
                  <c:v>20.100000000000001</c:v>
                </c:pt>
                <c:pt idx="1361">
                  <c:v>20.100000000000001</c:v>
                </c:pt>
                <c:pt idx="1362">
                  <c:v>20.100000000000001</c:v>
                </c:pt>
                <c:pt idx="1363">
                  <c:v>20.100000000000001</c:v>
                </c:pt>
                <c:pt idx="1364">
                  <c:v>20.100000000000001</c:v>
                </c:pt>
                <c:pt idx="1365">
                  <c:v>20.100000000000001</c:v>
                </c:pt>
                <c:pt idx="1366">
                  <c:v>20.100000000000001</c:v>
                </c:pt>
                <c:pt idx="1367">
                  <c:v>20.100000000000001</c:v>
                </c:pt>
                <c:pt idx="1368">
                  <c:v>20.100000000000001</c:v>
                </c:pt>
                <c:pt idx="1369">
                  <c:v>20.100000000000001</c:v>
                </c:pt>
                <c:pt idx="1370">
                  <c:v>20.100000000000001</c:v>
                </c:pt>
                <c:pt idx="1371">
                  <c:v>20.100000000000001</c:v>
                </c:pt>
                <c:pt idx="1372">
                  <c:v>20.100000000000001</c:v>
                </c:pt>
                <c:pt idx="1373">
                  <c:v>20.100000000000001</c:v>
                </c:pt>
                <c:pt idx="1374">
                  <c:v>20.100000000000001</c:v>
                </c:pt>
                <c:pt idx="1375">
                  <c:v>20.100000000000001</c:v>
                </c:pt>
                <c:pt idx="1376">
                  <c:v>20.100000000000001</c:v>
                </c:pt>
                <c:pt idx="1377">
                  <c:v>20.100000000000001</c:v>
                </c:pt>
                <c:pt idx="1378">
                  <c:v>20.100000000000001</c:v>
                </c:pt>
                <c:pt idx="1379">
                  <c:v>20.100000000000001</c:v>
                </c:pt>
                <c:pt idx="1380">
                  <c:v>20.100000000000001</c:v>
                </c:pt>
                <c:pt idx="1381">
                  <c:v>20.100000000000001</c:v>
                </c:pt>
                <c:pt idx="1382">
                  <c:v>20.100000000000001</c:v>
                </c:pt>
                <c:pt idx="1383">
                  <c:v>20.100000000000001</c:v>
                </c:pt>
                <c:pt idx="1384">
                  <c:v>20.100000000000001</c:v>
                </c:pt>
                <c:pt idx="1385">
                  <c:v>20.100000000000001</c:v>
                </c:pt>
                <c:pt idx="1386">
                  <c:v>20.100000000000001</c:v>
                </c:pt>
                <c:pt idx="1387">
                  <c:v>20.100000000000001</c:v>
                </c:pt>
                <c:pt idx="1388">
                  <c:v>20.100000000000001</c:v>
                </c:pt>
                <c:pt idx="1389">
                  <c:v>20.100000000000001</c:v>
                </c:pt>
                <c:pt idx="1390">
                  <c:v>20.100000000000001</c:v>
                </c:pt>
                <c:pt idx="1391">
                  <c:v>20.100000000000001</c:v>
                </c:pt>
                <c:pt idx="1392">
                  <c:v>20.100000000000001</c:v>
                </c:pt>
                <c:pt idx="1393">
                  <c:v>20.100000000000001</c:v>
                </c:pt>
                <c:pt idx="1394">
                  <c:v>20.100000000000001</c:v>
                </c:pt>
                <c:pt idx="1395">
                  <c:v>20.100000000000001</c:v>
                </c:pt>
                <c:pt idx="1396">
                  <c:v>20.100000000000001</c:v>
                </c:pt>
                <c:pt idx="1397">
                  <c:v>20.100000000000001</c:v>
                </c:pt>
                <c:pt idx="1398">
                  <c:v>20.100000000000001</c:v>
                </c:pt>
                <c:pt idx="1399">
                  <c:v>20.100000000000001</c:v>
                </c:pt>
                <c:pt idx="1400">
                  <c:v>20.100000000000001</c:v>
                </c:pt>
                <c:pt idx="1401">
                  <c:v>20.100000000000001</c:v>
                </c:pt>
                <c:pt idx="1402">
                  <c:v>20.100000000000001</c:v>
                </c:pt>
                <c:pt idx="1403">
                  <c:v>20.100000000000001</c:v>
                </c:pt>
                <c:pt idx="1404">
                  <c:v>20.100000000000001</c:v>
                </c:pt>
                <c:pt idx="1405">
                  <c:v>20.100000000000001</c:v>
                </c:pt>
                <c:pt idx="1406">
                  <c:v>20.100000000000001</c:v>
                </c:pt>
                <c:pt idx="1407">
                  <c:v>20.100000000000001</c:v>
                </c:pt>
                <c:pt idx="1408">
                  <c:v>20.100000000000001</c:v>
                </c:pt>
                <c:pt idx="1409">
                  <c:v>20.100000000000001</c:v>
                </c:pt>
                <c:pt idx="1410">
                  <c:v>20.100000000000001</c:v>
                </c:pt>
                <c:pt idx="1411">
                  <c:v>20.100000000000001</c:v>
                </c:pt>
                <c:pt idx="1412">
                  <c:v>20.100000000000001</c:v>
                </c:pt>
                <c:pt idx="1413">
                  <c:v>20.100000000000001</c:v>
                </c:pt>
                <c:pt idx="1414">
                  <c:v>20.100000000000001</c:v>
                </c:pt>
                <c:pt idx="1415">
                  <c:v>20.100000000000001</c:v>
                </c:pt>
                <c:pt idx="1416">
                  <c:v>20.100000000000001</c:v>
                </c:pt>
                <c:pt idx="1417">
                  <c:v>20.100000000000001</c:v>
                </c:pt>
                <c:pt idx="1418">
                  <c:v>20.100000000000001</c:v>
                </c:pt>
                <c:pt idx="1419">
                  <c:v>20.100000000000001</c:v>
                </c:pt>
                <c:pt idx="1420">
                  <c:v>20.100000000000001</c:v>
                </c:pt>
                <c:pt idx="1421">
                  <c:v>20.100000000000001</c:v>
                </c:pt>
                <c:pt idx="1422">
                  <c:v>20.100000000000001</c:v>
                </c:pt>
                <c:pt idx="1423">
                  <c:v>20.100000000000001</c:v>
                </c:pt>
                <c:pt idx="1424">
                  <c:v>20.100000000000001</c:v>
                </c:pt>
                <c:pt idx="1425">
                  <c:v>20.100000000000001</c:v>
                </c:pt>
                <c:pt idx="1426">
                  <c:v>20.100000000000001</c:v>
                </c:pt>
                <c:pt idx="1427">
                  <c:v>20.100000000000001</c:v>
                </c:pt>
                <c:pt idx="1428">
                  <c:v>20.100000000000001</c:v>
                </c:pt>
                <c:pt idx="1429">
                  <c:v>20.100000000000001</c:v>
                </c:pt>
                <c:pt idx="1430">
                  <c:v>20.100000000000001</c:v>
                </c:pt>
                <c:pt idx="1431">
                  <c:v>20.100000000000001</c:v>
                </c:pt>
                <c:pt idx="1432">
                  <c:v>20.100000000000001</c:v>
                </c:pt>
                <c:pt idx="1433">
                  <c:v>20.100000000000001</c:v>
                </c:pt>
                <c:pt idx="1434">
                  <c:v>20.100000000000001</c:v>
                </c:pt>
                <c:pt idx="1435">
                  <c:v>20.100000000000001</c:v>
                </c:pt>
                <c:pt idx="1436">
                  <c:v>20.100000000000001</c:v>
                </c:pt>
                <c:pt idx="1437">
                  <c:v>20.100000000000001</c:v>
                </c:pt>
                <c:pt idx="1438">
                  <c:v>20.100000000000001</c:v>
                </c:pt>
                <c:pt idx="1439">
                  <c:v>20.100000000000001</c:v>
                </c:pt>
                <c:pt idx="1440">
                  <c:v>20.100000000000001</c:v>
                </c:pt>
                <c:pt idx="1441">
                  <c:v>20.100000000000001</c:v>
                </c:pt>
                <c:pt idx="1442">
                  <c:v>20.100000000000001</c:v>
                </c:pt>
                <c:pt idx="1443">
                  <c:v>20.100000000000001</c:v>
                </c:pt>
                <c:pt idx="1444">
                  <c:v>20.100000000000001</c:v>
                </c:pt>
                <c:pt idx="1445">
                  <c:v>20.100000000000001</c:v>
                </c:pt>
                <c:pt idx="1446">
                  <c:v>20.100000000000001</c:v>
                </c:pt>
                <c:pt idx="1447">
                  <c:v>20.100000000000001</c:v>
                </c:pt>
                <c:pt idx="1448">
                  <c:v>20.100000000000001</c:v>
                </c:pt>
                <c:pt idx="1449">
                  <c:v>20.100000000000001</c:v>
                </c:pt>
                <c:pt idx="1450">
                  <c:v>20.100000000000001</c:v>
                </c:pt>
                <c:pt idx="1451">
                  <c:v>20.100000000000001</c:v>
                </c:pt>
                <c:pt idx="1452">
                  <c:v>20.100000000000001</c:v>
                </c:pt>
                <c:pt idx="1453">
                  <c:v>20.100000000000001</c:v>
                </c:pt>
                <c:pt idx="1454">
                  <c:v>20.100000000000001</c:v>
                </c:pt>
                <c:pt idx="1455">
                  <c:v>20.100000000000001</c:v>
                </c:pt>
                <c:pt idx="1456">
                  <c:v>20.100000000000001</c:v>
                </c:pt>
                <c:pt idx="1457">
                  <c:v>20.100000000000001</c:v>
                </c:pt>
                <c:pt idx="1458">
                  <c:v>20.100000000000001</c:v>
                </c:pt>
                <c:pt idx="1459">
                  <c:v>20.100000000000001</c:v>
                </c:pt>
                <c:pt idx="1460">
                  <c:v>20.100000000000001</c:v>
                </c:pt>
                <c:pt idx="1461">
                  <c:v>20.100000000000001</c:v>
                </c:pt>
                <c:pt idx="1462">
                  <c:v>20.100000000000001</c:v>
                </c:pt>
                <c:pt idx="1463">
                  <c:v>20.100000000000001</c:v>
                </c:pt>
                <c:pt idx="1464">
                  <c:v>20.100000000000001</c:v>
                </c:pt>
                <c:pt idx="1465">
                  <c:v>20.100000000000001</c:v>
                </c:pt>
                <c:pt idx="1466">
                  <c:v>20.100000000000001</c:v>
                </c:pt>
                <c:pt idx="1467">
                  <c:v>20.100000000000001</c:v>
                </c:pt>
                <c:pt idx="1468">
                  <c:v>20.100000000000001</c:v>
                </c:pt>
                <c:pt idx="1469">
                  <c:v>20.100000000000001</c:v>
                </c:pt>
                <c:pt idx="1470">
                  <c:v>20.100000000000001</c:v>
                </c:pt>
                <c:pt idx="1471">
                  <c:v>20.100000000000001</c:v>
                </c:pt>
                <c:pt idx="1472">
                  <c:v>20.100000000000001</c:v>
                </c:pt>
                <c:pt idx="1473">
                  <c:v>20.100000000000001</c:v>
                </c:pt>
                <c:pt idx="1474">
                  <c:v>20.100000000000001</c:v>
                </c:pt>
                <c:pt idx="1475">
                  <c:v>20.100000000000001</c:v>
                </c:pt>
                <c:pt idx="1476">
                  <c:v>20.100000000000001</c:v>
                </c:pt>
                <c:pt idx="1477">
                  <c:v>20.100000000000001</c:v>
                </c:pt>
                <c:pt idx="1478">
                  <c:v>20.100000000000001</c:v>
                </c:pt>
                <c:pt idx="1479">
                  <c:v>20.100000000000001</c:v>
                </c:pt>
                <c:pt idx="1480">
                  <c:v>20.100000000000001</c:v>
                </c:pt>
                <c:pt idx="1481">
                  <c:v>20.100000000000001</c:v>
                </c:pt>
                <c:pt idx="1482">
                  <c:v>20.100000000000001</c:v>
                </c:pt>
                <c:pt idx="1483">
                  <c:v>20.100000000000001</c:v>
                </c:pt>
                <c:pt idx="1484">
                  <c:v>20.100000000000001</c:v>
                </c:pt>
                <c:pt idx="1485">
                  <c:v>20.100000000000001</c:v>
                </c:pt>
                <c:pt idx="1486">
                  <c:v>20.100000000000001</c:v>
                </c:pt>
                <c:pt idx="1487">
                  <c:v>20.100000000000001</c:v>
                </c:pt>
                <c:pt idx="1488">
                  <c:v>20.100000000000001</c:v>
                </c:pt>
                <c:pt idx="1489">
                  <c:v>20.100000000000001</c:v>
                </c:pt>
                <c:pt idx="1490">
                  <c:v>20.100000000000001</c:v>
                </c:pt>
                <c:pt idx="1491">
                  <c:v>20.100000000000001</c:v>
                </c:pt>
                <c:pt idx="1492">
                  <c:v>20.100000000000001</c:v>
                </c:pt>
                <c:pt idx="1493">
                  <c:v>20.100000000000001</c:v>
                </c:pt>
                <c:pt idx="1494">
                  <c:v>20.100000000000001</c:v>
                </c:pt>
                <c:pt idx="1495">
                  <c:v>20.100000000000001</c:v>
                </c:pt>
                <c:pt idx="1496">
                  <c:v>20.100000000000001</c:v>
                </c:pt>
                <c:pt idx="1497">
                  <c:v>20.100000000000001</c:v>
                </c:pt>
                <c:pt idx="1498">
                  <c:v>20.100000000000001</c:v>
                </c:pt>
                <c:pt idx="1499">
                  <c:v>20.100000000000001</c:v>
                </c:pt>
                <c:pt idx="1500">
                  <c:v>20.100000000000001</c:v>
                </c:pt>
                <c:pt idx="1501">
                  <c:v>20.100000000000001</c:v>
                </c:pt>
                <c:pt idx="1502">
                  <c:v>20.100000000000001</c:v>
                </c:pt>
                <c:pt idx="1503">
                  <c:v>20.100000000000001</c:v>
                </c:pt>
                <c:pt idx="1504">
                  <c:v>20.100000000000001</c:v>
                </c:pt>
                <c:pt idx="1505">
                  <c:v>20.100000000000001</c:v>
                </c:pt>
                <c:pt idx="1506">
                  <c:v>20.100000000000001</c:v>
                </c:pt>
                <c:pt idx="1507">
                  <c:v>20.100000000000001</c:v>
                </c:pt>
                <c:pt idx="1508">
                  <c:v>20.100000000000001</c:v>
                </c:pt>
                <c:pt idx="1509">
                  <c:v>20.100000000000001</c:v>
                </c:pt>
                <c:pt idx="1510">
                  <c:v>20.100000000000001</c:v>
                </c:pt>
                <c:pt idx="1511">
                  <c:v>20.100000000000001</c:v>
                </c:pt>
                <c:pt idx="1512">
                  <c:v>20.100000000000001</c:v>
                </c:pt>
                <c:pt idx="1513">
                  <c:v>20.100000000000001</c:v>
                </c:pt>
                <c:pt idx="1514">
                  <c:v>20.100000000000001</c:v>
                </c:pt>
                <c:pt idx="1515">
                  <c:v>20.100000000000001</c:v>
                </c:pt>
                <c:pt idx="1516">
                  <c:v>20.100000000000001</c:v>
                </c:pt>
                <c:pt idx="1517">
                  <c:v>20.100000000000001</c:v>
                </c:pt>
                <c:pt idx="1518">
                  <c:v>20.100000000000001</c:v>
                </c:pt>
                <c:pt idx="1519">
                  <c:v>20.100000000000001</c:v>
                </c:pt>
                <c:pt idx="1520">
                  <c:v>20.100000000000001</c:v>
                </c:pt>
                <c:pt idx="1521">
                  <c:v>20.100000000000001</c:v>
                </c:pt>
                <c:pt idx="1522">
                  <c:v>20.100000000000001</c:v>
                </c:pt>
                <c:pt idx="1523">
                  <c:v>20.100000000000001</c:v>
                </c:pt>
                <c:pt idx="1524">
                  <c:v>20.100000000000001</c:v>
                </c:pt>
                <c:pt idx="1525">
                  <c:v>20.100000000000001</c:v>
                </c:pt>
                <c:pt idx="1526">
                  <c:v>20.100000000000001</c:v>
                </c:pt>
                <c:pt idx="1527">
                  <c:v>20.100000000000001</c:v>
                </c:pt>
                <c:pt idx="1528">
                  <c:v>20.100000000000001</c:v>
                </c:pt>
                <c:pt idx="1529">
                  <c:v>20.100000000000001</c:v>
                </c:pt>
                <c:pt idx="1530">
                  <c:v>20.100000000000001</c:v>
                </c:pt>
                <c:pt idx="1531">
                  <c:v>20.100000000000001</c:v>
                </c:pt>
                <c:pt idx="1532">
                  <c:v>20.100000000000001</c:v>
                </c:pt>
                <c:pt idx="1533">
                  <c:v>20.100000000000001</c:v>
                </c:pt>
                <c:pt idx="1534">
                  <c:v>20.100000000000001</c:v>
                </c:pt>
                <c:pt idx="1535">
                  <c:v>20.100000000000001</c:v>
                </c:pt>
                <c:pt idx="1536">
                  <c:v>20.100000000000001</c:v>
                </c:pt>
                <c:pt idx="1537">
                  <c:v>20.100000000000001</c:v>
                </c:pt>
                <c:pt idx="1538">
                  <c:v>20.100000000000001</c:v>
                </c:pt>
                <c:pt idx="1539">
                  <c:v>20.100000000000001</c:v>
                </c:pt>
                <c:pt idx="1540">
                  <c:v>20.100000000000001</c:v>
                </c:pt>
                <c:pt idx="1541">
                  <c:v>20.100000000000001</c:v>
                </c:pt>
                <c:pt idx="1542">
                  <c:v>20.100000000000001</c:v>
                </c:pt>
                <c:pt idx="1543">
                  <c:v>20.100000000000001</c:v>
                </c:pt>
                <c:pt idx="1544">
                  <c:v>20.100000000000001</c:v>
                </c:pt>
                <c:pt idx="1545">
                  <c:v>20.100000000000001</c:v>
                </c:pt>
                <c:pt idx="1546">
                  <c:v>20.100000000000001</c:v>
                </c:pt>
                <c:pt idx="1547">
                  <c:v>20.100000000000001</c:v>
                </c:pt>
                <c:pt idx="1548">
                  <c:v>20.100000000000001</c:v>
                </c:pt>
                <c:pt idx="1549">
                  <c:v>20.100000000000001</c:v>
                </c:pt>
                <c:pt idx="1550">
                  <c:v>20.100000000000001</c:v>
                </c:pt>
                <c:pt idx="1551">
                  <c:v>20.100000000000001</c:v>
                </c:pt>
                <c:pt idx="1552">
                  <c:v>20.100000000000001</c:v>
                </c:pt>
                <c:pt idx="1553">
                  <c:v>20.100000000000001</c:v>
                </c:pt>
                <c:pt idx="1554">
                  <c:v>20.100000000000001</c:v>
                </c:pt>
                <c:pt idx="1555">
                  <c:v>20.100000000000001</c:v>
                </c:pt>
                <c:pt idx="1556">
                  <c:v>20.100000000000001</c:v>
                </c:pt>
                <c:pt idx="1557">
                  <c:v>20.100000000000001</c:v>
                </c:pt>
                <c:pt idx="1558">
                  <c:v>20.100000000000001</c:v>
                </c:pt>
                <c:pt idx="1559">
                  <c:v>20.100000000000001</c:v>
                </c:pt>
                <c:pt idx="1560">
                  <c:v>20.100000000000001</c:v>
                </c:pt>
                <c:pt idx="1561">
                  <c:v>20.100000000000001</c:v>
                </c:pt>
                <c:pt idx="1562">
                  <c:v>20.100000000000001</c:v>
                </c:pt>
                <c:pt idx="1563">
                  <c:v>20.100000000000001</c:v>
                </c:pt>
                <c:pt idx="1564">
                  <c:v>20.100000000000001</c:v>
                </c:pt>
                <c:pt idx="1565">
                  <c:v>20.100000000000001</c:v>
                </c:pt>
                <c:pt idx="1566">
                  <c:v>20.100000000000001</c:v>
                </c:pt>
                <c:pt idx="1567">
                  <c:v>20.100000000000001</c:v>
                </c:pt>
                <c:pt idx="1568">
                  <c:v>20.100000000000001</c:v>
                </c:pt>
                <c:pt idx="1569">
                  <c:v>20.100000000000001</c:v>
                </c:pt>
                <c:pt idx="1570">
                  <c:v>21.1</c:v>
                </c:pt>
                <c:pt idx="1571">
                  <c:v>21.1</c:v>
                </c:pt>
                <c:pt idx="1572">
                  <c:v>21.1</c:v>
                </c:pt>
                <c:pt idx="1573">
                  <c:v>21.1</c:v>
                </c:pt>
                <c:pt idx="1574">
                  <c:v>21.1</c:v>
                </c:pt>
                <c:pt idx="1575">
                  <c:v>21.1</c:v>
                </c:pt>
                <c:pt idx="1576">
                  <c:v>21.1</c:v>
                </c:pt>
                <c:pt idx="1577">
                  <c:v>21.1</c:v>
                </c:pt>
                <c:pt idx="1578">
                  <c:v>21.1</c:v>
                </c:pt>
                <c:pt idx="1579">
                  <c:v>21.1</c:v>
                </c:pt>
                <c:pt idx="1580">
                  <c:v>21.1</c:v>
                </c:pt>
                <c:pt idx="1581">
                  <c:v>21.1</c:v>
                </c:pt>
                <c:pt idx="1582">
                  <c:v>21.1</c:v>
                </c:pt>
                <c:pt idx="1583">
                  <c:v>21.1</c:v>
                </c:pt>
                <c:pt idx="1584">
                  <c:v>21.1</c:v>
                </c:pt>
                <c:pt idx="1585">
                  <c:v>21.1</c:v>
                </c:pt>
                <c:pt idx="1586">
                  <c:v>21.1</c:v>
                </c:pt>
                <c:pt idx="1587">
                  <c:v>21.1</c:v>
                </c:pt>
                <c:pt idx="1588">
                  <c:v>21.1</c:v>
                </c:pt>
                <c:pt idx="1589">
                  <c:v>21.1</c:v>
                </c:pt>
                <c:pt idx="1590">
                  <c:v>21.1</c:v>
                </c:pt>
                <c:pt idx="1591">
                  <c:v>21.1</c:v>
                </c:pt>
                <c:pt idx="1592">
                  <c:v>21.1</c:v>
                </c:pt>
                <c:pt idx="1593">
                  <c:v>21.1</c:v>
                </c:pt>
                <c:pt idx="1594">
                  <c:v>21.1</c:v>
                </c:pt>
                <c:pt idx="1595">
                  <c:v>21.1</c:v>
                </c:pt>
                <c:pt idx="1596">
                  <c:v>21.1</c:v>
                </c:pt>
                <c:pt idx="1597">
                  <c:v>21.1</c:v>
                </c:pt>
                <c:pt idx="1598">
                  <c:v>21.1</c:v>
                </c:pt>
                <c:pt idx="1599">
                  <c:v>21.1</c:v>
                </c:pt>
                <c:pt idx="1600">
                  <c:v>21.1</c:v>
                </c:pt>
                <c:pt idx="1601">
                  <c:v>21.1</c:v>
                </c:pt>
                <c:pt idx="1602">
                  <c:v>21.1</c:v>
                </c:pt>
                <c:pt idx="1603">
                  <c:v>21.1</c:v>
                </c:pt>
                <c:pt idx="1604">
                  <c:v>21.1</c:v>
                </c:pt>
                <c:pt idx="1605">
                  <c:v>21.1</c:v>
                </c:pt>
                <c:pt idx="1606">
                  <c:v>21.1</c:v>
                </c:pt>
                <c:pt idx="1607">
                  <c:v>21.1</c:v>
                </c:pt>
                <c:pt idx="1608">
                  <c:v>21.1</c:v>
                </c:pt>
                <c:pt idx="1609">
                  <c:v>21.1</c:v>
                </c:pt>
                <c:pt idx="1610">
                  <c:v>21.1</c:v>
                </c:pt>
                <c:pt idx="1611">
                  <c:v>21.1</c:v>
                </c:pt>
                <c:pt idx="1612">
                  <c:v>21.1</c:v>
                </c:pt>
                <c:pt idx="1613">
                  <c:v>21.1</c:v>
                </c:pt>
                <c:pt idx="1614">
                  <c:v>21.1</c:v>
                </c:pt>
                <c:pt idx="1615">
                  <c:v>21.1</c:v>
                </c:pt>
                <c:pt idx="1616">
                  <c:v>21.1</c:v>
                </c:pt>
                <c:pt idx="1617">
                  <c:v>21.1</c:v>
                </c:pt>
                <c:pt idx="1618">
                  <c:v>21.1</c:v>
                </c:pt>
                <c:pt idx="1619">
                  <c:v>21.1</c:v>
                </c:pt>
                <c:pt idx="1620">
                  <c:v>21.1</c:v>
                </c:pt>
                <c:pt idx="1621">
                  <c:v>21.1</c:v>
                </c:pt>
                <c:pt idx="1622">
                  <c:v>21.1</c:v>
                </c:pt>
                <c:pt idx="1623">
                  <c:v>21.1</c:v>
                </c:pt>
                <c:pt idx="1624">
                  <c:v>21.1</c:v>
                </c:pt>
                <c:pt idx="1625">
                  <c:v>21.1</c:v>
                </c:pt>
                <c:pt idx="1626">
                  <c:v>21.1</c:v>
                </c:pt>
                <c:pt idx="1627">
                  <c:v>21.1</c:v>
                </c:pt>
                <c:pt idx="1628">
                  <c:v>21.1</c:v>
                </c:pt>
                <c:pt idx="1629">
                  <c:v>21.1</c:v>
                </c:pt>
                <c:pt idx="1630">
                  <c:v>21.1</c:v>
                </c:pt>
                <c:pt idx="1631">
                  <c:v>21.1</c:v>
                </c:pt>
                <c:pt idx="1632">
                  <c:v>21.1</c:v>
                </c:pt>
                <c:pt idx="1633">
                  <c:v>21.1</c:v>
                </c:pt>
                <c:pt idx="1634">
                  <c:v>21.1</c:v>
                </c:pt>
                <c:pt idx="1635">
                  <c:v>21.1</c:v>
                </c:pt>
                <c:pt idx="1636">
                  <c:v>21.1</c:v>
                </c:pt>
                <c:pt idx="1637">
                  <c:v>21.1</c:v>
                </c:pt>
                <c:pt idx="1638">
                  <c:v>21.1</c:v>
                </c:pt>
                <c:pt idx="1639">
                  <c:v>21.1</c:v>
                </c:pt>
                <c:pt idx="1640">
                  <c:v>21.1</c:v>
                </c:pt>
                <c:pt idx="1641">
                  <c:v>21.1</c:v>
                </c:pt>
                <c:pt idx="1642">
                  <c:v>21.1</c:v>
                </c:pt>
                <c:pt idx="1643">
                  <c:v>21.1</c:v>
                </c:pt>
                <c:pt idx="1644">
                  <c:v>21.1</c:v>
                </c:pt>
                <c:pt idx="1645">
                  <c:v>21.1</c:v>
                </c:pt>
                <c:pt idx="1646">
                  <c:v>21.1</c:v>
                </c:pt>
                <c:pt idx="1647">
                  <c:v>21.1</c:v>
                </c:pt>
                <c:pt idx="1648">
                  <c:v>21.1</c:v>
                </c:pt>
                <c:pt idx="1649">
                  <c:v>21.1</c:v>
                </c:pt>
                <c:pt idx="1650">
                  <c:v>21.1</c:v>
                </c:pt>
                <c:pt idx="1651">
                  <c:v>21.1</c:v>
                </c:pt>
                <c:pt idx="1652">
                  <c:v>21.1</c:v>
                </c:pt>
                <c:pt idx="1653">
                  <c:v>21.1</c:v>
                </c:pt>
                <c:pt idx="1654">
                  <c:v>21.1</c:v>
                </c:pt>
                <c:pt idx="1655">
                  <c:v>21.1</c:v>
                </c:pt>
                <c:pt idx="1656">
                  <c:v>21.1</c:v>
                </c:pt>
                <c:pt idx="1657">
                  <c:v>21.1</c:v>
                </c:pt>
                <c:pt idx="1658">
                  <c:v>21.1</c:v>
                </c:pt>
                <c:pt idx="1659">
                  <c:v>21.1</c:v>
                </c:pt>
                <c:pt idx="1660">
                  <c:v>21.1</c:v>
                </c:pt>
                <c:pt idx="1661">
                  <c:v>21.1</c:v>
                </c:pt>
                <c:pt idx="1662">
                  <c:v>21.1</c:v>
                </c:pt>
                <c:pt idx="1663">
                  <c:v>21.1</c:v>
                </c:pt>
                <c:pt idx="1664">
                  <c:v>21.1</c:v>
                </c:pt>
                <c:pt idx="1665">
                  <c:v>21.1</c:v>
                </c:pt>
                <c:pt idx="1666">
                  <c:v>21.1</c:v>
                </c:pt>
                <c:pt idx="1667">
                  <c:v>21.1</c:v>
                </c:pt>
                <c:pt idx="1668">
                  <c:v>21.1</c:v>
                </c:pt>
                <c:pt idx="1669">
                  <c:v>21.1</c:v>
                </c:pt>
                <c:pt idx="1670">
                  <c:v>21.1</c:v>
                </c:pt>
                <c:pt idx="1671">
                  <c:v>21.1</c:v>
                </c:pt>
                <c:pt idx="1672">
                  <c:v>21.1</c:v>
                </c:pt>
                <c:pt idx="1673">
                  <c:v>21.1</c:v>
                </c:pt>
                <c:pt idx="1674">
                  <c:v>21.1</c:v>
                </c:pt>
                <c:pt idx="1675">
                  <c:v>21.1</c:v>
                </c:pt>
                <c:pt idx="1676">
                  <c:v>21.1</c:v>
                </c:pt>
                <c:pt idx="1677">
                  <c:v>21.1</c:v>
                </c:pt>
                <c:pt idx="1678">
                  <c:v>21.1</c:v>
                </c:pt>
                <c:pt idx="1679">
                  <c:v>21.1</c:v>
                </c:pt>
                <c:pt idx="1680">
                  <c:v>21.1</c:v>
                </c:pt>
                <c:pt idx="1681">
                  <c:v>21.1</c:v>
                </c:pt>
                <c:pt idx="1682">
                  <c:v>21.1</c:v>
                </c:pt>
                <c:pt idx="1683">
                  <c:v>21.1</c:v>
                </c:pt>
                <c:pt idx="1684">
                  <c:v>21.1</c:v>
                </c:pt>
                <c:pt idx="1685">
                  <c:v>21.1</c:v>
                </c:pt>
                <c:pt idx="1686">
                  <c:v>21.1</c:v>
                </c:pt>
                <c:pt idx="1687">
                  <c:v>21.1</c:v>
                </c:pt>
                <c:pt idx="1688">
                  <c:v>21.1</c:v>
                </c:pt>
                <c:pt idx="1689">
                  <c:v>21.1</c:v>
                </c:pt>
                <c:pt idx="1690">
                  <c:v>21.1</c:v>
                </c:pt>
                <c:pt idx="1691">
                  <c:v>21.1</c:v>
                </c:pt>
                <c:pt idx="1692">
                  <c:v>21.1</c:v>
                </c:pt>
                <c:pt idx="1693">
                  <c:v>21.1</c:v>
                </c:pt>
                <c:pt idx="1694">
                  <c:v>21.1</c:v>
                </c:pt>
                <c:pt idx="1695">
                  <c:v>22.1</c:v>
                </c:pt>
                <c:pt idx="1696">
                  <c:v>22.1</c:v>
                </c:pt>
                <c:pt idx="1697">
                  <c:v>22.1</c:v>
                </c:pt>
                <c:pt idx="1698">
                  <c:v>22.1</c:v>
                </c:pt>
                <c:pt idx="1699">
                  <c:v>22.1</c:v>
                </c:pt>
                <c:pt idx="1700">
                  <c:v>22.1</c:v>
                </c:pt>
                <c:pt idx="1701">
                  <c:v>22.1</c:v>
                </c:pt>
                <c:pt idx="1702">
                  <c:v>21.1</c:v>
                </c:pt>
                <c:pt idx="1703">
                  <c:v>21.1</c:v>
                </c:pt>
                <c:pt idx="1704">
                  <c:v>22.1</c:v>
                </c:pt>
                <c:pt idx="1705">
                  <c:v>22.1</c:v>
                </c:pt>
                <c:pt idx="1706">
                  <c:v>22.1</c:v>
                </c:pt>
                <c:pt idx="1707">
                  <c:v>22.1</c:v>
                </c:pt>
                <c:pt idx="1708">
                  <c:v>22.1</c:v>
                </c:pt>
                <c:pt idx="1709">
                  <c:v>22.1</c:v>
                </c:pt>
                <c:pt idx="1710">
                  <c:v>22.1</c:v>
                </c:pt>
                <c:pt idx="1711">
                  <c:v>21.1</c:v>
                </c:pt>
                <c:pt idx="1712">
                  <c:v>22.1</c:v>
                </c:pt>
                <c:pt idx="1713">
                  <c:v>22.1</c:v>
                </c:pt>
                <c:pt idx="1714">
                  <c:v>22.1</c:v>
                </c:pt>
                <c:pt idx="1715">
                  <c:v>22.1</c:v>
                </c:pt>
                <c:pt idx="1716">
                  <c:v>22.1</c:v>
                </c:pt>
                <c:pt idx="1717">
                  <c:v>22.1</c:v>
                </c:pt>
                <c:pt idx="1718">
                  <c:v>22.1</c:v>
                </c:pt>
                <c:pt idx="1719">
                  <c:v>22.1</c:v>
                </c:pt>
                <c:pt idx="1720">
                  <c:v>22.1</c:v>
                </c:pt>
                <c:pt idx="1721">
                  <c:v>22.1</c:v>
                </c:pt>
                <c:pt idx="1722">
                  <c:v>22.1</c:v>
                </c:pt>
                <c:pt idx="1723">
                  <c:v>22.1</c:v>
                </c:pt>
                <c:pt idx="1724">
                  <c:v>22.1</c:v>
                </c:pt>
                <c:pt idx="1725">
                  <c:v>22.1</c:v>
                </c:pt>
                <c:pt idx="1726">
                  <c:v>21.1</c:v>
                </c:pt>
                <c:pt idx="1727">
                  <c:v>22.1</c:v>
                </c:pt>
                <c:pt idx="1728">
                  <c:v>22.1</c:v>
                </c:pt>
                <c:pt idx="1729">
                  <c:v>21.1</c:v>
                </c:pt>
                <c:pt idx="1730">
                  <c:v>22.1</c:v>
                </c:pt>
                <c:pt idx="1731">
                  <c:v>22.1</c:v>
                </c:pt>
                <c:pt idx="1732">
                  <c:v>22.1</c:v>
                </c:pt>
                <c:pt idx="1733">
                  <c:v>22.1</c:v>
                </c:pt>
                <c:pt idx="1734">
                  <c:v>22.1</c:v>
                </c:pt>
                <c:pt idx="1735">
                  <c:v>22.1</c:v>
                </c:pt>
                <c:pt idx="1736">
                  <c:v>22.1</c:v>
                </c:pt>
                <c:pt idx="1737">
                  <c:v>22.1</c:v>
                </c:pt>
                <c:pt idx="1738">
                  <c:v>22.1</c:v>
                </c:pt>
                <c:pt idx="1739">
                  <c:v>22.1</c:v>
                </c:pt>
                <c:pt idx="1740">
                  <c:v>22.1</c:v>
                </c:pt>
                <c:pt idx="1741">
                  <c:v>22.1</c:v>
                </c:pt>
                <c:pt idx="1742">
                  <c:v>22.1</c:v>
                </c:pt>
                <c:pt idx="1743">
                  <c:v>22.1</c:v>
                </c:pt>
                <c:pt idx="1744">
                  <c:v>22.1</c:v>
                </c:pt>
                <c:pt idx="1745">
                  <c:v>22.1</c:v>
                </c:pt>
                <c:pt idx="1746">
                  <c:v>21.1</c:v>
                </c:pt>
                <c:pt idx="1747">
                  <c:v>22.1</c:v>
                </c:pt>
                <c:pt idx="1748">
                  <c:v>22.1</c:v>
                </c:pt>
                <c:pt idx="1749">
                  <c:v>22.1</c:v>
                </c:pt>
                <c:pt idx="1750">
                  <c:v>22.1</c:v>
                </c:pt>
                <c:pt idx="1751">
                  <c:v>22.1</c:v>
                </c:pt>
                <c:pt idx="1752">
                  <c:v>22.1</c:v>
                </c:pt>
                <c:pt idx="1753">
                  <c:v>22.1</c:v>
                </c:pt>
                <c:pt idx="1754">
                  <c:v>22.1</c:v>
                </c:pt>
                <c:pt idx="1755">
                  <c:v>22.1</c:v>
                </c:pt>
                <c:pt idx="1756">
                  <c:v>22.1</c:v>
                </c:pt>
                <c:pt idx="1757">
                  <c:v>22.1</c:v>
                </c:pt>
                <c:pt idx="1758">
                  <c:v>22.1</c:v>
                </c:pt>
                <c:pt idx="1759">
                  <c:v>22.1</c:v>
                </c:pt>
                <c:pt idx="1760">
                  <c:v>22.1</c:v>
                </c:pt>
                <c:pt idx="1761">
                  <c:v>22.1</c:v>
                </c:pt>
                <c:pt idx="1762">
                  <c:v>21.1</c:v>
                </c:pt>
                <c:pt idx="1763">
                  <c:v>21.1</c:v>
                </c:pt>
                <c:pt idx="1764">
                  <c:v>22.1</c:v>
                </c:pt>
                <c:pt idx="1765">
                  <c:v>22.1</c:v>
                </c:pt>
                <c:pt idx="1766">
                  <c:v>22.1</c:v>
                </c:pt>
                <c:pt idx="1767">
                  <c:v>22.1</c:v>
                </c:pt>
                <c:pt idx="1768">
                  <c:v>22.1</c:v>
                </c:pt>
                <c:pt idx="1769">
                  <c:v>22.1</c:v>
                </c:pt>
                <c:pt idx="1770">
                  <c:v>22.1</c:v>
                </c:pt>
                <c:pt idx="1771">
                  <c:v>22.1</c:v>
                </c:pt>
                <c:pt idx="1772">
                  <c:v>22.1</c:v>
                </c:pt>
                <c:pt idx="1773">
                  <c:v>22.1</c:v>
                </c:pt>
                <c:pt idx="1774">
                  <c:v>22.1</c:v>
                </c:pt>
                <c:pt idx="1775">
                  <c:v>22.1</c:v>
                </c:pt>
                <c:pt idx="1776">
                  <c:v>22.1</c:v>
                </c:pt>
                <c:pt idx="1777">
                  <c:v>22.1</c:v>
                </c:pt>
                <c:pt idx="1778">
                  <c:v>22.1</c:v>
                </c:pt>
                <c:pt idx="1779">
                  <c:v>22.1</c:v>
                </c:pt>
                <c:pt idx="1780">
                  <c:v>22.1</c:v>
                </c:pt>
                <c:pt idx="1781">
                  <c:v>22.1</c:v>
                </c:pt>
                <c:pt idx="1782">
                  <c:v>22.1</c:v>
                </c:pt>
                <c:pt idx="1783">
                  <c:v>22.1</c:v>
                </c:pt>
                <c:pt idx="1784">
                  <c:v>22.1</c:v>
                </c:pt>
                <c:pt idx="1785">
                  <c:v>22.1</c:v>
                </c:pt>
                <c:pt idx="1786">
                  <c:v>22.1</c:v>
                </c:pt>
                <c:pt idx="1787">
                  <c:v>22.1</c:v>
                </c:pt>
                <c:pt idx="1788">
                  <c:v>22.1</c:v>
                </c:pt>
                <c:pt idx="1789">
                  <c:v>22.1</c:v>
                </c:pt>
                <c:pt idx="1790">
                  <c:v>22.1</c:v>
                </c:pt>
                <c:pt idx="1791">
                  <c:v>22.1</c:v>
                </c:pt>
                <c:pt idx="1792">
                  <c:v>22.1</c:v>
                </c:pt>
                <c:pt idx="1793">
                  <c:v>22.1</c:v>
                </c:pt>
                <c:pt idx="1794">
                  <c:v>22.1</c:v>
                </c:pt>
                <c:pt idx="1795">
                  <c:v>22.1</c:v>
                </c:pt>
                <c:pt idx="1796">
                  <c:v>22.1</c:v>
                </c:pt>
                <c:pt idx="1797">
                  <c:v>22.1</c:v>
                </c:pt>
                <c:pt idx="1798">
                  <c:v>22.1</c:v>
                </c:pt>
                <c:pt idx="1799">
                  <c:v>22.1</c:v>
                </c:pt>
                <c:pt idx="1800">
                  <c:v>22.1</c:v>
                </c:pt>
                <c:pt idx="1801">
                  <c:v>22.1</c:v>
                </c:pt>
                <c:pt idx="1802">
                  <c:v>22.1</c:v>
                </c:pt>
                <c:pt idx="1803">
                  <c:v>22.1</c:v>
                </c:pt>
                <c:pt idx="1804">
                  <c:v>22.1</c:v>
                </c:pt>
                <c:pt idx="1805">
                  <c:v>22.1</c:v>
                </c:pt>
                <c:pt idx="1806">
                  <c:v>22.1</c:v>
                </c:pt>
                <c:pt idx="1807">
                  <c:v>22.1</c:v>
                </c:pt>
                <c:pt idx="1808">
                  <c:v>22.1</c:v>
                </c:pt>
                <c:pt idx="1809">
                  <c:v>22.1</c:v>
                </c:pt>
                <c:pt idx="1810">
                  <c:v>22.1</c:v>
                </c:pt>
                <c:pt idx="1811">
                  <c:v>22.1</c:v>
                </c:pt>
                <c:pt idx="1812">
                  <c:v>22.1</c:v>
                </c:pt>
                <c:pt idx="1813">
                  <c:v>22.1</c:v>
                </c:pt>
                <c:pt idx="1814">
                  <c:v>22.1</c:v>
                </c:pt>
                <c:pt idx="1815">
                  <c:v>22.1</c:v>
                </c:pt>
                <c:pt idx="1816">
                  <c:v>22.1</c:v>
                </c:pt>
                <c:pt idx="1817">
                  <c:v>22.1</c:v>
                </c:pt>
                <c:pt idx="1818">
                  <c:v>22.1</c:v>
                </c:pt>
                <c:pt idx="1819">
                  <c:v>22.1</c:v>
                </c:pt>
                <c:pt idx="1820">
                  <c:v>22.1</c:v>
                </c:pt>
                <c:pt idx="1821">
                  <c:v>22.1</c:v>
                </c:pt>
                <c:pt idx="1822">
                  <c:v>22.1</c:v>
                </c:pt>
                <c:pt idx="1823">
                  <c:v>22.1</c:v>
                </c:pt>
                <c:pt idx="1824">
                  <c:v>22.1</c:v>
                </c:pt>
                <c:pt idx="1825">
                  <c:v>22.1</c:v>
                </c:pt>
                <c:pt idx="1826">
                  <c:v>22.1</c:v>
                </c:pt>
                <c:pt idx="1827">
                  <c:v>22.1</c:v>
                </c:pt>
                <c:pt idx="1828">
                  <c:v>22.1</c:v>
                </c:pt>
                <c:pt idx="1829">
                  <c:v>22.1</c:v>
                </c:pt>
                <c:pt idx="1830">
                  <c:v>22.1</c:v>
                </c:pt>
                <c:pt idx="1831">
                  <c:v>22.1</c:v>
                </c:pt>
                <c:pt idx="1832">
                  <c:v>22.1</c:v>
                </c:pt>
                <c:pt idx="1833">
                  <c:v>22.1</c:v>
                </c:pt>
                <c:pt idx="1834">
                  <c:v>22.1</c:v>
                </c:pt>
                <c:pt idx="1835">
                  <c:v>22.1</c:v>
                </c:pt>
                <c:pt idx="1836">
                  <c:v>22.1</c:v>
                </c:pt>
                <c:pt idx="1837">
                  <c:v>22.1</c:v>
                </c:pt>
                <c:pt idx="1838">
                  <c:v>22.1</c:v>
                </c:pt>
                <c:pt idx="1839">
                  <c:v>22.1</c:v>
                </c:pt>
                <c:pt idx="1840">
                  <c:v>22.1</c:v>
                </c:pt>
                <c:pt idx="1841">
                  <c:v>22.1</c:v>
                </c:pt>
                <c:pt idx="1842">
                  <c:v>22.1</c:v>
                </c:pt>
                <c:pt idx="1843">
                  <c:v>22.1</c:v>
                </c:pt>
                <c:pt idx="1844">
                  <c:v>22.1</c:v>
                </c:pt>
                <c:pt idx="1845">
                  <c:v>22.1</c:v>
                </c:pt>
                <c:pt idx="1846">
                  <c:v>22.1</c:v>
                </c:pt>
                <c:pt idx="1847">
                  <c:v>22.1</c:v>
                </c:pt>
                <c:pt idx="1848">
                  <c:v>22.1</c:v>
                </c:pt>
                <c:pt idx="1849">
                  <c:v>22.1</c:v>
                </c:pt>
                <c:pt idx="1850">
                  <c:v>22.1</c:v>
                </c:pt>
                <c:pt idx="1851">
                  <c:v>22.1</c:v>
                </c:pt>
                <c:pt idx="1852">
                  <c:v>22.1</c:v>
                </c:pt>
                <c:pt idx="1853">
                  <c:v>22.1</c:v>
                </c:pt>
                <c:pt idx="1854">
                  <c:v>22.1</c:v>
                </c:pt>
                <c:pt idx="1855">
                  <c:v>22.1</c:v>
                </c:pt>
                <c:pt idx="1856">
                  <c:v>22.1</c:v>
                </c:pt>
                <c:pt idx="1857">
                  <c:v>22.1</c:v>
                </c:pt>
                <c:pt idx="1858">
                  <c:v>22.1</c:v>
                </c:pt>
                <c:pt idx="1859">
                  <c:v>22.1</c:v>
                </c:pt>
                <c:pt idx="1860">
                  <c:v>22.1</c:v>
                </c:pt>
                <c:pt idx="1861">
                  <c:v>22.1</c:v>
                </c:pt>
                <c:pt idx="1862">
                  <c:v>22.1</c:v>
                </c:pt>
                <c:pt idx="1863">
                  <c:v>22.1</c:v>
                </c:pt>
                <c:pt idx="1864">
                  <c:v>22.1</c:v>
                </c:pt>
                <c:pt idx="1865">
                  <c:v>23.1</c:v>
                </c:pt>
                <c:pt idx="1866">
                  <c:v>23.1</c:v>
                </c:pt>
                <c:pt idx="1867">
                  <c:v>23.1</c:v>
                </c:pt>
                <c:pt idx="1868">
                  <c:v>23.1</c:v>
                </c:pt>
                <c:pt idx="1869">
                  <c:v>23.1</c:v>
                </c:pt>
                <c:pt idx="1870">
                  <c:v>23.1</c:v>
                </c:pt>
                <c:pt idx="1871">
                  <c:v>23.1</c:v>
                </c:pt>
                <c:pt idx="1872">
                  <c:v>23.1</c:v>
                </c:pt>
                <c:pt idx="1873">
                  <c:v>23.1</c:v>
                </c:pt>
                <c:pt idx="1874">
                  <c:v>23.1</c:v>
                </c:pt>
                <c:pt idx="1875">
                  <c:v>23.1</c:v>
                </c:pt>
                <c:pt idx="1876">
                  <c:v>23.1</c:v>
                </c:pt>
                <c:pt idx="1877">
                  <c:v>23.1</c:v>
                </c:pt>
                <c:pt idx="1878">
                  <c:v>23.1</c:v>
                </c:pt>
                <c:pt idx="1879">
                  <c:v>23.1</c:v>
                </c:pt>
                <c:pt idx="1880">
                  <c:v>23.1</c:v>
                </c:pt>
                <c:pt idx="1881">
                  <c:v>23.1</c:v>
                </c:pt>
                <c:pt idx="1882">
                  <c:v>23.1</c:v>
                </c:pt>
                <c:pt idx="1883">
                  <c:v>23.1</c:v>
                </c:pt>
                <c:pt idx="1884">
                  <c:v>23.1</c:v>
                </c:pt>
                <c:pt idx="1885">
                  <c:v>23.1</c:v>
                </c:pt>
                <c:pt idx="1886">
                  <c:v>23.1</c:v>
                </c:pt>
                <c:pt idx="1887">
                  <c:v>23.1</c:v>
                </c:pt>
                <c:pt idx="1888">
                  <c:v>23.1</c:v>
                </c:pt>
                <c:pt idx="1889">
                  <c:v>23.1</c:v>
                </c:pt>
                <c:pt idx="1890">
                  <c:v>23.1</c:v>
                </c:pt>
                <c:pt idx="1891">
                  <c:v>23.1</c:v>
                </c:pt>
                <c:pt idx="1892">
                  <c:v>23.1</c:v>
                </c:pt>
                <c:pt idx="1893">
                  <c:v>23.1</c:v>
                </c:pt>
                <c:pt idx="1894">
                  <c:v>23.1</c:v>
                </c:pt>
                <c:pt idx="1895">
                  <c:v>23.1</c:v>
                </c:pt>
                <c:pt idx="1896">
                  <c:v>23.1</c:v>
                </c:pt>
                <c:pt idx="1897">
                  <c:v>23.1</c:v>
                </c:pt>
                <c:pt idx="1898">
                  <c:v>23.1</c:v>
                </c:pt>
                <c:pt idx="1899">
                  <c:v>23.1</c:v>
                </c:pt>
                <c:pt idx="1900">
                  <c:v>23.1</c:v>
                </c:pt>
                <c:pt idx="1901">
                  <c:v>23.1</c:v>
                </c:pt>
                <c:pt idx="1902">
                  <c:v>23.1</c:v>
                </c:pt>
                <c:pt idx="1903">
                  <c:v>23.1</c:v>
                </c:pt>
                <c:pt idx="1904">
                  <c:v>23.1</c:v>
                </c:pt>
                <c:pt idx="1905">
                  <c:v>23.1</c:v>
                </c:pt>
                <c:pt idx="1906">
                  <c:v>23.1</c:v>
                </c:pt>
                <c:pt idx="1907">
                  <c:v>23.1</c:v>
                </c:pt>
                <c:pt idx="1908">
                  <c:v>23.1</c:v>
                </c:pt>
                <c:pt idx="1909">
                  <c:v>23.1</c:v>
                </c:pt>
                <c:pt idx="1910">
                  <c:v>23.1</c:v>
                </c:pt>
                <c:pt idx="1911">
                  <c:v>23.1</c:v>
                </c:pt>
                <c:pt idx="1912">
                  <c:v>23.1</c:v>
                </c:pt>
                <c:pt idx="1913">
                  <c:v>23.1</c:v>
                </c:pt>
                <c:pt idx="1914">
                  <c:v>23.1</c:v>
                </c:pt>
                <c:pt idx="1915">
                  <c:v>23.1</c:v>
                </c:pt>
                <c:pt idx="1916">
                  <c:v>23.1</c:v>
                </c:pt>
                <c:pt idx="1917">
                  <c:v>23.1</c:v>
                </c:pt>
                <c:pt idx="1918">
                  <c:v>23.1</c:v>
                </c:pt>
                <c:pt idx="1919">
                  <c:v>23.1</c:v>
                </c:pt>
                <c:pt idx="1920">
                  <c:v>23.1</c:v>
                </c:pt>
                <c:pt idx="1921">
                  <c:v>23.1</c:v>
                </c:pt>
                <c:pt idx="1922">
                  <c:v>23.1</c:v>
                </c:pt>
                <c:pt idx="1923">
                  <c:v>23.1</c:v>
                </c:pt>
                <c:pt idx="1924">
                  <c:v>23.1</c:v>
                </c:pt>
                <c:pt idx="1925">
                  <c:v>23.1</c:v>
                </c:pt>
                <c:pt idx="1926">
                  <c:v>23.1</c:v>
                </c:pt>
                <c:pt idx="1927">
                  <c:v>23.1</c:v>
                </c:pt>
                <c:pt idx="1928">
                  <c:v>23.1</c:v>
                </c:pt>
                <c:pt idx="1929">
                  <c:v>23.1</c:v>
                </c:pt>
                <c:pt idx="1930">
                  <c:v>23.1</c:v>
                </c:pt>
                <c:pt idx="1931">
                  <c:v>23.1</c:v>
                </c:pt>
                <c:pt idx="1932">
                  <c:v>23.1</c:v>
                </c:pt>
                <c:pt idx="1933">
                  <c:v>23.1</c:v>
                </c:pt>
                <c:pt idx="1934">
                  <c:v>23.1</c:v>
                </c:pt>
                <c:pt idx="1935">
                  <c:v>23.1</c:v>
                </c:pt>
                <c:pt idx="1936">
                  <c:v>23.1</c:v>
                </c:pt>
                <c:pt idx="1937">
                  <c:v>23.1</c:v>
                </c:pt>
                <c:pt idx="1938">
                  <c:v>23.1</c:v>
                </c:pt>
                <c:pt idx="1939">
                  <c:v>23.1</c:v>
                </c:pt>
                <c:pt idx="1940">
                  <c:v>23.1</c:v>
                </c:pt>
                <c:pt idx="1941">
                  <c:v>23.1</c:v>
                </c:pt>
                <c:pt idx="1942">
                  <c:v>23.1</c:v>
                </c:pt>
                <c:pt idx="1943">
                  <c:v>23.1</c:v>
                </c:pt>
                <c:pt idx="1944">
                  <c:v>23.1</c:v>
                </c:pt>
                <c:pt idx="1945">
                  <c:v>23.1</c:v>
                </c:pt>
                <c:pt idx="1946">
                  <c:v>23.1</c:v>
                </c:pt>
                <c:pt idx="1947">
                  <c:v>23.1</c:v>
                </c:pt>
                <c:pt idx="1948">
                  <c:v>23.1</c:v>
                </c:pt>
                <c:pt idx="1949">
                  <c:v>23.1</c:v>
                </c:pt>
                <c:pt idx="1950">
                  <c:v>23.1</c:v>
                </c:pt>
                <c:pt idx="1951">
                  <c:v>23.1</c:v>
                </c:pt>
                <c:pt idx="1952">
                  <c:v>23.1</c:v>
                </c:pt>
                <c:pt idx="1953">
                  <c:v>23.1</c:v>
                </c:pt>
                <c:pt idx="1954">
                  <c:v>23.1</c:v>
                </c:pt>
                <c:pt idx="1955">
                  <c:v>23.1</c:v>
                </c:pt>
                <c:pt idx="1956">
                  <c:v>23.1</c:v>
                </c:pt>
                <c:pt idx="1957">
                  <c:v>23.1</c:v>
                </c:pt>
                <c:pt idx="1958">
                  <c:v>23.1</c:v>
                </c:pt>
                <c:pt idx="1959">
                  <c:v>23.1</c:v>
                </c:pt>
                <c:pt idx="1960">
                  <c:v>23.1</c:v>
                </c:pt>
                <c:pt idx="1961">
                  <c:v>23.1</c:v>
                </c:pt>
                <c:pt idx="1962">
                  <c:v>23.1</c:v>
                </c:pt>
                <c:pt idx="1963">
                  <c:v>23.1</c:v>
                </c:pt>
                <c:pt idx="1964">
                  <c:v>23.1</c:v>
                </c:pt>
                <c:pt idx="1965">
                  <c:v>23.1</c:v>
                </c:pt>
                <c:pt idx="1966">
                  <c:v>23.1</c:v>
                </c:pt>
                <c:pt idx="1967">
                  <c:v>23.1</c:v>
                </c:pt>
                <c:pt idx="1968">
                  <c:v>23.1</c:v>
                </c:pt>
                <c:pt idx="1969">
                  <c:v>23.1</c:v>
                </c:pt>
                <c:pt idx="1970">
                  <c:v>23.1</c:v>
                </c:pt>
                <c:pt idx="1971">
                  <c:v>23.1</c:v>
                </c:pt>
                <c:pt idx="1972">
                  <c:v>23.1</c:v>
                </c:pt>
                <c:pt idx="1973">
                  <c:v>23.1</c:v>
                </c:pt>
                <c:pt idx="1974">
                  <c:v>23.1</c:v>
                </c:pt>
                <c:pt idx="1975">
                  <c:v>23.1</c:v>
                </c:pt>
                <c:pt idx="1976">
                  <c:v>23.1</c:v>
                </c:pt>
                <c:pt idx="1977">
                  <c:v>23.1</c:v>
                </c:pt>
                <c:pt idx="1978">
                  <c:v>23.1</c:v>
                </c:pt>
                <c:pt idx="1979">
                  <c:v>23.1</c:v>
                </c:pt>
                <c:pt idx="1980">
                  <c:v>23.1</c:v>
                </c:pt>
                <c:pt idx="1981">
                  <c:v>23.1</c:v>
                </c:pt>
                <c:pt idx="1982">
                  <c:v>23.1</c:v>
                </c:pt>
                <c:pt idx="1983">
                  <c:v>23.1</c:v>
                </c:pt>
                <c:pt idx="1984">
                  <c:v>23.1</c:v>
                </c:pt>
                <c:pt idx="1985">
                  <c:v>23.1</c:v>
                </c:pt>
                <c:pt idx="1986">
                  <c:v>23.1</c:v>
                </c:pt>
                <c:pt idx="1987">
                  <c:v>23.1</c:v>
                </c:pt>
                <c:pt idx="1988">
                  <c:v>23.1</c:v>
                </c:pt>
                <c:pt idx="1989">
                  <c:v>23.1</c:v>
                </c:pt>
                <c:pt idx="1990">
                  <c:v>23.1</c:v>
                </c:pt>
                <c:pt idx="1991">
                  <c:v>23.1</c:v>
                </c:pt>
                <c:pt idx="1992">
                  <c:v>23.1</c:v>
                </c:pt>
                <c:pt idx="1993">
                  <c:v>23.1</c:v>
                </c:pt>
                <c:pt idx="1994">
                  <c:v>23.1</c:v>
                </c:pt>
                <c:pt idx="1995">
                  <c:v>23.1</c:v>
                </c:pt>
                <c:pt idx="1996">
                  <c:v>23.1</c:v>
                </c:pt>
                <c:pt idx="1997">
                  <c:v>23.1</c:v>
                </c:pt>
                <c:pt idx="1998">
                  <c:v>23.1</c:v>
                </c:pt>
                <c:pt idx="1999">
                  <c:v>23.1</c:v>
                </c:pt>
                <c:pt idx="2000">
                  <c:v>23.1</c:v>
                </c:pt>
                <c:pt idx="2001">
                  <c:v>23.1</c:v>
                </c:pt>
                <c:pt idx="2002">
                  <c:v>23.1</c:v>
                </c:pt>
                <c:pt idx="2003">
                  <c:v>23.1</c:v>
                </c:pt>
                <c:pt idx="2004">
                  <c:v>23.1</c:v>
                </c:pt>
                <c:pt idx="2005">
                  <c:v>23.1</c:v>
                </c:pt>
                <c:pt idx="2006">
                  <c:v>23.1</c:v>
                </c:pt>
                <c:pt idx="2007">
                  <c:v>23.1</c:v>
                </c:pt>
                <c:pt idx="2008">
                  <c:v>23.1</c:v>
                </c:pt>
                <c:pt idx="2009">
                  <c:v>23.1</c:v>
                </c:pt>
                <c:pt idx="2010">
                  <c:v>23.1</c:v>
                </c:pt>
                <c:pt idx="2011">
                  <c:v>23.1</c:v>
                </c:pt>
                <c:pt idx="2012">
                  <c:v>23.1</c:v>
                </c:pt>
                <c:pt idx="2013">
                  <c:v>23.1</c:v>
                </c:pt>
                <c:pt idx="2014">
                  <c:v>23.1</c:v>
                </c:pt>
                <c:pt idx="2015">
                  <c:v>23.1</c:v>
                </c:pt>
                <c:pt idx="2016">
                  <c:v>23.1</c:v>
                </c:pt>
                <c:pt idx="2017">
                  <c:v>23.1</c:v>
                </c:pt>
                <c:pt idx="2018">
                  <c:v>23.1</c:v>
                </c:pt>
                <c:pt idx="2019">
                  <c:v>23.1</c:v>
                </c:pt>
                <c:pt idx="2020">
                  <c:v>23.1</c:v>
                </c:pt>
                <c:pt idx="2021">
                  <c:v>23.1</c:v>
                </c:pt>
                <c:pt idx="2022">
                  <c:v>23.1</c:v>
                </c:pt>
                <c:pt idx="2023">
                  <c:v>23.1</c:v>
                </c:pt>
                <c:pt idx="2024">
                  <c:v>23.1</c:v>
                </c:pt>
                <c:pt idx="2025">
                  <c:v>23.1</c:v>
                </c:pt>
                <c:pt idx="2026">
                  <c:v>23.1</c:v>
                </c:pt>
                <c:pt idx="2027">
                  <c:v>23.1</c:v>
                </c:pt>
                <c:pt idx="2028">
                  <c:v>23.1</c:v>
                </c:pt>
                <c:pt idx="2029">
                  <c:v>23.1</c:v>
                </c:pt>
                <c:pt idx="2030">
                  <c:v>23.1</c:v>
                </c:pt>
                <c:pt idx="2031">
                  <c:v>23.1</c:v>
                </c:pt>
                <c:pt idx="2032">
                  <c:v>23.1</c:v>
                </c:pt>
                <c:pt idx="2033">
                  <c:v>23.1</c:v>
                </c:pt>
                <c:pt idx="2034">
                  <c:v>23.1</c:v>
                </c:pt>
                <c:pt idx="2035">
                  <c:v>23.1</c:v>
                </c:pt>
                <c:pt idx="2036">
                  <c:v>23.1</c:v>
                </c:pt>
                <c:pt idx="2037">
                  <c:v>23.1</c:v>
                </c:pt>
                <c:pt idx="2038">
                  <c:v>23.1</c:v>
                </c:pt>
                <c:pt idx="2039">
                  <c:v>23.1</c:v>
                </c:pt>
                <c:pt idx="2040">
                  <c:v>23.1</c:v>
                </c:pt>
                <c:pt idx="2041">
                  <c:v>23.1</c:v>
                </c:pt>
                <c:pt idx="2042">
                  <c:v>23.1</c:v>
                </c:pt>
                <c:pt idx="2043">
                  <c:v>23.1</c:v>
                </c:pt>
                <c:pt idx="2044">
                  <c:v>23.1</c:v>
                </c:pt>
                <c:pt idx="2045">
                  <c:v>23.1</c:v>
                </c:pt>
                <c:pt idx="2046">
                  <c:v>23.1</c:v>
                </c:pt>
                <c:pt idx="2047">
                  <c:v>23.1</c:v>
                </c:pt>
                <c:pt idx="2048">
                  <c:v>23.1</c:v>
                </c:pt>
                <c:pt idx="2049">
                  <c:v>23.1</c:v>
                </c:pt>
                <c:pt idx="2050">
                  <c:v>23.1</c:v>
                </c:pt>
                <c:pt idx="2051">
                  <c:v>23.1</c:v>
                </c:pt>
                <c:pt idx="2052">
                  <c:v>23.1</c:v>
                </c:pt>
                <c:pt idx="2053">
                  <c:v>23.1</c:v>
                </c:pt>
                <c:pt idx="2054">
                  <c:v>23.1</c:v>
                </c:pt>
                <c:pt idx="2055">
                  <c:v>23.1</c:v>
                </c:pt>
                <c:pt idx="2056">
                  <c:v>23.1</c:v>
                </c:pt>
                <c:pt idx="2057">
                  <c:v>23.1</c:v>
                </c:pt>
                <c:pt idx="2058">
                  <c:v>23.1</c:v>
                </c:pt>
                <c:pt idx="2059">
                  <c:v>23.1</c:v>
                </c:pt>
                <c:pt idx="2060">
                  <c:v>23.1</c:v>
                </c:pt>
                <c:pt idx="2061">
                  <c:v>23.1</c:v>
                </c:pt>
                <c:pt idx="2062">
                  <c:v>23.1</c:v>
                </c:pt>
                <c:pt idx="2063">
                  <c:v>23.1</c:v>
                </c:pt>
                <c:pt idx="2064">
                  <c:v>23.1</c:v>
                </c:pt>
                <c:pt idx="2065">
                  <c:v>23.1</c:v>
                </c:pt>
                <c:pt idx="2066">
                  <c:v>23.1</c:v>
                </c:pt>
                <c:pt idx="2067">
                  <c:v>23.1</c:v>
                </c:pt>
                <c:pt idx="2068">
                  <c:v>23.1</c:v>
                </c:pt>
                <c:pt idx="2069">
                  <c:v>23.1</c:v>
                </c:pt>
                <c:pt idx="2070">
                  <c:v>23.1</c:v>
                </c:pt>
                <c:pt idx="2071">
                  <c:v>23.1</c:v>
                </c:pt>
                <c:pt idx="2072">
                  <c:v>23.1</c:v>
                </c:pt>
                <c:pt idx="2073">
                  <c:v>23.1</c:v>
                </c:pt>
                <c:pt idx="2074">
                  <c:v>23.1</c:v>
                </c:pt>
                <c:pt idx="2075">
                  <c:v>23.1</c:v>
                </c:pt>
                <c:pt idx="2076">
                  <c:v>23.1</c:v>
                </c:pt>
                <c:pt idx="2077">
                  <c:v>23.1</c:v>
                </c:pt>
                <c:pt idx="2078">
                  <c:v>23.1</c:v>
                </c:pt>
                <c:pt idx="2079">
                  <c:v>23.1</c:v>
                </c:pt>
                <c:pt idx="2080">
                  <c:v>23.1</c:v>
                </c:pt>
                <c:pt idx="2081">
                  <c:v>23.1</c:v>
                </c:pt>
                <c:pt idx="2082">
                  <c:v>23.1</c:v>
                </c:pt>
                <c:pt idx="2083">
                  <c:v>23.1</c:v>
                </c:pt>
                <c:pt idx="2084">
                  <c:v>23.1</c:v>
                </c:pt>
                <c:pt idx="2085">
                  <c:v>23.1</c:v>
                </c:pt>
                <c:pt idx="2086">
                  <c:v>23.1</c:v>
                </c:pt>
                <c:pt idx="2087">
                  <c:v>23.1</c:v>
                </c:pt>
                <c:pt idx="2088">
                  <c:v>23.1</c:v>
                </c:pt>
                <c:pt idx="2089">
                  <c:v>23.1</c:v>
                </c:pt>
                <c:pt idx="2090">
                  <c:v>23.1</c:v>
                </c:pt>
                <c:pt idx="2091">
                  <c:v>23.1</c:v>
                </c:pt>
                <c:pt idx="2092">
                  <c:v>23.1</c:v>
                </c:pt>
                <c:pt idx="2093">
                  <c:v>23.1</c:v>
                </c:pt>
                <c:pt idx="2094">
                  <c:v>23.1</c:v>
                </c:pt>
                <c:pt idx="2095">
                  <c:v>23.1</c:v>
                </c:pt>
                <c:pt idx="2096">
                  <c:v>23.1</c:v>
                </c:pt>
                <c:pt idx="2097">
                  <c:v>23.1</c:v>
                </c:pt>
                <c:pt idx="2098">
                  <c:v>23.1</c:v>
                </c:pt>
                <c:pt idx="2099">
                  <c:v>23.1</c:v>
                </c:pt>
                <c:pt idx="2100">
                  <c:v>23.1</c:v>
                </c:pt>
                <c:pt idx="2101">
                  <c:v>23.1</c:v>
                </c:pt>
                <c:pt idx="2102">
                  <c:v>23.1</c:v>
                </c:pt>
                <c:pt idx="2103">
                  <c:v>23.1</c:v>
                </c:pt>
                <c:pt idx="2104">
                  <c:v>23.1</c:v>
                </c:pt>
                <c:pt idx="2105">
                  <c:v>23.1</c:v>
                </c:pt>
                <c:pt idx="2106">
                  <c:v>23.1</c:v>
                </c:pt>
                <c:pt idx="2107">
                  <c:v>23.1</c:v>
                </c:pt>
                <c:pt idx="2108">
                  <c:v>23.1</c:v>
                </c:pt>
                <c:pt idx="2109">
                  <c:v>23.1</c:v>
                </c:pt>
                <c:pt idx="2110">
                  <c:v>23.1</c:v>
                </c:pt>
                <c:pt idx="2111">
                  <c:v>23.1</c:v>
                </c:pt>
                <c:pt idx="2112">
                  <c:v>23.1</c:v>
                </c:pt>
                <c:pt idx="2113">
                  <c:v>23.1</c:v>
                </c:pt>
                <c:pt idx="2114">
                  <c:v>23.1</c:v>
                </c:pt>
                <c:pt idx="2115">
                  <c:v>23.1</c:v>
                </c:pt>
                <c:pt idx="2116">
                  <c:v>23.1</c:v>
                </c:pt>
                <c:pt idx="2117">
                  <c:v>23.1</c:v>
                </c:pt>
                <c:pt idx="2118">
                  <c:v>23.1</c:v>
                </c:pt>
                <c:pt idx="2119">
                  <c:v>23.1</c:v>
                </c:pt>
                <c:pt idx="2120">
                  <c:v>23.1</c:v>
                </c:pt>
                <c:pt idx="2121">
                  <c:v>23.1</c:v>
                </c:pt>
                <c:pt idx="2122">
                  <c:v>23.1</c:v>
                </c:pt>
                <c:pt idx="2123">
                  <c:v>23.1</c:v>
                </c:pt>
                <c:pt idx="2124">
                  <c:v>23.1</c:v>
                </c:pt>
                <c:pt idx="2125">
                  <c:v>23.1</c:v>
                </c:pt>
                <c:pt idx="2126">
                  <c:v>23.1</c:v>
                </c:pt>
                <c:pt idx="2127">
                  <c:v>23.1</c:v>
                </c:pt>
                <c:pt idx="2128">
                  <c:v>23.1</c:v>
                </c:pt>
                <c:pt idx="2129">
                  <c:v>23.1</c:v>
                </c:pt>
                <c:pt idx="2130">
                  <c:v>23.1</c:v>
                </c:pt>
                <c:pt idx="2131">
                  <c:v>23.1</c:v>
                </c:pt>
                <c:pt idx="2132">
                  <c:v>23.1</c:v>
                </c:pt>
                <c:pt idx="2133">
                  <c:v>23.1</c:v>
                </c:pt>
                <c:pt idx="2134">
                  <c:v>23.1</c:v>
                </c:pt>
                <c:pt idx="2135">
                  <c:v>23.1</c:v>
                </c:pt>
                <c:pt idx="2136">
                  <c:v>23.1</c:v>
                </c:pt>
                <c:pt idx="2137">
                  <c:v>23.1</c:v>
                </c:pt>
                <c:pt idx="2138">
                  <c:v>24.1</c:v>
                </c:pt>
                <c:pt idx="2139">
                  <c:v>24.1</c:v>
                </c:pt>
                <c:pt idx="2140">
                  <c:v>24.1</c:v>
                </c:pt>
                <c:pt idx="2141">
                  <c:v>24.1</c:v>
                </c:pt>
                <c:pt idx="2142">
                  <c:v>24.1</c:v>
                </c:pt>
                <c:pt idx="2143">
                  <c:v>24.1</c:v>
                </c:pt>
                <c:pt idx="2144">
                  <c:v>24.1</c:v>
                </c:pt>
                <c:pt idx="2145">
                  <c:v>24.1</c:v>
                </c:pt>
                <c:pt idx="2146">
                  <c:v>24.1</c:v>
                </c:pt>
                <c:pt idx="2147">
                  <c:v>24.1</c:v>
                </c:pt>
                <c:pt idx="2148">
                  <c:v>24.1</c:v>
                </c:pt>
                <c:pt idx="2149">
                  <c:v>24.1</c:v>
                </c:pt>
                <c:pt idx="2150">
                  <c:v>24.1</c:v>
                </c:pt>
                <c:pt idx="2151">
                  <c:v>24.1</c:v>
                </c:pt>
                <c:pt idx="2152">
                  <c:v>24.1</c:v>
                </c:pt>
                <c:pt idx="2153">
                  <c:v>24.1</c:v>
                </c:pt>
                <c:pt idx="2154">
                  <c:v>24.1</c:v>
                </c:pt>
                <c:pt idx="2155">
                  <c:v>24.1</c:v>
                </c:pt>
                <c:pt idx="2156">
                  <c:v>24.1</c:v>
                </c:pt>
                <c:pt idx="2157">
                  <c:v>24.1</c:v>
                </c:pt>
                <c:pt idx="2158">
                  <c:v>24.1</c:v>
                </c:pt>
                <c:pt idx="2159">
                  <c:v>24.1</c:v>
                </c:pt>
                <c:pt idx="2160">
                  <c:v>24.1</c:v>
                </c:pt>
                <c:pt idx="2161">
                  <c:v>24.1</c:v>
                </c:pt>
                <c:pt idx="2162">
                  <c:v>24.1</c:v>
                </c:pt>
                <c:pt idx="2163">
                  <c:v>24.1</c:v>
                </c:pt>
                <c:pt idx="2164">
                  <c:v>24.1</c:v>
                </c:pt>
                <c:pt idx="2165">
                  <c:v>24.1</c:v>
                </c:pt>
                <c:pt idx="2166">
                  <c:v>24.1</c:v>
                </c:pt>
                <c:pt idx="2167">
                  <c:v>24.1</c:v>
                </c:pt>
                <c:pt idx="2168">
                  <c:v>24.1</c:v>
                </c:pt>
                <c:pt idx="2169">
                  <c:v>24.1</c:v>
                </c:pt>
                <c:pt idx="2170">
                  <c:v>24.1</c:v>
                </c:pt>
                <c:pt idx="2171">
                  <c:v>24.1</c:v>
                </c:pt>
                <c:pt idx="2172">
                  <c:v>24.1</c:v>
                </c:pt>
                <c:pt idx="2173">
                  <c:v>24.1</c:v>
                </c:pt>
                <c:pt idx="2174">
                  <c:v>24.1</c:v>
                </c:pt>
                <c:pt idx="2175">
                  <c:v>24.1</c:v>
                </c:pt>
                <c:pt idx="2176">
                  <c:v>24.1</c:v>
                </c:pt>
                <c:pt idx="2177">
                  <c:v>24.1</c:v>
                </c:pt>
                <c:pt idx="2178">
                  <c:v>24.1</c:v>
                </c:pt>
                <c:pt idx="2179">
                  <c:v>24.1</c:v>
                </c:pt>
                <c:pt idx="2180">
                  <c:v>24.1</c:v>
                </c:pt>
                <c:pt idx="2181">
                  <c:v>24.1</c:v>
                </c:pt>
                <c:pt idx="2182">
                  <c:v>24.1</c:v>
                </c:pt>
                <c:pt idx="2183">
                  <c:v>24.1</c:v>
                </c:pt>
                <c:pt idx="2184">
                  <c:v>24.1</c:v>
                </c:pt>
                <c:pt idx="2185">
                  <c:v>24.1</c:v>
                </c:pt>
                <c:pt idx="2186">
                  <c:v>24.1</c:v>
                </c:pt>
                <c:pt idx="2187">
                  <c:v>24.1</c:v>
                </c:pt>
                <c:pt idx="2188">
                  <c:v>24.1</c:v>
                </c:pt>
                <c:pt idx="2189">
                  <c:v>24.1</c:v>
                </c:pt>
                <c:pt idx="2190">
                  <c:v>24.1</c:v>
                </c:pt>
                <c:pt idx="2191">
                  <c:v>24.1</c:v>
                </c:pt>
                <c:pt idx="2192">
                  <c:v>24.1</c:v>
                </c:pt>
                <c:pt idx="2193">
                  <c:v>24.1</c:v>
                </c:pt>
                <c:pt idx="2194">
                  <c:v>24.1</c:v>
                </c:pt>
                <c:pt idx="2195">
                  <c:v>24.1</c:v>
                </c:pt>
                <c:pt idx="2196">
                  <c:v>24.1</c:v>
                </c:pt>
                <c:pt idx="2197">
                  <c:v>24.1</c:v>
                </c:pt>
                <c:pt idx="2198">
                  <c:v>24.1</c:v>
                </c:pt>
                <c:pt idx="2199">
                  <c:v>24.1</c:v>
                </c:pt>
                <c:pt idx="2200">
                  <c:v>24.1</c:v>
                </c:pt>
                <c:pt idx="2201">
                  <c:v>24.1</c:v>
                </c:pt>
                <c:pt idx="2202">
                  <c:v>24.1</c:v>
                </c:pt>
                <c:pt idx="2203">
                  <c:v>24.1</c:v>
                </c:pt>
                <c:pt idx="2204">
                  <c:v>24.1</c:v>
                </c:pt>
                <c:pt idx="2205">
                  <c:v>24.1</c:v>
                </c:pt>
                <c:pt idx="2206">
                  <c:v>24.1</c:v>
                </c:pt>
                <c:pt idx="2207">
                  <c:v>24.1</c:v>
                </c:pt>
                <c:pt idx="2208">
                  <c:v>24.1</c:v>
                </c:pt>
                <c:pt idx="2209">
                  <c:v>24.1</c:v>
                </c:pt>
                <c:pt idx="2210">
                  <c:v>24.1</c:v>
                </c:pt>
                <c:pt idx="2211">
                  <c:v>24.1</c:v>
                </c:pt>
                <c:pt idx="2212">
                  <c:v>24.1</c:v>
                </c:pt>
                <c:pt idx="2213">
                  <c:v>24.1</c:v>
                </c:pt>
                <c:pt idx="2214">
                  <c:v>24.1</c:v>
                </c:pt>
                <c:pt idx="2215">
                  <c:v>24.1</c:v>
                </c:pt>
                <c:pt idx="2216">
                  <c:v>24.1</c:v>
                </c:pt>
                <c:pt idx="2217">
                  <c:v>24.1</c:v>
                </c:pt>
                <c:pt idx="2218">
                  <c:v>24.1</c:v>
                </c:pt>
                <c:pt idx="2219">
                  <c:v>24.1</c:v>
                </c:pt>
                <c:pt idx="2220">
                  <c:v>24.1</c:v>
                </c:pt>
                <c:pt idx="2221">
                  <c:v>24.1</c:v>
                </c:pt>
                <c:pt idx="2222">
                  <c:v>24.1</c:v>
                </c:pt>
                <c:pt idx="2223">
                  <c:v>24.1</c:v>
                </c:pt>
                <c:pt idx="2224">
                  <c:v>24.1</c:v>
                </c:pt>
                <c:pt idx="2225">
                  <c:v>24.1</c:v>
                </c:pt>
                <c:pt idx="2226">
                  <c:v>24.1</c:v>
                </c:pt>
                <c:pt idx="2227">
                  <c:v>24.1</c:v>
                </c:pt>
                <c:pt idx="2228">
                  <c:v>24.1</c:v>
                </c:pt>
                <c:pt idx="2229">
                  <c:v>24.1</c:v>
                </c:pt>
                <c:pt idx="2230">
                  <c:v>24.1</c:v>
                </c:pt>
                <c:pt idx="2231">
                  <c:v>24.1</c:v>
                </c:pt>
                <c:pt idx="2232">
                  <c:v>24.1</c:v>
                </c:pt>
                <c:pt idx="2233">
                  <c:v>24.1</c:v>
                </c:pt>
                <c:pt idx="2234">
                  <c:v>24.1</c:v>
                </c:pt>
                <c:pt idx="2235">
                  <c:v>24.1</c:v>
                </c:pt>
                <c:pt idx="2236">
                  <c:v>24.1</c:v>
                </c:pt>
                <c:pt idx="2237">
                  <c:v>24.1</c:v>
                </c:pt>
                <c:pt idx="2238">
                  <c:v>24.1</c:v>
                </c:pt>
                <c:pt idx="2239">
                  <c:v>24.1</c:v>
                </c:pt>
                <c:pt idx="2240">
                  <c:v>24.1</c:v>
                </c:pt>
                <c:pt idx="2241">
                  <c:v>24.1</c:v>
                </c:pt>
                <c:pt idx="2242">
                  <c:v>24.1</c:v>
                </c:pt>
                <c:pt idx="2243">
                  <c:v>24.1</c:v>
                </c:pt>
                <c:pt idx="2244">
                  <c:v>24.1</c:v>
                </c:pt>
                <c:pt idx="2245">
                  <c:v>24.1</c:v>
                </c:pt>
                <c:pt idx="2246">
                  <c:v>24.1</c:v>
                </c:pt>
                <c:pt idx="2247">
                  <c:v>24.1</c:v>
                </c:pt>
                <c:pt idx="2248">
                  <c:v>24.1</c:v>
                </c:pt>
                <c:pt idx="2249">
                  <c:v>24.1</c:v>
                </c:pt>
                <c:pt idx="2250">
                  <c:v>24.1</c:v>
                </c:pt>
                <c:pt idx="2251">
                  <c:v>24.1</c:v>
                </c:pt>
                <c:pt idx="2252">
                  <c:v>24.1</c:v>
                </c:pt>
                <c:pt idx="2253">
                  <c:v>24.1</c:v>
                </c:pt>
                <c:pt idx="2254">
                  <c:v>24.1</c:v>
                </c:pt>
                <c:pt idx="2255">
                  <c:v>24.1</c:v>
                </c:pt>
                <c:pt idx="2256">
                  <c:v>24.1</c:v>
                </c:pt>
                <c:pt idx="2257">
                  <c:v>24.1</c:v>
                </c:pt>
                <c:pt idx="2258">
                  <c:v>24.1</c:v>
                </c:pt>
                <c:pt idx="2259">
                  <c:v>24.1</c:v>
                </c:pt>
                <c:pt idx="2260">
                  <c:v>24.1</c:v>
                </c:pt>
                <c:pt idx="2261">
                  <c:v>24.1</c:v>
                </c:pt>
                <c:pt idx="2262">
                  <c:v>24.1</c:v>
                </c:pt>
                <c:pt idx="2263">
                  <c:v>24.1</c:v>
                </c:pt>
                <c:pt idx="2264">
                  <c:v>24.1</c:v>
                </c:pt>
                <c:pt idx="2265">
                  <c:v>24.1</c:v>
                </c:pt>
                <c:pt idx="2266">
                  <c:v>24.1</c:v>
                </c:pt>
                <c:pt idx="2267">
                  <c:v>24.1</c:v>
                </c:pt>
                <c:pt idx="2268">
                  <c:v>24.1</c:v>
                </c:pt>
                <c:pt idx="2269">
                  <c:v>24.1</c:v>
                </c:pt>
                <c:pt idx="2270">
                  <c:v>24.1</c:v>
                </c:pt>
                <c:pt idx="2271">
                  <c:v>24.1</c:v>
                </c:pt>
                <c:pt idx="2272">
                  <c:v>24.1</c:v>
                </c:pt>
                <c:pt idx="2273">
                  <c:v>24.1</c:v>
                </c:pt>
                <c:pt idx="2274">
                  <c:v>24.1</c:v>
                </c:pt>
                <c:pt idx="2275">
                  <c:v>24.1</c:v>
                </c:pt>
                <c:pt idx="2276">
                  <c:v>24.1</c:v>
                </c:pt>
                <c:pt idx="2277">
                  <c:v>24.1</c:v>
                </c:pt>
                <c:pt idx="2278">
                  <c:v>24.1</c:v>
                </c:pt>
                <c:pt idx="2279">
                  <c:v>24.1</c:v>
                </c:pt>
                <c:pt idx="2280">
                  <c:v>24.1</c:v>
                </c:pt>
                <c:pt idx="2281">
                  <c:v>24.1</c:v>
                </c:pt>
                <c:pt idx="2282">
                  <c:v>24.1</c:v>
                </c:pt>
                <c:pt idx="2283">
                  <c:v>24.1</c:v>
                </c:pt>
                <c:pt idx="2284">
                  <c:v>24.1</c:v>
                </c:pt>
                <c:pt idx="2285">
                  <c:v>24.1</c:v>
                </c:pt>
                <c:pt idx="2286">
                  <c:v>24.1</c:v>
                </c:pt>
                <c:pt idx="2287">
                  <c:v>24.1</c:v>
                </c:pt>
                <c:pt idx="2288">
                  <c:v>24.1</c:v>
                </c:pt>
                <c:pt idx="2289">
                  <c:v>24.1</c:v>
                </c:pt>
                <c:pt idx="2290">
                  <c:v>24.1</c:v>
                </c:pt>
                <c:pt idx="2291">
                  <c:v>24.1</c:v>
                </c:pt>
                <c:pt idx="2292">
                  <c:v>24.1</c:v>
                </c:pt>
                <c:pt idx="2293">
                  <c:v>24.1</c:v>
                </c:pt>
                <c:pt idx="2294">
                  <c:v>24.1</c:v>
                </c:pt>
                <c:pt idx="2295">
                  <c:v>24.1</c:v>
                </c:pt>
                <c:pt idx="2296">
                  <c:v>24.1</c:v>
                </c:pt>
                <c:pt idx="2297">
                  <c:v>24.1</c:v>
                </c:pt>
                <c:pt idx="2298">
                  <c:v>24.1</c:v>
                </c:pt>
                <c:pt idx="2299">
                  <c:v>24.1</c:v>
                </c:pt>
                <c:pt idx="2300">
                  <c:v>24.1</c:v>
                </c:pt>
                <c:pt idx="2301">
                  <c:v>24.1</c:v>
                </c:pt>
                <c:pt idx="2302">
                  <c:v>24.1</c:v>
                </c:pt>
                <c:pt idx="2303">
                  <c:v>24.1</c:v>
                </c:pt>
                <c:pt idx="2304">
                  <c:v>24.1</c:v>
                </c:pt>
                <c:pt idx="2305">
                  <c:v>24.1</c:v>
                </c:pt>
                <c:pt idx="2306">
                  <c:v>24.1</c:v>
                </c:pt>
                <c:pt idx="2307">
                  <c:v>24.1</c:v>
                </c:pt>
                <c:pt idx="2308">
                  <c:v>24.1</c:v>
                </c:pt>
                <c:pt idx="2309">
                  <c:v>24.1</c:v>
                </c:pt>
                <c:pt idx="2310">
                  <c:v>24.1</c:v>
                </c:pt>
                <c:pt idx="2311">
                  <c:v>24.1</c:v>
                </c:pt>
                <c:pt idx="2312">
                  <c:v>24.1</c:v>
                </c:pt>
                <c:pt idx="2313">
                  <c:v>24.1</c:v>
                </c:pt>
                <c:pt idx="2314">
                  <c:v>24.1</c:v>
                </c:pt>
                <c:pt idx="2315">
                  <c:v>24.1</c:v>
                </c:pt>
                <c:pt idx="2316">
                  <c:v>24.1</c:v>
                </c:pt>
                <c:pt idx="2317">
                  <c:v>24.1</c:v>
                </c:pt>
                <c:pt idx="2318">
                  <c:v>24.1</c:v>
                </c:pt>
                <c:pt idx="2319">
                  <c:v>24.1</c:v>
                </c:pt>
                <c:pt idx="2320">
                  <c:v>24.1</c:v>
                </c:pt>
                <c:pt idx="2321">
                  <c:v>24.1</c:v>
                </c:pt>
                <c:pt idx="2322">
                  <c:v>24.1</c:v>
                </c:pt>
                <c:pt idx="2323">
                  <c:v>24.1</c:v>
                </c:pt>
                <c:pt idx="2324">
                  <c:v>24.1</c:v>
                </c:pt>
                <c:pt idx="2325">
                  <c:v>24.1</c:v>
                </c:pt>
                <c:pt idx="2326">
                  <c:v>24.1</c:v>
                </c:pt>
                <c:pt idx="2327">
                  <c:v>24.1</c:v>
                </c:pt>
                <c:pt idx="2328">
                  <c:v>25.1</c:v>
                </c:pt>
                <c:pt idx="2329">
                  <c:v>25.1</c:v>
                </c:pt>
                <c:pt idx="2330">
                  <c:v>25.1</c:v>
                </c:pt>
                <c:pt idx="2331">
                  <c:v>24.1</c:v>
                </c:pt>
                <c:pt idx="2332">
                  <c:v>24.1</c:v>
                </c:pt>
                <c:pt idx="2333">
                  <c:v>25.1</c:v>
                </c:pt>
                <c:pt idx="2334">
                  <c:v>24.1</c:v>
                </c:pt>
                <c:pt idx="2335">
                  <c:v>24.1</c:v>
                </c:pt>
                <c:pt idx="2336">
                  <c:v>25.1</c:v>
                </c:pt>
                <c:pt idx="2337">
                  <c:v>25.1</c:v>
                </c:pt>
                <c:pt idx="2338">
                  <c:v>25.1</c:v>
                </c:pt>
                <c:pt idx="2339">
                  <c:v>25.1</c:v>
                </c:pt>
                <c:pt idx="2340">
                  <c:v>25.1</c:v>
                </c:pt>
                <c:pt idx="2341">
                  <c:v>25.1</c:v>
                </c:pt>
                <c:pt idx="2342">
                  <c:v>24.1</c:v>
                </c:pt>
                <c:pt idx="2343">
                  <c:v>24.1</c:v>
                </c:pt>
                <c:pt idx="2344">
                  <c:v>24.1</c:v>
                </c:pt>
                <c:pt idx="2345">
                  <c:v>24.1</c:v>
                </c:pt>
                <c:pt idx="2346">
                  <c:v>24.1</c:v>
                </c:pt>
                <c:pt idx="2347">
                  <c:v>25.1</c:v>
                </c:pt>
                <c:pt idx="2348">
                  <c:v>24.1</c:v>
                </c:pt>
                <c:pt idx="2349">
                  <c:v>25.1</c:v>
                </c:pt>
                <c:pt idx="2350">
                  <c:v>25.1</c:v>
                </c:pt>
                <c:pt idx="2351">
                  <c:v>24.1</c:v>
                </c:pt>
                <c:pt idx="2352">
                  <c:v>24.1</c:v>
                </c:pt>
                <c:pt idx="2353">
                  <c:v>25.1</c:v>
                </c:pt>
                <c:pt idx="2354">
                  <c:v>25.1</c:v>
                </c:pt>
                <c:pt idx="2355">
                  <c:v>25.1</c:v>
                </c:pt>
                <c:pt idx="2356">
                  <c:v>25.1</c:v>
                </c:pt>
                <c:pt idx="2357">
                  <c:v>25.1</c:v>
                </c:pt>
                <c:pt idx="2358">
                  <c:v>25.1</c:v>
                </c:pt>
                <c:pt idx="2359">
                  <c:v>25.1</c:v>
                </c:pt>
                <c:pt idx="2360">
                  <c:v>25.1</c:v>
                </c:pt>
                <c:pt idx="2361">
                  <c:v>25.1</c:v>
                </c:pt>
                <c:pt idx="2362">
                  <c:v>25.1</c:v>
                </c:pt>
                <c:pt idx="2363">
                  <c:v>25.1</c:v>
                </c:pt>
                <c:pt idx="2364">
                  <c:v>25.1</c:v>
                </c:pt>
                <c:pt idx="2365">
                  <c:v>25.1</c:v>
                </c:pt>
                <c:pt idx="2366">
                  <c:v>25.1</c:v>
                </c:pt>
                <c:pt idx="2367">
                  <c:v>25.1</c:v>
                </c:pt>
                <c:pt idx="2368">
                  <c:v>25.1</c:v>
                </c:pt>
                <c:pt idx="2369">
                  <c:v>25.1</c:v>
                </c:pt>
                <c:pt idx="2370">
                  <c:v>25.1</c:v>
                </c:pt>
                <c:pt idx="2371">
                  <c:v>25.1</c:v>
                </c:pt>
                <c:pt idx="2372">
                  <c:v>25.1</c:v>
                </c:pt>
                <c:pt idx="2373">
                  <c:v>25.1</c:v>
                </c:pt>
                <c:pt idx="2374">
                  <c:v>25.1</c:v>
                </c:pt>
                <c:pt idx="2375">
                  <c:v>25.1</c:v>
                </c:pt>
                <c:pt idx="2376">
                  <c:v>25.1</c:v>
                </c:pt>
                <c:pt idx="2377">
                  <c:v>25.1</c:v>
                </c:pt>
                <c:pt idx="2378">
                  <c:v>25.1</c:v>
                </c:pt>
                <c:pt idx="2379">
                  <c:v>25.1</c:v>
                </c:pt>
                <c:pt idx="2380">
                  <c:v>25.1</c:v>
                </c:pt>
                <c:pt idx="2381">
                  <c:v>25.1</c:v>
                </c:pt>
                <c:pt idx="2382">
                  <c:v>25.1</c:v>
                </c:pt>
                <c:pt idx="2383">
                  <c:v>25.1</c:v>
                </c:pt>
                <c:pt idx="2384">
                  <c:v>25.1</c:v>
                </c:pt>
                <c:pt idx="2385">
                  <c:v>25.1</c:v>
                </c:pt>
                <c:pt idx="2386">
                  <c:v>25.1</c:v>
                </c:pt>
                <c:pt idx="2387">
                  <c:v>25.1</c:v>
                </c:pt>
                <c:pt idx="2388">
                  <c:v>25.1</c:v>
                </c:pt>
                <c:pt idx="2389">
                  <c:v>25.1</c:v>
                </c:pt>
                <c:pt idx="2390">
                  <c:v>25.1</c:v>
                </c:pt>
                <c:pt idx="2391">
                  <c:v>25.1</c:v>
                </c:pt>
                <c:pt idx="2392">
                  <c:v>25.1</c:v>
                </c:pt>
                <c:pt idx="2393">
                  <c:v>25.1</c:v>
                </c:pt>
                <c:pt idx="2394">
                  <c:v>25.1</c:v>
                </c:pt>
                <c:pt idx="2395">
                  <c:v>25.1</c:v>
                </c:pt>
                <c:pt idx="2396">
                  <c:v>25.1</c:v>
                </c:pt>
                <c:pt idx="2397">
                  <c:v>25.1</c:v>
                </c:pt>
                <c:pt idx="2398">
                  <c:v>25.1</c:v>
                </c:pt>
                <c:pt idx="2399">
                  <c:v>25.1</c:v>
                </c:pt>
                <c:pt idx="2400">
                  <c:v>25.1</c:v>
                </c:pt>
                <c:pt idx="2401">
                  <c:v>25.1</c:v>
                </c:pt>
                <c:pt idx="2402">
                  <c:v>25.1</c:v>
                </c:pt>
                <c:pt idx="2403">
                  <c:v>25.1</c:v>
                </c:pt>
                <c:pt idx="2404">
                  <c:v>25.1</c:v>
                </c:pt>
                <c:pt idx="2405">
                  <c:v>25.1</c:v>
                </c:pt>
                <c:pt idx="2406">
                  <c:v>25.1</c:v>
                </c:pt>
                <c:pt idx="2407">
                  <c:v>25.1</c:v>
                </c:pt>
                <c:pt idx="2408">
                  <c:v>25.1</c:v>
                </c:pt>
                <c:pt idx="2409">
                  <c:v>25.1</c:v>
                </c:pt>
                <c:pt idx="2410">
                  <c:v>25.1</c:v>
                </c:pt>
                <c:pt idx="2411">
                  <c:v>25.1</c:v>
                </c:pt>
                <c:pt idx="2412">
                  <c:v>25.1</c:v>
                </c:pt>
                <c:pt idx="2413">
                  <c:v>25.1</c:v>
                </c:pt>
                <c:pt idx="2414">
                  <c:v>25.1</c:v>
                </c:pt>
                <c:pt idx="2415">
                  <c:v>25.1</c:v>
                </c:pt>
                <c:pt idx="2416">
                  <c:v>25.1</c:v>
                </c:pt>
                <c:pt idx="2417">
                  <c:v>25.1</c:v>
                </c:pt>
                <c:pt idx="2418">
                  <c:v>25.1</c:v>
                </c:pt>
                <c:pt idx="2419">
                  <c:v>25.1</c:v>
                </c:pt>
                <c:pt idx="2420">
                  <c:v>25.1</c:v>
                </c:pt>
                <c:pt idx="2421">
                  <c:v>25.1</c:v>
                </c:pt>
                <c:pt idx="2422">
                  <c:v>25.1</c:v>
                </c:pt>
                <c:pt idx="2423">
                  <c:v>25.1</c:v>
                </c:pt>
                <c:pt idx="2424">
                  <c:v>25.1</c:v>
                </c:pt>
                <c:pt idx="2425">
                  <c:v>25.1</c:v>
                </c:pt>
                <c:pt idx="2426">
                  <c:v>25.1</c:v>
                </c:pt>
                <c:pt idx="2427">
                  <c:v>25.1</c:v>
                </c:pt>
                <c:pt idx="2428">
                  <c:v>25.1</c:v>
                </c:pt>
                <c:pt idx="2429">
                  <c:v>25.1</c:v>
                </c:pt>
                <c:pt idx="2430">
                  <c:v>25.1</c:v>
                </c:pt>
                <c:pt idx="2431">
                  <c:v>25.1</c:v>
                </c:pt>
                <c:pt idx="2432">
                  <c:v>25.1</c:v>
                </c:pt>
                <c:pt idx="2433">
                  <c:v>25.1</c:v>
                </c:pt>
                <c:pt idx="2434">
                  <c:v>25.1</c:v>
                </c:pt>
                <c:pt idx="2435">
                  <c:v>25.1</c:v>
                </c:pt>
                <c:pt idx="2436">
                  <c:v>25.1</c:v>
                </c:pt>
                <c:pt idx="2437">
                  <c:v>25.1</c:v>
                </c:pt>
                <c:pt idx="2438">
                  <c:v>25.1</c:v>
                </c:pt>
                <c:pt idx="2439">
                  <c:v>25.1</c:v>
                </c:pt>
                <c:pt idx="2440">
                  <c:v>25.1</c:v>
                </c:pt>
                <c:pt idx="2441">
                  <c:v>25.1</c:v>
                </c:pt>
                <c:pt idx="2442">
                  <c:v>25.1</c:v>
                </c:pt>
                <c:pt idx="2443">
                  <c:v>25.1</c:v>
                </c:pt>
                <c:pt idx="2444">
                  <c:v>25.1</c:v>
                </c:pt>
                <c:pt idx="2445">
                  <c:v>25.1</c:v>
                </c:pt>
                <c:pt idx="2446">
                  <c:v>25.1</c:v>
                </c:pt>
                <c:pt idx="2447">
                  <c:v>25.1</c:v>
                </c:pt>
                <c:pt idx="2448">
                  <c:v>25.1</c:v>
                </c:pt>
                <c:pt idx="2449">
                  <c:v>25.1</c:v>
                </c:pt>
                <c:pt idx="2450">
                  <c:v>25.1</c:v>
                </c:pt>
                <c:pt idx="2451">
                  <c:v>25.1</c:v>
                </c:pt>
                <c:pt idx="2452">
                  <c:v>25.1</c:v>
                </c:pt>
                <c:pt idx="2453">
                  <c:v>25.1</c:v>
                </c:pt>
                <c:pt idx="2454">
                  <c:v>25.1</c:v>
                </c:pt>
                <c:pt idx="2455">
                  <c:v>21.1</c:v>
                </c:pt>
                <c:pt idx="2456">
                  <c:v>21.1</c:v>
                </c:pt>
                <c:pt idx="2457">
                  <c:v>21.1</c:v>
                </c:pt>
                <c:pt idx="2458">
                  <c:v>21.1</c:v>
                </c:pt>
              </c:numCache>
            </c:numRef>
          </c:xVal>
          <c:yVal>
            <c:numRef>
              <c:f>[0]!BF</c:f>
              <c:numCache>
                <c:formatCode>0.00</c:formatCode>
                <c:ptCount val="24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7B-40A9-B1AF-390CB38AD866}"/>
            </c:ext>
          </c:extLst>
        </c:ser>
        <c:ser>
          <c:idx val="29"/>
          <c:order val="31"/>
          <c:tx>
            <c:strRef>
              <c:f>'STD All'!$BJ$1</c:f>
              <c:strCache>
                <c:ptCount val="1"/>
                <c:pt idx="0">
                  <c:v>STD1</c:v>
                </c:pt>
              </c:strCache>
            </c:strRef>
          </c:tx>
          <c:spPr>
            <a:ln w="254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[0]!BI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8C-41DC-82A4-CB8DD42EC4BD}"/>
            </c:ext>
          </c:extLst>
        </c:ser>
        <c:ser>
          <c:idx val="30"/>
          <c:order val="32"/>
          <c:tx>
            <c:strRef>
              <c:f>'STD All'!$BK$1</c:f>
              <c:strCache>
                <c:ptCount val="1"/>
                <c:pt idx="0">
                  <c:v>STD2</c:v>
                </c:pt>
              </c:strCache>
            </c:strRef>
          </c:tx>
          <c:spPr>
            <a:ln w="254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[0]!BJ</c:f>
              <c:numCache>
                <c:formatCode>General</c:formatCode>
                <c:ptCount val="25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8C-41DC-82A4-CB8DD42EC4BD}"/>
            </c:ext>
          </c:extLst>
        </c:ser>
        <c:ser>
          <c:idx val="31"/>
          <c:order val="33"/>
          <c:tx>
            <c:strRef>
              <c:f>'STD All'!$BL$1</c:f>
              <c:strCache>
                <c:ptCount val="1"/>
                <c:pt idx="0">
                  <c:v>STD3</c:v>
                </c:pt>
              </c:strCache>
            </c:strRef>
          </c:tx>
          <c:spPr>
            <a:ln w="254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[0]!BK</c:f>
              <c:numCache>
                <c:formatCode>General</c:formatCode>
                <c:ptCount val="25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8C-41DC-82A4-CB8DD42EC4BD}"/>
            </c:ext>
          </c:extLst>
        </c:ser>
        <c:ser>
          <c:idx val="32"/>
          <c:order val="34"/>
          <c:tx>
            <c:strRef>
              <c:f>'STD All'!$BM$1</c:f>
              <c:strCache>
                <c:ptCount val="1"/>
                <c:pt idx="0">
                  <c:v>STD4</c:v>
                </c:pt>
              </c:strCache>
            </c:strRef>
          </c:tx>
          <c:spPr>
            <a:ln w="254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[0]!BL</c:f>
              <c:numCache>
                <c:formatCode>General</c:formatCode>
                <c:ptCount val="25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8C-41DC-82A4-CB8DD42EC4BD}"/>
            </c:ext>
          </c:extLst>
        </c:ser>
        <c:ser>
          <c:idx val="33"/>
          <c:order val="35"/>
          <c:tx>
            <c:strRef>
              <c:f>'STD All'!$BN$1</c:f>
              <c:strCache>
                <c:ptCount val="1"/>
                <c:pt idx="0">
                  <c:v>STD5</c:v>
                </c:pt>
              </c:strCache>
            </c:strRef>
          </c:tx>
          <c:spPr>
            <a:ln w="254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[0]!BM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28C-41DC-82A4-CB8DD42EC4BD}"/>
            </c:ext>
          </c:extLst>
        </c:ser>
        <c:ser>
          <c:idx val="34"/>
          <c:order val="36"/>
          <c:tx>
            <c:strRef>
              <c:f>'STD All'!$BO$1</c:f>
              <c:strCache>
                <c:ptCount val="1"/>
                <c:pt idx="0">
                  <c:v>STD6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[0]!BN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28C-41DC-82A4-CB8DD42EC4BD}"/>
            </c:ext>
          </c:extLst>
        </c:ser>
        <c:ser>
          <c:idx val="35"/>
          <c:order val="37"/>
          <c:tx>
            <c:v>M1 AVG</c:v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[0]!BO</c:f>
              <c:numCache>
                <c:formatCode>0.00</c:formatCode>
                <c:ptCount val="25"/>
                <c:pt idx="0">
                  <c:v>0.45000000000000007</c:v>
                </c:pt>
                <c:pt idx="1">
                  <c:v>0.52499999999999991</c:v>
                </c:pt>
                <c:pt idx="2">
                  <c:v>0</c:v>
                </c:pt>
                <c:pt idx="3">
                  <c:v>0.13333333333333333</c:v>
                </c:pt>
                <c:pt idx="4">
                  <c:v>0.6</c:v>
                </c:pt>
                <c:pt idx="5">
                  <c:v>0.35</c:v>
                </c:pt>
                <c:pt idx="6">
                  <c:v>0</c:v>
                </c:pt>
                <c:pt idx="7">
                  <c:v>0.1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4.0000000000000001E-3</c:v>
                </c:pt>
                <c:pt idx="23">
                  <c:v>0.01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28C-41DC-82A4-CB8DD42EC4BD}"/>
            </c:ext>
          </c:extLst>
        </c:ser>
        <c:ser>
          <c:idx val="36"/>
          <c:order val="38"/>
          <c:tx>
            <c:strRef>
              <c:f>'STD All'!$BQ$1</c:f>
              <c:strCache>
                <c:ptCount val="1"/>
                <c:pt idx="0">
                  <c:v>STD2 AVG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[0]!BP</c:f>
              <c:numCache>
                <c:formatCode>0.00</c:formatCode>
                <c:ptCount val="25"/>
                <c:pt idx="0">
                  <c:v>16.740000000000002</c:v>
                </c:pt>
                <c:pt idx="1">
                  <c:v>16.299999999999997</c:v>
                </c:pt>
                <c:pt idx="2">
                  <c:v>16.230769230769234</c:v>
                </c:pt>
                <c:pt idx="3">
                  <c:v>15.358823529411765</c:v>
                </c:pt>
                <c:pt idx="4">
                  <c:v>17.186956521739127</c:v>
                </c:pt>
                <c:pt idx="5">
                  <c:v>15.823076923076922</c:v>
                </c:pt>
                <c:pt idx="6">
                  <c:v>16.478947368421057</c:v>
                </c:pt>
                <c:pt idx="7">
                  <c:v>16.36</c:v>
                </c:pt>
                <c:pt idx="8">
                  <c:v>16.452631578947368</c:v>
                </c:pt>
                <c:pt idx="9">
                  <c:v>16.394444444444442</c:v>
                </c:pt>
                <c:pt idx="10">
                  <c:v>16.500000000000004</c:v>
                </c:pt>
                <c:pt idx="11">
                  <c:v>14.8375</c:v>
                </c:pt>
                <c:pt idx="12">
                  <c:v>15.51</c:v>
                </c:pt>
                <c:pt idx="13">
                  <c:v>14.640000000000002</c:v>
                </c:pt>
                <c:pt idx="14">
                  <c:v>13.9</c:v>
                </c:pt>
                <c:pt idx="15">
                  <c:v>13.023214285714284</c:v>
                </c:pt>
                <c:pt idx="16">
                  <c:v>14.815384615384614</c:v>
                </c:pt>
                <c:pt idx="17">
                  <c:v>15.385416666666666</c:v>
                </c:pt>
                <c:pt idx="18">
                  <c:v>13.837499999999999</c:v>
                </c:pt>
                <c:pt idx="19">
                  <c:v>14.946875</c:v>
                </c:pt>
                <c:pt idx="20">
                  <c:v>15.135135135135135</c:v>
                </c:pt>
                <c:pt idx="21">
                  <c:v>15.904347826086955</c:v>
                </c:pt>
                <c:pt idx="22">
                  <c:v>14.548717948717945</c:v>
                </c:pt>
                <c:pt idx="23">
                  <c:v>15.769491525423728</c:v>
                </c:pt>
                <c:pt idx="24">
                  <c:v>15.727027027027033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28C-41DC-82A4-CB8DD42EC4BD}"/>
            </c:ext>
          </c:extLst>
        </c:ser>
        <c:ser>
          <c:idx val="37"/>
          <c:order val="39"/>
          <c:tx>
            <c:strRef>
              <c:f>'STD All'!$BR$1</c:f>
              <c:strCache>
                <c:ptCount val="1"/>
                <c:pt idx="0">
                  <c:v>STD3 AVG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[0]!BQ</c:f>
              <c:numCache>
                <c:formatCode>0.00</c:formatCode>
                <c:ptCount val="25"/>
                <c:pt idx="0">
                  <c:v>38.200000000000003</c:v>
                </c:pt>
                <c:pt idx="1">
                  <c:v>37.675000000000004</c:v>
                </c:pt>
                <c:pt idx="2">
                  <c:v>36.206666666666671</c:v>
                </c:pt>
                <c:pt idx="3">
                  <c:v>35.238095238095241</c:v>
                </c:pt>
                <c:pt idx="4">
                  <c:v>38.442857142857143</c:v>
                </c:pt>
                <c:pt idx="5">
                  <c:v>37.15625</c:v>
                </c:pt>
                <c:pt idx="6">
                  <c:v>37.939130434782612</c:v>
                </c:pt>
                <c:pt idx="7">
                  <c:v>38</c:v>
                </c:pt>
                <c:pt idx="8">
                  <c:v>37.100000000000009</c:v>
                </c:pt>
                <c:pt idx="9">
                  <c:v>35.916666666666664</c:v>
                </c:pt>
                <c:pt idx="10">
                  <c:v>36.961702127659578</c:v>
                </c:pt>
                <c:pt idx="11">
                  <c:v>34.736363636363635</c:v>
                </c:pt>
                <c:pt idx="12">
                  <c:v>37.127272727272732</c:v>
                </c:pt>
                <c:pt idx="13">
                  <c:v>35.376315789473686</c:v>
                </c:pt>
                <c:pt idx="14">
                  <c:v>33.494736842105269</c:v>
                </c:pt>
                <c:pt idx="15">
                  <c:v>33.220895522388069</c:v>
                </c:pt>
                <c:pt idx="16">
                  <c:v>35.119999999999997</c:v>
                </c:pt>
                <c:pt idx="17">
                  <c:v>36.20000000000001</c:v>
                </c:pt>
                <c:pt idx="18">
                  <c:v>32.735999999999997</c:v>
                </c:pt>
                <c:pt idx="19">
                  <c:v>34.931428571428569</c:v>
                </c:pt>
                <c:pt idx="20">
                  <c:v>37.142105263157895</c:v>
                </c:pt>
                <c:pt idx="21">
                  <c:v>36.510869565217384</c:v>
                </c:pt>
                <c:pt idx="22">
                  <c:v>33.854878048780478</c:v>
                </c:pt>
                <c:pt idx="23">
                  <c:v>37.678873239436619</c:v>
                </c:pt>
                <c:pt idx="24">
                  <c:v>36.597368421052629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28C-41DC-82A4-CB8DD42EC4BD}"/>
            </c:ext>
          </c:extLst>
        </c:ser>
        <c:ser>
          <c:idx val="38"/>
          <c:order val="40"/>
          <c:tx>
            <c:strRef>
              <c:f>'STD All'!$BS$1</c:f>
              <c:strCache>
                <c:ptCount val="1"/>
                <c:pt idx="0">
                  <c:v>STD4 AVG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[0]!BR</c:f>
              <c:numCache>
                <c:formatCode>0.00</c:formatCode>
                <c:ptCount val="25"/>
                <c:pt idx="0">
                  <c:v>64.459999999999994</c:v>
                </c:pt>
                <c:pt idx="1">
                  <c:v>62.425000000000004</c:v>
                </c:pt>
                <c:pt idx="2">
                  <c:v>64.05</c:v>
                </c:pt>
                <c:pt idx="3">
                  <c:v>60.541176470588226</c:v>
                </c:pt>
                <c:pt idx="4">
                  <c:v>62.014285714285698</c:v>
                </c:pt>
                <c:pt idx="5">
                  <c:v>59.409090909090907</c:v>
                </c:pt>
                <c:pt idx="6">
                  <c:v>62.090476190476195</c:v>
                </c:pt>
                <c:pt idx="7">
                  <c:v>63.14</c:v>
                </c:pt>
                <c:pt idx="8">
                  <c:v>60.642105263157887</c:v>
                </c:pt>
                <c:pt idx="9">
                  <c:v>60.900000000000006</c:v>
                </c:pt>
                <c:pt idx="10">
                  <c:v>61.180000000000021</c:v>
                </c:pt>
                <c:pt idx="11">
                  <c:v>59.349999999999994</c:v>
                </c:pt>
                <c:pt idx="12">
                  <c:v>61.472727272727276</c:v>
                </c:pt>
                <c:pt idx="13">
                  <c:v>57.983783783783771</c:v>
                </c:pt>
                <c:pt idx="14">
                  <c:v>56.776470588235298</c:v>
                </c:pt>
                <c:pt idx="15">
                  <c:v>55.374999999999993</c:v>
                </c:pt>
                <c:pt idx="16">
                  <c:v>57.818518518518523</c:v>
                </c:pt>
                <c:pt idx="17">
                  <c:v>59.872340425531895</c:v>
                </c:pt>
                <c:pt idx="18">
                  <c:v>56.071428571428584</c:v>
                </c:pt>
                <c:pt idx="19">
                  <c:v>56.987142857142835</c:v>
                </c:pt>
                <c:pt idx="20">
                  <c:v>60.711111111111109</c:v>
                </c:pt>
                <c:pt idx="21">
                  <c:v>59.065957446808518</c:v>
                </c:pt>
                <c:pt idx="22">
                  <c:v>56.452272727272707</c:v>
                </c:pt>
                <c:pt idx="23">
                  <c:v>60.522580645161284</c:v>
                </c:pt>
                <c:pt idx="24">
                  <c:v>58.949999999999989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28C-41DC-82A4-CB8DD42EC4BD}"/>
            </c:ext>
          </c:extLst>
        </c:ser>
        <c:ser>
          <c:idx val="39"/>
          <c:order val="41"/>
          <c:tx>
            <c:strRef>
              <c:f>'STD All'!$BT$1</c:f>
              <c:strCache>
                <c:ptCount val="1"/>
                <c:pt idx="0">
                  <c:v>STD5 AVG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[0]!BS</c:f>
              <c:numCache>
                <c:formatCode>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28C-41DC-82A4-CB8DD42EC4BD}"/>
            </c:ext>
          </c:extLst>
        </c:ser>
        <c:ser>
          <c:idx val="40"/>
          <c:order val="42"/>
          <c:tx>
            <c:strRef>
              <c:f>'STD All'!$BU$1</c:f>
              <c:strCache>
                <c:ptCount val="1"/>
                <c:pt idx="0">
                  <c:v>STD6 AVG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[0]!BH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[0]!BT</c:f>
              <c:numCache>
                <c:formatCode>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28C-41DC-82A4-CB8DD42EC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903135"/>
        <c:axId val="1272903615"/>
        <c:extLst>
          <c:ext xmlns:c15="http://schemas.microsoft.com/office/drawing/2012/chart" uri="{02D57815-91ED-43cb-92C2-25804820EDAC}">
            <c15:filteredScatterSeries>
              <c15:ser>
                <c:idx val="42"/>
                <c:order val="43"/>
                <c:tx>
                  <c:v>M2 AVG</c:v>
                </c:tx>
                <c:spPr>
                  <a:ln w="2540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[0]!BH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[0]!DQ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 formatCode="0.0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0.02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0.01</c:v>
                      </c:pt>
                      <c:pt idx="24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5C60-4806-AB56-BF88FC625BF5}"/>
                  </c:ext>
                </c:extLst>
              </c15:ser>
            </c15:filteredScatterSeries>
            <c15:filteredScatterSeries>
              <c15:ser>
                <c:idx val="43"/>
                <c:order val="44"/>
                <c:tx>
                  <c:v>M2 2 AVG</c:v>
                </c:tx>
                <c:spPr>
                  <a:ln w="2540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[0]!BH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[0]!DR</c15:sqref>
                        </c15:formulaRef>
                      </c:ext>
                    </c:extLst>
                    <c:numCache>
                      <c:formatCode>0.00</c:formatCode>
                      <c:ptCount val="2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14.951562499999998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12.176923076923082</c:v>
                      </c:pt>
                      <c:pt idx="23">
                        <c:v>15.801694915254235</c:v>
                      </c:pt>
                      <c:pt idx="24">
                        <c:v>15.77027027027027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60-4806-AB56-BF88FC625BF5}"/>
                  </c:ext>
                </c:extLst>
              </c15:ser>
            </c15:filteredScatterSeries>
            <c15:filteredScatterSeries>
              <c15:ser>
                <c:idx val="44"/>
                <c:order val="45"/>
                <c:tx>
                  <c:v>M2 3 AVG</c:v>
                </c:tx>
                <c:spPr>
                  <a:ln w="317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[0]!BH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[0]!DS</c15:sqref>
                        </c15:formulaRef>
                      </c:ext>
                    </c:extLst>
                    <c:numCache>
                      <c:formatCode>0.00</c:formatCode>
                      <c:ptCount val="2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34.984285714285718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28.359756097560982</c:v>
                      </c:pt>
                      <c:pt idx="23">
                        <c:v>37.777464788732395</c:v>
                      </c:pt>
                      <c:pt idx="24">
                        <c:v>36.686842105263153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60-4806-AB56-BF88FC625BF5}"/>
                  </c:ext>
                </c:extLst>
              </c15:ser>
            </c15:filteredScatterSeries>
            <c15:filteredScatterSeries>
              <c15:ser>
                <c:idx val="45"/>
                <c:order val="46"/>
                <c:tx>
                  <c:v>M2 4 AVG</c:v>
                </c:tx>
                <c:spPr>
                  <a:ln w="2540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[0]!BH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[0]!DT</c15:sqref>
                        </c15:formulaRef>
                      </c:ext>
                    </c:extLst>
                    <c:numCache>
                      <c:formatCode>0.00</c:formatCode>
                      <c:ptCount val="2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56.960000000000008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47.748863636363666</c:v>
                      </c:pt>
                      <c:pt idx="23">
                        <c:v>60.659677419354843</c:v>
                      </c:pt>
                      <c:pt idx="24">
                        <c:v>59.191176470588239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60-4806-AB56-BF88FC625BF5}"/>
                  </c:ext>
                </c:extLst>
              </c15:ser>
            </c15:filteredScatterSeries>
            <c15:filteredScatterSeries>
              <c15:ser>
                <c:idx val="46"/>
                <c:order val="47"/>
                <c:tx>
                  <c:v>M2 5 AVG</c:v>
                </c:tx>
                <c:spPr>
                  <a:ln w="2540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[0]!BH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[0]!DU</c15:sqref>
                        </c15:formulaRef>
                      </c:ext>
                    </c:extLst>
                    <c:numCache>
                      <c:formatCode>0.00</c:formatCode>
                      <c:ptCount val="2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60-4806-AB56-BF88FC625BF5}"/>
                  </c:ext>
                </c:extLst>
              </c15:ser>
            </c15:filteredScatterSeries>
            <c15:filteredScatterSeries>
              <c15:ser>
                <c:idx val="47"/>
                <c:order val="48"/>
                <c:tx>
                  <c:v>M2 6 AVG</c:v>
                </c:tx>
                <c:spPr>
                  <a:ln w="28575" cap="rnd">
                    <a:solidFill>
                      <a:schemeClr val="accent6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[0]!BH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[0]!BV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C60-4806-AB56-BF88FC625BF5}"/>
                  </c:ext>
                </c:extLst>
              </c15:ser>
            </c15:filteredScatterSeries>
          </c:ext>
        </c:extLst>
      </c:scatterChart>
      <c:catAx>
        <c:axId val="127290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lots</a:t>
                </a:r>
              </a:p>
            </c:rich>
          </c:tx>
          <c:layout>
            <c:manualLayout>
              <c:xMode val="edge"/>
              <c:yMode val="edge"/>
              <c:x val="0.45261597888501875"/>
              <c:y val="0.950482858164140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03615"/>
        <c:crosses val="autoZero"/>
        <c:auto val="1"/>
        <c:lblAlgn val="ctr"/>
        <c:lblOffset val="100"/>
        <c:noMultiLvlLbl val="0"/>
      </c:catAx>
      <c:valAx>
        <c:axId val="127290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</a:t>
                </a:r>
              </a:p>
            </c:rich>
          </c:tx>
          <c:layout>
            <c:manualLayout>
              <c:xMode val="edge"/>
              <c:yMode val="edge"/>
              <c:x val="1.7103565417287692E-2"/>
              <c:y val="0.486192930456400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03135"/>
        <c:crossesAt val="1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8"/>
        <c:delete val="1"/>
      </c:legendEntry>
      <c:legendEntry>
        <c:idx val="39"/>
        <c:delete val="1"/>
      </c:legendEntry>
      <c:legendEntry>
        <c:idx val="40"/>
        <c:delete val="1"/>
      </c:legendEntry>
      <c:legendEntry>
        <c:idx val="41"/>
        <c:delete val="1"/>
      </c:legendEntry>
      <c:legendEntry>
        <c:idx val="42"/>
        <c:delete val="1"/>
      </c:legendEntry>
      <c:layout>
        <c:manualLayout>
          <c:xMode val="edge"/>
          <c:yMode val="edge"/>
          <c:x val="0.89402892536065515"/>
          <c:y val="0.39454773127976595"/>
          <c:w val="8.7893057854724801E-2"/>
          <c:h val="0.255773331478589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109226</xdr:colOff>
      <xdr:row>9</xdr:row>
      <xdr:rowOff>84573</xdr:rowOff>
    </xdr:from>
    <xdr:to>
      <xdr:col>75</xdr:col>
      <xdr:colOff>300397</xdr:colOff>
      <xdr:row>54</xdr:row>
      <xdr:rowOff>75177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FB3182-1573-D4AB-0625-C9BCCCEE3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A1DA57A-14A8-40FF-8521-B525991D6269}" autoFormatId="16" applyNumberFormats="0" applyBorderFormats="0" applyFontFormats="0" applyPatternFormats="0" applyAlignmentFormats="0" applyWidthHeightFormats="0">
  <queryTableRefresh nextId="106">
    <queryTableFields count="105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  <queryTableField id="18" name="Column17" tableColumnId="18"/>
      <queryTableField id="19" name="Column18" tableColumnId="19"/>
      <queryTableField id="20" name="Column19" tableColumnId="20"/>
      <queryTableField id="21" name="Column20" tableColumnId="21"/>
      <queryTableField id="22" name="Column21" tableColumnId="22"/>
      <queryTableField id="23" name="Column22" tableColumnId="23"/>
      <queryTableField id="24" name="Column23" tableColumnId="24"/>
      <queryTableField id="25" name="Column24" tableColumnId="25"/>
      <queryTableField id="26" name="Column25" tableColumnId="26"/>
      <queryTableField id="27" name="Column26" tableColumnId="27"/>
      <queryTableField id="28" name="Column27" tableColumnId="28"/>
      <queryTableField id="29" name="Column28" tableColumnId="29"/>
      <queryTableField id="30" name="Column29" tableColumnId="30"/>
      <queryTableField id="31" name="Column30" tableColumnId="31"/>
      <queryTableField id="32" name="Column31" tableColumnId="32"/>
      <queryTableField id="33" name="Column32" tableColumnId="33"/>
      <queryTableField id="34" name="Column33" tableColumnId="34"/>
      <queryTableField id="35" name="Column34" tableColumnId="35"/>
      <queryTableField id="36" name="Column35" tableColumnId="36"/>
      <queryTableField id="37" name="Column36" tableColumnId="37"/>
      <queryTableField id="38" name="Column37" tableColumnId="38"/>
      <queryTableField id="39" name="Column38" tableColumnId="39"/>
      <queryTableField id="40" name="Column39" tableColumnId="40"/>
      <queryTableField id="41" name="Column40" tableColumnId="41"/>
      <queryTableField id="42" name="Column41" tableColumnId="42"/>
      <queryTableField id="43" name="Column42" tableColumnId="43"/>
      <queryTableField id="44" name="Column43" tableColumnId="44"/>
      <queryTableField id="45" name="Column44" tableColumnId="45"/>
      <queryTableField id="46" name="Column45" tableColumnId="46"/>
      <queryTableField id="47" name="Column46" tableColumnId="47"/>
      <queryTableField id="48" name="Column47" tableColumnId="48"/>
      <queryTableField id="49" name="Column48" tableColumnId="49"/>
      <queryTableField id="50" name="Column49" tableColumnId="50"/>
      <queryTableField id="51" name="Column50" tableColumnId="51"/>
      <queryTableField id="52" name="Column51" tableColumnId="52"/>
      <queryTableField id="53" name="Column52" tableColumnId="53"/>
      <queryTableField id="54" name="Column53" tableColumnId="54"/>
      <queryTableField id="55" name="Column54" tableColumnId="55"/>
      <queryTableField id="56" name="Column55" tableColumnId="56"/>
      <queryTableField id="57" name="Column56" tableColumnId="57"/>
      <queryTableField id="58" name="Column57" tableColumnId="58"/>
      <queryTableField id="59" name="Column58" tableColumnId="59"/>
      <queryTableField id="60" name="Column59" tableColumnId="60"/>
      <queryTableField id="61" name="Column60" tableColumnId="61"/>
      <queryTableField id="62" name="Column61" tableColumnId="62"/>
      <queryTableField id="63" name="Column62" tableColumnId="63"/>
      <queryTableField id="64" name="Column63" tableColumnId="64"/>
      <queryTableField id="65" name="Column64" tableColumnId="65"/>
      <queryTableField id="66" name="Column65" tableColumnId="66"/>
      <queryTableField id="67" name="Column66" tableColumnId="67"/>
      <queryTableField id="68" name="Column67" tableColumnId="68"/>
      <queryTableField id="69" name="Column68" tableColumnId="69"/>
      <queryTableField id="70" name="Column69" tableColumnId="70"/>
      <queryTableField id="71" name="Column70" tableColumnId="71"/>
      <queryTableField id="72" name="Column71" tableColumnId="72"/>
      <queryTableField id="73" name="Column72" tableColumnId="73"/>
      <queryTableField id="74" name="Column73" tableColumnId="74"/>
      <queryTableField id="75" name="Column74" tableColumnId="75"/>
      <queryTableField id="76" name="Column75" tableColumnId="76"/>
      <queryTableField id="77" name="Column76" tableColumnId="77"/>
      <queryTableField id="78" name="Column77" tableColumnId="78"/>
      <queryTableField id="79" name="Column78" tableColumnId="79"/>
      <queryTableField id="80" name="Column79" tableColumnId="80"/>
      <queryTableField id="81" name="Column80" tableColumnId="81"/>
      <queryTableField id="82" name="Column81" tableColumnId="82"/>
      <queryTableField id="83" name="Column82" tableColumnId="83"/>
      <queryTableField id="84" name="Column83" tableColumnId="84"/>
      <queryTableField id="85" name="Column84" tableColumnId="85"/>
      <queryTableField id="86" name="Column85" tableColumnId="86"/>
      <queryTableField id="87" name="Column86" tableColumnId="87"/>
      <queryTableField id="88" name="Column87" tableColumnId="88"/>
      <queryTableField id="89" name="Column88" tableColumnId="89"/>
      <queryTableField id="90" name="Column89" tableColumnId="90"/>
      <queryTableField id="91" name="Column90" tableColumnId="91"/>
      <queryTableField id="92" name="Column91" tableColumnId="92"/>
      <queryTableField id="93" name="Column92" tableColumnId="93"/>
      <queryTableField id="94" name="Column93" tableColumnId="94"/>
      <queryTableField id="95" name="Column94" tableColumnId="95"/>
      <queryTableField id="96" name="Column95" tableColumnId="96"/>
      <queryTableField id="97" name="Column96" tableColumnId="97"/>
      <queryTableField id="98" name="Column97" tableColumnId="98"/>
      <queryTableField id="99" name="Column98" tableColumnId="99"/>
      <queryTableField id="100" name="Column99" tableColumnId="100"/>
      <queryTableField id="101" name="Column100" tableColumnId="101"/>
      <queryTableField id="102" name="Column101" tableColumnId="102"/>
      <queryTableField id="103" name="Column102" tableColumnId="103"/>
      <queryTableField id="104" name="Column103" tableColumnId="104"/>
      <queryTableField id="105" name="Column104" tableColumnId="10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873DA8-434B-4434-8112-622AA2334CF0}" autoFormatId="16" applyNumberFormats="0" applyBorderFormats="0" applyFontFormats="0" applyPatternFormats="0" applyAlignmentFormats="0" applyWidthHeightFormats="0">
  <queryTableRefresh nextId="194">
    <queryTableFields count="104">
      <queryTableField id="188" name="CP-R80_HI782-0_0.0_LOT0972_PWW.12.2_QC.xlsx" tableColumnId="1"/>
      <queryTableField id="2" name="Standard" tableColumnId="2"/>
      <queryTableField id="3" name="STD Value" tableColumnId="3"/>
      <queryTableField id="4" name="#" tableColumnId="4"/>
      <queryTableField id="5" name="TEST" tableColumnId="5"/>
      <queryTableField id="6" name="QC DATE" tableColumnId="6"/>
      <queryTableField id="7" name="QC TIME" tableColumnId="7"/>
      <queryTableField id="8" name="PROD. DATE" tableColumnId="8"/>
      <queryTableField id="9" name="PROD. TIME" tableColumnId="9"/>
      <queryTableField id="10" name="PROD. OPERATOR" tableColumnId="10"/>
      <queryTableField id="11" name="HEAD" tableColumnId="11"/>
      <queryTableField id="189" name="M. 1  HI97115" tableColumnId="12"/>
      <queryTableField id="190" name="M. 2  HI97115" tableColumnId="13"/>
      <queryTableField id="126" name="M. 3  Label17" tableColumnId="14"/>
      <queryTableField id="127" name="M. 4  Label17" tableColumnId="15"/>
      <queryTableField id="16" name="SPECTR. [ABS]" tableColumnId="16"/>
      <queryTableField id="17" name="pH 1" tableColumnId="17"/>
      <queryTableField id="18" name="pH 2" tableColumnId="18"/>
      <queryTableField id="19" name="pH 3" tableColumnId="19"/>
      <queryTableField id="20" name="TURB." tableColumnId="20"/>
      <queryTableField id="21" name="WEIGHT [mg]" tableColumnId="21"/>
      <queryTableField id="22" name="REAGENT SET" tableColumnId="22"/>
      <queryTableField id="23" name="QC OPERATOR" tableColumnId="23"/>
      <queryTableField id="179" name="CORRECTION" tableColumnId="24"/>
      <queryTableField id="25" name="phNumber" tableColumnId="25"/>
      <queryTableField id="180" name="STD" tableColumnId="26"/>
      <queryTableField id="27" name="STD_ID" tableColumnId="27"/>
      <queryTableField id="28" name="NOTE" tableColumnId="28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50" name="Column105" tableColumnId="10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A1AB10-E9F3-4E16-AF8E-6031AEC8FD75}" autoFormatId="16" applyNumberFormats="0" applyBorderFormats="0" applyFontFormats="0" applyPatternFormats="0" applyAlignmentFormats="0" applyWidthHeightFormats="0">
  <queryTableRefresh nextId="105">
    <queryTableFields count="10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849532-77F6-4D38-A126-106093CC6DA6}" name="LOTS__2" displayName="LOTS__2" ref="A1:DA27" tableType="queryTable" totalsRowShown="0">
  <autoFilter ref="A1:DA27" xr:uid="{D7849532-77F6-4D38-A126-106093CC6DA6}"/>
  <tableColumns count="105">
    <tableColumn id="1" xr3:uid="{D9DA4FD8-EB8F-4843-9D6E-96E6FBA66B31}" uniqueName="1" name="Source.Name" queryTableFieldId="1" dataDxfId="48"/>
    <tableColumn id="2" xr3:uid="{828EA5A9-E0CC-4675-9FCF-B5823F4BFCC1}" uniqueName="2" name="Column1" queryTableFieldId="2"/>
    <tableColumn id="3" xr3:uid="{9F1FFA66-4452-4F5E-8A7F-A988AAFE1E63}" uniqueName="3" name="Column2" queryTableFieldId="3" dataDxfId="47"/>
    <tableColumn id="4" xr3:uid="{4DFBA268-B195-4114-A4CE-CDAB935875EB}" uniqueName="4" name="Column3" queryTableFieldId="4"/>
    <tableColumn id="5" xr3:uid="{A5E81219-821C-457F-8613-4081D1B97961}" uniqueName="5" name="Column4" queryTableFieldId="5"/>
    <tableColumn id="6" xr3:uid="{D4F41809-2A50-4315-9031-1F7EE4A5BB1E}" uniqueName="6" name="Column5" queryTableFieldId="6" dataDxfId="46"/>
    <tableColumn id="7" xr3:uid="{6109AC6B-75C0-4024-92A2-F438361721BA}" uniqueName="7" name="Column6" queryTableFieldId="7"/>
    <tableColumn id="8" xr3:uid="{181D3123-22EE-4011-8D47-EC42B5842115}" uniqueName="8" name="Column7" queryTableFieldId="8" dataDxfId="45"/>
    <tableColumn id="9" xr3:uid="{1BE4283A-C5B6-4E33-9CD5-14F39DDB9057}" uniqueName="9" name="Column8" queryTableFieldId="9"/>
    <tableColumn id="10" xr3:uid="{4DFB0D97-348F-453B-9FAC-EF76AF94C522}" uniqueName="10" name="Column9" queryTableFieldId="10" dataDxfId="44"/>
    <tableColumn id="11" xr3:uid="{F4D7E530-6048-4810-A9F3-7560F6D00478}" uniqueName="11" name="Column10" queryTableFieldId="11" dataDxfId="43"/>
    <tableColumn id="12" xr3:uid="{328F4525-7E29-41DB-8A6E-89968E15BE8A}" uniqueName="12" name="Column11" queryTableFieldId="12" dataDxfId="42"/>
    <tableColumn id="13" xr3:uid="{E13AEF7E-430B-48E5-B104-2943689C1510}" uniqueName="13" name="Column12" queryTableFieldId="13" dataDxfId="41"/>
    <tableColumn id="14" xr3:uid="{4612228B-9834-44E2-8B11-55E6EB1990B6}" uniqueName="14" name="Column13" queryTableFieldId="14" dataDxfId="40"/>
    <tableColumn id="15" xr3:uid="{15659FE5-3212-49A5-AD40-70696A57E8B0}" uniqueName="15" name="Column14" queryTableFieldId="15" dataDxfId="39"/>
    <tableColumn id="16" xr3:uid="{764577C2-0F06-48C6-B09C-062D45ABF785}" uniqueName="16" name="Column15" queryTableFieldId="16" dataDxfId="38"/>
    <tableColumn id="17" xr3:uid="{C192E0A5-E275-43E9-86C2-05E00B12149B}" uniqueName="17" name="Column16" queryTableFieldId="17" dataDxfId="37"/>
    <tableColumn id="18" xr3:uid="{AABC51D5-A8D3-474D-8F40-EDF737716F5F}" uniqueName="18" name="Column17" queryTableFieldId="18" dataDxfId="36"/>
    <tableColumn id="19" xr3:uid="{169C5D36-F582-45D4-8B52-BD29794BD2C3}" uniqueName="19" name="Column18" queryTableFieldId="19" dataDxfId="35"/>
    <tableColumn id="20" xr3:uid="{1BBADC94-02A3-4EFC-9D68-91892C976882}" uniqueName="20" name="Column19" queryTableFieldId="20" dataDxfId="34"/>
    <tableColumn id="21" xr3:uid="{1EE9DE9A-B57E-4113-BDF4-FB8E5B771591}" uniqueName="21" name="Column20" queryTableFieldId="21" dataDxfId="33"/>
    <tableColumn id="22" xr3:uid="{E623D196-C34B-4500-86CB-5F4A15B981F3}" uniqueName="22" name="Column21" queryTableFieldId="22" dataDxfId="32"/>
    <tableColumn id="23" xr3:uid="{17B7DE3A-0ABF-43AE-A68B-B926E2EED807}" uniqueName="23" name="Column22" queryTableFieldId="23" dataDxfId="31"/>
    <tableColumn id="24" xr3:uid="{67282F2D-6D64-44E2-8F0B-69CDFFAECE10}" uniqueName="24" name="Column23" queryTableFieldId="24" dataDxfId="30"/>
    <tableColumn id="25" xr3:uid="{B58AEE9B-403D-4985-87C4-F5D24ABEC414}" uniqueName="25" name="Column24" queryTableFieldId="25" dataDxfId="29"/>
    <tableColumn id="26" xr3:uid="{2896FAE2-79CD-4B19-B56B-AD45F6EC6F3D}" uniqueName="26" name="Column25" queryTableFieldId="26" dataDxfId="28"/>
    <tableColumn id="27" xr3:uid="{9B708512-8EC6-4353-9D48-851EFB74D628}" uniqueName="27" name="Column26" queryTableFieldId="27" dataDxfId="27"/>
    <tableColumn id="28" xr3:uid="{C7EEFB24-17C4-4DB0-936F-58B1D3EAC88C}" uniqueName="28" name="Column27" queryTableFieldId="28" dataDxfId="26"/>
    <tableColumn id="29" xr3:uid="{95CE674B-7133-4F0C-AA81-36B316524066}" uniqueName="29" name="Column28" queryTableFieldId="29" dataDxfId="25"/>
    <tableColumn id="30" xr3:uid="{4A87B6CA-B6FE-4177-A58F-D420B38C4400}" uniqueName="30" name="Column29" queryTableFieldId="30"/>
    <tableColumn id="31" xr3:uid="{431AC4CB-28CD-481B-B791-75076BF10D35}" uniqueName="31" name="Column30" queryTableFieldId="31"/>
    <tableColumn id="32" xr3:uid="{EE9E18E5-5513-4713-9555-DEDAD9A032E5}" uniqueName="32" name="Column31" queryTableFieldId="32"/>
    <tableColumn id="33" xr3:uid="{E71E3F08-6BC0-46BF-A622-B50F98B0AE96}" uniqueName="33" name="Column32" queryTableFieldId="33"/>
    <tableColumn id="34" xr3:uid="{7F08262B-9B5A-4A6F-B2C8-3A2DC8FF0F62}" uniqueName="34" name="Column33" queryTableFieldId="34"/>
    <tableColumn id="35" xr3:uid="{71D6E597-7820-41B5-9C14-44836AA0391D}" uniqueName="35" name="Column34" queryTableFieldId="35"/>
    <tableColumn id="36" xr3:uid="{83AC9354-889F-4ECD-B87D-A4D0611275E1}" uniqueName="36" name="Column35" queryTableFieldId="36"/>
    <tableColumn id="37" xr3:uid="{54212399-E2E4-42E7-B62A-68C010F4D1C4}" uniqueName="37" name="Column36" queryTableFieldId="37"/>
    <tableColumn id="38" xr3:uid="{8AED5D77-D589-44F9-9288-1E33FD6DFEEE}" uniqueName="38" name="Column37" queryTableFieldId="38"/>
    <tableColumn id="39" xr3:uid="{24F8A89D-F144-4AD0-90C8-303DEC2415C6}" uniqueName="39" name="Column38" queryTableFieldId="39"/>
    <tableColumn id="40" xr3:uid="{4C0B1808-BAC8-4B07-A3E8-512DF3CCF9FC}" uniqueName="40" name="Column39" queryTableFieldId="40"/>
    <tableColumn id="41" xr3:uid="{411FAE3E-47D8-48A9-BE9D-85D3B32279D5}" uniqueName="41" name="Column40" queryTableFieldId="41"/>
    <tableColumn id="42" xr3:uid="{1454E71C-F09D-4F0D-A72F-044F0AC13F3C}" uniqueName="42" name="Column41" queryTableFieldId="42"/>
    <tableColumn id="43" xr3:uid="{79953F4F-5B59-4499-87BA-AFD7B3856597}" uniqueName="43" name="Column42" queryTableFieldId="43"/>
    <tableColumn id="44" xr3:uid="{2C8278B6-D293-48BC-BF67-00A676FFC389}" uniqueName="44" name="Column43" queryTableFieldId="44"/>
    <tableColumn id="45" xr3:uid="{95D07B00-A3D8-490B-8220-D7C1A3462BCE}" uniqueName="45" name="Column44" queryTableFieldId="45"/>
    <tableColumn id="46" xr3:uid="{F227E0CF-6121-41E1-8101-431161D54002}" uniqueName="46" name="Column45" queryTableFieldId="46"/>
    <tableColumn id="47" xr3:uid="{DEDABFDC-3AAF-456B-ABE8-121D084CA9AE}" uniqueName="47" name="Column46" queryTableFieldId="47"/>
    <tableColumn id="48" xr3:uid="{87E9C624-DB2A-42C1-9AF1-2AFB9FCD88E5}" uniqueName="48" name="Column47" queryTableFieldId="48"/>
    <tableColumn id="49" xr3:uid="{2C0D02E9-E75E-4AA1-852B-EA15BC4A5898}" uniqueName="49" name="Column48" queryTableFieldId="49"/>
    <tableColumn id="50" xr3:uid="{2250BD47-8BA7-4A6D-8E07-5ACD565DCBA5}" uniqueName="50" name="Column49" queryTableFieldId="50"/>
    <tableColumn id="51" xr3:uid="{7BFB8476-A1EA-44C9-9802-077911F5AA43}" uniqueName="51" name="Column50" queryTableFieldId="51"/>
    <tableColumn id="52" xr3:uid="{730000BB-794D-4B1F-8A48-1180FB43FD37}" uniqueName="52" name="Column51" queryTableFieldId="52"/>
    <tableColumn id="53" xr3:uid="{A9A3AE5E-C234-4B8D-932D-4F2560376EB9}" uniqueName="53" name="Column52" queryTableFieldId="53"/>
    <tableColumn id="54" xr3:uid="{2492B9C9-A10B-4449-88D3-85D4E9FCD18A}" uniqueName="54" name="Column53" queryTableFieldId="54"/>
    <tableColumn id="55" xr3:uid="{A89BA291-9C64-47D9-AD90-146B54D1F607}" uniqueName="55" name="Column54" queryTableFieldId="55"/>
    <tableColumn id="56" xr3:uid="{9151835C-9908-4D4C-83E4-30604EB5DC6C}" uniqueName="56" name="Column55" queryTableFieldId="56"/>
    <tableColumn id="57" xr3:uid="{6F32005A-FC52-4FA1-9E21-FEC9E67F9A2B}" uniqueName="57" name="Column56" queryTableFieldId="57"/>
    <tableColumn id="58" xr3:uid="{B66253DE-443A-4511-AACD-817624F3E752}" uniqueName="58" name="Column57" queryTableFieldId="58"/>
    <tableColumn id="59" xr3:uid="{70040766-AFF1-42DA-9538-50D6BDA6A8C2}" uniqueName="59" name="Column58" queryTableFieldId="59"/>
    <tableColumn id="60" xr3:uid="{F7E917A4-6088-4C2B-877E-0CF983C3ADBD}" uniqueName="60" name="Column59" queryTableFieldId="60"/>
    <tableColumn id="61" xr3:uid="{646D1FAD-E4A7-4078-BBBB-6F34F52ADEE2}" uniqueName="61" name="Column60" queryTableFieldId="61"/>
    <tableColumn id="62" xr3:uid="{241CF413-DF0A-4E2B-B836-C2D677A4F319}" uniqueName="62" name="Column61" queryTableFieldId="62"/>
    <tableColumn id="63" xr3:uid="{15647DE0-14E5-41D5-ADCA-0C98A3E49743}" uniqueName="63" name="Column62" queryTableFieldId="63"/>
    <tableColumn id="64" xr3:uid="{9AEBA067-9516-44E4-A87B-51B093BEC8D5}" uniqueName="64" name="Column63" queryTableFieldId="64"/>
    <tableColumn id="65" xr3:uid="{86FB64C2-1F54-4C66-8EF5-C3306285C720}" uniqueName="65" name="Column64" queryTableFieldId="65"/>
    <tableColumn id="66" xr3:uid="{18A214F5-B255-4E2B-AE06-63EA26C45D8B}" uniqueName="66" name="Column65" queryTableFieldId="66"/>
    <tableColumn id="67" xr3:uid="{A6E743AD-01C1-4091-A5AE-9814195F712E}" uniqueName="67" name="Column66" queryTableFieldId="67"/>
    <tableColumn id="68" xr3:uid="{17B736DB-27CE-4439-8332-AE6A095D6538}" uniqueName="68" name="Column67" queryTableFieldId="68"/>
    <tableColumn id="69" xr3:uid="{F552F978-C62F-4490-AE85-D6CB4176FFEA}" uniqueName="69" name="Column68" queryTableFieldId="69"/>
    <tableColumn id="70" xr3:uid="{C0313FDF-9B9A-45BA-B4D3-62CAA1412DF5}" uniqueName="70" name="Column69" queryTableFieldId="70"/>
    <tableColumn id="71" xr3:uid="{9E2F1478-B9EA-493E-A6FD-56F1EFCC2DD7}" uniqueName="71" name="Column70" queryTableFieldId="71"/>
    <tableColumn id="72" xr3:uid="{FE50822C-0B6F-4CBF-A00C-86A6D84CCAB8}" uniqueName="72" name="Column71" queryTableFieldId="72"/>
    <tableColumn id="73" xr3:uid="{043B8D5F-6A21-42BD-AF75-AC3BF50DCA4D}" uniqueName="73" name="Column72" queryTableFieldId="73"/>
    <tableColumn id="74" xr3:uid="{5494F7A1-D335-4AA1-8DB9-AF51CD7D0F21}" uniqueName="74" name="Column73" queryTableFieldId="74"/>
    <tableColumn id="75" xr3:uid="{B43C7481-CDC4-46C9-B223-5BA9D9A27810}" uniqueName="75" name="Column74" queryTableFieldId="75"/>
    <tableColumn id="76" xr3:uid="{345E414A-F0B0-4807-954B-01881A3A1459}" uniqueName="76" name="Column75" queryTableFieldId="76"/>
    <tableColumn id="77" xr3:uid="{75EADA15-0C74-4CF6-88DC-7C7EBFC116F7}" uniqueName="77" name="Column76" queryTableFieldId="77"/>
    <tableColumn id="78" xr3:uid="{2435B1E3-AEE7-43F1-BE0D-A9ECE3B50A03}" uniqueName="78" name="Column77" queryTableFieldId="78"/>
    <tableColumn id="79" xr3:uid="{8E072EA6-2A18-42F0-B545-EE1345B1A593}" uniqueName="79" name="Column78" queryTableFieldId="79"/>
    <tableColumn id="80" xr3:uid="{56CB684F-D1F8-4E18-9F05-7FCEF4713053}" uniqueName="80" name="Column79" queryTableFieldId="80"/>
    <tableColumn id="81" xr3:uid="{514FD3EA-CA8E-45ED-B0C5-CF17C06DC8BC}" uniqueName="81" name="Column80" queryTableFieldId="81"/>
    <tableColumn id="82" xr3:uid="{DFF9AED0-3099-4338-898F-E34E138A060A}" uniqueName="82" name="Column81" queryTableFieldId="82"/>
    <tableColumn id="83" xr3:uid="{BB1B6519-D6C4-4C9F-99EC-B97D2E5539EE}" uniqueName="83" name="Column82" queryTableFieldId="83"/>
    <tableColumn id="84" xr3:uid="{97DEB7E9-81F1-49C4-9142-7F2080AF773A}" uniqueName="84" name="Column83" queryTableFieldId="84"/>
    <tableColumn id="85" xr3:uid="{B2EE907E-B0F9-491B-B956-325E55CF8B0D}" uniqueName="85" name="Column84" queryTableFieldId="85"/>
    <tableColumn id="86" xr3:uid="{6E730C6A-C798-4188-9641-B46A6EAA99A3}" uniqueName="86" name="Column85" queryTableFieldId="86"/>
    <tableColumn id="87" xr3:uid="{F2DD58B2-02D2-4015-AB8E-7DA8C89E41D8}" uniqueName="87" name="Column86" queryTableFieldId="87"/>
    <tableColumn id="88" xr3:uid="{603A4046-1FE5-4184-8E25-9F40A94928FF}" uniqueName="88" name="Column87" queryTableFieldId="88"/>
    <tableColumn id="89" xr3:uid="{9CEA2855-BBB6-4DCF-8EB4-8BE4D266FE39}" uniqueName="89" name="Column88" queryTableFieldId="89"/>
    <tableColumn id="90" xr3:uid="{FC8273ED-C948-4C5C-AE9E-9591803C379B}" uniqueName="90" name="Column89" queryTableFieldId="90"/>
    <tableColumn id="91" xr3:uid="{944DFEFA-5FB1-424B-9DD2-398B74000185}" uniqueName="91" name="Column90" queryTableFieldId="91"/>
    <tableColumn id="92" xr3:uid="{3D35171A-F033-4DBE-A4F4-4849054656BF}" uniqueName="92" name="Column91" queryTableFieldId="92"/>
    <tableColumn id="93" xr3:uid="{49B6A313-8EC0-4CAF-B03A-F1A1B3C21DAD}" uniqueName="93" name="Column92" queryTableFieldId="93"/>
    <tableColumn id="94" xr3:uid="{1AC50EDB-1386-4C4C-A68D-7C46D4A3E359}" uniqueName="94" name="Column93" queryTableFieldId="94"/>
    <tableColumn id="95" xr3:uid="{64B49456-611D-4257-9A29-ED887B82B7AA}" uniqueName="95" name="Column94" queryTableFieldId="95"/>
    <tableColumn id="96" xr3:uid="{82E9F497-717D-45E6-9F75-12F87A38B14A}" uniqueName="96" name="Column95" queryTableFieldId="96"/>
    <tableColumn id="97" xr3:uid="{B12A0D44-2492-433F-B620-64F8BE29E2DD}" uniqueName="97" name="Column96" queryTableFieldId="97"/>
    <tableColumn id="98" xr3:uid="{B4A101C4-FE90-4B7A-9EA9-593188CB4F82}" uniqueName="98" name="Column97" queryTableFieldId="98"/>
    <tableColumn id="99" xr3:uid="{3FE136E3-854D-4C31-877A-6501B7DA8771}" uniqueName="99" name="Column98" queryTableFieldId="99"/>
    <tableColumn id="100" xr3:uid="{A8FC092A-5491-4473-9841-F7C0452079E2}" uniqueName="100" name="Column99" queryTableFieldId="100"/>
    <tableColumn id="101" xr3:uid="{B4E2FEB7-2B93-4501-92A8-22EDD229F48E}" uniqueName="101" name="Column100" queryTableFieldId="101"/>
    <tableColumn id="102" xr3:uid="{36EB8149-7F28-4C83-B401-580EA498D3F6}" uniqueName="102" name="Column101" queryTableFieldId="102"/>
    <tableColumn id="103" xr3:uid="{A3B3FB3B-6B38-4964-80CB-C7D6ADD62604}" uniqueName="103" name="Column102" queryTableFieldId="103"/>
    <tableColumn id="104" xr3:uid="{1D4B2991-F6AC-4D08-A205-1586B49BE782}" uniqueName="104" name="Column103" queryTableFieldId="104"/>
    <tableColumn id="105" xr3:uid="{0E0E61F9-D24D-4254-8862-BCBB694EAAD5}" uniqueName="105" name="Column104" queryTableFieldId="10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ACDE9-3C14-4583-8A3A-9AEA8C63E244}" name="Lots" displayName="Lots" ref="A1:CZ2957" tableType="queryTable" totalsRowShown="0">
  <autoFilter ref="A1:CZ2957" xr:uid="{D22ACDE9-3C14-4583-8A3A-9AEA8C63E244}"/>
  <sortState xmlns:xlrd2="http://schemas.microsoft.com/office/spreadsheetml/2017/richdata2" ref="A2:CZ2957">
    <sortCondition ref="F1:F2957"/>
  </sortState>
  <tableColumns count="104">
    <tableColumn id="1" xr3:uid="{E732BE26-4D5E-4898-8B44-24925A423C53}" uniqueName="1" name="CP-R80_HI782-0_0.0_LOT0972_PWW.12.2_QC.xlsx" queryTableFieldId="188" dataDxfId="24"/>
    <tableColumn id="2" xr3:uid="{06D11E53-CBAB-45AF-BEB2-6AEFAE08943C}" uniqueName="2" name="Standard" queryTableFieldId="2" dataDxfId="23"/>
    <tableColumn id="3" xr3:uid="{2913F29C-60EE-481B-8806-333155A35DEF}" uniqueName="3" name="STD Value" queryTableFieldId="3" dataDxfId="22"/>
    <tableColumn id="4" xr3:uid="{814D3BE3-B075-4DF0-A604-AF6690A320F7}" uniqueName="4" name="#" queryTableFieldId="4" dataDxfId="21"/>
    <tableColumn id="5" xr3:uid="{8639F35C-A6C1-498B-A96E-09CFC861DBDC}" uniqueName="5" name="TEST" queryTableFieldId="5" dataDxfId="20"/>
    <tableColumn id="6" xr3:uid="{092038D1-FBF4-4F4A-9094-D34CFF789AFA}" uniqueName="6" name="QC DATE" queryTableFieldId="6" dataDxfId="19"/>
    <tableColumn id="7" xr3:uid="{42283F21-1731-4BAA-BB8C-B00F91E73226}" uniqueName="7" name="QC TIME" queryTableFieldId="7" dataDxfId="18"/>
    <tableColumn id="8" xr3:uid="{A97D95DE-8AFB-4ACF-93DA-806790CF7F4A}" uniqueName="8" name="PROD. DATE" queryTableFieldId="8" dataDxfId="17"/>
    <tableColumn id="9" xr3:uid="{0913DCFC-1C52-4B24-80A8-B6E289EAE479}" uniqueName="9" name="PROD. TIME" queryTableFieldId="9" dataDxfId="16"/>
    <tableColumn id="10" xr3:uid="{9C5E5DB5-E3F2-4454-8D44-78BDC9304F5E}" uniqueName="10" name="PROD. OPERATOR" queryTableFieldId="10" dataDxfId="15"/>
    <tableColumn id="11" xr3:uid="{DB1B1683-4559-4AF4-AB18-A0FF3488CD84}" uniqueName="11" name="HEAD" queryTableFieldId="11" dataDxfId="14"/>
    <tableColumn id="12" xr3:uid="{E6513BFC-7A80-4885-AF47-11E97CFC8E9C}" uniqueName="12" name="M. 1  HI97115" queryTableFieldId="189"/>
    <tableColumn id="13" xr3:uid="{DF609A4A-A118-4182-8C11-FF071B63CD17}" uniqueName="13" name="M. 2  HI97115" queryTableFieldId="190"/>
    <tableColumn id="14" xr3:uid="{216DBC45-13AE-4820-BC26-3A72FEB81F55}" uniqueName="14" name="M. 3  Label17" queryTableFieldId="126" dataDxfId="13"/>
    <tableColumn id="15" xr3:uid="{598A277B-033E-475C-8842-CF7F61FF0B67}" uniqueName="15" name="M. 4  Label17" queryTableFieldId="127" dataDxfId="12"/>
    <tableColumn id="16" xr3:uid="{B512EB37-27F9-46B9-A950-FCE5ABA79DD7}" uniqueName="16" name="SPECTR. [ABS]" queryTableFieldId="16" dataDxfId="11"/>
    <tableColumn id="17" xr3:uid="{91493313-446E-4C42-A465-0F5165D78E16}" uniqueName="17" name="pH 1" queryTableFieldId="17" dataDxfId="10"/>
    <tableColumn id="18" xr3:uid="{E6198405-9628-40B1-9DF2-A08F606EAC1E}" uniqueName="18" name="pH 2" queryTableFieldId="18" dataDxfId="9"/>
    <tableColumn id="19" xr3:uid="{C823BED6-5CED-43F3-92CC-AE81737E1305}" uniqueName="19" name="pH 3" queryTableFieldId="19" dataDxfId="8"/>
    <tableColumn id="20" xr3:uid="{3594F0D2-D0B2-45B6-80D6-49067E608432}" uniqueName="20" name="TURB." queryTableFieldId="20" dataDxfId="7"/>
    <tableColumn id="21" xr3:uid="{1AB7B54D-2F0D-429C-9A7C-4BBDCE720AF8}" uniqueName="21" name="WEIGHT [mg]" queryTableFieldId="21" dataDxfId="6"/>
    <tableColumn id="22" xr3:uid="{9B664FD3-73E2-4574-9BC5-CABE8F5FA73B}" uniqueName="22" name="REAGENT SET" queryTableFieldId="22" dataDxfId="5"/>
    <tableColumn id="23" xr3:uid="{E62B08F0-7180-4CD4-9EE5-00574B0476D0}" uniqueName="23" name="QC OPERATOR" queryTableFieldId="23" dataDxfId="4"/>
    <tableColumn id="24" xr3:uid="{79C34350-181F-4D1D-82ED-1177A69E3B77}" uniqueName="24" name="CORRECTION" queryTableFieldId="179"/>
    <tableColumn id="25" xr3:uid="{A439E3BA-A273-474E-9CD5-BBA506CAB34D}" uniqueName="25" name="phNumber" queryTableFieldId="25" dataDxfId="3"/>
    <tableColumn id="26" xr3:uid="{33E54783-AF98-4BBF-8BAF-5BA558865748}" uniqueName="26" name="STD" queryTableFieldId="180"/>
    <tableColumn id="27" xr3:uid="{89805629-6B82-4F84-9E34-281EF6FA13D3}" uniqueName="27" name="STD_ID" queryTableFieldId="27" dataDxfId="2"/>
    <tableColumn id="28" xr3:uid="{5BA1A3C4-A477-4912-8C77-235CBE0106B1}" uniqueName="28" name="NOTE" queryTableFieldId="28" dataDxfId="1"/>
    <tableColumn id="30" xr3:uid="{46ED7BBC-A31E-4E29-B563-C71B2573D04D}" uniqueName="30" name="Column30" queryTableFieldId="30"/>
    <tableColumn id="31" xr3:uid="{B43A4CC7-2AEE-411F-B7B5-678F4396E9E3}" uniqueName="31" name="Column31" queryTableFieldId="31"/>
    <tableColumn id="32" xr3:uid="{CE225D1A-747B-48F7-80E6-50B6E5AAB677}" uniqueName="32" name="Column32" queryTableFieldId="32"/>
    <tableColumn id="33" xr3:uid="{06704DB8-21DD-49D7-9519-F643129E0ED9}" uniqueName="33" name="Column33" queryTableFieldId="33"/>
    <tableColumn id="34" xr3:uid="{C96CA1DD-71AA-4470-B5C3-12FB2E690252}" uniqueName="34" name="Column34" queryTableFieldId="34"/>
    <tableColumn id="35" xr3:uid="{36ECCC18-B522-47C3-AB4B-C75E07E5B815}" uniqueName="35" name="Column35" queryTableFieldId="35"/>
    <tableColumn id="36" xr3:uid="{153AC749-D164-4402-BC06-9C323A0686A7}" uniqueName="36" name="Column36" queryTableFieldId="36"/>
    <tableColumn id="37" xr3:uid="{3BBB086D-D21F-456B-8C37-8C87392175B0}" uniqueName="37" name="Column37" queryTableFieldId="37"/>
    <tableColumn id="38" xr3:uid="{D2C52F1D-0F37-48BB-A10E-9D4E6BCF7856}" uniqueName="38" name="Column38" queryTableFieldId="38"/>
    <tableColumn id="39" xr3:uid="{6471AD00-C50F-4912-96E2-BAE04CE9FDB8}" uniqueName="39" name="Column39" queryTableFieldId="39"/>
    <tableColumn id="40" xr3:uid="{161BF62A-365D-4161-BEBD-567AB4B8E204}" uniqueName="40" name="Column40" queryTableFieldId="40"/>
    <tableColumn id="41" xr3:uid="{E96CDF6B-0CA7-4726-BDC6-B82FB8087E84}" uniqueName="41" name="Column41" queryTableFieldId="41"/>
    <tableColumn id="42" xr3:uid="{3457200A-319B-4947-A9C5-60393CD50D12}" uniqueName="42" name="Column42" queryTableFieldId="42"/>
    <tableColumn id="43" xr3:uid="{B829F091-93A7-475D-A0C7-0F9779AF771B}" uniqueName="43" name="Column43" queryTableFieldId="43"/>
    <tableColumn id="44" xr3:uid="{2C4078F9-A48E-4FA4-85DD-8E1B95F3AB9E}" uniqueName="44" name="Column44" queryTableFieldId="44"/>
    <tableColumn id="45" xr3:uid="{17B166A8-F0B0-422B-B284-B71EC037C746}" uniqueName="45" name="Column45" queryTableFieldId="45"/>
    <tableColumn id="46" xr3:uid="{94C118BB-C0AD-47B3-8A1B-794399D0F2C8}" uniqueName="46" name="Column46" queryTableFieldId="46"/>
    <tableColumn id="47" xr3:uid="{668926D5-33CF-4FFC-AEC0-F3B50D7B594D}" uniqueName="47" name="Column47" queryTableFieldId="47"/>
    <tableColumn id="48" xr3:uid="{2B7285E1-A698-4035-A00D-ADAF657CEA71}" uniqueName="48" name="Column48" queryTableFieldId="48"/>
    <tableColumn id="49" xr3:uid="{88C9F996-17B9-47BC-894A-7680D7F92141}" uniqueName="49" name="Column49" queryTableFieldId="49"/>
    <tableColumn id="50" xr3:uid="{09523E6E-AD47-4EA4-AC72-7B0BC78585D3}" uniqueName="50" name="Column50" queryTableFieldId="50"/>
    <tableColumn id="51" xr3:uid="{C74B4F76-A5B2-4466-95E3-C13B2E75FAC8}" uniqueName="51" name="Column51" queryTableFieldId="51"/>
    <tableColumn id="52" xr3:uid="{0118CE6A-7942-48F1-B99E-56C38A58A170}" uniqueName="52" name="Column52" queryTableFieldId="52"/>
    <tableColumn id="53" xr3:uid="{3CB2C59C-2AD0-45F5-A41F-44AB5323B146}" uniqueName="53" name="Column53" queryTableFieldId="53"/>
    <tableColumn id="54" xr3:uid="{F6456920-5CC5-446E-948B-E546952C2C89}" uniqueName="54" name="Column54" queryTableFieldId="54"/>
    <tableColumn id="55" xr3:uid="{FCB04455-945B-44C7-8C40-D91A78911A38}" uniqueName="55" name="Column55" queryTableFieldId="55"/>
    <tableColumn id="56" xr3:uid="{2D8508FA-2A67-4CB2-B5D0-18874C0D7173}" uniqueName="56" name="Column56" queryTableFieldId="56"/>
    <tableColumn id="57" xr3:uid="{95E9D908-C9D4-4E2E-B668-804B54B6017A}" uniqueName="57" name="Column57" queryTableFieldId="57"/>
    <tableColumn id="58" xr3:uid="{241F8ADA-1094-4380-B158-0885EE72940B}" uniqueName="58" name="Column58" queryTableFieldId="58"/>
    <tableColumn id="59" xr3:uid="{4090C223-5212-4058-BEAF-0ECD9C6FEC7F}" uniqueName="59" name="Column59" queryTableFieldId="59"/>
    <tableColumn id="60" xr3:uid="{62C896DB-84B9-4A27-B6E7-540BBC96FBEC}" uniqueName="60" name="Column60" queryTableFieldId="60"/>
    <tableColumn id="61" xr3:uid="{222BA37A-C4DD-4AE4-A33B-E9E289305480}" uniqueName="61" name="Column61" queryTableFieldId="61"/>
    <tableColumn id="62" xr3:uid="{C098D4E0-2DAF-428C-8165-3F250C5319BC}" uniqueName="62" name="Column62" queryTableFieldId="62"/>
    <tableColumn id="63" xr3:uid="{07891D90-DD63-4D9A-945E-0F9E4389D5F8}" uniqueName="63" name="Column63" queryTableFieldId="63"/>
    <tableColumn id="64" xr3:uid="{1B9F1D75-D1D8-4CED-8796-710EAA4105AE}" uniqueName="64" name="Column64" queryTableFieldId="64"/>
    <tableColumn id="65" xr3:uid="{BC55AC62-46E2-4909-AC70-A6F686A1B3CE}" uniqueName="65" name="Column65" queryTableFieldId="65"/>
    <tableColumn id="66" xr3:uid="{2E6EBD7D-4B26-4DFC-8876-C39A8FAA78DE}" uniqueName="66" name="Column66" queryTableFieldId="66"/>
    <tableColumn id="67" xr3:uid="{A74AE87C-5458-4001-A3E7-12FDFD0A576D}" uniqueName="67" name="Column67" queryTableFieldId="67"/>
    <tableColumn id="68" xr3:uid="{BCE79645-E942-4B3B-A730-108DC3A25701}" uniqueName="68" name="Column68" queryTableFieldId="68"/>
    <tableColumn id="69" xr3:uid="{5E19D833-0CC1-432D-BED3-7130393471CC}" uniqueName="69" name="Column69" queryTableFieldId="69"/>
    <tableColumn id="70" xr3:uid="{5D75CC55-13EF-438D-B67F-467597771E77}" uniqueName="70" name="Column70" queryTableFieldId="70"/>
    <tableColumn id="71" xr3:uid="{9DF2A821-DDBD-4BD7-8541-B3F9EF9A3344}" uniqueName="71" name="Column71" queryTableFieldId="71"/>
    <tableColumn id="72" xr3:uid="{2E666DEF-BEB0-4D70-9D9E-1609BB7F0212}" uniqueName="72" name="Column72" queryTableFieldId="72"/>
    <tableColumn id="73" xr3:uid="{0F48EDB1-9A9E-4F26-A6C4-78CE67047B50}" uniqueName="73" name="Column73" queryTableFieldId="73"/>
    <tableColumn id="74" xr3:uid="{EECDDF53-B76D-4A5C-9289-9A67E09292BB}" uniqueName="74" name="Column74" queryTableFieldId="74"/>
    <tableColumn id="75" xr3:uid="{52858C8D-AA7C-4AA5-82A8-6F8F94E3CD56}" uniqueName="75" name="Column75" queryTableFieldId="75"/>
    <tableColumn id="76" xr3:uid="{AA504232-7600-47C8-83D9-670DBD8CA02C}" uniqueName="76" name="Column76" queryTableFieldId="76"/>
    <tableColumn id="77" xr3:uid="{A0476F09-710B-430A-B9EA-7CB67D9CA3A8}" uniqueName="77" name="Column77" queryTableFieldId="77"/>
    <tableColumn id="78" xr3:uid="{1442C1B2-7E22-4389-8A66-FAF13FB2F19F}" uniqueName="78" name="Column78" queryTableFieldId="78"/>
    <tableColumn id="79" xr3:uid="{0A90B79D-84CC-44AA-AE25-8FA0C161ED4D}" uniqueName="79" name="Column79" queryTableFieldId="79"/>
    <tableColumn id="80" xr3:uid="{E038AD2D-2DBC-4415-85F0-432A285C1D8B}" uniqueName="80" name="Column80" queryTableFieldId="80"/>
    <tableColumn id="81" xr3:uid="{0661DB9A-7C58-4794-96B0-F439D9F0B88B}" uniqueName="81" name="Column81" queryTableFieldId="81"/>
    <tableColumn id="82" xr3:uid="{02DC3A16-4D45-4D9F-970E-815EC50473FE}" uniqueName="82" name="Column82" queryTableFieldId="82"/>
    <tableColumn id="83" xr3:uid="{CAF49C1E-682E-4D1D-99D0-C4E7BC12BCEC}" uniqueName="83" name="Column83" queryTableFieldId="83"/>
    <tableColumn id="84" xr3:uid="{5F25A664-4E00-4224-9BBF-51E83D941ADF}" uniqueName="84" name="Column84" queryTableFieldId="84"/>
    <tableColumn id="85" xr3:uid="{BF9D9B61-8F28-4018-8596-5D9AF1531389}" uniqueName="85" name="Column85" queryTableFieldId="85"/>
    <tableColumn id="86" xr3:uid="{EF40D0A6-094E-4B41-9C15-4145A74837BC}" uniqueName="86" name="Column86" queryTableFieldId="86"/>
    <tableColumn id="87" xr3:uid="{F88CFA43-3459-4608-A633-1F7B45A4B090}" uniqueName="87" name="Column87" queryTableFieldId="87"/>
    <tableColumn id="88" xr3:uid="{81FED708-C5A3-4190-9472-113E50B80D8F}" uniqueName="88" name="Column88" queryTableFieldId="88"/>
    <tableColumn id="89" xr3:uid="{55B9145F-A2F9-4A82-BDEA-F867E9DF7A08}" uniqueName="89" name="Column89" queryTableFieldId="89"/>
    <tableColumn id="90" xr3:uid="{F39B6115-A556-4BC8-AC5B-CE31F6902BB3}" uniqueName="90" name="Column90" queryTableFieldId="90"/>
    <tableColumn id="91" xr3:uid="{3D8EDCCA-4E44-4535-8557-215D28E6F10D}" uniqueName="91" name="Column91" queryTableFieldId="91"/>
    <tableColumn id="92" xr3:uid="{F7642B9B-9E87-4C28-B240-FF16C3993937}" uniqueName="92" name="Column92" queryTableFieldId="92"/>
    <tableColumn id="93" xr3:uid="{5DB51375-2CC5-4D4A-8D11-8268CC2AF70B}" uniqueName="93" name="Column93" queryTableFieldId="93"/>
    <tableColumn id="94" xr3:uid="{F041A510-D1FE-4A94-865F-77F04A732931}" uniqueName="94" name="Column94" queryTableFieldId="94"/>
    <tableColumn id="95" xr3:uid="{5DD3304C-B89B-4021-935D-8F09906A4DDA}" uniqueName="95" name="Column95" queryTableFieldId="95"/>
    <tableColumn id="96" xr3:uid="{3AB95C82-8053-474E-8BAD-D68D83987640}" uniqueName="96" name="Column96" queryTableFieldId="96"/>
    <tableColumn id="97" xr3:uid="{82A3BAE0-C362-48A0-9599-6F902E6D0EA5}" uniqueName="97" name="Column97" queryTableFieldId="97"/>
    <tableColumn id="98" xr3:uid="{E5C01FAB-35C6-48D1-BF83-F95EAB88D078}" uniqueName="98" name="Column98" queryTableFieldId="98"/>
    <tableColumn id="99" xr3:uid="{5D30929F-A3C3-4F3D-82A9-BEC7EF12AD27}" uniqueName="99" name="Column99" queryTableFieldId="99"/>
    <tableColumn id="100" xr3:uid="{AB02CF53-3E62-4D1D-99D4-F06F2DC0DF83}" uniqueName="100" name="Column100" queryTableFieldId="100"/>
    <tableColumn id="101" xr3:uid="{74B620E3-DE29-4485-9884-E90E9841CCAC}" uniqueName="101" name="Column101" queryTableFieldId="101"/>
    <tableColumn id="102" xr3:uid="{6BD933BE-BBC2-495C-A2AD-174B3B8B045F}" uniqueName="102" name="Column102" queryTableFieldId="102"/>
    <tableColumn id="103" xr3:uid="{8367C29D-0033-42AC-B94B-08E8AB28C83B}" uniqueName="103" name="Column103" queryTableFieldId="103"/>
    <tableColumn id="104" xr3:uid="{DABA05AD-701A-4D0B-A0BE-CB8BA0FD3CCD}" uniqueName="104" name="Column104" queryTableFieldId="104"/>
    <tableColumn id="105" xr3:uid="{4535464D-FDA3-44A6-8FAB-EF177361F81D}" uniqueName="105" name="Column105" queryTableFieldId="15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C5354B-1386-44F1-A2A0-5552A6460916}" name="Hanna_Code" displayName="Hanna_Code" ref="A1:CZ1001" tableType="queryTable" totalsRowShown="0">
  <autoFilter ref="A1:CZ1001" xr:uid="{A2C5354B-1386-44F1-A2A0-5552A6460916}"/>
  <tableColumns count="104">
    <tableColumn id="1" xr3:uid="{C7ACC349-B865-4937-984D-6BDFD90E6B4F}" uniqueName="1" name="Column1" queryTableFieldId="1"/>
    <tableColumn id="2" xr3:uid="{5139FB86-FC24-43F6-9431-C03A7600249B}" uniqueName="2" name="Column2" queryTableFieldId="2"/>
    <tableColumn id="3" xr3:uid="{104DBA67-8F0C-4477-A8B9-E030E673E1C1}" uniqueName="3" name="Column3" queryTableFieldId="3"/>
    <tableColumn id="4" xr3:uid="{1BA65770-E89F-425A-8556-72D07DE2BF54}" uniqueName="4" name="Column4" queryTableFieldId="4"/>
    <tableColumn id="5" xr3:uid="{2012B42F-63F8-4743-874E-F0C9E6E16BE5}" uniqueName="5" name="Column5" queryTableFieldId="5"/>
    <tableColumn id="6" xr3:uid="{3E6899A7-9553-4A69-8B1A-C30F4C0A9E49}" uniqueName="6" name="Column6" queryTableFieldId="6"/>
    <tableColumn id="7" xr3:uid="{F7B4EB32-DDE6-4217-8BC3-38F3CBCEC785}" uniqueName="7" name="Column7" queryTableFieldId="7"/>
    <tableColumn id="8" xr3:uid="{661E563B-E935-4254-A21C-1E91EA7CBAC6}" uniqueName="8" name="Column8" queryTableFieldId="8"/>
    <tableColumn id="9" xr3:uid="{CE14C2F4-22EE-4483-89C9-0F8542327A7C}" uniqueName="9" name="Column9" queryTableFieldId="9"/>
    <tableColumn id="10" xr3:uid="{C967B923-B040-45CD-8C56-56123975B040}" uniqueName="10" name="Column10" queryTableFieldId="10"/>
    <tableColumn id="11" xr3:uid="{FA4EC43A-BE87-42CC-98AE-A08ABD18E817}" uniqueName="11" name="Column11" queryTableFieldId="11"/>
    <tableColumn id="12" xr3:uid="{C6EF2435-F4A4-45D7-A072-EDC07DA2B374}" uniqueName="12" name="Column12" queryTableFieldId="12"/>
    <tableColumn id="13" xr3:uid="{D3E26F12-8385-42EB-BEB5-4499959A7DDB}" uniqueName="13" name="Column13" queryTableFieldId="13"/>
    <tableColumn id="14" xr3:uid="{3C701E0F-D0A0-4E59-AAB9-4DB13CFEC8B2}" uniqueName="14" name="Column14" queryTableFieldId="14"/>
    <tableColumn id="15" xr3:uid="{1B81227F-981F-4385-92AB-7647E5363000}" uniqueName="15" name="Column15" queryTableFieldId="15"/>
    <tableColumn id="16" xr3:uid="{464876EB-A6E0-46DB-8A77-B5F62879B93D}" uniqueName="16" name="Column16" queryTableFieldId="16"/>
    <tableColumn id="17" xr3:uid="{F2C24091-F166-45C1-BB51-6A153096C765}" uniqueName="17" name="Column17" queryTableFieldId="17"/>
    <tableColumn id="18" xr3:uid="{0D7F4C0B-CE4E-4E94-8F69-2AE45AAD4938}" uniqueName="18" name="Column18" queryTableFieldId="18"/>
    <tableColumn id="19" xr3:uid="{07FDB27C-ED29-473B-8EE7-3C61898BB4FE}" uniqueName="19" name="Column19" queryTableFieldId="19"/>
    <tableColumn id="20" xr3:uid="{4D9562BD-00B6-4623-9C19-58198D3F74EF}" uniqueName="20" name="Column20" queryTableFieldId="20"/>
    <tableColumn id="21" xr3:uid="{3876E7E7-F7F5-4ACC-8564-302819F25662}" uniqueName="21" name="Column21" queryTableFieldId="21"/>
    <tableColumn id="22" xr3:uid="{A24F4104-AE17-4921-9D36-13394C2A24B3}" uniqueName="22" name="Column22" queryTableFieldId="22"/>
    <tableColumn id="23" xr3:uid="{554833A8-BC1A-4562-B83E-95E2FD39B222}" uniqueName="23" name="Column23" queryTableFieldId="23"/>
    <tableColumn id="24" xr3:uid="{9C363145-C71D-49EA-8F11-46062075A08C}" uniqueName="24" name="Column24" queryTableFieldId="24"/>
    <tableColumn id="25" xr3:uid="{E7592930-2A81-4B57-93C3-3F30EE472052}" uniqueName="25" name="Column25" queryTableFieldId="25"/>
    <tableColumn id="26" xr3:uid="{07494790-082C-4CFE-A1AB-24B024697094}" uniqueName="26" name="Column26" queryTableFieldId="26"/>
    <tableColumn id="27" xr3:uid="{6D631C46-5128-4B40-A248-1A65EF93140D}" uniqueName="27" name="Column27" queryTableFieldId="27"/>
    <tableColumn id="28" xr3:uid="{3A89DB1C-C62B-4903-8CA7-B1388B439487}" uniqueName="28" name="Column28" queryTableFieldId="28"/>
    <tableColumn id="29" xr3:uid="{A5D6147B-50CB-42FA-968F-34646BADBFC4}" uniqueName="29" name="Column29" queryTableFieldId="29"/>
    <tableColumn id="30" xr3:uid="{DCC98F74-F0BC-4C1C-B093-C0331A6BAF56}" uniqueName="30" name="Column30" queryTableFieldId="30"/>
    <tableColumn id="31" xr3:uid="{25D438E1-6334-46C5-B3CC-A74441CF2EE7}" uniqueName="31" name="Column31" queryTableFieldId="31"/>
    <tableColumn id="32" xr3:uid="{F09B6FAD-55FE-491D-B34A-C5ED5666C42F}" uniqueName="32" name="Column32" queryTableFieldId="32"/>
    <tableColumn id="33" xr3:uid="{62666732-867E-43C1-BC5D-DA624F01D134}" uniqueName="33" name="Column33" queryTableFieldId="33"/>
    <tableColumn id="34" xr3:uid="{C5AB721F-DE0A-43DF-B28C-68ECA89B54CA}" uniqueName="34" name="Column34" queryTableFieldId="34"/>
    <tableColumn id="35" xr3:uid="{45F2ED9E-5FA8-444F-B39B-BD22BBFDE1F2}" uniqueName="35" name="Column35" queryTableFieldId="35"/>
    <tableColumn id="36" xr3:uid="{D8383116-2B63-483B-B01F-4F191DD53FF9}" uniqueName="36" name="Column36" queryTableFieldId="36"/>
    <tableColumn id="37" xr3:uid="{42D86B3D-CB55-49C5-B625-4880598FE2AC}" uniqueName="37" name="Column37" queryTableFieldId="37"/>
    <tableColumn id="38" xr3:uid="{0FF6CAA7-BAA4-4559-A93E-90579F393E7F}" uniqueName="38" name="Column38" queryTableFieldId="38"/>
    <tableColumn id="39" xr3:uid="{F9A4C2EF-A8C4-4915-9F74-89A56EC8F5C8}" uniqueName="39" name="Column39" queryTableFieldId="39"/>
    <tableColumn id="40" xr3:uid="{88E71D3A-DB0B-461A-9BF6-7AB50D330126}" uniqueName="40" name="Column40" queryTableFieldId="40"/>
    <tableColumn id="41" xr3:uid="{497CBF68-9C70-425B-A562-ECE3DE40597B}" uniqueName="41" name="Column41" queryTableFieldId="41"/>
    <tableColumn id="42" xr3:uid="{0483452A-1526-4EA3-8CA0-AFC318743D31}" uniqueName="42" name="Column42" queryTableFieldId="42"/>
    <tableColumn id="43" xr3:uid="{F3BC8AEE-4876-45E8-ADB3-51B8975AE920}" uniqueName="43" name="Column43" queryTableFieldId="43"/>
    <tableColumn id="44" xr3:uid="{EBC0C871-34C1-4081-8FD0-B0A8ECF83BCA}" uniqueName="44" name="Column44" queryTableFieldId="44"/>
    <tableColumn id="45" xr3:uid="{03B9BC7D-5F45-402A-9FB2-A4D480FED293}" uniqueName="45" name="Column45" queryTableFieldId="45"/>
    <tableColumn id="46" xr3:uid="{3E92A817-E923-4AD9-BEFF-1621B788D7D7}" uniqueName="46" name="Column46" queryTableFieldId="46"/>
    <tableColumn id="47" xr3:uid="{98CC8497-7189-4CB3-BEB5-5C6A7F2BC690}" uniqueName="47" name="Column47" queryTableFieldId="47"/>
    <tableColumn id="48" xr3:uid="{A765E1CE-DEAD-4166-8C50-411614DF5AEF}" uniqueName="48" name="Column48" queryTableFieldId="48"/>
    <tableColumn id="49" xr3:uid="{E44BC003-A0DC-42DA-B4DF-C03A9F722DD2}" uniqueName="49" name="Column49" queryTableFieldId="49"/>
    <tableColumn id="50" xr3:uid="{D54E0F3C-DED7-4717-97F3-A3602F200309}" uniqueName="50" name="Column50" queryTableFieldId="50"/>
    <tableColumn id="51" xr3:uid="{08463CD9-C249-4114-8350-DBFEC0C3E27F}" uniqueName="51" name="Column51" queryTableFieldId="51"/>
    <tableColumn id="52" xr3:uid="{97E39C80-FE12-40C4-8219-1CD27D70EC3C}" uniqueName="52" name="Column52" queryTableFieldId="52"/>
    <tableColumn id="53" xr3:uid="{DA3095FC-50A3-4465-AA04-B635A46B636F}" uniqueName="53" name="Column53" queryTableFieldId="53"/>
    <tableColumn id="54" xr3:uid="{ECF05E9A-312E-49AE-89E7-65240213CCC2}" uniqueName="54" name="Column54" queryTableFieldId="54"/>
    <tableColumn id="55" xr3:uid="{D7378638-1D8C-4D67-B5DE-4C6A28671791}" uniqueName="55" name="Column55" queryTableFieldId="55"/>
    <tableColumn id="56" xr3:uid="{37E8724F-47F7-470B-A50F-39CA403BE90D}" uniqueName="56" name="Column56" queryTableFieldId="56"/>
    <tableColumn id="57" xr3:uid="{640327F5-4AF3-4D60-87DF-8147F22C7108}" uniqueName="57" name="Column57" queryTableFieldId="57"/>
    <tableColumn id="58" xr3:uid="{BFB8D5F6-32B2-439E-A14B-0E7C26C1DA58}" uniqueName="58" name="Column58" queryTableFieldId="58"/>
    <tableColumn id="59" xr3:uid="{DCEDC784-9A06-41C8-8E86-0FBCB6E5BA88}" uniqueName="59" name="Column59" queryTableFieldId="59"/>
    <tableColumn id="60" xr3:uid="{C396AFD5-4D4F-456E-909A-6C6B1DA9E0F7}" uniqueName="60" name="Column60" queryTableFieldId="60"/>
    <tableColumn id="61" xr3:uid="{9A1000B3-DE80-4E72-BFCD-A1EC0BF56DFC}" uniqueName="61" name="Column61" queryTableFieldId="61"/>
    <tableColumn id="62" xr3:uid="{35D4AD23-4DD8-4FA1-BD03-8A2F9E78CFD6}" uniqueName="62" name="Column62" queryTableFieldId="62"/>
    <tableColumn id="63" xr3:uid="{4D739AEA-7FCF-4343-AF25-3A54332E0EFA}" uniqueName="63" name="Column63" queryTableFieldId="63"/>
    <tableColumn id="64" xr3:uid="{7CB9FD98-F37E-4811-98B5-02EBA49809BC}" uniqueName="64" name="Column64" queryTableFieldId="64"/>
    <tableColumn id="65" xr3:uid="{87A77811-3FE7-4544-95FD-4384720CE868}" uniqueName="65" name="Column65" queryTableFieldId="65"/>
    <tableColumn id="66" xr3:uid="{C70A1F6C-67D4-4FA5-83D8-3E9212296209}" uniqueName="66" name="Column66" queryTableFieldId="66"/>
    <tableColumn id="67" xr3:uid="{2A1C2593-6A19-4C83-88F7-552E0ECC09C1}" uniqueName="67" name="Column67" queryTableFieldId="67"/>
    <tableColumn id="68" xr3:uid="{FA86E66E-6D5F-48DC-91CE-B37186ED53E3}" uniqueName="68" name="Column68" queryTableFieldId="68"/>
    <tableColumn id="69" xr3:uid="{9E70C8CD-6539-4C60-9BBC-0149753B2F9A}" uniqueName="69" name="Column69" queryTableFieldId="69"/>
    <tableColumn id="70" xr3:uid="{30CA79B5-2ADB-4FA4-AF4C-E560E0660D65}" uniqueName="70" name="Column70" queryTableFieldId="70"/>
    <tableColumn id="71" xr3:uid="{9C0691AD-6D61-46CB-AA23-EFBDB3B7CCEF}" uniqueName="71" name="Column71" queryTableFieldId="71"/>
    <tableColumn id="72" xr3:uid="{D322EC47-09A6-4E9B-A1BC-A6BB57405042}" uniqueName="72" name="Column72" queryTableFieldId="72"/>
    <tableColumn id="73" xr3:uid="{99003531-6901-4891-BA8A-44BE8BFFD52C}" uniqueName="73" name="Column73" queryTableFieldId="73"/>
    <tableColumn id="74" xr3:uid="{8E5222C0-25E0-446C-AE24-52B19A3EF93A}" uniqueName="74" name="Column74" queryTableFieldId="74"/>
    <tableColumn id="75" xr3:uid="{52587FB5-E193-4387-83DC-5FF034356F63}" uniqueName="75" name="Column75" queryTableFieldId="75"/>
    <tableColumn id="76" xr3:uid="{C9194A87-D715-4AF1-90D1-07FD1DC60D61}" uniqueName="76" name="Column76" queryTableFieldId="76"/>
    <tableColumn id="77" xr3:uid="{9E476D81-522B-4F03-9E43-AC5B935ACADC}" uniqueName="77" name="Column77" queryTableFieldId="77"/>
    <tableColumn id="78" xr3:uid="{E1B24CDF-01E6-42F9-93B4-668CB0D86182}" uniqueName="78" name="Column78" queryTableFieldId="78"/>
    <tableColumn id="79" xr3:uid="{D76124BE-558C-4284-8643-BA849BAB2E76}" uniqueName="79" name="Column79" queryTableFieldId="79"/>
    <tableColumn id="80" xr3:uid="{E696AA83-952B-4BE3-A93C-9F1D7E20CBF2}" uniqueName="80" name="Column80" queryTableFieldId="80"/>
    <tableColumn id="81" xr3:uid="{3AAC3086-6F19-494B-B0CC-D6625256B511}" uniqueName="81" name="Column81" queryTableFieldId="81"/>
    <tableColumn id="82" xr3:uid="{A0696AF5-D76D-439E-98F8-0F22C7F54643}" uniqueName="82" name="Column82" queryTableFieldId="82"/>
    <tableColumn id="83" xr3:uid="{A1D735E3-5086-4768-8BE3-384C8BB47711}" uniqueName="83" name="Column83" queryTableFieldId="83"/>
    <tableColumn id="84" xr3:uid="{0D1EC794-B120-42A8-86D2-A88646BA68D7}" uniqueName="84" name="Column84" queryTableFieldId="84"/>
    <tableColumn id="85" xr3:uid="{FC9E69F3-E159-4623-8D7B-0447F6E66331}" uniqueName="85" name="Column85" queryTableFieldId="85"/>
    <tableColumn id="86" xr3:uid="{3C50B63F-FAEF-44CE-B42B-318382AEB627}" uniqueName="86" name="Column86" queryTableFieldId="86"/>
    <tableColumn id="87" xr3:uid="{F5FBA70F-D84D-49B8-A1E7-22CE2631930D}" uniqueName="87" name="Column87" queryTableFieldId="87"/>
    <tableColumn id="88" xr3:uid="{6E9D2B71-A577-4A5E-91CF-147DD428460C}" uniqueName="88" name="Column88" queryTableFieldId="88"/>
    <tableColumn id="89" xr3:uid="{4BD1481C-7592-442F-B2BD-1B6C5FD2A42A}" uniqueName="89" name="Column89" queryTableFieldId="89"/>
    <tableColumn id="90" xr3:uid="{0CFEBE8D-4348-49C1-9386-E348D3F7C5D1}" uniqueName="90" name="Column90" queryTableFieldId="90"/>
    <tableColumn id="91" xr3:uid="{F2FA0F4B-EBF6-45D2-9832-B3FA4A605029}" uniqueName="91" name="Column91" queryTableFieldId="91"/>
    <tableColumn id="92" xr3:uid="{6026619C-0649-42DA-AC36-1C8AF10BD41C}" uniqueName="92" name="Column92" queryTableFieldId="92"/>
    <tableColumn id="93" xr3:uid="{1738DE9B-A3B1-4B03-ACDE-0A784B2B1181}" uniqueName="93" name="Column93" queryTableFieldId="93"/>
    <tableColumn id="94" xr3:uid="{26D63C8A-E23E-45DD-B0E6-5B6460985ACB}" uniqueName="94" name="Column94" queryTableFieldId="94"/>
    <tableColumn id="95" xr3:uid="{2FC8C482-524F-461B-B7BC-7AB9F50ECE39}" uniqueName="95" name="Column95" queryTableFieldId="95"/>
    <tableColumn id="96" xr3:uid="{C5CB51BC-A79E-44E3-A7B9-63AB480412BD}" uniqueName="96" name="Column96" queryTableFieldId="96"/>
    <tableColumn id="97" xr3:uid="{FA40C624-5F0C-4A9F-B3D2-384A93B3A1D5}" uniqueName="97" name="Column97" queryTableFieldId="97"/>
    <tableColumn id="98" xr3:uid="{020166DE-B63F-453F-B4C3-65674E3B8562}" uniqueName="98" name="Column98" queryTableFieldId="98"/>
    <tableColumn id="99" xr3:uid="{DED67004-E3F0-42A5-8504-E488FF1739D1}" uniqueName="99" name="Column99" queryTableFieldId="99"/>
    <tableColumn id="100" xr3:uid="{49354DBB-CB85-4AAB-B33A-A8BB91C60166}" uniqueName="100" name="Column100" queryTableFieldId="100"/>
    <tableColumn id="101" xr3:uid="{3172628C-4DDE-461A-948E-03858D91DF80}" uniqueName="101" name="Column101" queryTableFieldId="101"/>
    <tableColumn id="102" xr3:uid="{248EEB8B-E65A-4D07-B30C-51941E2A6568}" uniqueName="102" name="Column102" queryTableFieldId="102"/>
    <tableColumn id="103" xr3:uid="{377026DD-E95C-414F-B907-4655DD640F35}" uniqueName="103" name="Column103" queryTableFieldId="103"/>
    <tableColumn id="104" xr3:uid="{685E9DFC-271C-4409-B6EE-BEFD030BF808}" uniqueName="104" name="Column104" queryTableFieldId="10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B9A0-A9FD-4D38-9C8B-4BC067E0DE60}">
  <dimension ref="A1:EC2460"/>
  <sheetViews>
    <sheetView tabSelected="1" topLeftCell="BI1" zoomScale="70" zoomScaleNormal="70" workbookViewId="0">
      <selection activeCell="J4" sqref="J4"/>
    </sheetView>
  </sheetViews>
  <sheetFormatPr defaultColWidth="11.5546875" defaultRowHeight="14.4" x14ac:dyDescent="0.3"/>
  <cols>
    <col min="1" max="1" width="31" bestFit="1" customWidth="1"/>
    <col min="2" max="2" width="12.109375" style="1" customWidth="1"/>
    <col min="3" max="3" width="11.6640625" style="1" bestFit="1" customWidth="1"/>
    <col min="4" max="4" width="11.5546875" style="1"/>
    <col min="5" max="5" width="11.6640625" style="1" bestFit="1" customWidth="1"/>
    <col min="6" max="6" width="11.5546875" style="1"/>
    <col min="7" max="7" width="11.6640625" style="14" bestFit="1" customWidth="1"/>
    <col min="8" max="8" width="12.6640625" style="1" customWidth="1"/>
    <col min="9" max="9" width="16.6640625" style="1" customWidth="1"/>
    <col min="10" max="10" width="20.5546875" style="1" bestFit="1" customWidth="1"/>
    <col min="11" max="11" width="10.5546875" style="1" bestFit="1" customWidth="1"/>
    <col min="12" max="12" width="7.77734375" style="1" hidden="1" customWidth="1"/>
    <col min="13" max="13" width="8.88671875" style="1" hidden="1" customWidth="1"/>
    <col min="14" max="14" width="12.109375" style="1" hidden="1" customWidth="1"/>
    <col min="15" max="15" width="8.88671875" style="1" hidden="1" customWidth="1"/>
    <col min="16" max="16" width="12.109375" style="1" customWidth="1"/>
    <col min="17" max="17" width="4.6640625" style="1" bestFit="1" customWidth="1"/>
    <col min="18" max="18" width="7.77734375" style="1" bestFit="1" customWidth="1"/>
    <col min="19" max="19" width="10.6640625" style="1" bestFit="1" customWidth="1"/>
    <col min="20" max="20" width="10.5546875" style="1" bestFit="1" customWidth="1"/>
    <col min="21" max="21" width="7.88671875" style="1" hidden="1" customWidth="1"/>
    <col min="22" max="22" width="8.88671875" style="1" hidden="1" customWidth="1"/>
    <col min="23" max="23" width="12.21875" style="1" hidden="1" customWidth="1"/>
    <col min="24" max="24" width="8.88671875" style="1" hidden="1" customWidth="1"/>
    <col min="25" max="25" width="12.21875" style="1" bestFit="1" customWidth="1"/>
    <col min="26" max="26" width="4.6640625" style="1" bestFit="1" customWidth="1"/>
    <col min="27" max="27" width="8.21875" style="1" bestFit="1" customWidth="1"/>
    <col min="28" max="28" width="10.6640625" style="1" bestFit="1" customWidth="1"/>
    <col min="29" max="29" width="10.5546875" style="1" bestFit="1" customWidth="1"/>
    <col min="30" max="30" width="7.88671875" style="1" hidden="1" customWidth="1"/>
    <col min="31" max="31" width="8.88671875" style="1" hidden="1" customWidth="1"/>
    <col min="32" max="32" width="12.21875" style="1" hidden="1" customWidth="1"/>
    <col min="33" max="33" width="8.77734375" style="1" hidden="1" customWidth="1"/>
    <col min="34" max="34" width="12.109375" style="1" bestFit="1" customWidth="1"/>
    <col min="35" max="35" width="4.5546875" style="1" bestFit="1" customWidth="1"/>
    <col min="36" max="36" width="7.77734375" style="1" customWidth="1"/>
    <col min="37" max="38" width="10.5546875" style="1" bestFit="1" customWidth="1"/>
    <col min="39" max="39" width="7.77734375" style="1" hidden="1" customWidth="1"/>
    <col min="40" max="40" width="8.77734375" style="1" hidden="1" customWidth="1"/>
    <col min="41" max="41" width="12.109375" style="1" hidden="1" customWidth="1"/>
    <col min="42" max="42" width="8.77734375" style="1" hidden="1" customWidth="1"/>
    <col min="43" max="43" width="12.109375" style="1" bestFit="1" customWidth="1"/>
    <col min="44" max="44" width="4.5546875" style="1" bestFit="1" customWidth="1"/>
    <col min="45" max="45" width="7.77734375" style="1" bestFit="1" customWidth="1"/>
    <col min="46" max="50" width="11.5546875" style="1"/>
    <col min="51" max="51" width="52" bestFit="1" customWidth="1"/>
    <col min="53" max="53" width="11.5546875" style="3"/>
    <col min="56" max="58" width="11.5546875" style="10"/>
    <col min="59" max="59" width="11.5546875" style="13"/>
    <col min="68" max="73" width="11.5546875" style="10"/>
    <col min="103" max="103" width="11.5546875" style="1"/>
    <col min="123" max="127" width="12.5546875" style="10" bestFit="1" customWidth="1"/>
    <col min="129" max="133" width="11.5546875" style="10"/>
  </cols>
  <sheetData>
    <row r="1" spans="1:133" x14ac:dyDescent="0.3">
      <c r="A1" s="1" t="s">
        <v>82</v>
      </c>
      <c r="B1" s="1" t="s">
        <v>2</v>
      </c>
      <c r="C1" s="1" t="s">
        <v>281</v>
      </c>
      <c r="D1" s="1" t="str">
        <f>IF(H3="&amp;","Sigma σ (&amp;)","Sigma σ (or)")</f>
        <v>Sigma σ (&amp;)</v>
      </c>
      <c r="E1" s="23" t="s">
        <v>82</v>
      </c>
      <c r="F1" s="23" t="s">
        <v>2</v>
      </c>
      <c r="G1" s="41" t="s">
        <v>1</v>
      </c>
      <c r="H1" s="42"/>
      <c r="I1" s="42"/>
      <c r="J1" s="1" t="s">
        <v>151</v>
      </c>
      <c r="L1" s="24"/>
      <c r="M1" s="24"/>
      <c r="N1" s="24"/>
      <c r="O1" s="24"/>
      <c r="U1" s="24"/>
      <c r="V1" s="24"/>
      <c r="W1" s="24"/>
      <c r="X1" s="24"/>
      <c r="AD1" s="24"/>
      <c r="AE1" s="24"/>
      <c r="AF1" s="24"/>
      <c r="AG1" s="24"/>
      <c r="AM1" s="24"/>
      <c r="AN1" s="24"/>
      <c r="AO1" s="24"/>
      <c r="AP1" s="24"/>
      <c r="AY1" s="1" t="s">
        <v>154</v>
      </c>
      <c r="AZ1" s="1" t="s">
        <v>153</v>
      </c>
      <c r="BA1" s="3" t="s">
        <v>0</v>
      </c>
      <c r="BB1" s="1" t="s">
        <v>82</v>
      </c>
      <c r="BC1" s="1" t="s">
        <v>2</v>
      </c>
      <c r="BD1" s="10" t="s">
        <v>355</v>
      </c>
      <c r="BE1" s="10" t="s">
        <v>356</v>
      </c>
      <c r="BF1" s="10" t="s">
        <v>358</v>
      </c>
      <c r="BG1" s="13" t="s">
        <v>342</v>
      </c>
      <c r="BH1" s="1" t="s">
        <v>3</v>
      </c>
      <c r="BI1" s="8" t="s">
        <v>156</v>
      </c>
      <c r="BJ1" s="8" t="s">
        <v>282</v>
      </c>
      <c r="BK1" s="8" t="s">
        <v>283</v>
      </c>
      <c r="BL1" s="8" t="s">
        <v>150</v>
      </c>
      <c r="BM1" s="8" t="s">
        <v>284</v>
      </c>
      <c r="BN1" s="8" t="s">
        <v>285</v>
      </c>
      <c r="BO1" s="8" t="s">
        <v>286</v>
      </c>
      <c r="BP1" s="15" t="s">
        <v>301</v>
      </c>
      <c r="BQ1" s="16" t="s">
        <v>302</v>
      </c>
      <c r="BR1" s="16" t="s">
        <v>303</v>
      </c>
      <c r="BS1" s="16" t="s">
        <v>304</v>
      </c>
      <c r="BT1" s="16" t="s">
        <v>305</v>
      </c>
      <c r="BU1" s="16" t="s">
        <v>306</v>
      </c>
      <c r="BV1" s="8" t="s">
        <v>163</v>
      </c>
      <c r="BW1" s="9" t="s">
        <v>157</v>
      </c>
      <c r="BX1" s="9" t="s">
        <v>158</v>
      </c>
      <c r="BY1" s="9" t="s">
        <v>159</v>
      </c>
      <c r="BZ1" s="9" t="s">
        <v>160</v>
      </c>
      <c r="CA1" s="9" t="s">
        <v>161</v>
      </c>
      <c r="CB1" s="9" t="s">
        <v>162</v>
      </c>
      <c r="CC1" s="9" t="s">
        <v>164</v>
      </c>
      <c r="CD1" s="9" t="s">
        <v>166</v>
      </c>
      <c r="CE1" s="9" t="s">
        <v>167</v>
      </c>
      <c r="CF1" s="9" t="s">
        <v>168</v>
      </c>
      <c r="CG1" s="9" t="s">
        <v>169</v>
      </c>
      <c r="CH1" s="9" t="s">
        <v>170</v>
      </c>
      <c r="CI1" s="9" t="s">
        <v>171</v>
      </c>
      <c r="CJ1" s="9" t="s">
        <v>165</v>
      </c>
      <c r="CK1" s="9" t="s">
        <v>172</v>
      </c>
      <c r="CL1" s="9" t="s">
        <v>173</v>
      </c>
      <c r="CM1" s="9" t="s">
        <v>174</v>
      </c>
      <c r="CN1" s="9" t="s">
        <v>175</v>
      </c>
      <c r="CO1" s="9" t="s">
        <v>176</v>
      </c>
      <c r="CP1" s="9" t="s">
        <v>177</v>
      </c>
      <c r="CQ1" s="9" t="s">
        <v>178</v>
      </c>
      <c r="CR1" s="9" t="s">
        <v>179</v>
      </c>
      <c r="CS1" s="9" t="s">
        <v>180</v>
      </c>
      <c r="CT1" s="9" t="s">
        <v>181</v>
      </c>
      <c r="CU1" s="9" t="s">
        <v>182</v>
      </c>
      <c r="CV1" s="9" t="s">
        <v>183</v>
      </c>
      <c r="CW1" s="9" t="s">
        <v>184</v>
      </c>
      <c r="CX1" s="11" t="s">
        <v>287</v>
      </c>
      <c r="CY1" s="11" t="s">
        <v>288</v>
      </c>
      <c r="CZ1" s="11" t="s">
        <v>289</v>
      </c>
      <c r="DA1" s="11" t="s">
        <v>290</v>
      </c>
      <c r="DB1" s="11" t="s">
        <v>291</v>
      </c>
      <c r="DC1" s="11" t="s">
        <v>292</v>
      </c>
      <c r="DD1" s="11" t="s">
        <v>293</v>
      </c>
      <c r="DE1" s="11" t="s">
        <v>294</v>
      </c>
      <c r="DF1" s="11" t="s">
        <v>295</v>
      </c>
      <c r="DG1" s="11" t="s">
        <v>296</v>
      </c>
      <c r="DH1" s="11" t="s">
        <v>297</v>
      </c>
      <c r="DI1" s="11" t="s">
        <v>298</v>
      </c>
      <c r="DJ1" s="11" t="s">
        <v>299</v>
      </c>
      <c r="DK1" s="11" t="s">
        <v>300</v>
      </c>
      <c r="DL1" s="15" t="s">
        <v>301</v>
      </c>
      <c r="DM1" s="16" t="s">
        <v>302</v>
      </c>
      <c r="DN1" s="16" t="s">
        <v>303</v>
      </c>
      <c r="DO1" s="16" t="s">
        <v>304</v>
      </c>
      <c r="DP1" s="16" t="s">
        <v>305</v>
      </c>
      <c r="DQ1" s="16" t="s">
        <v>306</v>
      </c>
      <c r="DR1" s="17" t="s">
        <v>301</v>
      </c>
      <c r="DS1" s="17" t="s">
        <v>302</v>
      </c>
      <c r="DT1" s="17" t="s">
        <v>303</v>
      </c>
      <c r="DU1" s="17" t="s">
        <v>304</v>
      </c>
      <c r="DV1" s="17" t="s">
        <v>305</v>
      </c>
      <c r="DW1" s="17" t="s">
        <v>306</v>
      </c>
      <c r="DX1" s="18" t="s">
        <v>301</v>
      </c>
      <c r="DY1" s="18" t="s">
        <v>302</v>
      </c>
      <c r="DZ1" s="18" t="s">
        <v>303</v>
      </c>
      <c r="EA1" s="18" t="s">
        <v>304</v>
      </c>
      <c r="EB1" s="18" t="s">
        <v>305</v>
      </c>
      <c r="EC1" s="18" t="s">
        <v>306</v>
      </c>
    </row>
    <row r="2" spans="1:133" x14ac:dyDescent="0.3">
      <c r="A2" t="str" cm="1">
        <f t="array" ref="A2:A15">_xlfn.VSTACK("---",_xlfn._xlws.FILTER(_xlfn._xlws.SORT(_xlfn.UNIQUE(' Import Lots Data'!E:E)),(_xlfn._xlws.SORT(_xlfn.UNIQUE(' Import Lots Data'!E:E))&lt;&gt;"TEST")*(_xlfn._xlws.SORT(_xlfn.UNIQUE(' Import Lots Data'!E:E))&lt;&gt;0)))</f>
        <v>---</v>
      </c>
      <c r="B2" s="2" t="str" cm="1">
        <f t="array" ref="B2:B6">_xlfn.VSTACK("---",_xlfn._xlws.FILTER(_xlfn._xlws.SORT(_xlfn.UNIQUE(' Import Lots Data'!C:C)),(_xlfn._xlws.SORT(_xlfn.UNIQUE(' Import Lots Data'!C:C))&lt;&gt;"STD Value")*(_xlfn._xlws.SORT(_xlfn.UNIQUE(' Import Lots Data'!C:C))&lt;&gt;"")))</f>
        <v>---</v>
      </c>
      <c r="C2" s="1" cm="1">
        <f t="array" ref="C2:C5">_xlfn._xlws.FILTER(_xlfn._xlws.SORT(_xlfn.UNIQUE(' Import Lots Data'!C:C)),(_xlfn._xlws.SORT(_xlfn.UNIQUE(' Import Lots Data'!C:C))&lt;&gt;"STD Value")*(_xlfn._xlws.SORT(_xlfn.UNIQUE(' Import Lots Data'!C:C))&lt;&gt;""))</f>
        <v>0</v>
      </c>
      <c r="D2" s="2" cm="1">
        <f t="array" ref="D2:D5">IF(_xlfn.ANCHORARRAY(C2)&lt;&gt;"",IF(H3="&amp;",$G$3*50%+_xlfn.ANCHORARRAY(C2)*$I$3*50%,IF($G$3*50%&gt;(_xlfn.ANCHORARRAY(C2)*$I$3)*50%,$G$3*50%,(_xlfn.ANCHORARRAY(C2)*$I$3)*50%)),"")</f>
        <v>1</v>
      </c>
      <c r="E2" s="25" t="s">
        <v>128</v>
      </c>
      <c r="F2" s="25">
        <v>0</v>
      </c>
      <c r="G2" s="14" t="s">
        <v>148</v>
      </c>
      <c r="H2" s="1" t="s">
        <v>280</v>
      </c>
      <c r="I2" s="1" t="s">
        <v>149</v>
      </c>
      <c r="J2" s="7" t="str">
        <f>'Import Hanna Code'!L39</f>
        <v>100%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1" cm="1">
        <f t="array" ref="AW2:AW2460">_xlfn.NUMBERVALUE(_xlfn.ANCHORARRAY(BA2)+0.1)</f>
        <v>1.1000000000000001</v>
      </c>
      <c r="AX2" s="19" cm="1">
        <f t="array" ref="AX2:AX2460">_xlfn.NUMBERVALUE(_xlfn.ANCHORARRAY(BA2)+0.1)</f>
        <v>1.1000000000000001</v>
      </c>
      <c r="AY2" s="6" t="str" cm="1">
        <f t="array" ref="AY2:AY2460">IFERROR(_xlfn.SORTBY(_xlfn._xlws.FILTER(' Import Lots Data'!A:A,((' Import Lots Data'!E:E=E2)+(' Import Lots Data'!E:E=E3)+(' Import Lots Data'!E:E=E4)+(' Import Lots Data'!E:E=E5)+(' Import Lots Data'!E:E=E6)+(' Import Lots Data'!E:E=E7))*((' Import Lots Data'!C:C=F2)+(' Import Lots Data'!C:C=F3)+(' Import Lots Data'!C:C=F4)+(' Import Lots Data'!C:C=F5)+(' Import Lots Data'!C:C=F6)+(' Import Lots Data'!C:C=F7)),),_xlfn._xlws.FILTER(' Import Lots Data'!F:F,((' Import Lots Data'!E:E=E2)+(' Import Lots Data'!E:E=E3)+(' Import Lots Data'!E:E=E4)+(' Import Lots Data'!E:E=E5)+(' Import Lots Data'!E:E=E6)+(' Import Lots Data'!E:E=E7))*((' Import Lots Data'!C:C=F2)+(' Import Lots Data'!C:C=F3)+(' Import Lots Data'!C:C=F4)+(' Import Lots Data'!C:C=F5)+(' Import Lots Data'!C:C=F6)+(' Import Lots Data'!C:C=F7)),)),0)</f>
        <v>R080_HI782-0_0.0_LOT0366_PWW49.1_QC.xlsx</v>
      </c>
      <c r="AZ2" t="str" cm="1">
        <f t="array" ref="AZ2:AZ2460">_xlfn.TEXTBEFORE(_xlfn.TEXTAFTER(_xlfn.ANCHORARRAY(AY2),"_",3),"_",1)</f>
        <v>LOT0366</v>
      </c>
      <c r="BA2" s="3" cm="1">
        <f t="array" ref="BA2:BA2460">_xlfn.NUMBERVALUE(_xlfn.XLOOKUP(_xlfn.ANCHORARRAY(AZ2),_xlfn.ANCHORARRAY(BH2),_xlfn.ANCHORARRAY(BI2)))</f>
        <v>1</v>
      </c>
      <c r="BB2" t="str" cm="1">
        <f t="array" ref="BB2:BB2460">IFERROR(_xlfn.SORTBY(_xlfn._xlws.FILTER(' Import Lots Data'!E:E,((' Import Lots Data'!E:E=E2)+(' Import Lots Data'!E:E=E3)+(' Import Lots Data'!E:E=E4)+(' Import Lots Data'!E:E=E5)+(' Import Lots Data'!E:E=E6)+(' Import Lots Data'!E:E=E7))*((' Import Lots Data'!C:C=F2)+(' Import Lots Data'!C:C=F3)+(' Import Lots Data'!C:C=F4)+(' Import Lots Data'!C:C=F5)+(' Import Lots Data'!C:C=F6)+(' Import Lots Data'!C:C=F7)),),_xlfn._xlws.FILTER(' Import Lots Data'!F:F,((' Import Lots Data'!E:E=E2)+(' Import Lots Data'!E:E=E3)+(' Import Lots Data'!E:E=E4)+(' Import Lots Data'!E:E=E5)+(' Import Lots Data'!E:E=E6)+(' Import Lots Data'!E:E=E7))*((' Import Lots Data'!C:C=F2)+(' Import Lots Data'!C:C=F3)+(' Import Lots Data'!C:C=F4)+(' Import Lots Data'!C:C=F5)+(' Import Lots Data'!C:C=F6)+(' Import Lots Data'!C:C=F7)),)),0)</f>
        <v>P/Final</v>
      </c>
      <c r="BC2" cm="1">
        <f t="array" ref="BC2:BC2460">_xlfn.NUMBERVALUE(IFERROR(_xlfn.SORTBY(_xlfn._xlws.FILTER(' Import Lots Data'!C:C,((' Import Lots Data'!E:E=E2)+(' Import Lots Data'!E:E=E3)+(' Import Lots Data'!E:E=E4)+(' Import Lots Data'!E:E=E5)+(' Import Lots Data'!E:E=E6)+(' Import Lots Data'!E:E=E7))*((' Import Lots Data'!C:C=F2)+(' Import Lots Data'!C:C=F3)+(' Import Lots Data'!C:C=F4)+(' Import Lots Data'!C:C=F5)+(' Import Lots Data'!C:C=F6)+(' Import Lots Data'!C:C=F7)),),_xlfn._xlws.FILTER(' Import Lots Data'!F:F,((' Import Lots Data'!E:E=E2)+(' Import Lots Data'!E:E=E3)+(' Import Lots Data'!E:E=E4)+(' Import Lots Data'!E:E=E5)+(' Import Lots Data'!E:E=E6)+(' Import Lots Data'!E:E=E7))*((' Import Lots Data'!C:C=F2)+(' Import Lots Data'!C:C=F3)+(' Import Lots Data'!C:C=F4)+(' Import Lots Data'!C:C=F5)+(' Import Lots Data'!C:C=F6)+(' Import Lots Data'!C:C=F7)),)),0))</f>
        <v>0</v>
      </c>
      <c r="BD2" s="10" cm="1">
        <f t="array" ref="BD2:BD2460">_xlfn.NUMBERVALUE(IFERROR(_xlfn.SORTBY(_xlfn._xlws.FILTER(' Import Lots Data'!L:L,((' Import Lots Data'!E:E=E2)+(' Import Lots Data'!E:E=E3)+(' Import Lots Data'!E:E=E4)+(' Import Lots Data'!E:E=E5)+(' Import Lots Data'!E:E=E6)+(' Import Lots Data'!E:E=E7))*((' Import Lots Data'!C:C=F2)+(' Import Lots Data'!C:C=F3)+(' Import Lots Data'!C:C=F4)+(' Import Lots Data'!C:C=F5)+(' Import Lots Data'!C:C=F6)+(' Import Lots Data'!C:C=F7)),),_xlfn._xlws.FILTER(' Import Lots Data'!F:F,((' Import Lots Data'!E:E=E2)+(' Import Lots Data'!E:E=E3)+(' Import Lots Data'!E:E=E4)+(' Import Lots Data'!E:E=E5)+(' Import Lots Data'!E:E=E6)+(' Import Lots Data'!E:E=E7))*((' Import Lots Data'!C:C=F2)+(' Import Lots Data'!C:C=F3)+(' Import Lots Data'!C:C=F4)+(' Import Lots Data'!C:C=F5)+(' Import Lots Data'!C:C=F6)+(' Import Lots Data'!C:C=F7)),)),0))</f>
        <v>0.4</v>
      </c>
      <c r="BE2" s="10" cm="1">
        <f t="array" ref="BE2:BE2460">_xlfn.NUMBERVALUE(IFERROR(_xlfn.SORTBY(_xlfn._xlws.FILTER(' Import Lots Data'!M:M,((' Import Lots Data'!E:E=E2)+(' Import Lots Data'!E:E=E3)+(' Import Lots Data'!E:E=E4)+(' Import Lots Data'!E:E=E5)+(' Import Lots Data'!E:E=E6)+(' Import Lots Data'!E:E=E7))*((' Import Lots Data'!C:C=F2)+(' Import Lots Data'!C:C=F3)+(' Import Lots Data'!C:C=F4)+(' Import Lots Data'!C:C=F5)+(' Import Lots Data'!C:C=F6)+(' Import Lots Data'!C:C=F7)),),_xlfn._xlws.FILTER(' Import Lots Data'!F:F,((' Import Lots Data'!E:E=E2)+(' Import Lots Data'!E:E=E3)+(' Import Lots Data'!E:E=E4)+(' Import Lots Data'!E:E=E5)+(' Import Lots Data'!E:E=E6)+(' Import Lots Data'!E:E=E7))*((' Import Lots Data'!C:C=F2)+(' Import Lots Data'!C:C=F3)+(' Import Lots Data'!C:C=F4)+(' Import Lots Data'!C:C=F5)+(' Import Lots Data'!C:C=F6)+(' Import Lots Data'!C:C=F7)),)),0))</f>
        <v>0</v>
      </c>
      <c r="BF2" s="10" cm="1">
        <f t="array" ref="BF2:BF2460">_xlfn.NUMBERVALUE(IFERROR(_xlfn.SORTBY(_xlfn._xlws.FILTER(' Import Lots Data'!N:N,((' Import Lots Data'!E:E=E2)+(' Import Lots Data'!E:E=E3)+(' Import Lots Data'!E:E=E4)+(' Import Lots Data'!E:E=E5)+(' Import Lots Data'!E:E=E6)+(' Import Lots Data'!E:E=E7))*((' Import Lots Data'!C:C=F2)+(' Import Lots Data'!C:C=F3)+(' Import Lots Data'!C:C=F4)+(' Import Lots Data'!C:C=F5)+(' Import Lots Data'!C:C=F6)+(' Import Lots Data'!C:C=F7)),),_xlfn._xlws.FILTER(' Import Lots Data'!F:F,((' Import Lots Data'!E:E=E2)+(' Import Lots Data'!E:E=E3)+(' Import Lots Data'!E:E=E4)+(' Import Lots Data'!E:E=E5)+(' Import Lots Data'!E:E=E6)+(' Import Lots Data'!E:E=E7))*((' Import Lots Data'!C:C=F2)+(' Import Lots Data'!C:C=F3)+(' Import Lots Data'!C:C=F4)+(' Import Lots Data'!C:C=F5)+(' Import Lots Data'!C:C=F6)+(' Import Lots Data'!C:C=F7)),)),0))</f>
        <v>0</v>
      </c>
      <c r="BG2" s="13" cm="1">
        <f t="array" ref="BG2:BG2460">_xlfn.NUMBERVALUE(IFERROR(_xlfn.SORTBY(_xlfn._xlws.FILTER(' Import Lots Data'!F:F,((' Import Lots Data'!E:E=E2)+(' Import Lots Data'!E:E=E3)+(' Import Lots Data'!E:E=E4)+(' Import Lots Data'!E:E=E5)+(' Import Lots Data'!E:E=E6)+(' Import Lots Data'!E:E=E7))*((' Import Lots Data'!C:C=F2)+(' Import Lots Data'!C:C=F3)+(' Import Lots Data'!C:C=F4)+(' Import Lots Data'!C:C=F5)+(' Import Lots Data'!C:C=F6)+(' Import Lots Data'!C:C=F7)),),_xlfn._xlws.FILTER(' Import Lots Data'!F:F,((' Import Lots Data'!E:E=E2)+(' Import Lots Data'!E:E=E3)+(' Import Lots Data'!E:E=E4)+(' Import Lots Data'!E:E=E5)+(' Import Lots Data'!E:E=E6)+(' Import Lots Data'!E:E=E7))*((' Import Lots Data'!C:C=F2)+(' Import Lots Data'!C:C=F3)+(' Import Lots Data'!C:C=F4)+(' Import Lots Data'!C:C=F5)+(' Import Lots Data'!C:C=F6)+(' Import Lots Data'!C:C=F7)),)),0))</f>
        <v>45299</v>
      </c>
      <c r="BH2" t="str" cm="1">
        <f t="array" ref="BH2:BH26">_xlfn.UNIQUE(_xlfn.ANCHORARRAY(AZ2),FALSE,FALSE)</f>
        <v>LOT0366</v>
      </c>
      <c r="BI2" s="5" cm="1">
        <f t="array" ref="BI2:BI26">IF(_xlfn.ANCHORARRAY(BH2)&lt;&gt;"",_xlfn.NUMBERVALUE(ROW(_xlfn.ANCHORARRAY(BH2))-1),"")</f>
        <v>1</v>
      </c>
      <c r="BJ2" cm="1">
        <f t="array" ref="BJ2:BJ26">IF(_xlfn.ANCHORARRAY(BH2)&lt;&gt;"",IF(B3&lt;&gt;"",_xlfn.NUMBERVALUE(B3),""),"")</f>
        <v>0</v>
      </c>
      <c r="BK2" cm="1">
        <f t="array" ref="BK2:BK26">IF(_xlfn.ANCHORARRAY(BH2)&lt;&gt;"",IF(B4&lt;&gt;"",_xlfn.NUMBERVALUE(B4),""),"")</f>
        <v>15</v>
      </c>
      <c r="BL2" cm="1">
        <f t="array" ref="BL2:BL26">IF(_xlfn.ANCHORARRAY(BH2)&lt;&gt;"",IF(B5&lt;&gt;"",_xlfn.NUMBERVALUE(B5),""),"")</f>
        <v>35</v>
      </c>
      <c r="BM2" cm="1">
        <f t="array" ref="BM2:BM26">IF(_xlfn.ANCHORARRAY(BH2)&lt;&gt;"",IF(B6&lt;&gt;"",_xlfn.NUMBERVALUE(B6),""),"")</f>
        <v>60</v>
      </c>
      <c r="BN2" t="str" cm="1">
        <f t="array" ref="BN2:BN26">IF(_xlfn.ANCHORARRAY(BH2)&lt;&gt;"",IF(B7&lt;&gt;"",_xlfn.NUMBERVALUE(B7),""),"")</f>
        <v/>
      </c>
      <c r="BO2" t="str" cm="1">
        <f t="array" ref="BO2:BO26">IF(_xlfn.ANCHORARRAY(BH2)&lt;&gt;"",IF(B8&lt;&gt;"",_xlfn.NUMBERVALUE(B8),""),"")</f>
        <v/>
      </c>
      <c r="BP2" s="10" cm="1">
        <f t="array" ref="BP2:BP26">_xlfn._xlws.FILTER(DL2:DL200,BH2:BH200&lt;&gt;"")</f>
        <v>0.45000000000000007</v>
      </c>
      <c r="BQ2" s="10" cm="1">
        <f t="array" ref="BQ2:BQ26">_xlfn._xlws.FILTER(DM2:DM200,BH2:BH200&lt;&gt;"")</f>
        <v>16.740000000000002</v>
      </c>
      <c r="BR2" s="10" cm="1">
        <f t="array" ref="BR2:BR26">_xlfn._xlws.FILTER(DN2:DN200,BH2:BH200&lt;&gt;"")</f>
        <v>38.200000000000003</v>
      </c>
      <c r="BS2" s="10" cm="1">
        <f t="array" ref="BS2:BS26">_xlfn._xlws.FILTER(DO2:DO200,BH2:BH200&lt;&gt;"")</f>
        <v>64.459999999999994</v>
      </c>
      <c r="BT2" s="10" t="str" cm="1">
        <f t="array" ref="BT2:BT26">_xlfn._xlws.FILTER(DP2:DP200,BH2:BH200&lt;&gt;"")</f>
        <v/>
      </c>
      <c r="BU2" s="10" t="str" cm="1">
        <f t="array" ref="BU2:BU26">_xlfn._xlws.FILTER(DQ2:DQ200,BH2:BH200&lt;&gt;"")</f>
        <v/>
      </c>
      <c r="BV2" s="5" cm="1">
        <f t="array" ref="BV2:BV26">IF(_xlfn.ANCHORARRAY(BH2)&lt;&gt;"",IF(C2-3*D2*J4&lt;0,0,C2-3*D2*J4),"")</f>
        <v>0</v>
      </c>
      <c r="BW2" s="5" cm="1">
        <f t="array" ref="BW2:BW26">IF(_xlfn.ANCHORARRAY(BH2)&lt;&gt;"",IF(C2-D2*J4&lt;0,0,D2*J4),"")</f>
        <v>0</v>
      </c>
      <c r="BX2" s="5" cm="1">
        <f t="array" ref="BX2:BX26">IF(_xlfn.ANCHORARRAY(BH2)&lt;&gt;"",IF(C2-D2*J4&lt;0,0,D2*J4),"")</f>
        <v>0</v>
      </c>
      <c r="BY2" s="5" cm="1">
        <f t="array" ref="BY2:BY26">IF(_xlfn.ANCHORARRAY(BH2)&lt;&gt;"",IF(C2-D2*J4&lt;0,0,D2*J4),"")</f>
        <v>0</v>
      </c>
      <c r="BZ2" s="5" cm="1">
        <f t="array" ref="BZ2:BZ26">IF(_xlfn.ANCHORARRAY(BH2)&lt;&gt;"",IF(D2*J4&lt;0,0,D2*J4),"")</f>
        <v>1</v>
      </c>
      <c r="CA2" s="5" cm="1">
        <f t="array" ref="CA2:CA26">IF(_xlfn.ANCHORARRAY(BH2)&lt;&gt;"",IF(D2*J4&lt;0,0,D2*J4),"")</f>
        <v>1</v>
      </c>
      <c r="CB2" s="5" cm="1">
        <f t="array" ref="CB2:CB26">IF(_xlfn.ANCHORARRAY(BH2)&lt;&gt;"",IF(D2*J4&lt;0,0,D2*J4),"")</f>
        <v>1</v>
      </c>
      <c r="CC2" s="5" cm="1">
        <f t="array" ref="CC2:CC26">IF(_xlfn.ANCHORARRAY(BH2)&lt;&gt;"",C3-C2-3*D3-3*D2,"")</f>
        <v>7.8975000000000009</v>
      </c>
      <c r="CD2" s="5" cm="1">
        <f t="array" ref="CD2:CD26">IF(_xlfn.ANCHORARRAY(BH2)&lt;&gt;"",IF(D3*J4&lt;0,0,D3*J4),"")</f>
        <v>1.3674999999999999</v>
      </c>
      <c r="CE2" s="5" cm="1">
        <f t="array" ref="CE2:CE26">IF(_xlfn.ANCHORARRAY(BH2)&lt;&gt;"",IF(D3*J4&lt;0,0,D3*J4),"")</f>
        <v>1.3674999999999999</v>
      </c>
      <c r="CF2" s="5" cm="1">
        <f t="array" ref="CF2:CF26">IF(_xlfn.ANCHORARRAY(BH2)&lt;&gt;"",IF(D3*J4&lt;0,0,D3*J4),"")</f>
        <v>1.3674999999999999</v>
      </c>
      <c r="CG2" s="5" cm="1">
        <f t="array" ref="CG2:CG26">IF(_xlfn.ANCHORARRAY(BH2)&lt;&gt;"",IF(D3*J4&lt;0,0,D3*J4),"")</f>
        <v>1.3674999999999999</v>
      </c>
      <c r="CH2" s="5" cm="1">
        <f t="array" ref="CH2:CH26">IF(_xlfn.ANCHORARRAY(BH2)&lt;&gt;"",IF(D3*J4&lt;0,0,D3*J4),"")</f>
        <v>1.3674999999999999</v>
      </c>
      <c r="CI2" s="5" cm="1">
        <f t="array" ref="CI2:CI26">IF(_xlfn.ANCHORARRAY(BH2)&lt;&gt;"",IF(D3*J4&lt;0,0,D3*J4),"")</f>
        <v>1.3674999999999999</v>
      </c>
      <c r="CJ2" s="5" cm="1">
        <f t="array" ref="CJ2:CJ26">IF(_xlfn.ANCHORARRAY(BH2)&lt;&gt;"",C4-C3-3*D4-3*D3,"")</f>
        <v>10.324999999999999</v>
      </c>
      <c r="CK2" s="5" cm="1">
        <f t="array" ref="CK2:CK26">IF(_xlfn.ANCHORARRAY(BH2)&lt;&gt;"",IF(D4*J4&lt;0,0,D4*J4),"")</f>
        <v>1.8574999999999999</v>
      </c>
      <c r="CL2" s="5" cm="1">
        <f t="array" ref="CL2:CL26">IF(_xlfn.ANCHORARRAY(BH2)&lt;&gt;"",IF(D4*J4&lt;0,0,D4*J4),"")</f>
        <v>1.8574999999999999</v>
      </c>
      <c r="CM2" s="5" cm="1">
        <f t="array" ref="CM2:CM26">IF(_xlfn.ANCHORARRAY(BH2)&lt;&gt;"",IF(D4*J4&lt;0,0,D4*J4),"")</f>
        <v>1.8574999999999999</v>
      </c>
      <c r="CN2" s="5" cm="1">
        <f t="array" ref="CN2:CN26">IF(_xlfn.ANCHORARRAY(BH2)&lt;&gt;"",IF(D4*J4&lt;0,0,D4*J4),"")</f>
        <v>1.8574999999999999</v>
      </c>
      <c r="CO2" s="5" cm="1">
        <f t="array" ref="CO2:CO26">IF(_xlfn.ANCHORARRAY(BH2)&lt;&gt;"",IF(D4*J4&lt;0,0,D4*J4),"")</f>
        <v>1.8574999999999999</v>
      </c>
      <c r="CP2" s="5" cm="1">
        <f t="array" ref="CP2:CP26">IF(_xlfn.ANCHORARRAY(BH2)&lt;&gt;"",IF(D4*J4&lt;0,0,D4*J4),"")</f>
        <v>1.8574999999999999</v>
      </c>
      <c r="CQ2" s="5" cm="1">
        <f t="array" ref="CQ2:CQ26">IF(_xlfn.ANCHORARRAY(BH2)&lt;&gt;"",C5-C4-3*D5-3*D4,"")</f>
        <v>12.0175</v>
      </c>
      <c r="CR2" s="5" cm="1">
        <f t="array" ref="CR2:CR26">IF(_xlfn.ANCHORARRAY(BH2)&lt;&gt;"",IF(D5*J4&lt;0,0,D5*J4),"")</f>
        <v>2.4699999999999998</v>
      </c>
      <c r="CS2" s="5" cm="1">
        <f t="array" ref="CS2:CS26">IF(_xlfn.ANCHORARRAY(BH2)&lt;&gt;"",IF(D5*J4&lt;0,0,D5*J4),"")</f>
        <v>2.4699999999999998</v>
      </c>
      <c r="CT2" s="5" cm="1">
        <f t="array" ref="CT2:CT26">IF(_xlfn.ANCHORARRAY(BH2)&lt;&gt;"",IF(D5*J4&lt;0,0,D5*J4),"")</f>
        <v>2.4699999999999998</v>
      </c>
      <c r="CU2" s="5" cm="1">
        <f t="array" ref="CU2:CU26">IF(_xlfn.ANCHORARRAY(BH2)&lt;&gt;"",IF(D5*J4&lt;0,0,D5*J4),"")</f>
        <v>2.4699999999999998</v>
      </c>
      <c r="CV2" s="5" cm="1">
        <f t="array" ref="CV2:CV26">IF(_xlfn.ANCHORARRAY(BH2)&lt;&gt;"",IF(D5*J4&lt;0,0,D5*J4),"")</f>
        <v>2.4699999999999998</v>
      </c>
      <c r="CW2" s="5" cm="1">
        <f t="array" ref="CW2:CW26">IF(_xlfn.ANCHORARRAY(BH2)&lt;&gt;"",IF(D5*J4&lt;0,0,D5*J4),"")</f>
        <v>2.4699999999999998</v>
      </c>
      <c r="CX2" cm="1">
        <f t="array" ref="CX2:CX26">IF(_xlfn.ANCHORARRAY(BH2)&lt;&gt;"",C6-C5-3*D6-3*D5,"")</f>
        <v>-67.41</v>
      </c>
      <c r="CY2" s="1" cm="1">
        <f t="array" ref="CY2:CY26">IF(_xlfn.ANCHORARRAY(BH2)&lt;&gt;"",IF(D6*J4&lt;0,0,D6*J4),"")</f>
        <v>0</v>
      </c>
      <c r="CZ2" cm="1">
        <f t="array" ref="CZ2:CZ26">IF(_xlfn.ANCHORARRAY(BH2)&lt;&gt;"",IF(D6*J4&lt;0,0,D6*J4),"")</f>
        <v>0</v>
      </c>
      <c r="DA2" cm="1">
        <f t="array" ref="DA2:DA26">IF(_xlfn.ANCHORARRAY(BH2)&lt;&gt;"",IF(D6*J4&lt;0,0,D6*J4),"")</f>
        <v>0</v>
      </c>
      <c r="DB2" cm="1">
        <f t="array" ref="DB2:DB26">IF(_xlfn.ANCHORARRAY(BH2)&lt;&gt;"",IF(D6*J4&lt;0,0,D6*J4),"")</f>
        <v>0</v>
      </c>
      <c r="DC2" cm="1">
        <f t="array" ref="DC2:DC26">IF(_xlfn.ANCHORARRAY(BH2)&lt;&gt;"",IF(D6*J4&lt;0,0,D6*J4),"")</f>
        <v>0</v>
      </c>
      <c r="DD2" cm="1">
        <f t="array" ref="DD2:DD26">IF(_xlfn.ANCHORARRAY(BH2)&lt;&gt;"",IF(D6*J4&lt;0,0,D6*J4),"")</f>
        <v>0</v>
      </c>
      <c r="DE2" cm="1">
        <f t="array" ref="DE2:DE26">IF(_xlfn.ANCHORARRAY(BH2)&lt;&gt;"",C7-C6-3*D7-3*D6,"")</f>
        <v>0</v>
      </c>
      <c r="DF2" cm="1">
        <f t="array" ref="DF2:DF26">IF(_xlfn.ANCHORARRAY(BH2)&lt;&gt;"",IF(D7*J4&lt;0,0,D7*J4),"")</f>
        <v>0</v>
      </c>
      <c r="DG2" cm="1">
        <f t="array" ref="DG2:DG26">IF(_xlfn.ANCHORARRAY(BH2)&lt;&gt;"",IF(D7*J4&lt;0,0,D7*J4),"")</f>
        <v>0</v>
      </c>
      <c r="DH2" cm="1">
        <f t="array" ref="DH2:DH26">IF(_xlfn.ANCHORARRAY(BH2)&lt;&gt;"",IF(D7*J4&lt;0,0,D7*J4),"")</f>
        <v>0</v>
      </c>
      <c r="DI2" cm="1">
        <f t="array" ref="DI2:DI26">IF(_xlfn.ANCHORARRAY(BH2)&lt;&gt;"",IF(D7*J4&lt;0,0,D7*J4),"")</f>
        <v>0</v>
      </c>
      <c r="DJ2" cm="1">
        <f t="array" ref="DJ2:DJ26">IF(_xlfn.ANCHORARRAY(BH2)&lt;&gt;"",IF(D7*J4&lt;0,0,D7*J4),"")</f>
        <v>0</v>
      </c>
      <c r="DK2" cm="1">
        <f t="array" ref="DK2:DK26">IF(_xlfn.ANCHORARRAY(BH2)&lt;&gt;"",IF(D7*J4&lt;0,0,D7*J4),"")</f>
        <v>0</v>
      </c>
      <c r="DL2" s="10" cm="1">
        <f t="array" ref="DL2">IF($BJ2&lt;&gt;"",IFERROR(AVERAGE(_xlfn._xlws.FILTER($BD:$BD,($BA:$BA=$BI2)*($BC:$BC=_xlfn.NUMBERVALUE($BJ2)))),""),"")</f>
        <v>0.45000000000000007</v>
      </c>
      <c r="DM2" s="10" cm="1">
        <f t="array" ref="DM2">IF($BK2&lt;&gt;"",IFERROR(AVERAGE(_xlfn._xlws.FILTER($BD:$BD,($BA:$BA=$BI2)*($BC:$BC=_xlfn.NUMBERVALUE($BK2)))),""),"")</f>
        <v>16.740000000000002</v>
      </c>
      <c r="DN2" s="10" cm="1">
        <f t="array" ref="DN2">IF($BL2&lt;&gt;"",IFERROR(AVERAGE(_xlfn._xlws.FILTER($BD:$BD,($BA:$BA=$BI2)*($BC:$BC=_xlfn.NUMBERVALUE($BL2)))),""),"")</f>
        <v>38.200000000000003</v>
      </c>
      <c r="DO2" s="10" cm="1">
        <f t="array" ref="DO2">IF($BM2&lt;&gt;"",IFERROR(AVERAGE(_xlfn._xlws.FILTER($BD:$BD,($BA:$BA=$BI2)*($BC:$BC=_xlfn.NUMBERVALUE($BM2)))),""),"")</f>
        <v>64.459999999999994</v>
      </c>
      <c r="DP2" s="10" t="str" cm="1">
        <f t="array" ref="DP2">IF($BN2&lt;&gt;"",IFERROR(AVERAGE(_xlfn._xlws.FILTER($BD:$BD,($BA:$BA=$BI2)*($BC:$BC=_xlfn.NUMBERVALUE($BN2)))),""),"")</f>
        <v/>
      </c>
      <c r="DQ2" s="10" t="str" cm="1">
        <f t="array" ref="DQ2">IF($BO2&lt;&gt;"",IFERROR(AVERAGE(_xlfn._xlws.FILTER($BD:$BD,($BA:$BA=$BI2)*($BC:$BC=_xlfn.NUMBERVALUE($BO2)))),""),"")</f>
        <v/>
      </c>
      <c r="DR2" s="10" cm="1">
        <f t="array" ref="DR2:DR26">_xlfn._xlws.FILTER(DX2:DX200,BH2:BH200&lt;&gt;"")</f>
        <v>0</v>
      </c>
      <c r="DS2" s="10" cm="1">
        <f t="array" ref="DS2:DS26">_xlfn._xlws.FILTER(DY2:DY200,BH2:BH200&lt;&gt;"")</f>
        <v>0</v>
      </c>
      <c r="DT2" s="10" cm="1">
        <f t="array" ref="DT2:DT26">_xlfn._xlws.FILTER(DZ2:DZ200,BH2:BH200&lt;&gt;"")</f>
        <v>0</v>
      </c>
      <c r="DU2" s="10" cm="1">
        <f t="array" ref="DU2:DU26">_xlfn._xlws.FILTER(EA2:EA200,BH2:BH200&lt;&gt;"")</f>
        <v>0</v>
      </c>
      <c r="DV2" s="10" t="str" cm="1">
        <f t="array" ref="DV2:DV26">_xlfn._xlws.FILTER(EB2:EB200,BH2:BH200&lt;&gt;"")</f>
        <v/>
      </c>
      <c r="DW2" s="10" t="str" cm="1">
        <f t="array" ref="DW2:DW26">_xlfn._xlws.FILTER(EC2:EC200,BH2:BH200&lt;&gt;"")</f>
        <v/>
      </c>
      <c r="DX2" cm="1">
        <f t="array" ref="DX2">IF($BJ2&lt;&gt;"",IFERROR(AVERAGE(_xlfn._xlws.FILTER($BE:$BE,($BA:$BA=$BI2)*($BC:$BC=_xlfn.NUMBERVALUE($BJ2)))),""),"")</f>
        <v>0</v>
      </c>
      <c r="DY2" s="10" cm="1">
        <f t="array" ref="DY2">IF($BK2&lt;&gt;"",IFERROR(AVERAGE(_xlfn._xlws.FILTER($BE:$BE,($BA:$BA=$BI2)*($BC:$BC=_xlfn.NUMBERVALUE($BK2)))),""),"")</f>
        <v>0</v>
      </c>
      <c r="DZ2" s="10" cm="1">
        <f t="array" ref="DZ2">IF($BL2&lt;&gt;"",IFERROR(AVERAGE(_xlfn._xlws.FILTER($BE:$BE,($BA:$BA=$BI2)*($BC:$BC=_xlfn.NUMBERVALUE($BL2)))),""),"")</f>
        <v>0</v>
      </c>
      <c r="EA2" s="10" cm="1">
        <f t="array" ref="EA2">IF($BM2&lt;&gt;"",IFERROR(AVERAGE(_xlfn._xlws.FILTER($BE:$BE,($BA:$BA=$BI2)*($BC:$BC=_xlfn.NUMBERVALUE($BM2)))),""),"")</f>
        <v>0</v>
      </c>
      <c r="EB2" s="10" t="str" cm="1">
        <f t="array" ref="EB2">IF($BN2&lt;&gt;"",IFERROR(AVERAGE(_xlfn._xlws.FILTER($BE:$BE,($BA:$BA=$BI2)*($BC:$BC=_xlfn.NUMBERVALUE($BN2)))),""),"")</f>
        <v/>
      </c>
      <c r="EC2" s="10" t="str" cm="1">
        <f t="array" ref="EC2">IF($BO2&lt;&gt;"",IFERROR(AVERAGE(_xlfn._xlws.FILTER($BE:$BE,($BA:$BA=$BI2)*($BC:$BC=_xlfn.NUMBERVALUE($BO2)))),""),"")</f>
        <v/>
      </c>
    </row>
    <row r="3" spans="1:133" x14ac:dyDescent="0.3">
      <c r="A3" t="str">
        <v>ASTM</v>
      </c>
      <c r="B3" s="2">
        <v>0</v>
      </c>
      <c r="C3" s="1">
        <v>15</v>
      </c>
      <c r="D3" s="2">
        <v>1.3674999999999999</v>
      </c>
      <c r="E3" s="25" t="s">
        <v>456</v>
      </c>
      <c r="F3" s="25">
        <v>15</v>
      </c>
      <c r="G3" s="14" t="str">
        <f>'Import Hanna Code'!I39</f>
        <v>2.0</v>
      </c>
      <c r="H3" s="1" t="str">
        <f>'Import Hanna Code'!J39</f>
        <v>&amp;</v>
      </c>
      <c r="I3" s="1" t="str">
        <f>'Import Hanna Code'!K39</f>
        <v>4.9%</v>
      </c>
      <c r="J3" s="1" t="s">
        <v>279</v>
      </c>
      <c r="AW3" s="1">
        <v>1.1000000000000001</v>
      </c>
      <c r="AX3" s="1">
        <v>1.1000000000000001</v>
      </c>
      <c r="AY3" t="str">
        <v>R080_HI782-0_0.0_LOT0366_PWW49.1_QC.xlsx</v>
      </c>
      <c r="AZ3" t="str">
        <v>LOT0366</v>
      </c>
      <c r="BA3" s="3">
        <v>1</v>
      </c>
      <c r="BB3" t="str">
        <v>P/Final</v>
      </c>
      <c r="BC3">
        <v>0</v>
      </c>
      <c r="BD3" s="10">
        <v>0.4</v>
      </c>
      <c r="BE3" s="10">
        <v>0</v>
      </c>
      <c r="BF3" s="10">
        <v>0</v>
      </c>
      <c r="BG3" s="13">
        <v>45299</v>
      </c>
      <c r="BH3" t="str">
        <v>LOT0367</v>
      </c>
      <c r="BI3">
        <v>2</v>
      </c>
      <c r="BJ3">
        <v>0</v>
      </c>
      <c r="BK3">
        <v>15</v>
      </c>
      <c r="BL3">
        <v>35</v>
      </c>
      <c r="BM3">
        <v>60</v>
      </c>
      <c r="BN3" t="str">
        <v/>
      </c>
      <c r="BO3" t="str">
        <v/>
      </c>
      <c r="BP3" s="10">
        <v>0.52499999999999991</v>
      </c>
      <c r="BQ3" s="10">
        <v>16.299999999999997</v>
      </c>
      <c r="BR3" s="10">
        <v>37.675000000000004</v>
      </c>
      <c r="BS3" s="10">
        <v>62.425000000000004</v>
      </c>
      <c r="BT3" s="10" t="str">
        <v/>
      </c>
      <c r="BU3" s="10" t="str">
        <v/>
      </c>
      <c r="BV3">
        <v>0</v>
      </c>
      <c r="BW3">
        <v>0</v>
      </c>
      <c r="BX3">
        <v>0</v>
      </c>
      <c r="BY3" s="5">
        <v>0</v>
      </c>
      <c r="BZ3" s="5">
        <v>1</v>
      </c>
      <c r="CA3" s="5">
        <v>1</v>
      </c>
      <c r="CB3" s="5">
        <v>1</v>
      </c>
      <c r="CC3" s="5">
        <v>7.8975000000000009</v>
      </c>
      <c r="CD3" s="5">
        <v>1.3674999999999999</v>
      </c>
      <c r="CE3" s="5">
        <v>1.3674999999999999</v>
      </c>
      <c r="CF3" s="5">
        <v>1.3674999999999999</v>
      </c>
      <c r="CG3" s="5">
        <v>1.3674999999999999</v>
      </c>
      <c r="CH3" s="5">
        <v>1.3674999999999999</v>
      </c>
      <c r="CI3" s="5">
        <v>1.3674999999999999</v>
      </c>
      <c r="CJ3" s="5">
        <v>10.324999999999999</v>
      </c>
      <c r="CK3" s="5">
        <v>1.8574999999999999</v>
      </c>
      <c r="CL3" s="5">
        <v>1.8574999999999999</v>
      </c>
      <c r="CM3" s="5">
        <v>1.8574999999999999</v>
      </c>
      <c r="CN3" s="5">
        <v>1.8574999999999999</v>
      </c>
      <c r="CO3" s="5">
        <v>1.8574999999999999</v>
      </c>
      <c r="CP3" s="5">
        <v>1.8574999999999999</v>
      </c>
      <c r="CQ3" s="5">
        <v>12.0175</v>
      </c>
      <c r="CR3" s="5">
        <v>2.4699999999999998</v>
      </c>
      <c r="CS3" s="5">
        <v>2.4699999999999998</v>
      </c>
      <c r="CT3" s="5">
        <v>2.4699999999999998</v>
      </c>
      <c r="CU3" s="5">
        <v>2.4699999999999998</v>
      </c>
      <c r="CV3" s="5">
        <v>2.4699999999999998</v>
      </c>
      <c r="CW3" s="5">
        <v>2.4699999999999998</v>
      </c>
      <c r="CX3">
        <v>-67.41</v>
      </c>
      <c r="CY3" s="1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 s="10" cm="1">
        <f t="array" ref="DL3">IF($BJ3&lt;&gt;"",IFERROR(AVERAGE(_xlfn._xlws.FILTER($BD:$BD,($BA:$BA=$BI3)*($BC:$BC=_xlfn.NUMBERVALUE($BJ3)))),""),"")</f>
        <v>0.52499999999999991</v>
      </c>
      <c r="DM3" s="10" cm="1">
        <f t="array" ref="DM3">IF($BK3&lt;&gt;"",IFERROR(AVERAGE(_xlfn._xlws.FILTER($BD:$BD,($BA:$BA=$BI3)*($BC:$BC=_xlfn.NUMBERVALUE($BK3)))),""),"")</f>
        <v>16.299999999999997</v>
      </c>
      <c r="DN3" s="10" cm="1">
        <f t="array" ref="DN3">IF($BL3&lt;&gt;"",IFERROR(AVERAGE(_xlfn._xlws.FILTER($BD:$BD,($BA:$BA=$BI3)*($BC:$BC=_xlfn.NUMBERVALUE($BL3)))),""),"")</f>
        <v>37.675000000000004</v>
      </c>
      <c r="DO3" s="10" cm="1">
        <f t="array" ref="DO3">IF($BM3&lt;&gt;"",IFERROR(AVERAGE(_xlfn._xlws.FILTER($BD:$BD,($BA:$BA=$BI3)*($BC:$BC=_xlfn.NUMBERVALUE($BM3)))),""),"")</f>
        <v>62.425000000000004</v>
      </c>
      <c r="DP3" s="10" t="str" cm="1">
        <f t="array" ref="DP3">IF($BN3&lt;&gt;"",IFERROR(AVERAGE(_xlfn._xlws.FILTER($BD:$BD,($BA:$BA=$BI3)*($BC:$BC=_xlfn.NUMBERVALUE($BN3)))),""),"")</f>
        <v/>
      </c>
      <c r="DQ3" s="10" t="str" cm="1">
        <f t="array" ref="DQ3">IF($BO3&lt;&gt;"",IFERROR(AVERAGE(_xlfn._xlws.FILTER($BD:$BD,($BA:$BA=$BI3)*($BC:$BC=_xlfn.NUMBERVALUE($BO3)))),""),"")</f>
        <v/>
      </c>
      <c r="DR3">
        <v>0</v>
      </c>
      <c r="DS3" s="10">
        <v>0</v>
      </c>
      <c r="DT3" s="10">
        <v>0</v>
      </c>
      <c r="DU3" s="10">
        <v>0</v>
      </c>
      <c r="DV3" s="10" t="str">
        <v/>
      </c>
      <c r="DW3" s="10" t="str">
        <v/>
      </c>
      <c r="DX3" cm="1">
        <f t="array" ref="DX3">IF($BJ3&lt;&gt;"",IFERROR(AVERAGE(_xlfn._xlws.FILTER($BE:$BE,($BA:$BA=$BI3)*($BC:$BC=_xlfn.NUMBERVALUE($BJ3)))),""),"")</f>
        <v>0</v>
      </c>
      <c r="DY3" s="10" cm="1">
        <f t="array" ref="DY3">IF($BK3&lt;&gt;"",IFERROR(AVERAGE(_xlfn._xlws.FILTER($BE:$BE,($BA:$BA=$BI3)*($BC:$BC=_xlfn.NUMBERVALUE($BK3)))),""),"")</f>
        <v>0</v>
      </c>
      <c r="DZ3" s="10" cm="1">
        <f t="array" ref="DZ3">IF($BL3&lt;&gt;"",IFERROR(AVERAGE(_xlfn._xlws.FILTER($BE:$BE,($BA:$BA=$BI3)*($BC:$BC=_xlfn.NUMBERVALUE($BL3)))),""),"")</f>
        <v>0</v>
      </c>
      <c r="EA3" s="10" cm="1">
        <f t="array" ref="EA3">IF($BM3&lt;&gt;"",IFERROR(AVERAGE(_xlfn._xlws.FILTER($BE:$BE,($BA:$BA=$BI3)*($BC:$BC=_xlfn.NUMBERVALUE($BM3)))),""),"")</f>
        <v>0</v>
      </c>
      <c r="EB3" s="10" t="str" cm="1">
        <f t="array" ref="EB3">IF($BN3&lt;&gt;"",IFERROR(AVERAGE(_xlfn._xlws.FILTER($BE:$BE,($BA:$BA=$BI3)*($BC:$BC=_xlfn.NUMBERVALUE($BN3)))),""),"")</f>
        <v/>
      </c>
      <c r="EC3" s="10" t="str" cm="1">
        <f t="array" ref="EC3">IF($BO3&lt;&gt;"",IFERROR(AVERAGE(_xlfn._xlws.FILTER($BE:$BE,($BA:$BA=$BI3)*($BC:$BC=_xlfn.NUMBERVALUE($BO3)))),""),"")</f>
        <v/>
      </c>
    </row>
    <row r="4" spans="1:133" x14ac:dyDescent="0.3">
      <c r="A4" t="str">
        <v>ASTM D665</v>
      </c>
      <c r="B4" s="2">
        <v>15</v>
      </c>
      <c r="C4" s="1">
        <v>35</v>
      </c>
      <c r="D4" s="2">
        <v>1.8574999999999999</v>
      </c>
      <c r="E4" s="25" t="s">
        <v>155</v>
      </c>
      <c r="F4" s="25">
        <v>35</v>
      </c>
      <c r="J4" s="26">
        <v>1</v>
      </c>
      <c r="AW4" s="1">
        <v>1.1000000000000001</v>
      </c>
      <c r="AX4" s="1">
        <v>1.1000000000000001</v>
      </c>
      <c r="AY4" t="str">
        <v>R080_HI782-0_0.0_LOT0366_PWW49.1_QC.xlsx</v>
      </c>
      <c r="AZ4" t="str">
        <v>LOT0366</v>
      </c>
      <c r="BA4" s="3">
        <v>1</v>
      </c>
      <c r="BB4" t="str">
        <v>P/Final</v>
      </c>
      <c r="BC4">
        <v>0</v>
      </c>
      <c r="BD4" s="10">
        <v>0.4</v>
      </c>
      <c r="BE4" s="10">
        <v>0</v>
      </c>
      <c r="BF4" s="10">
        <v>0</v>
      </c>
      <c r="BG4" s="13">
        <v>45299</v>
      </c>
      <c r="BH4" t="str">
        <v>LOT0418</v>
      </c>
      <c r="BI4">
        <v>3</v>
      </c>
      <c r="BJ4">
        <v>0</v>
      </c>
      <c r="BK4">
        <v>15</v>
      </c>
      <c r="BL4">
        <v>35</v>
      </c>
      <c r="BM4">
        <v>60</v>
      </c>
      <c r="BN4" t="str">
        <v/>
      </c>
      <c r="BO4" t="str">
        <v/>
      </c>
      <c r="BP4" s="10">
        <v>0</v>
      </c>
      <c r="BQ4" s="10">
        <v>16.230769230769234</v>
      </c>
      <c r="BR4" s="10">
        <v>36.206666666666671</v>
      </c>
      <c r="BS4" s="10">
        <v>64.05</v>
      </c>
      <c r="BT4" s="10" t="str">
        <v/>
      </c>
      <c r="BU4" s="10" t="str">
        <v/>
      </c>
      <c r="BV4">
        <v>0</v>
      </c>
      <c r="BW4">
        <v>0</v>
      </c>
      <c r="BX4">
        <v>0</v>
      </c>
      <c r="BY4" s="5">
        <v>0</v>
      </c>
      <c r="BZ4" s="5">
        <v>1</v>
      </c>
      <c r="CA4" s="5">
        <v>1</v>
      </c>
      <c r="CB4" s="5">
        <v>1</v>
      </c>
      <c r="CC4" s="5">
        <v>7.8975000000000009</v>
      </c>
      <c r="CD4" s="5">
        <v>1.3674999999999999</v>
      </c>
      <c r="CE4" s="5">
        <v>1.3674999999999999</v>
      </c>
      <c r="CF4" s="5">
        <v>1.3674999999999999</v>
      </c>
      <c r="CG4" s="5">
        <v>1.3674999999999999</v>
      </c>
      <c r="CH4" s="5">
        <v>1.3674999999999999</v>
      </c>
      <c r="CI4" s="5">
        <v>1.3674999999999999</v>
      </c>
      <c r="CJ4" s="5">
        <v>10.324999999999999</v>
      </c>
      <c r="CK4" s="5">
        <v>1.8574999999999999</v>
      </c>
      <c r="CL4" s="5">
        <v>1.8574999999999999</v>
      </c>
      <c r="CM4" s="5">
        <v>1.8574999999999999</v>
      </c>
      <c r="CN4" s="5">
        <v>1.8574999999999999</v>
      </c>
      <c r="CO4" s="5">
        <v>1.8574999999999999</v>
      </c>
      <c r="CP4" s="5">
        <v>1.8574999999999999</v>
      </c>
      <c r="CQ4" s="5">
        <v>12.0175</v>
      </c>
      <c r="CR4" s="5">
        <v>2.4699999999999998</v>
      </c>
      <c r="CS4" s="5">
        <v>2.4699999999999998</v>
      </c>
      <c r="CT4" s="5">
        <v>2.4699999999999998</v>
      </c>
      <c r="CU4" s="5">
        <v>2.4699999999999998</v>
      </c>
      <c r="CV4" s="5">
        <v>2.4699999999999998</v>
      </c>
      <c r="CW4" s="5">
        <v>2.4699999999999998</v>
      </c>
      <c r="CX4">
        <v>-67.41</v>
      </c>
      <c r="CY4" s="1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 s="10" cm="1">
        <f t="array" ref="DL4">IF($BJ4&lt;&gt;"",IFERROR(AVERAGE(_xlfn._xlws.FILTER($BD:$BD,($BA:$BA=$BI4)*($BC:$BC=_xlfn.NUMBERVALUE($BJ4)))),""),"")</f>
        <v>0</v>
      </c>
      <c r="DM4" s="10" cm="1">
        <f t="array" ref="DM4">IF($BK4&lt;&gt;"",IFERROR(AVERAGE(_xlfn._xlws.FILTER($BD:$BD,($BA:$BA=$BI4)*($BC:$BC=_xlfn.NUMBERVALUE($BK4)))),""),"")</f>
        <v>16.230769230769234</v>
      </c>
      <c r="DN4" s="10" cm="1">
        <f t="array" ref="DN4">IF($BL4&lt;&gt;"",IFERROR(AVERAGE(_xlfn._xlws.FILTER($BD:$BD,($BA:$BA=$BI4)*($BC:$BC=_xlfn.NUMBERVALUE($BL4)))),""),"")</f>
        <v>36.206666666666671</v>
      </c>
      <c r="DO4" s="10" cm="1">
        <f t="array" ref="DO4">IF($BM4&lt;&gt;"",IFERROR(AVERAGE(_xlfn._xlws.FILTER($BD:$BD,($BA:$BA=$BI4)*($BC:$BC=_xlfn.NUMBERVALUE($BM4)))),""),"")</f>
        <v>64.05</v>
      </c>
      <c r="DP4" s="10" t="str" cm="1">
        <f t="array" ref="DP4">IF($BN4&lt;&gt;"",IFERROR(AVERAGE(_xlfn._xlws.FILTER($BD:$BD,($BA:$BA=$BI4)*($BC:$BC=_xlfn.NUMBERVALUE($BN4)))),""),"")</f>
        <v/>
      </c>
      <c r="DQ4" s="10" t="str" cm="1">
        <f t="array" ref="DQ4">IF($BO4&lt;&gt;"",IFERROR(AVERAGE(_xlfn._xlws.FILTER($BD:$BD,($BA:$BA=$BI4)*($BC:$BC=_xlfn.NUMBERVALUE($BO4)))),""),"")</f>
        <v/>
      </c>
      <c r="DR4">
        <v>0</v>
      </c>
      <c r="DS4" s="10">
        <v>0</v>
      </c>
      <c r="DT4" s="10">
        <v>0</v>
      </c>
      <c r="DU4" s="10">
        <v>0</v>
      </c>
      <c r="DV4" s="10" t="str">
        <v/>
      </c>
      <c r="DW4" s="10" t="str">
        <v/>
      </c>
      <c r="DX4" cm="1">
        <f t="array" ref="DX4">IF($BJ4&lt;&gt;"",IFERROR(AVERAGE(_xlfn._xlws.FILTER($BE:$BE,($BA:$BA=$BI4)*($BC:$BC=_xlfn.NUMBERVALUE($BJ4)))),""),"")</f>
        <v>0</v>
      </c>
      <c r="DY4" s="10" cm="1">
        <f t="array" ref="DY4">IF($BK4&lt;&gt;"",IFERROR(AVERAGE(_xlfn._xlws.FILTER($BE:$BE,($BA:$BA=$BI4)*($BC:$BC=_xlfn.NUMBERVALUE($BK4)))),""),"")</f>
        <v>0</v>
      </c>
      <c r="DZ4" s="10" cm="1">
        <f t="array" ref="DZ4">IF($BL4&lt;&gt;"",IFERROR(AVERAGE(_xlfn._xlws.FILTER($BE:$BE,($BA:$BA=$BI4)*($BC:$BC=_xlfn.NUMBERVALUE($BL4)))),""),"")</f>
        <v>0</v>
      </c>
      <c r="EA4" s="10" cm="1">
        <f t="array" ref="EA4">IF($BM4&lt;&gt;"",IFERROR(AVERAGE(_xlfn._xlws.FILTER($BE:$BE,($BA:$BA=$BI4)*($BC:$BC=_xlfn.NUMBERVALUE($BM4)))),""),"")</f>
        <v>0</v>
      </c>
      <c r="EB4" s="10" t="str" cm="1">
        <f t="array" ref="EB4">IF($BN4&lt;&gt;"",IFERROR(AVERAGE(_xlfn._xlws.FILTER($BE:$BE,($BA:$BA=$BI4)*($BC:$BC=_xlfn.NUMBERVALUE($BN4)))),""),"")</f>
        <v/>
      </c>
      <c r="EC4" s="10" t="str" cm="1">
        <f t="array" ref="EC4">IF($BO4&lt;&gt;"",IFERROR(AVERAGE(_xlfn._xlws.FILTER($BE:$BE,($BA:$BA=$BI4)*($BC:$BC=_xlfn.NUMBERVALUE($BO4)))),""),"")</f>
        <v/>
      </c>
    </row>
    <row r="5" spans="1:133" x14ac:dyDescent="0.3">
      <c r="A5" t="str">
        <v>EPP:170mg</v>
      </c>
      <c r="B5" s="2">
        <v>35</v>
      </c>
      <c r="C5" s="1">
        <v>60</v>
      </c>
      <c r="D5" s="2">
        <v>2.4699999999999998</v>
      </c>
      <c r="E5" s="25" t="s">
        <v>155</v>
      </c>
      <c r="F5" s="25">
        <v>60</v>
      </c>
      <c r="AW5" s="1">
        <v>1.1000000000000001</v>
      </c>
      <c r="AX5" s="1">
        <v>1.1000000000000001</v>
      </c>
      <c r="AY5" t="str">
        <v>R080_HI782-0_0.0_LOT0366_PWW49.1_QC.xlsx</v>
      </c>
      <c r="AZ5" t="str">
        <v>LOT0366</v>
      </c>
      <c r="BA5" s="3">
        <v>1</v>
      </c>
      <c r="BB5" t="str">
        <v>P/Final</v>
      </c>
      <c r="BC5">
        <v>0</v>
      </c>
      <c r="BD5" s="10">
        <v>0.6</v>
      </c>
      <c r="BE5" s="10">
        <v>0</v>
      </c>
      <c r="BF5" s="10">
        <v>0</v>
      </c>
      <c r="BG5" s="13">
        <v>45299</v>
      </c>
      <c r="BH5" t="str">
        <v>LOT0428</v>
      </c>
      <c r="BI5">
        <v>4</v>
      </c>
      <c r="BJ5">
        <v>0</v>
      </c>
      <c r="BK5">
        <v>15</v>
      </c>
      <c r="BL5">
        <v>35</v>
      </c>
      <c r="BM5">
        <v>60</v>
      </c>
      <c r="BN5" t="str">
        <v/>
      </c>
      <c r="BO5" t="str">
        <v/>
      </c>
      <c r="BP5" s="10">
        <v>0.13333333333333333</v>
      </c>
      <c r="BQ5" s="10">
        <v>15.358823529411765</v>
      </c>
      <c r="BR5" s="10">
        <v>35.238095238095241</v>
      </c>
      <c r="BS5" s="10">
        <v>60.541176470588226</v>
      </c>
      <c r="BT5" s="10" t="str">
        <v/>
      </c>
      <c r="BU5" s="10" t="str">
        <v/>
      </c>
      <c r="BV5">
        <v>0</v>
      </c>
      <c r="BW5">
        <v>0</v>
      </c>
      <c r="BX5">
        <v>0</v>
      </c>
      <c r="BY5" s="5">
        <v>0</v>
      </c>
      <c r="BZ5" s="5">
        <v>1</v>
      </c>
      <c r="CA5" s="5">
        <v>1</v>
      </c>
      <c r="CB5" s="5">
        <v>1</v>
      </c>
      <c r="CC5" s="5">
        <v>7.8975000000000009</v>
      </c>
      <c r="CD5" s="5">
        <v>1.3674999999999999</v>
      </c>
      <c r="CE5" s="5">
        <v>1.3674999999999999</v>
      </c>
      <c r="CF5" s="5">
        <v>1.3674999999999999</v>
      </c>
      <c r="CG5" s="5">
        <v>1.3674999999999999</v>
      </c>
      <c r="CH5" s="5">
        <v>1.3674999999999999</v>
      </c>
      <c r="CI5" s="5">
        <v>1.3674999999999999</v>
      </c>
      <c r="CJ5" s="5">
        <v>10.324999999999999</v>
      </c>
      <c r="CK5" s="5">
        <v>1.8574999999999999</v>
      </c>
      <c r="CL5" s="5">
        <v>1.8574999999999999</v>
      </c>
      <c r="CM5" s="5">
        <v>1.8574999999999999</v>
      </c>
      <c r="CN5" s="5">
        <v>1.8574999999999999</v>
      </c>
      <c r="CO5" s="5">
        <v>1.8574999999999999</v>
      </c>
      <c r="CP5" s="5">
        <v>1.8574999999999999</v>
      </c>
      <c r="CQ5" s="5">
        <v>12.0175</v>
      </c>
      <c r="CR5" s="5">
        <v>2.4699999999999998</v>
      </c>
      <c r="CS5" s="5">
        <v>2.4699999999999998</v>
      </c>
      <c r="CT5" s="5">
        <v>2.4699999999999998</v>
      </c>
      <c r="CU5" s="5">
        <v>2.4699999999999998</v>
      </c>
      <c r="CV5" s="5">
        <v>2.4699999999999998</v>
      </c>
      <c r="CW5" s="5">
        <v>2.4699999999999998</v>
      </c>
      <c r="CX5">
        <v>-67.41</v>
      </c>
      <c r="CY5" s="1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 s="10" cm="1">
        <f t="array" ref="DL5">IF($BJ5&lt;&gt;"",IFERROR(AVERAGE(_xlfn._xlws.FILTER($BD:$BD,($BA:$BA=$BI5)*($BC:$BC=_xlfn.NUMBERVALUE($BJ5)))),""),"")</f>
        <v>0.13333333333333333</v>
      </c>
      <c r="DM5" s="10" cm="1">
        <f t="array" ref="DM5">IF($BK5&lt;&gt;"",IFERROR(AVERAGE(_xlfn._xlws.FILTER($BD:$BD,($BA:$BA=$BI5)*($BC:$BC=_xlfn.NUMBERVALUE($BK5)))),""),"")</f>
        <v>15.358823529411765</v>
      </c>
      <c r="DN5" s="10" cm="1">
        <f t="array" ref="DN5">IF($BL5&lt;&gt;"",IFERROR(AVERAGE(_xlfn._xlws.FILTER($BD:$BD,($BA:$BA=$BI5)*($BC:$BC=_xlfn.NUMBERVALUE($BL5)))),""),"")</f>
        <v>35.238095238095241</v>
      </c>
      <c r="DO5" s="10" cm="1">
        <f t="array" ref="DO5">IF($BM5&lt;&gt;"",IFERROR(AVERAGE(_xlfn._xlws.FILTER($BD:$BD,($BA:$BA=$BI5)*($BC:$BC=_xlfn.NUMBERVALUE($BM5)))),""),"")</f>
        <v>60.541176470588226</v>
      </c>
      <c r="DP5" s="10" t="str" cm="1">
        <f t="array" ref="DP5">IF($BN5&lt;&gt;"",IFERROR(AVERAGE(_xlfn._xlws.FILTER($BD:$BD,($BA:$BA=$BI5)*($BC:$BC=_xlfn.NUMBERVALUE($BN5)))),""),"")</f>
        <v/>
      </c>
      <c r="DQ5" s="10" t="str" cm="1">
        <f t="array" ref="DQ5">IF($BO5&lt;&gt;"",IFERROR(AVERAGE(_xlfn._xlws.FILTER($BD:$BD,($BA:$BA=$BI5)*($BC:$BC=_xlfn.NUMBERVALUE($BO5)))),""),"")</f>
        <v/>
      </c>
      <c r="DR5">
        <v>0</v>
      </c>
      <c r="DS5" s="10">
        <v>0</v>
      </c>
      <c r="DT5" s="10">
        <v>0</v>
      </c>
      <c r="DU5" s="10">
        <v>0</v>
      </c>
      <c r="DV5" s="10" t="str">
        <v/>
      </c>
      <c r="DW5" s="10" t="str">
        <v/>
      </c>
      <c r="DX5" cm="1">
        <f t="array" ref="DX5">IF($BJ5&lt;&gt;"",IFERROR(AVERAGE(_xlfn._xlws.FILTER($BE:$BE,($BA:$BA=$BI5)*($BC:$BC=_xlfn.NUMBERVALUE($BJ5)))),""),"")</f>
        <v>0</v>
      </c>
      <c r="DY5" s="10" cm="1">
        <f t="array" ref="DY5">IF($BK5&lt;&gt;"",IFERROR(AVERAGE(_xlfn._xlws.FILTER($BE:$BE,($BA:$BA=$BI5)*($BC:$BC=_xlfn.NUMBERVALUE($BK5)))),""),"")</f>
        <v>0</v>
      </c>
      <c r="DZ5" s="10" cm="1">
        <f t="array" ref="DZ5">IF($BL5&lt;&gt;"",IFERROR(AVERAGE(_xlfn._xlws.FILTER($BE:$BE,($BA:$BA=$BI5)*($BC:$BC=_xlfn.NUMBERVALUE($BL5)))),""),"")</f>
        <v>0</v>
      </c>
      <c r="EA5" s="10" cm="1">
        <f t="array" ref="EA5">IF($BM5&lt;&gt;"",IFERROR(AVERAGE(_xlfn._xlws.FILTER($BE:$BE,($BA:$BA=$BI5)*($BC:$BC=_xlfn.NUMBERVALUE($BM5)))),""),"")</f>
        <v>0</v>
      </c>
      <c r="EB5" s="10" t="str" cm="1">
        <f t="array" ref="EB5">IF($BN5&lt;&gt;"",IFERROR(AVERAGE(_xlfn._xlws.FILTER($BE:$BE,($BA:$BA=$BI5)*($BC:$BC=_xlfn.NUMBERVALUE($BN5)))),""),"")</f>
        <v/>
      </c>
      <c r="EC5" s="10" t="str" cm="1">
        <f t="array" ref="EC5">IF($BO5&lt;&gt;"",IFERROR(AVERAGE(_xlfn._xlws.FILTER($BE:$BE,($BA:$BA=$BI5)*($BC:$BC=_xlfn.NUMBERVALUE($BO5)))),""),"")</f>
        <v/>
      </c>
    </row>
    <row r="6" spans="1:133" x14ac:dyDescent="0.3">
      <c r="A6" t="str">
        <v>EPP:171mg</v>
      </c>
      <c r="B6" s="1">
        <v>60</v>
      </c>
      <c r="D6" s="2"/>
      <c r="E6" s="25" t="s">
        <v>155</v>
      </c>
      <c r="F6" s="25" t="s">
        <v>155</v>
      </c>
      <c r="AW6" s="1">
        <v>1.1000000000000001</v>
      </c>
      <c r="AX6" s="1">
        <v>1.1000000000000001</v>
      </c>
      <c r="AY6" t="str">
        <v>R080_HI782-0_0.0_LOT0366_PWW49.1_QC.xlsx</v>
      </c>
      <c r="AZ6" t="str">
        <v>LOT0366</v>
      </c>
      <c r="BA6" s="3">
        <v>1</v>
      </c>
      <c r="BB6" t="str">
        <v>P/Final</v>
      </c>
      <c r="BC6">
        <v>15</v>
      </c>
      <c r="BD6" s="10">
        <v>16.600000000000001</v>
      </c>
      <c r="BE6" s="10">
        <v>0</v>
      </c>
      <c r="BF6" s="10">
        <v>0</v>
      </c>
      <c r="BG6" s="13">
        <v>45299</v>
      </c>
      <c r="BH6" t="str">
        <v>LOT0450</v>
      </c>
      <c r="BI6">
        <v>5</v>
      </c>
      <c r="BJ6">
        <v>0</v>
      </c>
      <c r="BK6">
        <v>15</v>
      </c>
      <c r="BL6">
        <v>35</v>
      </c>
      <c r="BM6">
        <v>60</v>
      </c>
      <c r="BN6" t="str">
        <v/>
      </c>
      <c r="BO6" t="str">
        <v/>
      </c>
      <c r="BP6" s="10">
        <v>0.6</v>
      </c>
      <c r="BQ6" s="10">
        <v>17.186956521739127</v>
      </c>
      <c r="BR6" s="10">
        <v>38.442857142857143</v>
      </c>
      <c r="BS6" s="10">
        <v>62.014285714285698</v>
      </c>
      <c r="BT6" s="10" t="str">
        <v/>
      </c>
      <c r="BU6" s="10" t="str">
        <v/>
      </c>
      <c r="BV6">
        <v>0</v>
      </c>
      <c r="BW6">
        <v>0</v>
      </c>
      <c r="BX6">
        <v>0</v>
      </c>
      <c r="BY6" s="5">
        <v>0</v>
      </c>
      <c r="BZ6" s="5">
        <v>1</v>
      </c>
      <c r="CA6" s="5">
        <v>1</v>
      </c>
      <c r="CB6" s="5">
        <v>1</v>
      </c>
      <c r="CC6" s="5">
        <v>7.8975000000000009</v>
      </c>
      <c r="CD6" s="5">
        <v>1.3674999999999999</v>
      </c>
      <c r="CE6" s="5">
        <v>1.3674999999999999</v>
      </c>
      <c r="CF6" s="5">
        <v>1.3674999999999999</v>
      </c>
      <c r="CG6" s="5">
        <v>1.3674999999999999</v>
      </c>
      <c r="CH6" s="5">
        <v>1.3674999999999999</v>
      </c>
      <c r="CI6" s="5">
        <v>1.3674999999999999</v>
      </c>
      <c r="CJ6" s="5">
        <v>10.324999999999999</v>
      </c>
      <c r="CK6" s="5">
        <v>1.8574999999999999</v>
      </c>
      <c r="CL6" s="5">
        <v>1.8574999999999999</v>
      </c>
      <c r="CM6" s="5">
        <v>1.8574999999999999</v>
      </c>
      <c r="CN6" s="5">
        <v>1.8574999999999999</v>
      </c>
      <c r="CO6" s="5">
        <v>1.8574999999999999</v>
      </c>
      <c r="CP6" s="5">
        <v>1.8574999999999999</v>
      </c>
      <c r="CQ6" s="5">
        <v>12.0175</v>
      </c>
      <c r="CR6" s="5">
        <v>2.4699999999999998</v>
      </c>
      <c r="CS6" s="5">
        <v>2.4699999999999998</v>
      </c>
      <c r="CT6" s="5">
        <v>2.4699999999999998</v>
      </c>
      <c r="CU6" s="5">
        <v>2.4699999999999998</v>
      </c>
      <c r="CV6" s="5">
        <v>2.4699999999999998</v>
      </c>
      <c r="CW6" s="5">
        <v>2.4699999999999998</v>
      </c>
      <c r="CX6">
        <v>-67.41</v>
      </c>
      <c r="CY6" s="1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 s="10" cm="1">
        <f t="array" ref="DL6">IF($BJ6&lt;&gt;"",IFERROR(AVERAGE(_xlfn._xlws.FILTER($BD:$BD,($BA:$BA=$BI6)*($BC:$BC=_xlfn.NUMBERVALUE($BJ6)))),""),"")</f>
        <v>0.6</v>
      </c>
      <c r="DM6" s="10" cm="1">
        <f t="array" ref="DM6">IF($BK6&lt;&gt;"",IFERROR(AVERAGE(_xlfn._xlws.FILTER($BD:$BD,($BA:$BA=$BI6)*($BC:$BC=_xlfn.NUMBERVALUE($BK6)))),""),"")</f>
        <v>17.186956521739127</v>
      </c>
      <c r="DN6" s="10" cm="1">
        <f t="array" ref="DN6">IF($BL6&lt;&gt;"",IFERROR(AVERAGE(_xlfn._xlws.FILTER($BD:$BD,($BA:$BA=$BI6)*($BC:$BC=_xlfn.NUMBERVALUE($BL6)))),""),"")</f>
        <v>38.442857142857143</v>
      </c>
      <c r="DO6" s="10" cm="1">
        <f t="array" ref="DO6">IF($BM6&lt;&gt;"",IFERROR(AVERAGE(_xlfn._xlws.FILTER($BD:$BD,($BA:$BA=$BI6)*($BC:$BC=_xlfn.NUMBERVALUE($BM6)))),""),"")</f>
        <v>62.014285714285698</v>
      </c>
      <c r="DP6" s="10" t="str" cm="1">
        <f t="array" ref="DP6">IF($BN6&lt;&gt;"",IFERROR(AVERAGE(_xlfn._xlws.FILTER($BD:$BD,($BA:$BA=$BI6)*($BC:$BC=_xlfn.NUMBERVALUE($BN6)))),""),"")</f>
        <v/>
      </c>
      <c r="DQ6" s="10" t="str" cm="1">
        <f t="array" ref="DQ6">IF($BO6&lt;&gt;"",IFERROR(AVERAGE(_xlfn._xlws.FILTER($BD:$BD,($BA:$BA=$BI6)*($BC:$BC=_xlfn.NUMBERVALUE($BO6)))),""),"")</f>
        <v/>
      </c>
      <c r="DR6">
        <v>0</v>
      </c>
      <c r="DS6" s="10">
        <v>0</v>
      </c>
      <c r="DT6" s="10">
        <v>0</v>
      </c>
      <c r="DU6" s="10">
        <v>0</v>
      </c>
      <c r="DV6" s="10" t="str">
        <v/>
      </c>
      <c r="DW6" s="10" t="str">
        <v/>
      </c>
      <c r="DX6" cm="1">
        <f t="array" ref="DX6">IF($BJ6&lt;&gt;"",IFERROR(AVERAGE(_xlfn._xlws.FILTER($BE:$BE,($BA:$BA=$BI6)*($BC:$BC=_xlfn.NUMBERVALUE($BJ6)))),""),"")</f>
        <v>0</v>
      </c>
      <c r="DY6" s="10" cm="1">
        <f t="array" ref="DY6">IF($BK6&lt;&gt;"",IFERROR(AVERAGE(_xlfn._xlws.FILTER($BE:$BE,($BA:$BA=$BI6)*($BC:$BC=_xlfn.NUMBERVALUE($BK6)))),""),"")</f>
        <v>0</v>
      </c>
      <c r="DZ6" s="10" cm="1">
        <f t="array" ref="DZ6">IF($BL6&lt;&gt;"",IFERROR(AVERAGE(_xlfn._xlws.FILTER($BE:$BE,($BA:$BA=$BI6)*($BC:$BC=_xlfn.NUMBERVALUE($BL6)))),""),"")</f>
        <v>0</v>
      </c>
      <c r="EA6" s="10" cm="1">
        <f t="array" ref="EA6">IF($BM6&lt;&gt;"",IFERROR(AVERAGE(_xlfn._xlws.FILTER($BE:$BE,($BA:$BA=$BI6)*($BC:$BC=_xlfn.NUMBERVALUE($BM6)))),""),"")</f>
        <v>0</v>
      </c>
      <c r="EB6" s="10" t="str" cm="1">
        <f t="array" ref="EB6">IF($BN6&lt;&gt;"",IFERROR(AVERAGE(_xlfn._xlws.FILTER($BE:$BE,($BA:$BA=$BI6)*($BC:$BC=_xlfn.NUMBERVALUE($BN6)))),""),"")</f>
        <v/>
      </c>
      <c r="EC6" s="10" t="str" cm="1">
        <f t="array" ref="EC6">IF($BO6&lt;&gt;"",IFERROR(AVERAGE(_xlfn._xlws.FILTER($BE:$BE,($BA:$BA=$BI6)*($BC:$BC=_xlfn.NUMBERVALUE($BO6)))),""),"")</f>
        <v/>
      </c>
    </row>
    <row r="7" spans="1:133" x14ac:dyDescent="0.3">
      <c r="A7" t="str">
        <v>EPP:172mg</v>
      </c>
      <c r="D7" s="2"/>
      <c r="E7" s="25" t="s">
        <v>155</v>
      </c>
      <c r="F7" s="25" t="s">
        <v>155</v>
      </c>
      <c r="AW7" s="1">
        <v>1.1000000000000001</v>
      </c>
      <c r="AX7" s="1">
        <v>1.1000000000000001</v>
      </c>
      <c r="AY7" t="str">
        <v>R080_HI782-0_0.0_LOT0366_PWW49.1_QC.xlsx</v>
      </c>
      <c r="AZ7" t="str">
        <v>LOT0366</v>
      </c>
      <c r="BA7" s="3">
        <v>1</v>
      </c>
      <c r="BB7" t="str">
        <v>P/Final</v>
      </c>
      <c r="BC7">
        <v>15</v>
      </c>
      <c r="BD7" s="10">
        <v>17.2</v>
      </c>
      <c r="BE7" s="10">
        <v>0</v>
      </c>
      <c r="BF7" s="10">
        <v>0</v>
      </c>
      <c r="BG7" s="13">
        <v>45299</v>
      </c>
      <c r="BH7" t="str">
        <v>LOT0473</v>
      </c>
      <c r="BI7">
        <v>6</v>
      </c>
      <c r="BJ7">
        <v>0</v>
      </c>
      <c r="BK7">
        <v>15</v>
      </c>
      <c r="BL7">
        <v>35</v>
      </c>
      <c r="BM7">
        <v>60</v>
      </c>
      <c r="BN7" t="str">
        <v/>
      </c>
      <c r="BO7" t="str">
        <v/>
      </c>
      <c r="BP7" s="10">
        <v>0.35</v>
      </c>
      <c r="BQ7" s="10">
        <v>15.823076923076922</v>
      </c>
      <c r="BR7" s="10">
        <v>37.15625</v>
      </c>
      <c r="BS7" s="10">
        <v>59.409090909090907</v>
      </c>
      <c r="BT7" s="10" t="str">
        <v/>
      </c>
      <c r="BU7" s="10" t="str">
        <v/>
      </c>
      <c r="BV7">
        <v>0</v>
      </c>
      <c r="BW7">
        <v>0</v>
      </c>
      <c r="BX7">
        <v>0</v>
      </c>
      <c r="BY7" s="5">
        <v>0</v>
      </c>
      <c r="BZ7" s="5">
        <v>1</v>
      </c>
      <c r="CA7" s="5">
        <v>1</v>
      </c>
      <c r="CB7" s="5">
        <v>1</v>
      </c>
      <c r="CC7" s="5">
        <v>7.8975000000000009</v>
      </c>
      <c r="CD7" s="5">
        <v>1.3674999999999999</v>
      </c>
      <c r="CE7" s="5">
        <v>1.3674999999999999</v>
      </c>
      <c r="CF7" s="5">
        <v>1.3674999999999999</v>
      </c>
      <c r="CG7" s="5">
        <v>1.3674999999999999</v>
      </c>
      <c r="CH7" s="5">
        <v>1.3674999999999999</v>
      </c>
      <c r="CI7" s="5">
        <v>1.3674999999999999</v>
      </c>
      <c r="CJ7" s="5">
        <v>10.324999999999999</v>
      </c>
      <c r="CK7" s="5">
        <v>1.8574999999999999</v>
      </c>
      <c r="CL7" s="5">
        <v>1.8574999999999999</v>
      </c>
      <c r="CM7" s="5">
        <v>1.8574999999999999</v>
      </c>
      <c r="CN7" s="5">
        <v>1.8574999999999999</v>
      </c>
      <c r="CO7" s="5">
        <v>1.8574999999999999</v>
      </c>
      <c r="CP7" s="5">
        <v>1.8574999999999999</v>
      </c>
      <c r="CQ7" s="5">
        <v>12.0175</v>
      </c>
      <c r="CR7" s="5">
        <v>2.4699999999999998</v>
      </c>
      <c r="CS7" s="5">
        <v>2.4699999999999998</v>
      </c>
      <c r="CT7" s="5">
        <v>2.4699999999999998</v>
      </c>
      <c r="CU7" s="5">
        <v>2.4699999999999998</v>
      </c>
      <c r="CV7" s="5">
        <v>2.4699999999999998</v>
      </c>
      <c r="CW7" s="5">
        <v>2.4699999999999998</v>
      </c>
      <c r="CX7">
        <v>-67.41</v>
      </c>
      <c r="CY7" s="1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 s="10" cm="1">
        <f t="array" ref="DL7">IF($BJ7&lt;&gt;"",IFERROR(AVERAGE(_xlfn._xlws.FILTER($BD:$BD,($BA:$BA=$BI7)*($BC:$BC=_xlfn.NUMBERVALUE($BJ7)))),""),"")</f>
        <v>0.35</v>
      </c>
      <c r="DM7" s="10" cm="1">
        <f t="array" ref="DM7">IF($BK7&lt;&gt;"",IFERROR(AVERAGE(_xlfn._xlws.FILTER($BD:$BD,($BA:$BA=$BI7)*($BC:$BC=_xlfn.NUMBERVALUE($BK7)))),""),"")</f>
        <v>15.823076923076922</v>
      </c>
      <c r="DN7" s="10" cm="1">
        <f t="array" ref="DN7">IF($BL7&lt;&gt;"",IFERROR(AVERAGE(_xlfn._xlws.FILTER($BD:$BD,($BA:$BA=$BI7)*($BC:$BC=_xlfn.NUMBERVALUE($BL7)))),""),"")</f>
        <v>37.15625</v>
      </c>
      <c r="DO7" s="10" cm="1">
        <f t="array" ref="DO7">IF($BM7&lt;&gt;"",IFERROR(AVERAGE(_xlfn._xlws.FILTER($BD:$BD,($BA:$BA=$BI7)*($BC:$BC=_xlfn.NUMBERVALUE($BM7)))),""),"")</f>
        <v>59.409090909090907</v>
      </c>
      <c r="DP7" s="10" t="str" cm="1">
        <f t="array" ref="DP7">IF($BN7&lt;&gt;"",IFERROR(AVERAGE(_xlfn._xlws.FILTER($BD:$BD,($BA:$BA=$BI7)*($BC:$BC=_xlfn.NUMBERVALUE($BN7)))),""),"")</f>
        <v/>
      </c>
      <c r="DQ7" s="10" t="str" cm="1">
        <f t="array" ref="DQ7">IF($BO7&lt;&gt;"",IFERROR(AVERAGE(_xlfn._xlws.FILTER($BD:$BD,($BA:$BA=$BI7)*($BC:$BC=_xlfn.NUMBERVALUE($BO7)))),""),"")</f>
        <v/>
      </c>
      <c r="DR7">
        <v>0</v>
      </c>
      <c r="DS7" s="10">
        <v>0</v>
      </c>
      <c r="DT7" s="10">
        <v>0</v>
      </c>
      <c r="DU7" s="10">
        <v>0</v>
      </c>
      <c r="DV7" s="10" t="str">
        <v/>
      </c>
      <c r="DW7" s="10" t="str">
        <v/>
      </c>
      <c r="DX7" cm="1">
        <f t="array" ref="DX7">IF($BJ7&lt;&gt;"",IFERROR(AVERAGE(_xlfn._xlws.FILTER($BE:$BE,($BA:$BA=$BI7)*($BC:$BC=_xlfn.NUMBERVALUE($BJ7)))),""),"")</f>
        <v>0</v>
      </c>
      <c r="DY7" s="10" cm="1">
        <f t="array" ref="DY7">IF($BK7&lt;&gt;"",IFERROR(AVERAGE(_xlfn._xlws.FILTER($BE:$BE,($BA:$BA=$BI7)*($BC:$BC=_xlfn.NUMBERVALUE($BK7)))),""),"")</f>
        <v>0</v>
      </c>
      <c r="DZ7" s="10" cm="1">
        <f t="array" ref="DZ7">IF($BL7&lt;&gt;"",IFERROR(AVERAGE(_xlfn._xlws.FILTER($BE:$BE,($BA:$BA=$BI7)*($BC:$BC=_xlfn.NUMBERVALUE($BL7)))),""),"")</f>
        <v>0</v>
      </c>
      <c r="EA7" s="10" cm="1">
        <f t="array" ref="EA7">IF($BM7&lt;&gt;"",IFERROR(AVERAGE(_xlfn._xlws.FILTER($BE:$BE,($BA:$BA=$BI7)*($BC:$BC=_xlfn.NUMBERVALUE($BM7)))),""),"")</f>
        <v>0</v>
      </c>
      <c r="EB7" s="10" t="str" cm="1">
        <f t="array" ref="EB7">IF($BN7&lt;&gt;"",IFERROR(AVERAGE(_xlfn._xlws.FILTER($BE:$BE,($BA:$BA=$BI7)*($BC:$BC=_xlfn.NUMBERVALUE($BN7)))),""),"")</f>
        <v/>
      </c>
      <c r="EC7" s="10" t="str" cm="1">
        <f t="array" ref="EC7">IF($BO7&lt;&gt;"",IFERROR(AVERAGE(_xlfn._xlws.FILTER($BE:$BE,($BA:$BA=$BI7)*($BC:$BC=_xlfn.NUMBERVALUE($BO7)))),""),"")</f>
        <v/>
      </c>
    </row>
    <row r="8" spans="1:133" x14ac:dyDescent="0.3">
      <c r="A8" t="str">
        <v>EPP:250mg</v>
      </c>
      <c r="AW8" s="1">
        <v>1.1000000000000001</v>
      </c>
      <c r="AX8" s="1">
        <v>1.1000000000000001</v>
      </c>
      <c r="AY8" t="str">
        <v>R080_HI782-0_0.0_LOT0366_PWW49.1_QC.xlsx</v>
      </c>
      <c r="AZ8" t="str">
        <v>LOT0366</v>
      </c>
      <c r="BA8" s="3">
        <v>1</v>
      </c>
      <c r="BB8" t="str">
        <v>P/Final</v>
      </c>
      <c r="BC8">
        <v>15</v>
      </c>
      <c r="BD8" s="10">
        <v>17</v>
      </c>
      <c r="BE8" s="10">
        <v>0</v>
      </c>
      <c r="BF8" s="10">
        <v>0</v>
      </c>
      <c r="BG8" s="13">
        <v>45299</v>
      </c>
      <c r="BH8" t="str">
        <v>LOT0504</v>
      </c>
      <c r="BI8">
        <v>7</v>
      </c>
      <c r="BJ8">
        <v>0</v>
      </c>
      <c r="BK8">
        <v>15</v>
      </c>
      <c r="BL8">
        <v>35</v>
      </c>
      <c r="BM8">
        <v>60</v>
      </c>
      <c r="BN8" t="str">
        <v/>
      </c>
      <c r="BO8" t="str">
        <v/>
      </c>
      <c r="BP8" s="10">
        <v>0</v>
      </c>
      <c r="BQ8" s="10">
        <v>16.478947368421057</v>
      </c>
      <c r="BR8" s="10">
        <v>37.939130434782612</v>
      </c>
      <c r="BS8" s="10">
        <v>62.090476190476195</v>
      </c>
      <c r="BT8" s="10" t="str">
        <v/>
      </c>
      <c r="BU8" s="10" t="str">
        <v/>
      </c>
      <c r="BV8">
        <v>0</v>
      </c>
      <c r="BW8">
        <v>0</v>
      </c>
      <c r="BX8">
        <v>0</v>
      </c>
      <c r="BY8" s="5">
        <v>0</v>
      </c>
      <c r="BZ8" s="5">
        <v>1</v>
      </c>
      <c r="CA8" s="5">
        <v>1</v>
      </c>
      <c r="CB8" s="5">
        <v>1</v>
      </c>
      <c r="CC8" s="5">
        <v>7.8975000000000009</v>
      </c>
      <c r="CD8" s="5">
        <v>1.3674999999999999</v>
      </c>
      <c r="CE8" s="5">
        <v>1.3674999999999999</v>
      </c>
      <c r="CF8" s="5">
        <v>1.3674999999999999</v>
      </c>
      <c r="CG8" s="5">
        <v>1.3674999999999999</v>
      </c>
      <c r="CH8" s="5">
        <v>1.3674999999999999</v>
      </c>
      <c r="CI8" s="5">
        <v>1.3674999999999999</v>
      </c>
      <c r="CJ8" s="5">
        <v>10.324999999999999</v>
      </c>
      <c r="CK8" s="5">
        <v>1.8574999999999999</v>
      </c>
      <c r="CL8" s="5">
        <v>1.8574999999999999</v>
      </c>
      <c r="CM8" s="5">
        <v>1.8574999999999999</v>
      </c>
      <c r="CN8" s="5">
        <v>1.8574999999999999</v>
      </c>
      <c r="CO8" s="5">
        <v>1.8574999999999999</v>
      </c>
      <c r="CP8" s="5">
        <v>1.8574999999999999</v>
      </c>
      <c r="CQ8" s="5">
        <v>12.0175</v>
      </c>
      <c r="CR8" s="5">
        <v>2.4699999999999998</v>
      </c>
      <c r="CS8" s="5">
        <v>2.4699999999999998</v>
      </c>
      <c r="CT8" s="5">
        <v>2.4699999999999998</v>
      </c>
      <c r="CU8" s="5">
        <v>2.4699999999999998</v>
      </c>
      <c r="CV8" s="5">
        <v>2.4699999999999998</v>
      </c>
      <c r="CW8" s="5">
        <v>2.4699999999999998</v>
      </c>
      <c r="CX8">
        <v>-67.41</v>
      </c>
      <c r="CY8" s="1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 s="10" cm="1">
        <f t="array" ref="DL8">IF($BJ8&lt;&gt;"",IFERROR(AVERAGE(_xlfn._xlws.FILTER($BD:$BD,($BA:$BA=$BI8)*($BC:$BC=_xlfn.NUMBERVALUE($BJ8)))),""),"")</f>
        <v>0</v>
      </c>
      <c r="DM8" s="10" cm="1">
        <f t="array" ref="DM8">IF($BK8&lt;&gt;"",IFERROR(AVERAGE(_xlfn._xlws.FILTER($BD:$BD,($BA:$BA=$BI8)*($BC:$BC=_xlfn.NUMBERVALUE($BK8)))),""),"")</f>
        <v>16.478947368421057</v>
      </c>
      <c r="DN8" s="10" cm="1">
        <f t="array" ref="DN8">IF($BL8&lt;&gt;"",IFERROR(AVERAGE(_xlfn._xlws.FILTER($BD:$BD,($BA:$BA=$BI8)*($BC:$BC=_xlfn.NUMBERVALUE($BL8)))),""),"")</f>
        <v>37.939130434782612</v>
      </c>
      <c r="DO8" s="10" cm="1">
        <f t="array" ref="DO8">IF($BM8&lt;&gt;"",IFERROR(AVERAGE(_xlfn._xlws.FILTER($BD:$BD,($BA:$BA=$BI8)*($BC:$BC=_xlfn.NUMBERVALUE($BM8)))),""),"")</f>
        <v>62.090476190476195</v>
      </c>
      <c r="DP8" s="10" t="str" cm="1">
        <f t="array" ref="DP8">IF($BN8&lt;&gt;"",IFERROR(AVERAGE(_xlfn._xlws.FILTER($BD:$BD,($BA:$BA=$BI8)*($BC:$BC=_xlfn.NUMBERVALUE($BN8)))),""),"")</f>
        <v/>
      </c>
      <c r="DQ8" s="10" t="str" cm="1">
        <f t="array" ref="DQ8">IF($BO8&lt;&gt;"",IFERROR(AVERAGE(_xlfn._xlws.FILTER($BD:$BD,($BA:$BA=$BI8)*($BC:$BC=_xlfn.NUMBERVALUE($BO8)))),""),"")</f>
        <v/>
      </c>
      <c r="DR8">
        <v>0</v>
      </c>
      <c r="DS8" s="10">
        <v>0</v>
      </c>
      <c r="DT8" s="10">
        <v>0</v>
      </c>
      <c r="DU8" s="10">
        <v>0</v>
      </c>
      <c r="DV8" s="10" t="str">
        <v/>
      </c>
      <c r="DW8" s="10" t="str">
        <v/>
      </c>
      <c r="DX8" cm="1">
        <f t="array" ref="DX8">IF($BJ8&lt;&gt;"",IFERROR(AVERAGE(_xlfn._xlws.FILTER($BE:$BE,($BA:$BA=$BI8)*($BC:$BC=_xlfn.NUMBERVALUE($BJ8)))),""),"")</f>
        <v>0</v>
      </c>
      <c r="DY8" s="10" cm="1">
        <f t="array" ref="DY8">IF($BK8&lt;&gt;"",IFERROR(AVERAGE(_xlfn._xlws.FILTER($BE:$BE,($BA:$BA=$BI8)*($BC:$BC=_xlfn.NUMBERVALUE($BK8)))),""),"")</f>
        <v>0</v>
      </c>
      <c r="DZ8" s="10" cm="1">
        <f t="array" ref="DZ8">IF($BL8&lt;&gt;"",IFERROR(AVERAGE(_xlfn._xlws.FILTER($BE:$BE,($BA:$BA=$BI8)*($BC:$BC=_xlfn.NUMBERVALUE($BL8)))),""),"")</f>
        <v>0</v>
      </c>
      <c r="EA8" s="10" cm="1">
        <f t="array" ref="EA8">IF($BM8&lt;&gt;"",IFERROR(AVERAGE(_xlfn._xlws.FILTER($BE:$BE,($BA:$BA=$BI8)*($BC:$BC=_xlfn.NUMBERVALUE($BM8)))),""),"")</f>
        <v>0</v>
      </c>
      <c r="EB8" s="10" t="str" cm="1">
        <f t="array" ref="EB8">IF($BN8&lt;&gt;"",IFERROR(AVERAGE(_xlfn._xlws.FILTER($BE:$BE,($BA:$BA=$BI8)*($BC:$BC=_xlfn.NUMBERVALUE($BN8)))),""),"")</f>
        <v/>
      </c>
      <c r="EC8" s="10" t="str" cm="1">
        <f t="array" ref="EC8">IF($BO8&lt;&gt;"",IFERROR(AVERAGE(_xlfn._xlws.FILTER($BE:$BE,($BA:$BA=$BI8)*($BC:$BC=_xlfn.NUMBERVALUE($BO8)))),""),"")</f>
        <v/>
      </c>
    </row>
    <row r="9" spans="1:133" ht="15" thickBot="1" x14ac:dyDescent="0.35">
      <c r="A9" t="str">
        <v>Old A</v>
      </c>
      <c r="AW9" s="1">
        <v>1.1000000000000001</v>
      </c>
      <c r="AX9" s="1">
        <v>1.1000000000000001</v>
      </c>
      <c r="AY9" t="str">
        <v>R080_HI782-0_0.0_LOT0366_PWW49.1_QC.xlsx</v>
      </c>
      <c r="AZ9" t="str">
        <v>LOT0366</v>
      </c>
      <c r="BA9" s="3">
        <v>1</v>
      </c>
      <c r="BB9" t="str">
        <v>P/Final</v>
      </c>
      <c r="BC9">
        <v>15</v>
      </c>
      <c r="BD9" s="10">
        <v>15.7</v>
      </c>
      <c r="BE9" s="10">
        <v>0</v>
      </c>
      <c r="BF9" s="10">
        <v>0</v>
      </c>
      <c r="BG9" s="13">
        <v>45299</v>
      </c>
      <c r="BH9" t="str">
        <v>LOT0512</v>
      </c>
      <c r="BI9">
        <v>8</v>
      </c>
      <c r="BJ9">
        <v>0</v>
      </c>
      <c r="BK9">
        <v>15</v>
      </c>
      <c r="BL9">
        <v>35</v>
      </c>
      <c r="BM9">
        <v>60</v>
      </c>
      <c r="BN9" t="str">
        <v/>
      </c>
      <c r="BO9" t="str">
        <v/>
      </c>
      <c r="BP9" s="10">
        <v>0.1</v>
      </c>
      <c r="BQ9" s="10">
        <v>16.36</v>
      </c>
      <c r="BR9" s="10">
        <v>38</v>
      </c>
      <c r="BS9" s="10">
        <v>63.14</v>
      </c>
      <c r="BT9" s="10" t="str">
        <v/>
      </c>
      <c r="BU9" s="10" t="str">
        <v/>
      </c>
      <c r="BV9">
        <v>0</v>
      </c>
      <c r="BW9">
        <v>0</v>
      </c>
      <c r="BX9">
        <v>0</v>
      </c>
      <c r="BY9" s="5">
        <v>0</v>
      </c>
      <c r="BZ9" s="5">
        <v>1</v>
      </c>
      <c r="CA9" s="5">
        <v>1</v>
      </c>
      <c r="CB9" s="5">
        <v>1</v>
      </c>
      <c r="CC9" s="5">
        <v>7.8975000000000009</v>
      </c>
      <c r="CD9" s="5">
        <v>1.3674999999999999</v>
      </c>
      <c r="CE9" s="5">
        <v>1.3674999999999999</v>
      </c>
      <c r="CF9" s="5">
        <v>1.3674999999999999</v>
      </c>
      <c r="CG9" s="5">
        <v>1.3674999999999999</v>
      </c>
      <c r="CH9" s="5">
        <v>1.3674999999999999</v>
      </c>
      <c r="CI9" s="5">
        <v>1.3674999999999999</v>
      </c>
      <c r="CJ9" s="5">
        <v>10.324999999999999</v>
      </c>
      <c r="CK9" s="5">
        <v>1.8574999999999999</v>
      </c>
      <c r="CL9" s="5">
        <v>1.8574999999999999</v>
      </c>
      <c r="CM9" s="5">
        <v>1.8574999999999999</v>
      </c>
      <c r="CN9" s="5">
        <v>1.8574999999999999</v>
      </c>
      <c r="CO9" s="5">
        <v>1.8574999999999999</v>
      </c>
      <c r="CP9" s="5">
        <v>1.8574999999999999</v>
      </c>
      <c r="CQ9" s="5">
        <v>12.0175</v>
      </c>
      <c r="CR9" s="5">
        <v>2.4699999999999998</v>
      </c>
      <c r="CS9" s="5">
        <v>2.4699999999999998</v>
      </c>
      <c r="CT9" s="5">
        <v>2.4699999999999998</v>
      </c>
      <c r="CU9" s="5">
        <v>2.4699999999999998</v>
      </c>
      <c r="CV9" s="5">
        <v>2.4699999999999998</v>
      </c>
      <c r="CW9" s="5">
        <v>2.4699999999999998</v>
      </c>
      <c r="CX9">
        <v>-67.41</v>
      </c>
      <c r="CY9" s="1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 s="10" cm="1">
        <f t="array" ref="DL9">IF($BJ9&lt;&gt;"",IFERROR(AVERAGE(_xlfn._xlws.FILTER($BD:$BD,($BA:$BA=$BI9)*($BC:$BC=_xlfn.NUMBERVALUE($BJ9)))),""),"")</f>
        <v>0.1</v>
      </c>
      <c r="DM9" s="10" cm="1">
        <f t="array" ref="DM9">IF($BK9&lt;&gt;"",IFERROR(AVERAGE(_xlfn._xlws.FILTER($BD:$BD,($BA:$BA=$BI9)*($BC:$BC=_xlfn.NUMBERVALUE($BK9)))),""),"")</f>
        <v>16.36</v>
      </c>
      <c r="DN9" s="10" cm="1">
        <f t="array" ref="DN9">IF($BL9&lt;&gt;"",IFERROR(AVERAGE(_xlfn._xlws.FILTER($BD:$BD,($BA:$BA=$BI9)*($BC:$BC=_xlfn.NUMBERVALUE($BL9)))),""),"")</f>
        <v>38</v>
      </c>
      <c r="DO9" s="10" cm="1">
        <f t="array" ref="DO9">IF($BM9&lt;&gt;"",IFERROR(AVERAGE(_xlfn._xlws.FILTER($BD:$BD,($BA:$BA=$BI9)*($BC:$BC=_xlfn.NUMBERVALUE($BM9)))),""),"")</f>
        <v>63.14</v>
      </c>
      <c r="DP9" s="10" t="str" cm="1">
        <f t="array" ref="DP9">IF($BN9&lt;&gt;"",IFERROR(AVERAGE(_xlfn._xlws.FILTER($BD:$BD,($BA:$BA=$BI9)*($BC:$BC=_xlfn.NUMBERVALUE($BN9)))),""),"")</f>
        <v/>
      </c>
      <c r="DQ9" s="10" t="str" cm="1">
        <f t="array" ref="DQ9">IF($BO9&lt;&gt;"",IFERROR(AVERAGE(_xlfn._xlws.FILTER($BD:$BD,($BA:$BA=$BI9)*($BC:$BC=_xlfn.NUMBERVALUE($BO9)))),""),"")</f>
        <v/>
      </c>
      <c r="DR9">
        <v>0</v>
      </c>
      <c r="DS9" s="10">
        <v>0</v>
      </c>
      <c r="DT9" s="10">
        <v>0</v>
      </c>
      <c r="DU9" s="10">
        <v>0</v>
      </c>
      <c r="DV9" s="10" t="str">
        <v/>
      </c>
      <c r="DW9" s="10" t="str">
        <v/>
      </c>
      <c r="DX9" cm="1">
        <f t="array" ref="DX9">IF($BJ9&lt;&gt;"",IFERROR(AVERAGE(_xlfn._xlws.FILTER($BE:$BE,($BA:$BA=$BI9)*($BC:$BC=_xlfn.NUMBERVALUE($BJ9)))),""),"")</f>
        <v>0</v>
      </c>
      <c r="DY9" s="10" cm="1">
        <f t="array" ref="DY9">IF($BK9&lt;&gt;"",IFERROR(AVERAGE(_xlfn._xlws.FILTER($BE:$BE,($BA:$BA=$BI9)*($BC:$BC=_xlfn.NUMBERVALUE($BK9)))),""),"")</f>
        <v>0</v>
      </c>
      <c r="DZ9" s="10" cm="1">
        <f t="array" ref="DZ9">IF($BL9&lt;&gt;"",IFERROR(AVERAGE(_xlfn._xlws.FILTER($BE:$BE,($BA:$BA=$BI9)*($BC:$BC=_xlfn.NUMBERVALUE($BL9)))),""),"")</f>
        <v>0</v>
      </c>
      <c r="EA9" s="10" cm="1">
        <f t="array" ref="EA9">IF($BM9&lt;&gt;"",IFERROR(AVERAGE(_xlfn._xlws.FILTER($BE:$BE,($BA:$BA=$BI9)*($BC:$BC=_xlfn.NUMBERVALUE($BM9)))),""),"")</f>
        <v>0</v>
      </c>
      <c r="EB9" s="10" t="str" cm="1">
        <f t="array" ref="EB9">IF($BN9&lt;&gt;"",IFERROR(AVERAGE(_xlfn._xlws.FILTER($BE:$BE,($BA:$BA=$BI9)*($BC:$BC=_xlfn.NUMBERVALUE($BN9)))),""),"")</f>
        <v/>
      </c>
      <c r="EC9" s="10" t="str" cm="1">
        <f t="array" ref="EC9">IF($BO9&lt;&gt;"",IFERROR(AVERAGE(_xlfn._xlws.FILTER($BE:$BE,($BA:$BA=$BI9)*($BC:$BC=_xlfn.NUMBERVALUE($BO9)))),""),"")</f>
        <v/>
      </c>
    </row>
    <row r="10" spans="1:133" x14ac:dyDescent="0.3">
      <c r="A10" t="str">
        <v>Old B</v>
      </c>
      <c r="F10" s="46"/>
      <c r="G10" s="46"/>
      <c r="H10" s="46"/>
      <c r="I10" s="46"/>
      <c r="J10" s="47"/>
      <c r="K10" s="43" t="str">
        <f>CONCATENATE("Std 1 tests distribution( ",C2," )" )</f>
        <v>Std 1 tests distribution( 0 )</v>
      </c>
      <c r="L10" s="44"/>
      <c r="M10" s="44"/>
      <c r="N10" s="44"/>
      <c r="O10" s="44"/>
      <c r="P10" s="44"/>
      <c r="Q10" s="44"/>
      <c r="R10" s="44"/>
      <c r="S10" s="45"/>
      <c r="T10" s="43" t="str">
        <f>CONCATENATE("Std 2 tests distribution( ",C3," )")</f>
        <v>Std 2 tests distribution( 15 )</v>
      </c>
      <c r="U10" s="44"/>
      <c r="V10" s="44"/>
      <c r="W10" s="44"/>
      <c r="X10" s="44"/>
      <c r="Y10" s="44"/>
      <c r="Z10" s="44"/>
      <c r="AA10" s="44"/>
      <c r="AB10" s="45"/>
      <c r="AC10" s="43" t="str">
        <f>CONCATENATE("Std 3 tests distribution( ",C4," )" )</f>
        <v>Std 3 tests distribution( 35 )</v>
      </c>
      <c r="AD10" s="44"/>
      <c r="AE10" s="44"/>
      <c r="AF10" s="44"/>
      <c r="AG10" s="44"/>
      <c r="AH10" s="44"/>
      <c r="AI10" s="44"/>
      <c r="AJ10" s="44"/>
      <c r="AK10" s="45"/>
      <c r="AL10" s="43" t="str">
        <f>CONCATENATE("Std 4 tests distribution( ",C5," )" )</f>
        <v>Std 4 tests distribution( 60 )</v>
      </c>
      <c r="AM10" s="44"/>
      <c r="AN10" s="44"/>
      <c r="AO10" s="44"/>
      <c r="AP10" s="44"/>
      <c r="AQ10" s="44"/>
      <c r="AR10" s="44"/>
      <c r="AS10" s="44"/>
      <c r="AT10" s="45"/>
      <c r="AW10" s="1">
        <v>1.1000000000000001</v>
      </c>
      <c r="AX10" s="1">
        <v>1.1000000000000001</v>
      </c>
      <c r="AY10" t="str">
        <v>R080_HI782-0_0.0_LOT0366_PWW49.1_QC.xlsx</v>
      </c>
      <c r="AZ10" t="str">
        <v>LOT0366</v>
      </c>
      <c r="BA10" s="3">
        <v>1</v>
      </c>
      <c r="BB10" t="str">
        <v>P/Final</v>
      </c>
      <c r="BC10">
        <v>15</v>
      </c>
      <c r="BD10" s="10">
        <v>17.2</v>
      </c>
      <c r="BE10" s="10">
        <v>0</v>
      </c>
      <c r="BF10" s="10">
        <v>0</v>
      </c>
      <c r="BG10" s="13">
        <v>45299</v>
      </c>
      <c r="BH10" t="str">
        <v>LOT0548</v>
      </c>
      <c r="BI10">
        <v>9</v>
      </c>
      <c r="BJ10">
        <v>0</v>
      </c>
      <c r="BK10">
        <v>15</v>
      </c>
      <c r="BL10">
        <v>35</v>
      </c>
      <c r="BM10">
        <v>60</v>
      </c>
      <c r="BN10" t="str">
        <v/>
      </c>
      <c r="BO10" t="str">
        <v/>
      </c>
      <c r="BP10" s="10">
        <v>0</v>
      </c>
      <c r="BQ10" s="10">
        <v>16.452631578947368</v>
      </c>
      <c r="BR10" s="10">
        <v>37.100000000000009</v>
      </c>
      <c r="BS10" s="10">
        <v>60.642105263157887</v>
      </c>
      <c r="BT10" s="10" t="str">
        <v/>
      </c>
      <c r="BU10" s="10" t="str">
        <v/>
      </c>
      <c r="BV10">
        <v>0</v>
      </c>
      <c r="BW10">
        <v>0</v>
      </c>
      <c r="BX10">
        <v>0</v>
      </c>
      <c r="BY10" s="5">
        <v>0</v>
      </c>
      <c r="BZ10" s="5">
        <v>1</v>
      </c>
      <c r="CA10" s="5">
        <v>1</v>
      </c>
      <c r="CB10" s="5">
        <v>1</v>
      </c>
      <c r="CC10" s="5">
        <v>7.8975000000000009</v>
      </c>
      <c r="CD10" s="5">
        <v>1.3674999999999999</v>
      </c>
      <c r="CE10" s="5">
        <v>1.3674999999999999</v>
      </c>
      <c r="CF10" s="5">
        <v>1.3674999999999999</v>
      </c>
      <c r="CG10" s="5">
        <v>1.3674999999999999</v>
      </c>
      <c r="CH10" s="5">
        <v>1.3674999999999999</v>
      </c>
      <c r="CI10" s="5">
        <v>1.3674999999999999</v>
      </c>
      <c r="CJ10" s="5">
        <v>10.324999999999999</v>
      </c>
      <c r="CK10" s="5">
        <v>1.8574999999999999</v>
      </c>
      <c r="CL10" s="5">
        <v>1.8574999999999999</v>
      </c>
      <c r="CM10" s="5">
        <v>1.8574999999999999</v>
      </c>
      <c r="CN10" s="5">
        <v>1.8574999999999999</v>
      </c>
      <c r="CO10" s="5">
        <v>1.8574999999999999</v>
      </c>
      <c r="CP10" s="5">
        <v>1.8574999999999999</v>
      </c>
      <c r="CQ10" s="5">
        <v>12.0175</v>
      </c>
      <c r="CR10" s="5">
        <v>2.4699999999999998</v>
      </c>
      <c r="CS10" s="5">
        <v>2.4699999999999998</v>
      </c>
      <c r="CT10" s="5">
        <v>2.4699999999999998</v>
      </c>
      <c r="CU10" s="5">
        <v>2.4699999999999998</v>
      </c>
      <c r="CV10" s="5">
        <v>2.4699999999999998</v>
      </c>
      <c r="CW10" s="5">
        <v>2.4699999999999998</v>
      </c>
      <c r="CX10">
        <v>-67.41</v>
      </c>
      <c r="CY10" s="1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s="10" cm="1">
        <f t="array" ref="DL10">IF($BJ10&lt;&gt;"",IFERROR(AVERAGE(_xlfn._xlws.FILTER($BD:$BD,($BA:$BA=$BI10)*($BC:$BC=_xlfn.NUMBERVALUE($BJ10)))),""),"")</f>
        <v>0</v>
      </c>
      <c r="DM10" s="10" cm="1">
        <f t="array" ref="DM10">IF($BK10&lt;&gt;"",IFERROR(AVERAGE(_xlfn._xlws.FILTER($BD:$BD,($BA:$BA=$BI10)*($BC:$BC=_xlfn.NUMBERVALUE($BK10)))),""),"")</f>
        <v>16.452631578947368</v>
      </c>
      <c r="DN10" s="10" cm="1">
        <f t="array" ref="DN10">IF($BL10&lt;&gt;"",IFERROR(AVERAGE(_xlfn._xlws.FILTER($BD:$BD,($BA:$BA=$BI10)*($BC:$BC=_xlfn.NUMBERVALUE($BL10)))),""),"")</f>
        <v>37.100000000000009</v>
      </c>
      <c r="DO10" s="10" cm="1">
        <f t="array" ref="DO10">IF($BM10&lt;&gt;"",IFERROR(AVERAGE(_xlfn._xlws.FILTER($BD:$BD,($BA:$BA=$BI10)*($BC:$BC=_xlfn.NUMBERVALUE($BM10)))),""),"")</f>
        <v>60.642105263157887</v>
      </c>
      <c r="DP10" s="10" t="str" cm="1">
        <f t="array" ref="DP10">IF($BN10&lt;&gt;"",IFERROR(AVERAGE(_xlfn._xlws.FILTER($BD:$BD,($BA:$BA=$BI10)*($BC:$BC=_xlfn.NUMBERVALUE($BN10)))),""),"")</f>
        <v/>
      </c>
      <c r="DQ10" s="10" t="str" cm="1">
        <f t="array" ref="DQ10">IF($BO10&lt;&gt;"",IFERROR(AVERAGE(_xlfn._xlws.FILTER($BD:$BD,($BA:$BA=$BI10)*($BC:$BC=_xlfn.NUMBERVALUE($BO10)))),""),"")</f>
        <v/>
      </c>
      <c r="DR10">
        <v>0</v>
      </c>
      <c r="DS10" s="10">
        <v>0</v>
      </c>
      <c r="DT10" s="10">
        <v>0</v>
      </c>
      <c r="DU10" s="10">
        <v>0</v>
      </c>
      <c r="DV10" s="10" t="str">
        <v/>
      </c>
      <c r="DW10" s="10" t="str">
        <v/>
      </c>
      <c r="DX10" cm="1">
        <f t="array" ref="DX10">IF($BJ10&lt;&gt;"",IFERROR(AVERAGE(_xlfn._xlws.FILTER($BE:$BE,($BA:$BA=$BI10)*($BC:$BC=_xlfn.NUMBERVALUE($BJ10)))),""),"")</f>
        <v>0</v>
      </c>
      <c r="DY10" s="10" cm="1">
        <f t="array" ref="DY10">IF($BK10&lt;&gt;"",IFERROR(AVERAGE(_xlfn._xlws.FILTER($BE:$BE,($BA:$BA=$BI10)*($BC:$BC=_xlfn.NUMBERVALUE($BK10)))),""),"")</f>
        <v>0</v>
      </c>
      <c r="DZ10" s="10" cm="1">
        <f t="array" ref="DZ10">IF($BL10&lt;&gt;"",IFERROR(AVERAGE(_xlfn._xlws.FILTER($BE:$BE,($BA:$BA=$BI10)*($BC:$BC=_xlfn.NUMBERVALUE($BL10)))),""),"")</f>
        <v>0</v>
      </c>
      <c r="EA10" s="10" cm="1">
        <f t="array" ref="EA10">IF($BM10&lt;&gt;"",IFERROR(AVERAGE(_xlfn._xlws.FILTER($BE:$BE,($BA:$BA=$BI10)*($BC:$BC=_xlfn.NUMBERVALUE($BM10)))),""),"")</f>
        <v>0</v>
      </c>
      <c r="EB10" s="10" t="str" cm="1">
        <f t="array" ref="EB10">IF($BN10&lt;&gt;"",IFERROR(AVERAGE(_xlfn._xlws.FILTER($BE:$BE,($BA:$BA=$BI10)*($BC:$BC=_xlfn.NUMBERVALUE($BN10)))),""),"")</f>
        <v/>
      </c>
      <c r="EC10" s="10" t="str" cm="1">
        <f t="array" ref="EC10">IF($BO10&lt;&gt;"",IFERROR(AVERAGE(_xlfn._xlws.FILTER($BE:$BE,($BA:$BA=$BI10)*($BC:$BC=_xlfn.NUMBERVALUE($BO10)))),""),"")</f>
        <v/>
      </c>
    </row>
    <row r="11" spans="1:133" x14ac:dyDescent="0.3">
      <c r="A11" t="str">
        <v>Old C</v>
      </c>
      <c r="F11" s="23" t="s">
        <v>307</v>
      </c>
      <c r="G11" s="27" t="s">
        <v>0</v>
      </c>
      <c r="H11" s="28" t="s">
        <v>342</v>
      </c>
      <c r="I11" s="23" t="s">
        <v>343</v>
      </c>
      <c r="J11" s="29" t="s">
        <v>352</v>
      </c>
      <c r="K11" s="30" t="s">
        <v>353</v>
      </c>
      <c r="L11" s="23" t="s">
        <v>350</v>
      </c>
      <c r="M11" s="23" t="s">
        <v>351</v>
      </c>
      <c r="N11" s="23" t="s">
        <v>344</v>
      </c>
      <c r="O11" s="23" t="s">
        <v>345</v>
      </c>
      <c r="P11" s="23" t="s">
        <v>346</v>
      </c>
      <c r="Q11" s="23" t="s">
        <v>347</v>
      </c>
      <c r="R11" s="23" t="s">
        <v>348</v>
      </c>
      <c r="S11" s="31" t="s">
        <v>349</v>
      </c>
      <c r="T11" s="30" t="s">
        <v>353</v>
      </c>
      <c r="U11" s="23" t="s">
        <v>350</v>
      </c>
      <c r="V11" s="23" t="s">
        <v>351</v>
      </c>
      <c r="W11" s="23" t="s">
        <v>344</v>
      </c>
      <c r="X11" s="23" t="s">
        <v>345</v>
      </c>
      <c r="Y11" s="23" t="s">
        <v>346</v>
      </c>
      <c r="Z11" s="23" t="s">
        <v>347</v>
      </c>
      <c r="AA11" s="23" t="s">
        <v>348</v>
      </c>
      <c r="AB11" s="31" t="s">
        <v>349</v>
      </c>
      <c r="AC11" s="30" t="s">
        <v>353</v>
      </c>
      <c r="AD11" s="23" t="s">
        <v>350</v>
      </c>
      <c r="AE11" s="23" t="s">
        <v>351</v>
      </c>
      <c r="AF11" s="23" t="s">
        <v>344</v>
      </c>
      <c r="AG11" s="23" t="s">
        <v>345</v>
      </c>
      <c r="AH11" s="23" t="s">
        <v>346</v>
      </c>
      <c r="AI11" s="23" t="s">
        <v>347</v>
      </c>
      <c r="AJ11" s="23" t="s">
        <v>348</v>
      </c>
      <c r="AK11" s="31" t="s">
        <v>349</v>
      </c>
      <c r="AL11" s="30" t="s">
        <v>353</v>
      </c>
      <c r="AM11" s="23" t="s">
        <v>350</v>
      </c>
      <c r="AN11" s="23" t="s">
        <v>351</v>
      </c>
      <c r="AO11" s="23" t="s">
        <v>344</v>
      </c>
      <c r="AP11" s="23" t="s">
        <v>345</v>
      </c>
      <c r="AQ11" s="23" t="s">
        <v>346</v>
      </c>
      <c r="AR11" s="23" t="s">
        <v>347</v>
      </c>
      <c r="AS11" s="23" t="s">
        <v>348</v>
      </c>
      <c r="AT11" s="31" t="s">
        <v>349</v>
      </c>
      <c r="AW11" s="1">
        <v>1.1000000000000001</v>
      </c>
      <c r="AX11" s="1">
        <v>1.1000000000000001</v>
      </c>
      <c r="AY11" t="str">
        <v>R080_HI782-0_0.0_LOT0366_PWW49.1_QC.xlsx</v>
      </c>
      <c r="AZ11" t="str">
        <v>LOT0366</v>
      </c>
      <c r="BA11" s="3">
        <v>1</v>
      </c>
      <c r="BB11" t="str">
        <v>P/Final</v>
      </c>
      <c r="BC11">
        <v>35</v>
      </c>
      <c r="BD11" s="10">
        <v>37.9</v>
      </c>
      <c r="BE11" s="10">
        <v>0</v>
      </c>
      <c r="BF11" s="10">
        <v>0</v>
      </c>
      <c r="BG11" s="13">
        <v>45299</v>
      </c>
      <c r="BH11" t="str">
        <v>LOT0550</v>
      </c>
      <c r="BI11">
        <v>10</v>
      </c>
      <c r="BJ11">
        <v>0</v>
      </c>
      <c r="BK11">
        <v>15</v>
      </c>
      <c r="BL11">
        <v>35</v>
      </c>
      <c r="BM11">
        <v>60</v>
      </c>
      <c r="BN11" t="str">
        <v/>
      </c>
      <c r="BO11" t="str">
        <v/>
      </c>
      <c r="BP11" s="10">
        <v>0</v>
      </c>
      <c r="BQ11" s="10">
        <v>16.394444444444442</v>
      </c>
      <c r="BR11" s="10">
        <v>35.916666666666664</v>
      </c>
      <c r="BS11" s="10">
        <v>60.900000000000006</v>
      </c>
      <c r="BT11" s="10" t="str">
        <v/>
      </c>
      <c r="BU11" s="10" t="str">
        <v/>
      </c>
      <c r="BV11">
        <v>0</v>
      </c>
      <c r="BW11">
        <v>0</v>
      </c>
      <c r="BX11">
        <v>0</v>
      </c>
      <c r="BY11">
        <v>0</v>
      </c>
      <c r="BZ11">
        <v>1</v>
      </c>
      <c r="CA11">
        <v>1</v>
      </c>
      <c r="CB11">
        <v>1</v>
      </c>
      <c r="CC11">
        <v>7.8975000000000009</v>
      </c>
      <c r="CD11">
        <v>1.3674999999999999</v>
      </c>
      <c r="CE11">
        <v>1.3674999999999999</v>
      </c>
      <c r="CF11">
        <v>1.3674999999999999</v>
      </c>
      <c r="CG11">
        <v>1.3674999999999999</v>
      </c>
      <c r="CH11">
        <v>1.3674999999999999</v>
      </c>
      <c r="CI11">
        <v>1.3674999999999999</v>
      </c>
      <c r="CJ11">
        <v>10.324999999999999</v>
      </c>
      <c r="CK11">
        <v>1.8574999999999999</v>
      </c>
      <c r="CL11">
        <v>1.8574999999999999</v>
      </c>
      <c r="CM11">
        <v>1.8574999999999999</v>
      </c>
      <c r="CN11">
        <v>1.8574999999999999</v>
      </c>
      <c r="CO11">
        <v>1.8574999999999999</v>
      </c>
      <c r="CP11">
        <v>1.8574999999999999</v>
      </c>
      <c r="CQ11">
        <v>12.0175</v>
      </c>
      <c r="CR11">
        <v>2.4699999999999998</v>
      </c>
      <c r="CS11">
        <v>2.4699999999999998</v>
      </c>
      <c r="CT11">
        <v>2.4699999999999998</v>
      </c>
      <c r="CU11">
        <v>2.4699999999999998</v>
      </c>
      <c r="CV11">
        <v>2.4699999999999998</v>
      </c>
      <c r="CW11">
        <v>2.4699999999999998</v>
      </c>
      <c r="CX11">
        <v>-67.41</v>
      </c>
      <c r="CY11" s="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 s="10" cm="1">
        <f t="array" ref="DL11">IF($BJ11&lt;&gt;"",IFERROR(AVERAGE(_xlfn._xlws.FILTER($BD:$BD,($BA:$BA=$BI11)*($BC:$BC=_xlfn.NUMBERVALUE($BJ11)))),""),"")</f>
        <v>0</v>
      </c>
      <c r="DM11" s="10" cm="1">
        <f t="array" ref="DM11">IF($BK11&lt;&gt;"",IFERROR(AVERAGE(_xlfn._xlws.FILTER($BD:$BD,($BA:$BA=$BI11)*($BC:$BC=_xlfn.NUMBERVALUE($BK11)))),""),"")</f>
        <v>16.394444444444442</v>
      </c>
      <c r="DN11" s="10" cm="1">
        <f t="array" ref="DN11">IF($BL11&lt;&gt;"",IFERROR(AVERAGE(_xlfn._xlws.FILTER($BD:$BD,($BA:$BA=$BI11)*($BC:$BC=_xlfn.NUMBERVALUE($BL11)))),""),"")</f>
        <v>35.916666666666664</v>
      </c>
      <c r="DO11" s="10" cm="1">
        <f t="array" ref="DO11">IF($BM11&lt;&gt;"",IFERROR(AVERAGE(_xlfn._xlws.FILTER($BD:$BD,($BA:$BA=$BI11)*($BC:$BC=_xlfn.NUMBERVALUE($BM11)))),""),"")</f>
        <v>60.900000000000006</v>
      </c>
      <c r="DP11" s="10" t="str" cm="1">
        <f t="array" ref="DP11">IF($BN11&lt;&gt;"",IFERROR(AVERAGE(_xlfn._xlws.FILTER($BD:$BD,($BA:$BA=$BI11)*($BC:$BC=_xlfn.NUMBERVALUE($BN11)))),""),"")</f>
        <v/>
      </c>
      <c r="DQ11" s="10" t="str" cm="1">
        <f t="array" ref="DQ11">IF($BO11&lt;&gt;"",IFERROR(AVERAGE(_xlfn._xlws.FILTER($BD:$BD,($BA:$BA=$BI11)*($BC:$BC=_xlfn.NUMBERVALUE($BO11)))),""),"")</f>
        <v/>
      </c>
      <c r="DR11">
        <v>0</v>
      </c>
      <c r="DS11" s="10">
        <v>0</v>
      </c>
      <c r="DT11" s="10">
        <v>0</v>
      </c>
      <c r="DU11" s="10">
        <v>0</v>
      </c>
      <c r="DV11" s="10" t="str">
        <v/>
      </c>
      <c r="DW11" s="10" t="str">
        <v/>
      </c>
      <c r="DX11" cm="1">
        <f t="array" ref="DX11">IF($BJ11&lt;&gt;"",IFERROR(AVERAGE(_xlfn._xlws.FILTER($BE:$BE,($BA:$BA=$BI11)*($BC:$BC=_xlfn.NUMBERVALUE($BJ11)))),""),"")</f>
        <v>0</v>
      </c>
      <c r="DY11" s="10" cm="1">
        <f t="array" ref="DY11">IF($BK11&lt;&gt;"",IFERROR(AVERAGE(_xlfn._xlws.FILTER($BE:$BE,($BA:$BA=$BI11)*($BC:$BC=_xlfn.NUMBERVALUE($BK11)))),""),"")</f>
        <v>0</v>
      </c>
      <c r="DZ11" s="10" cm="1">
        <f t="array" ref="DZ11">IF($BL11&lt;&gt;"",IFERROR(AVERAGE(_xlfn._xlws.FILTER($BE:$BE,($BA:$BA=$BI11)*($BC:$BC=_xlfn.NUMBERVALUE($BL11)))),""),"")</f>
        <v>0</v>
      </c>
      <c r="EA11" s="10" cm="1">
        <f t="array" ref="EA11">IF($BM11&lt;&gt;"",IFERROR(AVERAGE(_xlfn._xlws.FILTER($BE:$BE,($BA:$BA=$BI11)*($BC:$BC=_xlfn.NUMBERVALUE($BM11)))),""),"")</f>
        <v>0</v>
      </c>
      <c r="EB11" s="10" t="str" cm="1">
        <f t="array" ref="EB11">IF($BN11&lt;&gt;"",IFERROR(AVERAGE(_xlfn._xlws.FILTER($BE:$BE,($BA:$BA=$BI11)*($BC:$BC=_xlfn.NUMBERVALUE($BN11)))),""),"")</f>
        <v/>
      </c>
      <c r="EC11" s="10" t="str" cm="1">
        <f t="array" ref="EC11">IF($BO11&lt;&gt;"",IFERROR(AVERAGE(_xlfn._xlws.FILTER($BE:$BE,($BA:$BA=$BI11)*($BC:$BC=_xlfn.NUMBERVALUE($BO11)))),""),"")</f>
        <v/>
      </c>
    </row>
    <row r="12" spans="1:133" x14ac:dyDescent="0.3">
      <c r="A12" t="str">
        <v>Old D</v>
      </c>
      <c r="F12" s="23" cm="1">
        <f t="array" ref="F12:F36">IF(_xlfn.ANCHORARRAY(BH2)&lt;&gt;"",_xlfn.NUMBERVALUE(ROW(_xlfn.ANCHORARRAY(BH2))-1),"")</f>
        <v>1</v>
      </c>
      <c r="G12" s="27" t="str" cm="1">
        <f t="array" ref="G12:G36">_xlfn.UNIQUE(_xlfn.ANCHORARRAY(AZ2),FALSE,FALSE)</f>
        <v>LOT0366</v>
      </c>
      <c r="H12" s="32" cm="1">
        <f t="array" ref="H12:H36">_xlfn.XLOOKUP(_xlfn.ANCHORARRAY(F12),BA:BA,BG:BG)</f>
        <v>45299</v>
      </c>
      <c r="I12" s="23" cm="1">
        <f t="array" ref="I12:I36">WEEKNUM(_xlfn.NUMBERVALUE(_xlfn.ANCHORARRAY(H12)),15)</f>
        <v>2</v>
      </c>
      <c r="J12" s="29" cm="1">
        <f t="array" ref="J12:J36">_xlfn.CHOOSEROWS(_xlfn.VSTACK(COUNT(_xlfn._xlws.FILTER(BA:BA,BA:BA=F12)),COUNT(_xlfn._xlws.FILTER(BA:BA,BA:BA=F13)),COUNT(_xlfn._xlws.FILTER(BA:BA,BA:BA=F14)),COUNT(_xlfn._xlws.FILTER(BA:BA,BA:BA=F15)),COUNT(_xlfn._xlws.FILTER(BA:BA,BA:BA=F16)),COUNT(_xlfn._xlws.FILTER(BA:BA,BA:BA=F17)),COUNT(_xlfn._xlws.FILTER(BA:BA,BA:BA=F18)),COUNT(_xlfn._xlws.FILTER(BA:BA,BA:BA=F19)),COUNT(_xlfn._xlws.FILTER(BA:BA,BA:BA=F20)),COUNT(_xlfn._xlws.FILTER(BA:BA,BA:BA=F21)),COUNT(_xlfn._xlws.FILTER(BA:BA,BA:BA=F22)),COUNT(_xlfn._xlws.FILTER(BA:BA,BA:BA=F23)),COUNT(_xlfn._xlws.FILTER(BA:BA,BA:BA=F24)),COUNT(_xlfn._xlws.FILTER(BA:BA,BA:BA=F25)),COUNT(_xlfn._xlws.FILTER(BA:BA,BA:BA=F26)),COUNT(_xlfn._xlws.FILTER(BA:BA,BA:BA=F27)),COUNT(_xlfn._xlws.FILTER(BA:BA,BA:BA=F28)),COUNT(_xlfn._xlws.FILTER(BA:BA,BA:BA=F29)),COUNT(_xlfn._xlws.FILTER(BA:BA,BA:BA=F30)),COUNT(_xlfn._xlws.FILTER(BA:BA,BA:BA=F31)),COUNT(_xlfn._xlws.FILTER(BA:BA,BA:BA=F32)),COUNT(_xlfn._xlws.FILTER(BA:BA,BA:BA=F33)),COUNT(_xlfn._xlws.FILTER(BA:BA,BA:BA=F34)),COUNT(_xlfn._xlws.FILTER(BA:BA,BA:BA=F35)),COUNT(_xlfn._xlws.FILTER(BA:BA,BA:BA=F36)),COUNT(_xlfn._xlws.FILTER(BA:BA,BA:BA=F37)),COUNT(_xlfn._xlws.FILTER(BA:BA,BA:BA=F38)),COUNT(_xlfn._xlws.FILTER(BA:BA,BA:BA=F39)),COUNT(_xlfn._xlws.FILTER(BA:BA,BA:BA=F40)),COUNT(_xlfn._xlws.FILTER(BA:BA,BA:BA=F41)),COUNT(_xlfn._xlws.FILTER(BA:BA,BA:BA=F42)),COUNT(_xlfn._xlws.FILTER(BA:BA,BA:BA=F43)),COUNT(_xlfn._xlws.FILTER(BA:BA,BA:BA=F44)),COUNT(_xlfn._xlws.FILTER(BA:BA,BA:BA=F45)),COUNT(_xlfn._xlws.FILTER(BA:BA,BA:BA=F46)),COUNT(_xlfn._xlws.FILTER(BA:BA,BA:BA=F47)),COUNT(_xlfn._xlws.FILTER(BA:BA,BA:BA=F48)),COUNT(_xlfn._xlws.FILTER(BA:BA,BA:BA=F49)),COUNT(_xlfn._xlws.FILTER(BA:BA,BA:BA=F50)),COUNT(_xlfn._xlws.FILTER(BA:BA,BA:BA=F51)),COUNT(_xlfn._xlws.FILTER(BA:BA,BA:BA=F52)),COUNT(_xlfn._xlws.FILTER(BA:BA,BA:BA=F53)),COUNT(_xlfn._xlws.FILTER(BA:BA,BA:BA=F54)),COUNT(_xlfn._xlws.FILTER(BA:BA,BA:BA=F55)),COUNT(_xlfn._xlws.FILTER(BA:BA,BA:BA=F56)),COUNT(_xlfn._xlws.FILTER(BA:BA,BA:BA=F57)),COUNT(_xlfn._xlws.FILTER(BA:BA,BA:BA=F58)),COUNT(_xlfn._xlws.FILTER(BA:BA,BA:BA=F59)),COUNT(_xlfn._xlws.FILTER(BA:BA,BA:BA=F60)),COUNT(_xlfn._xlws.FILTER(BA:BA,BA:BA=F61)),COUNT(_xlfn._xlws.FILTER(BA:BA,BA:BA=F62)),COUNT(_xlfn._xlws.FILTER(BA:BA,BA:BA=F63)),COUNT(_xlfn._xlws.FILTER(BA:BA,BA:BA=F64)),COUNT(_xlfn._xlws.FILTER(BA:BA,BA:BA=F65)),COUNT(_xlfn._xlws.FILTER(BA:BA,BA:BA=F66)),COUNT(_xlfn._xlws.FILTER(BA:BA,BA:BA=F67)),COUNT(_xlfn._xlws.FILTER(BA:BA,BA:BA=F68)),COUNT(_xlfn._xlws.FILTER(BA:BA,BA:BA=F69)),COUNT(_xlfn._xlws.FILTER(BA:BA,BA:BA=F70))),_xlfn.ANCHORARRAY(F12))</f>
        <v>19</v>
      </c>
      <c r="K12" s="30" cm="1">
        <f t="array" ref="K12:K36">_xlfn.CHOOSEROWS(_xlfn.VSTACK(COUNT(_xlfn._xlws.FILTER(BA:BA,(BA:BA=F12)*(BC:BC=_xlfn.NUMBERVALUE($C$2)))),COUNT(_xlfn._xlws.FILTER(BA:BA,(BA:BA=F13)*(BC:BC=_xlfn.NUMBERVALUE($C$2)))),COUNT(_xlfn._xlws.FILTER(BA:BA,(BA:BA=F14)*(BC:BC=_xlfn.NUMBERVALUE($C$2)))),COUNT(_xlfn._xlws.FILTER(BA:BA,(BA:BA=F15)*(BC:BC=_xlfn.NUMBERVALUE($C$2)))),COUNT(_xlfn._xlws.FILTER(BA:BA,(BA:BA=F16)*(BC:BC=_xlfn.NUMBERVALUE($C$2)))),COUNT(_xlfn._xlws.FILTER(BA:BA,(BA:BA=F17)*(BC:BC=_xlfn.NUMBERVALUE($C$2)))),COUNT(_xlfn._xlws.FILTER(BA:BA,(BA:BA=F18)*(BC:BC=_xlfn.NUMBERVALUE($C$2)))),COUNT(_xlfn._xlws.FILTER(BA:BA,(BA:BA=F19)*(BC:BC=_xlfn.NUMBERVALUE($C$2)))),COUNT(_xlfn._xlws.FILTER(BA:BA,(BA:BA=F20)*(BC:BC=_xlfn.NUMBERVALUE($C$2)))),COUNT(_xlfn._xlws.FILTER(BA:BA,(BA:BA=F21)*(BC:BC=_xlfn.NUMBERVALUE($C$2)))),COUNT(_xlfn._xlws.FILTER(BA:BA,(BA:BA=F22)*(BC:BC=_xlfn.NUMBERVALUE($C$2)))),COUNT(_xlfn._xlws.FILTER(BA:BA,(BA:BA=F23)*(BC:BC=_xlfn.NUMBERVALUE($C$2)))),COUNT(_xlfn._xlws.FILTER(BA:BA,(BA:BA=F24)*(BC:BC=_xlfn.NUMBERVALUE($C$2)))),COUNT(_xlfn._xlws.FILTER(BA:BA,(BA:BA=F25)*(BC:BC=_xlfn.NUMBERVALUE($C$2)))),COUNT(_xlfn._xlws.FILTER(BA:BA,(BA:BA=F26)*(BC:BC=_xlfn.NUMBERVALUE($C$2)))),COUNT(_xlfn._xlws.FILTER(BA:BA,(BA:BA=F27)*(BC:BC=_xlfn.NUMBERVALUE($C$2)))),COUNT(_xlfn._xlws.FILTER(BA:BA,(BA:BA=F28)*(BC:BC=_xlfn.NUMBERVALUE($C$2)))),COUNT(_xlfn._xlws.FILTER(BA:BA,(BA:BA=F29)*(BC:BC=_xlfn.NUMBERVALUE($C$2)))),COUNT(_xlfn._xlws.FILTER(BA:BA,(BA:BA=F30)*(BC:BC=_xlfn.NUMBERVALUE($C$2)))),COUNT(_xlfn._xlws.FILTER(BA:BA,(BA:BA=F31)*(BC:BC=_xlfn.NUMBERVALUE($C$2)))),COUNT(_xlfn._xlws.FILTER(BA:BA,(BA:BA=F32)*(BC:BC=_xlfn.NUMBERVALUE($C$2)))),COUNT(_xlfn._xlws.FILTER(BA:BA,(BA:BA=F33)*(BC:BC=_xlfn.NUMBERVALUE($C$2)))),COUNT(_xlfn._xlws.FILTER(BA:BA,(BA:BA=F34)*(BC:BC=_xlfn.NUMBERVALUE($C$2)))),COUNT(_xlfn._xlws.FILTER(BA:BA,(BA:BA=F35)*(BC:BC=_xlfn.NUMBERVALUE($C$2)))),COUNT(_xlfn._xlws.FILTER(BA:BA,(BA:BA=F36)*(BC:BC=_xlfn.NUMBERVALUE($C$2)))),COUNT(_xlfn._xlws.FILTER(BA:BA,(BA:BA=F37)*(BC:BC=_xlfn.NUMBERVALUE($C$2)))),COUNT(_xlfn._xlws.FILTER(BA:BA,(BA:BA=F38)*(BC:BC=_xlfn.NUMBERVALUE($C$2)))),COUNT(_xlfn._xlws.FILTER(BA:BA,(BA:BA=F39)*(BC:BC=_xlfn.NUMBERVALUE($C$2)))),COUNT(_xlfn._xlws.FILTER(BA:BA,(BA:BA=F40)*(BC:BC=_xlfn.NUMBERVALUE($C$2)))),COUNT(_xlfn._xlws.FILTER(BA:BA,(BA:BA=F41)*(BC:BC=_xlfn.NUMBERVALUE($C$2)))),COUNT(_xlfn._xlws.FILTER(BA:BA,(BA:BA=F42)*(BC:BC=_xlfn.NUMBERVALUE($C$2)))),COUNT(_xlfn._xlws.FILTER(BA:BA,(BA:BA=F43)*(BC:BC=_xlfn.NUMBERVALUE($C$2)))),COUNT(_xlfn._xlws.FILTER(BA:BA,(BA:BA=F44)*(BC:BC=_xlfn.NUMBERVALUE($C$2)))),COUNT(_xlfn._xlws.FILTER(BA:BA,(BA:BA=F45)*(BC:BC=_xlfn.NUMBERVALUE($C$2)))),COUNT(_xlfn._xlws.FILTER(BA:BA,(BA:BA=F46)*(BC:BC=_xlfn.NUMBERVALUE($C$2)))),COUNT(_xlfn._xlws.FILTER(BA:BA,(BA:BA=F47)*(BC:BC=_xlfn.NUMBERVALUE($C$2)))),COUNT(_xlfn._xlws.FILTER(BA:BA,(BA:BA=F48)*(BC:BC=_xlfn.NUMBERVALUE($C$2)))),COUNT(_xlfn._xlws.FILTER(BA:BA,(BA:BA=F49)*(BC:BC=_xlfn.NUMBERVALUE($C$2)))),COUNT(_xlfn._xlws.FILTER(BA:BA,(BA:BA=F50)*(BC:BC=_xlfn.NUMBERVALUE($C$2)))),COUNT(_xlfn._xlws.FILTER(BA:BA,(BA:BA=F51)*(BC:BC=_xlfn.NUMBERVALUE($C$2)))),COUNT(_xlfn._xlws.FILTER(BA:BA,(BA:BA=F52)*(BC:BC=_xlfn.NUMBERVALUE($C$2)))),COUNT(_xlfn._xlws.FILTER(BA:BA,(BA:BA=F53)*(BC:BC=_xlfn.NUMBERVALUE($C$2)))),COUNT(_xlfn._xlws.FILTER(BA:BA,(BA:BA=F54)*(BC:BC=_xlfn.NUMBERVALUE($C$2)))),COUNT(_xlfn._xlws.FILTER(BA:BA,(BA:BA=F55)*(BC:BC=_xlfn.NUMBERVALUE($C$2)))),COUNT(_xlfn._xlws.FILTER(BA:BA,(BA:BA=F56)*(BC:BC=_xlfn.NUMBERVALUE($C$2)))),COUNT(_xlfn._xlws.FILTER(BA:BA,(BA:BA=F57)*(BC:BC=_xlfn.NUMBERVALUE($C$2)))),COUNT(_xlfn._xlws.FILTER(BA:BA,(BA:BA=F58)*(BC:BC=_xlfn.NUMBERVALUE($C$2)))),COUNT(_xlfn._xlws.FILTER(BA:BA,(BA:BA=F59)*(BC:BC=_xlfn.NUMBERVALUE($C$2)))),COUNT(_xlfn._xlws.FILTER(BA:BA,(BA:BA=F60)*(BC:BC=_xlfn.NUMBERVALUE($C$2)))),COUNT(_xlfn._xlws.FILTER(BA:BA,(BA:BA=F61)*(BC:BC=_xlfn.NUMBERVALUE($C$2)))),COUNT(_xlfn._xlws.FILTER(BA:BA,(BA:BA=F62)*(BC:BC=_xlfn.NUMBERVALUE($C$2)))),COUNT(_xlfn._xlws.FILTER(BA:BA,(BA:BA=F63)*(BC:BC=_xlfn.NUMBERVALUE($C$2)))),COUNT(_xlfn._xlws.FILTER(BA:BA,(BA:BA=F64)*(BC:BC=_xlfn.NUMBERVALUE($C$2)))),COUNT(_xlfn._xlws.FILTER(BA:BA,(BA:BA=F65)*(BC:BC=_xlfn.NUMBERVALUE($C$2)))),COUNT(_xlfn._xlws.FILTER(BA:BA,(BA:BA=F66)*(BC:BC=_xlfn.NUMBERVALUE($C$2)))),COUNT(_xlfn._xlws.FILTER(BA:BA,(BA:BA=F67)*(BC:BC=_xlfn.NUMBERVALUE($C$2)))),COUNT(_xlfn._xlws.FILTER(BA:BA,(BA:BA=F68)*(BC:BC=_xlfn.NUMBERVALUE($C$2)))),COUNT(_xlfn._xlws.FILTER(BA:BA,(BA:BA=F69)*(BC:BC=_xlfn.NUMBERVALUE($C$2)))),COUNT(_xlfn._xlws.FILTER(BA:BA,(BA:BA=F70)*(BC:BC=_xlfn.NUMBERVALUE($C$2))))),_xlfn.ANCHORARRAY(F12))</f>
        <v>4</v>
      </c>
      <c r="L12" s="23" cm="1">
        <f t="array" ref="L12">COUNT(_xlfn._xlws.FILTER(BA:BA,(BA:BA=_xlfn.NUMBERVALUE(F12))*(BC:BC=_xlfn.NUMBERVALUE($C$2))*((BD:BD&lt;$C$2+$D$2)*(BD:BD&gt;$C$2-$D$2))))</f>
        <v>4</v>
      </c>
      <c r="M12" s="21">
        <f>IFERROR(L12/K12*100,"")</f>
        <v>100</v>
      </c>
      <c r="N12" s="23" cm="1">
        <f t="array" ref="N12">COUNT(_xlfn._xlws.FILTER(BA:BA,(BA:BA=_xlfn.NUMBERVALUE(F12))*(BC:BC=_xlfn.NUMBERVALUE($C$2))*((BD:BD&gt;$C$2+$D$2)*(BD:BD&lt;$C$2+2*$D$2)+(BD:BD&lt;$C$2-$D$2)*(BD:BD&gt;$C$2-2*$D$2))))</f>
        <v>0</v>
      </c>
      <c r="O12" s="21">
        <f>IFERROR(N12/K12*100,"")</f>
        <v>0</v>
      </c>
      <c r="P12" s="23" cm="1">
        <f t="array" ref="P12">COUNT(_xlfn._xlws.FILTER(BA:BA,(BA:BA=_xlfn.NUMBERVALUE(F12))*(BC:BC=_xlfn.NUMBERVALUE($C$2))*((BD:BD&gt;$C$2+2*$D$2)*(BD:BD&lt;$C$2+3*$D$2)+(BD:BD&lt;$C$2-2*$D$2)*(BD:BD&gt;$C$2-3*$D$2))))</f>
        <v>0</v>
      </c>
      <c r="Q12" s="21">
        <f>IFERROR(P12/K12*100,"")</f>
        <v>0</v>
      </c>
      <c r="R12" s="23" cm="1">
        <f t="array" ref="R12">COUNT(_xlfn._xlws.FILTER(BA:BA,(BA:BA=_xlfn.NUMBERVALUE(F12))*(BC:BC=_xlfn.NUMBERVALUE($C$2))*((BD:BD&gt;$C$2+3*$D$2)+(BD:BD&lt;$C$2-3*$D$2))))</f>
        <v>0</v>
      </c>
      <c r="S12" s="22">
        <f>IFERROR(R12/K12*100,"")</f>
        <v>0</v>
      </c>
      <c r="T12" s="30" cm="1">
        <f t="array" ref="T12:T36">_xlfn.CHOOSEROWS(_xlfn.VSTACK(COUNT(_xlfn._xlws.FILTER(BA:BA,(BA:BA=F12)*(BC:BC=_xlfn.NUMBERVALUE($C$3)))),COUNT(_xlfn._xlws.FILTER(BA:BA,(BA:BA=F13)*(BC:BC=_xlfn.NUMBERVALUE($C$3)))),COUNT(_xlfn._xlws.FILTER(BA:BA,(BA:BA=F14)*(BC:BC=_xlfn.NUMBERVALUE($C$3)))),COUNT(_xlfn._xlws.FILTER(BA:BA,(BA:BA=F15)*(BC:BC=_xlfn.NUMBERVALUE($C$3)))),COUNT(_xlfn._xlws.FILTER(BA:BA,(BA:BA=F16)*(BC:BC=_xlfn.NUMBERVALUE($C$3)))),COUNT(_xlfn._xlws.FILTER(BA:BA,(BA:BA=F17)*(BC:BC=_xlfn.NUMBERVALUE($C$3)))),COUNT(_xlfn._xlws.FILTER(BA:BA,(BA:BA=F18)*(BC:BC=_xlfn.NUMBERVALUE($C$3)))),COUNT(_xlfn._xlws.FILTER(BA:BA,(BA:BA=F19)*(BC:BC=_xlfn.NUMBERVALUE($C$3)))),COUNT(_xlfn._xlws.FILTER(BA:BA,(BA:BA=F20)*(BC:BC=_xlfn.NUMBERVALUE($C$3)))),COUNT(_xlfn._xlws.FILTER(BA:BA,(BA:BA=F21)*(BC:BC=_xlfn.NUMBERVALUE($C$3)))),COUNT(_xlfn._xlws.FILTER(BA:BA,(BA:BA=F22)*(BC:BC=_xlfn.NUMBERVALUE($C$3)))),COUNT(_xlfn._xlws.FILTER(BA:BA,(BA:BA=F23)*(BC:BC=_xlfn.NUMBERVALUE($C$3)))),COUNT(_xlfn._xlws.FILTER(BA:BA,(BA:BA=F24)*(BC:BC=_xlfn.NUMBERVALUE($C$3)))),COUNT(_xlfn._xlws.FILTER(BA:BA,(BA:BA=F25)*(BC:BC=_xlfn.NUMBERVALUE($C$3)))),COUNT(_xlfn._xlws.FILTER(BA:BA,(BA:BA=F26)*(BC:BC=_xlfn.NUMBERVALUE($C$3)))),COUNT(_xlfn._xlws.FILTER(BA:BA,(BA:BA=F27)*(BC:BC=_xlfn.NUMBERVALUE($C$3)))),COUNT(_xlfn._xlws.FILTER(BA:BA,(BA:BA=F28)*(BC:BC=_xlfn.NUMBERVALUE($C$3)))),COUNT(_xlfn._xlws.FILTER(BA:BA,(BA:BA=F29)*(BC:BC=_xlfn.NUMBERVALUE($C$3)))),COUNT(_xlfn._xlws.FILTER(BA:BA,(BA:BA=F30)*(BC:BC=_xlfn.NUMBERVALUE($C$3)))),COUNT(_xlfn._xlws.FILTER(BA:BA,(BA:BA=F31)*(BC:BC=_xlfn.NUMBERVALUE($C$3)))),COUNT(_xlfn._xlws.FILTER(BA:BA,(BA:BA=F32)*(BC:BC=_xlfn.NUMBERVALUE($C$3)))),COUNT(_xlfn._xlws.FILTER(BA:BA,(BA:BA=F33)*(BC:BC=_xlfn.NUMBERVALUE($C$3)))),COUNT(_xlfn._xlws.FILTER(BA:BA,(BA:BA=F34)*(BC:BC=_xlfn.NUMBERVALUE($C$3)))),COUNT(_xlfn._xlws.FILTER(BA:BA,(BA:BA=F35)*(BC:BC=_xlfn.NUMBERVALUE($C$3)))),COUNT(_xlfn._xlws.FILTER(BA:BA,(BA:BA=F36)*(BC:BC=_xlfn.NUMBERVALUE($C$3)))),COUNT(_xlfn._xlws.FILTER(BA:BA,(BA:BA=F37)*(BC:BC=_xlfn.NUMBERVALUE($C$3)))),COUNT(_xlfn._xlws.FILTER(BA:BA,(BA:BA=F38)*(BC:BC=_xlfn.NUMBERVALUE($C$3)))),COUNT(_xlfn._xlws.FILTER(BA:BA,(BA:BA=F39)*(BC:BC=_xlfn.NUMBERVALUE($C$3)))),COUNT(_xlfn._xlws.FILTER(BA:BA,(BA:BA=F40)*(BC:BC=_xlfn.NUMBERVALUE($C$3)))),COUNT(_xlfn._xlws.FILTER(BA:BA,(BA:BA=F41)*(BC:BC=_xlfn.NUMBERVALUE($C$3)))),COUNT(_xlfn._xlws.FILTER(BA:BA,(BA:BA=F42)*(BC:BC=_xlfn.NUMBERVALUE($C$3)))),COUNT(_xlfn._xlws.FILTER(BA:BA,(BA:BA=F43)*(BC:BC=_xlfn.NUMBERVALUE($C$3)))),COUNT(_xlfn._xlws.FILTER(BA:BA,(BA:BA=F44)*(BC:BC=_xlfn.NUMBERVALUE($C$3)))),COUNT(_xlfn._xlws.FILTER(BA:BA,(BA:BA=F45)*(BC:BC=_xlfn.NUMBERVALUE($C$3)))),COUNT(_xlfn._xlws.FILTER(BA:BA,(BA:BA=F46)*(BC:BC=_xlfn.NUMBERVALUE($C$3)))),COUNT(_xlfn._xlws.FILTER(BA:BA,(BA:BA=F47)*(BC:BC=_xlfn.NUMBERVALUE($C$3)))),COUNT(_xlfn._xlws.FILTER(BA:BA,(BA:BA=F48)*(BC:BC=_xlfn.NUMBERVALUE($C$3)))),COUNT(_xlfn._xlws.FILTER(BA:BA,(BA:BA=F49)*(BC:BC=_xlfn.NUMBERVALUE($C$3)))),COUNT(_xlfn._xlws.FILTER(BA:BA,(BA:BA=F50)*(BC:BC=_xlfn.NUMBERVALUE($C$3)))),COUNT(_xlfn._xlws.FILTER(BA:BA,(BA:BA=F51)*(BC:BC=_xlfn.NUMBERVALUE($C$3)))),COUNT(_xlfn._xlws.FILTER(BA:BA,(BA:BA=F52)*(BC:BC=_xlfn.NUMBERVALUE($C$3)))),COUNT(_xlfn._xlws.FILTER(BA:BA,(BA:BA=F53)*(BC:BC=_xlfn.NUMBERVALUE($C$3)))),COUNT(_xlfn._xlws.FILTER(BA:BA,(BA:BA=F54)*(BC:BC=_xlfn.NUMBERVALUE($C$3)))),COUNT(_xlfn._xlws.FILTER(BA:BA,(BA:BA=F55)*(BC:BC=_xlfn.NUMBERVALUE($C$3)))),COUNT(_xlfn._xlws.FILTER(BA:BA,(BA:BA=F56)*(BC:BC=_xlfn.NUMBERVALUE($C$3)))),COUNT(_xlfn._xlws.FILTER(BA:BA,(BA:BA=F57)*(BC:BC=_xlfn.NUMBERVALUE($C$3)))),COUNT(_xlfn._xlws.FILTER(BA:BA,(BA:BA=F58)*(BC:BC=_xlfn.NUMBERVALUE($C$3)))),COUNT(_xlfn._xlws.FILTER(BA:BA,(BA:BA=F59)*(BC:BC=_xlfn.NUMBERVALUE($C$3)))),COUNT(_xlfn._xlws.FILTER(BA:BA,(BA:BA=F60)*(BC:BC=_xlfn.NUMBERVALUE($C$3)))),COUNT(_xlfn._xlws.FILTER(BA:BA,(BA:BA=F61)*(BC:BC=_xlfn.NUMBERVALUE($C$3)))),COUNT(_xlfn._xlws.FILTER(BA:BA,(BA:BA=F62)*(BC:BC=_xlfn.NUMBERVALUE($C$3)))),COUNT(_xlfn._xlws.FILTER(BA:BA,(BA:BA=F63)*(BC:BC=_xlfn.NUMBERVALUE($C$3)))),COUNT(_xlfn._xlws.FILTER(BA:BA,(BA:BA=F64)*(BC:BC=_xlfn.NUMBERVALUE($C$3)))),COUNT(_xlfn._xlws.FILTER(BA:BA,(BA:BA=F65)*(BC:BC=_xlfn.NUMBERVALUE($C$3)))),COUNT(_xlfn._xlws.FILTER(BA:BA,(BA:BA=F66)*(BC:BC=_xlfn.NUMBERVALUE($C$3)))),COUNT(_xlfn._xlws.FILTER(BA:BA,(BA:BA=F67)*(BC:BC=_xlfn.NUMBERVALUE($C$3)))),COUNT(_xlfn._xlws.FILTER(BA:BA,(BA:BA=F68)*(BC:BC=_xlfn.NUMBERVALUE($C$3)))),COUNT(_xlfn._xlws.FILTER(BA:BA,(BA:BA=F69)*(BC:BC=_xlfn.NUMBERVALUE($C$3)))),COUNT(_xlfn._xlws.FILTER(BA:BA,(BA:BA=F70)*(BC:BC=_xlfn.NUMBERVALUE($C$3))))),_xlfn.ANCHORARRAY(F12))</f>
        <v>5</v>
      </c>
      <c r="U12" s="23" cm="1">
        <f t="array" ref="U12">COUNT(_xlfn._xlws.FILTER(BA:BA,(BA:BA=F12)*(BC:BC=_xlfn.NUMBERVALUE($C$3))*((BD:BD&lt;=$C$3+$D$3)*(BD:BD&gt;$C$3-$D$3))))</f>
        <v>1</v>
      </c>
      <c r="V12" s="21">
        <f>IFERROR(U12/T12*100,"")</f>
        <v>20</v>
      </c>
      <c r="W12" s="23" cm="1">
        <f t="array" ref="W12">COUNT(_xlfn._xlws.FILTER(BA:BA,(BA:BA=F12)*(BC:BC=_xlfn.NUMBERVALUE($C$3))*((BD:BD&gt;$C$3+$D$3)*(BD:BD&lt;$C$3+2*$D$3)+(BD:BD&lt;$C$3-$D$3)*(BD:BD&gt;$C$3-2*$D$3))))</f>
        <v>4</v>
      </c>
      <c r="X12" s="21">
        <f>IFERROR(W12/T12*100,"")</f>
        <v>80</v>
      </c>
      <c r="Y12" s="23" cm="1">
        <f t="array" ref="Y12">COUNT(_xlfn._xlws.FILTER(BA:BA,(BA:BA=F12)*(BC:BC=_xlfn.NUMBERVALUE($C$3))*((BD:BD&gt;$C$3+2*$D$3)*(BD:BD&lt;$C$3+3*$D$3)+(BD:BD&lt;$C$3-2*$D$3)*(BD:BD&gt;$C$3-3*$D$3))))</f>
        <v>0</v>
      </c>
      <c r="Z12" s="21">
        <f>IFERROR(Y12/T12*100,"")</f>
        <v>0</v>
      </c>
      <c r="AA12" s="23" cm="1">
        <f t="array" ref="AA12">COUNT(_xlfn._xlws.FILTER(BA:BA,(BA:BA=F12)*(BC:BC=_xlfn.NUMBERVALUE($C$3))*((BD:BD&gt;=$C$3+3*$D$3)+(BD:BD&lt;=$C$3-3*$D$3))))</f>
        <v>0</v>
      </c>
      <c r="AB12" s="22">
        <f>IFERROR(AA12/T12*100,"")</f>
        <v>0</v>
      </c>
      <c r="AC12" s="30" cm="1">
        <f t="array" ref="AC12:AC36">_xlfn.CHOOSEROWS(_xlfn.VSTACK(COUNT(_xlfn._xlws.FILTER(BA:BA,(BA:BA=F12)*(BC:BC=_xlfn.NUMBERVALUE($C$4)))),COUNT(_xlfn._xlws.FILTER(BA:BA,(BA:BA=F13)*(BC:BC=_xlfn.NUMBERVALUE($C$4)))),COUNT(_xlfn._xlws.FILTER(BA:BA,(BA:BA=F14)*(BC:BC=_xlfn.NUMBERVALUE($C$4)))),COUNT(_xlfn._xlws.FILTER(BA:BA,(BA:BA=F15)*(BC:BC=_xlfn.NUMBERVALUE($C$4)))),COUNT(_xlfn._xlws.FILTER(BA:BA,(BA:BA=F16)*(BC:BC=_xlfn.NUMBERVALUE($C$4)))),COUNT(_xlfn._xlws.FILTER(BA:BA,(BA:BA=F17)*(BC:BC=_xlfn.NUMBERVALUE($C$4)))),COUNT(_xlfn._xlws.FILTER(BA:BA,(BA:BA=F18)*(BC:BC=_xlfn.NUMBERVALUE($C$4)))),COUNT(_xlfn._xlws.FILTER(BA:BA,(BA:BA=F19)*(BC:BC=_xlfn.NUMBERVALUE($C$4)))),COUNT(_xlfn._xlws.FILTER(BA:BA,(BA:BA=F20)*(BC:BC=_xlfn.NUMBERVALUE($C$4)))),COUNT(_xlfn._xlws.FILTER(BA:BA,(BA:BA=F21)*(BC:BC=_xlfn.NUMBERVALUE($C$3)))),COUNT(_xlfn._xlws.FILTER(BA:BA,(BA:BA=F22)*(BC:BC=_xlfn.NUMBERVALUE($C$3)))),COUNT(_xlfn._xlws.FILTER(BA:BA,(BA:BA=F23)*(BC:BC=_xlfn.NUMBERVALUE($C$3)))),COUNT(_xlfn._xlws.FILTER(BA:BA,(BA:BA=F24)*(BC:BC=_xlfn.NUMBERVALUE($C$3)))),COUNT(_xlfn._xlws.FILTER(BA:BA,(BA:BA=F25)*(BC:BC=_xlfn.NUMBERVALUE($C$3)))),COUNT(_xlfn._xlws.FILTER(BA:BA,(BA:BA=F26)*(BC:BC=_xlfn.NUMBERVALUE($C$3)))),COUNT(_xlfn._xlws.FILTER(BA:BA,(BA:BA=F27)*(BC:BC=_xlfn.NUMBERVALUE($C$3)))),COUNT(_xlfn._xlws.FILTER(BA:BA,(BA:BA=F28)*(BC:BC=_xlfn.NUMBERVALUE($C$3)))),COUNT(_xlfn._xlws.FILTER(BA:BA,(BA:BA=F29)*(BC:BC=_xlfn.NUMBERVALUE($C$3)))),COUNT(_xlfn._xlws.FILTER(BA:BA,(BA:BA=F30)*(BC:BC=_xlfn.NUMBERVALUE($C$3)))),COUNT(_xlfn._xlws.FILTER(BA:BA,(BA:BA=F31)*(BC:BC=_xlfn.NUMBERVALUE($C$3)))),COUNT(_xlfn._xlws.FILTER(BA:BA,(BA:BA=F32)*(BC:BC=_xlfn.NUMBERVALUE($C$3)))),COUNT(_xlfn._xlws.FILTER(BA:BA,(BA:BA=F33)*(BC:BC=_xlfn.NUMBERVALUE($C$3)))),COUNT(_xlfn._xlws.FILTER(BA:BA,(BA:BA=F34)*(BC:BC=_xlfn.NUMBERVALUE($C$3)))),COUNT(_xlfn._xlws.FILTER(BA:BA,(BA:BA=F35)*(BC:BC=_xlfn.NUMBERVALUE($C$3)))),COUNT(_xlfn._xlws.FILTER(BA:BA,(BA:BA=F36)*(BC:BC=_xlfn.NUMBERVALUE($C$3)))),COUNT(_xlfn._xlws.FILTER(BA:BA,(BA:BA=F37)*(BC:BC=_xlfn.NUMBERVALUE($C$3)))),COUNT(_xlfn._xlws.FILTER(BA:BA,(BA:BA=F38)*(BC:BC=_xlfn.NUMBERVALUE($C$3)))),COUNT(_xlfn._xlws.FILTER(BA:BA,(BA:BA=F39)*(BC:BC=_xlfn.NUMBERVALUE($C$3)))),COUNT(_xlfn._xlws.FILTER(BA:BA,(BA:BA=F40)*(BC:BC=_xlfn.NUMBERVALUE($C$3)))),COUNT(_xlfn._xlws.FILTER(BA:BA,(BA:BA=F41)*(BC:BC=_xlfn.NUMBERVALUE($C$3)))),COUNT(_xlfn._xlws.FILTER(BA:BA,(BA:BA=F42)*(BC:BC=_xlfn.NUMBERVALUE($C$3)))),COUNT(_xlfn._xlws.FILTER(BA:BA,(BA:BA=F43)*(BC:BC=_xlfn.NUMBERVALUE($C$3)))),COUNT(_xlfn._xlws.FILTER(BA:BA,(BA:BA=F44)*(BC:BC=_xlfn.NUMBERVALUE($C$3)))),COUNT(_xlfn._xlws.FILTER(BA:BA,(BA:BA=F45)*(BC:BC=_xlfn.NUMBERVALUE($C$3)))),COUNT(_xlfn._xlws.FILTER(BA:BA,(BA:BA=F46)*(BC:BC=_xlfn.NUMBERVALUE($C$3)))),COUNT(_xlfn._xlws.FILTER(BA:BA,(BA:BA=F47)*(BC:BC=_xlfn.NUMBERVALUE($C$3)))),COUNT(_xlfn._xlws.FILTER(BA:BA,(BA:BA=F48)*(BC:BC=_xlfn.NUMBERVALUE($C$3)))),COUNT(_xlfn._xlws.FILTER(BA:BA,(BA:BA=F49)*(BC:BC=_xlfn.NUMBERVALUE($C$3)))),COUNT(_xlfn._xlws.FILTER(BA:BA,(BA:BA=F50)*(BC:BC=_xlfn.NUMBERVALUE($C$3)))),COUNT(_xlfn._xlws.FILTER(BA:BA,(BA:BA=F51)*(BC:BC=_xlfn.NUMBERVALUE($C$3)))),COUNT(_xlfn._xlws.FILTER(BA:BA,(BA:BA=F52)*(BC:BC=_xlfn.NUMBERVALUE($C$3)))),COUNT(_xlfn._xlws.FILTER(BA:BA,(BA:BA=F53)*(BC:BC=_xlfn.NUMBERVALUE($C$3)))),COUNT(_xlfn._xlws.FILTER(BA:BA,(BA:BA=F54)*(BC:BC=_xlfn.NUMBERVALUE($C$3)))),COUNT(_xlfn._xlws.FILTER(BA:BA,(BA:BA=F55)*(BC:BC=_xlfn.NUMBERVALUE($C$3)))),COUNT(_xlfn._xlws.FILTER(BA:BA,(BA:BA=F56)*(BC:BC=_xlfn.NUMBERVALUE($C$3)))),COUNT(_xlfn._xlws.FILTER(BA:BA,(BA:BA=F57)*(BC:BC=_xlfn.NUMBERVALUE($C$3)))),COUNT(_xlfn._xlws.FILTER(BA:BA,(BA:BA=F58)*(BC:BC=_xlfn.NUMBERVALUE($C$3)))),COUNT(_xlfn._xlws.FILTER(BA:BA,(BA:BA=F59)*(BC:BC=_xlfn.NUMBERVALUE($C$3)))),COUNT(_xlfn._xlws.FILTER(BA:BA,(BA:BA=F60)*(BC:BC=_xlfn.NUMBERVALUE($C$3)))),COUNT(_xlfn._xlws.FILTER(BA:BA,(BA:BA=F61)*(BC:BC=_xlfn.NUMBERVALUE($C$3)))),COUNT(_xlfn._xlws.FILTER(BA:BA,(BA:BA=F62)*(BC:BC=_xlfn.NUMBERVALUE($C$3)))),COUNT(_xlfn._xlws.FILTER(BA:BA,(BA:BA=F63)*(BC:BC=_xlfn.NUMBERVALUE($C$3)))),COUNT(_xlfn._xlws.FILTER(BA:BA,(BA:BA=F64)*(BC:BC=_xlfn.NUMBERVALUE($C$3)))),COUNT(_xlfn._xlws.FILTER(BA:BA,(BA:BA=F65)*(BC:BC=_xlfn.NUMBERVALUE($C$3)))),COUNT(_xlfn._xlws.FILTER(BA:BA,(BA:BA=F66)*(BC:BC=_xlfn.NUMBERVALUE($C$3)))),COUNT(_xlfn._xlws.FILTER(BA:BA,(BA:BA=F67)*(BC:BC=_xlfn.NUMBERVALUE($C$3)))),COUNT(_xlfn._xlws.FILTER(BA:BA,(BA:BA=F68)*(BC:BC=_xlfn.NUMBERVALUE($C$3)))),COUNT(_xlfn._xlws.FILTER(BA:BA,(BA:BA=F69)*(BC:BC=_xlfn.NUMBERVALUE($C$3)))),COUNT(_xlfn._xlws.FILTER(BA:BA,(BA:BA=F70)*(BC:BC=_xlfn.NUMBERVALUE($C$3))))),_xlfn.ANCHORARRAY(F12))</f>
        <v>5</v>
      </c>
      <c r="AD12" s="23" cm="1">
        <f t="array" ref="AD12">COUNT(_xlfn._xlws.FILTER(BA:BA,(BA:BA=F12)*(BC:BC=_xlfn.NUMBERVALUE($C$4))*((BD:BD&lt;=$C$4+$D$4)*(BD:BD&gt;$C$4-$D$4))))</f>
        <v>1</v>
      </c>
      <c r="AE12" s="21">
        <f>IFERROR(AD12/AC12*100,"")</f>
        <v>20</v>
      </c>
      <c r="AF12" s="23" cm="1">
        <f t="array" ref="AF12">COUNT(_xlfn._xlws.FILTER(BA:BA,(BA:BA=F12)*(BC:BC=_xlfn.NUMBERVALUE($C$4))*((BD:BD&gt;$C$4+$D$4)*(BD:BD&lt;$C$4+2*$D$4)+(BD:BD&lt;$C$4-$D$4)*(BD:BD&gt;$C$4-2*$D$4))))</f>
        <v>3</v>
      </c>
      <c r="AG12" s="21">
        <f>IFERROR(AF12/AC12*100,"")</f>
        <v>60</v>
      </c>
      <c r="AH12" s="23" cm="1">
        <f t="array" ref="AH12">COUNT(_xlfn._xlws.FILTER(BA:BA,(BA:BA=F12)*(BC:BC=_xlfn.NUMBERVALUE($C$4))*((BD:BD&gt;$C$4+2*$D$4)*(BD:BD&lt;$C$4+3*$D$4)+(BD:BD&lt;$C$4-2*$D$4)*(BD:BD&gt;$C$4-3*$D$4))))</f>
        <v>1</v>
      </c>
      <c r="AI12" s="21">
        <f>IFERROR(AH12/AC12*100,"")</f>
        <v>20</v>
      </c>
      <c r="AJ12" s="23" cm="1">
        <f t="array" ref="AJ12">COUNT(_xlfn._xlws.FILTER(BA:BA,(BA:BA=F12)*(BC:BC=_xlfn.NUMBERVALUE($C$4))*((BD:BD&gt;$C$4+3*$D$4)+(BD:BD&lt;$C$4-3*$D$4))))</f>
        <v>0</v>
      </c>
      <c r="AK12" s="22">
        <f>IFERROR(AJ12/AC12*100,"")</f>
        <v>0</v>
      </c>
      <c r="AL12" s="30" cm="1">
        <f t="array" ref="AL12:AL36">_xlfn.CHOOSEROWS(_xlfn.VSTACK(COUNT(_xlfn._xlws.FILTER(BA:BA,(BA:BA=F12)*(BC:BC=_xlfn.NUMBERVALUE($C$5)))),COUNT(_xlfn._xlws.FILTER(BA:BA,(BA:BA=F13)*(BC:BC=_xlfn.NUMBERVALUE($C$5)))),COUNT(_xlfn._xlws.FILTER(BA:BA,(BA:BA=F14)*(BC:BC=_xlfn.NUMBERVALUE($C$5)))),COUNT(_xlfn._xlws.FILTER(BA:BA,(BA:BA=F15)*(BC:BC=_xlfn.NUMBERVALUE($C$5)))),COUNT(_xlfn._xlws.FILTER(BA:BA,(BA:BA=F16)*(BC:BC=_xlfn.NUMBERVALUE($C$5)))),COUNT(_xlfn._xlws.FILTER(BA:BA,(BA:BA=F17)*(BC:BC=_xlfn.NUMBERVALUE($C$5)))),COUNT(_xlfn._xlws.FILTER(BA:BA,(BA:BA=F18)*(BC:BC=_xlfn.NUMBERVALUE($C$5)))),COUNT(_xlfn._xlws.FILTER(BA:BA,(BA:BA=F19)*(BC:BC=_xlfn.NUMBERVALUE($C$5)))),COUNT(_xlfn._xlws.FILTER(BA:BA,(BA:BA=F20)*(BC:BC=_xlfn.NUMBERVALUE($C$5)))),COUNT(_xlfn._xlws.FILTER(BA:BA,(BA:BA=F21)*(BC:BC=_xlfn.NUMBERVALUE($C$3)))),COUNT(_xlfn._xlws.FILTER(BA:BA,(BA:BA=F22)*(BC:BC=_xlfn.NUMBERVALUE($C$3)))),COUNT(_xlfn._xlws.FILTER(BA:BA,(BA:BA=F23)*(BC:BC=_xlfn.NUMBERVALUE($C$3)))),COUNT(_xlfn._xlws.FILTER(BA:BA,(BA:BA=F24)*(BC:BC=_xlfn.NUMBERVALUE($C$3)))),COUNT(_xlfn._xlws.FILTER(BA:BA,(BA:BA=F25)*(BC:BC=_xlfn.NUMBERVALUE($C$3)))),COUNT(_xlfn._xlws.FILTER(BA:BA,(BA:BA=F26)*(BC:BC=_xlfn.NUMBERVALUE($C$3)))),COUNT(_xlfn._xlws.FILTER(BA:BA,(BA:BA=F27)*(BC:BC=_xlfn.NUMBERVALUE($C$3)))),COUNT(_xlfn._xlws.FILTER(BA:BA,(BA:BA=F28)*(BC:BC=_xlfn.NUMBERVALUE($C$3)))),COUNT(_xlfn._xlws.FILTER(BA:BA,(BA:BA=F29)*(BC:BC=_xlfn.NUMBERVALUE($C$3)))),COUNT(_xlfn._xlws.FILTER(BA:BA,(BA:BA=F30)*(BC:BC=_xlfn.NUMBERVALUE($C$3)))),COUNT(_xlfn._xlws.FILTER(BA:BA,(BA:BA=F31)*(BC:BC=_xlfn.NUMBERVALUE($C$3)))),COUNT(_xlfn._xlws.FILTER(BA:BA,(BA:BA=F32)*(BC:BC=_xlfn.NUMBERVALUE($C$3)))),COUNT(_xlfn._xlws.FILTER(BA:BA,(BA:BA=F33)*(BC:BC=_xlfn.NUMBERVALUE($C$3)))),COUNT(_xlfn._xlws.FILTER(BA:BA,(BA:BA=F34)*(BC:BC=_xlfn.NUMBERVALUE($C$3)))),COUNT(_xlfn._xlws.FILTER(BA:BA,(BA:BA=F35)*(BC:BC=_xlfn.NUMBERVALUE($C$3)))),COUNT(_xlfn._xlws.FILTER(BA:BA,(BA:BA=F36)*(BC:BC=_xlfn.NUMBERVALUE($C$3)))),COUNT(_xlfn._xlws.FILTER(BA:BA,(BA:BA=F37)*(BC:BC=_xlfn.NUMBERVALUE($C$3)))),COUNT(_xlfn._xlws.FILTER(BA:BA,(BA:BA=F38)*(BC:BC=_xlfn.NUMBERVALUE($C$3)))),COUNT(_xlfn._xlws.FILTER(BA:BA,(BA:BA=F39)*(BC:BC=_xlfn.NUMBERVALUE($C$3)))),COUNT(_xlfn._xlws.FILTER(BA:BA,(BA:BA=F40)*(BC:BC=_xlfn.NUMBERVALUE($C$3)))),COUNT(_xlfn._xlws.FILTER(BA:BA,(BA:BA=F41)*(BC:BC=_xlfn.NUMBERVALUE($C$3)))),COUNT(_xlfn._xlws.FILTER(BA:BA,(BA:BA=F42)*(BC:BC=_xlfn.NUMBERVALUE($C$3)))),COUNT(_xlfn._xlws.FILTER(BA:BA,(BA:BA=F43)*(BC:BC=_xlfn.NUMBERVALUE($C$3)))),COUNT(_xlfn._xlws.FILTER(BA:BA,(BA:BA=F44)*(BC:BC=_xlfn.NUMBERVALUE($C$3)))),COUNT(_xlfn._xlws.FILTER(BA:BA,(BA:BA=F45)*(BC:BC=_xlfn.NUMBERVALUE($C$3)))),COUNT(_xlfn._xlws.FILTER(BA:BA,(BA:BA=F46)*(BC:BC=_xlfn.NUMBERVALUE($C$3)))),COUNT(_xlfn._xlws.FILTER(BA:BA,(BA:BA=F47)*(BC:BC=_xlfn.NUMBERVALUE($C$3)))),COUNT(_xlfn._xlws.FILTER(BA:BA,(BA:BA=F48)*(BC:BC=_xlfn.NUMBERVALUE($C$3)))),COUNT(_xlfn._xlws.FILTER(BA:BA,(BA:BA=F49)*(BC:BC=_xlfn.NUMBERVALUE($C$3)))),COUNT(_xlfn._xlws.FILTER(BA:BA,(BA:BA=F50)*(BC:BC=_xlfn.NUMBERVALUE($C$3)))),COUNT(_xlfn._xlws.FILTER(BA:BA,(BA:BA=F51)*(BC:BC=_xlfn.NUMBERVALUE($C$3)))),COUNT(_xlfn._xlws.FILTER(BA:BA,(BA:BA=F52)*(BC:BC=_xlfn.NUMBERVALUE($C$3)))),COUNT(_xlfn._xlws.FILTER(BA:BA,(BA:BA=F53)*(BC:BC=_xlfn.NUMBERVALUE($C$3)))),COUNT(_xlfn._xlws.FILTER(BA:BA,(BA:BA=F54)*(BC:BC=_xlfn.NUMBERVALUE($C$3)))),COUNT(_xlfn._xlws.FILTER(BA:BA,(BA:BA=F55)*(BC:BC=_xlfn.NUMBERVALUE($C$3)))),COUNT(_xlfn._xlws.FILTER(BA:BA,(BA:BA=F56)*(BC:BC=_xlfn.NUMBERVALUE($C$3)))),COUNT(_xlfn._xlws.FILTER(BA:BA,(BA:BA=F57)*(BC:BC=_xlfn.NUMBERVALUE($C$3)))),COUNT(_xlfn._xlws.FILTER(BA:BA,(BA:BA=F58)*(BC:BC=_xlfn.NUMBERVALUE($C$3)))),COUNT(_xlfn._xlws.FILTER(BA:BA,(BA:BA=F59)*(BC:BC=_xlfn.NUMBERVALUE($C$3)))),COUNT(_xlfn._xlws.FILTER(BA:BA,(BA:BA=F60)*(BC:BC=_xlfn.NUMBERVALUE($C$3)))),COUNT(_xlfn._xlws.FILTER(BA:BA,(BA:BA=F61)*(BC:BC=_xlfn.NUMBERVALUE($C$3)))),COUNT(_xlfn._xlws.FILTER(BA:BA,(BA:BA=F62)*(BC:BC=_xlfn.NUMBERVALUE($C$3)))),COUNT(_xlfn._xlws.FILTER(BA:BA,(BA:BA=F63)*(BC:BC=_xlfn.NUMBERVALUE($C$3)))),COUNT(_xlfn._xlws.FILTER(BA:BA,(BA:BA=F64)*(BC:BC=_xlfn.NUMBERVALUE($C$3)))),COUNT(_xlfn._xlws.FILTER(BA:BA,(BA:BA=F65)*(BC:BC=_xlfn.NUMBERVALUE($C$3)))),COUNT(_xlfn._xlws.FILTER(BA:BA,(BA:BA=F66)*(BC:BC=_xlfn.NUMBERVALUE($C$3)))),COUNT(_xlfn._xlws.FILTER(BA:BA,(BA:BA=F67)*(BC:BC=_xlfn.NUMBERVALUE($C$3)))),COUNT(_xlfn._xlws.FILTER(BA:BA,(BA:BA=F68)*(BC:BC=_xlfn.NUMBERVALUE($C$3)))),COUNT(_xlfn._xlws.FILTER(BA:BA,(BA:BA=F69)*(BC:BC=_xlfn.NUMBERVALUE($C$3)))),COUNT(_xlfn._xlws.FILTER(BA:BA,(BA:BA=F70)*(BC:BC=_xlfn.NUMBERVALUE($C$3))))),_xlfn.ANCHORARRAY(F12))</f>
        <v>5</v>
      </c>
      <c r="AM12" s="23" cm="1">
        <f t="array" ref="AM12">COUNT(_xlfn._xlws.FILTER(BA:BA,(BA:BA=F12)*(BC:BC=_xlfn.NUMBERVALUE($C$5))*((BD:BD&lt;=$C$5+$D$5)*(BD:BD&gt;$C$5-$D$5))))</f>
        <v>0</v>
      </c>
      <c r="AN12" s="21">
        <f>IFERROR(AM12/AL12*100,"")</f>
        <v>0</v>
      </c>
      <c r="AO12" s="23" cm="1">
        <f t="array" ref="AO12">COUNT(_xlfn._xlws.FILTER(BA:BA,(BA:BA=F12)*(BC:BC=_xlfn.NUMBERVALUE($C$5))*((BD:BD&gt;$C$5+$D$5)*(BD:BD&lt;$C$5+2*$D$5)+(BD:BD&lt;$C$5-$D$5)*(BD:BD&gt;$C$5-2*$D$5))))</f>
        <v>4</v>
      </c>
      <c r="AP12" s="21">
        <f>IFERROR(AO12/AL12*100,"")</f>
        <v>80</v>
      </c>
      <c r="AQ12" s="23" cm="1">
        <f t="array" ref="AQ12">COUNT(_xlfn._xlws.FILTER(BA:BA,(BA:BA=F12)*(BC:BC=_xlfn.NUMBERVALUE($C$5))*((BD:BD&gt;$C$5+2*$D$5)*(BD:BD&lt;$C$5+3*$D$5)+(BD:BD&lt;$C$5-2*$D$5)*(BD:BD&gt;$C$5-3*$D$5))))</f>
        <v>1</v>
      </c>
      <c r="AR12" s="21">
        <f>IFERROR(AQ12/AL12*100,"")</f>
        <v>20</v>
      </c>
      <c r="AS12" s="23" cm="1">
        <f t="array" ref="AS12">COUNT(_xlfn._xlws.FILTER(BA:BA,(BA:BA=F12)*(BC:BC=_xlfn.NUMBERVALUE($C$5))*((BD:BD&gt;$C$5+3*$D$5)+(BD:BD&lt;$C$5-3*$D$5))))</f>
        <v>0</v>
      </c>
      <c r="AT12" s="22">
        <f>IFERROR(AS12/AL12*100,"")</f>
        <v>0</v>
      </c>
      <c r="AW12" s="1">
        <v>1.1000000000000001</v>
      </c>
      <c r="AX12" s="1">
        <v>1.1000000000000001</v>
      </c>
      <c r="AY12" t="str">
        <v>R080_HI782-0_0.0_LOT0366_PWW49.1_QC.xlsx</v>
      </c>
      <c r="AZ12" t="str">
        <v>LOT0366</v>
      </c>
      <c r="BA12" s="3">
        <v>1</v>
      </c>
      <c r="BB12" t="str">
        <v>P/Final</v>
      </c>
      <c r="BC12">
        <v>35</v>
      </c>
      <c r="BD12" s="10">
        <v>38.700000000000003</v>
      </c>
      <c r="BE12" s="10">
        <v>0</v>
      </c>
      <c r="BF12" s="10">
        <v>0</v>
      </c>
      <c r="BG12" s="13">
        <v>45299</v>
      </c>
      <c r="BH12" t="str">
        <v>LOT0568</v>
      </c>
      <c r="BI12">
        <v>11</v>
      </c>
      <c r="BJ12">
        <v>0</v>
      </c>
      <c r="BK12">
        <v>15</v>
      </c>
      <c r="BL12">
        <v>35</v>
      </c>
      <c r="BM12">
        <v>60</v>
      </c>
      <c r="BN12" t="str">
        <v/>
      </c>
      <c r="BO12" t="str">
        <v/>
      </c>
      <c r="BP12" s="10">
        <v>0</v>
      </c>
      <c r="BQ12" s="10">
        <v>16.500000000000004</v>
      </c>
      <c r="BR12" s="10">
        <v>36.961702127659578</v>
      </c>
      <c r="BS12" s="10">
        <v>61.180000000000021</v>
      </c>
      <c r="BT12" s="10" t="str">
        <v/>
      </c>
      <c r="BU12" s="10" t="str">
        <v/>
      </c>
      <c r="BV12">
        <v>0</v>
      </c>
      <c r="BW12">
        <v>0</v>
      </c>
      <c r="BX12">
        <v>0</v>
      </c>
      <c r="BY12">
        <v>0</v>
      </c>
      <c r="BZ12">
        <v>1</v>
      </c>
      <c r="CA12">
        <v>1</v>
      </c>
      <c r="CB12">
        <v>1</v>
      </c>
      <c r="CC12">
        <v>7.8975000000000009</v>
      </c>
      <c r="CD12">
        <v>1.3674999999999999</v>
      </c>
      <c r="CE12">
        <v>1.3674999999999999</v>
      </c>
      <c r="CF12">
        <v>1.3674999999999999</v>
      </c>
      <c r="CG12">
        <v>1.3674999999999999</v>
      </c>
      <c r="CH12">
        <v>1.3674999999999999</v>
      </c>
      <c r="CI12">
        <v>1.3674999999999999</v>
      </c>
      <c r="CJ12">
        <v>10.324999999999999</v>
      </c>
      <c r="CK12">
        <v>1.8574999999999999</v>
      </c>
      <c r="CL12">
        <v>1.8574999999999999</v>
      </c>
      <c r="CM12">
        <v>1.8574999999999999</v>
      </c>
      <c r="CN12">
        <v>1.8574999999999999</v>
      </c>
      <c r="CO12">
        <v>1.8574999999999999</v>
      </c>
      <c r="CP12">
        <v>1.8574999999999999</v>
      </c>
      <c r="CQ12">
        <v>12.0175</v>
      </c>
      <c r="CR12">
        <v>2.4699999999999998</v>
      </c>
      <c r="CS12">
        <v>2.4699999999999998</v>
      </c>
      <c r="CT12">
        <v>2.4699999999999998</v>
      </c>
      <c r="CU12">
        <v>2.4699999999999998</v>
      </c>
      <c r="CV12">
        <v>2.4699999999999998</v>
      </c>
      <c r="CW12">
        <v>2.4699999999999998</v>
      </c>
      <c r="CX12">
        <v>-67.41</v>
      </c>
      <c r="CY12" s="1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 s="10" cm="1">
        <f t="array" ref="DL12">IF($BJ12&lt;&gt;"",IFERROR(AVERAGE(_xlfn._xlws.FILTER($BD:$BD,($BA:$BA=$BI12)*($BC:$BC=_xlfn.NUMBERVALUE($BJ12)))),""),"")</f>
        <v>0</v>
      </c>
      <c r="DM12" s="10" cm="1">
        <f t="array" ref="DM12">IF($BK12&lt;&gt;"",IFERROR(AVERAGE(_xlfn._xlws.FILTER($BD:$BD,($BA:$BA=$BI12)*($BC:$BC=_xlfn.NUMBERVALUE($BK12)))),""),"")</f>
        <v>16.500000000000004</v>
      </c>
      <c r="DN12" s="10" cm="1">
        <f t="array" ref="DN12">IF($BL12&lt;&gt;"",IFERROR(AVERAGE(_xlfn._xlws.FILTER($BD:$BD,($BA:$BA=$BI12)*($BC:$BC=_xlfn.NUMBERVALUE($BL12)))),""),"")</f>
        <v>36.961702127659578</v>
      </c>
      <c r="DO12" s="10" cm="1">
        <f t="array" ref="DO12">IF($BM12&lt;&gt;"",IFERROR(AVERAGE(_xlfn._xlws.FILTER($BD:$BD,($BA:$BA=$BI12)*($BC:$BC=_xlfn.NUMBERVALUE($BM12)))),""),"")</f>
        <v>61.180000000000021</v>
      </c>
      <c r="DP12" s="10" t="str" cm="1">
        <f t="array" ref="DP12">IF($BN12&lt;&gt;"",IFERROR(AVERAGE(_xlfn._xlws.FILTER($BD:$BD,($BA:$BA=$BI12)*($BC:$BC=_xlfn.NUMBERVALUE($BN12)))),""),"")</f>
        <v/>
      </c>
      <c r="DQ12" s="10" t="str" cm="1">
        <f t="array" ref="DQ12">IF($BO12&lt;&gt;"",IFERROR(AVERAGE(_xlfn._xlws.FILTER($BD:$BD,($BA:$BA=$BI12)*($BC:$BC=_xlfn.NUMBERVALUE($BO12)))),""),"")</f>
        <v/>
      </c>
      <c r="DR12">
        <v>0</v>
      </c>
      <c r="DS12" s="10">
        <v>0</v>
      </c>
      <c r="DT12" s="10">
        <v>0</v>
      </c>
      <c r="DU12" s="10">
        <v>0</v>
      </c>
      <c r="DV12" s="10" t="str">
        <v/>
      </c>
      <c r="DW12" s="10" t="str">
        <v/>
      </c>
      <c r="DX12" cm="1">
        <f t="array" ref="DX12">IF($BJ12&lt;&gt;"",IFERROR(AVERAGE(_xlfn._xlws.FILTER($BE:$BE,($BA:$BA=$BI12)*($BC:$BC=_xlfn.NUMBERVALUE($BJ12)))),""),"")</f>
        <v>0</v>
      </c>
      <c r="DY12" s="10" cm="1">
        <f t="array" ref="DY12">IF($BK12&lt;&gt;"",IFERROR(AVERAGE(_xlfn._xlws.FILTER($BE:$BE,($BA:$BA=$BI12)*($BC:$BC=_xlfn.NUMBERVALUE($BK12)))),""),"")</f>
        <v>0</v>
      </c>
      <c r="DZ12" s="10" cm="1">
        <f t="array" ref="DZ12">IF($BL12&lt;&gt;"",IFERROR(AVERAGE(_xlfn._xlws.FILTER($BE:$BE,($BA:$BA=$BI12)*($BC:$BC=_xlfn.NUMBERVALUE($BL12)))),""),"")</f>
        <v>0</v>
      </c>
      <c r="EA12" s="10" cm="1">
        <f t="array" ref="EA12">IF($BM12&lt;&gt;"",IFERROR(AVERAGE(_xlfn._xlws.FILTER($BE:$BE,($BA:$BA=$BI12)*($BC:$BC=_xlfn.NUMBERVALUE($BM12)))),""),"")</f>
        <v>0</v>
      </c>
      <c r="EB12" s="10" t="str" cm="1">
        <f t="array" ref="EB12">IF($BN12&lt;&gt;"",IFERROR(AVERAGE(_xlfn._xlws.FILTER($BE:$BE,($BA:$BA=$BI12)*($BC:$BC=_xlfn.NUMBERVALUE($BN12)))),""),"")</f>
        <v/>
      </c>
      <c r="EC12" s="10" t="str" cm="1">
        <f t="array" ref="EC12">IF($BO12&lt;&gt;"",IFERROR(AVERAGE(_xlfn._xlws.FILTER($BE:$BE,($BA:$BA=$BI12)*($BC:$BC=_xlfn.NUMBERVALUE($BO12)))),""),"")</f>
        <v/>
      </c>
    </row>
    <row r="13" spans="1:133" x14ac:dyDescent="0.3">
      <c r="A13" t="str">
        <v>P/Final</v>
      </c>
      <c r="F13" s="23">
        <v>2</v>
      </c>
      <c r="G13" s="27" t="str">
        <v>LOT0367</v>
      </c>
      <c r="H13" s="32">
        <v>45300</v>
      </c>
      <c r="I13" s="23">
        <v>2</v>
      </c>
      <c r="J13" s="29">
        <v>16</v>
      </c>
      <c r="K13" s="30">
        <v>4</v>
      </c>
      <c r="L13" s="23" cm="1">
        <f t="array" ref="L13">COUNT(_xlfn._xlws.FILTER(BA:BA,(BA:BA=_xlfn.NUMBERVALUE(F13))*(BC:BC=_xlfn.NUMBERVALUE($C$2))*((BD:BD&lt;$C$2+$D$2)*(BD:BD&gt;$C$2-$D$2))))</f>
        <v>4</v>
      </c>
      <c r="M13" s="21">
        <f t="shared" ref="M13:M36" si="0">IFERROR(L13/K13*100,"")</f>
        <v>100</v>
      </c>
      <c r="N13" s="23" cm="1">
        <f t="array" ref="N13">COUNT(_xlfn._xlws.FILTER(BA:BA,(BA:BA=_xlfn.NUMBERVALUE(F13))*(BC:BC=_xlfn.NUMBERVALUE($C$2))*((BD:BD&gt;$C$2+$D$2)*(BD:BD&lt;$C$2+2*$D$2)+(BD:BD&lt;$C$2-$D$2)*(BD:BD&gt;$C$2-2*$D$2))))</f>
        <v>0</v>
      </c>
      <c r="O13" s="21">
        <f t="shared" ref="O13:O36" si="1">IFERROR(N13/K13*100,"")</f>
        <v>0</v>
      </c>
      <c r="P13" s="23" cm="1">
        <f t="array" ref="P13">COUNT(_xlfn._xlws.FILTER(BA:BA,(BA:BA=_xlfn.NUMBERVALUE(F13))*(BC:BC=_xlfn.NUMBERVALUE($C$2))*((BD:BD&gt;$C$2+2*$D$2)*(BD:BD&lt;$C$2+3*$D$2)+(BD:BD&lt;$C$2-2*$D$2)*(BD:BD&gt;$C$2-3*$D$2))))</f>
        <v>0</v>
      </c>
      <c r="Q13" s="21">
        <f t="shared" ref="Q13:Q21" si="2">IFERROR(P13/K13*100,"")</f>
        <v>0</v>
      </c>
      <c r="R13" s="23" cm="1">
        <f t="array" ref="R13">COUNT(_xlfn._xlws.FILTER(BA:BA,(BA:BA=_xlfn.NUMBERVALUE(F13))*(BC:BC=_xlfn.NUMBERVALUE($C$2))*((BD:BD&gt;$C$2+3*$D$2)+(BD:BD&lt;$C$2-3*$D$2))))</f>
        <v>0</v>
      </c>
      <c r="S13" s="22">
        <f t="shared" ref="S13:S36" si="3">IFERROR(R13/K13*100,"")</f>
        <v>0</v>
      </c>
      <c r="T13" s="30">
        <v>4</v>
      </c>
      <c r="U13" s="23" cm="1">
        <f t="array" ref="U13">COUNT(_xlfn._xlws.FILTER(BA:BA,(BA:BA=F13)*(BC:BC=_xlfn.NUMBERVALUE($C$3))*((BD:BD&lt;=$C$3+$D$3)*(BD:BD&gt;$C$3-$D$3))))</f>
        <v>2</v>
      </c>
      <c r="V13" s="21">
        <f t="shared" ref="V13:V18" si="4">IFERROR(U13/T13*100,"")</f>
        <v>50</v>
      </c>
      <c r="W13" s="23" cm="1">
        <f t="array" ref="W13">COUNT(_xlfn._xlws.FILTER(BA:BA,(BA:BA=F13)*(BC:BC=_xlfn.NUMBERVALUE($C$3))*((BD:BD&gt;$C$3+$D$3)*(BD:BD&lt;$C$3+2*$D$3)+(BD:BD&lt;$C$3-$D$3)*(BD:BD&gt;$C$3-2*$D$3))))</f>
        <v>2</v>
      </c>
      <c r="X13" s="21">
        <f t="shared" ref="X13:X36" si="5">IFERROR(W13/T13*100,"")</f>
        <v>50</v>
      </c>
      <c r="Y13" s="23" cm="1">
        <f t="array" ref="Y13">COUNT(_xlfn._xlws.FILTER(BA:BA,(BA:BA=F13)*(BC:BC=_xlfn.NUMBERVALUE($C$3))*((BD:BD&gt;$C$3+2*$D$3)*(BD:BD&lt;$C$3+3*$D$3)+(BD:BD&lt;$C$3-2*$D$3)*(BD:BD&gt;$C$3-3*$D$3))))</f>
        <v>0</v>
      </c>
      <c r="Z13" s="21">
        <f t="shared" ref="Z13:Z36" si="6">IFERROR(Y13/T13*100,"")</f>
        <v>0</v>
      </c>
      <c r="AA13" s="23" cm="1">
        <f t="array" ref="AA13">COUNT(_xlfn._xlws.FILTER(BA:BA,(BA:BA=F13)*(BC:BC=_xlfn.NUMBERVALUE($C$3))*((BD:BD&gt;=$C$3+3*$D$3)+(BD:BD&lt;=$C$3-3*$D$3))))</f>
        <v>0</v>
      </c>
      <c r="AB13" s="22">
        <f t="shared" ref="AB13:AB36" si="7">IFERROR(AA13/T13*100,"")</f>
        <v>0</v>
      </c>
      <c r="AC13" s="30">
        <v>4</v>
      </c>
      <c r="AD13" s="23" cm="1">
        <f t="array" ref="AD13">COUNT(_xlfn._xlws.FILTER(BA:BA,(BA:BA=F13)*(BC:BC=_xlfn.NUMBERVALUE($C$4))*((BD:BD&lt;=$C$4+$D$4)*(BD:BD&gt;$C$4-$D$4))))</f>
        <v>1</v>
      </c>
      <c r="AE13" s="21">
        <f t="shared" ref="AE13:AE36" si="8">IFERROR(AD13/AC13*100,"")</f>
        <v>25</v>
      </c>
      <c r="AF13" s="23" cm="1">
        <f t="array" ref="AF13">COUNT(_xlfn._xlws.FILTER(BA:BA,(BA:BA=F13)*(BC:BC=_xlfn.NUMBERVALUE($C$4))*((BD:BD&gt;$C$4+$D$4)*(BD:BD&lt;$C$4+2*$D$4)+(BD:BD&lt;$C$4-$D$4)*(BD:BD&gt;$C$4-2*$D$4))))</f>
        <v>3</v>
      </c>
      <c r="AG13" s="21">
        <f t="shared" ref="AG13:AG36" si="9">IFERROR(AF13/AC13*100,"")</f>
        <v>75</v>
      </c>
      <c r="AH13" s="23" cm="1">
        <f t="array" ref="AH13">COUNT(_xlfn._xlws.FILTER(BA:BA,(BA:BA=F13)*(BC:BC=_xlfn.NUMBERVALUE($C$4))*((BD:BD&gt;$C$4+2*$D$4)*(BD:BD&lt;$C$4+3*$D$4)+(BD:BD&lt;$C$4-2*$D$4)*(BD:BD&gt;$C$4-3*$D$4))))</f>
        <v>0</v>
      </c>
      <c r="AI13" s="21">
        <f t="shared" ref="AI13:AI36" si="10">IFERROR(AH13/AC13*100,"")</f>
        <v>0</v>
      </c>
      <c r="AJ13" s="23" cm="1">
        <f t="array" ref="AJ13">COUNT(_xlfn._xlws.FILTER(BA:BA,(BA:BA=F13)*(BC:BC=_xlfn.NUMBERVALUE($C$4))*((BD:BD&gt;$C$4+3*$D$4)+(BD:BD&lt;$C$4-3*$D$4))))</f>
        <v>0</v>
      </c>
      <c r="AK13" s="22">
        <f t="shared" ref="AK13:AK36" si="11">IFERROR(AJ13/AC13*100,"")</f>
        <v>0</v>
      </c>
      <c r="AL13" s="30">
        <v>4</v>
      </c>
      <c r="AM13" s="23" cm="1">
        <f t="array" ref="AM13">COUNT(_xlfn._xlws.FILTER(BA:BA,(BA:BA=F13)*(BC:BC=_xlfn.NUMBERVALUE($C$5))*((BD:BD&lt;=$C$5+$D$5)*(BD:BD&gt;$C$5-$D$5))))</f>
        <v>2</v>
      </c>
      <c r="AN13" s="21">
        <f t="shared" ref="AN13:AN36" si="12">IFERROR(AM13/AL13*100,"")</f>
        <v>50</v>
      </c>
      <c r="AO13" s="23" cm="1">
        <f t="array" ref="AO13">COUNT(_xlfn._xlws.FILTER(BA:BA,(BA:BA=F13)*(BC:BC=_xlfn.NUMBERVALUE($C$5))*((BD:BD&gt;$C$5+$D$5)*(BD:BD&lt;$C$5+2*$D$5)+(BD:BD&lt;$C$5-$D$5)*(BD:BD&gt;$C$5-2*$D$5))))</f>
        <v>2</v>
      </c>
      <c r="AP13" s="21">
        <f t="shared" ref="AP13:AP36" si="13">IFERROR(AO13/AL13*100,"")</f>
        <v>50</v>
      </c>
      <c r="AQ13" s="23" cm="1">
        <f t="array" ref="AQ13">COUNT(_xlfn._xlws.FILTER(BA:BA,(BA:BA=F13)*(BC:BC=_xlfn.NUMBERVALUE($C$5))*((BD:BD&gt;$C$5+2*$D$5)*(BD:BD&lt;$C$5+3*$D$5)+(BD:BD&lt;$C$5-2*$D$5)*(BD:BD&gt;$C$5-3*$D$5))))</f>
        <v>0</v>
      </c>
      <c r="AR13" s="21">
        <f t="shared" ref="AR13:AR36" si="14">IFERROR(AQ13/AL13*100,"")</f>
        <v>0</v>
      </c>
      <c r="AS13" s="23" cm="1">
        <f t="array" ref="AS13">COUNT(_xlfn._xlws.FILTER(BA:BA,(BA:BA=F13)*(BC:BC=_xlfn.NUMBERVALUE($C$5))*((BD:BD&gt;$C$5+3*$D$5)+(BD:BD&lt;$C$5-3*$D$5))))</f>
        <v>0</v>
      </c>
      <c r="AT13" s="22">
        <f t="shared" ref="AT13:AT36" si="15">IFERROR(AS13/AL13*100,"")</f>
        <v>0</v>
      </c>
      <c r="AW13" s="1">
        <v>1.1000000000000001</v>
      </c>
      <c r="AX13" s="1">
        <v>1.1000000000000001</v>
      </c>
      <c r="AY13" t="str">
        <v>R080_HI782-0_0.0_LOT0366_PWW49.1_QC.xlsx</v>
      </c>
      <c r="AZ13" t="str">
        <v>LOT0366</v>
      </c>
      <c r="BA13" s="3">
        <v>1</v>
      </c>
      <c r="BB13" t="str">
        <v>P/Final</v>
      </c>
      <c r="BC13">
        <v>35</v>
      </c>
      <c r="BD13" s="10">
        <v>35.9</v>
      </c>
      <c r="BE13" s="10">
        <v>0</v>
      </c>
      <c r="BF13" s="10">
        <v>0</v>
      </c>
      <c r="BG13" s="13">
        <v>45299</v>
      </c>
      <c r="BH13" t="str">
        <v>LOT0632</v>
      </c>
      <c r="BI13">
        <v>12</v>
      </c>
      <c r="BJ13">
        <v>0</v>
      </c>
      <c r="BK13">
        <v>15</v>
      </c>
      <c r="BL13">
        <v>35</v>
      </c>
      <c r="BM13">
        <v>60</v>
      </c>
      <c r="BN13" t="str">
        <v/>
      </c>
      <c r="BO13" t="str">
        <v/>
      </c>
      <c r="BP13" s="10">
        <v>0</v>
      </c>
      <c r="BQ13" s="10">
        <v>14.8375</v>
      </c>
      <c r="BR13" s="10">
        <v>34.736363636363635</v>
      </c>
      <c r="BS13" s="10">
        <v>59.349999999999994</v>
      </c>
      <c r="BT13" s="10" t="str">
        <v/>
      </c>
      <c r="BU13" s="10" t="str">
        <v/>
      </c>
      <c r="BV13">
        <v>0</v>
      </c>
      <c r="BW13">
        <v>0</v>
      </c>
      <c r="BX13">
        <v>0</v>
      </c>
      <c r="BY13">
        <v>0</v>
      </c>
      <c r="BZ13">
        <v>1</v>
      </c>
      <c r="CA13">
        <v>1</v>
      </c>
      <c r="CB13">
        <v>1</v>
      </c>
      <c r="CC13">
        <v>7.8975000000000009</v>
      </c>
      <c r="CD13">
        <v>1.3674999999999999</v>
      </c>
      <c r="CE13">
        <v>1.3674999999999999</v>
      </c>
      <c r="CF13">
        <v>1.3674999999999999</v>
      </c>
      <c r="CG13">
        <v>1.3674999999999999</v>
      </c>
      <c r="CH13">
        <v>1.3674999999999999</v>
      </c>
      <c r="CI13">
        <v>1.3674999999999999</v>
      </c>
      <c r="CJ13">
        <v>10.324999999999999</v>
      </c>
      <c r="CK13">
        <v>1.8574999999999999</v>
      </c>
      <c r="CL13">
        <v>1.8574999999999999</v>
      </c>
      <c r="CM13">
        <v>1.8574999999999999</v>
      </c>
      <c r="CN13">
        <v>1.8574999999999999</v>
      </c>
      <c r="CO13">
        <v>1.8574999999999999</v>
      </c>
      <c r="CP13">
        <v>1.8574999999999999</v>
      </c>
      <c r="CQ13">
        <v>12.0175</v>
      </c>
      <c r="CR13">
        <v>2.4699999999999998</v>
      </c>
      <c r="CS13">
        <v>2.4699999999999998</v>
      </c>
      <c r="CT13">
        <v>2.4699999999999998</v>
      </c>
      <c r="CU13">
        <v>2.4699999999999998</v>
      </c>
      <c r="CV13">
        <v>2.4699999999999998</v>
      </c>
      <c r="CW13">
        <v>2.4699999999999998</v>
      </c>
      <c r="CX13">
        <v>-67.41</v>
      </c>
      <c r="CY13" s="1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 s="10" cm="1">
        <f t="array" ref="DL13">IF($BJ13&lt;&gt;"",IFERROR(AVERAGE(_xlfn._xlws.FILTER($BD:$BD,($BA:$BA=$BI13)*($BC:$BC=_xlfn.NUMBERVALUE($BJ13)))),""),"")</f>
        <v>0</v>
      </c>
      <c r="DM13" s="10" cm="1">
        <f t="array" ref="DM13">IF($BK13&lt;&gt;"",IFERROR(AVERAGE(_xlfn._xlws.FILTER($BD:$BD,($BA:$BA=$BI13)*($BC:$BC=_xlfn.NUMBERVALUE($BK13)))),""),"")</f>
        <v>14.8375</v>
      </c>
      <c r="DN13" s="10" cm="1">
        <f t="array" ref="DN13">IF($BL13&lt;&gt;"",IFERROR(AVERAGE(_xlfn._xlws.FILTER($BD:$BD,($BA:$BA=$BI13)*($BC:$BC=_xlfn.NUMBERVALUE($BL13)))),""),"")</f>
        <v>34.736363636363635</v>
      </c>
      <c r="DO13" s="10" cm="1">
        <f t="array" ref="DO13">IF($BM13&lt;&gt;"",IFERROR(AVERAGE(_xlfn._xlws.FILTER($BD:$BD,($BA:$BA=$BI13)*($BC:$BC=_xlfn.NUMBERVALUE($BM13)))),""),"")</f>
        <v>59.349999999999994</v>
      </c>
      <c r="DP13" s="10" t="str" cm="1">
        <f t="array" ref="DP13">IF($BN13&lt;&gt;"",IFERROR(AVERAGE(_xlfn._xlws.FILTER($BD:$BD,($BA:$BA=$BI13)*($BC:$BC=_xlfn.NUMBERVALUE($BN13)))),""),"")</f>
        <v/>
      </c>
      <c r="DQ13" s="10" t="str" cm="1">
        <f t="array" ref="DQ13">IF($BO13&lt;&gt;"",IFERROR(AVERAGE(_xlfn._xlws.FILTER($BD:$BD,($BA:$BA=$BI13)*($BC:$BC=_xlfn.NUMBERVALUE($BO13)))),""),"")</f>
        <v/>
      </c>
      <c r="DR13">
        <v>0</v>
      </c>
      <c r="DS13" s="10">
        <v>0</v>
      </c>
      <c r="DT13" s="10">
        <v>0</v>
      </c>
      <c r="DU13" s="10">
        <v>0</v>
      </c>
      <c r="DV13" s="10" t="str">
        <v/>
      </c>
      <c r="DW13" s="10" t="str">
        <v/>
      </c>
      <c r="DX13" cm="1">
        <f t="array" ref="DX13">IF($BJ13&lt;&gt;"",IFERROR(AVERAGE(_xlfn._xlws.FILTER($BE:$BE,($BA:$BA=$BI13)*($BC:$BC=_xlfn.NUMBERVALUE($BJ13)))),""),"")</f>
        <v>0</v>
      </c>
      <c r="DY13" s="10" cm="1">
        <f t="array" ref="DY13">IF($BK13&lt;&gt;"",IFERROR(AVERAGE(_xlfn._xlws.FILTER($BE:$BE,($BA:$BA=$BI13)*($BC:$BC=_xlfn.NUMBERVALUE($BK13)))),""),"")</f>
        <v>0</v>
      </c>
      <c r="DZ13" s="10" cm="1">
        <f t="array" ref="DZ13">IF($BL13&lt;&gt;"",IFERROR(AVERAGE(_xlfn._xlws.FILTER($BE:$BE,($BA:$BA=$BI13)*($BC:$BC=_xlfn.NUMBERVALUE($BL13)))),""),"")</f>
        <v>0</v>
      </c>
      <c r="EA13" s="10" cm="1">
        <f t="array" ref="EA13">IF($BM13&lt;&gt;"",IFERROR(AVERAGE(_xlfn._xlws.FILTER($BE:$BE,($BA:$BA=$BI13)*($BC:$BC=_xlfn.NUMBERVALUE($BM13)))),""),"")</f>
        <v>0</v>
      </c>
      <c r="EB13" s="10" t="str" cm="1">
        <f t="array" ref="EB13">IF($BN13&lt;&gt;"",IFERROR(AVERAGE(_xlfn._xlws.FILTER($BE:$BE,($BA:$BA=$BI13)*($BC:$BC=_xlfn.NUMBERVALUE($BN13)))),""),"")</f>
        <v/>
      </c>
      <c r="EC13" s="10" t="str" cm="1">
        <f t="array" ref="EC13">IF($BO13&lt;&gt;"",IFERROR(AVERAGE(_xlfn._xlws.FILTER($BE:$BE,($BA:$BA=$BI13)*($BC:$BC=_xlfn.NUMBERVALUE($BO13)))),""),"")</f>
        <v/>
      </c>
    </row>
    <row r="14" spans="1:133" x14ac:dyDescent="0.3">
      <c r="A14" t="str">
        <v>P/Prod</v>
      </c>
      <c r="F14" s="23">
        <v>3</v>
      </c>
      <c r="G14" s="27" t="str">
        <v>LOT0418</v>
      </c>
      <c r="H14" s="32">
        <v>45310</v>
      </c>
      <c r="I14" s="23">
        <v>4</v>
      </c>
      <c r="J14" s="29">
        <v>39</v>
      </c>
      <c r="K14" s="30">
        <v>1</v>
      </c>
      <c r="L14" s="23" cm="1">
        <f t="array" ref="L14">COUNT(_xlfn._xlws.FILTER(BA:BA,(BA:BA=_xlfn.NUMBERVALUE(F14))*(BC:BC=_xlfn.NUMBERVALUE($C$2))*((BD:BD&lt;$C$2+$D$2)*(BD:BD&gt;$C$2-$D$2))))</f>
        <v>1</v>
      </c>
      <c r="M14" s="21">
        <f t="shared" si="0"/>
        <v>100</v>
      </c>
      <c r="N14" s="23" cm="1">
        <f t="array" ref="N14">COUNT(_xlfn._xlws.FILTER(BA:BA,(BA:BA=_xlfn.NUMBERVALUE(F14))*(BC:BC=_xlfn.NUMBERVALUE($C$2))*((BD:BD&gt;$C$2+$D$2)*(BD:BD&lt;$C$2+2*$D$2)+(BD:BD&lt;$C$2-$D$2)*(BD:BD&gt;$C$2-2*$D$2))))</f>
        <v>0</v>
      </c>
      <c r="O14" s="21">
        <f t="shared" si="1"/>
        <v>0</v>
      </c>
      <c r="P14" s="23" cm="1">
        <f t="array" ref="P14">COUNT(_xlfn._xlws.FILTER(BA:BA,(BA:BA=_xlfn.NUMBERVALUE(F14))*(BC:BC=_xlfn.NUMBERVALUE($C$2))*((BD:BD&gt;$C$2+2*$D$2)*(BD:BD&lt;$C$2+3*$D$2)+(BD:BD&lt;$C$2-2*$D$2)*(BD:BD&gt;$C$2-3*$D$2))))</f>
        <v>0</v>
      </c>
      <c r="Q14" s="21">
        <f t="shared" si="2"/>
        <v>0</v>
      </c>
      <c r="R14" s="23" cm="1">
        <f t="array" ref="R14">COUNT(_xlfn._xlws.FILTER(BA:BA,(BA:BA=_xlfn.NUMBERVALUE(F14))*(BC:BC=_xlfn.NUMBERVALUE($C$2))*((BD:BD&gt;$C$2+3*$D$2)+(BD:BD&lt;$C$2-3*$D$2))))</f>
        <v>0</v>
      </c>
      <c r="S14" s="22">
        <f t="shared" si="3"/>
        <v>0</v>
      </c>
      <c r="T14" s="30">
        <v>13</v>
      </c>
      <c r="U14" s="23" cm="1">
        <f t="array" ref="U14">COUNT(_xlfn._xlws.FILTER(BA:BA,(BA:BA=F14)*(BC:BC=_xlfn.NUMBERVALUE($C$3))*((BD:BD&lt;=$C$3+$D$3)*(BD:BD&gt;$C$3-$D$3))))</f>
        <v>8</v>
      </c>
      <c r="V14" s="21">
        <f t="shared" si="4"/>
        <v>61.53846153846154</v>
      </c>
      <c r="W14" s="23" cm="1">
        <f t="array" ref="W14">COUNT(_xlfn._xlws.FILTER(BA:BA,(BA:BA=F14)*(BC:BC=_xlfn.NUMBERVALUE($C$3))*((BD:BD&gt;$C$3+$D$3)*(BD:BD&lt;$C$3+2*$D$3)+(BD:BD&lt;$C$3-$D$3)*(BD:BD&gt;$C$3-2*$D$3))))</f>
        <v>3</v>
      </c>
      <c r="X14" s="21">
        <f t="shared" si="5"/>
        <v>23.076923076923077</v>
      </c>
      <c r="Y14" s="23" cm="1">
        <f t="array" ref="Y14">COUNT(_xlfn._xlws.FILTER(BA:BA,(BA:BA=F14)*(BC:BC=_xlfn.NUMBERVALUE($C$3))*((BD:BD&gt;$C$3+2*$D$3)*(BD:BD&lt;$C$3+3*$D$3)+(BD:BD&lt;$C$3-2*$D$3)*(BD:BD&gt;$C$3-3*$D$3))))</f>
        <v>2</v>
      </c>
      <c r="Z14" s="21">
        <f t="shared" si="6"/>
        <v>15.384615384615385</v>
      </c>
      <c r="AA14" s="23" cm="1">
        <f t="array" ref="AA14">COUNT(_xlfn._xlws.FILTER(BA:BA,(BA:BA=F14)*(BC:BC=_xlfn.NUMBERVALUE($C$3))*((BD:BD&gt;=$C$3+3*$D$3)+(BD:BD&lt;=$C$3-3*$D$3))))</f>
        <v>0</v>
      </c>
      <c r="AB14" s="22">
        <f t="shared" si="7"/>
        <v>0</v>
      </c>
      <c r="AC14" s="30">
        <v>15</v>
      </c>
      <c r="AD14" s="23" cm="1">
        <f t="array" ref="AD14">COUNT(_xlfn._xlws.FILTER(BA:BA,(BA:BA=F14)*(BC:BC=_xlfn.NUMBERVALUE($C$4))*((BD:BD&lt;=$C$4+$D$4)*(BD:BD&gt;$C$4-$D$4))))</f>
        <v>8</v>
      </c>
      <c r="AE14" s="21">
        <f t="shared" si="8"/>
        <v>53.333333333333336</v>
      </c>
      <c r="AF14" s="23" cm="1">
        <f t="array" ref="AF14">COUNT(_xlfn._xlws.FILTER(BA:BA,(BA:BA=F14)*(BC:BC=_xlfn.NUMBERVALUE($C$4))*((BD:BD&gt;$C$4+$D$4)*(BD:BD&lt;$C$4+2*$D$4)+(BD:BD&lt;$C$4-$D$4)*(BD:BD&gt;$C$4-2*$D$4))))</f>
        <v>4</v>
      </c>
      <c r="AG14" s="21">
        <f t="shared" si="9"/>
        <v>26.666666666666668</v>
      </c>
      <c r="AH14" s="23" cm="1">
        <f t="array" ref="AH14">COUNT(_xlfn._xlws.FILTER(BA:BA,(BA:BA=F14)*(BC:BC=_xlfn.NUMBERVALUE($C$4))*((BD:BD&gt;$C$4+2*$D$4)*(BD:BD&lt;$C$4+3*$D$4)+(BD:BD&lt;$C$4-2*$D$4)*(BD:BD&gt;$C$4-3*$D$4))))</f>
        <v>3</v>
      </c>
      <c r="AI14" s="21">
        <f t="shared" si="10"/>
        <v>20</v>
      </c>
      <c r="AJ14" s="23" cm="1">
        <f t="array" ref="AJ14">COUNT(_xlfn._xlws.FILTER(BA:BA,(BA:BA=F14)*(BC:BC=_xlfn.NUMBERVALUE($C$4))*((BD:BD&gt;$C$4+3*$D$4)+(BD:BD&lt;$C$4-3*$D$4))))</f>
        <v>0</v>
      </c>
      <c r="AK14" s="22">
        <f t="shared" si="11"/>
        <v>0</v>
      </c>
      <c r="AL14" s="30">
        <v>10</v>
      </c>
      <c r="AM14" s="23" cm="1">
        <f t="array" ref="AM14">COUNT(_xlfn._xlws.FILTER(BA:BA,(BA:BA=F14)*(BC:BC=_xlfn.NUMBERVALUE($C$5))*((BD:BD&lt;=$C$5+$D$5)*(BD:BD&gt;$C$5-$D$5))))</f>
        <v>4</v>
      </c>
      <c r="AN14" s="21">
        <f t="shared" si="12"/>
        <v>40</v>
      </c>
      <c r="AO14" s="23" cm="1">
        <f t="array" ref="AO14">COUNT(_xlfn._xlws.FILTER(BA:BA,(BA:BA=F14)*(BC:BC=_xlfn.NUMBERVALUE($C$5))*((BD:BD&gt;$C$5+$D$5)*(BD:BD&lt;$C$5+2*$D$5)+(BD:BD&lt;$C$5-$D$5)*(BD:BD&gt;$C$5-2*$D$5))))</f>
        <v>2</v>
      </c>
      <c r="AP14" s="21">
        <f t="shared" si="13"/>
        <v>20</v>
      </c>
      <c r="AQ14" s="23" cm="1">
        <f t="array" ref="AQ14">COUNT(_xlfn._xlws.FILTER(BA:BA,(BA:BA=F14)*(BC:BC=_xlfn.NUMBERVALUE($C$5))*((BD:BD&gt;$C$5+2*$D$5)*(BD:BD&lt;$C$5+3*$D$5)+(BD:BD&lt;$C$5-2*$D$5)*(BD:BD&gt;$C$5-3*$D$5))))</f>
        <v>3</v>
      </c>
      <c r="AR14" s="21">
        <f t="shared" si="14"/>
        <v>30</v>
      </c>
      <c r="AS14" s="23" cm="1">
        <f t="array" ref="AS14">COUNT(_xlfn._xlws.FILTER(BA:BA,(BA:BA=F14)*(BC:BC=_xlfn.NUMBERVALUE($C$5))*((BD:BD&gt;$C$5+3*$D$5)+(BD:BD&lt;$C$5-3*$D$5))))</f>
        <v>1</v>
      </c>
      <c r="AT14" s="22">
        <f t="shared" si="15"/>
        <v>10</v>
      </c>
      <c r="AW14" s="1">
        <v>1.1000000000000001</v>
      </c>
      <c r="AX14" s="1">
        <v>1.1000000000000001</v>
      </c>
      <c r="AY14" t="str">
        <v>R080_HI782-0_0.0_LOT0366_PWW49.1_QC.xlsx</v>
      </c>
      <c r="AZ14" t="str">
        <v>LOT0366</v>
      </c>
      <c r="BA14" s="3">
        <v>1</v>
      </c>
      <c r="BB14" t="str">
        <v>P/Final</v>
      </c>
      <c r="BC14">
        <v>35</v>
      </c>
      <c r="BD14" s="10">
        <v>38.700000000000003</v>
      </c>
      <c r="BE14" s="10">
        <v>0</v>
      </c>
      <c r="BF14" s="10">
        <v>0</v>
      </c>
      <c r="BG14" s="13">
        <v>45299</v>
      </c>
      <c r="BH14" t="str">
        <v>LOT0634</v>
      </c>
      <c r="BI14">
        <v>13</v>
      </c>
      <c r="BJ14">
        <v>0</v>
      </c>
      <c r="BK14">
        <v>15</v>
      </c>
      <c r="BL14">
        <v>35</v>
      </c>
      <c r="BM14">
        <v>60</v>
      </c>
      <c r="BN14" t="str">
        <v/>
      </c>
      <c r="BO14" t="str">
        <v/>
      </c>
      <c r="BP14" s="10">
        <v>0</v>
      </c>
      <c r="BQ14" s="10">
        <v>15.51</v>
      </c>
      <c r="BR14" s="10">
        <v>37.127272727272732</v>
      </c>
      <c r="BS14" s="10">
        <v>61.472727272727276</v>
      </c>
      <c r="BT14" s="10" t="str">
        <v/>
      </c>
      <c r="BU14" s="10" t="str">
        <v/>
      </c>
      <c r="BV14">
        <v>0</v>
      </c>
      <c r="BW14">
        <v>0</v>
      </c>
      <c r="BX14">
        <v>0</v>
      </c>
      <c r="BY14">
        <v>0</v>
      </c>
      <c r="BZ14">
        <v>1</v>
      </c>
      <c r="CA14">
        <v>1</v>
      </c>
      <c r="CB14">
        <v>1</v>
      </c>
      <c r="CC14">
        <v>7.8975000000000009</v>
      </c>
      <c r="CD14">
        <v>1.3674999999999999</v>
      </c>
      <c r="CE14">
        <v>1.3674999999999999</v>
      </c>
      <c r="CF14">
        <v>1.3674999999999999</v>
      </c>
      <c r="CG14">
        <v>1.3674999999999999</v>
      </c>
      <c r="CH14">
        <v>1.3674999999999999</v>
      </c>
      <c r="CI14">
        <v>1.3674999999999999</v>
      </c>
      <c r="CJ14">
        <v>10.324999999999999</v>
      </c>
      <c r="CK14">
        <v>1.8574999999999999</v>
      </c>
      <c r="CL14">
        <v>1.8574999999999999</v>
      </c>
      <c r="CM14">
        <v>1.8574999999999999</v>
      </c>
      <c r="CN14">
        <v>1.8574999999999999</v>
      </c>
      <c r="CO14">
        <v>1.8574999999999999</v>
      </c>
      <c r="CP14">
        <v>1.8574999999999999</v>
      </c>
      <c r="CQ14">
        <v>12.0175</v>
      </c>
      <c r="CR14">
        <v>2.4699999999999998</v>
      </c>
      <c r="CS14">
        <v>2.4699999999999998</v>
      </c>
      <c r="CT14">
        <v>2.4699999999999998</v>
      </c>
      <c r="CU14">
        <v>2.4699999999999998</v>
      </c>
      <c r="CV14">
        <v>2.4699999999999998</v>
      </c>
      <c r="CW14">
        <v>2.4699999999999998</v>
      </c>
      <c r="CX14">
        <v>-67.41</v>
      </c>
      <c r="CY14" s="1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 s="10" cm="1">
        <f t="array" ref="DL14">IF($BJ14&lt;&gt;"",IFERROR(AVERAGE(_xlfn._xlws.FILTER($BD:$BD,($BA:$BA=$BI14)*($BC:$BC=_xlfn.NUMBERVALUE($BJ14)))),""),"")</f>
        <v>0</v>
      </c>
      <c r="DM14" s="10" cm="1">
        <f t="array" ref="DM14">IF($BK14&lt;&gt;"",IFERROR(AVERAGE(_xlfn._xlws.FILTER($BD:$BD,($BA:$BA=$BI14)*($BC:$BC=_xlfn.NUMBERVALUE($BK14)))),""),"")</f>
        <v>15.51</v>
      </c>
      <c r="DN14" s="10" cm="1">
        <f t="array" ref="DN14">IF($BL14&lt;&gt;"",IFERROR(AVERAGE(_xlfn._xlws.FILTER($BD:$BD,($BA:$BA=$BI14)*($BC:$BC=_xlfn.NUMBERVALUE($BL14)))),""),"")</f>
        <v>37.127272727272732</v>
      </c>
      <c r="DO14" s="10" cm="1">
        <f t="array" ref="DO14">IF($BM14&lt;&gt;"",IFERROR(AVERAGE(_xlfn._xlws.FILTER($BD:$BD,($BA:$BA=$BI14)*($BC:$BC=_xlfn.NUMBERVALUE($BM14)))),""),"")</f>
        <v>61.472727272727276</v>
      </c>
      <c r="DP14" s="10" t="str" cm="1">
        <f t="array" ref="DP14">IF($BN14&lt;&gt;"",IFERROR(AVERAGE(_xlfn._xlws.FILTER($BD:$BD,($BA:$BA=$BI14)*($BC:$BC=_xlfn.NUMBERVALUE($BN14)))),""),"")</f>
        <v/>
      </c>
      <c r="DQ14" s="10" t="str" cm="1">
        <f t="array" ref="DQ14">IF($BO14&lt;&gt;"",IFERROR(AVERAGE(_xlfn._xlws.FILTER($BD:$BD,($BA:$BA=$BI14)*($BC:$BC=_xlfn.NUMBERVALUE($BO14)))),""),"")</f>
        <v/>
      </c>
      <c r="DR14">
        <v>0</v>
      </c>
      <c r="DS14" s="10">
        <v>0</v>
      </c>
      <c r="DT14" s="10">
        <v>0</v>
      </c>
      <c r="DU14" s="10">
        <v>0</v>
      </c>
      <c r="DV14" s="10" t="str">
        <v/>
      </c>
      <c r="DW14" s="10" t="str">
        <v/>
      </c>
      <c r="DX14" cm="1">
        <f t="array" ref="DX14">IF($BJ14&lt;&gt;"",IFERROR(AVERAGE(_xlfn._xlws.FILTER($BE:$BE,($BA:$BA=$BI14)*($BC:$BC=_xlfn.NUMBERVALUE($BJ14)))),""),"")</f>
        <v>0</v>
      </c>
      <c r="DY14" s="10" cm="1">
        <f t="array" ref="DY14">IF($BK14&lt;&gt;"",IFERROR(AVERAGE(_xlfn._xlws.FILTER($BE:$BE,($BA:$BA=$BI14)*($BC:$BC=_xlfn.NUMBERVALUE($BK14)))),""),"")</f>
        <v>0</v>
      </c>
      <c r="DZ14" s="10" cm="1">
        <f t="array" ref="DZ14">IF($BL14&lt;&gt;"",IFERROR(AVERAGE(_xlfn._xlws.FILTER($BE:$BE,($BA:$BA=$BI14)*($BC:$BC=_xlfn.NUMBERVALUE($BL14)))),""),"")</f>
        <v>0</v>
      </c>
      <c r="EA14" s="10" cm="1">
        <f t="array" ref="EA14">IF($BM14&lt;&gt;"",IFERROR(AVERAGE(_xlfn._xlws.FILTER($BE:$BE,($BA:$BA=$BI14)*($BC:$BC=_xlfn.NUMBERVALUE($BM14)))),""),"")</f>
        <v>0</v>
      </c>
      <c r="EB14" s="10" t="str" cm="1">
        <f t="array" ref="EB14">IF($BN14&lt;&gt;"",IFERROR(AVERAGE(_xlfn._xlws.FILTER($BE:$BE,($BA:$BA=$BI14)*($BC:$BC=_xlfn.NUMBERVALUE($BN14)))),""),"")</f>
        <v/>
      </c>
      <c r="EC14" s="10" t="str" cm="1">
        <f t="array" ref="EC14">IF($BO14&lt;&gt;"",IFERROR(AVERAGE(_xlfn._xlws.FILTER($BE:$BE,($BA:$BA=$BI14)*($BC:$BC=_xlfn.NUMBERVALUE($BO14)))),""),"")</f>
        <v/>
      </c>
    </row>
    <row r="15" spans="1:133" x14ac:dyDescent="0.3">
      <c r="A15" t="str">
        <v>Valid</v>
      </c>
      <c r="F15" s="23">
        <v>4</v>
      </c>
      <c r="G15" s="23" t="str">
        <v>LOT0428</v>
      </c>
      <c r="H15" s="32">
        <v>45330</v>
      </c>
      <c r="I15" s="23">
        <v>6</v>
      </c>
      <c r="J15" s="29">
        <v>61</v>
      </c>
      <c r="K15" s="30">
        <v>6</v>
      </c>
      <c r="L15" s="23" cm="1">
        <f t="array" ref="L15">COUNT(_xlfn._xlws.FILTER(BA:BA,(BA:BA=_xlfn.NUMBERVALUE(F15))*(BC:BC=_xlfn.NUMBERVALUE($C$2))*((BD:BD&lt;$C$2+$D$2)*(BD:BD&gt;$C$2-$D$2))))</f>
        <v>6</v>
      </c>
      <c r="M15" s="21">
        <f t="shared" si="0"/>
        <v>100</v>
      </c>
      <c r="N15" s="23" cm="1">
        <f t="array" ref="N15">COUNT(_xlfn._xlws.FILTER(BA:BA,(BA:BA=_xlfn.NUMBERVALUE(F15))*(BC:BC=_xlfn.NUMBERVALUE($C$2))*((BD:BD&gt;$C$2+$D$2)*(BD:BD&lt;$C$2+2*$D$2)+(BD:BD&lt;$C$2-$D$2)*(BD:BD&gt;$C$2-2*$D$2))))</f>
        <v>0</v>
      </c>
      <c r="O15" s="21">
        <f t="shared" si="1"/>
        <v>0</v>
      </c>
      <c r="P15" s="23" cm="1">
        <f t="array" ref="P15">COUNT(_xlfn._xlws.FILTER(BA:BA,(BA:BA=_xlfn.NUMBERVALUE(F15))*(BC:BC=_xlfn.NUMBERVALUE($C$2))*((BD:BD&gt;$C$2+2*$D$2)*(BD:BD&lt;$C$2+3*$D$2)+(BD:BD&lt;$C$2-2*$D$2)*(BD:BD&gt;$C$2-3*$D$2))))</f>
        <v>0</v>
      </c>
      <c r="Q15" s="21">
        <f t="shared" si="2"/>
        <v>0</v>
      </c>
      <c r="R15" s="23" cm="1">
        <f t="array" ref="R15">COUNT(_xlfn._xlws.FILTER(BA:BA,(BA:BA=_xlfn.NUMBERVALUE(F15))*(BC:BC=_xlfn.NUMBERVALUE($C$2))*((BD:BD&gt;$C$2+3*$D$2)+(BD:BD&lt;$C$2-3*$D$2))))</f>
        <v>0</v>
      </c>
      <c r="S15" s="22">
        <f t="shared" si="3"/>
        <v>0</v>
      </c>
      <c r="T15" s="30">
        <v>17</v>
      </c>
      <c r="U15" s="23" cm="1">
        <f t="array" ref="U15">COUNT(_xlfn._xlws.FILTER(BA:BA,(BA:BA=F15)*(BC:BC=_xlfn.NUMBERVALUE($C$3))*((BD:BD&lt;=$C$3+$D$3)*(BD:BD&gt;$C$3-$D$3))))</f>
        <v>17</v>
      </c>
      <c r="V15" s="21">
        <f t="shared" si="4"/>
        <v>100</v>
      </c>
      <c r="W15" s="23" cm="1">
        <f t="array" ref="W15">COUNT(_xlfn._xlws.FILTER(BA:BA,(BA:BA=F15)*(BC:BC=_xlfn.NUMBERVALUE($C$3))*((BD:BD&gt;$C$3+$D$3)*(BD:BD&lt;$C$3+2*$D$3)+(BD:BD&lt;$C$3-$D$3)*(BD:BD&gt;$C$3-2*$D$3))))</f>
        <v>0</v>
      </c>
      <c r="X15" s="21">
        <f t="shared" si="5"/>
        <v>0</v>
      </c>
      <c r="Y15" s="23" cm="1">
        <f t="array" ref="Y15">COUNT(_xlfn._xlws.FILTER(BA:BA,(BA:BA=F15)*(BC:BC=_xlfn.NUMBERVALUE($C$3))*((BD:BD&gt;$C$3+2*$D$3)*(BD:BD&lt;$C$3+3*$D$3)+(BD:BD&lt;$C$3-2*$D$3)*(BD:BD&gt;$C$3-3*$D$3))))</f>
        <v>0</v>
      </c>
      <c r="Z15" s="21">
        <f t="shared" si="6"/>
        <v>0</v>
      </c>
      <c r="AA15" s="23" cm="1">
        <f t="array" ref="AA15">COUNT(_xlfn._xlws.FILTER(BA:BA,(BA:BA=F15)*(BC:BC=_xlfn.NUMBERVALUE($C$3))*((BD:BD&gt;=$C$3+3*$D$3)+(BD:BD&lt;=$C$3-3*$D$3))))</f>
        <v>0</v>
      </c>
      <c r="AB15" s="22">
        <f t="shared" si="7"/>
        <v>0</v>
      </c>
      <c r="AC15" s="30">
        <v>21</v>
      </c>
      <c r="AD15" s="23" cm="1">
        <f t="array" ref="AD15">COUNT(_xlfn._xlws.FILTER(BA:BA,(BA:BA=F15)*(BC:BC=_xlfn.NUMBERVALUE($C$4))*((BD:BD&lt;=$C$4+$D$4)*(BD:BD&gt;$C$4-$D$4))))</f>
        <v>10</v>
      </c>
      <c r="AE15" s="21">
        <f t="shared" si="8"/>
        <v>47.619047619047613</v>
      </c>
      <c r="AF15" s="23" cm="1">
        <f t="array" ref="AF15">COUNT(_xlfn._xlws.FILTER(BA:BA,(BA:BA=F15)*(BC:BC=_xlfn.NUMBERVALUE($C$4))*((BD:BD&gt;$C$4+$D$4)*(BD:BD&lt;$C$4+2*$D$4)+(BD:BD&lt;$C$4-$D$4)*(BD:BD&gt;$C$4-2*$D$4))))</f>
        <v>11</v>
      </c>
      <c r="AG15" s="21">
        <f t="shared" si="9"/>
        <v>52.380952380952387</v>
      </c>
      <c r="AH15" s="23" cm="1">
        <f t="array" ref="AH15">COUNT(_xlfn._xlws.FILTER(BA:BA,(BA:BA=F15)*(BC:BC=_xlfn.NUMBERVALUE($C$4))*((BD:BD&gt;$C$4+2*$D$4)*(BD:BD&lt;$C$4+3*$D$4)+(BD:BD&lt;$C$4-2*$D$4)*(BD:BD&gt;$C$4-3*$D$4))))</f>
        <v>0</v>
      </c>
      <c r="AI15" s="21">
        <f t="shared" si="10"/>
        <v>0</v>
      </c>
      <c r="AJ15" s="23" cm="1">
        <f t="array" ref="AJ15">COUNT(_xlfn._xlws.FILTER(BA:BA,(BA:BA=F15)*(BC:BC=_xlfn.NUMBERVALUE($C$4))*((BD:BD&gt;$C$4+3*$D$4)+(BD:BD&lt;$C$4-3*$D$4))))</f>
        <v>0</v>
      </c>
      <c r="AK15" s="22">
        <f t="shared" si="11"/>
        <v>0</v>
      </c>
      <c r="AL15" s="30">
        <v>17</v>
      </c>
      <c r="AM15" s="23" cm="1">
        <f t="array" ref="AM15">COUNT(_xlfn._xlws.FILTER(BA:BA,(BA:BA=F15)*(BC:BC=_xlfn.NUMBERVALUE($C$5))*((BD:BD&lt;=$C$5+$D$5)*(BD:BD&gt;$C$5-$D$5))))</f>
        <v>12</v>
      </c>
      <c r="AN15" s="21">
        <f t="shared" si="12"/>
        <v>70.588235294117652</v>
      </c>
      <c r="AO15" s="23" cm="1">
        <f t="array" ref="AO15">COUNT(_xlfn._xlws.FILTER(BA:BA,(BA:BA=F15)*(BC:BC=_xlfn.NUMBERVALUE($C$5))*((BD:BD&gt;$C$5+$D$5)*(BD:BD&lt;$C$5+2*$D$5)+(BD:BD&lt;$C$5-$D$5)*(BD:BD&gt;$C$5-2*$D$5))))</f>
        <v>4</v>
      </c>
      <c r="AP15" s="21">
        <f t="shared" si="13"/>
        <v>23.52941176470588</v>
      </c>
      <c r="AQ15" s="23" cm="1">
        <f t="array" ref="AQ15">COUNT(_xlfn._xlws.FILTER(BA:BA,(BA:BA=F15)*(BC:BC=_xlfn.NUMBERVALUE($C$5))*((BD:BD&gt;$C$5+2*$D$5)*(BD:BD&lt;$C$5+3*$D$5)+(BD:BD&lt;$C$5-2*$D$5)*(BD:BD&gt;$C$5-3*$D$5))))</f>
        <v>1</v>
      </c>
      <c r="AR15" s="21">
        <f t="shared" si="14"/>
        <v>5.8823529411764701</v>
      </c>
      <c r="AS15" s="23" cm="1">
        <f t="array" ref="AS15">COUNT(_xlfn._xlws.FILTER(BA:BA,(BA:BA=F15)*(BC:BC=_xlfn.NUMBERVALUE($C$5))*((BD:BD&gt;$C$5+3*$D$5)+(BD:BD&lt;$C$5-3*$D$5))))</f>
        <v>0</v>
      </c>
      <c r="AT15" s="22">
        <f t="shared" si="15"/>
        <v>0</v>
      </c>
      <c r="AW15" s="1">
        <v>1.1000000000000001</v>
      </c>
      <c r="AX15" s="1">
        <v>1.1000000000000001</v>
      </c>
      <c r="AY15" t="str">
        <v>R080_HI782-0_0.0_LOT0366_PWW49.1_QC.xlsx</v>
      </c>
      <c r="AZ15" t="str">
        <v>LOT0366</v>
      </c>
      <c r="BA15" s="3">
        <v>1</v>
      </c>
      <c r="BB15" t="str">
        <v>P/Final</v>
      </c>
      <c r="BC15">
        <v>35</v>
      </c>
      <c r="BD15" s="10">
        <v>39.799999999999997</v>
      </c>
      <c r="BE15" s="10">
        <v>0</v>
      </c>
      <c r="BF15" s="10">
        <v>0</v>
      </c>
      <c r="BG15" s="13">
        <v>45299</v>
      </c>
      <c r="BH15" t="str">
        <v>LOT0652</v>
      </c>
      <c r="BI15">
        <v>14</v>
      </c>
      <c r="BJ15">
        <v>0</v>
      </c>
      <c r="BK15">
        <v>15</v>
      </c>
      <c r="BL15">
        <v>35</v>
      </c>
      <c r="BM15">
        <v>60</v>
      </c>
      <c r="BN15" t="str">
        <v/>
      </c>
      <c r="BO15" t="str">
        <v/>
      </c>
      <c r="BP15" s="10">
        <v>0</v>
      </c>
      <c r="BQ15" s="10">
        <v>14.640000000000002</v>
      </c>
      <c r="BR15" s="10">
        <v>35.376315789473686</v>
      </c>
      <c r="BS15" s="10">
        <v>57.983783783783771</v>
      </c>
      <c r="BT15" s="10" t="str">
        <v/>
      </c>
      <c r="BU15" s="10" t="str">
        <v/>
      </c>
      <c r="BV15">
        <v>0</v>
      </c>
      <c r="BW15">
        <v>0</v>
      </c>
      <c r="BX15">
        <v>0</v>
      </c>
      <c r="BY15">
        <v>0</v>
      </c>
      <c r="BZ15">
        <v>1</v>
      </c>
      <c r="CA15">
        <v>1</v>
      </c>
      <c r="CB15">
        <v>1</v>
      </c>
      <c r="CC15">
        <v>7.8975000000000009</v>
      </c>
      <c r="CD15">
        <v>1.3674999999999999</v>
      </c>
      <c r="CE15">
        <v>1.3674999999999999</v>
      </c>
      <c r="CF15">
        <v>1.3674999999999999</v>
      </c>
      <c r="CG15">
        <v>1.3674999999999999</v>
      </c>
      <c r="CH15">
        <v>1.3674999999999999</v>
      </c>
      <c r="CI15">
        <v>1.3674999999999999</v>
      </c>
      <c r="CJ15">
        <v>10.324999999999999</v>
      </c>
      <c r="CK15">
        <v>1.8574999999999999</v>
      </c>
      <c r="CL15">
        <v>1.8574999999999999</v>
      </c>
      <c r="CM15">
        <v>1.8574999999999999</v>
      </c>
      <c r="CN15">
        <v>1.8574999999999999</v>
      </c>
      <c r="CO15">
        <v>1.8574999999999999</v>
      </c>
      <c r="CP15">
        <v>1.8574999999999999</v>
      </c>
      <c r="CQ15">
        <v>12.0175</v>
      </c>
      <c r="CR15">
        <v>2.4699999999999998</v>
      </c>
      <c r="CS15">
        <v>2.4699999999999998</v>
      </c>
      <c r="CT15">
        <v>2.4699999999999998</v>
      </c>
      <c r="CU15">
        <v>2.4699999999999998</v>
      </c>
      <c r="CV15">
        <v>2.4699999999999998</v>
      </c>
      <c r="CW15">
        <v>2.4699999999999998</v>
      </c>
      <c r="CX15">
        <v>-67.41</v>
      </c>
      <c r="CY15" s="1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 s="10" cm="1">
        <f t="array" ref="DL15">IF($BJ15&lt;&gt;"",IFERROR(AVERAGE(_xlfn._xlws.FILTER($BD:$BD,($BA:$BA=$BI15)*($BC:$BC=_xlfn.NUMBERVALUE($BJ15)))),""),"")</f>
        <v>0</v>
      </c>
      <c r="DM15" s="10" cm="1">
        <f t="array" ref="DM15">IF($BK15&lt;&gt;"",IFERROR(AVERAGE(_xlfn._xlws.FILTER($BD:$BD,($BA:$BA=$BI15)*($BC:$BC=_xlfn.NUMBERVALUE($BK15)))),""),"")</f>
        <v>14.640000000000002</v>
      </c>
      <c r="DN15" s="10" cm="1">
        <f t="array" ref="DN15">IF($BL15&lt;&gt;"",IFERROR(AVERAGE(_xlfn._xlws.FILTER($BD:$BD,($BA:$BA=$BI15)*($BC:$BC=_xlfn.NUMBERVALUE($BL15)))),""),"")</f>
        <v>35.376315789473686</v>
      </c>
      <c r="DO15" s="10" cm="1">
        <f t="array" ref="DO15">IF($BM15&lt;&gt;"",IFERROR(AVERAGE(_xlfn._xlws.FILTER($BD:$BD,($BA:$BA=$BI15)*($BC:$BC=_xlfn.NUMBERVALUE($BM15)))),""),"")</f>
        <v>57.983783783783771</v>
      </c>
      <c r="DP15" s="10" t="str" cm="1">
        <f t="array" ref="DP15">IF($BN15&lt;&gt;"",IFERROR(AVERAGE(_xlfn._xlws.FILTER($BD:$BD,($BA:$BA=$BI15)*($BC:$BC=_xlfn.NUMBERVALUE($BN15)))),""),"")</f>
        <v/>
      </c>
      <c r="DQ15" s="10" t="str" cm="1">
        <f t="array" ref="DQ15">IF($BO15&lt;&gt;"",IFERROR(AVERAGE(_xlfn._xlws.FILTER($BD:$BD,($BA:$BA=$BI15)*($BC:$BC=_xlfn.NUMBERVALUE($BO15)))),""),"")</f>
        <v/>
      </c>
      <c r="DR15">
        <v>0</v>
      </c>
      <c r="DS15" s="10">
        <v>0</v>
      </c>
      <c r="DT15" s="10">
        <v>0</v>
      </c>
      <c r="DU15" s="10">
        <v>0</v>
      </c>
      <c r="DV15" s="10" t="str">
        <v/>
      </c>
      <c r="DW15" s="10" t="str">
        <v/>
      </c>
      <c r="DX15" cm="1">
        <f t="array" ref="DX15">IF($BJ15&lt;&gt;"",IFERROR(AVERAGE(_xlfn._xlws.FILTER($BE:$BE,($BA:$BA=$BI15)*($BC:$BC=_xlfn.NUMBERVALUE($BJ15)))),""),"")</f>
        <v>0</v>
      </c>
      <c r="DY15" s="10" cm="1">
        <f t="array" ref="DY15">IF($BK15&lt;&gt;"",IFERROR(AVERAGE(_xlfn._xlws.FILTER($BE:$BE,($BA:$BA=$BI15)*($BC:$BC=_xlfn.NUMBERVALUE($BK15)))),""),"")</f>
        <v>0</v>
      </c>
      <c r="DZ15" s="10" cm="1">
        <f t="array" ref="DZ15">IF($BL15&lt;&gt;"",IFERROR(AVERAGE(_xlfn._xlws.FILTER($BE:$BE,($BA:$BA=$BI15)*($BC:$BC=_xlfn.NUMBERVALUE($BL15)))),""),"")</f>
        <v>0</v>
      </c>
      <c r="EA15" s="10" cm="1">
        <f t="array" ref="EA15">IF($BM15&lt;&gt;"",IFERROR(AVERAGE(_xlfn._xlws.FILTER($BE:$BE,($BA:$BA=$BI15)*($BC:$BC=_xlfn.NUMBERVALUE($BM15)))),""),"")</f>
        <v>0</v>
      </c>
      <c r="EB15" s="10" t="str" cm="1">
        <f t="array" ref="EB15">IF($BN15&lt;&gt;"",IFERROR(AVERAGE(_xlfn._xlws.FILTER($BE:$BE,($BA:$BA=$BI15)*($BC:$BC=_xlfn.NUMBERVALUE($BN15)))),""),"")</f>
        <v/>
      </c>
      <c r="EC15" s="10" t="str" cm="1">
        <f t="array" ref="EC15">IF($BO15&lt;&gt;"",IFERROR(AVERAGE(_xlfn._xlws.FILTER($BE:$BE,($BA:$BA=$BI15)*($BC:$BC=_xlfn.NUMBERVALUE($BO15)))),""),"")</f>
        <v/>
      </c>
    </row>
    <row r="16" spans="1:133" x14ac:dyDescent="0.3">
      <c r="B16" s="4"/>
      <c r="C16" s="4"/>
      <c r="F16" s="23">
        <v>5</v>
      </c>
      <c r="G16" s="23" t="str">
        <v>LOT0450</v>
      </c>
      <c r="H16" s="32">
        <v>45352</v>
      </c>
      <c r="I16" s="23">
        <v>10</v>
      </c>
      <c r="J16" s="29">
        <v>73</v>
      </c>
      <c r="K16" s="30">
        <v>1</v>
      </c>
      <c r="L16" s="23" cm="1">
        <f t="array" ref="L16">COUNT(_xlfn._xlws.FILTER(BA:BA,(BA:BA=_xlfn.NUMBERVALUE(F16))*(BC:BC=_xlfn.NUMBERVALUE($C$2))*((BD:BD&lt;$C$2+$D$2)*(BD:BD&gt;$C$2-$D$2))))</f>
        <v>1</v>
      </c>
      <c r="M16" s="21">
        <f t="shared" si="0"/>
        <v>100</v>
      </c>
      <c r="N16" s="23" cm="1">
        <f t="array" ref="N16">COUNT(_xlfn._xlws.FILTER(BA:BA,(BA:BA=_xlfn.NUMBERVALUE(F16))*(BC:BC=_xlfn.NUMBERVALUE($C$2))*((BD:BD&gt;$C$2+$D$2)*(BD:BD&lt;$C$2+2*$D$2)+(BD:BD&lt;$C$2-$D$2)*(BD:BD&gt;$C$2-2*$D$2))))</f>
        <v>0</v>
      </c>
      <c r="O16" s="21">
        <f t="shared" si="1"/>
        <v>0</v>
      </c>
      <c r="P16" s="23" cm="1">
        <f t="array" ref="P16">COUNT(_xlfn._xlws.FILTER(BA:BA,(BA:BA=_xlfn.NUMBERVALUE(F16))*(BC:BC=_xlfn.NUMBERVALUE($C$2))*((BD:BD&gt;$C$2+2*$D$2)*(BD:BD&lt;$C$2+3*$D$2)+(BD:BD&lt;$C$2-2*$D$2)*(BD:BD&gt;$C$2-3*$D$2))))</f>
        <v>0</v>
      </c>
      <c r="Q16" s="21">
        <f t="shared" si="2"/>
        <v>0</v>
      </c>
      <c r="R16" s="23" cm="1">
        <f t="array" ref="R16">COUNT(_xlfn._xlws.FILTER(BA:BA,(BA:BA=_xlfn.NUMBERVALUE(F16))*(BC:BC=_xlfn.NUMBERVALUE($C$2))*((BD:BD&gt;$C$2+3*$D$2)+(BD:BD&lt;$C$2-3*$D$2))))</f>
        <v>0</v>
      </c>
      <c r="S16" s="22">
        <f t="shared" si="3"/>
        <v>0</v>
      </c>
      <c r="T16" s="30">
        <v>23</v>
      </c>
      <c r="U16" s="23" cm="1">
        <f t="array" ref="U16">COUNT(_xlfn._xlws.FILTER(BA:BA,(BA:BA=F16)*(BC:BC=_xlfn.NUMBERVALUE($C$3))*((BD:BD&lt;=$C$3+$D$3)*(BD:BD&gt;$C$3-$D$3))))</f>
        <v>3</v>
      </c>
      <c r="V16" s="21">
        <f t="shared" si="4"/>
        <v>13.043478260869565</v>
      </c>
      <c r="W16" s="23" cm="1">
        <f t="array" ref="W16">COUNT(_xlfn._xlws.FILTER(BA:BA,(BA:BA=F16)*(BC:BC=_xlfn.NUMBERVALUE($C$3))*((BD:BD&gt;$C$3+$D$3)*(BD:BD&lt;$C$3+2*$D$3)+(BD:BD&lt;$C$3-$D$3)*(BD:BD&gt;$C$3-2*$D$3))))</f>
        <v>14</v>
      </c>
      <c r="X16" s="21">
        <f t="shared" si="5"/>
        <v>60.869565217391312</v>
      </c>
      <c r="Y16" s="23" cm="1">
        <f t="array" ref="Y16">COUNT(_xlfn._xlws.FILTER(BA:BA,(BA:BA=F16)*(BC:BC=_xlfn.NUMBERVALUE($C$3))*((BD:BD&gt;$C$3+2*$D$3)*(BD:BD&lt;$C$3+3*$D$3)+(BD:BD&lt;$C$3-2*$D$3)*(BD:BD&gt;$C$3-3*$D$3))))</f>
        <v>6</v>
      </c>
      <c r="Z16" s="21">
        <f t="shared" si="6"/>
        <v>26.086956521739129</v>
      </c>
      <c r="AA16" s="23" cm="1">
        <f t="array" ref="AA16">COUNT(_xlfn._xlws.FILTER(BA:BA,(BA:BA=F16)*(BC:BC=_xlfn.NUMBERVALUE($C$3))*((BD:BD&gt;=$C$3+3*$D$3)+(BD:BD&lt;=$C$3-3*$D$3))))</f>
        <v>0</v>
      </c>
      <c r="AB16" s="22">
        <f t="shared" si="7"/>
        <v>0</v>
      </c>
      <c r="AC16" s="30">
        <v>28</v>
      </c>
      <c r="AD16" s="23" cm="1">
        <f t="array" ref="AD16">COUNT(_xlfn._xlws.FILTER(BA:BA,(BA:BA=F16)*(BC:BC=_xlfn.NUMBERVALUE($C$4))*((BD:BD&lt;=$C$4+$D$4)*(BD:BD&gt;$C$4-$D$4))))</f>
        <v>5</v>
      </c>
      <c r="AE16" s="21">
        <f t="shared" si="8"/>
        <v>17.857142857142858</v>
      </c>
      <c r="AF16" s="23" cm="1">
        <f t="array" ref="AF16">COUNT(_xlfn._xlws.FILTER(BA:BA,(BA:BA=F16)*(BC:BC=_xlfn.NUMBERVALUE($C$4))*((BD:BD&gt;$C$4+$D$4)*(BD:BD&lt;$C$4+2*$D$4)+(BD:BD&lt;$C$4-$D$4)*(BD:BD&gt;$C$4-2*$D$4))))</f>
        <v>17</v>
      </c>
      <c r="AG16" s="21">
        <f t="shared" si="9"/>
        <v>60.714285714285708</v>
      </c>
      <c r="AH16" s="23" cm="1">
        <f t="array" ref="AH16">COUNT(_xlfn._xlws.FILTER(BA:BA,(BA:BA=F16)*(BC:BC=_xlfn.NUMBERVALUE($C$4))*((BD:BD&gt;$C$4+2*$D$4)*(BD:BD&lt;$C$4+3*$D$4)+(BD:BD&lt;$C$4-2*$D$4)*(BD:BD&gt;$C$4-3*$D$4))))</f>
        <v>2</v>
      </c>
      <c r="AI16" s="21">
        <f t="shared" si="10"/>
        <v>7.1428571428571423</v>
      </c>
      <c r="AJ16" s="23" cm="1">
        <f t="array" ref="AJ16">COUNT(_xlfn._xlws.FILTER(BA:BA,(BA:BA=F16)*(BC:BC=_xlfn.NUMBERVALUE($C$4))*((BD:BD&gt;$C$4+3*$D$4)+(BD:BD&lt;$C$4-3*$D$4))))</f>
        <v>4</v>
      </c>
      <c r="AK16" s="22">
        <f t="shared" si="11"/>
        <v>14.285714285714285</v>
      </c>
      <c r="AL16" s="30">
        <v>21</v>
      </c>
      <c r="AM16" s="23" cm="1">
        <f t="array" ref="AM16">COUNT(_xlfn._xlws.FILTER(BA:BA,(BA:BA=F16)*(BC:BC=_xlfn.NUMBERVALUE($C$5))*((BD:BD&lt;=$C$5+$D$5)*(BD:BD&gt;$C$5-$D$5))))</f>
        <v>13</v>
      </c>
      <c r="AN16" s="21">
        <f t="shared" si="12"/>
        <v>61.904761904761905</v>
      </c>
      <c r="AO16" s="23" cm="1">
        <f t="array" ref="AO16">COUNT(_xlfn._xlws.FILTER(BA:BA,(BA:BA=F16)*(BC:BC=_xlfn.NUMBERVALUE($C$5))*((BD:BD&gt;$C$5+$D$5)*(BD:BD&lt;$C$5+2*$D$5)+(BD:BD&lt;$C$5-$D$5)*(BD:BD&gt;$C$5-2*$D$5))))</f>
        <v>7</v>
      </c>
      <c r="AP16" s="21">
        <f t="shared" si="13"/>
        <v>33.333333333333329</v>
      </c>
      <c r="AQ16" s="23" cm="1">
        <f t="array" ref="AQ16">COUNT(_xlfn._xlws.FILTER(BA:BA,(BA:BA=F16)*(BC:BC=_xlfn.NUMBERVALUE($C$5))*((BD:BD&gt;$C$5+2*$D$5)*(BD:BD&lt;$C$5+3*$D$5)+(BD:BD&lt;$C$5-2*$D$5)*(BD:BD&gt;$C$5-3*$D$5))))</f>
        <v>1</v>
      </c>
      <c r="AR16" s="21">
        <f t="shared" si="14"/>
        <v>4.7619047619047619</v>
      </c>
      <c r="AS16" s="23" cm="1">
        <f t="array" ref="AS16">COUNT(_xlfn._xlws.FILTER(BA:BA,(BA:BA=F16)*(BC:BC=_xlfn.NUMBERVALUE($C$5))*((BD:BD&gt;$C$5+3*$D$5)+(BD:BD&lt;$C$5-3*$D$5))))</f>
        <v>0</v>
      </c>
      <c r="AT16" s="22">
        <f t="shared" si="15"/>
        <v>0</v>
      </c>
      <c r="AW16" s="1">
        <v>1.1000000000000001</v>
      </c>
      <c r="AX16" s="1">
        <v>1.1000000000000001</v>
      </c>
      <c r="AY16" t="str">
        <v>R080_HI782-0_0.0_LOT0366_PWW49.1_QC.xlsx</v>
      </c>
      <c r="AZ16" t="str">
        <v>LOT0366</v>
      </c>
      <c r="BA16" s="3">
        <v>1</v>
      </c>
      <c r="BB16" t="str">
        <v>P/Final</v>
      </c>
      <c r="BC16">
        <v>60</v>
      </c>
      <c r="BD16" s="10">
        <v>64.7</v>
      </c>
      <c r="BE16" s="10">
        <v>0</v>
      </c>
      <c r="BF16" s="10">
        <v>0</v>
      </c>
      <c r="BG16" s="13">
        <v>45299</v>
      </c>
      <c r="BH16" t="str">
        <v>LOT0654</v>
      </c>
      <c r="BI16">
        <v>15</v>
      </c>
      <c r="BJ16">
        <v>0</v>
      </c>
      <c r="BK16">
        <v>15</v>
      </c>
      <c r="BL16">
        <v>35</v>
      </c>
      <c r="BM16">
        <v>60</v>
      </c>
      <c r="BN16" t="str">
        <v/>
      </c>
      <c r="BO16" t="str">
        <v/>
      </c>
      <c r="BP16" s="10">
        <v>0</v>
      </c>
      <c r="BQ16" s="10">
        <v>13.9</v>
      </c>
      <c r="BR16" s="10">
        <v>33.494736842105269</v>
      </c>
      <c r="BS16" s="10">
        <v>56.776470588235298</v>
      </c>
      <c r="BT16" s="10" t="str">
        <v/>
      </c>
      <c r="BU16" s="10" t="str">
        <v/>
      </c>
      <c r="BV16">
        <v>0</v>
      </c>
      <c r="BW16">
        <v>0</v>
      </c>
      <c r="BX16">
        <v>0</v>
      </c>
      <c r="BY16">
        <v>0</v>
      </c>
      <c r="BZ16">
        <v>1</v>
      </c>
      <c r="CA16">
        <v>1</v>
      </c>
      <c r="CB16">
        <v>1</v>
      </c>
      <c r="CC16">
        <v>7.8975000000000009</v>
      </c>
      <c r="CD16">
        <v>1.3674999999999999</v>
      </c>
      <c r="CE16">
        <v>1.3674999999999999</v>
      </c>
      <c r="CF16">
        <v>1.3674999999999999</v>
      </c>
      <c r="CG16">
        <v>1.3674999999999999</v>
      </c>
      <c r="CH16">
        <v>1.3674999999999999</v>
      </c>
      <c r="CI16">
        <v>1.3674999999999999</v>
      </c>
      <c r="CJ16">
        <v>10.324999999999999</v>
      </c>
      <c r="CK16">
        <v>1.8574999999999999</v>
      </c>
      <c r="CL16">
        <v>1.8574999999999999</v>
      </c>
      <c r="CM16">
        <v>1.8574999999999999</v>
      </c>
      <c r="CN16">
        <v>1.8574999999999999</v>
      </c>
      <c r="CO16">
        <v>1.8574999999999999</v>
      </c>
      <c r="CP16">
        <v>1.8574999999999999</v>
      </c>
      <c r="CQ16">
        <v>12.0175</v>
      </c>
      <c r="CR16">
        <v>2.4699999999999998</v>
      </c>
      <c r="CS16">
        <v>2.4699999999999998</v>
      </c>
      <c r="CT16">
        <v>2.4699999999999998</v>
      </c>
      <c r="CU16">
        <v>2.4699999999999998</v>
      </c>
      <c r="CV16">
        <v>2.4699999999999998</v>
      </c>
      <c r="CW16">
        <v>2.4699999999999998</v>
      </c>
      <c r="CX16">
        <v>-67.41</v>
      </c>
      <c r="CY16" s="1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 s="10" cm="1">
        <f t="array" ref="DL16">IF($BJ16&lt;&gt;"",IFERROR(AVERAGE(_xlfn._xlws.FILTER($BD:$BD,($BA:$BA=$BI16)*($BC:$BC=_xlfn.NUMBERVALUE($BJ16)))),""),"")</f>
        <v>0</v>
      </c>
      <c r="DM16" s="10" cm="1">
        <f t="array" ref="DM16">IF($BK16&lt;&gt;"",IFERROR(AVERAGE(_xlfn._xlws.FILTER($BD:$BD,($BA:$BA=$BI16)*($BC:$BC=_xlfn.NUMBERVALUE($BK16)))),""),"")</f>
        <v>13.9</v>
      </c>
      <c r="DN16" s="10" cm="1">
        <f t="array" ref="DN16">IF($BL16&lt;&gt;"",IFERROR(AVERAGE(_xlfn._xlws.FILTER($BD:$BD,($BA:$BA=$BI16)*($BC:$BC=_xlfn.NUMBERVALUE($BL16)))),""),"")</f>
        <v>33.494736842105269</v>
      </c>
      <c r="DO16" s="10" cm="1">
        <f t="array" ref="DO16">IF($BM16&lt;&gt;"",IFERROR(AVERAGE(_xlfn._xlws.FILTER($BD:$BD,($BA:$BA=$BI16)*($BC:$BC=_xlfn.NUMBERVALUE($BM16)))),""),"")</f>
        <v>56.776470588235298</v>
      </c>
      <c r="DP16" s="10" t="str" cm="1">
        <f t="array" ref="DP16">IF($BN16&lt;&gt;"",IFERROR(AVERAGE(_xlfn._xlws.FILTER($BD:$BD,($BA:$BA=$BI16)*($BC:$BC=_xlfn.NUMBERVALUE($BN16)))),""),"")</f>
        <v/>
      </c>
      <c r="DQ16" s="10" t="str" cm="1">
        <f t="array" ref="DQ16">IF($BO16&lt;&gt;"",IFERROR(AVERAGE(_xlfn._xlws.FILTER($BD:$BD,($BA:$BA=$BI16)*($BC:$BC=_xlfn.NUMBERVALUE($BO16)))),""),"")</f>
        <v/>
      </c>
      <c r="DR16">
        <v>0</v>
      </c>
      <c r="DS16" s="10">
        <v>0</v>
      </c>
      <c r="DT16" s="10">
        <v>0</v>
      </c>
      <c r="DU16" s="10">
        <v>0</v>
      </c>
      <c r="DV16" s="10" t="str">
        <v/>
      </c>
      <c r="DW16" s="10" t="str">
        <v/>
      </c>
      <c r="DX16" cm="1">
        <f t="array" ref="DX16">IF($BJ16&lt;&gt;"",IFERROR(AVERAGE(_xlfn._xlws.FILTER($BE:$BE,($BA:$BA=$BI16)*($BC:$BC=_xlfn.NUMBERVALUE($BJ16)))),""),"")</f>
        <v>0</v>
      </c>
      <c r="DY16" s="10" cm="1">
        <f t="array" ref="DY16">IF($BK16&lt;&gt;"",IFERROR(AVERAGE(_xlfn._xlws.FILTER($BE:$BE,($BA:$BA=$BI16)*($BC:$BC=_xlfn.NUMBERVALUE($BK16)))),""),"")</f>
        <v>0</v>
      </c>
      <c r="DZ16" s="10" cm="1">
        <f t="array" ref="DZ16">IF($BL16&lt;&gt;"",IFERROR(AVERAGE(_xlfn._xlws.FILTER($BE:$BE,($BA:$BA=$BI16)*($BC:$BC=_xlfn.NUMBERVALUE($BL16)))),""),"")</f>
        <v>0</v>
      </c>
      <c r="EA16" s="10" cm="1">
        <f t="array" ref="EA16">IF($BM16&lt;&gt;"",IFERROR(AVERAGE(_xlfn._xlws.FILTER($BE:$BE,($BA:$BA=$BI16)*($BC:$BC=_xlfn.NUMBERVALUE($BM16)))),""),"")</f>
        <v>0</v>
      </c>
      <c r="EB16" s="10" t="str" cm="1">
        <f t="array" ref="EB16">IF($BN16&lt;&gt;"",IFERROR(AVERAGE(_xlfn._xlws.FILTER($BE:$BE,($BA:$BA=$BI16)*($BC:$BC=_xlfn.NUMBERVALUE($BN16)))),""),"")</f>
        <v/>
      </c>
      <c r="EC16" s="10" t="str" cm="1">
        <f t="array" ref="EC16">IF($BO16&lt;&gt;"",IFERROR(AVERAGE(_xlfn._xlws.FILTER($BE:$BE,($BA:$BA=$BI16)*($BC:$BC=_xlfn.NUMBERVALUE($BO16)))),""),"")</f>
        <v/>
      </c>
    </row>
    <row r="17" spans="6:133" x14ac:dyDescent="0.3">
      <c r="F17" s="23">
        <v>6</v>
      </c>
      <c r="G17" s="23" t="str">
        <v>LOT0473</v>
      </c>
      <c r="H17" s="32">
        <v>45356</v>
      </c>
      <c r="I17" s="23">
        <v>10</v>
      </c>
      <c r="J17" s="29">
        <v>42</v>
      </c>
      <c r="K17" s="30">
        <v>2</v>
      </c>
      <c r="L17" s="23" cm="1">
        <f t="array" ref="L17">COUNT(_xlfn._xlws.FILTER(BA:BA,(BA:BA=_xlfn.NUMBERVALUE(F17))*(BC:BC=_xlfn.NUMBERVALUE($C$2))*((BD:BD&lt;$C$2+$D$2)*(BD:BD&gt;$C$2-$D$2))))</f>
        <v>2</v>
      </c>
      <c r="M17" s="21">
        <f t="shared" si="0"/>
        <v>100</v>
      </c>
      <c r="N17" s="23" cm="1">
        <f t="array" ref="N17">COUNT(_xlfn._xlws.FILTER(BA:BA,(BA:BA=_xlfn.NUMBERVALUE(F17))*(BC:BC=_xlfn.NUMBERVALUE($C$2))*((BD:BD&gt;$C$2+$D$2)*(BD:BD&lt;$C$2+2*$D$2)+(BD:BD&lt;$C$2-$D$2)*(BD:BD&gt;$C$2-2*$D$2))))</f>
        <v>0</v>
      </c>
      <c r="O17" s="21">
        <f t="shared" si="1"/>
        <v>0</v>
      </c>
      <c r="P17" s="23" cm="1">
        <f t="array" ref="P17">COUNT(_xlfn._xlws.FILTER(BA:BA,(BA:BA=_xlfn.NUMBERVALUE(F17))*(BC:BC=_xlfn.NUMBERVALUE($C$2))*((BD:BD&gt;$C$2+2*$D$2)*(BD:BD&lt;$C$2+3*$D$2)+(BD:BD&lt;$C$2-2*$D$2)*(BD:BD&gt;$C$2-3*$D$2))))</f>
        <v>0</v>
      </c>
      <c r="Q17" s="21">
        <f t="shared" si="2"/>
        <v>0</v>
      </c>
      <c r="R17" s="23" cm="1">
        <f t="array" ref="R17">COUNT(_xlfn._xlws.FILTER(BA:BA,(BA:BA=_xlfn.NUMBERVALUE(F17))*(BC:BC=_xlfn.NUMBERVALUE($C$2))*((BD:BD&gt;$C$2+3*$D$2)+(BD:BD&lt;$C$2-3*$D$2))))</f>
        <v>0</v>
      </c>
      <c r="S17" s="22">
        <f t="shared" si="3"/>
        <v>0</v>
      </c>
      <c r="T17" s="30">
        <v>13</v>
      </c>
      <c r="U17" s="23" cm="1">
        <f t="array" ref="U17">COUNT(_xlfn._xlws.FILTER(BA:BA,(BA:BA=F17)*(BC:BC=_xlfn.NUMBERVALUE($C$3))*((BD:BD&lt;=$C$3+$D$3)*(BD:BD&gt;$C$3-$D$3))))</f>
        <v>9</v>
      </c>
      <c r="V17" s="21">
        <f t="shared" si="4"/>
        <v>69.230769230769226</v>
      </c>
      <c r="W17" s="23" cm="1">
        <f t="array" ref="W17">COUNT(_xlfn._xlws.FILTER(BA:BA,(BA:BA=F17)*(BC:BC=_xlfn.NUMBERVALUE($C$3))*((BD:BD&gt;$C$3+$D$3)*(BD:BD&lt;$C$3+2*$D$3)+(BD:BD&lt;$C$3-$D$3)*(BD:BD&gt;$C$3-2*$D$3))))</f>
        <v>4</v>
      </c>
      <c r="X17" s="21">
        <f t="shared" si="5"/>
        <v>30.76923076923077</v>
      </c>
      <c r="Y17" s="23" cm="1">
        <f t="array" ref="Y17">COUNT(_xlfn._xlws.FILTER(BA:BA,(BA:BA=F17)*(BC:BC=_xlfn.NUMBERVALUE($C$3))*((BD:BD&gt;$C$3+2*$D$3)*(BD:BD&lt;$C$3+3*$D$3)+(BD:BD&lt;$C$3-2*$D$3)*(BD:BD&gt;$C$3-3*$D$3))))</f>
        <v>0</v>
      </c>
      <c r="Z17" s="21">
        <f t="shared" si="6"/>
        <v>0</v>
      </c>
      <c r="AA17" s="23" cm="1">
        <f t="array" ref="AA17">COUNT(_xlfn._xlws.FILTER(BA:BA,(BA:BA=F17)*(BC:BC=_xlfn.NUMBERVALUE($C$3))*((BD:BD&gt;=$C$3+3*$D$3)+(BD:BD&lt;=$C$3-3*$D$3))))</f>
        <v>0</v>
      </c>
      <c r="AB17" s="22">
        <f t="shared" si="7"/>
        <v>0</v>
      </c>
      <c r="AC17" s="30">
        <v>16</v>
      </c>
      <c r="AD17" s="23" cm="1">
        <f t="array" ref="AD17">COUNT(_xlfn._xlws.FILTER(BA:BA,(BA:BA=F17)*(BC:BC=_xlfn.NUMBERVALUE($C$4))*((BD:BD&lt;=$C$4+$D$4)*(BD:BD&gt;$C$4-$D$4))))</f>
        <v>7</v>
      </c>
      <c r="AE17" s="21">
        <f t="shared" si="8"/>
        <v>43.75</v>
      </c>
      <c r="AF17" s="23" cm="1">
        <f t="array" ref="AF17">COUNT(_xlfn._xlws.FILTER(BA:BA,(BA:BA=F17)*(BC:BC=_xlfn.NUMBERVALUE($C$4))*((BD:BD&gt;$C$4+$D$4)*(BD:BD&lt;$C$4+2*$D$4)+(BD:BD&lt;$C$4-$D$4)*(BD:BD&gt;$C$4-2*$D$4))))</f>
        <v>6</v>
      </c>
      <c r="AG17" s="21">
        <f t="shared" si="9"/>
        <v>37.5</v>
      </c>
      <c r="AH17" s="23" cm="1">
        <f t="array" ref="AH17">COUNT(_xlfn._xlws.FILTER(BA:BA,(BA:BA=F17)*(BC:BC=_xlfn.NUMBERVALUE($C$4))*((BD:BD&gt;$C$4+2*$D$4)*(BD:BD&lt;$C$4+3*$D$4)+(BD:BD&lt;$C$4-2*$D$4)*(BD:BD&gt;$C$4-3*$D$4))))</f>
        <v>3</v>
      </c>
      <c r="AI17" s="21">
        <f t="shared" si="10"/>
        <v>18.75</v>
      </c>
      <c r="AJ17" s="23" cm="1">
        <f t="array" ref="AJ17">COUNT(_xlfn._xlws.FILTER(BA:BA,(BA:BA=F17)*(BC:BC=_xlfn.NUMBERVALUE($C$4))*((BD:BD&gt;$C$4+3*$D$4)+(BD:BD&lt;$C$4-3*$D$4))))</f>
        <v>0</v>
      </c>
      <c r="AK17" s="22">
        <f t="shared" si="11"/>
        <v>0</v>
      </c>
      <c r="AL17" s="30">
        <v>11</v>
      </c>
      <c r="AM17" s="23" cm="1">
        <f t="array" ref="AM17">COUNT(_xlfn._xlws.FILTER(BA:BA,(BA:BA=F17)*(BC:BC=_xlfn.NUMBERVALUE($C$5))*((BD:BD&lt;=$C$5+$D$5)*(BD:BD&gt;$C$5-$D$5))))</f>
        <v>8</v>
      </c>
      <c r="AN17" s="21">
        <f t="shared" si="12"/>
        <v>72.727272727272734</v>
      </c>
      <c r="AO17" s="23" cm="1">
        <f t="array" ref="AO17">COUNT(_xlfn._xlws.FILTER(BA:BA,(BA:BA=F17)*(BC:BC=_xlfn.NUMBERVALUE($C$5))*((BD:BD&gt;$C$5+$D$5)*(BD:BD&lt;$C$5+2*$D$5)+(BD:BD&lt;$C$5-$D$5)*(BD:BD&gt;$C$5-2*$D$5))))</f>
        <v>3</v>
      </c>
      <c r="AP17" s="21">
        <f t="shared" si="13"/>
        <v>27.27272727272727</v>
      </c>
      <c r="AQ17" s="23" cm="1">
        <f t="array" ref="AQ17">COUNT(_xlfn._xlws.FILTER(BA:BA,(BA:BA=F17)*(BC:BC=_xlfn.NUMBERVALUE($C$5))*((BD:BD&gt;$C$5+2*$D$5)*(BD:BD&lt;$C$5+3*$D$5)+(BD:BD&lt;$C$5-2*$D$5)*(BD:BD&gt;$C$5-3*$D$5))))</f>
        <v>0</v>
      </c>
      <c r="AR17" s="21">
        <f t="shared" si="14"/>
        <v>0</v>
      </c>
      <c r="AS17" s="23" cm="1">
        <f t="array" ref="AS17">COUNT(_xlfn._xlws.FILTER(BA:BA,(BA:BA=F17)*(BC:BC=_xlfn.NUMBERVALUE($C$5))*((BD:BD&gt;$C$5+3*$D$5)+(BD:BD&lt;$C$5-3*$D$5))))</f>
        <v>0</v>
      </c>
      <c r="AT17" s="22">
        <f t="shared" si="15"/>
        <v>0</v>
      </c>
      <c r="AW17" s="1">
        <v>1.1000000000000001</v>
      </c>
      <c r="AX17" s="1">
        <v>1.1000000000000001</v>
      </c>
      <c r="AY17" t="str">
        <v>R080_HI782-0_0.0_LOT0366_PWW49.1_QC.xlsx</v>
      </c>
      <c r="AZ17" t="str">
        <v>LOT0366</v>
      </c>
      <c r="BA17" s="3">
        <v>1</v>
      </c>
      <c r="BB17" t="str">
        <v>P/Final</v>
      </c>
      <c r="BC17">
        <v>60</v>
      </c>
      <c r="BD17" s="10">
        <v>64</v>
      </c>
      <c r="BE17" s="10">
        <v>0</v>
      </c>
      <c r="BF17" s="10">
        <v>0</v>
      </c>
      <c r="BG17" s="13">
        <v>45299</v>
      </c>
      <c r="BH17" t="str">
        <v>LOT0667</v>
      </c>
      <c r="BI17">
        <v>16</v>
      </c>
      <c r="BJ17">
        <v>0</v>
      </c>
      <c r="BK17">
        <v>15</v>
      </c>
      <c r="BL17">
        <v>35</v>
      </c>
      <c r="BM17">
        <v>60</v>
      </c>
      <c r="BN17" t="str">
        <v/>
      </c>
      <c r="BO17" t="str">
        <v/>
      </c>
      <c r="BP17" s="10" t="str">
        <v/>
      </c>
      <c r="BQ17" s="10">
        <v>13.023214285714284</v>
      </c>
      <c r="BR17" s="10">
        <v>33.220895522388069</v>
      </c>
      <c r="BS17" s="10">
        <v>55.374999999999993</v>
      </c>
      <c r="BT17" s="10" t="str">
        <v/>
      </c>
      <c r="BU17" s="10" t="str">
        <v/>
      </c>
      <c r="BV17">
        <v>0</v>
      </c>
      <c r="BW17">
        <v>0</v>
      </c>
      <c r="BX17">
        <v>0</v>
      </c>
      <c r="BY17">
        <v>0</v>
      </c>
      <c r="BZ17">
        <v>1</v>
      </c>
      <c r="CA17">
        <v>1</v>
      </c>
      <c r="CB17">
        <v>1</v>
      </c>
      <c r="CC17">
        <v>7.8975000000000009</v>
      </c>
      <c r="CD17">
        <v>1.3674999999999999</v>
      </c>
      <c r="CE17">
        <v>1.3674999999999999</v>
      </c>
      <c r="CF17">
        <v>1.3674999999999999</v>
      </c>
      <c r="CG17">
        <v>1.3674999999999999</v>
      </c>
      <c r="CH17">
        <v>1.3674999999999999</v>
      </c>
      <c r="CI17">
        <v>1.3674999999999999</v>
      </c>
      <c r="CJ17">
        <v>10.324999999999999</v>
      </c>
      <c r="CK17">
        <v>1.8574999999999999</v>
      </c>
      <c r="CL17">
        <v>1.8574999999999999</v>
      </c>
      <c r="CM17">
        <v>1.8574999999999999</v>
      </c>
      <c r="CN17">
        <v>1.8574999999999999</v>
      </c>
      <c r="CO17">
        <v>1.8574999999999999</v>
      </c>
      <c r="CP17">
        <v>1.8574999999999999</v>
      </c>
      <c r="CQ17">
        <v>12.0175</v>
      </c>
      <c r="CR17">
        <v>2.4699999999999998</v>
      </c>
      <c r="CS17">
        <v>2.4699999999999998</v>
      </c>
      <c r="CT17">
        <v>2.4699999999999998</v>
      </c>
      <c r="CU17">
        <v>2.4699999999999998</v>
      </c>
      <c r="CV17">
        <v>2.4699999999999998</v>
      </c>
      <c r="CW17">
        <v>2.4699999999999998</v>
      </c>
      <c r="CX17">
        <v>-67.41</v>
      </c>
      <c r="CY17" s="1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 s="10" t="str" cm="1">
        <f t="array" ref="DL17">IF($BJ17&lt;&gt;"",IFERROR(AVERAGE(_xlfn._xlws.FILTER($BD:$BD,($BA:$BA=$BI17)*($BC:$BC=_xlfn.NUMBERVALUE($BJ17)))),""),"")</f>
        <v/>
      </c>
      <c r="DM17" s="10" cm="1">
        <f t="array" ref="DM17">IF($BK17&lt;&gt;"",IFERROR(AVERAGE(_xlfn._xlws.FILTER($BD:$BD,($BA:$BA=$BI17)*($BC:$BC=_xlfn.NUMBERVALUE($BK17)))),""),"")</f>
        <v>13.023214285714284</v>
      </c>
      <c r="DN17" s="10" cm="1">
        <f t="array" ref="DN17">IF($BL17&lt;&gt;"",IFERROR(AVERAGE(_xlfn._xlws.FILTER($BD:$BD,($BA:$BA=$BI17)*($BC:$BC=_xlfn.NUMBERVALUE($BL17)))),""),"")</f>
        <v>33.220895522388069</v>
      </c>
      <c r="DO17" s="10" cm="1">
        <f t="array" ref="DO17">IF($BM17&lt;&gt;"",IFERROR(AVERAGE(_xlfn._xlws.FILTER($BD:$BD,($BA:$BA=$BI17)*($BC:$BC=_xlfn.NUMBERVALUE($BM17)))),""),"")</f>
        <v>55.374999999999993</v>
      </c>
      <c r="DP17" s="10" t="str" cm="1">
        <f t="array" ref="DP17">IF($BN17&lt;&gt;"",IFERROR(AVERAGE(_xlfn._xlws.FILTER($BD:$BD,($BA:$BA=$BI17)*($BC:$BC=_xlfn.NUMBERVALUE($BN17)))),""),"")</f>
        <v/>
      </c>
      <c r="DQ17" s="10" t="str" cm="1">
        <f t="array" ref="DQ17">IF($BO17&lt;&gt;"",IFERROR(AVERAGE(_xlfn._xlws.FILTER($BD:$BD,($BA:$BA=$BI17)*($BC:$BC=_xlfn.NUMBERVALUE($BO17)))),""),"")</f>
        <v/>
      </c>
      <c r="DR17" t="str">
        <v/>
      </c>
      <c r="DS17" s="10">
        <v>0</v>
      </c>
      <c r="DT17" s="10">
        <v>0</v>
      </c>
      <c r="DU17" s="10">
        <v>0</v>
      </c>
      <c r="DV17" s="10" t="str">
        <v/>
      </c>
      <c r="DW17" s="10" t="str">
        <v/>
      </c>
      <c r="DX17" t="str" cm="1">
        <f t="array" ref="DX17">IF($BJ17&lt;&gt;"",IFERROR(AVERAGE(_xlfn._xlws.FILTER($BE:$BE,($BA:$BA=$BI17)*($BC:$BC=_xlfn.NUMBERVALUE($BJ17)))),""),"")</f>
        <v/>
      </c>
      <c r="DY17" s="10" cm="1">
        <f t="array" ref="DY17">IF($BK17&lt;&gt;"",IFERROR(AVERAGE(_xlfn._xlws.FILTER($BE:$BE,($BA:$BA=$BI17)*($BC:$BC=_xlfn.NUMBERVALUE($BK17)))),""),"")</f>
        <v>0</v>
      </c>
      <c r="DZ17" s="10" cm="1">
        <f t="array" ref="DZ17">IF($BL17&lt;&gt;"",IFERROR(AVERAGE(_xlfn._xlws.FILTER($BE:$BE,($BA:$BA=$BI17)*($BC:$BC=_xlfn.NUMBERVALUE($BL17)))),""),"")</f>
        <v>0</v>
      </c>
      <c r="EA17" s="10" cm="1">
        <f t="array" ref="EA17">IF($BM17&lt;&gt;"",IFERROR(AVERAGE(_xlfn._xlws.FILTER($BE:$BE,($BA:$BA=$BI17)*($BC:$BC=_xlfn.NUMBERVALUE($BM17)))),""),"")</f>
        <v>0</v>
      </c>
      <c r="EB17" s="10" t="str" cm="1">
        <f t="array" ref="EB17">IF($BN17&lt;&gt;"",IFERROR(AVERAGE(_xlfn._xlws.FILTER($BE:$BE,($BA:$BA=$BI17)*($BC:$BC=_xlfn.NUMBERVALUE($BN17)))),""),"")</f>
        <v/>
      </c>
      <c r="EC17" s="10" t="str" cm="1">
        <f t="array" ref="EC17">IF($BO17&lt;&gt;"",IFERROR(AVERAGE(_xlfn._xlws.FILTER($BE:$BE,($BA:$BA=$BI17)*($BC:$BC=_xlfn.NUMBERVALUE($BO17)))),""),"")</f>
        <v/>
      </c>
    </row>
    <row r="18" spans="6:133" x14ac:dyDescent="0.3">
      <c r="F18" s="23">
        <v>7</v>
      </c>
      <c r="G18" s="23" t="str">
        <v>LOT0504</v>
      </c>
      <c r="H18" s="32">
        <v>45366</v>
      </c>
      <c r="I18" s="23">
        <v>12</v>
      </c>
      <c r="J18" s="29">
        <v>64</v>
      </c>
      <c r="K18" s="30">
        <v>1</v>
      </c>
      <c r="L18" s="23" cm="1">
        <f t="array" ref="L18">COUNT(_xlfn._xlws.FILTER(BA:BA,(BA:BA=_xlfn.NUMBERVALUE(F18))*(BC:BC=_xlfn.NUMBERVALUE($C$2))*((BD:BD&lt;$C$2+$D$2)*(BD:BD&gt;$C$2-$D$2))))</f>
        <v>1</v>
      </c>
      <c r="M18" s="21">
        <f t="shared" si="0"/>
        <v>100</v>
      </c>
      <c r="N18" s="23" cm="1">
        <f t="array" ref="N18">COUNT(_xlfn._xlws.FILTER(BA:BA,(BA:BA=_xlfn.NUMBERVALUE(F18))*(BC:BC=_xlfn.NUMBERVALUE($C$2))*((BD:BD&gt;$C$2+$D$2)*(BD:BD&lt;$C$2+2*$D$2)+(BD:BD&lt;$C$2-$D$2)*(BD:BD&gt;$C$2-2*$D$2))))</f>
        <v>0</v>
      </c>
      <c r="O18" s="21">
        <f t="shared" si="1"/>
        <v>0</v>
      </c>
      <c r="P18" s="23" cm="1">
        <f t="array" ref="P18">COUNT(_xlfn._xlws.FILTER(BA:BA,(BA:BA=_xlfn.NUMBERVALUE(F18))*(BC:BC=_xlfn.NUMBERVALUE($C$2))*((BD:BD&gt;$C$2+2*$D$2)*(BD:BD&lt;$C$2+3*$D$2)+(BD:BD&lt;$C$2-2*$D$2)*(BD:BD&gt;$C$2-3*$D$2))))</f>
        <v>0</v>
      </c>
      <c r="Q18" s="21">
        <f t="shared" si="2"/>
        <v>0</v>
      </c>
      <c r="R18" s="23" cm="1">
        <f t="array" ref="R18">COUNT(_xlfn._xlws.FILTER(BA:BA,(BA:BA=_xlfn.NUMBERVALUE(F18))*(BC:BC=_xlfn.NUMBERVALUE($C$2))*((BD:BD&gt;$C$2+3*$D$2)+(BD:BD&lt;$C$2-3*$D$2))))</f>
        <v>0</v>
      </c>
      <c r="S18" s="22">
        <f t="shared" si="3"/>
        <v>0</v>
      </c>
      <c r="T18" s="30">
        <v>19</v>
      </c>
      <c r="U18" s="23" cm="1">
        <f t="array" ref="U18">COUNT(_xlfn._xlws.FILTER(BA:BA,(BA:BA=F18)*(BC:BC=_xlfn.NUMBERVALUE($C$3))*((BD:BD&lt;=$C$3+$D$3)*(BD:BD&gt;$C$3-$D$3))))</f>
        <v>6</v>
      </c>
      <c r="V18" s="21">
        <f t="shared" si="4"/>
        <v>31.578947368421051</v>
      </c>
      <c r="W18" s="23" cm="1">
        <f t="array" ref="W18">COUNT(_xlfn._xlws.FILTER(BA:BA,(BA:BA=F18)*(BC:BC=_xlfn.NUMBERVALUE($C$3))*((BD:BD&gt;$C$3+$D$3)*(BD:BD&lt;$C$3+2*$D$3)+(BD:BD&lt;$C$3-$D$3)*(BD:BD&gt;$C$3-2*$D$3))))</f>
        <v>13</v>
      </c>
      <c r="X18" s="21">
        <f t="shared" si="5"/>
        <v>68.421052631578945</v>
      </c>
      <c r="Y18" s="23" cm="1">
        <f t="array" ref="Y18">COUNT(_xlfn._xlws.FILTER(BA:BA,(BA:BA=F18)*(BC:BC=_xlfn.NUMBERVALUE($C$3))*((BD:BD&gt;$C$3+2*$D$3)*(BD:BD&lt;$C$3+3*$D$3)+(BD:BD&lt;$C$3-2*$D$3)*(BD:BD&gt;$C$3-3*$D$3))))</f>
        <v>0</v>
      </c>
      <c r="Z18" s="21">
        <f t="shared" si="6"/>
        <v>0</v>
      </c>
      <c r="AA18" s="23" cm="1">
        <f t="array" ref="AA18">COUNT(_xlfn._xlws.FILTER(BA:BA,(BA:BA=F18)*(BC:BC=_xlfn.NUMBERVALUE($C$3))*((BD:BD&gt;=$C$3+3*$D$3)+(BD:BD&lt;=$C$3-3*$D$3))))</f>
        <v>0</v>
      </c>
      <c r="AB18" s="22">
        <f t="shared" si="7"/>
        <v>0</v>
      </c>
      <c r="AC18" s="30">
        <v>23</v>
      </c>
      <c r="AD18" s="23" cm="1">
        <f t="array" ref="AD18">COUNT(_xlfn._xlws.FILTER(BA:BA,(BA:BA=F18)*(BC:BC=_xlfn.NUMBERVALUE($C$4))*((BD:BD&lt;=$C$4+$D$4)*(BD:BD&gt;$C$4-$D$4))))</f>
        <v>2</v>
      </c>
      <c r="AE18" s="21">
        <f t="shared" si="8"/>
        <v>8.695652173913043</v>
      </c>
      <c r="AF18" s="23" cm="1">
        <f t="array" ref="AF18">COUNT(_xlfn._xlws.FILTER(BA:BA,(BA:BA=F18)*(BC:BC=_xlfn.NUMBERVALUE($C$4))*((BD:BD&gt;$C$4+$D$4)*(BD:BD&lt;$C$4+2*$D$4)+(BD:BD&lt;$C$4-$D$4)*(BD:BD&gt;$C$4-2*$D$4))))</f>
        <v>20</v>
      </c>
      <c r="AG18" s="21">
        <f t="shared" si="9"/>
        <v>86.956521739130437</v>
      </c>
      <c r="AH18" s="23" cm="1">
        <f t="array" ref="AH18">COUNT(_xlfn._xlws.FILTER(BA:BA,(BA:BA=F18)*(BC:BC=_xlfn.NUMBERVALUE($C$4))*((BD:BD&gt;$C$4+2*$D$4)*(BD:BD&lt;$C$4+3*$D$4)+(BD:BD&lt;$C$4-2*$D$4)*(BD:BD&gt;$C$4-3*$D$4))))</f>
        <v>1</v>
      </c>
      <c r="AI18" s="21">
        <f t="shared" si="10"/>
        <v>4.3478260869565215</v>
      </c>
      <c r="AJ18" s="23" cm="1">
        <f t="array" ref="AJ18">COUNT(_xlfn._xlws.FILTER(BA:BA,(BA:BA=F18)*(BC:BC=_xlfn.NUMBERVALUE($C$4))*((BD:BD&gt;$C$4+3*$D$4)+(BD:BD&lt;$C$4-3*$D$4))))</f>
        <v>0</v>
      </c>
      <c r="AK18" s="22">
        <f t="shared" si="11"/>
        <v>0</v>
      </c>
      <c r="AL18" s="30">
        <v>21</v>
      </c>
      <c r="AM18" s="23" cm="1">
        <f t="array" ref="AM18">COUNT(_xlfn._xlws.FILTER(BA:BA,(BA:BA=F18)*(BC:BC=_xlfn.NUMBERVALUE($C$5))*((BD:BD&lt;=$C$5+$D$5)*(BD:BD&gt;$C$5-$D$5))))</f>
        <v>12</v>
      </c>
      <c r="AN18" s="21">
        <f t="shared" si="12"/>
        <v>57.142857142857139</v>
      </c>
      <c r="AO18" s="23" cm="1">
        <f t="array" ref="AO18">COUNT(_xlfn._xlws.FILTER(BA:BA,(BA:BA=F18)*(BC:BC=_xlfn.NUMBERVALUE($C$5))*((BD:BD&gt;$C$5+$D$5)*(BD:BD&lt;$C$5+2*$D$5)+(BD:BD&lt;$C$5-$D$5)*(BD:BD&gt;$C$5-2*$D$5))))</f>
        <v>9</v>
      </c>
      <c r="AP18" s="21">
        <f t="shared" si="13"/>
        <v>42.857142857142854</v>
      </c>
      <c r="AQ18" s="23" cm="1">
        <f t="array" ref="AQ18">COUNT(_xlfn._xlws.FILTER(BA:BA,(BA:BA=F18)*(BC:BC=_xlfn.NUMBERVALUE($C$5))*((BD:BD&gt;$C$5+2*$D$5)*(BD:BD&lt;$C$5+3*$D$5)+(BD:BD&lt;$C$5-2*$D$5)*(BD:BD&gt;$C$5-3*$D$5))))</f>
        <v>0</v>
      </c>
      <c r="AR18" s="21">
        <f t="shared" si="14"/>
        <v>0</v>
      </c>
      <c r="AS18" s="23" cm="1">
        <f t="array" ref="AS18">COUNT(_xlfn._xlws.FILTER(BA:BA,(BA:BA=F18)*(BC:BC=_xlfn.NUMBERVALUE($C$5))*((BD:BD&gt;$C$5+3*$D$5)+(BD:BD&lt;$C$5-3*$D$5))))</f>
        <v>0</v>
      </c>
      <c r="AT18" s="22">
        <f t="shared" si="15"/>
        <v>0</v>
      </c>
      <c r="AW18" s="1">
        <v>1.1000000000000001</v>
      </c>
      <c r="AX18" s="1">
        <v>1.1000000000000001</v>
      </c>
      <c r="AY18" t="str">
        <v>R080_HI782-0_0.0_LOT0366_PWW49.1_QC.xlsx</v>
      </c>
      <c r="AZ18" t="str">
        <v>LOT0366</v>
      </c>
      <c r="BA18" s="3">
        <v>1</v>
      </c>
      <c r="BB18" t="str">
        <v>P/Final</v>
      </c>
      <c r="BC18">
        <v>60</v>
      </c>
      <c r="BD18" s="10">
        <v>63.9</v>
      </c>
      <c r="BE18" s="10">
        <v>0</v>
      </c>
      <c r="BF18" s="10">
        <v>0</v>
      </c>
      <c r="BG18" s="13">
        <v>45299</v>
      </c>
      <c r="BH18" t="str">
        <v>LOT0689</v>
      </c>
      <c r="BI18">
        <v>17</v>
      </c>
      <c r="BJ18">
        <v>0</v>
      </c>
      <c r="BK18">
        <v>15</v>
      </c>
      <c r="BL18">
        <v>35</v>
      </c>
      <c r="BM18">
        <v>60</v>
      </c>
      <c r="BN18" t="str">
        <v/>
      </c>
      <c r="BO18" t="str">
        <v/>
      </c>
      <c r="BP18" s="10">
        <v>0</v>
      </c>
      <c r="BQ18" s="10">
        <v>14.815384615384614</v>
      </c>
      <c r="BR18" s="10">
        <v>35.119999999999997</v>
      </c>
      <c r="BS18" s="10">
        <v>57.818518518518523</v>
      </c>
      <c r="BT18" s="10" t="str">
        <v/>
      </c>
      <c r="BU18" s="10" t="str">
        <v/>
      </c>
      <c r="BV18">
        <v>0</v>
      </c>
      <c r="BW18">
        <v>0</v>
      </c>
      <c r="BX18">
        <v>0</v>
      </c>
      <c r="BY18">
        <v>0</v>
      </c>
      <c r="BZ18">
        <v>1</v>
      </c>
      <c r="CA18">
        <v>1</v>
      </c>
      <c r="CB18">
        <v>1</v>
      </c>
      <c r="CC18">
        <v>7.8975000000000009</v>
      </c>
      <c r="CD18">
        <v>1.3674999999999999</v>
      </c>
      <c r="CE18">
        <v>1.3674999999999999</v>
      </c>
      <c r="CF18">
        <v>1.3674999999999999</v>
      </c>
      <c r="CG18">
        <v>1.3674999999999999</v>
      </c>
      <c r="CH18">
        <v>1.3674999999999999</v>
      </c>
      <c r="CI18">
        <v>1.3674999999999999</v>
      </c>
      <c r="CJ18">
        <v>10.324999999999999</v>
      </c>
      <c r="CK18">
        <v>1.8574999999999999</v>
      </c>
      <c r="CL18">
        <v>1.8574999999999999</v>
      </c>
      <c r="CM18">
        <v>1.8574999999999999</v>
      </c>
      <c r="CN18">
        <v>1.8574999999999999</v>
      </c>
      <c r="CO18">
        <v>1.8574999999999999</v>
      </c>
      <c r="CP18">
        <v>1.8574999999999999</v>
      </c>
      <c r="CQ18">
        <v>12.0175</v>
      </c>
      <c r="CR18">
        <v>2.4699999999999998</v>
      </c>
      <c r="CS18">
        <v>2.4699999999999998</v>
      </c>
      <c r="CT18">
        <v>2.4699999999999998</v>
      </c>
      <c r="CU18">
        <v>2.4699999999999998</v>
      </c>
      <c r="CV18">
        <v>2.4699999999999998</v>
      </c>
      <c r="CW18">
        <v>2.4699999999999998</v>
      </c>
      <c r="CX18">
        <v>-67.41</v>
      </c>
      <c r="CY18" s="1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 s="10" cm="1">
        <f t="array" ref="DL18">IF($BJ18&lt;&gt;"",IFERROR(AVERAGE(_xlfn._xlws.FILTER($BD:$BD,($BA:$BA=$BI18)*($BC:$BC=_xlfn.NUMBERVALUE($BJ18)))),""),"")</f>
        <v>0</v>
      </c>
      <c r="DM18" s="10" cm="1">
        <f t="array" ref="DM18">IF($BK18&lt;&gt;"",IFERROR(AVERAGE(_xlfn._xlws.FILTER($BD:$BD,($BA:$BA=$BI18)*($BC:$BC=_xlfn.NUMBERVALUE($BK18)))),""),"")</f>
        <v>14.815384615384614</v>
      </c>
      <c r="DN18" s="10" cm="1">
        <f t="array" ref="DN18">IF($BL18&lt;&gt;"",IFERROR(AVERAGE(_xlfn._xlws.FILTER($BD:$BD,($BA:$BA=$BI18)*($BC:$BC=_xlfn.NUMBERVALUE($BL18)))),""),"")</f>
        <v>35.119999999999997</v>
      </c>
      <c r="DO18" s="10" cm="1">
        <f t="array" ref="DO18">IF($BM18&lt;&gt;"",IFERROR(AVERAGE(_xlfn._xlws.FILTER($BD:$BD,($BA:$BA=$BI18)*($BC:$BC=_xlfn.NUMBERVALUE($BM18)))),""),"")</f>
        <v>57.818518518518523</v>
      </c>
      <c r="DP18" s="10" t="str" cm="1">
        <f t="array" ref="DP18">IF($BN18&lt;&gt;"",IFERROR(AVERAGE(_xlfn._xlws.FILTER($BD:$BD,($BA:$BA=$BI18)*($BC:$BC=_xlfn.NUMBERVALUE($BN18)))),""),"")</f>
        <v/>
      </c>
      <c r="DQ18" s="10" t="str" cm="1">
        <f t="array" ref="DQ18">IF($BO18&lt;&gt;"",IFERROR(AVERAGE(_xlfn._xlws.FILTER($BD:$BD,($BA:$BA=$BI18)*($BC:$BC=_xlfn.NUMBERVALUE($BO18)))),""),"")</f>
        <v/>
      </c>
      <c r="DR18">
        <v>0</v>
      </c>
      <c r="DS18" s="10">
        <v>0</v>
      </c>
      <c r="DT18" s="10">
        <v>0</v>
      </c>
      <c r="DU18" s="10">
        <v>0</v>
      </c>
      <c r="DV18" s="10" t="str">
        <v/>
      </c>
      <c r="DW18" s="10" t="str">
        <v/>
      </c>
      <c r="DX18" cm="1">
        <f t="array" ref="DX18">IF($BJ18&lt;&gt;"",IFERROR(AVERAGE(_xlfn._xlws.FILTER($BE:$BE,($BA:$BA=$BI18)*($BC:$BC=_xlfn.NUMBERVALUE($BJ18)))),""),"")</f>
        <v>0</v>
      </c>
      <c r="DY18" s="10" cm="1">
        <f t="array" ref="DY18">IF($BK18&lt;&gt;"",IFERROR(AVERAGE(_xlfn._xlws.FILTER($BE:$BE,($BA:$BA=$BI18)*($BC:$BC=_xlfn.NUMBERVALUE($BK18)))),""),"")</f>
        <v>0</v>
      </c>
      <c r="DZ18" s="10" cm="1">
        <f t="array" ref="DZ18">IF($BL18&lt;&gt;"",IFERROR(AVERAGE(_xlfn._xlws.FILTER($BE:$BE,($BA:$BA=$BI18)*($BC:$BC=_xlfn.NUMBERVALUE($BL18)))),""),"")</f>
        <v>0</v>
      </c>
      <c r="EA18" s="10" cm="1">
        <f t="array" ref="EA18">IF($BM18&lt;&gt;"",IFERROR(AVERAGE(_xlfn._xlws.FILTER($BE:$BE,($BA:$BA=$BI18)*($BC:$BC=_xlfn.NUMBERVALUE($BM18)))),""),"")</f>
        <v>0</v>
      </c>
      <c r="EB18" s="10" t="str" cm="1">
        <f t="array" ref="EB18">IF($BN18&lt;&gt;"",IFERROR(AVERAGE(_xlfn._xlws.FILTER($BE:$BE,($BA:$BA=$BI18)*($BC:$BC=_xlfn.NUMBERVALUE($BN18)))),""),"")</f>
        <v/>
      </c>
      <c r="EC18" s="10" t="str" cm="1">
        <f t="array" ref="EC18">IF($BO18&lt;&gt;"",IFERROR(AVERAGE(_xlfn._xlws.FILTER($BE:$BE,($BA:$BA=$BI18)*($BC:$BC=_xlfn.NUMBERVALUE($BO18)))),""),"")</f>
        <v/>
      </c>
    </row>
    <row r="19" spans="6:133" x14ac:dyDescent="0.3">
      <c r="F19" s="23">
        <v>8</v>
      </c>
      <c r="G19" s="23" t="str">
        <v>LOT0512</v>
      </c>
      <c r="H19" s="32">
        <v>45372</v>
      </c>
      <c r="I19" s="23">
        <v>12</v>
      </c>
      <c r="J19" s="29">
        <v>32</v>
      </c>
      <c r="K19" s="30">
        <v>2</v>
      </c>
      <c r="L19" s="23" cm="1">
        <f t="array" ref="L19">COUNT(_xlfn._xlws.FILTER(BA:BA,(BA:BA=_xlfn.NUMBERVALUE(F19))*(BC:BC=_xlfn.NUMBERVALUE($C$2))*((BD:BD&lt;$C$2+$D$2)*(BD:BD&gt;$C$2-$D$2))))</f>
        <v>2</v>
      </c>
      <c r="M19" s="21">
        <f t="shared" si="0"/>
        <v>100</v>
      </c>
      <c r="N19" s="23" cm="1">
        <f t="array" ref="N19">COUNT(_xlfn._xlws.FILTER(BA:BA,(BA:BA=_xlfn.NUMBERVALUE(F19))*(BC:BC=_xlfn.NUMBERVALUE($C$2))*((BD:BD&gt;$C$2+$D$2)*(BD:BD&lt;$C$2+2*$D$2)+(BD:BD&lt;$C$2-$D$2)*(BD:BD&gt;$C$2-2*$D$2))))</f>
        <v>0</v>
      </c>
      <c r="O19" s="21">
        <f t="shared" si="1"/>
        <v>0</v>
      </c>
      <c r="P19" s="23" cm="1">
        <f t="array" ref="P19">COUNT(_xlfn._xlws.FILTER(BA:BA,(BA:BA=_xlfn.NUMBERVALUE(F19))*(BC:BC=_xlfn.NUMBERVALUE($C$2))*((BD:BD&gt;$C$2+2*$D$2)*(BD:BD&lt;$C$2+3*$D$2)+(BD:BD&lt;$C$2-2*$D$2)*(BD:BD&gt;$C$2-3*$D$2))))</f>
        <v>0</v>
      </c>
      <c r="Q19" s="21">
        <f t="shared" si="2"/>
        <v>0</v>
      </c>
      <c r="R19" s="23" cm="1">
        <f t="array" ref="R19">COUNT(_xlfn._xlws.FILTER(BA:BA,(BA:BA=_xlfn.NUMBERVALUE(F19))*(BC:BC=_xlfn.NUMBERVALUE($C$2))*((BD:BD&gt;$C$2+3*$D$2)+(BD:BD&lt;$C$2-3*$D$2))))</f>
        <v>0</v>
      </c>
      <c r="S19" s="22">
        <f t="shared" si="3"/>
        <v>0</v>
      </c>
      <c r="T19" s="30">
        <v>10</v>
      </c>
      <c r="U19" s="23" cm="1">
        <f t="array" ref="U19">COUNT(_xlfn._xlws.FILTER(BA:BA,(BA:BA=F19)*(BC:BC=_xlfn.NUMBERVALUE($C$3))*((BD:BD&lt;=$C$3+$D$3)*(BD:BD&gt;$C$3-$D$3))))</f>
        <v>6</v>
      </c>
      <c r="V19" s="21">
        <f t="shared" ref="V19:V36" si="16">IFERROR(U19/T19*100,"")</f>
        <v>60</v>
      </c>
      <c r="W19" s="23" cm="1">
        <f t="array" ref="W19">COUNT(_xlfn._xlws.FILTER(BA:BA,(BA:BA=F19)*(BC:BC=_xlfn.NUMBERVALUE($C$3))*((BD:BD&gt;$C$3+$D$3)*(BD:BD&lt;$C$3+2*$D$3)+(BD:BD&lt;$C$3-$D$3)*(BD:BD&gt;$C$3-2*$D$3))))</f>
        <v>4</v>
      </c>
      <c r="X19" s="21">
        <f t="shared" si="5"/>
        <v>40</v>
      </c>
      <c r="Y19" s="23" cm="1">
        <f t="array" ref="Y19">COUNT(_xlfn._xlws.FILTER(BA:BA,(BA:BA=F19)*(BC:BC=_xlfn.NUMBERVALUE($C$3))*((BD:BD&gt;$C$3+2*$D$3)*(BD:BD&lt;$C$3+3*$D$3)+(BD:BD&lt;$C$3-2*$D$3)*(BD:BD&gt;$C$3-3*$D$3))))</f>
        <v>0</v>
      </c>
      <c r="Z19" s="21">
        <f t="shared" si="6"/>
        <v>0</v>
      </c>
      <c r="AA19" s="23" cm="1">
        <f t="array" ref="AA19">COUNT(_xlfn._xlws.FILTER(BA:BA,(BA:BA=F19)*(BC:BC=_xlfn.NUMBERVALUE($C$3))*((BD:BD&gt;=$C$3+3*$D$3)+(BD:BD&lt;=$C$3-3*$D$3))))</f>
        <v>0</v>
      </c>
      <c r="AB19" s="22">
        <f t="shared" si="7"/>
        <v>0</v>
      </c>
      <c r="AC19" s="30">
        <v>10</v>
      </c>
      <c r="AD19" s="23" cm="1">
        <f t="array" ref="AD19">COUNT(_xlfn._xlws.FILTER(BA:BA,(BA:BA=F19)*(BC:BC=_xlfn.NUMBERVALUE($C$4))*((BD:BD&lt;=$C$4+$D$4)*(BD:BD&gt;$C$4-$D$4))))</f>
        <v>0</v>
      </c>
      <c r="AE19" s="21">
        <f t="shared" si="8"/>
        <v>0</v>
      </c>
      <c r="AF19" s="23" cm="1">
        <f t="array" ref="AF19">COUNT(_xlfn._xlws.FILTER(BA:BA,(BA:BA=F19)*(BC:BC=_xlfn.NUMBERVALUE($C$4))*((BD:BD&gt;$C$4+$D$4)*(BD:BD&lt;$C$4+2*$D$4)+(BD:BD&lt;$C$4-$D$4)*(BD:BD&gt;$C$4-2*$D$4))))</f>
        <v>10</v>
      </c>
      <c r="AG19" s="21">
        <f t="shared" si="9"/>
        <v>100</v>
      </c>
      <c r="AH19" s="23" cm="1">
        <f t="array" ref="AH19">COUNT(_xlfn._xlws.FILTER(BA:BA,(BA:BA=F19)*(BC:BC=_xlfn.NUMBERVALUE($C$4))*((BD:BD&gt;$C$4+2*$D$4)*(BD:BD&lt;$C$4+3*$D$4)+(BD:BD&lt;$C$4-2*$D$4)*(BD:BD&gt;$C$4-3*$D$4))))</f>
        <v>0</v>
      </c>
      <c r="AI19" s="21">
        <f t="shared" si="10"/>
        <v>0</v>
      </c>
      <c r="AJ19" s="23" cm="1">
        <f t="array" ref="AJ19">COUNT(_xlfn._xlws.FILTER(BA:BA,(BA:BA=F19)*(BC:BC=_xlfn.NUMBERVALUE($C$4))*((BD:BD&gt;$C$4+3*$D$4)+(BD:BD&lt;$C$4-3*$D$4))))</f>
        <v>0</v>
      </c>
      <c r="AK19" s="22">
        <f t="shared" si="11"/>
        <v>0</v>
      </c>
      <c r="AL19" s="30">
        <v>10</v>
      </c>
      <c r="AM19" s="23" cm="1">
        <f t="array" ref="AM19">COUNT(_xlfn._xlws.FILTER(BA:BA,(BA:BA=F19)*(BC:BC=_xlfn.NUMBERVALUE($C$5))*((BD:BD&lt;=$C$5+$D$5)*(BD:BD&gt;$C$5-$D$5))))</f>
        <v>3</v>
      </c>
      <c r="AN19" s="21">
        <f t="shared" si="12"/>
        <v>30</v>
      </c>
      <c r="AO19" s="23" cm="1">
        <f t="array" ref="AO19">COUNT(_xlfn._xlws.FILTER(BA:BA,(BA:BA=F19)*(BC:BC=_xlfn.NUMBERVALUE($C$5))*((BD:BD&gt;$C$5+$D$5)*(BD:BD&lt;$C$5+2*$D$5)+(BD:BD&lt;$C$5-$D$5)*(BD:BD&gt;$C$5-2*$D$5))))</f>
        <v>7</v>
      </c>
      <c r="AP19" s="21">
        <f t="shared" si="13"/>
        <v>70</v>
      </c>
      <c r="AQ19" s="23" cm="1">
        <f t="array" ref="AQ19">COUNT(_xlfn._xlws.FILTER(BA:BA,(BA:BA=F19)*(BC:BC=_xlfn.NUMBERVALUE($C$5))*((BD:BD&gt;$C$5+2*$D$5)*(BD:BD&lt;$C$5+3*$D$5)+(BD:BD&lt;$C$5-2*$D$5)*(BD:BD&gt;$C$5-3*$D$5))))</f>
        <v>0</v>
      </c>
      <c r="AR19" s="21">
        <f t="shared" si="14"/>
        <v>0</v>
      </c>
      <c r="AS19" s="23" cm="1">
        <f t="array" ref="AS19">COUNT(_xlfn._xlws.FILTER(BA:BA,(BA:BA=F19)*(BC:BC=_xlfn.NUMBERVALUE($C$5))*((BD:BD&gt;$C$5+3*$D$5)+(BD:BD&lt;$C$5-3*$D$5))))</f>
        <v>0</v>
      </c>
      <c r="AT19" s="22">
        <f t="shared" si="15"/>
        <v>0</v>
      </c>
      <c r="AW19" s="1">
        <v>1.1000000000000001</v>
      </c>
      <c r="AX19" s="1">
        <v>1.1000000000000001</v>
      </c>
      <c r="AY19" t="str">
        <v>R080_HI782-0_0.0_LOT0366_PWW49.1_QC.xlsx</v>
      </c>
      <c r="AZ19" t="str">
        <v>LOT0366</v>
      </c>
      <c r="BA19" s="3">
        <v>1</v>
      </c>
      <c r="BB19" t="str">
        <v>P/Final</v>
      </c>
      <c r="BC19">
        <v>60</v>
      </c>
      <c r="BD19" s="10">
        <v>65.099999999999994</v>
      </c>
      <c r="BE19" s="10">
        <v>0</v>
      </c>
      <c r="BF19" s="10">
        <v>0</v>
      </c>
      <c r="BG19" s="13">
        <v>45299</v>
      </c>
      <c r="BH19" t="str">
        <v>LOT0696</v>
      </c>
      <c r="BI19">
        <v>18</v>
      </c>
      <c r="BJ19">
        <v>0</v>
      </c>
      <c r="BK19">
        <v>15</v>
      </c>
      <c r="BL19">
        <v>35</v>
      </c>
      <c r="BM19">
        <v>60</v>
      </c>
      <c r="BN19" t="str">
        <v/>
      </c>
      <c r="BO19" t="str">
        <v/>
      </c>
      <c r="BP19" s="10">
        <v>0</v>
      </c>
      <c r="BQ19" s="10">
        <v>15.385416666666666</v>
      </c>
      <c r="BR19" s="10">
        <v>36.20000000000001</v>
      </c>
      <c r="BS19" s="10">
        <v>59.872340425531895</v>
      </c>
      <c r="BT19" s="10" t="str">
        <v/>
      </c>
      <c r="BU19" s="10" t="str">
        <v/>
      </c>
      <c r="BV19">
        <v>0</v>
      </c>
      <c r="BW19">
        <v>0</v>
      </c>
      <c r="BX19">
        <v>0</v>
      </c>
      <c r="BY19">
        <v>0</v>
      </c>
      <c r="BZ19">
        <v>1</v>
      </c>
      <c r="CA19">
        <v>1</v>
      </c>
      <c r="CB19">
        <v>1</v>
      </c>
      <c r="CC19">
        <v>7.8975000000000009</v>
      </c>
      <c r="CD19">
        <v>1.3674999999999999</v>
      </c>
      <c r="CE19">
        <v>1.3674999999999999</v>
      </c>
      <c r="CF19">
        <v>1.3674999999999999</v>
      </c>
      <c r="CG19">
        <v>1.3674999999999999</v>
      </c>
      <c r="CH19">
        <v>1.3674999999999999</v>
      </c>
      <c r="CI19">
        <v>1.3674999999999999</v>
      </c>
      <c r="CJ19">
        <v>10.324999999999999</v>
      </c>
      <c r="CK19">
        <v>1.8574999999999999</v>
      </c>
      <c r="CL19">
        <v>1.8574999999999999</v>
      </c>
      <c r="CM19">
        <v>1.8574999999999999</v>
      </c>
      <c r="CN19">
        <v>1.8574999999999999</v>
      </c>
      <c r="CO19">
        <v>1.8574999999999999</v>
      </c>
      <c r="CP19">
        <v>1.8574999999999999</v>
      </c>
      <c r="CQ19">
        <v>12.0175</v>
      </c>
      <c r="CR19">
        <v>2.4699999999999998</v>
      </c>
      <c r="CS19">
        <v>2.4699999999999998</v>
      </c>
      <c r="CT19">
        <v>2.4699999999999998</v>
      </c>
      <c r="CU19">
        <v>2.4699999999999998</v>
      </c>
      <c r="CV19">
        <v>2.4699999999999998</v>
      </c>
      <c r="CW19">
        <v>2.4699999999999998</v>
      </c>
      <c r="CX19">
        <v>-67.41</v>
      </c>
      <c r="CY19" s="1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 s="10" cm="1">
        <f t="array" ref="DL19">IF($BJ19&lt;&gt;"",IFERROR(AVERAGE(_xlfn._xlws.FILTER($BD:$BD,($BA:$BA=$BI19)*($BC:$BC=_xlfn.NUMBERVALUE($BJ19)))),""),"")</f>
        <v>0</v>
      </c>
      <c r="DM19" s="10" cm="1">
        <f t="array" ref="DM19">IF($BK19&lt;&gt;"",IFERROR(AVERAGE(_xlfn._xlws.FILTER($BD:$BD,($BA:$BA=$BI19)*($BC:$BC=_xlfn.NUMBERVALUE($BK19)))),""),"")</f>
        <v>15.385416666666666</v>
      </c>
      <c r="DN19" s="10" cm="1">
        <f t="array" ref="DN19">IF($BL19&lt;&gt;"",IFERROR(AVERAGE(_xlfn._xlws.FILTER($BD:$BD,($BA:$BA=$BI19)*($BC:$BC=_xlfn.NUMBERVALUE($BL19)))),""),"")</f>
        <v>36.20000000000001</v>
      </c>
      <c r="DO19" s="10" cm="1">
        <f t="array" ref="DO19">IF($BM19&lt;&gt;"",IFERROR(AVERAGE(_xlfn._xlws.FILTER($BD:$BD,($BA:$BA=$BI19)*($BC:$BC=_xlfn.NUMBERVALUE($BM19)))),""),"")</f>
        <v>59.872340425531895</v>
      </c>
      <c r="DP19" s="10" t="str" cm="1">
        <f t="array" ref="DP19">IF($BN19&lt;&gt;"",IFERROR(AVERAGE(_xlfn._xlws.FILTER($BD:$BD,($BA:$BA=$BI19)*($BC:$BC=_xlfn.NUMBERVALUE($BN19)))),""),"")</f>
        <v/>
      </c>
      <c r="DQ19" s="10" t="str" cm="1">
        <f t="array" ref="DQ19">IF($BO19&lt;&gt;"",IFERROR(AVERAGE(_xlfn._xlws.FILTER($BD:$BD,($BA:$BA=$BI19)*($BC:$BC=_xlfn.NUMBERVALUE($BO19)))),""),"")</f>
        <v/>
      </c>
      <c r="DR19">
        <v>0</v>
      </c>
      <c r="DS19" s="10">
        <v>0</v>
      </c>
      <c r="DT19" s="10">
        <v>0</v>
      </c>
      <c r="DU19" s="10">
        <v>0</v>
      </c>
      <c r="DV19" s="10" t="str">
        <v/>
      </c>
      <c r="DW19" s="10" t="str">
        <v/>
      </c>
      <c r="DX19" cm="1">
        <f t="array" ref="DX19">IF($BJ19&lt;&gt;"",IFERROR(AVERAGE(_xlfn._xlws.FILTER($BE:$BE,($BA:$BA=$BI19)*($BC:$BC=_xlfn.NUMBERVALUE($BJ19)))),""),"")</f>
        <v>0</v>
      </c>
      <c r="DY19" s="10" cm="1">
        <f t="array" ref="DY19">IF($BK19&lt;&gt;"",IFERROR(AVERAGE(_xlfn._xlws.FILTER($BE:$BE,($BA:$BA=$BI19)*($BC:$BC=_xlfn.NUMBERVALUE($BK19)))),""),"")</f>
        <v>0</v>
      </c>
      <c r="DZ19" s="10" cm="1">
        <f t="array" ref="DZ19">IF($BL19&lt;&gt;"",IFERROR(AVERAGE(_xlfn._xlws.FILTER($BE:$BE,($BA:$BA=$BI19)*($BC:$BC=_xlfn.NUMBERVALUE($BL19)))),""),"")</f>
        <v>0</v>
      </c>
      <c r="EA19" s="10" cm="1">
        <f t="array" ref="EA19">IF($BM19&lt;&gt;"",IFERROR(AVERAGE(_xlfn._xlws.FILTER($BE:$BE,($BA:$BA=$BI19)*($BC:$BC=_xlfn.NUMBERVALUE($BM19)))),""),"")</f>
        <v>0</v>
      </c>
      <c r="EB19" s="10" t="str" cm="1">
        <f t="array" ref="EB19">IF($BN19&lt;&gt;"",IFERROR(AVERAGE(_xlfn._xlws.FILTER($BE:$BE,($BA:$BA=$BI19)*($BC:$BC=_xlfn.NUMBERVALUE($BN19)))),""),"")</f>
        <v/>
      </c>
      <c r="EC19" s="10" t="str" cm="1">
        <f t="array" ref="EC19">IF($BO19&lt;&gt;"",IFERROR(AVERAGE(_xlfn._xlws.FILTER($BE:$BE,($BA:$BA=$BI19)*($BC:$BC=_xlfn.NUMBERVALUE($BO19)))),""),"")</f>
        <v/>
      </c>
    </row>
    <row r="20" spans="6:133" x14ac:dyDescent="0.3">
      <c r="F20" s="23">
        <v>9</v>
      </c>
      <c r="G20" s="23" t="str">
        <v>LOT0548</v>
      </c>
      <c r="H20" s="32">
        <v>45400</v>
      </c>
      <c r="I20" s="23">
        <v>16</v>
      </c>
      <c r="J20" s="29">
        <v>72</v>
      </c>
      <c r="K20" s="30">
        <v>6</v>
      </c>
      <c r="L20" s="23" cm="1">
        <f t="array" ref="L20">COUNT(_xlfn._xlws.FILTER(BA:BA,(BA:BA=_xlfn.NUMBERVALUE(F20))*(BC:BC=_xlfn.NUMBERVALUE($C$2))*((BD:BD&lt;$C$2+$D$2)*(BD:BD&gt;$C$2-$D$2))))</f>
        <v>6</v>
      </c>
      <c r="M20" s="21">
        <f t="shared" si="0"/>
        <v>100</v>
      </c>
      <c r="N20" s="23" cm="1">
        <f t="array" ref="N20">COUNT(_xlfn._xlws.FILTER(BA:BA,(BA:BA=_xlfn.NUMBERVALUE(F20))*(BC:BC=_xlfn.NUMBERVALUE($C$2))*((BD:BD&gt;$C$2+$D$2)*(BD:BD&lt;$C$2+2*$D$2)+(BD:BD&lt;$C$2-$D$2)*(BD:BD&gt;$C$2-2*$D$2))))</f>
        <v>0</v>
      </c>
      <c r="O20" s="21">
        <f t="shared" si="1"/>
        <v>0</v>
      </c>
      <c r="P20" s="23" cm="1">
        <f t="array" ref="P20">COUNT(_xlfn._xlws.FILTER(BA:BA,(BA:BA=_xlfn.NUMBERVALUE(F20))*(BC:BC=_xlfn.NUMBERVALUE($C$2))*((BD:BD&gt;$C$2+2*$D$2)*(BD:BD&lt;$C$2+3*$D$2)+(BD:BD&lt;$C$2-2*$D$2)*(BD:BD&gt;$C$2-3*$D$2))))</f>
        <v>0</v>
      </c>
      <c r="Q20" s="21">
        <f t="shared" si="2"/>
        <v>0</v>
      </c>
      <c r="R20" s="23" cm="1">
        <f t="array" ref="R20">COUNT(_xlfn._xlws.FILTER(BA:BA,(BA:BA=_xlfn.NUMBERVALUE(F20))*(BC:BC=_xlfn.NUMBERVALUE($C$2))*((BD:BD&gt;$C$2+3*$D$2)+(BD:BD&lt;$C$2-3*$D$2))))</f>
        <v>0</v>
      </c>
      <c r="S20" s="22">
        <f t="shared" si="3"/>
        <v>0</v>
      </c>
      <c r="T20" s="30">
        <v>19</v>
      </c>
      <c r="U20" s="23" cm="1">
        <f t="array" ref="U20">COUNT(_xlfn._xlws.FILTER(BA:BA,(BA:BA=F20)*(BC:BC=_xlfn.NUMBERVALUE($C$3))*((BD:BD&lt;=$C$3+$D$3)*(BD:BD&gt;$C$3-$D$3))))</f>
        <v>10</v>
      </c>
      <c r="V20" s="21">
        <f t="shared" si="16"/>
        <v>52.631578947368418</v>
      </c>
      <c r="W20" s="23" cm="1">
        <f t="array" ref="W20">COUNT(_xlfn._xlws.FILTER(BA:BA,(BA:BA=F20)*(BC:BC=_xlfn.NUMBERVALUE($C$3))*((BD:BD&gt;$C$3+$D$3)*(BD:BD&lt;$C$3+2*$D$3)+(BD:BD&lt;$C$3-$D$3)*(BD:BD&gt;$C$3-2*$D$3))))</f>
        <v>8</v>
      </c>
      <c r="X20" s="21">
        <f t="shared" si="5"/>
        <v>42.105263157894733</v>
      </c>
      <c r="Y20" s="23" cm="1">
        <f t="array" ref="Y20">COUNT(_xlfn._xlws.FILTER(BA:BA,(BA:BA=F20)*(BC:BC=_xlfn.NUMBERVALUE($C$3))*((BD:BD&gt;$C$3+2*$D$3)*(BD:BD&lt;$C$3+3*$D$3)+(BD:BD&lt;$C$3-2*$D$3)*(BD:BD&gt;$C$3-3*$D$3))))</f>
        <v>1</v>
      </c>
      <c r="Z20" s="21">
        <f t="shared" si="6"/>
        <v>5.2631578947368416</v>
      </c>
      <c r="AA20" s="23" cm="1">
        <f t="array" ref="AA20">COUNT(_xlfn._xlws.FILTER(BA:BA,(BA:BA=F20)*(BC:BC=_xlfn.NUMBERVALUE($C$3))*((BD:BD&gt;=$C$3+3*$D$3)+(BD:BD&lt;=$C$3-3*$D$3))))</f>
        <v>0</v>
      </c>
      <c r="AB20" s="22">
        <f t="shared" si="7"/>
        <v>0</v>
      </c>
      <c r="AC20" s="30">
        <v>28</v>
      </c>
      <c r="AD20" s="23" cm="1">
        <f t="array" ref="AD20">COUNT(_xlfn._xlws.FILTER(BA:BA,(BA:BA=F20)*(BC:BC=_xlfn.NUMBERVALUE($C$4))*((BD:BD&lt;=$C$4+$D$4)*(BD:BD&gt;$C$4-$D$4))))</f>
        <v>12</v>
      </c>
      <c r="AE20" s="21">
        <f t="shared" si="8"/>
        <v>42.857142857142854</v>
      </c>
      <c r="AF20" s="23" cm="1">
        <f t="array" ref="AF20">COUNT(_xlfn._xlws.FILTER(BA:BA,(BA:BA=F20)*(BC:BC=_xlfn.NUMBERVALUE($C$4))*((BD:BD&gt;$C$4+$D$4)*(BD:BD&lt;$C$4+2*$D$4)+(BD:BD&lt;$C$4-$D$4)*(BD:BD&gt;$C$4-2*$D$4))))</f>
        <v>16</v>
      </c>
      <c r="AG20" s="21">
        <f t="shared" si="9"/>
        <v>57.142857142857139</v>
      </c>
      <c r="AH20" s="23" cm="1">
        <f t="array" ref="AH20">COUNT(_xlfn._xlws.FILTER(BA:BA,(BA:BA=F20)*(BC:BC=_xlfn.NUMBERVALUE($C$4))*((BD:BD&gt;$C$4+2*$D$4)*(BD:BD&lt;$C$4+3*$D$4)+(BD:BD&lt;$C$4-2*$D$4)*(BD:BD&gt;$C$4-3*$D$4))))</f>
        <v>0</v>
      </c>
      <c r="AI20" s="21">
        <f t="shared" si="10"/>
        <v>0</v>
      </c>
      <c r="AJ20" s="23" cm="1">
        <f t="array" ref="AJ20">COUNT(_xlfn._xlws.FILTER(BA:BA,(BA:BA=F20)*(BC:BC=_xlfn.NUMBERVALUE($C$4))*((BD:BD&gt;$C$4+3*$D$4)+(BD:BD&lt;$C$4-3*$D$4))))</f>
        <v>0</v>
      </c>
      <c r="AK20" s="22">
        <f t="shared" si="11"/>
        <v>0</v>
      </c>
      <c r="AL20" s="30">
        <v>19</v>
      </c>
      <c r="AM20" s="23" cm="1">
        <f t="array" ref="AM20">COUNT(_xlfn._xlws.FILTER(BA:BA,(BA:BA=F20)*(BC:BC=_xlfn.NUMBERVALUE($C$5))*((BD:BD&lt;=$C$5+$D$5)*(BD:BD&gt;$C$5-$D$5))))</f>
        <v>14</v>
      </c>
      <c r="AN20" s="21">
        <f t="shared" si="12"/>
        <v>73.68421052631578</v>
      </c>
      <c r="AO20" s="23" cm="1">
        <f t="array" ref="AO20">COUNT(_xlfn._xlws.FILTER(BA:BA,(BA:BA=F20)*(BC:BC=_xlfn.NUMBERVALUE($C$5))*((BD:BD&gt;$C$5+$D$5)*(BD:BD&lt;$C$5+2*$D$5)+(BD:BD&lt;$C$5-$D$5)*(BD:BD&gt;$C$5-2*$D$5))))</f>
        <v>5</v>
      </c>
      <c r="AP20" s="21">
        <f t="shared" si="13"/>
        <v>26.315789473684209</v>
      </c>
      <c r="AQ20" s="23" cm="1">
        <f t="array" ref="AQ20">COUNT(_xlfn._xlws.FILTER(BA:BA,(BA:BA=F20)*(BC:BC=_xlfn.NUMBERVALUE($C$5))*((BD:BD&gt;$C$5+2*$D$5)*(BD:BD&lt;$C$5+3*$D$5)+(BD:BD&lt;$C$5-2*$D$5)*(BD:BD&gt;$C$5-3*$D$5))))</f>
        <v>0</v>
      </c>
      <c r="AR20" s="21">
        <f t="shared" si="14"/>
        <v>0</v>
      </c>
      <c r="AS20" s="23" cm="1">
        <f t="array" ref="AS20">COUNT(_xlfn._xlws.FILTER(BA:BA,(BA:BA=F20)*(BC:BC=_xlfn.NUMBERVALUE($C$5))*((BD:BD&gt;$C$5+3*$D$5)+(BD:BD&lt;$C$5-3*$D$5))))</f>
        <v>0</v>
      </c>
      <c r="AT20" s="22">
        <f t="shared" si="15"/>
        <v>0</v>
      </c>
      <c r="AW20" s="1">
        <v>1.1000000000000001</v>
      </c>
      <c r="AX20" s="1">
        <v>1.1000000000000001</v>
      </c>
      <c r="AY20" t="str">
        <v>R080_HI782-0_0.0_LOT0366_PWW49.1_QC.xlsx</v>
      </c>
      <c r="AZ20" t="str">
        <v>LOT0366</v>
      </c>
      <c r="BA20" s="3">
        <v>1</v>
      </c>
      <c r="BB20" t="str">
        <v>P/Final</v>
      </c>
      <c r="BC20">
        <v>60</v>
      </c>
      <c r="BD20" s="10">
        <v>64.599999999999994</v>
      </c>
      <c r="BE20" s="10">
        <v>0</v>
      </c>
      <c r="BF20" s="10">
        <v>0</v>
      </c>
      <c r="BG20" s="13">
        <v>45299</v>
      </c>
      <c r="BH20" t="str">
        <v>LOT0800</v>
      </c>
      <c r="BI20">
        <v>19</v>
      </c>
      <c r="BJ20">
        <v>0</v>
      </c>
      <c r="BK20">
        <v>15</v>
      </c>
      <c r="BL20">
        <v>35</v>
      </c>
      <c r="BM20">
        <v>60</v>
      </c>
      <c r="BN20" t="str">
        <v/>
      </c>
      <c r="BO20" t="str">
        <v/>
      </c>
      <c r="BP20" s="10">
        <v>0</v>
      </c>
      <c r="BQ20" s="10">
        <v>13.837499999999999</v>
      </c>
      <c r="BR20" s="10">
        <v>32.735999999999997</v>
      </c>
      <c r="BS20" s="10">
        <v>56.071428571428584</v>
      </c>
      <c r="BT20" s="10" t="str">
        <v/>
      </c>
      <c r="BU20" s="10" t="str">
        <v/>
      </c>
      <c r="BV20">
        <v>0</v>
      </c>
      <c r="BW20">
        <v>0</v>
      </c>
      <c r="BX20">
        <v>0</v>
      </c>
      <c r="BY20">
        <v>0</v>
      </c>
      <c r="BZ20">
        <v>1</v>
      </c>
      <c r="CA20">
        <v>1</v>
      </c>
      <c r="CB20">
        <v>1</v>
      </c>
      <c r="CC20">
        <v>7.8975000000000009</v>
      </c>
      <c r="CD20">
        <v>1.3674999999999999</v>
      </c>
      <c r="CE20">
        <v>1.3674999999999999</v>
      </c>
      <c r="CF20">
        <v>1.3674999999999999</v>
      </c>
      <c r="CG20">
        <v>1.3674999999999999</v>
      </c>
      <c r="CH20">
        <v>1.3674999999999999</v>
      </c>
      <c r="CI20">
        <v>1.3674999999999999</v>
      </c>
      <c r="CJ20">
        <v>10.324999999999999</v>
      </c>
      <c r="CK20">
        <v>1.8574999999999999</v>
      </c>
      <c r="CL20">
        <v>1.8574999999999999</v>
      </c>
      <c r="CM20">
        <v>1.8574999999999999</v>
      </c>
      <c r="CN20">
        <v>1.8574999999999999</v>
      </c>
      <c r="CO20">
        <v>1.8574999999999999</v>
      </c>
      <c r="CP20">
        <v>1.8574999999999999</v>
      </c>
      <c r="CQ20">
        <v>12.0175</v>
      </c>
      <c r="CR20">
        <v>2.4699999999999998</v>
      </c>
      <c r="CS20">
        <v>2.4699999999999998</v>
      </c>
      <c r="CT20">
        <v>2.4699999999999998</v>
      </c>
      <c r="CU20">
        <v>2.4699999999999998</v>
      </c>
      <c r="CV20">
        <v>2.4699999999999998</v>
      </c>
      <c r="CW20">
        <v>2.4699999999999998</v>
      </c>
      <c r="CX20">
        <v>-67.41</v>
      </c>
      <c r="CY20" s="1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s="10" cm="1">
        <f t="array" ref="DL20">IF($BJ20&lt;&gt;"",IFERROR(AVERAGE(_xlfn._xlws.FILTER($BD:$BD,($BA:$BA=$BI20)*($BC:$BC=_xlfn.NUMBERVALUE($BJ20)))),""),"")</f>
        <v>0</v>
      </c>
      <c r="DM20" s="10" cm="1">
        <f t="array" ref="DM20">IF($BK20&lt;&gt;"",IFERROR(AVERAGE(_xlfn._xlws.FILTER($BD:$BD,($BA:$BA=$BI20)*($BC:$BC=_xlfn.NUMBERVALUE($BK20)))),""),"")</f>
        <v>13.837499999999999</v>
      </c>
      <c r="DN20" s="10" cm="1">
        <f t="array" ref="DN20">IF($BL20&lt;&gt;"",IFERROR(AVERAGE(_xlfn._xlws.FILTER($BD:$BD,($BA:$BA=$BI20)*($BC:$BC=_xlfn.NUMBERVALUE($BL20)))),""),"")</f>
        <v>32.735999999999997</v>
      </c>
      <c r="DO20" s="10" cm="1">
        <f t="array" ref="DO20">IF($BM20&lt;&gt;"",IFERROR(AVERAGE(_xlfn._xlws.FILTER($BD:$BD,($BA:$BA=$BI20)*($BC:$BC=_xlfn.NUMBERVALUE($BM20)))),""),"")</f>
        <v>56.071428571428584</v>
      </c>
      <c r="DP20" s="10" t="str" cm="1">
        <f t="array" ref="DP20">IF($BN20&lt;&gt;"",IFERROR(AVERAGE(_xlfn._xlws.FILTER($BD:$BD,($BA:$BA=$BI20)*($BC:$BC=_xlfn.NUMBERVALUE($BN20)))),""),"")</f>
        <v/>
      </c>
      <c r="DQ20" s="10" t="str" cm="1">
        <f t="array" ref="DQ20">IF($BO20&lt;&gt;"",IFERROR(AVERAGE(_xlfn._xlws.FILTER($BD:$BD,($BA:$BA=$BI20)*($BC:$BC=_xlfn.NUMBERVALUE($BO20)))),""),"")</f>
        <v/>
      </c>
      <c r="DR20">
        <v>0</v>
      </c>
      <c r="DS20" s="10">
        <v>0</v>
      </c>
      <c r="DT20" s="10">
        <v>0</v>
      </c>
      <c r="DU20" s="10">
        <v>0</v>
      </c>
      <c r="DV20" s="10" t="str">
        <v/>
      </c>
      <c r="DW20" s="10" t="str">
        <v/>
      </c>
      <c r="DX20" cm="1">
        <f t="array" ref="DX20">IF($BJ20&lt;&gt;"",IFERROR(AVERAGE(_xlfn._xlws.FILTER($BE:$BE,($BA:$BA=$BI20)*($BC:$BC=_xlfn.NUMBERVALUE($BJ20)))),""),"")</f>
        <v>0</v>
      </c>
      <c r="DY20" s="10" cm="1">
        <f t="array" ref="DY20">IF($BK20&lt;&gt;"",IFERROR(AVERAGE(_xlfn._xlws.FILTER($BE:$BE,($BA:$BA=$BI20)*($BC:$BC=_xlfn.NUMBERVALUE($BK20)))),""),"")</f>
        <v>0</v>
      </c>
      <c r="DZ20" s="10" cm="1">
        <f t="array" ref="DZ20">IF($BL20&lt;&gt;"",IFERROR(AVERAGE(_xlfn._xlws.FILTER($BE:$BE,($BA:$BA=$BI20)*($BC:$BC=_xlfn.NUMBERVALUE($BL20)))),""),"")</f>
        <v>0</v>
      </c>
      <c r="EA20" s="10" cm="1">
        <f t="array" ref="EA20">IF($BM20&lt;&gt;"",IFERROR(AVERAGE(_xlfn._xlws.FILTER($BE:$BE,($BA:$BA=$BI20)*($BC:$BC=_xlfn.NUMBERVALUE($BM20)))),""),"")</f>
        <v>0</v>
      </c>
      <c r="EB20" s="10" t="str" cm="1">
        <f t="array" ref="EB20">IF($BN20&lt;&gt;"",IFERROR(AVERAGE(_xlfn._xlws.FILTER($BE:$BE,($BA:$BA=$BI20)*($BC:$BC=_xlfn.NUMBERVALUE($BN20)))),""),"")</f>
        <v/>
      </c>
      <c r="EC20" s="10" t="str" cm="1">
        <f t="array" ref="EC20">IF($BO20&lt;&gt;"",IFERROR(AVERAGE(_xlfn._xlws.FILTER($BE:$BE,($BA:$BA=$BI20)*($BC:$BC=_xlfn.NUMBERVALUE($BO20)))),""),"")</f>
        <v/>
      </c>
    </row>
    <row r="21" spans="6:133" x14ac:dyDescent="0.3">
      <c r="F21" s="35">
        <v>10</v>
      </c>
      <c r="G21" s="35" t="str">
        <v>LOT0550</v>
      </c>
      <c r="H21" s="36">
        <v>45406</v>
      </c>
      <c r="I21" s="35">
        <v>17</v>
      </c>
      <c r="J21" s="37">
        <v>59</v>
      </c>
      <c r="K21" s="38">
        <v>5</v>
      </c>
      <c r="L21" s="35" cm="1">
        <f t="array" ref="L21">COUNT(_xlfn._xlws.FILTER(BA:BA,(BA:BA=_xlfn.NUMBERVALUE(F21))*(BC:BC=_xlfn.NUMBERVALUE($C$2))*((BD:BD&lt;$C$2+$D$2)*(BD:BD&gt;$C$2-$D$2))))</f>
        <v>5</v>
      </c>
      <c r="M21" s="39">
        <f t="shared" si="0"/>
        <v>100</v>
      </c>
      <c r="N21" s="35" cm="1">
        <f t="array" ref="N21">COUNT(_xlfn._xlws.FILTER(BA:BA,(BA:BA=_xlfn.NUMBERVALUE(F21))*(BC:BC=_xlfn.NUMBERVALUE($C$2))*((BD:BD&gt;$C$2+$D$2)*(BD:BD&lt;$C$2+2*$D$2)+(BD:BD&lt;$C$2-$D$2)*(BD:BD&gt;$C$2-2*$D$2))))</f>
        <v>0</v>
      </c>
      <c r="O21" s="39">
        <f t="shared" si="1"/>
        <v>0</v>
      </c>
      <c r="P21" s="35" cm="1">
        <f t="array" ref="P21">COUNT(_xlfn._xlws.FILTER(BA:BA,(BA:BA=_xlfn.NUMBERVALUE(F21))*(BC:BC=_xlfn.NUMBERVALUE($C$2))*((BD:BD&gt;$C$2+2*$D$2)*(BD:BD&lt;$C$2+3*$D$2)+(BD:BD&lt;$C$2-2*$D$2)*(BD:BD&gt;$C$2-3*$D$2))))</f>
        <v>0</v>
      </c>
      <c r="Q21" s="39">
        <f t="shared" si="2"/>
        <v>0</v>
      </c>
      <c r="R21" s="35" cm="1">
        <f t="array" ref="R21">COUNT(_xlfn._xlws.FILTER(BA:BA,(BA:BA=_xlfn.NUMBERVALUE(F21))*(BC:BC=_xlfn.NUMBERVALUE($C$2))*((BD:BD&gt;$C$2+3*$D$2)+(BD:BD&lt;$C$2-3*$D$2))))</f>
        <v>0</v>
      </c>
      <c r="S21" s="40">
        <f t="shared" si="3"/>
        <v>0</v>
      </c>
      <c r="T21" s="38">
        <v>18</v>
      </c>
      <c r="U21" s="35" cm="1">
        <f t="array" ref="U21">COUNT(_xlfn._xlws.FILTER(BA:BA,(BA:BA=F21)*(BC:BC=_xlfn.NUMBERVALUE($C$3))*((BD:BD&lt;=$C$3+$D$3)*(BD:BD&gt;$C$3-$D$3))))</f>
        <v>7</v>
      </c>
      <c r="V21" s="39">
        <f t="shared" si="16"/>
        <v>38.888888888888893</v>
      </c>
      <c r="W21" s="35" cm="1">
        <f t="array" ref="W21">COUNT(_xlfn._xlws.FILTER(BA:BA,(BA:BA=F21)*(BC:BC=_xlfn.NUMBERVALUE($C$3))*((BD:BD&gt;$C$3+$D$3)*(BD:BD&lt;$C$3+2*$D$3)+(BD:BD&lt;$C$3-$D$3)*(BD:BD&gt;$C$3-2*$D$3))))</f>
        <v>11</v>
      </c>
      <c r="X21" s="39">
        <f t="shared" si="5"/>
        <v>61.111111111111114</v>
      </c>
      <c r="Y21" s="35" cm="1">
        <f t="array" ref="Y21">COUNT(_xlfn._xlws.FILTER(BA:BA,(BA:BA=F21)*(BC:BC=_xlfn.NUMBERVALUE($C$3))*((BD:BD&gt;$C$3+2*$D$3)*(BD:BD&lt;$C$3+3*$D$3)+(BD:BD&lt;$C$3-2*$D$3)*(BD:BD&gt;$C$3-3*$D$3))))</f>
        <v>0</v>
      </c>
      <c r="Z21" s="39">
        <f t="shared" si="6"/>
        <v>0</v>
      </c>
      <c r="AA21" s="35" cm="1">
        <f t="array" ref="AA21">COUNT(_xlfn._xlws.FILTER(BA:BA,(BA:BA=F21)*(BC:BC=_xlfn.NUMBERVALUE($C$3))*((BD:BD&gt;=$C$3+3*$D$3)+(BD:BD&lt;=$C$3-3*$D$3))))</f>
        <v>0</v>
      </c>
      <c r="AB21" s="40">
        <f t="shared" si="7"/>
        <v>0</v>
      </c>
      <c r="AC21" s="38">
        <v>18</v>
      </c>
      <c r="AD21" s="35" cm="1">
        <f t="array" ref="AD21">COUNT(_xlfn._xlws.FILTER(BA:BA,(BA:BA=F21)*(BC:BC=_xlfn.NUMBERVALUE($C$4))*((BD:BD&lt;=$C$4+$D$4)*(BD:BD&gt;$C$4-$D$4))))</f>
        <v>11</v>
      </c>
      <c r="AE21" s="39">
        <f t="shared" si="8"/>
        <v>61.111111111111114</v>
      </c>
      <c r="AF21" s="35" cm="1">
        <f t="array" ref="AF21">COUNT(_xlfn._xlws.FILTER(BA:BA,(BA:BA=F21)*(BC:BC=_xlfn.NUMBERVALUE($C$4))*((BD:BD&gt;$C$4+$D$4)*(BD:BD&lt;$C$4+2*$D$4)+(BD:BD&lt;$C$4-$D$4)*(BD:BD&gt;$C$4-2*$D$4))))</f>
        <v>7</v>
      </c>
      <c r="AG21" s="39">
        <f t="shared" si="9"/>
        <v>38.888888888888893</v>
      </c>
      <c r="AH21" s="35" cm="1">
        <f t="array" ref="AH21">COUNT(_xlfn._xlws.FILTER(BA:BA,(BA:BA=F21)*(BC:BC=_xlfn.NUMBERVALUE($C$4))*((BD:BD&gt;$C$4+2*$D$4)*(BD:BD&lt;$C$4+3*$D$4)+(BD:BD&lt;$C$4-2*$D$4)*(BD:BD&gt;$C$4-3*$D$4))))</f>
        <v>0</v>
      </c>
      <c r="AI21" s="39">
        <f t="shared" si="10"/>
        <v>0</v>
      </c>
      <c r="AJ21" s="35" cm="1">
        <f t="array" ref="AJ21">COUNT(_xlfn._xlws.FILTER(BA:BA,(BA:BA=F21)*(BC:BC=_xlfn.NUMBERVALUE($C$4))*((BD:BD&gt;$C$4+3*$D$4)+(BD:BD&lt;$C$4-3*$D$4))))</f>
        <v>0</v>
      </c>
      <c r="AK21" s="40">
        <f t="shared" si="11"/>
        <v>0</v>
      </c>
      <c r="AL21" s="38">
        <v>18</v>
      </c>
      <c r="AM21" s="35" cm="1">
        <f t="array" ref="AM21">COUNT(_xlfn._xlws.FILTER(BA:BA,(BA:BA=F21)*(BC:BC=_xlfn.NUMBERVALUE($C$5))*((BD:BD&lt;=$C$5+$D$5)*(BD:BD&gt;$C$5-$D$5))))</f>
        <v>14</v>
      </c>
      <c r="AN21" s="39">
        <f t="shared" si="12"/>
        <v>77.777777777777786</v>
      </c>
      <c r="AO21" s="35" cm="1">
        <f t="array" ref="AO21">COUNT(_xlfn._xlws.FILTER(BA:BA,(BA:BA=F21)*(BC:BC=_xlfn.NUMBERVALUE($C$5))*((BD:BD&gt;$C$5+$D$5)*(BD:BD&lt;$C$5+2*$D$5)+(BD:BD&lt;$C$5-$D$5)*(BD:BD&gt;$C$5-2*$D$5))))</f>
        <v>4</v>
      </c>
      <c r="AP21" s="39">
        <f t="shared" si="13"/>
        <v>22.222222222222221</v>
      </c>
      <c r="AQ21" s="35" cm="1">
        <f t="array" ref="AQ21">COUNT(_xlfn._xlws.FILTER(BA:BA,(BA:BA=F21)*(BC:BC=_xlfn.NUMBERVALUE($C$5))*((BD:BD&gt;$C$5+2*$D$5)*(BD:BD&lt;$C$5+3*$D$5)+(BD:BD&lt;$C$5-2*$D$5)*(BD:BD&gt;$C$5-3*$D$5))))</f>
        <v>0</v>
      </c>
      <c r="AR21" s="39">
        <f t="shared" si="14"/>
        <v>0</v>
      </c>
      <c r="AS21" s="35" cm="1">
        <f t="array" ref="AS21">COUNT(_xlfn._xlws.FILTER(BA:BA,(BA:BA=F21)*(BC:BC=_xlfn.NUMBERVALUE($C$5))*((BD:BD&gt;$C$5+3*$D$5)+(BD:BD&lt;$C$5-3*$D$5))))</f>
        <v>0</v>
      </c>
      <c r="AT21" s="40">
        <f t="shared" si="15"/>
        <v>0</v>
      </c>
      <c r="AW21" s="1">
        <v>2.1</v>
      </c>
      <c r="AX21" s="1">
        <v>2.1</v>
      </c>
      <c r="AY21" t="str">
        <v>R080_HI782-0_0.0_LOT0367_PWW49.2_QC.xlsx</v>
      </c>
      <c r="AZ21" t="str">
        <v>LOT0367</v>
      </c>
      <c r="BA21" s="3">
        <v>2</v>
      </c>
      <c r="BB21" t="str">
        <v>P/Final</v>
      </c>
      <c r="BC21">
        <v>0</v>
      </c>
      <c r="BD21" s="10">
        <v>0.4</v>
      </c>
      <c r="BE21" s="10">
        <v>0</v>
      </c>
      <c r="BF21" s="10">
        <v>0</v>
      </c>
      <c r="BG21" s="13">
        <v>45300</v>
      </c>
      <c r="BH21" t="str">
        <v>LOT0869</v>
      </c>
      <c r="BI21">
        <v>20</v>
      </c>
      <c r="BJ21">
        <v>0</v>
      </c>
      <c r="BK21">
        <v>15</v>
      </c>
      <c r="BL21">
        <v>35</v>
      </c>
      <c r="BM21">
        <v>60</v>
      </c>
      <c r="BN21" t="str">
        <v/>
      </c>
      <c r="BO21" t="str">
        <v/>
      </c>
      <c r="BP21" s="10">
        <v>0</v>
      </c>
      <c r="BQ21" s="10">
        <v>14.946875</v>
      </c>
      <c r="BR21" s="10">
        <v>34.931428571428569</v>
      </c>
      <c r="BS21" s="10">
        <v>56.987142857142835</v>
      </c>
      <c r="BT21" s="10" t="str">
        <v/>
      </c>
      <c r="BU21" s="10" t="str">
        <v/>
      </c>
      <c r="BV21">
        <v>0</v>
      </c>
      <c r="BW21">
        <v>0</v>
      </c>
      <c r="BX21">
        <v>0</v>
      </c>
      <c r="BY21">
        <v>0</v>
      </c>
      <c r="BZ21">
        <v>1</v>
      </c>
      <c r="CA21">
        <v>1</v>
      </c>
      <c r="CB21">
        <v>1</v>
      </c>
      <c r="CC21">
        <v>7.8975000000000009</v>
      </c>
      <c r="CD21">
        <v>1.3674999999999999</v>
      </c>
      <c r="CE21">
        <v>1.3674999999999999</v>
      </c>
      <c r="CF21">
        <v>1.3674999999999999</v>
      </c>
      <c r="CG21">
        <v>1.3674999999999999</v>
      </c>
      <c r="CH21">
        <v>1.3674999999999999</v>
      </c>
      <c r="CI21">
        <v>1.3674999999999999</v>
      </c>
      <c r="CJ21">
        <v>10.324999999999999</v>
      </c>
      <c r="CK21">
        <v>1.8574999999999999</v>
      </c>
      <c r="CL21">
        <v>1.8574999999999999</v>
      </c>
      <c r="CM21">
        <v>1.8574999999999999</v>
      </c>
      <c r="CN21">
        <v>1.8574999999999999</v>
      </c>
      <c r="CO21">
        <v>1.8574999999999999</v>
      </c>
      <c r="CP21">
        <v>1.8574999999999999</v>
      </c>
      <c r="CQ21">
        <v>12.0175</v>
      </c>
      <c r="CR21">
        <v>2.4699999999999998</v>
      </c>
      <c r="CS21">
        <v>2.4699999999999998</v>
      </c>
      <c r="CT21">
        <v>2.4699999999999998</v>
      </c>
      <c r="CU21">
        <v>2.4699999999999998</v>
      </c>
      <c r="CV21">
        <v>2.4699999999999998</v>
      </c>
      <c r="CW21">
        <v>2.4699999999999998</v>
      </c>
      <c r="CX21">
        <v>-67.41</v>
      </c>
      <c r="CY21" s="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 s="10" cm="1">
        <f t="array" ref="DL21">IF($BJ21&lt;&gt;"",IFERROR(AVERAGE(_xlfn._xlws.FILTER($BD:$BD,($BA:$BA=$BI21)*($BC:$BC=_xlfn.NUMBERVALUE($BJ21)))),""),"")</f>
        <v>0</v>
      </c>
      <c r="DM21" s="10" cm="1">
        <f t="array" ref="DM21">IF($BK21&lt;&gt;"",IFERROR(AVERAGE(_xlfn._xlws.FILTER($BD:$BD,($BA:$BA=$BI21)*($BC:$BC=_xlfn.NUMBERVALUE($BK21)))),""),"")</f>
        <v>14.946875</v>
      </c>
      <c r="DN21" s="10" cm="1">
        <f t="array" ref="DN21">IF($BL21&lt;&gt;"",IFERROR(AVERAGE(_xlfn._xlws.FILTER($BD:$BD,($BA:$BA=$BI21)*($BC:$BC=_xlfn.NUMBERVALUE($BL21)))),""),"")</f>
        <v>34.931428571428569</v>
      </c>
      <c r="DO21" s="10" cm="1">
        <f t="array" ref="DO21">IF($BM21&lt;&gt;"",IFERROR(AVERAGE(_xlfn._xlws.FILTER($BD:$BD,($BA:$BA=$BI21)*($BC:$BC=_xlfn.NUMBERVALUE($BM21)))),""),"")</f>
        <v>56.987142857142835</v>
      </c>
      <c r="DP21" s="10" t="str" cm="1">
        <f t="array" ref="DP21">IF($BN21&lt;&gt;"",IFERROR(AVERAGE(_xlfn._xlws.FILTER($BD:$BD,($BA:$BA=$BI21)*($BC:$BC=_xlfn.NUMBERVALUE($BN21)))),""),"")</f>
        <v/>
      </c>
      <c r="DQ21" s="10" t="str" cm="1">
        <f t="array" ref="DQ21">IF($BO21&lt;&gt;"",IFERROR(AVERAGE(_xlfn._xlws.FILTER($BD:$BD,($BA:$BA=$BI21)*($BC:$BC=_xlfn.NUMBERVALUE($BO21)))),""),"")</f>
        <v/>
      </c>
      <c r="DR21">
        <v>0.02</v>
      </c>
      <c r="DS21" s="10">
        <v>14.951562499999998</v>
      </c>
      <c r="DT21" s="10">
        <v>34.984285714285718</v>
      </c>
      <c r="DU21" s="10">
        <v>56.960000000000008</v>
      </c>
      <c r="DV21" s="10" t="str">
        <v/>
      </c>
      <c r="DW21" s="10" t="str">
        <v/>
      </c>
      <c r="DX21" cm="1">
        <f t="array" ref="DX21">IF($BJ21&lt;&gt;"",IFERROR(AVERAGE(_xlfn._xlws.FILTER($BE:$BE,($BA:$BA=$BI21)*($BC:$BC=_xlfn.NUMBERVALUE($BJ21)))),""),"")</f>
        <v>0.02</v>
      </c>
      <c r="DY21" s="10" cm="1">
        <f t="array" ref="DY21">IF($BK21&lt;&gt;"",IFERROR(AVERAGE(_xlfn._xlws.FILTER($BE:$BE,($BA:$BA=$BI21)*($BC:$BC=_xlfn.NUMBERVALUE($BK21)))),""),"")</f>
        <v>14.951562499999998</v>
      </c>
      <c r="DZ21" s="10" cm="1">
        <f t="array" ref="DZ21">IF($BL21&lt;&gt;"",IFERROR(AVERAGE(_xlfn._xlws.FILTER($BE:$BE,($BA:$BA=$BI21)*($BC:$BC=_xlfn.NUMBERVALUE($BL21)))),""),"")</f>
        <v>34.984285714285718</v>
      </c>
      <c r="EA21" s="10" cm="1">
        <f t="array" ref="EA21">IF($BM21&lt;&gt;"",IFERROR(AVERAGE(_xlfn._xlws.FILTER($BE:$BE,($BA:$BA=$BI21)*($BC:$BC=_xlfn.NUMBERVALUE($BM21)))),""),"")</f>
        <v>56.960000000000008</v>
      </c>
      <c r="EB21" s="10" t="str" cm="1">
        <f t="array" ref="EB21">IF($BN21&lt;&gt;"",IFERROR(AVERAGE(_xlfn._xlws.FILTER($BE:$BE,($BA:$BA=$BI21)*($BC:$BC=_xlfn.NUMBERVALUE($BN21)))),""),"")</f>
        <v/>
      </c>
      <c r="EC21" s="10" t="str" cm="1">
        <f t="array" ref="EC21">IF($BO21&lt;&gt;"",IFERROR(AVERAGE(_xlfn._xlws.FILTER($BE:$BE,($BA:$BA=$BI21)*($BC:$BC=_xlfn.NUMBERVALUE($BO21)))),""),"")</f>
        <v/>
      </c>
    </row>
    <row r="22" spans="6:133" x14ac:dyDescent="0.3">
      <c r="F22" s="23">
        <v>11</v>
      </c>
      <c r="G22" s="23" t="str">
        <v>LOT0568</v>
      </c>
      <c r="H22" s="32">
        <v>45426</v>
      </c>
      <c r="I22" s="23">
        <v>20</v>
      </c>
      <c r="J22" s="23">
        <v>147</v>
      </c>
      <c r="K22" s="23">
        <v>9</v>
      </c>
      <c r="L22" s="23" cm="1">
        <f t="array" ref="L22">COUNT(_xlfn._xlws.FILTER(BA:BA,(BA:BA=_xlfn.NUMBERVALUE(F22))*(BC:BC=_xlfn.NUMBERVALUE($C$2))*((BD:BD&lt;$C$2+$D$2)*(BD:BD&gt;$C$2-$D$2))))</f>
        <v>9</v>
      </c>
      <c r="M22" s="21">
        <f t="shared" si="0"/>
        <v>100</v>
      </c>
      <c r="N22" s="23" cm="1">
        <f t="array" ref="N22">COUNT(_xlfn._xlws.FILTER(BA:BA,(BA:BA=_xlfn.NUMBERVALUE(F22))*(BC:BC=_xlfn.NUMBERVALUE($C$2))*((BD:BD&gt;$C$2+$D$2)*(BD:BD&lt;$C$2+2*$D$2)+(BD:BD&lt;$C$2-$D$2)*(BD:BD&gt;$C$2-2*$D$2))))</f>
        <v>0</v>
      </c>
      <c r="O22" s="21">
        <f t="shared" si="1"/>
        <v>0</v>
      </c>
      <c r="P22" s="23" cm="1">
        <f t="array" ref="P22">COUNT(_xlfn._xlws.FILTER(BA:BA,(BA:BA=_xlfn.NUMBERVALUE(F22))*(BC:BC=_xlfn.NUMBERVALUE($C$2))*((BD:BD&gt;$C$2+2*$D$2)*(BD:BD&lt;$C$2+3*$D$2)+(BD:BD&lt;$C$2-2*$D$2)*(BD:BD&gt;$C$2-3*$D$2))))</f>
        <v>0</v>
      </c>
      <c r="Q22" s="21">
        <f t="shared" ref="Q22:Q36" si="17">IFERROR(P22/K22*100,"")</f>
        <v>0</v>
      </c>
      <c r="R22" s="23" cm="1">
        <f t="array" ref="R22">COUNT(_xlfn._xlws.FILTER(BA:BA,(BA:BA=_xlfn.NUMBERVALUE(F22))*(BC:BC=_xlfn.NUMBERVALUE($C$2))*((BD:BD&gt;$C$2+3*$D$2)+(BD:BD&lt;$C$2-3*$D$2))))</f>
        <v>0</v>
      </c>
      <c r="S22" s="21">
        <f t="shared" si="3"/>
        <v>0</v>
      </c>
      <c r="T22" s="23">
        <v>46</v>
      </c>
      <c r="U22" s="23" cm="1">
        <f t="array" ref="U22">COUNT(_xlfn._xlws.FILTER(BA:BA,(BA:BA=F22)*(BC:BC=_xlfn.NUMBERVALUE($C$3))*((BD:BD&lt;=$C$3+$D$3)*(BD:BD&gt;$C$3-$D$3))))</f>
        <v>21</v>
      </c>
      <c r="V22" s="21">
        <f t="shared" si="16"/>
        <v>45.652173913043477</v>
      </c>
      <c r="W22" s="23" cm="1">
        <f t="array" ref="W22">COUNT(_xlfn._xlws.FILTER(BA:BA,(BA:BA=F22)*(BC:BC=_xlfn.NUMBERVALUE($C$3))*((BD:BD&gt;$C$3+$D$3)*(BD:BD&lt;$C$3+2*$D$3)+(BD:BD&lt;$C$3-$D$3)*(BD:BD&gt;$C$3-2*$D$3))))</f>
        <v>23</v>
      </c>
      <c r="X22" s="21">
        <f t="shared" si="5"/>
        <v>50</v>
      </c>
      <c r="Y22" s="23" cm="1">
        <f t="array" ref="Y22">COUNT(_xlfn._xlws.FILTER(BA:BA,(BA:BA=F22)*(BC:BC=_xlfn.NUMBERVALUE($C$3))*((BD:BD&gt;$C$3+2*$D$3)*(BD:BD&lt;$C$3+3*$D$3)+(BD:BD&lt;$C$3-2*$D$3)*(BD:BD&gt;$C$3-3*$D$3))))</f>
        <v>2</v>
      </c>
      <c r="Z22" s="21">
        <f t="shared" si="6"/>
        <v>4.3478260869565215</v>
      </c>
      <c r="AA22" s="23" cm="1">
        <f t="array" ref="AA22">COUNT(_xlfn._xlws.FILTER(BA:BA,(BA:BA=F22)*(BC:BC=_xlfn.NUMBERVALUE($C$3))*((BD:BD&gt;=$C$3+3*$D$3)+(BD:BD&lt;=$C$3-3*$D$3))))</f>
        <v>0</v>
      </c>
      <c r="AB22" s="21">
        <f t="shared" si="7"/>
        <v>0</v>
      </c>
      <c r="AC22" s="23">
        <v>46</v>
      </c>
      <c r="AD22" s="23" cm="1">
        <f t="array" ref="AD22">COUNT(_xlfn._xlws.FILTER(BA:BA,(BA:BA=F22)*(BC:BC=_xlfn.NUMBERVALUE($C$4))*((BD:BD&lt;=$C$4+$D$4)*(BD:BD&gt;$C$4-$D$4))))</f>
        <v>26</v>
      </c>
      <c r="AE22" s="21">
        <f t="shared" si="8"/>
        <v>56.521739130434781</v>
      </c>
      <c r="AF22" s="23" cm="1">
        <f t="array" ref="AF22">COUNT(_xlfn._xlws.FILTER(BA:BA,(BA:BA=F22)*(BC:BC=_xlfn.NUMBERVALUE($C$4))*((BD:BD&gt;$C$4+$D$4)*(BD:BD&lt;$C$4+2*$D$4)+(BD:BD&lt;$C$4-$D$4)*(BD:BD&gt;$C$4-2*$D$4))))</f>
        <v>19</v>
      </c>
      <c r="AG22" s="21">
        <f t="shared" si="9"/>
        <v>41.304347826086953</v>
      </c>
      <c r="AH22" s="23" cm="1">
        <f t="array" ref="AH22">COUNT(_xlfn._xlws.FILTER(BA:BA,(BA:BA=F22)*(BC:BC=_xlfn.NUMBERVALUE($C$4))*((BD:BD&gt;$C$4+2*$D$4)*(BD:BD&lt;$C$4+3*$D$4)+(BD:BD&lt;$C$4-2*$D$4)*(BD:BD&gt;$C$4-3*$D$4))))</f>
        <v>2</v>
      </c>
      <c r="AI22" s="21">
        <f t="shared" si="10"/>
        <v>4.3478260869565215</v>
      </c>
      <c r="AJ22" s="23" cm="1">
        <f t="array" ref="AJ22">COUNT(_xlfn._xlws.FILTER(BA:BA,(BA:BA=F22)*(BC:BC=_xlfn.NUMBERVALUE($C$4))*((BD:BD&gt;$C$4+3*$D$4)+(BD:BD&lt;$C$4-3*$D$4))))</f>
        <v>0</v>
      </c>
      <c r="AK22" s="21">
        <f t="shared" si="11"/>
        <v>0</v>
      </c>
      <c r="AL22" s="23">
        <v>46</v>
      </c>
      <c r="AM22" s="23" cm="1">
        <f t="array" ref="AM22">COUNT(_xlfn._xlws.FILTER(BA:BA,(BA:BA=F22)*(BC:BC=_xlfn.NUMBERVALUE($C$5))*((BD:BD&lt;=$C$5+$D$5)*(BD:BD&gt;$C$5-$D$5))))</f>
        <v>35</v>
      </c>
      <c r="AN22" s="21">
        <f t="shared" si="12"/>
        <v>76.08695652173914</v>
      </c>
      <c r="AO22" s="23" cm="1">
        <f t="array" ref="AO22">COUNT(_xlfn._xlws.FILTER(BA:BA,(BA:BA=F22)*(BC:BC=_xlfn.NUMBERVALUE($C$5))*((BD:BD&gt;$C$5+$D$5)*(BD:BD&lt;$C$5+2*$D$5)+(BD:BD&lt;$C$5-$D$5)*(BD:BD&gt;$C$5-2*$D$5))))</f>
        <v>10</v>
      </c>
      <c r="AP22" s="21">
        <f t="shared" si="13"/>
        <v>21.739130434782609</v>
      </c>
      <c r="AQ22" s="23" cm="1">
        <f t="array" ref="AQ22">COUNT(_xlfn._xlws.FILTER(BA:BA,(BA:BA=F22)*(BC:BC=_xlfn.NUMBERVALUE($C$5))*((BD:BD&gt;$C$5+2*$D$5)*(BD:BD&lt;$C$5+3*$D$5)+(BD:BD&lt;$C$5-2*$D$5)*(BD:BD&gt;$C$5-3*$D$5))))</f>
        <v>0</v>
      </c>
      <c r="AR22" s="21">
        <f t="shared" si="14"/>
        <v>0</v>
      </c>
      <c r="AS22" s="23" cm="1">
        <f t="array" ref="AS22">COUNT(_xlfn._xlws.FILTER(BA:BA,(BA:BA=F22)*(BC:BC=_xlfn.NUMBERVALUE($C$5))*((BD:BD&gt;$C$5+3*$D$5)+(BD:BD&lt;$C$5-3*$D$5))))</f>
        <v>0</v>
      </c>
      <c r="AT22" s="21">
        <f t="shared" si="15"/>
        <v>0</v>
      </c>
      <c r="AW22" s="1">
        <v>2.1</v>
      </c>
      <c r="AX22" s="1">
        <v>2.1</v>
      </c>
      <c r="AY22" t="str">
        <v>R080_HI782-0_0.0_LOT0367_PWW49.2_QC.xlsx</v>
      </c>
      <c r="AZ22" t="str">
        <v>LOT0367</v>
      </c>
      <c r="BA22" s="3">
        <v>2</v>
      </c>
      <c r="BB22" t="str">
        <v>P/Final</v>
      </c>
      <c r="BC22">
        <v>0</v>
      </c>
      <c r="BD22" s="10">
        <v>0.4</v>
      </c>
      <c r="BE22" s="10">
        <v>0</v>
      </c>
      <c r="BF22" s="10">
        <v>0</v>
      </c>
      <c r="BG22" s="13">
        <v>45300</v>
      </c>
      <c r="BH22" t="str">
        <v>LOT0894</v>
      </c>
      <c r="BI22">
        <v>21</v>
      </c>
      <c r="BJ22">
        <v>0</v>
      </c>
      <c r="BK22">
        <v>15</v>
      </c>
      <c r="BL22">
        <v>35</v>
      </c>
      <c r="BM22">
        <v>60</v>
      </c>
      <c r="BN22" t="str">
        <v/>
      </c>
      <c r="BO22" t="str">
        <v/>
      </c>
      <c r="BP22" s="10">
        <v>0</v>
      </c>
      <c r="BQ22" s="10">
        <v>15.135135135135135</v>
      </c>
      <c r="BR22" s="10">
        <v>37.142105263157895</v>
      </c>
      <c r="BS22" s="10">
        <v>60.711111111111109</v>
      </c>
      <c r="BT22" s="10" t="str">
        <v/>
      </c>
      <c r="BU22" s="10" t="str">
        <v/>
      </c>
      <c r="BV22">
        <v>0</v>
      </c>
      <c r="BW22">
        <v>0</v>
      </c>
      <c r="BX22">
        <v>0</v>
      </c>
      <c r="BY22">
        <v>0</v>
      </c>
      <c r="BZ22">
        <v>1</v>
      </c>
      <c r="CA22">
        <v>1</v>
      </c>
      <c r="CB22">
        <v>1</v>
      </c>
      <c r="CC22">
        <v>7.8975000000000009</v>
      </c>
      <c r="CD22">
        <v>1.3674999999999999</v>
      </c>
      <c r="CE22">
        <v>1.3674999999999999</v>
      </c>
      <c r="CF22">
        <v>1.3674999999999999</v>
      </c>
      <c r="CG22">
        <v>1.3674999999999999</v>
      </c>
      <c r="CH22">
        <v>1.3674999999999999</v>
      </c>
      <c r="CI22">
        <v>1.3674999999999999</v>
      </c>
      <c r="CJ22">
        <v>10.324999999999999</v>
      </c>
      <c r="CK22">
        <v>1.8574999999999999</v>
      </c>
      <c r="CL22">
        <v>1.8574999999999999</v>
      </c>
      <c r="CM22">
        <v>1.8574999999999999</v>
      </c>
      <c r="CN22">
        <v>1.8574999999999999</v>
      </c>
      <c r="CO22">
        <v>1.8574999999999999</v>
      </c>
      <c r="CP22">
        <v>1.8574999999999999</v>
      </c>
      <c r="CQ22">
        <v>12.0175</v>
      </c>
      <c r="CR22">
        <v>2.4699999999999998</v>
      </c>
      <c r="CS22">
        <v>2.4699999999999998</v>
      </c>
      <c r="CT22">
        <v>2.4699999999999998</v>
      </c>
      <c r="CU22">
        <v>2.4699999999999998</v>
      </c>
      <c r="CV22">
        <v>2.4699999999999998</v>
      </c>
      <c r="CW22">
        <v>2.4699999999999998</v>
      </c>
      <c r="CX22">
        <v>-67.41</v>
      </c>
      <c r="CY22" s="1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s="10" cm="1">
        <f t="array" ref="DL22">IF($BJ22&lt;&gt;"",IFERROR(AVERAGE(_xlfn._xlws.FILTER($BD:$BD,($BA:$BA=$BI22)*($BC:$BC=_xlfn.NUMBERVALUE($BJ22)))),""),"")</f>
        <v>0</v>
      </c>
      <c r="DM22" s="10" cm="1">
        <f t="array" ref="DM22">IF($BK22&lt;&gt;"",IFERROR(AVERAGE(_xlfn._xlws.FILTER($BD:$BD,($BA:$BA=$BI22)*($BC:$BC=_xlfn.NUMBERVALUE($BK22)))),""),"")</f>
        <v>15.135135135135135</v>
      </c>
      <c r="DN22" s="10" cm="1">
        <f t="array" ref="DN22">IF($BL22&lt;&gt;"",IFERROR(AVERAGE(_xlfn._xlws.FILTER($BD:$BD,($BA:$BA=$BI22)*($BC:$BC=_xlfn.NUMBERVALUE($BL22)))),""),"")</f>
        <v>37.142105263157895</v>
      </c>
      <c r="DO22" s="10" cm="1">
        <f t="array" ref="DO22">IF($BM22&lt;&gt;"",IFERROR(AVERAGE(_xlfn._xlws.FILTER($BD:$BD,($BA:$BA=$BI22)*($BC:$BC=_xlfn.NUMBERVALUE($BM22)))),""),"")</f>
        <v>60.711111111111109</v>
      </c>
      <c r="DP22" s="10" t="str" cm="1">
        <f t="array" ref="DP22">IF($BN22&lt;&gt;"",IFERROR(AVERAGE(_xlfn._xlws.FILTER($BD:$BD,($BA:$BA=$BI22)*($BC:$BC=_xlfn.NUMBERVALUE($BN22)))),""),"")</f>
        <v/>
      </c>
      <c r="DQ22" s="10" t="str" cm="1">
        <f t="array" ref="DQ22">IF($BO22&lt;&gt;"",IFERROR(AVERAGE(_xlfn._xlws.FILTER($BD:$BD,($BA:$BA=$BI22)*($BC:$BC=_xlfn.NUMBERVALUE($BO22)))),""),"")</f>
        <v/>
      </c>
      <c r="DR22">
        <v>0</v>
      </c>
      <c r="DS22" s="10">
        <v>0</v>
      </c>
      <c r="DT22" s="10">
        <v>0</v>
      </c>
      <c r="DU22" s="10">
        <v>0</v>
      </c>
      <c r="DV22" s="10" t="str">
        <v/>
      </c>
      <c r="DW22" s="10" t="str">
        <v/>
      </c>
      <c r="DX22" cm="1">
        <f t="array" ref="DX22">IF($BJ22&lt;&gt;"",IFERROR(AVERAGE(_xlfn._xlws.FILTER($BE:$BE,($BA:$BA=$BI22)*($BC:$BC=_xlfn.NUMBERVALUE($BJ22)))),""),"")</f>
        <v>0</v>
      </c>
      <c r="DY22" s="10" cm="1">
        <f t="array" ref="DY22">IF($BK22&lt;&gt;"",IFERROR(AVERAGE(_xlfn._xlws.FILTER($BE:$BE,($BA:$BA=$BI22)*($BC:$BC=_xlfn.NUMBERVALUE($BK22)))),""),"")</f>
        <v>0</v>
      </c>
      <c r="DZ22" s="10" cm="1">
        <f t="array" ref="DZ22">IF($BL22&lt;&gt;"",IFERROR(AVERAGE(_xlfn._xlws.FILTER($BE:$BE,($BA:$BA=$BI22)*($BC:$BC=_xlfn.NUMBERVALUE($BL22)))),""),"")</f>
        <v>0</v>
      </c>
      <c r="EA22" s="10" cm="1">
        <f t="array" ref="EA22">IF($BM22&lt;&gt;"",IFERROR(AVERAGE(_xlfn._xlws.FILTER($BE:$BE,($BA:$BA=$BI22)*($BC:$BC=_xlfn.NUMBERVALUE($BM22)))),""),"")</f>
        <v>0</v>
      </c>
      <c r="EB22" s="10" t="str" cm="1">
        <f t="array" ref="EB22">IF($BN22&lt;&gt;"",IFERROR(AVERAGE(_xlfn._xlws.FILTER($BE:$BE,($BA:$BA=$BI22)*($BC:$BC=_xlfn.NUMBERVALUE($BN22)))),""),"")</f>
        <v/>
      </c>
      <c r="EC22" s="10" t="str" cm="1">
        <f t="array" ref="EC22">IF($BO22&lt;&gt;"",IFERROR(AVERAGE(_xlfn._xlws.FILTER($BE:$BE,($BA:$BA=$BI22)*($BC:$BC=_xlfn.NUMBERVALUE($BO22)))),""),"")</f>
        <v/>
      </c>
    </row>
    <row r="23" spans="6:133" x14ac:dyDescent="0.3">
      <c r="F23" s="23">
        <v>12</v>
      </c>
      <c r="G23" s="23" t="str">
        <v>LOT0632</v>
      </c>
      <c r="H23" s="32">
        <v>45484</v>
      </c>
      <c r="I23" s="23">
        <v>28</v>
      </c>
      <c r="J23" s="23">
        <v>31</v>
      </c>
      <c r="K23" s="23">
        <v>4</v>
      </c>
      <c r="L23" s="23" cm="1">
        <f t="array" ref="L23">COUNT(_xlfn._xlws.FILTER(BA:BA,(BA:BA=_xlfn.NUMBERVALUE(F23))*(BC:BC=_xlfn.NUMBERVALUE($C$2))*((BD:BD&lt;$C$2+$D$2)*(BD:BD&gt;$C$2-$D$2))))</f>
        <v>4</v>
      </c>
      <c r="M23" s="21">
        <f t="shared" si="0"/>
        <v>100</v>
      </c>
      <c r="N23" s="23" cm="1">
        <f t="array" ref="N23">COUNT(_xlfn._xlws.FILTER(BA:BA,(BA:BA=_xlfn.NUMBERVALUE(F23))*(BC:BC=_xlfn.NUMBERVALUE($C$2))*((BD:BD&gt;$C$2+$D$2)*(BD:BD&lt;$C$2+2*$D$2)+(BD:BD&lt;$C$2-$D$2)*(BD:BD&gt;$C$2-2*$D$2))))</f>
        <v>0</v>
      </c>
      <c r="O23" s="21">
        <f t="shared" si="1"/>
        <v>0</v>
      </c>
      <c r="P23" s="23" cm="1">
        <f t="array" ref="P23">COUNT(_xlfn._xlws.FILTER(BA:BA,(BA:BA=_xlfn.NUMBERVALUE(F23))*(BC:BC=_xlfn.NUMBERVALUE($C$2))*((BD:BD&gt;$C$2+2*$D$2)*(BD:BD&lt;$C$2+3*$D$2)+(BD:BD&lt;$C$2-2*$D$2)*(BD:BD&gt;$C$2-3*$D$2))))</f>
        <v>0</v>
      </c>
      <c r="Q23" s="21">
        <f t="shared" si="17"/>
        <v>0</v>
      </c>
      <c r="R23" s="23" cm="1">
        <f t="array" ref="R23">COUNT(_xlfn._xlws.FILTER(BA:BA,(BA:BA=_xlfn.NUMBERVALUE(F23))*(BC:BC=_xlfn.NUMBERVALUE($C$2))*((BD:BD&gt;$C$2+3*$D$2)+(BD:BD&lt;$C$2-3*$D$2))))</f>
        <v>0</v>
      </c>
      <c r="S23" s="21">
        <f t="shared" si="3"/>
        <v>0</v>
      </c>
      <c r="T23" s="23">
        <v>8</v>
      </c>
      <c r="U23" s="23" cm="1">
        <f t="array" ref="U23">COUNT(_xlfn._xlws.FILTER(BA:BA,(BA:BA=F23)*(BC:BC=_xlfn.NUMBERVALUE($C$3))*((BD:BD&lt;=$C$3+$D$3)*(BD:BD&gt;$C$3-$D$3))))</f>
        <v>6</v>
      </c>
      <c r="V23" s="21">
        <f t="shared" si="16"/>
        <v>75</v>
      </c>
      <c r="W23" s="23" cm="1">
        <f t="array" ref="W23">COUNT(_xlfn._xlws.FILTER(BA:BA,(BA:BA=F23)*(BC:BC=_xlfn.NUMBERVALUE($C$3))*((BD:BD&gt;$C$3+$D$3)*(BD:BD&lt;$C$3+2*$D$3)+(BD:BD&lt;$C$3-$D$3)*(BD:BD&gt;$C$3-2*$D$3))))</f>
        <v>2</v>
      </c>
      <c r="X23" s="21">
        <f t="shared" si="5"/>
        <v>25</v>
      </c>
      <c r="Y23" s="23" cm="1">
        <f t="array" ref="Y23">COUNT(_xlfn._xlws.FILTER(BA:BA,(BA:BA=F23)*(BC:BC=_xlfn.NUMBERVALUE($C$3))*((BD:BD&gt;$C$3+2*$D$3)*(BD:BD&lt;$C$3+3*$D$3)+(BD:BD&lt;$C$3-2*$D$3)*(BD:BD&gt;$C$3-3*$D$3))))</f>
        <v>0</v>
      </c>
      <c r="Z23" s="21">
        <f t="shared" si="6"/>
        <v>0</v>
      </c>
      <c r="AA23" s="23" cm="1">
        <f t="array" ref="AA23">COUNT(_xlfn._xlws.FILTER(BA:BA,(BA:BA=F23)*(BC:BC=_xlfn.NUMBERVALUE($C$3))*((BD:BD&gt;=$C$3+3*$D$3)+(BD:BD&lt;=$C$3-3*$D$3))))</f>
        <v>0</v>
      </c>
      <c r="AB23" s="21">
        <f t="shared" si="7"/>
        <v>0</v>
      </c>
      <c r="AC23" s="23">
        <v>8</v>
      </c>
      <c r="AD23" s="23" cm="1">
        <f t="array" ref="AD23">COUNT(_xlfn._xlws.FILTER(BA:BA,(BA:BA=F23)*(BC:BC=_xlfn.NUMBERVALUE($C$4))*((BD:BD&lt;=$C$4+$D$4)*(BD:BD&gt;$C$4-$D$4))))</f>
        <v>9</v>
      </c>
      <c r="AE23" s="21">
        <f t="shared" si="8"/>
        <v>112.5</v>
      </c>
      <c r="AF23" s="23" cm="1">
        <f t="array" ref="AF23">COUNT(_xlfn._xlws.FILTER(BA:BA,(BA:BA=F23)*(BC:BC=_xlfn.NUMBERVALUE($C$4))*((BD:BD&gt;$C$4+$D$4)*(BD:BD&lt;$C$4+2*$D$4)+(BD:BD&lt;$C$4-$D$4)*(BD:BD&gt;$C$4-2*$D$4))))</f>
        <v>1</v>
      </c>
      <c r="AG23" s="21">
        <f t="shared" si="9"/>
        <v>12.5</v>
      </c>
      <c r="AH23" s="23" cm="1">
        <f t="array" ref="AH23">COUNT(_xlfn._xlws.FILTER(BA:BA,(BA:BA=F23)*(BC:BC=_xlfn.NUMBERVALUE($C$4))*((BD:BD&gt;$C$4+2*$D$4)*(BD:BD&lt;$C$4+3*$D$4)+(BD:BD&lt;$C$4-2*$D$4)*(BD:BD&gt;$C$4-3*$D$4))))</f>
        <v>0</v>
      </c>
      <c r="AI23" s="21">
        <f t="shared" si="10"/>
        <v>0</v>
      </c>
      <c r="AJ23" s="23" cm="1">
        <f t="array" ref="AJ23">COUNT(_xlfn._xlws.FILTER(BA:BA,(BA:BA=F23)*(BC:BC=_xlfn.NUMBERVALUE($C$4))*((BD:BD&gt;$C$4+3*$D$4)+(BD:BD&lt;$C$4-3*$D$4))))</f>
        <v>1</v>
      </c>
      <c r="AK23" s="21">
        <f t="shared" si="11"/>
        <v>12.5</v>
      </c>
      <c r="AL23" s="23">
        <v>8</v>
      </c>
      <c r="AM23" s="23" cm="1">
        <f t="array" ref="AM23">COUNT(_xlfn._xlws.FILTER(BA:BA,(BA:BA=F23)*(BC:BC=_xlfn.NUMBERVALUE($C$5))*((BD:BD&lt;=$C$5+$D$5)*(BD:BD&gt;$C$5-$D$5))))</f>
        <v>3</v>
      </c>
      <c r="AN23" s="21">
        <f t="shared" si="12"/>
        <v>37.5</v>
      </c>
      <c r="AO23" s="23" cm="1">
        <f t="array" ref="AO23">COUNT(_xlfn._xlws.FILTER(BA:BA,(BA:BA=F23)*(BC:BC=_xlfn.NUMBERVALUE($C$5))*((BD:BD&gt;$C$5+$D$5)*(BD:BD&lt;$C$5+2*$D$5)+(BD:BD&lt;$C$5-$D$5)*(BD:BD&gt;$C$5-2*$D$5))))</f>
        <v>5</v>
      </c>
      <c r="AP23" s="21">
        <f t="shared" si="13"/>
        <v>62.5</v>
      </c>
      <c r="AQ23" s="23" cm="1">
        <f t="array" ref="AQ23">COUNT(_xlfn._xlws.FILTER(BA:BA,(BA:BA=F23)*(BC:BC=_xlfn.NUMBERVALUE($C$5))*((BD:BD&gt;$C$5+2*$D$5)*(BD:BD&lt;$C$5+3*$D$5)+(BD:BD&lt;$C$5-2*$D$5)*(BD:BD&gt;$C$5-3*$D$5))))</f>
        <v>0</v>
      </c>
      <c r="AR23" s="21">
        <f t="shared" si="14"/>
        <v>0</v>
      </c>
      <c r="AS23" s="23" cm="1">
        <f t="array" ref="AS23">COUNT(_xlfn._xlws.FILTER(BA:BA,(BA:BA=F23)*(BC:BC=_xlfn.NUMBERVALUE($C$5))*((BD:BD&gt;$C$5+3*$D$5)+(BD:BD&lt;$C$5-3*$D$5))))</f>
        <v>0</v>
      </c>
      <c r="AT23" s="21">
        <f t="shared" si="15"/>
        <v>0</v>
      </c>
      <c r="AW23" s="1">
        <v>2.1</v>
      </c>
      <c r="AX23" s="1">
        <v>2.1</v>
      </c>
      <c r="AY23" t="str">
        <v>R080_HI782-0_0.0_LOT0367_PWW49.2_QC.xlsx</v>
      </c>
      <c r="AZ23" t="str">
        <v>LOT0367</v>
      </c>
      <c r="BA23" s="3">
        <v>2</v>
      </c>
      <c r="BB23" t="str">
        <v>P/Final</v>
      </c>
      <c r="BC23">
        <v>0</v>
      </c>
      <c r="BD23" s="10">
        <v>0.6</v>
      </c>
      <c r="BE23" s="10">
        <v>0</v>
      </c>
      <c r="BF23" s="10">
        <v>0</v>
      </c>
      <c r="BG23" s="13">
        <v>45300</v>
      </c>
      <c r="BH23" t="str">
        <v>LOT0898</v>
      </c>
      <c r="BI23">
        <v>22</v>
      </c>
      <c r="BJ23">
        <v>0</v>
      </c>
      <c r="BK23">
        <v>15</v>
      </c>
      <c r="BL23">
        <v>35</v>
      </c>
      <c r="BM23">
        <v>60</v>
      </c>
      <c r="BN23" t="str">
        <v/>
      </c>
      <c r="BO23" t="str">
        <v/>
      </c>
      <c r="BP23" s="10">
        <v>0</v>
      </c>
      <c r="BQ23" s="10">
        <v>15.904347826086955</v>
      </c>
      <c r="BR23" s="10">
        <v>36.510869565217384</v>
      </c>
      <c r="BS23" s="10">
        <v>59.065957446808518</v>
      </c>
      <c r="BT23" s="10" t="str">
        <v/>
      </c>
      <c r="BU23" s="10" t="str">
        <v/>
      </c>
      <c r="BV23">
        <v>0</v>
      </c>
      <c r="BW23">
        <v>0</v>
      </c>
      <c r="BX23">
        <v>0</v>
      </c>
      <c r="BY23">
        <v>0</v>
      </c>
      <c r="BZ23">
        <v>1</v>
      </c>
      <c r="CA23">
        <v>1</v>
      </c>
      <c r="CB23">
        <v>1</v>
      </c>
      <c r="CC23">
        <v>7.8975000000000009</v>
      </c>
      <c r="CD23">
        <v>1.3674999999999999</v>
      </c>
      <c r="CE23">
        <v>1.3674999999999999</v>
      </c>
      <c r="CF23">
        <v>1.3674999999999999</v>
      </c>
      <c r="CG23">
        <v>1.3674999999999999</v>
      </c>
      <c r="CH23">
        <v>1.3674999999999999</v>
      </c>
      <c r="CI23">
        <v>1.3674999999999999</v>
      </c>
      <c r="CJ23">
        <v>10.324999999999999</v>
      </c>
      <c r="CK23">
        <v>1.8574999999999999</v>
      </c>
      <c r="CL23">
        <v>1.8574999999999999</v>
      </c>
      <c r="CM23">
        <v>1.8574999999999999</v>
      </c>
      <c r="CN23">
        <v>1.8574999999999999</v>
      </c>
      <c r="CO23">
        <v>1.8574999999999999</v>
      </c>
      <c r="CP23">
        <v>1.8574999999999999</v>
      </c>
      <c r="CQ23">
        <v>12.0175</v>
      </c>
      <c r="CR23">
        <v>2.4699999999999998</v>
      </c>
      <c r="CS23">
        <v>2.4699999999999998</v>
      </c>
      <c r="CT23">
        <v>2.4699999999999998</v>
      </c>
      <c r="CU23">
        <v>2.4699999999999998</v>
      </c>
      <c r="CV23">
        <v>2.4699999999999998</v>
      </c>
      <c r="CW23">
        <v>2.4699999999999998</v>
      </c>
      <c r="CX23">
        <v>-67.41</v>
      </c>
      <c r="CY23" s="1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 s="10" cm="1">
        <f t="array" ref="DL23">IF($BJ23&lt;&gt;"",IFERROR(AVERAGE(_xlfn._xlws.FILTER($BD:$BD,($BA:$BA=$BI23)*($BC:$BC=_xlfn.NUMBERVALUE($BJ23)))),""),"")</f>
        <v>0</v>
      </c>
      <c r="DM23" s="10" cm="1">
        <f t="array" ref="DM23">IF($BK23&lt;&gt;"",IFERROR(AVERAGE(_xlfn._xlws.FILTER($BD:$BD,($BA:$BA=$BI23)*($BC:$BC=_xlfn.NUMBERVALUE($BK23)))),""),"")</f>
        <v>15.904347826086955</v>
      </c>
      <c r="DN23" s="10" cm="1">
        <f t="array" ref="DN23">IF($BL23&lt;&gt;"",IFERROR(AVERAGE(_xlfn._xlws.FILTER($BD:$BD,($BA:$BA=$BI23)*($BC:$BC=_xlfn.NUMBERVALUE($BL23)))),""),"")</f>
        <v>36.510869565217384</v>
      </c>
      <c r="DO23" s="10" cm="1">
        <f t="array" ref="DO23">IF($BM23&lt;&gt;"",IFERROR(AVERAGE(_xlfn._xlws.FILTER($BD:$BD,($BA:$BA=$BI23)*($BC:$BC=_xlfn.NUMBERVALUE($BM23)))),""),"")</f>
        <v>59.065957446808518</v>
      </c>
      <c r="DP23" s="10" t="str" cm="1">
        <f t="array" ref="DP23">IF($BN23&lt;&gt;"",IFERROR(AVERAGE(_xlfn._xlws.FILTER($BD:$BD,($BA:$BA=$BI23)*($BC:$BC=_xlfn.NUMBERVALUE($BN23)))),""),"")</f>
        <v/>
      </c>
      <c r="DQ23" s="10" t="str" cm="1">
        <f t="array" ref="DQ23">IF($BO23&lt;&gt;"",IFERROR(AVERAGE(_xlfn._xlws.FILTER($BD:$BD,($BA:$BA=$BI23)*($BC:$BC=_xlfn.NUMBERVALUE($BO23)))),""),"")</f>
        <v/>
      </c>
      <c r="DR23">
        <v>0</v>
      </c>
      <c r="DS23" s="10">
        <v>0</v>
      </c>
      <c r="DT23" s="10">
        <v>0</v>
      </c>
      <c r="DU23" s="10">
        <v>0</v>
      </c>
      <c r="DV23" s="10" t="str">
        <v/>
      </c>
      <c r="DW23" s="10" t="str">
        <v/>
      </c>
      <c r="DX23" cm="1">
        <f t="array" ref="DX23">IF($BJ23&lt;&gt;"",IFERROR(AVERAGE(_xlfn._xlws.FILTER($BE:$BE,($BA:$BA=$BI23)*($BC:$BC=_xlfn.NUMBERVALUE($BJ23)))),""),"")</f>
        <v>0</v>
      </c>
      <c r="DY23" s="10" cm="1">
        <f t="array" ref="DY23">IF($BK23&lt;&gt;"",IFERROR(AVERAGE(_xlfn._xlws.FILTER($BE:$BE,($BA:$BA=$BI23)*($BC:$BC=_xlfn.NUMBERVALUE($BK23)))),""),"")</f>
        <v>0</v>
      </c>
      <c r="DZ23" s="10" cm="1">
        <f t="array" ref="DZ23">IF($BL23&lt;&gt;"",IFERROR(AVERAGE(_xlfn._xlws.FILTER($BE:$BE,($BA:$BA=$BI23)*($BC:$BC=_xlfn.NUMBERVALUE($BL23)))),""),"")</f>
        <v>0</v>
      </c>
      <c r="EA23" s="10" cm="1">
        <f t="array" ref="EA23">IF($BM23&lt;&gt;"",IFERROR(AVERAGE(_xlfn._xlws.FILTER($BE:$BE,($BA:$BA=$BI23)*($BC:$BC=_xlfn.NUMBERVALUE($BM23)))),""),"")</f>
        <v>0</v>
      </c>
      <c r="EB23" s="10" t="str" cm="1">
        <f t="array" ref="EB23">IF($BN23&lt;&gt;"",IFERROR(AVERAGE(_xlfn._xlws.FILTER($BE:$BE,($BA:$BA=$BI23)*($BC:$BC=_xlfn.NUMBERVALUE($BN23)))),""),"")</f>
        <v/>
      </c>
      <c r="EC23" s="10" t="str" cm="1">
        <f t="array" ref="EC23">IF($BO23&lt;&gt;"",IFERROR(AVERAGE(_xlfn._xlws.FILTER($BE:$BE,($BA:$BA=$BI23)*($BC:$BC=_xlfn.NUMBERVALUE($BO23)))),""),"")</f>
        <v/>
      </c>
    </row>
    <row r="24" spans="6:133" x14ac:dyDescent="0.3">
      <c r="F24" s="23">
        <v>13</v>
      </c>
      <c r="G24" s="23" t="str">
        <v>LOT0634</v>
      </c>
      <c r="H24" s="32">
        <v>45491</v>
      </c>
      <c r="I24" s="23">
        <v>29</v>
      </c>
      <c r="J24" s="23">
        <v>34</v>
      </c>
      <c r="K24" s="23">
        <v>2</v>
      </c>
      <c r="L24" s="23" cm="1">
        <f t="array" ref="L24">COUNT(_xlfn._xlws.FILTER(BA:BA,(BA:BA=_xlfn.NUMBERVALUE(F24))*(BC:BC=_xlfn.NUMBERVALUE($C$2))*((BD:BD&lt;$C$2+$D$2)*(BD:BD&gt;$C$2-$D$2))))</f>
        <v>2</v>
      </c>
      <c r="M24" s="21">
        <f t="shared" si="0"/>
        <v>100</v>
      </c>
      <c r="N24" s="23" cm="1">
        <f t="array" ref="N24">COUNT(_xlfn._xlws.FILTER(BA:BA,(BA:BA=_xlfn.NUMBERVALUE(F24))*(BC:BC=_xlfn.NUMBERVALUE($C$2))*((BD:BD&gt;$C$2+$D$2)*(BD:BD&lt;$C$2+2*$D$2)+(BD:BD&lt;$C$2-$D$2)*(BD:BD&gt;$C$2-2*$D$2))))</f>
        <v>0</v>
      </c>
      <c r="O24" s="21">
        <f t="shared" si="1"/>
        <v>0</v>
      </c>
      <c r="P24" s="23" cm="1">
        <f t="array" ref="P24">COUNT(_xlfn._xlws.FILTER(BA:BA,(BA:BA=_xlfn.NUMBERVALUE(F24))*(BC:BC=_xlfn.NUMBERVALUE($C$2))*((BD:BD&gt;$C$2+2*$D$2)*(BD:BD&lt;$C$2+3*$D$2)+(BD:BD&lt;$C$2-2*$D$2)*(BD:BD&gt;$C$2-3*$D$2))))</f>
        <v>0</v>
      </c>
      <c r="Q24" s="21">
        <f t="shared" si="17"/>
        <v>0</v>
      </c>
      <c r="R24" s="23" cm="1">
        <f t="array" ref="R24">COUNT(_xlfn._xlws.FILTER(BA:BA,(BA:BA=_xlfn.NUMBERVALUE(F24))*(BC:BC=_xlfn.NUMBERVALUE($C$2))*((BD:BD&gt;$C$2+3*$D$2)+(BD:BD&lt;$C$2-3*$D$2))))</f>
        <v>0</v>
      </c>
      <c r="S24" s="21">
        <f t="shared" si="3"/>
        <v>0</v>
      </c>
      <c r="T24" s="23">
        <v>10</v>
      </c>
      <c r="U24" s="23" cm="1">
        <f t="array" ref="U24">COUNT(_xlfn._xlws.FILTER(BA:BA,(BA:BA=F24)*(BC:BC=_xlfn.NUMBERVALUE($C$3))*((BD:BD&lt;=$C$3+$D$3)*(BD:BD&gt;$C$3-$D$3))))</f>
        <v>10</v>
      </c>
      <c r="V24" s="21">
        <f t="shared" si="16"/>
        <v>100</v>
      </c>
      <c r="W24" s="23" cm="1">
        <f t="array" ref="W24">COUNT(_xlfn._xlws.FILTER(BA:BA,(BA:BA=F24)*(BC:BC=_xlfn.NUMBERVALUE($C$3))*((BD:BD&gt;$C$3+$D$3)*(BD:BD&lt;$C$3+2*$D$3)+(BD:BD&lt;$C$3-$D$3)*(BD:BD&gt;$C$3-2*$D$3))))</f>
        <v>0</v>
      </c>
      <c r="X24" s="21">
        <f t="shared" si="5"/>
        <v>0</v>
      </c>
      <c r="Y24" s="23" cm="1">
        <f t="array" ref="Y24">COUNT(_xlfn._xlws.FILTER(BA:BA,(BA:BA=F24)*(BC:BC=_xlfn.NUMBERVALUE($C$3))*((BD:BD&gt;$C$3+2*$D$3)*(BD:BD&lt;$C$3+3*$D$3)+(BD:BD&lt;$C$3-2*$D$3)*(BD:BD&gt;$C$3-3*$D$3))))</f>
        <v>0</v>
      </c>
      <c r="Z24" s="21">
        <f t="shared" si="6"/>
        <v>0</v>
      </c>
      <c r="AA24" s="23" cm="1">
        <f t="array" ref="AA24">COUNT(_xlfn._xlws.FILTER(BA:BA,(BA:BA=F24)*(BC:BC=_xlfn.NUMBERVALUE($C$3))*((BD:BD&gt;=$C$3+3*$D$3)+(BD:BD&lt;=$C$3-3*$D$3))))</f>
        <v>0</v>
      </c>
      <c r="AB24" s="21">
        <f t="shared" si="7"/>
        <v>0</v>
      </c>
      <c r="AC24" s="23">
        <v>10</v>
      </c>
      <c r="AD24" s="23" cm="1">
        <f t="array" ref="AD24">COUNT(_xlfn._xlws.FILTER(BA:BA,(BA:BA=F24)*(BC:BC=_xlfn.NUMBERVALUE($C$4))*((BD:BD&lt;=$C$4+$D$4)*(BD:BD&gt;$C$4-$D$4))))</f>
        <v>4</v>
      </c>
      <c r="AE24" s="21">
        <f t="shared" si="8"/>
        <v>40</v>
      </c>
      <c r="AF24" s="23" cm="1">
        <f t="array" ref="AF24">COUNT(_xlfn._xlws.FILTER(BA:BA,(BA:BA=F24)*(BC:BC=_xlfn.NUMBERVALUE($C$4))*((BD:BD&gt;$C$4+$D$4)*(BD:BD&lt;$C$4+2*$D$4)+(BD:BD&lt;$C$4-$D$4)*(BD:BD&gt;$C$4-2*$D$4))))</f>
        <v>7</v>
      </c>
      <c r="AG24" s="21">
        <f t="shared" si="9"/>
        <v>70</v>
      </c>
      <c r="AH24" s="23" cm="1">
        <f t="array" ref="AH24">COUNT(_xlfn._xlws.FILTER(BA:BA,(BA:BA=F24)*(BC:BC=_xlfn.NUMBERVALUE($C$4))*((BD:BD&gt;$C$4+2*$D$4)*(BD:BD&lt;$C$4+3*$D$4)+(BD:BD&lt;$C$4-2*$D$4)*(BD:BD&gt;$C$4-3*$D$4))))</f>
        <v>0</v>
      </c>
      <c r="AI24" s="21">
        <f t="shared" si="10"/>
        <v>0</v>
      </c>
      <c r="AJ24" s="23" cm="1">
        <f t="array" ref="AJ24">COUNT(_xlfn._xlws.FILTER(BA:BA,(BA:BA=F24)*(BC:BC=_xlfn.NUMBERVALUE($C$4))*((BD:BD&gt;$C$4+3*$D$4)+(BD:BD&lt;$C$4-3*$D$4))))</f>
        <v>0</v>
      </c>
      <c r="AK24" s="21">
        <f t="shared" si="11"/>
        <v>0</v>
      </c>
      <c r="AL24" s="23">
        <v>10</v>
      </c>
      <c r="AM24" s="23" cm="1">
        <f t="array" ref="AM24">COUNT(_xlfn._xlws.FILTER(BA:BA,(BA:BA=F24)*(BC:BC=_xlfn.NUMBERVALUE($C$5))*((BD:BD&lt;=$C$5+$D$5)*(BD:BD&gt;$C$5-$D$5))))</f>
        <v>7</v>
      </c>
      <c r="AN24" s="21">
        <f t="shared" si="12"/>
        <v>70</v>
      </c>
      <c r="AO24" s="23" cm="1">
        <f t="array" ref="AO24">COUNT(_xlfn._xlws.FILTER(BA:BA,(BA:BA=F24)*(BC:BC=_xlfn.NUMBERVALUE($C$5))*((BD:BD&gt;$C$5+$D$5)*(BD:BD&lt;$C$5+2*$D$5)+(BD:BD&lt;$C$5-$D$5)*(BD:BD&gt;$C$5-2*$D$5))))</f>
        <v>4</v>
      </c>
      <c r="AP24" s="21">
        <f t="shared" si="13"/>
        <v>40</v>
      </c>
      <c r="AQ24" s="23" cm="1">
        <f t="array" ref="AQ24">COUNT(_xlfn._xlws.FILTER(BA:BA,(BA:BA=F24)*(BC:BC=_xlfn.NUMBERVALUE($C$5))*((BD:BD&gt;$C$5+2*$D$5)*(BD:BD&lt;$C$5+3*$D$5)+(BD:BD&lt;$C$5-2*$D$5)*(BD:BD&gt;$C$5-3*$D$5))))</f>
        <v>0</v>
      </c>
      <c r="AR24" s="21">
        <f t="shared" si="14"/>
        <v>0</v>
      </c>
      <c r="AS24" s="23" cm="1">
        <f t="array" ref="AS24">COUNT(_xlfn._xlws.FILTER(BA:BA,(BA:BA=F24)*(BC:BC=_xlfn.NUMBERVALUE($C$5))*((BD:BD&gt;$C$5+3*$D$5)+(BD:BD&lt;$C$5-3*$D$5))))</f>
        <v>0</v>
      </c>
      <c r="AT24" s="21">
        <f t="shared" si="15"/>
        <v>0</v>
      </c>
      <c r="AW24" s="1">
        <v>2.1</v>
      </c>
      <c r="AX24" s="1">
        <v>2.1</v>
      </c>
      <c r="AY24" t="str">
        <v>R080_HI782-0_0.0_LOT0367_PWW49.2_QC.xlsx</v>
      </c>
      <c r="AZ24" t="str">
        <v>LOT0367</v>
      </c>
      <c r="BA24" s="3">
        <v>2</v>
      </c>
      <c r="BB24" t="str">
        <v>P/Final</v>
      </c>
      <c r="BC24">
        <v>0</v>
      </c>
      <c r="BD24" s="10">
        <v>0.7</v>
      </c>
      <c r="BE24" s="10">
        <v>0</v>
      </c>
      <c r="BF24" s="10">
        <v>0</v>
      </c>
      <c r="BG24" s="13">
        <v>45300</v>
      </c>
      <c r="BH24" t="str">
        <v>LOT0941</v>
      </c>
      <c r="BI24">
        <v>23</v>
      </c>
      <c r="BJ24">
        <v>0</v>
      </c>
      <c r="BK24">
        <v>15</v>
      </c>
      <c r="BL24">
        <v>35</v>
      </c>
      <c r="BM24">
        <v>60</v>
      </c>
      <c r="BN24" t="str">
        <v/>
      </c>
      <c r="BO24" t="str">
        <v/>
      </c>
      <c r="BP24" s="10">
        <v>4.0000000000000001E-3</v>
      </c>
      <c r="BQ24" s="10">
        <v>14.548717948717945</v>
      </c>
      <c r="BR24" s="10">
        <v>33.854878048780478</v>
      </c>
      <c r="BS24" s="10">
        <v>56.452272727272707</v>
      </c>
      <c r="BT24" s="10" t="str">
        <v/>
      </c>
      <c r="BU24" s="10" t="str">
        <v/>
      </c>
      <c r="BV24">
        <v>0</v>
      </c>
      <c r="BW24">
        <v>0</v>
      </c>
      <c r="BX24">
        <v>0</v>
      </c>
      <c r="BY24">
        <v>0</v>
      </c>
      <c r="BZ24">
        <v>1</v>
      </c>
      <c r="CA24">
        <v>1</v>
      </c>
      <c r="CB24">
        <v>1</v>
      </c>
      <c r="CC24">
        <v>7.8975000000000009</v>
      </c>
      <c r="CD24">
        <v>1.3674999999999999</v>
      </c>
      <c r="CE24">
        <v>1.3674999999999999</v>
      </c>
      <c r="CF24">
        <v>1.3674999999999999</v>
      </c>
      <c r="CG24">
        <v>1.3674999999999999</v>
      </c>
      <c r="CH24">
        <v>1.3674999999999999</v>
      </c>
      <c r="CI24">
        <v>1.3674999999999999</v>
      </c>
      <c r="CJ24">
        <v>10.324999999999999</v>
      </c>
      <c r="CK24">
        <v>1.8574999999999999</v>
      </c>
      <c r="CL24">
        <v>1.8574999999999999</v>
      </c>
      <c r="CM24">
        <v>1.8574999999999999</v>
      </c>
      <c r="CN24">
        <v>1.8574999999999999</v>
      </c>
      <c r="CO24">
        <v>1.8574999999999999</v>
      </c>
      <c r="CP24">
        <v>1.8574999999999999</v>
      </c>
      <c r="CQ24">
        <v>12.0175</v>
      </c>
      <c r="CR24">
        <v>2.4699999999999998</v>
      </c>
      <c r="CS24">
        <v>2.4699999999999998</v>
      </c>
      <c r="CT24">
        <v>2.4699999999999998</v>
      </c>
      <c r="CU24">
        <v>2.4699999999999998</v>
      </c>
      <c r="CV24">
        <v>2.4699999999999998</v>
      </c>
      <c r="CW24">
        <v>2.4699999999999998</v>
      </c>
      <c r="CX24">
        <v>-67.41</v>
      </c>
      <c r="CY24" s="1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 s="10" cm="1">
        <f t="array" ref="DL24">IF($BJ24&lt;&gt;"",IFERROR(AVERAGE(_xlfn._xlws.FILTER($BD:$BD,($BA:$BA=$BI24)*($BC:$BC=_xlfn.NUMBERVALUE($BJ24)))),""),"")</f>
        <v>4.0000000000000001E-3</v>
      </c>
      <c r="DM24" s="10" cm="1">
        <f t="array" ref="DM24">IF($BK24&lt;&gt;"",IFERROR(AVERAGE(_xlfn._xlws.FILTER($BD:$BD,($BA:$BA=$BI24)*($BC:$BC=_xlfn.NUMBERVALUE($BK24)))),""),"")</f>
        <v>14.548717948717945</v>
      </c>
      <c r="DN24" s="10" cm="1">
        <f t="array" ref="DN24">IF($BL24&lt;&gt;"",IFERROR(AVERAGE(_xlfn._xlws.FILTER($BD:$BD,($BA:$BA=$BI24)*($BC:$BC=_xlfn.NUMBERVALUE($BL24)))),""),"")</f>
        <v>33.854878048780478</v>
      </c>
      <c r="DO24" s="10" cm="1">
        <f t="array" ref="DO24">IF($BM24&lt;&gt;"",IFERROR(AVERAGE(_xlfn._xlws.FILTER($BD:$BD,($BA:$BA=$BI24)*($BC:$BC=_xlfn.NUMBERVALUE($BM24)))),""),"")</f>
        <v>56.452272727272707</v>
      </c>
      <c r="DP24" s="10" t="str" cm="1">
        <f t="array" ref="DP24">IF($BN24&lt;&gt;"",IFERROR(AVERAGE(_xlfn._xlws.FILTER($BD:$BD,($BA:$BA=$BI24)*($BC:$BC=_xlfn.NUMBERVALUE($BN24)))),""),"")</f>
        <v/>
      </c>
      <c r="DQ24" s="10" t="str" cm="1">
        <f t="array" ref="DQ24">IF($BO24&lt;&gt;"",IFERROR(AVERAGE(_xlfn._xlws.FILTER($BD:$BD,($BA:$BA=$BI24)*($BC:$BC=_xlfn.NUMBERVALUE($BO24)))),""),"")</f>
        <v/>
      </c>
      <c r="DR24">
        <v>0</v>
      </c>
      <c r="DS24" s="10">
        <v>12.176923076923082</v>
      </c>
      <c r="DT24" s="10">
        <v>28.359756097560982</v>
      </c>
      <c r="DU24" s="10">
        <v>47.748863636363666</v>
      </c>
      <c r="DV24" s="10" t="str">
        <v/>
      </c>
      <c r="DW24" s="10" t="str">
        <v/>
      </c>
      <c r="DX24" cm="1">
        <f t="array" ref="DX24">IF($BJ24&lt;&gt;"",IFERROR(AVERAGE(_xlfn._xlws.FILTER($BE:$BE,($BA:$BA=$BI24)*($BC:$BC=_xlfn.NUMBERVALUE($BJ24)))),""),"")</f>
        <v>0</v>
      </c>
      <c r="DY24" s="10" cm="1">
        <f t="array" ref="DY24">IF($BK24&lt;&gt;"",IFERROR(AVERAGE(_xlfn._xlws.FILTER($BE:$BE,($BA:$BA=$BI24)*($BC:$BC=_xlfn.NUMBERVALUE($BK24)))),""),"")</f>
        <v>12.176923076923082</v>
      </c>
      <c r="DZ24" s="10" cm="1">
        <f t="array" ref="DZ24">IF($BL24&lt;&gt;"",IFERROR(AVERAGE(_xlfn._xlws.FILTER($BE:$BE,($BA:$BA=$BI24)*($BC:$BC=_xlfn.NUMBERVALUE($BL24)))),""),"")</f>
        <v>28.359756097560982</v>
      </c>
      <c r="EA24" s="10" cm="1">
        <f t="array" ref="EA24">IF($BM24&lt;&gt;"",IFERROR(AVERAGE(_xlfn._xlws.FILTER($BE:$BE,($BA:$BA=$BI24)*($BC:$BC=_xlfn.NUMBERVALUE($BM24)))),""),"")</f>
        <v>47.748863636363666</v>
      </c>
      <c r="EB24" s="10" t="str" cm="1">
        <f t="array" ref="EB24">IF($BN24&lt;&gt;"",IFERROR(AVERAGE(_xlfn._xlws.FILTER($BE:$BE,($BA:$BA=$BI24)*($BC:$BC=_xlfn.NUMBERVALUE($BN24)))),""),"")</f>
        <v/>
      </c>
      <c r="EC24" s="10" t="str" cm="1">
        <f t="array" ref="EC24">IF($BO24&lt;&gt;"",IFERROR(AVERAGE(_xlfn._xlws.FILTER($BE:$BE,($BA:$BA=$BI24)*($BC:$BC=_xlfn.NUMBERVALUE($BO24)))),""),"")</f>
        <v/>
      </c>
    </row>
    <row r="25" spans="6:133" x14ac:dyDescent="0.3">
      <c r="F25" s="23">
        <v>14</v>
      </c>
      <c r="G25" s="23" t="str">
        <v>LOT0652</v>
      </c>
      <c r="H25" s="32">
        <v>45505</v>
      </c>
      <c r="I25" s="23">
        <v>31</v>
      </c>
      <c r="J25" s="23">
        <v>114</v>
      </c>
      <c r="K25" s="23">
        <v>4</v>
      </c>
      <c r="L25" s="23" cm="1">
        <f t="array" ref="L25">COUNT(_xlfn._xlws.FILTER(BA:BA,(BA:BA=_xlfn.NUMBERVALUE(F25))*(BC:BC=_xlfn.NUMBERVALUE($C$2))*((BD:BD&lt;$C$2+$D$2)*(BD:BD&gt;$C$2-$D$2))))</f>
        <v>4</v>
      </c>
      <c r="M25" s="21">
        <f t="shared" si="0"/>
        <v>100</v>
      </c>
      <c r="N25" s="23" cm="1">
        <f t="array" ref="N25">COUNT(_xlfn._xlws.FILTER(BA:BA,(BA:BA=_xlfn.NUMBERVALUE(F25))*(BC:BC=_xlfn.NUMBERVALUE($C$2))*((BD:BD&gt;$C$2+$D$2)*(BD:BD&lt;$C$2+2*$D$2)+(BD:BD&lt;$C$2-$D$2)*(BD:BD&gt;$C$2-2*$D$2))))</f>
        <v>0</v>
      </c>
      <c r="O25" s="21">
        <f t="shared" si="1"/>
        <v>0</v>
      </c>
      <c r="P25" s="23" cm="1">
        <f t="array" ref="P25">COUNT(_xlfn._xlws.FILTER(BA:BA,(BA:BA=_xlfn.NUMBERVALUE(F25))*(BC:BC=_xlfn.NUMBERVALUE($C$2))*((BD:BD&gt;$C$2+2*$D$2)*(BD:BD&lt;$C$2+3*$D$2)+(BD:BD&lt;$C$2-2*$D$2)*(BD:BD&gt;$C$2-3*$D$2))))</f>
        <v>0</v>
      </c>
      <c r="Q25" s="21">
        <f t="shared" si="17"/>
        <v>0</v>
      </c>
      <c r="R25" s="23" cm="1">
        <f t="array" ref="R25">COUNT(_xlfn._xlws.FILTER(BA:BA,(BA:BA=_xlfn.NUMBERVALUE(F25))*(BC:BC=_xlfn.NUMBERVALUE($C$2))*((BD:BD&gt;$C$2+3*$D$2)+(BD:BD&lt;$C$2-3*$D$2))))</f>
        <v>0</v>
      </c>
      <c r="S25" s="21">
        <f t="shared" si="3"/>
        <v>0</v>
      </c>
      <c r="T25" s="23">
        <v>35</v>
      </c>
      <c r="U25" s="23" cm="1">
        <f t="array" ref="U25">COUNT(_xlfn._xlws.FILTER(BA:BA,(BA:BA=F25)*(BC:BC=_xlfn.NUMBERVALUE($C$3))*((BD:BD&lt;=$C$3+$D$3)*(BD:BD&gt;$C$3-$D$3))))</f>
        <v>25</v>
      </c>
      <c r="V25" s="21">
        <f t="shared" si="16"/>
        <v>71.428571428571431</v>
      </c>
      <c r="W25" s="23" cm="1">
        <f t="array" ref="W25">COUNT(_xlfn._xlws.FILTER(BA:BA,(BA:BA=F25)*(BC:BC=_xlfn.NUMBERVALUE($C$3))*((BD:BD&gt;$C$3+$D$3)*(BD:BD&lt;$C$3+2*$D$3)+(BD:BD&lt;$C$3-$D$3)*(BD:BD&gt;$C$3-2*$D$3))))</f>
        <v>10</v>
      </c>
      <c r="X25" s="21">
        <f t="shared" si="5"/>
        <v>28.571428571428569</v>
      </c>
      <c r="Y25" s="23" cm="1">
        <f t="array" ref="Y25">COUNT(_xlfn._xlws.FILTER(BA:BA,(BA:BA=F25)*(BC:BC=_xlfn.NUMBERVALUE($C$3))*((BD:BD&gt;$C$3+2*$D$3)*(BD:BD&lt;$C$3+3*$D$3)+(BD:BD&lt;$C$3-2*$D$3)*(BD:BD&gt;$C$3-3*$D$3))))</f>
        <v>0</v>
      </c>
      <c r="Z25" s="21">
        <f t="shared" si="6"/>
        <v>0</v>
      </c>
      <c r="AA25" s="23" cm="1">
        <f t="array" ref="AA25">COUNT(_xlfn._xlws.FILTER(BA:BA,(BA:BA=F25)*(BC:BC=_xlfn.NUMBERVALUE($C$3))*((BD:BD&gt;=$C$3+3*$D$3)+(BD:BD&lt;=$C$3-3*$D$3))))</f>
        <v>0</v>
      </c>
      <c r="AB25" s="21">
        <f t="shared" si="7"/>
        <v>0</v>
      </c>
      <c r="AC25" s="23">
        <v>35</v>
      </c>
      <c r="AD25" s="23" cm="1">
        <f t="array" ref="AD25">COUNT(_xlfn._xlws.FILTER(BA:BA,(BA:BA=F25)*(BC:BC=_xlfn.NUMBERVALUE($C$4))*((BD:BD&lt;=$C$4+$D$4)*(BD:BD&gt;$C$4-$D$4))))</f>
        <v>20</v>
      </c>
      <c r="AE25" s="21">
        <f t="shared" si="8"/>
        <v>57.142857142857139</v>
      </c>
      <c r="AF25" s="23" cm="1">
        <f t="array" ref="AF25">COUNT(_xlfn._xlws.FILTER(BA:BA,(BA:BA=F25)*(BC:BC=_xlfn.NUMBERVALUE($C$4))*((BD:BD&gt;$C$4+$D$4)*(BD:BD&lt;$C$4+2*$D$4)+(BD:BD&lt;$C$4-$D$4)*(BD:BD&gt;$C$4-2*$D$4))))</f>
        <v>15</v>
      </c>
      <c r="AG25" s="21">
        <f t="shared" si="9"/>
        <v>42.857142857142854</v>
      </c>
      <c r="AH25" s="23" cm="1">
        <f t="array" ref="AH25">COUNT(_xlfn._xlws.FILTER(BA:BA,(BA:BA=F25)*(BC:BC=_xlfn.NUMBERVALUE($C$4))*((BD:BD&gt;$C$4+2*$D$4)*(BD:BD&lt;$C$4+3*$D$4)+(BD:BD&lt;$C$4-2*$D$4)*(BD:BD&gt;$C$4-3*$D$4))))</f>
        <v>3</v>
      </c>
      <c r="AI25" s="21">
        <f t="shared" si="10"/>
        <v>8.5714285714285712</v>
      </c>
      <c r="AJ25" s="23" cm="1">
        <f t="array" ref="AJ25">COUNT(_xlfn._xlws.FILTER(BA:BA,(BA:BA=F25)*(BC:BC=_xlfn.NUMBERVALUE($C$4))*((BD:BD&gt;$C$4+3*$D$4)+(BD:BD&lt;$C$4-3*$D$4))))</f>
        <v>0</v>
      </c>
      <c r="AK25" s="21">
        <f t="shared" si="11"/>
        <v>0</v>
      </c>
      <c r="AL25" s="23">
        <v>35</v>
      </c>
      <c r="AM25" s="23" cm="1">
        <f t="array" ref="AM25">COUNT(_xlfn._xlws.FILTER(BA:BA,(BA:BA=F25)*(BC:BC=_xlfn.NUMBERVALUE($C$5))*((BD:BD&lt;=$C$5+$D$5)*(BD:BD&gt;$C$5-$D$5))))</f>
        <v>22</v>
      </c>
      <c r="AN25" s="21">
        <f t="shared" si="12"/>
        <v>62.857142857142854</v>
      </c>
      <c r="AO25" s="23" cm="1">
        <f t="array" ref="AO25">COUNT(_xlfn._xlws.FILTER(BA:BA,(BA:BA=F25)*(BC:BC=_xlfn.NUMBERVALUE($C$5))*((BD:BD&gt;$C$5+$D$5)*(BD:BD&lt;$C$5+2*$D$5)+(BD:BD&lt;$C$5-$D$5)*(BD:BD&gt;$C$5-2*$D$5))))</f>
        <v>12</v>
      </c>
      <c r="AP25" s="21">
        <f t="shared" si="13"/>
        <v>34.285714285714285</v>
      </c>
      <c r="AQ25" s="23" cm="1">
        <f t="array" ref="AQ25">COUNT(_xlfn._xlws.FILTER(BA:BA,(BA:BA=F25)*(BC:BC=_xlfn.NUMBERVALUE($C$5))*((BD:BD&gt;$C$5+2*$D$5)*(BD:BD&lt;$C$5+3*$D$5)+(BD:BD&lt;$C$5-2*$D$5)*(BD:BD&gt;$C$5-3*$D$5))))</f>
        <v>3</v>
      </c>
      <c r="AR25" s="21">
        <f t="shared" si="14"/>
        <v>8.5714285714285712</v>
      </c>
      <c r="AS25" s="23" cm="1">
        <f t="array" ref="AS25">COUNT(_xlfn._xlws.FILTER(BA:BA,(BA:BA=F25)*(BC:BC=_xlfn.NUMBERVALUE($C$5))*((BD:BD&gt;$C$5+3*$D$5)+(BD:BD&lt;$C$5-3*$D$5))))</f>
        <v>0</v>
      </c>
      <c r="AT25" s="21">
        <f t="shared" si="15"/>
        <v>0</v>
      </c>
      <c r="AW25" s="1">
        <v>2.1</v>
      </c>
      <c r="AX25" s="1">
        <v>2.1</v>
      </c>
      <c r="AY25" t="str">
        <v>R080_HI782-0_0.0_LOT0367_PWW49.2_QC.xlsx</v>
      </c>
      <c r="AZ25" t="str">
        <v>LOT0367</v>
      </c>
      <c r="BA25" s="3">
        <v>2</v>
      </c>
      <c r="BB25" t="str">
        <v>P/Final</v>
      </c>
      <c r="BC25">
        <v>15</v>
      </c>
      <c r="BD25" s="10">
        <v>16.399999999999999</v>
      </c>
      <c r="BE25" s="10">
        <v>0</v>
      </c>
      <c r="BF25" s="10">
        <v>0</v>
      </c>
      <c r="BG25" s="13">
        <v>45300</v>
      </c>
      <c r="BH25" t="str">
        <v>LOT0970</v>
      </c>
      <c r="BI25">
        <v>24</v>
      </c>
      <c r="BJ25">
        <v>0</v>
      </c>
      <c r="BK25">
        <v>15</v>
      </c>
      <c r="BL25">
        <v>35</v>
      </c>
      <c r="BM25">
        <v>60</v>
      </c>
      <c r="BN25" t="str">
        <v/>
      </c>
      <c r="BO25" t="str">
        <v/>
      </c>
      <c r="BP25" s="10">
        <v>0.01</v>
      </c>
      <c r="BQ25" s="10">
        <v>15.769491525423728</v>
      </c>
      <c r="BR25" s="10">
        <v>37.678873239436619</v>
      </c>
      <c r="BS25" s="10">
        <v>60.522580645161284</v>
      </c>
      <c r="BT25" s="10" t="str">
        <v/>
      </c>
      <c r="BU25" s="10" t="str">
        <v/>
      </c>
      <c r="BV25">
        <v>0</v>
      </c>
      <c r="BW25">
        <v>0</v>
      </c>
      <c r="BX25">
        <v>0</v>
      </c>
      <c r="BY25">
        <v>0</v>
      </c>
      <c r="BZ25">
        <v>1</v>
      </c>
      <c r="CA25">
        <v>1</v>
      </c>
      <c r="CB25">
        <v>1</v>
      </c>
      <c r="CC25">
        <v>7.8975000000000009</v>
      </c>
      <c r="CD25">
        <v>1.3674999999999999</v>
      </c>
      <c r="CE25">
        <v>1.3674999999999999</v>
      </c>
      <c r="CF25">
        <v>1.3674999999999999</v>
      </c>
      <c r="CG25">
        <v>1.3674999999999999</v>
      </c>
      <c r="CH25">
        <v>1.3674999999999999</v>
      </c>
      <c r="CI25">
        <v>1.3674999999999999</v>
      </c>
      <c r="CJ25">
        <v>10.324999999999999</v>
      </c>
      <c r="CK25">
        <v>1.8574999999999999</v>
      </c>
      <c r="CL25">
        <v>1.8574999999999999</v>
      </c>
      <c r="CM25">
        <v>1.8574999999999999</v>
      </c>
      <c r="CN25">
        <v>1.8574999999999999</v>
      </c>
      <c r="CO25">
        <v>1.8574999999999999</v>
      </c>
      <c r="CP25">
        <v>1.8574999999999999</v>
      </c>
      <c r="CQ25">
        <v>12.0175</v>
      </c>
      <c r="CR25">
        <v>2.4699999999999998</v>
      </c>
      <c r="CS25">
        <v>2.4699999999999998</v>
      </c>
      <c r="CT25">
        <v>2.4699999999999998</v>
      </c>
      <c r="CU25">
        <v>2.4699999999999998</v>
      </c>
      <c r="CV25">
        <v>2.4699999999999998</v>
      </c>
      <c r="CW25">
        <v>2.4699999999999998</v>
      </c>
      <c r="CX25">
        <v>-67.41</v>
      </c>
      <c r="CY25" s="1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 s="10" cm="1">
        <f t="array" ref="DL25">IF($BJ25&lt;&gt;"",IFERROR(AVERAGE(_xlfn._xlws.FILTER($BD:$BD,($BA:$BA=$BI25)*($BC:$BC=_xlfn.NUMBERVALUE($BJ25)))),""),"")</f>
        <v>0.01</v>
      </c>
      <c r="DM25" s="10" cm="1">
        <f t="array" ref="DM25">IF($BK25&lt;&gt;"",IFERROR(AVERAGE(_xlfn._xlws.FILTER($BD:$BD,($BA:$BA=$BI25)*($BC:$BC=_xlfn.NUMBERVALUE($BK25)))),""),"")</f>
        <v>15.769491525423728</v>
      </c>
      <c r="DN25" s="10" cm="1">
        <f t="array" ref="DN25">IF($BL25&lt;&gt;"",IFERROR(AVERAGE(_xlfn._xlws.FILTER($BD:$BD,($BA:$BA=$BI25)*($BC:$BC=_xlfn.NUMBERVALUE($BL25)))),""),"")</f>
        <v>37.678873239436619</v>
      </c>
      <c r="DO25" s="10" cm="1">
        <f t="array" ref="DO25">IF($BM25&lt;&gt;"",IFERROR(AVERAGE(_xlfn._xlws.FILTER($BD:$BD,($BA:$BA=$BI25)*($BC:$BC=_xlfn.NUMBERVALUE($BM25)))),""),"")</f>
        <v>60.522580645161284</v>
      </c>
      <c r="DP25" s="10" t="str" cm="1">
        <f t="array" ref="DP25">IF($BN25&lt;&gt;"",IFERROR(AVERAGE(_xlfn._xlws.FILTER($BD:$BD,($BA:$BA=$BI25)*($BC:$BC=_xlfn.NUMBERVALUE($BN25)))),""),"")</f>
        <v/>
      </c>
      <c r="DQ25" s="10" t="str" cm="1">
        <f t="array" ref="DQ25">IF($BO25&lt;&gt;"",IFERROR(AVERAGE(_xlfn._xlws.FILTER($BD:$BD,($BA:$BA=$BI25)*($BC:$BC=_xlfn.NUMBERVALUE($BO25)))),""),"")</f>
        <v/>
      </c>
      <c r="DR25">
        <v>0.01</v>
      </c>
      <c r="DS25" s="10">
        <v>15.801694915254235</v>
      </c>
      <c r="DT25" s="10">
        <v>37.777464788732395</v>
      </c>
      <c r="DU25" s="10">
        <v>60.659677419354843</v>
      </c>
      <c r="DV25" s="10" t="str">
        <v/>
      </c>
      <c r="DW25" s="10" t="str">
        <v/>
      </c>
      <c r="DX25" cm="1">
        <f t="array" ref="DX25">IF($BJ25&lt;&gt;"",IFERROR(AVERAGE(_xlfn._xlws.FILTER($BE:$BE,($BA:$BA=$BI25)*($BC:$BC=_xlfn.NUMBERVALUE($BJ25)))),""),"")</f>
        <v>0.01</v>
      </c>
      <c r="DY25" s="10" cm="1">
        <f t="array" ref="DY25">IF($BK25&lt;&gt;"",IFERROR(AVERAGE(_xlfn._xlws.FILTER($BE:$BE,($BA:$BA=$BI25)*($BC:$BC=_xlfn.NUMBERVALUE($BK25)))),""),"")</f>
        <v>15.801694915254235</v>
      </c>
      <c r="DZ25" s="10" cm="1">
        <f t="array" ref="DZ25">IF($BL25&lt;&gt;"",IFERROR(AVERAGE(_xlfn._xlws.FILTER($BE:$BE,($BA:$BA=$BI25)*($BC:$BC=_xlfn.NUMBERVALUE($BL25)))),""),"")</f>
        <v>37.777464788732395</v>
      </c>
      <c r="EA25" s="10" cm="1">
        <f t="array" ref="EA25">IF($BM25&lt;&gt;"",IFERROR(AVERAGE(_xlfn._xlws.FILTER($BE:$BE,($BA:$BA=$BI25)*($BC:$BC=_xlfn.NUMBERVALUE($BM25)))),""),"")</f>
        <v>60.659677419354843</v>
      </c>
      <c r="EB25" s="10" t="str" cm="1">
        <f t="array" ref="EB25">IF($BN25&lt;&gt;"",IFERROR(AVERAGE(_xlfn._xlws.FILTER($BE:$BE,($BA:$BA=$BI25)*($BC:$BC=_xlfn.NUMBERVALUE($BN25)))),""),"")</f>
        <v/>
      </c>
      <c r="EC25" s="10" t="str" cm="1">
        <f t="array" ref="EC25">IF($BO25&lt;&gt;"",IFERROR(AVERAGE(_xlfn._xlws.FILTER($BE:$BE,($BA:$BA=$BI25)*($BC:$BC=_xlfn.NUMBERVALUE($BO25)))),""),"")</f>
        <v/>
      </c>
    </row>
    <row r="26" spans="6:133" x14ac:dyDescent="0.3">
      <c r="F26" s="23">
        <v>15</v>
      </c>
      <c r="G26" s="23" t="str">
        <v>LOT0654</v>
      </c>
      <c r="H26" s="32">
        <v>45511</v>
      </c>
      <c r="I26" s="23">
        <v>32</v>
      </c>
      <c r="J26" s="23">
        <v>55</v>
      </c>
      <c r="K26" s="23">
        <v>2</v>
      </c>
      <c r="L26" s="23" cm="1">
        <f t="array" ref="L26">COUNT(_xlfn._xlws.FILTER(BA:BA,(BA:BA=_xlfn.NUMBERVALUE(F26))*(BC:BC=_xlfn.NUMBERVALUE($C$2))*((BD:BD&lt;$C$2+$D$2)*(BD:BD&gt;$C$2-$D$2))))</f>
        <v>2</v>
      </c>
      <c r="M26" s="21">
        <f t="shared" si="0"/>
        <v>100</v>
      </c>
      <c r="N26" s="23" cm="1">
        <f t="array" ref="N26">COUNT(_xlfn._xlws.FILTER(BA:BA,(BA:BA=_xlfn.NUMBERVALUE(F26))*(BC:BC=_xlfn.NUMBERVALUE($C$2))*((BD:BD&gt;$C$2+$D$2)*(BD:BD&lt;$C$2+2*$D$2)+(BD:BD&lt;$C$2-$D$2)*(BD:BD&gt;$C$2-2*$D$2))))</f>
        <v>0</v>
      </c>
      <c r="O26" s="21">
        <f t="shared" si="1"/>
        <v>0</v>
      </c>
      <c r="P26" s="23" cm="1">
        <f t="array" ref="P26">COUNT(_xlfn._xlws.FILTER(BA:BA,(BA:BA=_xlfn.NUMBERVALUE(F26))*(BC:BC=_xlfn.NUMBERVALUE($C$2))*((BD:BD&gt;$C$2+2*$D$2)*(BD:BD&lt;$C$2+3*$D$2)+(BD:BD&lt;$C$2-2*$D$2)*(BD:BD&gt;$C$2-3*$D$2))))</f>
        <v>0</v>
      </c>
      <c r="Q26" s="21">
        <f t="shared" si="17"/>
        <v>0</v>
      </c>
      <c r="R26" s="23" cm="1">
        <f t="array" ref="R26">COUNT(_xlfn._xlws.FILTER(BA:BA,(BA:BA=_xlfn.NUMBERVALUE(F26))*(BC:BC=_xlfn.NUMBERVALUE($C$2))*((BD:BD&gt;$C$2+3*$D$2)+(BD:BD&lt;$C$2-3*$D$2))))</f>
        <v>0</v>
      </c>
      <c r="S26" s="21">
        <f t="shared" si="3"/>
        <v>0</v>
      </c>
      <c r="T26" s="23">
        <v>17</v>
      </c>
      <c r="U26" s="23" cm="1">
        <f t="array" ref="U26">COUNT(_xlfn._xlws.FILTER(BA:BA,(BA:BA=F26)*(BC:BC=_xlfn.NUMBERVALUE($C$3))*((BD:BD&lt;=$C$3+$D$3)*(BD:BD&gt;$C$3-$D$3))))</f>
        <v>11</v>
      </c>
      <c r="V26" s="21">
        <f t="shared" si="16"/>
        <v>64.705882352941174</v>
      </c>
      <c r="W26" s="23" cm="1">
        <f t="array" ref="W26">COUNT(_xlfn._xlws.FILTER(BA:BA,(BA:BA=F26)*(BC:BC=_xlfn.NUMBERVALUE($C$3))*((BD:BD&gt;$C$3+$D$3)*(BD:BD&lt;$C$3+2*$D$3)+(BD:BD&lt;$C$3-$D$3)*(BD:BD&gt;$C$3-2*$D$3))))</f>
        <v>5</v>
      </c>
      <c r="X26" s="21">
        <f t="shared" si="5"/>
        <v>29.411764705882355</v>
      </c>
      <c r="Y26" s="23" cm="1">
        <f t="array" ref="Y26">COUNT(_xlfn._xlws.FILTER(BA:BA,(BA:BA=F26)*(BC:BC=_xlfn.NUMBERVALUE($C$3))*((BD:BD&gt;$C$3+2*$D$3)*(BD:BD&lt;$C$3+3*$D$3)+(BD:BD&lt;$C$3-2*$D$3)*(BD:BD&gt;$C$3-3*$D$3))))</f>
        <v>1</v>
      </c>
      <c r="Z26" s="21">
        <f t="shared" si="6"/>
        <v>5.8823529411764701</v>
      </c>
      <c r="AA26" s="23" cm="1">
        <f t="array" ref="AA26">COUNT(_xlfn._xlws.FILTER(BA:BA,(BA:BA=F26)*(BC:BC=_xlfn.NUMBERVALUE($C$3))*((BD:BD&gt;=$C$3+3*$D$3)+(BD:BD&lt;=$C$3-3*$D$3))))</f>
        <v>0</v>
      </c>
      <c r="AB26" s="21">
        <f t="shared" si="7"/>
        <v>0</v>
      </c>
      <c r="AC26" s="23">
        <v>17</v>
      </c>
      <c r="AD26" s="23" cm="1">
        <f t="array" ref="AD26">COUNT(_xlfn._xlws.FILTER(BA:BA,(BA:BA=F26)*(BC:BC=_xlfn.NUMBERVALUE($C$4))*((BD:BD&lt;=$C$4+$D$4)*(BD:BD&gt;$C$4-$D$4))))</f>
        <v>11</v>
      </c>
      <c r="AE26" s="21">
        <f t="shared" si="8"/>
        <v>64.705882352941174</v>
      </c>
      <c r="AF26" s="23" cm="1">
        <f t="array" ref="AF26">COUNT(_xlfn._xlws.FILTER(BA:BA,(BA:BA=F26)*(BC:BC=_xlfn.NUMBERVALUE($C$4))*((BD:BD&gt;$C$4+$D$4)*(BD:BD&lt;$C$4+2*$D$4)+(BD:BD&lt;$C$4-$D$4)*(BD:BD&gt;$C$4-2*$D$4))))</f>
        <v>8</v>
      </c>
      <c r="AG26" s="21">
        <f t="shared" si="9"/>
        <v>47.058823529411761</v>
      </c>
      <c r="AH26" s="23" cm="1">
        <f t="array" ref="AH26">COUNT(_xlfn._xlws.FILTER(BA:BA,(BA:BA=F26)*(BC:BC=_xlfn.NUMBERVALUE($C$4))*((BD:BD&gt;$C$4+2*$D$4)*(BD:BD&lt;$C$4+3*$D$4)+(BD:BD&lt;$C$4-2*$D$4)*(BD:BD&gt;$C$4-3*$D$4))))</f>
        <v>0</v>
      </c>
      <c r="AI26" s="21">
        <f t="shared" si="10"/>
        <v>0</v>
      </c>
      <c r="AJ26" s="23" cm="1">
        <f t="array" ref="AJ26">COUNT(_xlfn._xlws.FILTER(BA:BA,(BA:BA=F26)*(BC:BC=_xlfn.NUMBERVALUE($C$4))*((BD:BD&gt;$C$4+3*$D$4)+(BD:BD&lt;$C$4-3*$D$4))))</f>
        <v>0</v>
      </c>
      <c r="AK26" s="21">
        <f t="shared" si="11"/>
        <v>0</v>
      </c>
      <c r="AL26" s="23">
        <v>17</v>
      </c>
      <c r="AM26" s="23" cm="1">
        <f t="array" ref="AM26">COUNT(_xlfn._xlws.FILTER(BA:BA,(BA:BA=F26)*(BC:BC=_xlfn.NUMBERVALUE($C$5))*((BD:BD&lt;=$C$5+$D$5)*(BD:BD&gt;$C$5-$D$5))))</f>
        <v>6</v>
      </c>
      <c r="AN26" s="21">
        <f t="shared" si="12"/>
        <v>35.294117647058826</v>
      </c>
      <c r="AO26" s="23" cm="1">
        <f t="array" ref="AO26">COUNT(_xlfn._xlws.FILTER(BA:BA,(BA:BA=F26)*(BC:BC=_xlfn.NUMBERVALUE($C$5))*((BD:BD&gt;$C$5+$D$5)*(BD:BD&lt;$C$5+2*$D$5)+(BD:BD&lt;$C$5-$D$5)*(BD:BD&gt;$C$5-2*$D$5))))</f>
        <v>7</v>
      </c>
      <c r="AP26" s="21">
        <f t="shared" si="13"/>
        <v>41.17647058823529</v>
      </c>
      <c r="AQ26" s="23" cm="1">
        <f t="array" ref="AQ26">COUNT(_xlfn._xlws.FILTER(BA:BA,(BA:BA=F26)*(BC:BC=_xlfn.NUMBERVALUE($C$5))*((BD:BD&gt;$C$5+2*$D$5)*(BD:BD&lt;$C$5+3*$D$5)+(BD:BD&lt;$C$5-2*$D$5)*(BD:BD&gt;$C$5-3*$D$5))))</f>
        <v>3</v>
      </c>
      <c r="AR26" s="21">
        <f t="shared" si="14"/>
        <v>17.647058823529413</v>
      </c>
      <c r="AS26" s="23" cm="1">
        <f t="array" ref="AS26">COUNT(_xlfn._xlws.FILTER(BA:BA,(BA:BA=F26)*(BC:BC=_xlfn.NUMBERVALUE($C$5))*((BD:BD&gt;$C$5+3*$D$5)+(BD:BD&lt;$C$5-3*$D$5))))</f>
        <v>1</v>
      </c>
      <c r="AT26" s="21">
        <f t="shared" si="15"/>
        <v>5.8823529411764701</v>
      </c>
      <c r="AW26" s="1">
        <v>2.1</v>
      </c>
      <c r="AX26" s="1">
        <v>2.1</v>
      </c>
      <c r="AY26" t="str">
        <v>R080_HI782-0_0.0_LOT0367_PWW49.2_QC.xlsx</v>
      </c>
      <c r="AZ26" t="str">
        <v>LOT0367</v>
      </c>
      <c r="BA26" s="3">
        <v>2</v>
      </c>
      <c r="BB26" t="str">
        <v>P/Final</v>
      </c>
      <c r="BC26">
        <v>15</v>
      </c>
      <c r="BD26" s="10">
        <v>16</v>
      </c>
      <c r="BE26" s="10">
        <v>0</v>
      </c>
      <c r="BF26" s="10">
        <v>0</v>
      </c>
      <c r="BG26" s="13">
        <v>45300</v>
      </c>
      <c r="BH26" t="str">
        <v>LOT0972</v>
      </c>
      <c r="BI26">
        <v>25</v>
      </c>
      <c r="BJ26">
        <v>0</v>
      </c>
      <c r="BK26">
        <v>15</v>
      </c>
      <c r="BL26">
        <v>35</v>
      </c>
      <c r="BM26">
        <v>60</v>
      </c>
      <c r="BN26" t="str">
        <v/>
      </c>
      <c r="BO26" t="str">
        <v/>
      </c>
      <c r="BP26" s="10">
        <v>0</v>
      </c>
      <c r="BQ26" s="10">
        <v>15.727027027027033</v>
      </c>
      <c r="BR26" s="10">
        <v>36.597368421052629</v>
      </c>
      <c r="BS26" s="10">
        <v>58.949999999999989</v>
      </c>
      <c r="BT26" s="10" t="str">
        <v/>
      </c>
      <c r="BU26" s="10" t="str">
        <v/>
      </c>
      <c r="BV26">
        <v>0</v>
      </c>
      <c r="BW26">
        <v>0</v>
      </c>
      <c r="BX26">
        <v>0</v>
      </c>
      <c r="BY26">
        <v>0</v>
      </c>
      <c r="BZ26">
        <v>1</v>
      </c>
      <c r="CA26">
        <v>1</v>
      </c>
      <c r="CB26">
        <v>1</v>
      </c>
      <c r="CC26">
        <v>7.8975000000000009</v>
      </c>
      <c r="CD26">
        <v>1.3674999999999999</v>
      </c>
      <c r="CE26">
        <v>1.3674999999999999</v>
      </c>
      <c r="CF26">
        <v>1.3674999999999999</v>
      </c>
      <c r="CG26">
        <v>1.3674999999999999</v>
      </c>
      <c r="CH26">
        <v>1.3674999999999999</v>
      </c>
      <c r="CI26">
        <v>1.3674999999999999</v>
      </c>
      <c r="CJ26">
        <v>10.324999999999999</v>
      </c>
      <c r="CK26">
        <v>1.8574999999999999</v>
      </c>
      <c r="CL26">
        <v>1.8574999999999999</v>
      </c>
      <c r="CM26">
        <v>1.8574999999999999</v>
      </c>
      <c r="CN26">
        <v>1.8574999999999999</v>
      </c>
      <c r="CO26">
        <v>1.8574999999999999</v>
      </c>
      <c r="CP26">
        <v>1.8574999999999999</v>
      </c>
      <c r="CQ26">
        <v>12.0175</v>
      </c>
      <c r="CR26">
        <v>2.4699999999999998</v>
      </c>
      <c r="CS26">
        <v>2.4699999999999998</v>
      </c>
      <c r="CT26">
        <v>2.4699999999999998</v>
      </c>
      <c r="CU26">
        <v>2.4699999999999998</v>
      </c>
      <c r="CV26">
        <v>2.4699999999999998</v>
      </c>
      <c r="CW26">
        <v>2.4699999999999998</v>
      </c>
      <c r="CX26">
        <v>-67.41</v>
      </c>
      <c r="CY26" s="1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 s="10" cm="1">
        <f t="array" ref="DL26">IF($BJ26&lt;&gt;"",IFERROR(AVERAGE(_xlfn._xlws.FILTER($BD:$BD,($BA:$BA=$BI26)*($BC:$BC=_xlfn.NUMBERVALUE($BJ26)))),""),"")</f>
        <v>0</v>
      </c>
      <c r="DM26" s="10" cm="1">
        <f t="array" ref="DM26">IF($BK26&lt;&gt;"",IFERROR(AVERAGE(_xlfn._xlws.FILTER($BD:$BD,($BA:$BA=$BI26)*($BC:$BC=_xlfn.NUMBERVALUE($BK26)))),""),"")</f>
        <v>15.727027027027033</v>
      </c>
      <c r="DN26" s="10" cm="1">
        <f t="array" ref="DN26">IF($BL26&lt;&gt;"",IFERROR(AVERAGE(_xlfn._xlws.FILTER($BD:$BD,($BA:$BA=$BI26)*($BC:$BC=_xlfn.NUMBERVALUE($BL26)))),""),"")</f>
        <v>36.597368421052629</v>
      </c>
      <c r="DO26" s="10" cm="1">
        <f t="array" ref="DO26">IF($BM26&lt;&gt;"",IFERROR(AVERAGE(_xlfn._xlws.FILTER($BD:$BD,($BA:$BA=$BI26)*($BC:$BC=_xlfn.NUMBERVALUE($BM26)))),""),"")</f>
        <v>58.949999999999989</v>
      </c>
      <c r="DP26" s="10" t="str" cm="1">
        <f t="array" ref="DP26">IF($BN26&lt;&gt;"",IFERROR(AVERAGE(_xlfn._xlws.FILTER($BD:$BD,($BA:$BA=$BI26)*($BC:$BC=_xlfn.NUMBERVALUE($BN26)))),""),"")</f>
        <v/>
      </c>
      <c r="DQ26" s="10" t="str" cm="1">
        <f t="array" ref="DQ26">IF($BO26&lt;&gt;"",IFERROR(AVERAGE(_xlfn._xlws.FILTER($BD:$BD,($BA:$BA=$BI26)*($BC:$BC=_xlfn.NUMBERVALUE($BO26)))),""),"")</f>
        <v/>
      </c>
      <c r="DR26">
        <v>0</v>
      </c>
      <c r="DS26" s="10">
        <v>15.77027027027027</v>
      </c>
      <c r="DT26" s="10">
        <v>36.686842105263153</v>
      </c>
      <c r="DU26" s="10">
        <v>59.191176470588239</v>
      </c>
      <c r="DV26" s="10" t="str">
        <v/>
      </c>
      <c r="DW26" s="10" t="str">
        <v/>
      </c>
      <c r="DX26" cm="1">
        <f t="array" ref="DX26">IF($BJ26&lt;&gt;"",IFERROR(AVERAGE(_xlfn._xlws.FILTER($BE:$BE,($BA:$BA=$BI26)*($BC:$BC=_xlfn.NUMBERVALUE($BJ26)))),""),"")</f>
        <v>0</v>
      </c>
      <c r="DY26" s="10" cm="1">
        <f t="array" ref="DY26">IF($BK26&lt;&gt;"",IFERROR(AVERAGE(_xlfn._xlws.FILTER($BE:$BE,($BA:$BA=$BI26)*($BC:$BC=_xlfn.NUMBERVALUE($BK26)))),""),"")</f>
        <v>15.77027027027027</v>
      </c>
      <c r="DZ26" s="10" cm="1">
        <f t="array" ref="DZ26">IF($BL26&lt;&gt;"",IFERROR(AVERAGE(_xlfn._xlws.FILTER($BE:$BE,($BA:$BA=$BI26)*($BC:$BC=_xlfn.NUMBERVALUE($BL26)))),""),"")</f>
        <v>36.686842105263153</v>
      </c>
      <c r="EA26" s="10" cm="1">
        <f t="array" ref="EA26">IF($BM26&lt;&gt;"",IFERROR(AVERAGE(_xlfn._xlws.FILTER($BE:$BE,($BA:$BA=$BI26)*($BC:$BC=_xlfn.NUMBERVALUE($BM26)))),""),"")</f>
        <v>59.191176470588239</v>
      </c>
      <c r="EB26" s="10" t="str" cm="1">
        <f t="array" ref="EB26">IF($BN26&lt;&gt;"",IFERROR(AVERAGE(_xlfn._xlws.FILTER($BE:$BE,($BA:$BA=$BI26)*($BC:$BC=_xlfn.NUMBERVALUE($BN26)))),""),"")</f>
        <v/>
      </c>
      <c r="EC26" s="10" t="str" cm="1">
        <f t="array" ref="EC26">IF($BO26&lt;&gt;"",IFERROR(AVERAGE(_xlfn._xlws.FILTER($BE:$BE,($BA:$BA=$BI26)*($BC:$BC=_xlfn.NUMBERVALUE($BO26)))),""),"")</f>
        <v/>
      </c>
    </row>
    <row r="27" spans="6:133" x14ac:dyDescent="0.3">
      <c r="F27" s="23">
        <v>16</v>
      </c>
      <c r="G27" s="23" t="str">
        <v>LOT0667</v>
      </c>
      <c r="H27" s="32">
        <v>45545</v>
      </c>
      <c r="I27" s="23">
        <v>37</v>
      </c>
      <c r="J27" s="23">
        <v>175</v>
      </c>
      <c r="K27" s="23">
        <v>0</v>
      </c>
      <c r="L27" s="23" cm="1">
        <f t="array" ref="L27">COUNT(_xlfn._xlws.FILTER(BA:BA,(BA:BA=_xlfn.NUMBERVALUE(F27))*(BC:BC=_xlfn.NUMBERVALUE($C$2))*((BD:BD&lt;$C$2+$D$2)*(BD:BD&gt;$C$2-$D$2))))</f>
        <v>0</v>
      </c>
      <c r="M27" s="21" t="str">
        <f t="shared" si="0"/>
        <v/>
      </c>
      <c r="N27" s="23" cm="1">
        <f t="array" ref="N27">COUNT(_xlfn._xlws.FILTER(BA:BA,(BA:BA=_xlfn.NUMBERVALUE(F27))*(BC:BC=_xlfn.NUMBERVALUE($C$2))*((BD:BD&gt;$C$2+$D$2)*(BD:BD&lt;$C$2+2*$D$2)+(BD:BD&lt;$C$2-$D$2)*(BD:BD&gt;$C$2-2*$D$2))))</f>
        <v>0</v>
      </c>
      <c r="O27" s="21" t="str">
        <f t="shared" si="1"/>
        <v/>
      </c>
      <c r="P27" s="23" cm="1">
        <f t="array" ref="P27">COUNT(_xlfn._xlws.FILTER(BA:BA,(BA:BA=_xlfn.NUMBERVALUE(F27))*(BC:BC=_xlfn.NUMBERVALUE($C$2))*((BD:BD&gt;$C$2+2*$D$2)*(BD:BD&lt;$C$2+3*$D$2)+(BD:BD&lt;$C$2-2*$D$2)*(BD:BD&gt;$C$2-3*$D$2))))</f>
        <v>0</v>
      </c>
      <c r="Q27" s="21" t="str">
        <f t="shared" si="17"/>
        <v/>
      </c>
      <c r="R27" s="23" cm="1">
        <f t="array" ref="R27">COUNT(_xlfn._xlws.FILTER(BA:BA,(BA:BA=_xlfn.NUMBERVALUE(F27))*(BC:BC=_xlfn.NUMBERVALUE($C$2))*((BD:BD&gt;$C$2+3*$D$2)+(BD:BD&lt;$C$2-3*$D$2))))</f>
        <v>0</v>
      </c>
      <c r="S27" s="21" t="str">
        <f t="shared" si="3"/>
        <v/>
      </c>
      <c r="T27" s="23">
        <v>56</v>
      </c>
      <c r="U27" s="23" cm="1">
        <f t="array" ref="U27">COUNT(_xlfn._xlws.FILTER(BA:BA,(BA:BA=F27)*(BC:BC=_xlfn.NUMBERVALUE($C$3))*((BD:BD&lt;=$C$3+$D$3)*(BD:BD&gt;$C$3-$D$3))))</f>
        <v>18</v>
      </c>
      <c r="V27" s="21">
        <f t="shared" si="16"/>
        <v>32.142857142857146</v>
      </c>
      <c r="W27" s="23" cm="1">
        <f t="array" ref="W27">COUNT(_xlfn._xlws.FILTER(BA:BA,(BA:BA=F27)*(BC:BC=_xlfn.NUMBERVALUE($C$3))*((BD:BD&gt;$C$3+$D$3)*(BD:BD&lt;$C$3+2*$D$3)+(BD:BD&lt;$C$3-$D$3)*(BD:BD&gt;$C$3-2*$D$3))))</f>
        <v>35</v>
      </c>
      <c r="X27" s="21">
        <f t="shared" si="5"/>
        <v>62.5</v>
      </c>
      <c r="Y27" s="23" cm="1">
        <f t="array" ref="Y27">COUNT(_xlfn._xlws.FILTER(BA:BA,(BA:BA=F27)*(BC:BC=_xlfn.NUMBERVALUE($C$3))*((BD:BD&gt;$C$3+2*$D$3)*(BD:BD&lt;$C$3+3*$D$3)+(BD:BD&lt;$C$3-2*$D$3)*(BD:BD&gt;$C$3-3*$D$3))))</f>
        <v>1</v>
      </c>
      <c r="Z27" s="21">
        <f t="shared" si="6"/>
        <v>1.7857142857142856</v>
      </c>
      <c r="AA27" s="23" cm="1">
        <f t="array" ref="AA27">COUNT(_xlfn._xlws.FILTER(BA:BA,(BA:BA=F27)*(BC:BC=_xlfn.NUMBERVALUE($C$3))*((BD:BD&gt;=$C$3+3*$D$3)+(BD:BD&lt;=$C$3-3*$D$3))))</f>
        <v>2</v>
      </c>
      <c r="AB27" s="21">
        <f t="shared" si="7"/>
        <v>3.5714285714285712</v>
      </c>
      <c r="AC27" s="23">
        <v>56</v>
      </c>
      <c r="AD27" s="23" cm="1">
        <f t="array" ref="AD27">COUNT(_xlfn._xlws.FILTER(BA:BA,(BA:BA=F27)*(BC:BC=_xlfn.NUMBERVALUE($C$4))*((BD:BD&lt;=$C$4+$D$4)*(BD:BD&gt;$C$4-$D$4))))</f>
        <v>38</v>
      </c>
      <c r="AE27" s="21">
        <f t="shared" si="8"/>
        <v>67.857142857142861</v>
      </c>
      <c r="AF27" s="23" cm="1">
        <f t="array" ref="AF27">COUNT(_xlfn._xlws.FILTER(BA:BA,(BA:BA=F27)*(BC:BC=_xlfn.NUMBERVALUE($C$4))*((BD:BD&gt;$C$4+$D$4)*(BD:BD&lt;$C$4+2*$D$4)+(BD:BD&lt;$C$4-$D$4)*(BD:BD&gt;$C$4-2*$D$4))))</f>
        <v>21</v>
      </c>
      <c r="AG27" s="21">
        <f t="shared" si="9"/>
        <v>37.5</v>
      </c>
      <c r="AH27" s="23" cm="1">
        <f t="array" ref="AH27">COUNT(_xlfn._xlws.FILTER(BA:BA,(BA:BA=F27)*(BC:BC=_xlfn.NUMBERVALUE($C$4))*((BD:BD&gt;$C$4+2*$D$4)*(BD:BD&lt;$C$4+3*$D$4)+(BD:BD&lt;$C$4-2*$D$4)*(BD:BD&gt;$C$4-3*$D$4))))</f>
        <v>5</v>
      </c>
      <c r="AI27" s="21">
        <f t="shared" si="10"/>
        <v>8.9285714285714288</v>
      </c>
      <c r="AJ27" s="23" cm="1">
        <f t="array" ref="AJ27">COUNT(_xlfn._xlws.FILTER(BA:BA,(BA:BA=F27)*(BC:BC=_xlfn.NUMBERVALUE($C$4))*((BD:BD&gt;$C$4+3*$D$4)+(BD:BD&lt;$C$4-3*$D$4))))</f>
        <v>3</v>
      </c>
      <c r="AK27" s="21">
        <f t="shared" si="11"/>
        <v>5.3571428571428568</v>
      </c>
      <c r="AL27" s="23">
        <v>56</v>
      </c>
      <c r="AM27" s="23" cm="1">
        <f t="array" ref="AM27">COUNT(_xlfn._xlws.FILTER(BA:BA,(BA:BA=F27)*(BC:BC=_xlfn.NUMBERVALUE($C$5))*((BD:BD&lt;=$C$5+$D$5)*(BD:BD&gt;$C$5-$D$5))))</f>
        <v>11</v>
      </c>
      <c r="AN27" s="21">
        <f t="shared" si="12"/>
        <v>19.642857142857142</v>
      </c>
      <c r="AO27" s="23" cm="1">
        <f t="array" ref="AO27">COUNT(_xlfn._xlws.FILTER(BA:BA,(BA:BA=F27)*(BC:BC=_xlfn.NUMBERVALUE($C$5))*((BD:BD&gt;$C$5+$D$5)*(BD:BD&lt;$C$5+2*$D$5)+(BD:BD&lt;$C$5-$D$5)*(BD:BD&gt;$C$5-2*$D$5))))</f>
        <v>22</v>
      </c>
      <c r="AP27" s="21">
        <f t="shared" si="13"/>
        <v>39.285714285714285</v>
      </c>
      <c r="AQ27" s="23" cm="1">
        <f t="array" ref="AQ27">COUNT(_xlfn._xlws.FILTER(BA:BA,(BA:BA=F27)*(BC:BC=_xlfn.NUMBERVALUE($C$5))*((BD:BD&gt;$C$5+2*$D$5)*(BD:BD&lt;$C$5+3*$D$5)+(BD:BD&lt;$C$5-2*$D$5)*(BD:BD&gt;$C$5-3*$D$5))))</f>
        <v>12</v>
      </c>
      <c r="AR27" s="21">
        <f t="shared" si="14"/>
        <v>21.428571428571427</v>
      </c>
      <c r="AS27" s="23" cm="1">
        <f t="array" ref="AS27">COUNT(_xlfn._xlws.FILTER(BA:BA,(BA:BA=F27)*(BC:BC=_xlfn.NUMBERVALUE($C$5))*((BD:BD&gt;$C$5+3*$D$5)+(BD:BD&lt;$C$5-3*$D$5))))</f>
        <v>7</v>
      </c>
      <c r="AT27" s="21">
        <f t="shared" si="15"/>
        <v>12.5</v>
      </c>
      <c r="AW27" s="1">
        <v>2.1</v>
      </c>
      <c r="AX27" s="1">
        <v>2.1</v>
      </c>
      <c r="AY27" t="str">
        <v>R080_HI782-0_0.0_LOT0367_PWW49.2_QC.xlsx</v>
      </c>
      <c r="AZ27" t="str">
        <v>LOT0367</v>
      </c>
      <c r="BA27" s="3">
        <v>2</v>
      </c>
      <c r="BB27" t="str">
        <v>P/Final</v>
      </c>
      <c r="BC27">
        <v>15</v>
      </c>
      <c r="BD27" s="10">
        <v>16.2</v>
      </c>
      <c r="BE27" s="10">
        <v>0</v>
      </c>
      <c r="BF27" s="10">
        <v>0</v>
      </c>
      <c r="BG27" s="13">
        <v>45300</v>
      </c>
      <c r="DL27" s="10" t="str" cm="1">
        <f t="array" ref="DL27">IF($BJ27&lt;&gt;"",IFERROR(AVERAGE(_xlfn._xlws.FILTER($BD:$BD,($BA:$BA=$BI27)*($BC:$BC=_xlfn.NUMBERVALUE($BJ27)))),""),"")</f>
        <v/>
      </c>
      <c r="DM27" s="10" t="str" cm="1">
        <f t="array" ref="DM27">IF($BK27&lt;&gt;"",IFERROR(AVERAGE(_xlfn._xlws.FILTER($BD:$BD,($BA:$BA=$BI27)*($BC:$BC=_xlfn.NUMBERVALUE($BK27)))),""),"")</f>
        <v/>
      </c>
      <c r="DN27" s="10" t="str" cm="1">
        <f t="array" ref="DN27">IF($BL27&lt;&gt;"",IFERROR(AVERAGE(_xlfn._xlws.FILTER($BD:$BD,($BA:$BA=$BI27)*($BC:$BC=_xlfn.NUMBERVALUE($BL27)))),""),"")</f>
        <v/>
      </c>
      <c r="DO27" s="10" t="str" cm="1">
        <f t="array" ref="DO27">IF($BM27&lt;&gt;"",IFERROR(AVERAGE(_xlfn._xlws.FILTER($BD:$BD,($BA:$BA=$BI27)*($BC:$BC=_xlfn.NUMBERVALUE($BM27)))),""),"")</f>
        <v/>
      </c>
      <c r="DP27" s="10" t="str" cm="1">
        <f t="array" ref="DP27">IF($BN27&lt;&gt;"",IFERROR(AVERAGE(_xlfn._xlws.FILTER($BD:$BD,($BA:$BA=$BI27)*($BC:$BC=_xlfn.NUMBERVALUE($BN27)))),""),"")</f>
        <v/>
      </c>
      <c r="DQ27" s="10" t="str" cm="1">
        <f t="array" ref="DQ27">IF($BO27&lt;&gt;"",IFERROR(AVERAGE(_xlfn._xlws.FILTER($BD:$BD,($BA:$BA=$BI27)*($BC:$BC=_xlfn.NUMBERVALUE($BO27)))),""),"")</f>
        <v/>
      </c>
      <c r="DX27" t="str" cm="1">
        <f t="array" ref="DX27">IF($BJ27&lt;&gt;"",IFERROR(AVERAGE(_xlfn._xlws.FILTER($BE:$BE,($BA:$BA=$BI27)*($BC:$BC=_xlfn.NUMBERVALUE($BJ27)))),""),"")</f>
        <v/>
      </c>
      <c r="DY27" s="10" t="str" cm="1">
        <f t="array" ref="DY27">IF($BK27&lt;&gt;"",IFERROR(AVERAGE(_xlfn._xlws.FILTER($BE:$BE,($BA:$BA=$BI27)*($BC:$BC=_xlfn.NUMBERVALUE($BK27)))),""),"")</f>
        <v/>
      </c>
      <c r="DZ27" s="10" t="str" cm="1">
        <f t="array" ref="DZ27">IF($BL27&lt;&gt;"",IFERROR(AVERAGE(_xlfn._xlws.FILTER($BE:$BE,($BA:$BA=$BI27)*($BC:$BC=_xlfn.NUMBERVALUE($BL27)))),""),"")</f>
        <v/>
      </c>
      <c r="EA27" s="10" t="str" cm="1">
        <f t="array" ref="EA27">IF($BM27&lt;&gt;"",IFERROR(AVERAGE(_xlfn._xlws.FILTER($BE:$BE,($BA:$BA=$BI27)*($BC:$BC=_xlfn.NUMBERVALUE($BM27)))),""),"")</f>
        <v/>
      </c>
      <c r="EB27" s="10" t="str" cm="1">
        <f t="array" ref="EB27">IF($BN27&lt;&gt;"",IFERROR(AVERAGE(_xlfn._xlws.FILTER($BE:$BE,($BA:$BA=$BI27)*($BC:$BC=_xlfn.NUMBERVALUE($BN27)))),""),"")</f>
        <v/>
      </c>
      <c r="EC27" s="10" t="str" cm="1">
        <f t="array" ref="EC27">IF($BO27&lt;&gt;"",IFERROR(AVERAGE(_xlfn._xlws.FILTER($BE:$BE,($BA:$BA=$BI27)*($BC:$BC=_xlfn.NUMBERVALUE($BO27)))),""),"")</f>
        <v/>
      </c>
    </row>
    <row r="28" spans="6:133" x14ac:dyDescent="0.3">
      <c r="F28" s="23">
        <v>17</v>
      </c>
      <c r="G28" s="23" t="str">
        <v>LOT0689</v>
      </c>
      <c r="H28" s="32">
        <v>45555</v>
      </c>
      <c r="I28" s="23">
        <v>39</v>
      </c>
      <c r="J28" s="23">
        <v>87</v>
      </c>
      <c r="K28" s="23">
        <v>4</v>
      </c>
      <c r="L28" s="23" cm="1">
        <f t="array" ref="L28">COUNT(_xlfn._xlws.FILTER(BA:BA,(BA:BA=_xlfn.NUMBERVALUE(F28))*(BC:BC=_xlfn.NUMBERVALUE($C$2))*((BD:BD&lt;$C$2+$D$2)*(BD:BD&gt;$C$2-$D$2))))</f>
        <v>4</v>
      </c>
      <c r="M28" s="21">
        <f t="shared" si="0"/>
        <v>100</v>
      </c>
      <c r="N28" s="23" cm="1">
        <f t="array" ref="N28">COUNT(_xlfn._xlws.FILTER(BA:BA,(BA:BA=_xlfn.NUMBERVALUE(F28))*(BC:BC=_xlfn.NUMBERVALUE($C$2))*((BD:BD&gt;$C$2+$D$2)*(BD:BD&lt;$C$2+2*$D$2)+(BD:BD&lt;$C$2-$D$2)*(BD:BD&gt;$C$2-2*$D$2))))</f>
        <v>0</v>
      </c>
      <c r="O28" s="21">
        <f t="shared" si="1"/>
        <v>0</v>
      </c>
      <c r="P28" s="23" cm="1">
        <f t="array" ref="P28">COUNT(_xlfn._xlws.FILTER(BA:BA,(BA:BA=_xlfn.NUMBERVALUE(F28))*(BC:BC=_xlfn.NUMBERVALUE($C$2))*((BD:BD&gt;$C$2+2*$D$2)*(BD:BD&lt;$C$2+3*$D$2)+(BD:BD&lt;$C$2-2*$D$2)*(BD:BD&gt;$C$2-3*$D$2))))</f>
        <v>0</v>
      </c>
      <c r="Q28" s="21">
        <f t="shared" si="17"/>
        <v>0</v>
      </c>
      <c r="R28" s="23" cm="1">
        <f t="array" ref="R28">COUNT(_xlfn._xlws.FILTER(BA:BA,(BA:BA=_xlfn.NUMBERVALUE(F28))*(BC:BC=_xlfn.NUMBERVALUE($C$2))*((BD:BD&gt;$C$2+3*$D$2)+(BD:BD&lt;$C$2-3*$D$2))))</f>
        <v>0</v>
      </c>
      <c r="S28" s="21">
        <f t="shared" si="3"/>
        <v>0</v>
      </c>
      <c r="T28" s="23">
        <v>26</v>
      </c>
      <c r="U28" s="23" cm="1">
        <f t="array" ref="U28">COUNT(_xlfn._xlws.FILTER(BA:BA,(BA:BA=F28)*(BC:BC=_xlfn.NUMBERVALUE($C$3))*((BD:BD&lt;=$C$3+$D$3)*(BD:BD&gt;$C$3-$D$3))))</f>
        <v>18</v>
      </c>
      <c r="V28" s="21">
        <f t="shared" si="16"/>
        <v>69.230769230769226</v>
      </c>
      <c r="W28" s="23" cm="1">
        <f t="array" ref="W28">COUNT(_xlfn._xlws.FILTER(BA:BA,(BA:BA=F28)*(BC:BC=_xlfn.NUMBERVALUE($C$3))*((BD:BD&gt;$C$3+$D$3)*(BD:BD&lt;$C$3+2*$D$3)+(BD:BD&lt;$C$3-$D$3)*(BD:BD&gt;$C$3-2*$D$3))))</f>
        <v>8</v>
      </c>
      <c r="X28" s="21">
        <f t="shared" si="5"/>
        <v>30.76923076923077</v>
      </c>
      <c r="Y28" s="23" cm="1">
        <f t="array" ref="Y28">COUNT(_xlfn._xlws.FILTER(BA:BA,(BA:BA=F28)*(BC:BC=_xlfn.NUMBERVALUE($C$3))*((BD:BD&gt;$C$3+2*$D$3)*(BD:BD&lt;$C$3+3*$D$3)+(BD:BD&lt;$C$3-2*$D$3)*(BD:BD&gt;$C$3-3*$D$3))))</f>
        <v>0</v>
      </c>
      <c r="Z28" s="21">
        <f t="shared" si="6"/>
        <v>0</v>
      </c>
      <c r="AA28" s="23" cm="1">
        <f t="array" ref="AA28">COUNT(_xlfn._xlws.FILTER(BA:BA,(BA:BA=F28)*(BC:BC=_xlfn.NUMBERVALUE($C$3))*((BD:BD&gt;=$C$3+3*$D$3)+(BD:BD&lt;=$C$3-3*$D$3))))</f>
        <v>0</v>
      </c>
      <c r="AB28" s="21">
        <f t="shared" si="7"/>
        <v>0</v>
      </c>
      <c r="AC28" s="23">
        <v>26</v>
      </c>
      <c r="AD28" s="23" cm="1">
        <f t="array" ref="AD28">COUNT(_xlfn._xlws.FILTER(BA:BA,(BA:BA=F28)*(BC:BC=_xlfn.NUMBERVALUE($C$4))*((BD:BD&lt;=$C$4+$D$4)*(BD:BD&gt;$C$4-$D$4))))</f>
        <v>19</v>
      </c>
      <c r="AE28" s="21">
        <f t="shared" si="8"/>
        <v>73.076923076923066</v>
      </c>
      <c r="AF28" s="23" cm="1">
        <f t="array" ref="AF28">COUNT(_xlfn._xlws.FILTER(BA:BA,(BA:BA=F28)*(BC:BC=_xlfn.NUMBERVALUE($C$4))*((BD:BD&gt;$C$4+$D$4)*(BD:BD&lt;$C$4+2*$D$4)+(BD:BD&lt;$C$4-$D$4)*(BD:BD&gt;$C$4-2*$D$4))))</f>
        <v>11</v>
      </c>
      <c r="AG28" s="21">
        <f t="shared" si="9"/>
        <v>42.307692307692307</v>
      </c>
      <c r="AH28" s="23" cm="1">
        <f t="array" ref="AH28">COUNT(_xlfn._xlws.FILTER(BA:BA,(BA:BA=F28)*(BC:BC=_xlfn.NUMBERVALUE($C$4))*((BD:BD&gt;$C$4+2*$D$4)*(BD:BD&lt;$C$4+3*$D$4)+(BD:BD&lt;$C$4-2*$D$4)*(BD:BD&gt;$C$4-3*$D$4))))</f>
        <v>0</v>
      </c>
      <c r="AI28" s="21">
        <f t="shared" si="10"/>
        <v>0</v>
      </c>
      <c r="AJ28" s="23" cm="1">
        <f t="array" ref="AJ28">COUNT(_xlfn._xlws.FILTER(BA:BA,(BA:BA=F28)*(BC:BC=_xlfn.NUMBERVALUE($C$4))*((BD:BD&gt;$C$4+3*$D$4)+(BD:BD&lt;$C$4-3*$D$4))))</f>
        <v>0</v>
      </c>
      <c r="AK28" s="21">
        <f t="shared" si="11"/>
        <v>0</v>
      </c>
      <c r="AL28" s="23">
        <v>26</v>
      </c>
      <c r="AM28" s="23" cm="1">
        <f t="array" ref="AM28">COUNT(_xlfn._xlws.FILTER(BA:BA,(BA:BA=F28)*(BC:BC=_xlfn.NUMBERVALUE($C$5))*((BD:BD&lt;=$C$5+$D$5)*(BD:BD&gt;$C$5-$D$5))))</f>
        <v>15</v>
      </c>
      <c r="AN28" s="21">
        <f t="shared" si="12"/>
        <v>57.692307692307686</v>
      </c>
      <c r="AO28" s="23" cm="1">
        <f t="array" ref="AO28">COUNT(_xlfn._xlws.FILTER(BA:BA,(BA:BA=F28)*(BC:BC=_xlfn.NUMBERVALUE($C$5))*((BD:BD&gt;$C$5+$D$5)*(BD:BD&lt;$C$5+2*$D$5)+(BD:BD&lt;$C$5-$D$5)*(BD:BD&gt;$C$5-2*$D$5))))</f>
        <v>9</v>
      </c>
      <c r="AP28" s="21">
        <f t="shared" si="13"/>
        <v>34.615384615384613</v>
      </c>
      <c r="AQ28" s="23" cm="1">
        <f t="array" ref="AQ28">COUNT(_xlfn._xlws.FILTER(BA:BA,(BA:BA=F28)*(BC:BC=_xlfn.NUMBERVALUE($C$5))*((BD:BD&gt;$C$5+2*$D$5)*(BD:BD&lt;$C$5+3*$D$5)+(BD:BD&lt;$C$5-2*$D$5)*(BD:BD&gt;$C$5-3*$D$5))))</f>
        <v>1</v>
      </c>
      <c r="AR28" s="21">
        <f t="shared" si="14"/>
        <v>3.8461538461538463</v>
      </c>
      <c r="AS28" s="23" cm="1">
        <f t="array" ref="AS28">COUNT(_xlfn._xlws.FILTER(BA:BA,(BA:BA=F28)*(BC:BC=_xlfn.NUMBERVALUE($C$5))*((BD:BD&gt;$C$5+3*$D$5)+(BD:BD&lt;$C$5-3*$D$5))))</f>
        <v>2</v>
      </c>
      <c r="AT28" s="21">
        <f t="shared" si="15"/>
        <v>7.6923076923076925</v>
      </c>
      <c r="AW28" s="1">
        <v>2.1</v>
      </c>
      <c r="AX28" s="1">
        <v>2.1</v>
      </c>
      <c r="AY28" t="str">
        <v>R080_HI782-0_0.0_LOT0367_PWW49.2_QC.xlsx</v>
      </c>
      <c r="AZ28" t="str">
        <v>LOT0367</v>
      </c>
      <c r="BA28" s="3">
        <v>2</v>
      </c>
      <c r="BB28" t="str">
        <v>P/Final</v>
      </c>
      <c r="BC28">
        <v>15</v>
      </c>
      <c r="BD28" s="10">
        <v>16.600000000000001</v>
      </c>
      <c r="BE28" s="10">
        <v>0</v>
      </c>
      <c r="BF28" s="10">
        <v>0</v>
      </c>
      <c r="BG28" s="13">
        <v>45300</v>
      </c>
      <c r="DL28" s="10" t="str" cm="1">
        <f t="array" ref="DL28">IF($BJ28&lt;&gt;"",IFERROR(AVERAGE(_xlfn._xlws.FILTER($BD:$BD,($BA:$BA=$BI28)*($BC:$BC=_xlfn.NUMBERVALUE($BJ28)))),""),"")</f>
        <v/>
      </c>
      <c r="DM28" s="10" t="str" cm="1">
        <f t="array" ref="DM28">IF($BK28&lt;&gt;"",IFERROR(AVERAGE(_xlfn._xlws.FILTER($BD:$BD,($BA:$BA=$BI28)*($BC:$BC=_xlfn.NUMBERVALUE($BK28)))),""),"")</f>
        <v/>
      </c>
      <c r="DN28" s="10" t="str" cm="1">
        <f t="array" ref="DN28">IF($BL28&lt;&gt;"",IFERROR(AVERAGE(_xlfn._xlws.FILTER($BD:$BD,($BA:$BA=$BI28)*($BC:$BC=_xlfn.NUMBERVALUE($BL28)))),""),"")</f>
        <v/>
      </c>
      <c r="DO28" s="10" t="str" cm="1">
        <f t="array" ref="DO28">IF($BM28&lt;&gt;"",IFERROR(AVERAGE(_xlfn._xlws.FILTER($BD:$BD,($BA:$BA=$BI28)*($BC:$BC=_xlfn.NUMBERVALUE($BM28)))),""),"")</f>
        <v/>
      </c>
      <c r="DP28" s="10" t="str" cm="1">
        <f t="array" ref="DP28">IF($BN28&lt;&gt;"",IFERROR(AVERAGE(_xlfn._xlws.FILTER($BD:$BD,($BA:$BA=$BI28)*($BC:$BC=_xlfn.NUMBERVALUE($BN28)))),""),"")</f>
        <v/>
      </c>
      <c r="DQ28" s="10" t="str" cm="1">
        <f t="array" ref="DQ28">IF($BO28&lt;&gt;"",IFERROR(AVERAGE(_xlfn._xlws.FILTER($BD:$BD,($BA:$BA=$BI28)*($BC:$BC=_xlfn.NUMBERVALUE($BO28)))),""),"")</f>
        <v/>
      </c>
      <c r="DX28" t="str" cm="1">
        <f t="array" ref="DX28">IF($BJ28&lt;&gt;"",IFERROR(AVERAGE(_xlfn._xlws.FILTER($BE:$BE,($BA:$BA=$BI28)*($BC:$BC=_xlfn.NUMBERVALUE($BJ28)))),""),"")</f>
        <v/>
      </c>
      <c r="DY28" s="10" t="str" cm="1">
        <f t="array" ref="DY28">IF($BK28&lt;&gt;"",IFERROR(AVERAGE(_xlfn._xlws.FILTER($BE:$BE,($BA:$BA=$BI28)*($BC:$BC=_xlfn.NUMBERVALUE($BK28)))),""),"")</f>
        <v/>
      </c>
      <c r="DZ28" s="10" t="str" cm="1">
        <f t="array" ref="DZ28">IF($BL28&lt;&gt;"",IFERROR(AVERAGE(_xlfn._xlws.FILTER($BE:$BE,($BA:$BA=$BI28)*($BC:$BC=_xlfn.NUMBERVALUE($BL28)))),""),"")</f>
        <v/>
      </c>
      <c r="EA28" s="10" t="str" cm="1">
        <f t="array" ref="EA28">IF($BM28&lt;&gt;"",IFERROR(AVERAGE(_xlfn._xlws.FILTER($BE:$BE,($BA:$BA=$BI28)*($BC:$BC=_xlfn.NUMBERVALUE($BM28)))),""),"")</f>
        <v/>
      </c>
      <c r="EB28" s="10" t="str" cm="1">
        <f t="array" ref="EB28">IF($BN28&lt;&gt;"",IFERROR(AVERAGE(_xlfn._xlws.FILTER($BE:$BE,($BA:$BA=$BI28)*($BC:$BC=_xlfn.NUMBERVALUE($BN28)))),""),"")</f>
        <v/>
      </c>
      <c r="EC28" s="10" t="str" cm="1">
        <f t="array" ref="EC28">IF($BO28&lt;&gt;"",IFERROR(AVERAGE(_xlfn._xlws.FILTER($BE:$BE,($BA:$BA=$BI28)*($BC:$BC=_xlfn.NUMBERVALUE($BO28)))),""),"")</f>
        <v/>
      </c>
    </row>
    <row r="29" spans="6:133" x14ac:dyDescent="0.3">
      <c r="F29" s="23">
        <v>18</v>
      </c>
      <c r="G29" s="23" t="str">
        <v>LOT0696</v>
      </c>
      <c r="H29" s="32">
        <v>45559</v>
      </c>
      <c r="I29" s="23">
        <v>39</v>
      </c>
      <c r="J29" s="23">
        <v>150</v>
      </c>
      <c r="K29" s="23">
        <v>2</v>
      </c>
      <c r="L29" s="23" cm="1">
        <f t="array" ref="L29">COUNT(_xlfn._xlws.FILTER(BA:BA,(BA:BA=_xlfn.NUMBERVALUE(F29))*(BC:BC=_xlfn.NUMBERVALUE($C$2))*((BD:BD&lt;$C$2+$D$2)*(BD:BD&gt;$C$2-$D$2))))</f>
        <v>2</v>
      </c>
      <c r="M29" s="21">
        <f t="shared" si="0"/>
        <v>100</v>
      </c>
      <c r="N29" s="23" cm="1">
        <f t="array" ref="N29">COUNT(_xlfn._xlws.FILTER(BA:BA,(BA:BA=_xlfn.NUMBERVALUE(F29))*(BC:BC=_xlfn.NUMBERVALUE($C$2))*((BD:BD&gt;$C$2+$D$2)*(BD:BD&lt;$C$2+2*$D$2)+(BD:BD&lt;$C$2-$D$2)*(BD:BD&gt;$C$2-2*$D$2))))</f>
        <v>0</v>
      </c>
      <c r="O29" s="21">
        <f t="shared" si="1"/>
        <v>0</v>
      </c>
      <c r="P29" s="23" cm="1">
        <f t="array" ref="P29">COUNT(_xlfn._xlws.FILTER(BA:BA,(BA:BA=_xlfn.NUMBERVALUE(F29))*(BC:BC=_xlfn.NUMBERVALUE($C$2))*((BD:BD&gt;$C$2+2*$D$2)*(BD:BD&lt;$C$2+3*$D$2)+(BD:BD&lt;$C$2-2*$D$2)*(BD:BD&gt;$C$2-3*$D$2))))</f>
        <v>0</v>
      </c>
      <c r="Q29" s="21">
        <f t="shared" si="17"/>
        <v>0</v>
      </c>
      <c r="R29" s="23" cm="1">
        <f t="array" ref="R29">COUNT(_xlfn._xlws.FILTER(BA:BA,(BA:BA=_xlfn.NUMBERVALUE(F29))*(BC:BC=_xlfn.NUMBERVALUE($C$2))*((BD:BD&gt;$C$2+3*$D$2)+(BD:BD&lt;$C$2-3*$D$2))))</f>
        <v>0</v>
      </c>
      <c r="S29" s="21">
        <f t="shared" si="3"/>
        <v>0</v>
      </c>
      <c r="T29" s="23">
        <v>48</v>
      </c>
      <c r="U29" s="23" cm="1">
        <f t="array" ref="U29">COUNT(_xlfn._xlws.FILTER(BA:BA,(BA:BA=F29)*(BC:BC=_xlfn.NUMBERVALUE($C$3))*((BD:BD&lt;=$C$3+$D$3)*(BD:BD&gt;$C$3-$D$3))))</f>
        <v>32</v>
      </c>
      <c r="V29" s="21">
        <f t="shared" si="16"/>
        <v>66.666666666666657</v>
      </c>
      <c r="W29" s="23" cm="1">
        <f t="array" ref="W29">COUNT(_xlfn._xlws.FILTER(BA:BA,(BA:BA=F29)*(BC:BC=_xlfn.NUMBERVALUE($C$3))*((BD:BD&gt;$C$3+$D$3)*(BD:BD&lt;$C$3+2*$D$3)+(BD:BD&lt;$C$3-$D$3)*(BD:BD&gt;$C$3-2*$D$3))))</f>
        <v>13</v>
      </c>
      <c r="X29" s="21">
        <f t="shared" si="5"/>
        <v>27.083333333333332</v>
      </c>
      <c r="Y29" s="23" cm="1">
        <f t="array" ref="Y29">COUNT(_xlfn._xlws.FILTER(BA:BA,(BA:BA=F29)*(BC:BC=_xlfn.NUMBERVALUE($C$3))*((BD:BD&gt;$C$3+2*$D$3)*(BD:BD&lt;$C$3+3*$D$3)+(BD:BD&lt;$C$3-2*$D$3)*(BD:BD&gt;$C$3-3*$D$3))))</f>
        <v>3</v>
      </c>
      <c r="Z29" s="21">
        <f t="shared" si="6"/>
        <v>6.25</v>
      </c>
      <c r="AA29" s="23" cm="1">
        <f t="array" ref="AA29">COUNT(_xlfn._xlws.FILTER(BA:BA,(BA:BA=F29)*(BC:BC=_xlfn.NUMBERVALUE($C$3))*((BD:BD&gt;=$C$3+3*$D$3)+(BD:BD&lt;=$C$3-3*$D$3))))</f>
        <v>0</v>
      </c>
      <c r="AB29" s="21">
        <f t="shared" si="7"/>
        <v>0</v>
      </c>
      <c r="AC29" s="23">
        <v>48</v>
      </c>
      <c r="AD29" s="23" cm="1">
        <f t="array" ref="AD29">COUNT(_xlfn._xlws.FILTER(BA:BA,(BA:BA=F29)*(BC:BC=_xlfn.NUMBERVALUE($C$4))*((BD:BD&lt;=$C$4+$D$4)*(BD:BD&gt;$C$4-$D$4))))</f>
        <v>31</v>
      </c>
      <c r="AE29" s="21">
        <f t="shared" si="8"/>
        <v>64.583333333333343</v>
      </c>
      <c r="AF29" s="23" cm="1">
        <f t="array" ref="AF29">COUNT(_xlfn._xlws.FILTER(BA:BA,(BA:BA=F29)*(BC:BC=_xlfn.NUMBERVALUE($C$4))*((BD:BD&gt;$C$4+$D$4)*(BD:BD&lt;$C$4+2*$D$4)+(BD:BD&lt;$C$4-$D$4)*(BD:BD&gt;$C$4-2*$D$4))))</f>
        <v>17</v>
      </c>
      <c r="AG29" s="21">
        <f t="shared" si="9"/>
        <v>35.416666666666671</v>
      </c>
      <c r="AH29" s="23" cm="1">
        <f t="array" ref="AH29">COUNT(_xlfn._xlws.FILTER(BA:BA,(BA:BA=F29)*(BC:BC=_xlfn.NUMBERVALUE($C$4))*((BD:BD&gt;$C$4+2*$D$4)*(BD:BD&lt;$C$4+3*$D$4)+(BD:BD&lt;$C$4-2*$D$4)*(BD:BD&gt;$C$4-3*$D$4))))</f>
        <v>5</v>
      </c>
      <c r="AI29" s="21">
        <f t="shared" si="10"/>
        <v>10.416666666666668</v>
      </c>
      <c r="AJ29" s="23" cm="1">
        <f t="array" ref="AJ29">COUNT(_xlfn._xlws.FILTER(BA:BA,(BA:BA=F29)*(BC:BC=_xlfn.NUMBERVALUE($C$4))*((BD:BD&gt;$C$4+3*$D$4)+(BD:BD&lt;$C$4-3*$D$4))))</f>
        <v>0</v>
      </c>
      <c r="AK29" s="21">
        <f t="shared" si="11"/>
        <v>0</v>
      </c>
      <c r="AL29" s="23">
        <v>48</v>
      </c>
      <c r="AM29" s="23" cm="1">
        <f t="array" ref="AM29">COUNT(_xlfn._xlws.FILTER(BA:BA,(BA:BA=F29)*(BC:BC=_xlfn.NUMBERVALUE($C$5))*((BD:BD&lt;=$C$5+$D$5)*(BD:BD&gt;$C$5-$D$5))))</f>
        <v>18</v>
      </c>
      <c r="AN29" s="21">
        <f t="shared" si="12"/>
        <v>37.5</v>
      </c>
      <c r="AO29" s="23" cm="1">
        <f t="array" ref="AO29">COUNT(_xlfn._xlws.FILTER(BA:BA,(BA:BA=F29)*(BC:BC=_xlfn.NUMBERVALUE($C$5))*((BD:BD&gt;$C$5+$D$5)*(BD:BD&lt;$C$5+2*$D$5)+(BD:BD&lt;$C$5-$D$5)*(BD:BD&gt;$C$5-2*$D$5))))</f>
        <v>26</v>
      </c>
      <c r="AP29" s="21">
        <f t="shared" si="13"/>
        <v>54.166666666666664</v>
      </c>
      <c r="AQ29" s="23" cm="1">
        <f t="array" ref="AQ29">COUNT(_xlfn._xlws.FILTER(BA:BA,(BA:BA=F29)*(BC:BC=_xlfn.NUMBERVALUE($C$5))*((BD:BD&gt;$C$5+2*$D$5)*(BD:BD&lt;$C$5+3*$D$5)+(BD:BD&lt;$C$5-2*$D$5)*(BD:BD&gt;$C$5-3*$D$5))))</f>
        <v>2</v>
      </c>
      <c r="AR29" s="21">
        <f t="shared" si="14"/>
        <v>4.1666666666666661</v>
      </c>
      <c r="AS29" s="23" cm="1">
        <f t="array" ref="AS29">COUNT(_xlfn._xlws.FILTER(BA:BA,(BA:BA=F29)*(BC:BC=_xlfn.NUMBERVALUE($C$5))*((BD:BD&gt;$C$5+3*$D$5)+(BD:BD&lt;$C$5-3*$D$5))))</f>
        <v>1</v>
      </c>
      <c r="AT29" s="21">
        <f t="shared" si="15"/>
        <v>2.083333333333333</v>
      </c>
      <c r="AW29" s="1">
        <v>2.1</v>
      </c>
      <c r="AX29" s="1">
        <v>2.1</v>
      </c>
      <c r="AY29" t="str">
        <v>R080_HI782-0_0.0_LOT0367_PWW49.2_QC.xlsx</v>
      </c>
      <c r="AZ29" t="str">
        <v>LOT0367</v>
      </c>
      <c r="BA29" s="3">
        <v>2</v>
      </c>
      <c r="BB29" t="str">
        <v>P/Final</v>
      </c>
      <c r="BC29">
        <v>35</v>
      </c>
      <c r="BD29" s="10">
        <v>37.700000000000003</v>
      </c>
      <c r="BE29" s="10">
        <v>0</v>
      </c>
      <c r="BF29" s="10">
        <v>0</v>
      </c>
      <c r="BG29" s="13">
        <v>45300</v>
      </c>
      <c r="BP29" s="10" t="str" cm="1">
        <f t="array" ref="BP29">IF($BJ29&lt;&gt;"",IFERROR(AVERAGE(_xlfn._xlws.FILTER($BD:$BD,($BA:$BA=$BI29)*($BC:$BC=_xlfn.NUMBERVALUE($BJ29)))),""),"")</f>
        <v/>
      </c>
      <c r="BQ29" s="10" t="str" cm="1">
        <f t="array" ref="BQ29">IF($BK29&lt;&gt;"",IFERROR(AVERAGE(_xlfn._xlws.FILTER($BD:$BD,($BA:$BA=$BI29)*($BC:$BC=_xlfn.NUMBERVALUE($BK29)))),""),"")</f>
        <v/>
      </c>
      <c r="BR29" s="10" t="str" cm="1">
        <f t="array" ref="BR29">IF($BL29&lt;&gt;"",IFERROR(AVERAGE(_xlfn._xlws.FILTER($BD:$BD,($BA:$BA=$BI29)*($BC:$BC=_xlfn.NUMBERVALUE($BL29)))),""),"")</f>
        <v/>
      </c>
      <c r="BS29" s="10" t="str" cm="1">
        <f t="array" ref="BS29">IF($BM29&lt;&gt;"",IFERROR(AVERAGE(_xlfn._xlws.FILTER($BD:$BD,($BA:$BA=$BI29)*($BC:$BC=_xlfn.NUMBERVALUE($BM29)))),""),"")</f>
        <v/>
      </c>
      <c r="BT29" s="10" t="str" cm="1">
        <f t="array" ref="BT29">IF($BN29&lt;&gt;"",IFERROR(AVERAGE(_xlfn._xlws.FILTER($BD:$BD,($BA:$BA=$BI29)*($BC:$BC=_xlfn.NUMBERVALUE($BN29)))),""),"")</f>
        <v/>
      </c>
      <c r="BU29" s="10" t="str" cm="1">
        <f t="array" ref="BU29">IF($BO29&lt;&gt;"",IFERROR(AVERAGE(_xlfn._xlws.FILTER($BD:$BD,($BA:$BA=$BI29)*($BC:$BC=_xlfn.NUMBERVALUE($BO29)))),""),"")</f>
        <v/>
      </c>
      <c r="DL29" s="10" t="str" cm="1">
        <f t="array" ref="DL29">IF($BJ29&lt;&gt;"",IFERROR(AVERAGE(_xlfn._xlws.FILTER($BD:$BD,($BA:$BA=$BI29)*($BC:$BC=_xlfn.NUMBERVALUE($BJ29)))),""),"")</f>
        <v/>
      </c>
      <c r="DM29" s="10" t="str" cm="1">
        <f t="array" ref="DM29">IF($BK29&lt;&gt;"",IFERROR(AVERAGE(_xlfn._xlws.FILTER($BD:$BD,($BA:$BA=$BI29)*($BC:$BC=_xlfn.NUMBERVALUE($BK29)))),""),"")</f>
        <v/>
      </c>
      <c r="DN29" s="10" t="str" cm="1">
        <f t="array" ref="DN29">IF($BL29&lt;&gt;"",IFERROR(AVERAGE(_xlfn._xlws.FILTER($BD:$BD,($BA:$BA=$BI29)*($BC:$BC=_xlfn.NUMBERVALUE($BL29)))),""),"")</f>
        <v/>
      </c>
      <c r="DO29" s="10" t="str" cm="1">
        <f t="array" ref="DO29">IF($BM29&lt;&gt;"",IFERROR(AVERAGE(_xlfn._xlws.FILTER($BD:$BD,($BA:$BA=$BI29)*($BC:$BC=_xlfn.NUMBERVALUE($BM29)))),""),"")</f>
        <v/>
      </c>
      <c r="DP29" s="10" t="str" cm="1">
        <f t="array" ref="DP29">IF($BN29&lt;&gt;"",IFERROR(AVERAGE(_xlfn._xlws.FILTER($BD:$BD,($BA:$BA=$BI29)*($BC:$BC=_xlfn.NUMBERVALUE($BN29)))),""),"")</f>
        <v/>
      </c>
      <c r="DQ29" s="10" t="str" cm="1">
        <f t="array" ref="DQ29">IF($BO29&lt;&gt;"",IFERROR(AVERAGE(_xlfn._xlws.FILTER($BD:$BD,($BA:$BA=$BI29)*($BC:$BC=_xlfn.NUMBERVALUE($BO29)))),""),"")</f>
        <v/>
      </c>
      <c r="DX29" t="str" cm="1">
        <f t="array" ref="DX29">IF($BJ29&lt;&gt;"",IFERROR(AVERAGE(_xlfn._xlws.FILTER($BE:$BE,($BA:$BA=$BI29)*($BC:$BC=_xlfn.NUMBERVALUE($BJ29)))),""),"")</f>
        <v/>
      </c>
      <c r="DY29" s="10" t="str" cm="1">
        <f t="array" ref="DY29">IF($BK29&lt;&gt;"",IFERROR(AVERAGE(_xlfn._xlws.FILTER($BE:$BE,($BA:$BA=$BI29)*($BC:$BC=_xlfn.NUMBERVALUE($BK29)))),""),"")</f>
        <v/>
      </c>
      <c r="DZ29" s="10" t="str" cm="1">
        <f t="array" ref="DZ29">IF($BL29&lt;&gt;"",IFERROR(AVERAGE(_xlfn._xlws.FILTER($BE:$BE,($BA:$BA=$BI29)*($BC:$BC=_xlfn.NUMBERVALUE($BL29)))),""),"")</f>
        <v/>
      </c>
      <c r="EA29" s="10" t="str" cm="1">
        <f t="array" ref="EA29">IF($BM29&lt;&gt;"",IFERROR(AVERAGE(_xlfn._xlws.FILTER($BE:$BE,($BA:$BA=$BI29)*($BC:$BC=_xlfn.NUMBERVALUE($BM29)))),""),"")</f>
        <v/>
      </c>
      <c r="EB29" s="10" t="str" cm="1">
        <f t="array" ref="EB29">IF($BN29&lt;&gt;"",IFERROR(AVERAGE(_xlfn._xlws.FILTER($BE:$BE,($BA:$BA=$BI29)*($BC:$BC=_xlfn.NUMBERVALUE($BN29)))),""),"")</f>
        <v/>
      </c>
      <c r="EC29" s="10" t="str" cm="1">
        <f t="array" ref="EC29">IF($BO29&lt;&gt;"",IFERROR(AVERAGE(_xlfn._xlws.FILTER($BE:$BE,($BA:$BA=$BI29)*($BC:$BC=_xlfn.NUMBERVALUE($BO29)))),""),"")</f>
        <v/>
      </c>
    </row>
    <row r="30" spans="6:133" x14ac:dyDescent="0.3">
      <c r="F30" s="23">
        <v>19</v>
      </c>
      <c r="G30" s="23" t="str">
        <v>LOT0800</v>
      </c>
      <c r="H30" s="32">
        <v>45607</v>
      </c>
      <c r="I30" s="23">
        <v>46</v>
      </c>
      <c r="J30" s="23">
        <v>86</v>
      </c>
      <c r="K30" s="23">
        <v>16</v>
      </c>
      <c r="L30" s="23" cm="1">
        <f t="array" ref="L30">COUNT(_xlfn._xlws.FILTER(BA:BA,(BA:BA=_xlfn.NUMBERVALUE(F30))*(BC:BC=_xlfn.NUMBERVALUE($C$2))*((BD:BD&lt;$C$2+$D$2)*(BD:BD&gt;$C$2-$D$2))))</f>
        <v>16</v>
      </c>
      <c r="M30" s="21">
        <f t="shared" si="0"/>
        <v>100</v>
      </c>
      <c r="N30" s="23" cm="1">
        <f t="array" ref="N30">COUNT(_xlfn._xlws.FILTER(BA:BA,(BA:BA=_xlfn.NUMBERVALUE(F30))*(BC:BC=_xlfn.NUMBERVALUE($C$2))*((BD:BD&gt;$C$2+$D$2)*(BD:BD&lt;$C$2+2*$D$2)+(BD:BD&lt;$C$2-$D$2)*(BD:BD&gt;$C$2-2*$D$2))))</f>
        <v>0</v>
      </c>
      <c r="O30" s="21">
        <f t="shared" si="1"/>
        <v>0</v>
      </c>
      <c r="P30" s="23" cm="1">
        <f t="array" ref="P30">COUNT(_xlfn._xlws.FILTER(BA:BA,(BA:BA=_xlfn.NUMBERVALUE(F30))*(BC:BC=_xlfn.NUMBERVALUE($C$2))*((BD:BD&gt;$C$2+2*$D$2)*(BD:BD&lt;$C$2+3*$D$2)+(BD:BD&lt;$C$2-2*$D$2)*(BD:BD&gt;$C$2-3*$D$2))))</f>
        <v>0</v>
      </c>
      <c r="Q30" s="21">
        <f t="shared" si="17"/>
        <v>0</v>
      </c>
      <c r="R30" s="23" cm="1">
        <f t="array" ref="R30">COUNT(_xlfn._xlws.FILTER(BA:BA,(BA:BA=_xlfn.NUMBERVALUE(F30))*(BC:BC=_xlfn.NUMBERVALUE($C$2))*((BD:BD&gt;$C$2+3*$D$2)+(BD:BD&lt;$C$2-3*$D$2))))</f>
        <v>0</v>
      </c>
      <c r="S30" s="21">
        <f t="shared" si="3"/>
        <v>0</v>
      </c>
      <c r="T30" s="23">
        <v>24</v>
      </c>
      <c r="U30" s="23" cm="1">
        <f t="array" ref="U30">COUNT(_xlfn._xlws.FILTER(BA:BA,(BA:BA=F30)*(BC:BC=_xlfn.NUMBERVALUE($C$3))*((BD:BD&lt;=$C$3+$D$3)*(BD:BD&gt;$C$3-$D$3))))</f>
        <v>13</v>
      </c>
      <c r="V30" s="21">
        <f t="shared" si="16"/>
        <v>54.166666666666664</v>
      </c>
      <c r="W30" s="23" cm="1">
        <f t="array" ref="W30">COUNT(_xlfn._xlws.FILTER(BA:BA,(BA:BA=F30)*(BC:BC=_xlfn.NUMBERVALUE($C$3))*((BD:BD&gt;$C$3+$D$3)*(BD:BD&lt;$C$3+2*$D$3)+(BD:BD&lt;$C$3-$D$3)*(BD:BD&gt;$C$3-2*$D$3))))</f>
        <v>11</v>
      </c>
      <c r="X30" s="21">
        <f t="shared" si="5"/>
        <v>45.833333333333329</v>
      </c>
      <c r="Y30" s="23" cm="1">
        <f t="array" ref="Y30">COUNT(_xlfn._xlws.FILTER(BA:BA,(BA:BA=F30)*(BC:BC=_xlfn.NUMBERVALUE($C$3))*((BD:BD&gt;$C$3+2*$D$3)*(BD:BD&lt;$C$3+3*$D$3)+(BD:BD&lt;$C$3-2*$D$3)*(BD:BD&gt;$C$3-3*$D$3))))</f>
        <v>0</v>
      </c>
      <c r="Z30" s="21">
        <f t="shared" si="6"/>
        <v>0</v>
      </c>
      <c r="AA30" s="23" cm="1">
        <f t="array" ref="AA30">COUNT(_xlfn._xlws.FILTER(BA:BA,(BA:BA=F30)*(BC:BC=_xlfn.NUMBERVALUE($C$3))*((BD:BD&gt;=$C$3+3*$D$3)+(BD:BD&lt;=$C$3-3*$D$3))))</f>
        <v>0</v>
      </c>
      <c r="AB30" s="21">
        <f t="shared" si="7"/>
        <v>0</v>
      </c>
      <c r="AC30" s="23">
        <v>24</v>
      </c>
      <c r="AD30" s="23" cm="1">
        <f t="array" ref="AD30">COUNT(_xlfn._xlws.FILTER(BA:BA,(BA:BA=F30)*(BC:BC=_xlfn.NUMBERVALUE($C$4))*((BD:BD&lt;=$C$4+$D$4)*(BD:BD&gt;$C$4-$D$4))))</f>
        <v>9</v>
      </c>
      <c r="AE30" s="21">
        <f t="shared" si="8"/>
        <v>37.5</v>
      </c>
      <c r="AF30" s="23" cm="1">
        <f t="array" ref="AF30">COUNT(_xlfn._xlws.FILTER(BA:BA,(BA:BA=F30)*(BC:BC=_xlfn.NUMBERVALUE($C$4))*((BD:BD&gt;$C$4+$D$4)*(BD:BD&lt;$C$4+2*$D$4)+(BD:BD&lt;$C$4-$D$4)*(BD:BD&gt;$C$4-2*$D$4))))</f>
        <v>14</v>
      </c>
      <c r="AG30" s="21">
        <f t="shared" si="9"/>
        <v>58.333333333333336</v>
      </c>
      <c r="AH30" s="23" cm="1">
        <f t="array" ref="AH30">COUNT(_xlfn._xlws.FILTER(BA:BA,(BA:BA=F30)*(BC:BC=_xlfn.NUMBERVALUE($C$4))*((BD:BD&gt;$C$4+2*$D$4)*(BD:BD&lt;$C$4+3*$D$4)+(BD:BD&lt;$C$4-2*$D$4)*(BD:BD&gt;$C$4-3*$D$4))))</f>
        <v>2</v>
      </c>
      <c r="AI30" s="21">
        <f t="shared" si="10"/>
        <v>8.3333333333333321</v>
      </c>
      <c r="AJ30" s="23" cm="1">
        <f t="array" ref="AJ30">COUNT(_xlfn._xlws.FILTER(BA:BA,(BA:BA=F30)*(BC:BC=_xlfn.NUMBERVALUE($C$4))*((BD:BD&gt;$C$4+3*$D$4)+(BD:BD&lt;$C$4-3*$D$4))))</f>
        <v>0</v>
      </c>
      <c r="AK30" s="21">
        <f t="shared" si="11"/>
        <v>0</v>
      </c>
      <c r="AL30" s="23">
        <v>24</v>
      </c>
      <c r="AM30" s="23" cm="1">
        <f t="array" ref="AM30">COUNT(_xlfn._xlws.FILTER(BA:BA,(BA:BA=F30)*(BC:BC=_xlfn.NUMBERVALUE($C$5))*((BD:BD&lt;=$C$5+$D$5)*(BD:BD&gt;$C$5-$D$5))))</f>
        <v>4</v>
      </c>
      <c r="AN30" s="21">
        <f t="shared" si="12"/>
        <v>16.666666666666664</v>
      </c>
      <c r="AO30" s="23" cm="1">
        <f t="array" ref="AO30">COUNT(_xlfn._xlws.FILTER(BA:BA,(BA:BA=F30)*(BC:BC=_xlfn.NUMBERVALUE($C$5))*((BD:BD&gt;$C$5+$D$5)*(BD:BD&lt;$C$5+2*$D$5)+(BD:BD&lt;$C$5-$D$5)*(BD:BD&gt;$C$5-2*$D$5))))</f>
        <v>13</v>
      </c>
      <c r="AP30" s="21">
        <f t="shared" si="13"/>
        <v>54.166666666666664</v>
      </c>
      <c r="AQ30" s="23" cm="1">
        <f t="array" ref="AQ30">COUNT(_xlfn._xlws.FILTER(BA:BA,(BA:BA=F30)*(BC:BC=_xlfn.NUMBERVALUE($C$5))*((BD:BD&gt;$C$5+2*$D$5)*(BD:BD&lt;$C$5+3*$D$5)+(BD:BD&lt;$C$5-2*$D$5)*(BD:BD&gt;$C$5-3*$D$5))))</f>
        <v>3</v>
      </c>
      <c r="AR30" s="21">
        <f t="shared" si="14"/>
        <v>12.5</v>
      </c>
      <c r="AS30" s="23" cm="1">
        <f t="array" ref="AS30">COUNT(_xlfn._xlws.FILTER(BA:BA,(BA:BA=F30)*(BC:BC=_xlfn.NUMBERVALUE($C$5))*((BD:BD&gt;$C$5+3*$D$5)+(BD:BD&lt;$C$5-3*$D$5))))</f>
        <v>1</v>
      </c>
      <c r="AT30" s="21">
        <f t="shared" si="15"/>
        <v>4.1666666666666661</v>
      </c>
      <c r="AW30" s="1">
        <v>2.1</v>
      </c>
      <c r="AX30" s="1">
        <v>2.1</v>
      </c>
      <c r="AY30" t="str">
        <v>R080_HI782-0_0.0_LOT0367_PWW49.2_QC.xlsx</v>
      </c>
      <c r="AZ30" t="str">
        <v>LOT0367</v>
      </c>
      <c r="BA30" s="3">
        <v>2</v>
      </c>
      <c r="BB30" t="str">
        <v>P/Final</v>
      </c>
      <c r="BC30">
        <v>35</v>
      </c>
      <c r="BD30" s="10">
        <v>38</v>
      </c>
      <c r="BE30" s="10">
        <v>0</v>
      </c>
      <c r="BF30" s="10">
        <v>0</v>
      </c>
      <c r="BG30" s="13">
        <v>45300</v>
      </c>
      <c r="BP30" s="10" t="str" cm="1">
        <f t="array" ref="BP30">IF($BJ30&lt;&gt;"",IFERROR(AVERAGE(_xlfn._xlws.FILTER($BD:$BD,($BA:$BA=$BI30)*($BC:$BC=_xlfn.NUMBERVALUE($BJ30)))),""),"")</f>
        <v/>
      </c>
      <c r="BQ30" s="10" t="str" cm="1">
        <f t="array" ref="BQ30">IF($BK30&lt;&gt;"",IFERROR(AVERAGE(_xlfn._xlws.FILTER($BD:$BD,($BA:$BA=$BI30)*($BC:$BC=_xlfn.NUMBERVALUE($BK30)))),""),"")</f>
        <v/>
      </c>
      <c r="BR30" s="10" t="str" cm="1">
        <f t="array" ref="BR30">IF($BL30&lt;&gt;"",IFERROR(AVERAGE(_xlfn._xlws.FILTER($BD:$BD,($BA:$BA=$BI30)*($BC:$BC=_xlfn.NUMBERVALUE($BL30)))),""),"")</f>
        <v/>
      </c>
      <c r="BS30" s="10" t="str" cm="1">
        <f t="array" ref="BS30">IF($BM30&lt;&gt;"",IFERROR(AVERAGE(_xlfn._xlws.FILTER($BD:$BD,($BA:$BA=$BI30)*($BC:$BC=_xlfn.NUMBERVALUE($BM30)))),""),"")</f>
        <v/>
      </c>
      <c r="BT30" s="10" t="str" cm="1">
        <f t="array" ref="BT30">IF($BN30&lt;&gt;"",IFERROR(AVERAGE(_xlfn._xlws.FILTER($BD:$BD,($BA:$BA=$BI30)*($BC:$BC=_xlfn.NUMBERVALUE($BN30)))),""),"")</f>
        <v/>
      </c>
      <c r="BU30" s="10" t="str" cm="1">
        <f t="array" ref="BU30">IF($BO30&lt;&gt;"",IFERROR(AVERAGE(_xlfn._xlws.FILTER($BD:$BD,($BA:$BA=$BI30)*($BC:$BC=_xlfn.NUMBERVALUE($BO30)))),""),"")</f>
        <v/>
      </c>
      <c r="DL30" s="10" t="str" cm="1">
        <f t="array" ref="DL30">IF($BJ30&lt;&gt;"",IFERROR(AVERAGE(_xlfn._xlws.FILTER($BD:$BD,($BA:$BA=$BI30)*($BC:$BC=_xlfn.NUMBERVALUE($BJ30)))),""),"")</f>
        <v/>
      </c>
      <c r="DM30" s="10" t="str" cm="1">
        <f t="array" ref="DM30">IF($BK30&lt;&gt;"",IFERROR(AVERAGE(_xlfn._xlws.FILTER($BD:$BD,($BA:$BA=$BI30)*($BC:$BC=_xlfn.NUMBERVALUE($BK30)))),""),"")</f>
        <v/>
      </c>
      <c r="DN30" s="10" t="str" cm="1">
        <f t="array" ref="DN30">IF($BL30&lt;&gt;"",IFERROR(AVERAGE(_xlfn._xlws.FILTER($BD:$BD,($BA:$BA=$BI30)*($BC:$BC=_xlfn.NUMBERVALUE($BL30)))),""),"")</f>
        <v/>
      </c>
      <c r="DO30" s="10" t="str" cm="1">
        <f t="array" ref="DO30">IF($BM30&lt;&gt;"",IFERROR(AVERAGE(_xlfn._xlws.FILTER($BD:$BD,($BA:$BA=$BI30)*($BC:$BC=_xlfn.NUMBERVALUE($BM30)))),""),"")</f>
        <v/>
      </c>
      <c r="DP30" s="10" t="str" cm="1">
        <f t="array" ref="DP30">IF($BN30&lt;&gt;"",IFERROR(AVERAGE(_xlfn._xlws.FILTER($BD:$BD,($BA:$BA=$BI30)*($BC:$BC=_xlfn.NUMBERVALUE($BN30)))),""),"")</f>
        <v/>
      </c>
      <c r="DQ30" s="10" t="str" cm="1">
        <f t="array" ref="DQ30">IF($BO30&lt;&gt;"",IFERROR(AVERAGE(_xlfn._xlws.FILTER($BD:$BD,($BA:$BA=$BI30)*($BC:$BC=_xlfn.NUMBERVALUE($BO30)))),""),"")</f>
        <v/>
      </c>
      <c r="DX30" t="str" cm="1">
        <f t="array" ref="DX30">IF($BJ30&lt;&gt;"",IFERROR(AVERAGE(_xlfn._xlws.FILTER($BE:$BE,($BA:$BA=$BI30)*($BC:$BC=_xlfn.NUMBERVALUE($BJ30)))),""),"")</f>
        <v/>
      </c>
      <c r="DY30" s="10" t="str" cm="1">
        <f t="array" ref="DY30">IF($BK30&lt;&gt;"",IFERROR(AVERAGE(_xlfn._xlws.FILTER($BE:$BE,($BA:$BA=$BI30)*($BC:$BC=_xlfn.NUMBERVALUE($BK30)))),""),"")</f>
        <v/>
      </c>
      <c r="DZ30" s="10" t="str" cm="1">
        <f t="array" ref="DZ30">IF($BL30&lt;&gt;"",IFERROR(AVERAGE(_xlfn._xlws.FILTER($BE:$BE,($BA:$BA=$BI30)*($BC:$BC=_xlfn.NUMBERVALUE($BL30)))),""),"")</f>
        <v/>
      </c>
      <c r="EA30" s="10" t="str" cm="1">
        <f t="array" ref="EA30">IF($BM30&lt;&gt;"",IFERROR(AVERAGE(_xlfn._xlws.FILTER($BE:$BE,($BA:$BA=$BI30)*($BC:$BC=_xlfn.NUMBERVALUE($BM30)))),""),"")</f>
        <v/>
      </c>
      <c r="EB30" s="10" t="str" cm="1">
        <f t="array" ref="EB30">IF($BN30&lt;&gt;"",IFERROR(AVERAGE(_xlfn._xlws.FILTER($BE:$BE,($BA:$BA=$BI30)*($BC:$BC=_xlfn.NUMBERVALUE($BN30)))),""),"")</f>
        <v/>
      </c>
      <c r="EC30" s="10" t="str" cm="1">
        <f t="array" ref="EC30">IF($BO30&lt;&gt;"",IFERROR(AVERAGE(_xlfn._xlws.FILTER($BE:$BE,($BA:$BA=$BI30)*($BC:$BC=_xlfn.NUMBERVALUE($BO30)))),""),"")</f>
        <v/>
      </c>
    </row>
    <row r="31" spans="6:133" x14ac:dyDescent="0.3">
      <c r="F31" s="23">
        <v>20</v>
      </c>
      <c r="G31" s="23" t="str">
        <v>LOT0869</v>
      </c>
      <c r="H31" s="32">
        <v>45642</v>
      </c>
      <c r="I31" s="23">
        <v>51</v>
      </c>
      <c r="J31" s="23">
        <v>214</v>
      </c>
      <c r="K31" s="23">
        <v>10</v>
      </c>
      <c r="L31" s="23" cm="1">
        <f t="array" ref="L31">COUNT(_xlfn._xlws.FILTER(BA:BA,(BA:BA=_xlfn.NUMBERVALUE(F31))*(BC:BC=_xlfn.NUMBERVALUE($C$2))*((BD:BD&lt;$C$2+$D$2)*(BD:BD&gt;$C$2-$D$2))))</f>
        <v>10</v>
      </c>
      <c r="M31" s="21">
        <f t="shared" si="0"/>
        <v>100</v>
      </c>
      <c r="N31" s="23" cm="1">
        <f t="array" ref="N31">COUNT(_xlfn._xlws.FILTER(BA:BA,(BA:BA=_xlfn.NUMBERVALUE(F31))*(BC:BC=_xlfn.NUMBERVALUE($C$2))*((BD:BD&gt;$C$2+$D$2)*(BD:BD&lt;$C$2+2*$D$2)+(BD:BD&lt;$C$2-$D$2)*(BD:BD&gt;$C$2-2*$D$2))))</f>
        <v>0</v>
      </c>
      <c r="O31" s="21">
        <f t="shared" si="1"/>
        <v>0</v>
      </c>
      <c r="P31" s="23" cm="1">
        <f t="array" ref="P31">COUNT(_xlfn._xlws.FILTER(BA:BA,(BA:BA=_xlfn.NUMBERVALUE(F31))*(BC:BC=_xlfn.NUMBERVALUE($C$2))*((BD:BD&gt;$C$2+2*$D$2)*(BD:BD&lt;$C$2+3*$D$2)+(BD:BD&lt;$C$2-2*$D$2)*(BD:BD&gt;$C$2-3*$D$2))))</f>
        <v>0</v>
      </c>
      <c r="Q31" s="21">
        <f t="shared" si="17"/>
        <v>0</v>
      </c>
      <c r="R31" s="23" cm="1">
        <f t="array" ref="R31">COUNT(_xlfn._xlws.FILTER(BA:BA,(BA:BA=_xlfn.NUMBERVALUE(F31))*(BC:BC=_xlfn.NUMBERVALUE($C$2))*((BD:BD&gt;$C$2+3*$D$2)+(BD:BD&lt;$C$2-3*$D$2))))</f>
        <v>0</v>
      </c>
      <c r="S31" s="21">
        <f t="shared" si="3"/>
        <v>0</v>
      </c>
      <c r="T31" s="23">
        <v>64</v>
      </c>
      <c r="U31" s="23" cm="1">
        <f t="array" ref="U31">COUNT(_xlfn._xlws.FILTER(BA:BA,(BA:BA=F31)*(BC:BC=_xlfn.NUMBERVALUE($C$3))*((BD:BD&lt;=$C$3+$D$3)*(BD:BD&gt;$C$3-$D$3))))</f>
        <v>56</v>
      </c>
      <c r="V31" s="21">
        <f t="shared" si="16"/>
        <v>87.5</v>
      </c>
      <c r="W31" s="23" cm="1">
        <f t="array" ref="W31">COUNT(_xlfn._xlws.FILTER(BA:BA,(BA:BA=F31)*(BC:BC=_xlfn.NUMBERVALUE($C$3))*((BD:BD&gt;$C$3+$D$3)*(BD:BD&lt;$C$3+2*$D$3)+(BD:BD&lt;$C$3-$D$3)*(BD:BD&gt;$C$3-2*$D$3))))</f>
        <v>8</v>
      </c>
      <c r="X31" s="21">
        <f t="shared" si="5"/>
        <v>12.5</v>
      </c>
      <c r="Y31" s="23" cm="1">
        <f t="array" ref="Y31">COUNT(_xlfn._xlws.FILTER(BA:BA,(BA:BA=F31)*(BC:BC=_xlfn.NUMBERVALUE($C$3))*((BD:BD&gt;$C$3+2*$D$3)*(BD:BD&lt;$C$3+3*$D$3)+(BD:BD&lt;$C$3-2*$D$3)*(BD:BD&gt;$C$3-3*$D$3))))</f>
        <v>0</v>
      </c>
      <c r="Z31" s="21">
        <f t="shared" si="6"/>
        <v>0</v>
      </c>
      <c r="AA31" s="23" cm="1">
        <f t="array" ref="AA31">COUNT(_xlfn._xlws.FILTER(BA:BA,(BA:BA=F31)*(BC:BC=_xlfn.NUMBERVALUE($C$3))*((BD:BD&gt;=$C$3+3*$D$3)+(BD:BD&lt;=$C$3-3*$D$3))))</f>
        <v>0</v>
      </c>
      <c r="AB31" s="21">
        <f t="shared" si="7"/>
        <v>0</v>
      </c>
      <c r="AC31" s="23">
        <v>64</v>
      </c>
      <c r="AD31" s="23" cm="1">
        <f t="array" ref="AD31">COUNT(_xlfn._xlws.FILTER(BA:BA,(BA:BA=F31)*(BC:BC=_xlfn.NUMBERVALUE($C$4))*((BD:BD&lt;=$C$4+$D$4)*(BD:BD&gt;$C$4-$D$4))))</f>
        <v>46</v>
      </c>
      <c r="AE31" s="21">
        <f t="shared" si="8"/>
        <v>71.875</v>
      </c>
      <c r="AF31" s="23" cm="1">
        <f t="array" ref="AF31">COUNT(_xlfn._xlws.FILTER(BA:BA,(BA:BA=F31)*(BC:BC=_xlfn.NUMBERVALUE($C$4))*((BD:BD&gt;$C$4+$D$4)*(BD:BD&lt;$C$4+2*$D$4)+(BD:BD&lt;$C$4-$D$4)*(BD:BD&gt;$C$4-2*$D$4))))</f>
        <v>24</v>
      </c>
      <c r="AG31" s="21">
        <f t="shared" si="9"/>
        <v>37.5</v>
      </c>
      <c r="AH31" s="23" cm="1">
        <f t="array" ref="AH31">COUNT(_xlfn._xlws.FILTER(BA:BA,(BA:BA=F31)*(BC:BC=_xlfn.NUMBERVALUE($C$4))*((BD:BD&gt;$C$4+2*$D$4)*(BD:BD&lt;$C$4+3*$D$4)+(BD:BD&lt;$C$4-2*$D$4)*(BD:BD&gt;$C$4-3*$D$4))))</f>
        <v>0</v>
      </c>
      <c r="AI31" s="21">
        <f t="shared" si="10"/>
        <v>0</v>
      </c>
      <c r="AJ31" s="23" cm="1">
        <f t="array" ref="AJ31">COUNT(_xlfn._xlws.FILTER(BA:BA,(BA:BA=F31)*(BC:BC=_xlfn.NUMBERVALUE($C$4))*((BD:BD&gt;$C$4+3*$D$4)+(BD:BD&lt;$C$4-3*$D$4))))</f>
        <v>0</v>
      </c>
      <c r="AK31" s="21">
        <f t="shared" si="11"/>
        <v>0</v>
      </c>
      <c r="AL31" s="23">
        <v>64</v>
      </c>
      <c r="AM31" s="23" cm="1">
        <f t="array" ref="AM31">COUNT(_xlfn._xlws.FILTER(BA:BA,(BA:BA=F31)*(BC:BC=_xlfn.NUMBERVALUE($C$5))*((BD:BD&lt;=$C$5+$D$5)*(BD:BD&gt;$C$5-$D$5))))</f>
        <v>22</v>
      </c>
      <c r="AN31" s="21">
        <f t="shared" si="12"/>
        <v>34.375</v>
      </c>
      <c r="AO31" s="23" cm="1">
        <f t="array" ref="AO31">COUNT(_xlfn._xlws.FILTER(BA:BA,(BA:BA=F31)*(BC:BC=_xlfn.NUMBERVALUE($C$5))*((BD:BD&gt;$C$5+$D$5)*(BD:BD&lt;$C$5+2*$D$5)+(BD:BD&lt;$C$5-$D$5)*(BD:BD&gt;$C$5-2*$D$5))))</f>
        <v>45</v>
      </c>
      <c r="AP31" s="21">
        <f t="shared" si="13"/>
        <v>70.3125</v>
      </c>
      <c r="AQ31" s="23" cm="1">
        <f t="array" ref="AQ31">COUNT(_xlfn._xlws.FILTER(BA:BA,(BA:BA=F31)*(BC:BC=_xlfn.NUMBERVALUE($C$5))*((BD:BD&gt;$C$5+2*$D$5)*(BD:BD&lt;$C$5+3*$D$5)+(BD:BD&lt;$C$5-2*$D$5)*(BD:BD&gt;$C$5-3*$D$5))))</f>
        <v>2</v>
      </c>
      <c r="AR31" s="21">
        <f t="shared" si="14"/>
        <v>3.125</v>
      </c>
      <c r="AS31" s="23" cm="1">
        <f t="array" ref="AS31">COUNT(_xlfn._xlws.FILTER(BA:BA,(BA:BA=F31)*(BC:BC=_xlfn.NUMBERVALUE($C$5))*((BD:BD&gt;$C$5+3*$D$5)+(BD:BD&lt;$C$5-3*$D$5))))</f>
        <v>1</v>
      </c>
      <c r="AT31" s="21">
        <f t="shared" si="15"/>
        <v>1.5625</v>
      </c>
      <c r="AW31" s="1">
        <v>2.1</v>
      </c>
      <c r="AX31" s="1">
        <v>2.1</v>
      </c>
      <c r="AY31" t="str">
        <v>R080_HI782-0_0.0_LOT0367_PWW49.2_QC.xlsx</v>
      </c>
      <c r="AZ31" t="str">
        <v>LOT0367</v>
      </c>
      <c r="BA31" s="3">
        <v>2</v>
      </c>
      <c r="BB31" t="str">
        <v>P/Final</v>
      </c>
      <c r="BC31">
        <v>35</v>
      </c>
      <c r="BD31" s="10">
        <v>38.6</v>
      </c>
      <c r="BE31" s="10">
        <v>0</v>
      </c>
      <c r="BF31" s="10">
        <v>0</v>
      </c>
      <c r="BG31" s="13">
        <v>45300</v>
      </c>
      <c r="BI31" s="10"/>
      <c r="BP31" s="10" t="str" cm="1">
        <f t="array" ref="BP31">IF($BJ31&lt;&gt;"",IFERROR(AVERAGE(_xlfn._xlws.FILTER($BD:$BD,($BA:$BA=$BI31)*($BC:$BC=_xlfn.NUMBERVALUE($BJ31)))),""),"")</f>
        <v/>
      </c>
      <c r="BQ31" s="10" t="str" cm="1">
        <f t="array" ref="BQ31">IF($BK31&lt;&gt;"",IFERROR(AVERAGE(_xlfn._xlws.FILTER($BD:$BD,($BA:$BA=$BI31)*($BC:$BC=_xlfn.NUMBERVALUE($BK31)))),""),"")</f>
        <v/>
      </c>
      <c r="BR31" s="10" t="str" cm="1">
        <f t="array" ref="BR31">IF($BL31&lt;&gt;"",IFERROR(AVERAGE(_xlfn._xlws.FILTER($BD:$BD,($BA:$BA=$BI31)*($BC:$BC=_xlfn.NUMBERVALUE($BL31)))),""),"")</f>
        <v/>
      </c>
      <c r="BS31" s="10" t="str" cm="1">
        <f t="array" ref="BS31">IF($BM31&lt;&gt;"",IFERROR(AVERAGE(_xlfn._xlws.FILTER($BD:$BD,($BA:$BA=$BI31)*($BC:$BC=_xlfn.NUMBERVALUE($BM31)))),""),"")</f>
        <v/>
      </c>
      <c r="BT31" s="10" t="str" cm="1">
        <f t="array" ref="BT31">IF($BN31&lt;&gt;"",IFERROR(AVERAGE(_xlfn._xlws.FILTER($BD:$BD,($BA:$BA=$BI31)*($BC:$BC=_xlfn.NUMBERVALUE($BN31)))),""),"")</f>
        <v/>
      </c>
      <c r="BU31" s="10" t="str" cm="1">
        <f t="array" ref="BU31">IF($BO31&lt;&gt;"",IFERROR(AVERAGE(_xlfn._xlws.FILTER($BD:$BD,($BA:$BA=$BI31)*($BC:$BC=_xlfn.NUMBERVALUE($BO31)))),""),"")</f>
        <v/>
      </c>
      <c r="DL31" s="10" t="str" cm="1">
        <f t="array" ref="DL31">IF($BJ31&lt;&gt;"",IFERROR(AVERAGE(_xlfn._xlws.FILTER($BD:$BD,($BA:$BA=$BI31)*($BC:$BC=_xlfn.NUMBERVALUE($BJ31)))),""),"")</f>
        <v/>
      </c>
      <c r="DM31" s="10" t="str" cm="1">
        <f t="array" ref="DM31">IF($BK31&lt;&gt;"",IFERROR(AVERAGE(_xlfn._xlws.FILTER($BD:$BD,($BA:$BA=$BI31)*($BC:$BC=_xlfn.NUMBERVALUE($BK31)))),""),"")</f>
        <v/>
      </c>
      <c r="DN31" s="10" t="str" cm="1">
        <f t="array" ref="DN31">IF($BL31&lt;&gt;"",IFERROR(AVERAGE(_xlfn._xlws.FILTER($BD:$BD,($BA:$BA=$BI31)*($BC:$BC=_xlfn.NUMBERVALUE($BL31)))),""),"")</f>
        <v/>
      </c>
      <c r="DO31" s="10" t="str" cm="1">
        <f t="array" ref="DO31">IF($BM31&lt;&gt;"",IFERROR(AVERAGE(_xlfn._xlws.FILTER($BD:$BD,($BA:$BA=$BI31)*($BC:$BC=_xlfn.NUMBERVALUE($BM31)))),""),"")</f>
        <v/>
      </c>
      <c r="DP31" s="10" t="str" cm="1">
        <f t="array" ref="DP31">IF($BN31&lt;&gt;"",IFERROR(AVERAGE(_xlfn._xlws.FILTER($BD:$BD,($BA:$BA=$BI31)*($BC:$BC=_xlfn.NUMBERVALUE($BN31)))),""),"")</f>
        <v/>
      </c>
      <c r="DQ31" s="10" t="str" cm="1">
        <f t="array" ref="DQ31">IF($BO31&lt;&gt;"",IFERROR(AVERAGE(_xlfn._xlws.FILTER($BD:$BD,($BA:$BA=$BI31)*($BC:$BC=_xlfn.NUMBERVALUE($BO31)))),""),"")</f>
        <v/>
      </c>
      <c r="DX31" t="str" cm="1">
        <f t="array" ref="DX31">IF($BJ31&lt;&gt;"",IFERROR(AVERAGE(_xlfn._xlws.FILTER($BE:$BE,($BA:$BA=$BI31)*($BC:$BC=_xlfn.NUMBERVALUE($BJ31)))),""),"")</f>
        <v/>
      </c>
      <c r="DY31" s="10" t="str" cm="1">
        <f t="array" ref="DY31">IF($BK31&lt;&gt;"",IFERROR(AVERAGE(_xlfn._xlws.FILTER($BE:$BE,($BA:$BA=$BI31)*($BC:$BC=_xlfn.NUMBERVALUE($BK31)))),""),"")</f>
        <v/>
      </c>
      <c r="DZ31" s="10" t="str" cm="1">
        <f t="array" ref="DZ31">IF($BL31&lt;&gt;"",IFERROR(AVERAGE(_xlfn._xlws.FILTER($BE:$BE,($BA:$BA=$BI31)*($BC:$BC=_xlfn.NUMBERVALUE($BL31)))),""),"")</f>
        <v/>
      </c>
      <c r="EA31" s="10" t="str" cm="1">
        <f t="array" ref="EA31">IF($BM31&lt;&gt;"",IFERROR(AVERAGE(_xlfn._xlws.FILTER($BE:$BE,($BA:$BA=$BI31)*($BC:$BC=_xlfn.NUMBERVALUE($BM31)))),""),"")</f>
        <v/>
      </c>
      <c r="EB31" s="10" t="str" cm="1">
        <f t="array" ref="EB31">IF($BN31&lt;&gt;"",IFERROR(AVERAGE(_xlfn._xlws.FILTER($BE:$BE,($BA:$BA=$BI31)*($BC:$BC=_xlfn.NUMBERVALUE($BN31)))),""),"")</f>
        <v/>
      </c>
      <c r="EC31" s="10" t="str" cm="1">
        <f t="array" ref="EC31">IF($BO31&lt;&gt;"",IFERROR(AVERAGE(_xlfn._xlws.FILTER($BE:$BE,($BA:$BA=$BI31)*($BC:$BC=_xlfn.NUMBERVALUE($BO31)))),""),"")</f>
        <v/>
      </c>
    </row>
    <row r="32" spans="6:133" x14ac:dyDescent="0.3">
      <c r="F32" s="23">
        <v>21</v>
      </c>
      <c r="G32" s="23" t="str">
        <v>LOT0894</v>
      </c>
      <c r="H32" s="32">
        <v>45674</v>
      </c>
      <c r="I32" s="23">
        <v>4</v>
      </c>
      <c r="J32" s="23">
        <v>137</v>
      </c>
      <c r="K32" s="23">
        <v>26</v>
      </c>
      <c r="L32" s="23" cm="1">
        <f t="array" ref="L32">COUNT(_xlfn._xlws.FILTER(BA:BA,(BA:BA=_xlfn.NUMBERVALUE(F32))*(BC:BC=_xlfn.NUMBERVALUE($C$2))*((BD:BD&lt;$C$2+$D$2)*(BD:BD&gt;$C$2-$D$2))))</f>
        <v>26</v>
      </c>
      <c r="M32" s="21">
        <f t="shared" si="0"/>
        <v>100</v>
      </c>
      <c r="N32" s="23" cm="1">
        <f t="array" ref="N32">COUNT(_xlfn._xlws.FILTER(BA:BA,(BA:BA=_xlfn.NUMBERVALUE(F32))*(BC:BC=_xlfn.NUMBERVALUE($C$2))*((BD:BD&gt;$C$2+$D$2)*(BD:BD&lt;$C$2+2*$D$2)+(BD:BD&lt;$C$2-$D$2)*(BD:BD&gt;$C$2-2*$D$2))))</f>
        <v>0</v>
      </c>
      <c r="O32" s="21">
        <f t="shared" si="1"/>
        <v>0</v>
      </c>
      <c r="P32" s="23" cm="1">
        <f t="array" ref="P32">COUNT(_xlfn._xlws.FILTER(BA:BA,(BA:BA=_xlfn.NUMBERVALUE(F32))*(BC:BC=_xlfn.NUMBERVALUE($C$2))*((BD:BD&gt;$C$2+2*$D$2)*(BD:BD&lt;$C$2+3*$D$2)+(BD:BD&lt;$C$2-2*$D$2)*(BD:BD&gt;$C$2-3*$D$2))))</f>
        <v>0</v>
      </c>
      <c r="Q32" s="21">
        <f t="shared" si="17"/>
        <v>0</v>
      </c>
      <c r="R32" s="23" cm="1">
        <f t="array" ref="R32">COUNT(_xlfn._xlws.FILTER(BA:BA,(BA:BA=_xlfn.NUMBERVALUE(F32))*(BC:BC=_xlfn.NUMBERVALUE($C$2))*((BD:BD&gt;$C$2+3*$D$2)+(BD:BD&lt;$C$2-3*$D$2))))</f>
        <v>0</v>
      </c>
      <c r="S32" s="21">
        <f t="shared" si="3"/>
        <v>0</v>
      </c>
      <c r="T32" s="23">
        <v>37</v>
      </c>
      <c r="U32" s="23" cm="1">
        <f t="array" ref="U32">COUNT(_xlfn._xlws.FILTER(BA:BA,(BA:BA=F32)*(BC:BC=_xlfn.NUMBERVALUE($C$3))*((BD:BD&lt;=$C$3+$D$3)*(BD:BD&gt;$C$3-$D$3))))</f>
        <v>32</v>
      </c>
      <c r="V32" s="21">
        <f t="shared" si="16"/>
        <v>86.486486486486484</v>
      </c>
      <c r="W32" s="23" cm="1">
        <f t="array" ref="W32">COUNT(_xlfn._xlws.FILTER(BA:BA,(BA:BA=F32)*(BC:BC=_xlfn.NUMBERVALUE($C$3))*((BD:BD&gt;$C$3+$D$3)*(BD:BD&lt;$C$3+2*$D$3)+(BD:BD&lt;$C$3-$D$3)*(BD:BD&gt;$C$3-2*$D$3))))</f>
        <v>4</v>
      </c>
      <c r="X32" s="21">
        <f t="shared" si="5"/>
        <v>10.810810810810811</v>
      </c>
      <c r="Y32" s="23" cm="1">
        <f t="array" ref="Y32">COUNT(_xlfn._xlws.FILTER(BA:BA,(BA:BA=F32)*(BC:BC=_xlfn.NUMBERVALUE($C$3))*((BD:BD&gt;$C$3+2*$D$3)*(BD:BD&lt;$C$3+3*$D$3)+(BD:BD&lt;$C$3-2*$D$3)*(BD:BD&gt;$C$3-3*$D$3))))</f>
        <v>0</v>
      </c>
      <c r="Z32" s="21">
        <f t="shared" si="6"/>
        <v>0</v>
      </c>
      <c r="AA32" s="23" cm="1">
        <f t="array" ref="AA32">COUNT(_xlfn._xlws.FILTER(BA:BA,(BA:BA=F32)*(BC:BC=_xlfn.NUMBERVALUE($C$3))*((BD:BD&gt;=$C$3+3*$D$3)+(BD:BD&lt;=$C$3-3*$D$3))))</f>
        <v>1</v>
      </c>
      <c r="AB32" s="21">
        <f t="shared" si="7"/>
        <v>2.7027027027027026</v>
      </c>
      <c r="AC32" s="23">
        <v>37</v>
      </c>
      <c r="AD32" s="23" cm="1">
        <f t="array" ref="AD32">COUNT(_xlfn._xlws.FILTER(BA:BA,(BA:BA=F32)*(BC:BC=_xlfn.NUMBERVALUE($C$4))*((BD:BD&lt;=$C$4+$D$4)*(BD:BD&gt;$C$4-$D$4))))</f>
        <v>12</v>
      </c>
      <c r="AE32" s="21">
        <f t="shared" si="8"/>
        <v>32.432432432432435</v>
      </c>
      <c r="AF32" s="23" cm="1">
        <f t="array" ref="AF32">COUNT(_xlfn._xlws.FILTER(BA:BA,(BA:BA=F32)*(BC:BC=_xlfn.NUMBERVALUE($C$4))*((BD:BD&gt;$C$4+$D$4)*(BD:BD&lt;$C$4+2*$D$4)+(BD:BD&lt;$C$4-$D$4)*(BD:BD&gt;$C$4-2*$D$4))))</f>
        <v>26</v>
      </c>
      <c r="AG32" s="21">
        <f t="shared" si="9"/>
        <v>70.270270270270274</v>
      </c>
      <c r="AH32" s="23" cm="1">
        <f t="array" ref="AH32">COUNT(_xlfn._xlws.FILTER(BA:BA,(BA:BA=F32)*(BC:BC=_xlfn.NUMBERVALUE($C$4))*((BD:BD&gt;$C$4+2*$D$4)*(BD:BD&lt;$C$4+3*$D$4)+(BD:BD&lt;$C$4-2*$D$4)*(BD:BD&gt;$C$4-3*$D$4))))</f>
        <v>0</v>
      </c>
      <c r="AI32" s="21">
        <f t="shared" si="10"/>
        <v>0</v>
      </c>
      <c r="AJ32" s="23" cm="1">
        <f t="array" ref="AJ32">COUNT(_xlfn._xlws.FILTER(BA:BA,(BA:BA=F32)*(BC:BC=_xlfn.NUMBERVALUE($C$4))*((BD:BD&gt;$C$4+3*$D$4)+(BD:BD&lt;$C$4-3*$D$4))))</f>
        <v>0</v>
      </c>
      <c r="AK32" s="21">
        <f t="shared" si="11"/>
        <v>0</v>
      </c>
      <c r="AL32" s="23">
        <v>37</v>
      </c>
      <c r="AM32" s="23" cm="1">
        <f t="array" ref="AM32">COUNT(_xlfn._xlws.FILTER(BA:BA,(BA:BA=F32)*(BC:BC=_xlfn.NUMBERVALUE($C$5))*((BD:BD&lt;=$C$5+$D$5)*(BD:BD&gt;$C$5-$D$5))))</f>
        <v>29</v>
      </c>
      <c r="AN32" s="21">
        <f t="shared" si="12"/>
        <v>78.378378378378372</v>
      </c>
      <c r="AO32" s="23" cm="1">
        <f t="array" ref="AO32">COUNT(_xlfn._xlws.FILTER(BA:BA,(BA:BA=F32)*(BC:BC=_xlfn.NUMBERVALUE($C$5))*((BD:BD&gt;$C$5+$D$5)*(BD:BD&lt;$C$5+2*$D$5)+(BD:BD&lt;$C$5-$D$5)*(BD:BD&gt;$C$5-2*$D$5))))</f>
        <v>7</v>
      </c>
      <c r="AP32" s="21">
        <f t="shared" si="13"/>
        <v>18.918918918918919</v>
      </c>
      <c r="AQ32" s="23" cm="1">
        <f t="array" ref="AQ32">COUNT(_xlfn._xlws.FILTER(BA:BA,(BA:BA=F32)*(BC:BC=_xlfn.NUMBERVALUE($C$5))*((BD:BD&gt;$C$5+2*$D$5)*(BD:BD&lt;$C$5+3*$D$5)+(BD:BD&lt;$C$5-2*$D$5)*(BD:BD&gt;$C$5-3*$D$5))))</f>
        <v>0</v>
      </c>
      <c r="AR32" s="21">
        <f t="shared" si="14"/>
        <v>0</v>
      </c>
      <c r="AS32" s="23" cm="1">
        <f t="array" ref="AS32">COUNT(_xlfn._xlws.FILTER(BA:BA,(BA:BA=F32)*(BC:BC=_xlfn.NUMBERVALUE($C$5))*((BD:BD&gt;$C$5+3*$D$5)+(BD:BD&lt;$C$5-3*$D$5))))</f>
        <v>0</v>
      </c>
      <c r="AT32" s="21">
        <f t="shared" si="15"/>
        <v>0</v>
      </c>
      <c r="AW32" s="1">
        <v>2.1</v>
      </c>
      <c r="AX32" s="1">
        <v>2.1</v>
      </c>
      <c r="AY32" t="str">
        <v>R080_HI782-0_0.0_LOT0367_PWW49.2_QC.xlsx</v>
      </c>
      <c r="AZ32" t="str">
        <v>LOT0367</v>
      </c>
      <c r="BA32" s="3">
        <v>2</v>
      </c>
      <c r="BB32" t="str">
        <v>P/Final</v>
      </c>
      <c r="BC32">
        <v>35</v>
      </c>
      <c r="BD32" s="10">
        <v>36.4</v>
      </c>
      <c r="BE32" s="10">
        <v>0</v>
      </c>
      <c r="BF32" s="10">
        <v>0</v>
      </c>
      <c r="BG32" s="13">
        <v>45300</v>
      </c>
      <c r="BP32" s="10" t="str" cm="1">
        <f t="array" ref="BP32">IF($BJ32&lt;&gt;"",IFERROR(AVERAGE(_xlfn._xlws.FILTER($BD:$BD,($BA:$BA=$BI32)*($BC:$BC=_xlfn.NUMBERVALUE($BJ32)))),""),"")</f>
        <v/>
      </c>
      <c r="BQ32" s="10" t="str" cm="1">
        <f t="array" ref="BQ32">IF($BK32&lt;&gt;"",IFERROR(AVERAGE(_xlfn._xlws.FILTER($BD:$BD,($BA:$BA=$BI32)*($BC:$BC=_xlfn.NUMBERVALUE($BK32)))),""),"")</f>
        <v/>
      </c>
      <c r="BR32" s="10" t="str" cm="1">
        <f t="array" ref="BR32">IF($BL32&lt;&gt;"",IFERROR(AVERAGE(_xlfn._xlws.FILTER($BD:$BD,($BA:$BA=$BI32)*($BC:$BC=_xlfn.NUMBERVALUE($BL32)))),""),"")</f>
        <v/>
      </c>
      <c r="BS32" s="10" t="str" cm="1">
        <f t="array" ref="BS32">IF($BM32&lt;&gt;"",IFERROR(AVERAGE(_xlfn._xlws.FILTER($BD:$BD,($BA:$BA=$BI32)*($BC:$BC=_xlfn.NUMBERVALUE($BM32)))),""),"")</f>
        <v/>
      </c>
      <c r="BT32" s="10" t="str" cm="1">
        <f t="array" ref="BT32">IF($BN32&lt;&gt;"",IFERROR(AVERAGE(_xlfn._xlws.FILTER($BD:$BD,($BA:$BA=$BI32)*($BC:$BC=_xlfn.NUMBERVALUE($BN32)))),""),"")</f>
        <v/>
      </c>
      <c r="BU32" s="10" t="str" cm="1">
        <f t="array" ref="BU32">IF($BO32&lt;&gt;"",IFERROR(AVERAGE(_xlfn._xlws.FILTER($BD:$BD,($BA:$BA=$BI32)*($BC:$BC=_xlfn.NUMBERVALUE($BO32)))),""),"")</f>
        <v/>
      </c>
      <c r="DL32" s="10" t="str" cm="1">
        <f t="array" ref="DL32">IF($BJ32&lt;&gt;"",IFERROR(AVERAGE(_xlfn._xlws.FILTER($BD:$BD,($BA:$BA=$BI32)*($BC:$BC=_xlfn.NUMBERVALUE($BJ32)))),""),"")</f>
        <v/>
      </c>
      <c r="DM32" s="10" t="str" cm="1">
        <f t="array" ref="DM32">IF($BK32&lt;&gt;"",IFERROR(AVERAGE(_xlfn._xlws.FILTER($BD:$BD,($BA:$BA=$BI32)*($BC:$BC=_xlfn.NUMBERVALUE($BK32)))),""),"")</f>
        <v/>
      </c>
      <c r="DN32" s="10" t="str" cm="1">
        <f t="array" ref="DN32">IF($BL32&lt;&gt;"",IFERROR(AVERAGE(_xlfn._xlws.FILTER($BD:$BD,($BA:$BA=$BI32)*($BC:$BC=_xlfn.NUMBERVALUE($BL32)))),""),"")</f>
        <v/>
      </c>
      <c r="DO32" s="10" t="str" cm="1">
        <f t="array" ref="DO32">IF($BM32&lt;&gt;"",IFERROR(AVERAGE(_xlfn._xlws.FILTER($BD:$BD,($BA:$BA=$BI32)*($BC:$BC=_xlfn.NUMBERVALUE($BM32)))),""),"")</f>
        <v/>
      </c>
      <c r="DP32" s="10" t="str" cm="1">
        <f t="array" ref="DP32">IF($BN32&lt;&gt;"",IFERROR(AVERAGE(_xlfn._xlws.FILTER($BD:$BD,($BA:$BA=$BI32)*($BC:$BC=_xlfn.NUMBERVALUE($BN32)))),""),"")</f>
        <v/>
      </c>
      <c r="DQ32" s="10" t="str" cm="1">
        <f t="array" ref="DQ32">IF($BO32&lt;&gt;"",IFERROR(AVERAGE(_xlfn._xlws.FILTER($BD:$BD,($BA:$BA=$BI32)*($BC:$BC=_xlfn.NUMBERVALUE($BO32)))),""),"")</f>
        <v/>
      </c>
      <c r="DX32" t="str" cm="1">
        <f t="array" ref="DX32">IF($BJ32&lt;&gt;"",IFERROR(AVERAGE(_xlfn._xlws.FILTER($BE:$BE,($BA:$BA=$BI32)*($BC:$BC=_xlfn.NUMBERVALUE($BJ32)))),""),"")</f>
        <v/>
      </c>
      <c r="DY32" s="10" t="str" cm="1">
        <f t="array" ref="DY32">IF($BK32&lt;&gt;"",IFERROR(AVERAGE(_xlfn._xlws.FILTER($BE:$BE,($BA:$BA=$BI32)*($BC:$BC=_xlfn.NUMBERVALUE($BK32)))),""),"")</f>
        <v/>
      </c>
      <c r="DZ32" s="10" t="str" cm="1">
        <f t="array" ref="DZ32">IF($BL32&lt;&gt;"",IFERROR(AVERAGE(_xlfn._xlws.FILTER($BE:$BE,($BA:$BA=$BI32)*($BC:$BC=_xlfn.NUMBERVALUE($BL32)))),""),"")</f>
        <v/>
      </c>
      <c r="EA32" s="10" t="str" cm="1">
        <f t="array" ref="EA32">IF($BM32&lt;&gt;"",IFERROR(AVERAGE(_xlfn._xlws.FILTER($BE:$BE,($BA:$BA=$BI32)*($BC:$BC=_xlfn.NUMBERVALUE($BM32)))),""),"")</f>
        <v/>
      </c>
      <c r="EB32" s="10" t="str" cm="1">
        <f t="array" ref="EB32">IF($BN32&lt;&gt;"",IFERROR(AVERAGE(_xlfn._xlws.FILTER($BE:$BE,($BA:$BA=$BI32)*($BC:$BC=_xlfn.NUMBERVALUE($BN32)))),""),"")</f>
        <v/>
      </c>
      <c r="EC32" s="10" t="str" cm="1">
        <f t="array" ref="EC32">IF($BO32&lt;&gt;"",IFERROR(AVERAGE(_xlfn._xlws.FILTER($BE:$BE,($BA:$BA=$BI32)*($BC:$BC=_xlfn.NUMBERVALUE($BO32)))),""),"")</f>
        <v/>
      </c>
    </row>
    <row r="33" spans="6:133" x14ac:dyDescent="0.3">
      <c r="F33" s="23">
        <v>22</v>
      </c>
      <c r="G33" s="23" t="str">
        <v>LOT0898</v>
      </c>
      <c r="H33" s="32">
        <v>45679</v>
      </c>
      <c r="I33" s="23">
        <v>4</v>
      </c>
      <c r="J33" s="23">
        <v>162</v>
      </c>
      <c r="K33" s="23">
        <v>23</v>
      </c>
      <c r="L33" s="23" cm="1">
        <f t="array" ref="L33">COUNT(_xlfn._xlws.FILTER(BA:BA,(BA:BA=_xlfn.NUMBERVALUE(F33))*(BC:BC=_xlfn.NUMBERVALUE($C$2))*((BD:BD&lt;$C$2+$D$2)*(BD:BD&gt;$C$2-$D$2))))</f>
        <v>23</v>
      </c>
      <c r="M33" s="21">
        <f t="shared" si="0"/>
        <v>100</v>
      </c>
      <c r="N33" s="23" cm="1">
        <f t="array" ref="N33">COUNT(_xlfn._xlws.FILTER(BA:BA,(BA:BA=_xlfn.NUMBERVALUE(F33))*(BC:BC=_xlfn.NUMBERVALUE($C$2))*((BD:BD&gt;$C$2+$D$2)*(BD:BD&lt;$C$2+2*$D$2)+(BD:BD&lt;$C$2-$D$2)*(BD:BD&gt;$C$2-2*$D$2))))</f>
        <v>0</v>
      </c>
      <c r="O33" s="21">
        <f t="shared" si="1"/>
        <v>0</v>
      </c>
      <c r="P33" s="23" cm="1">
        <f t="array" ref="P33">COUNT(_xlfn._xlws.FILTER(BA:BA,(BA:BA=_xlfn.NUMBERVALUE(F33))*(BC:BC=_xlfn.NUMBERVALUE($C$2))*((BD:BD&gt;$C$2+2*$D$2)*(BD:BD&lt;$C$2+3*$D$2)+(BD:BD&lt;$C$2-2*$D$2)*(BD:BD&gt;$C$2-3*$D$2))))</f>
        <v>0</v>
      </c>
      <c r="Q33" s="21">
        <f t="shared" si="17"/>
        <v>0</v>
      </c>
      <c r="R33" s="23" cm="1">
        <f t="array" ref="R33">COUNT(_xlfn._xlws.FILTER(BA:BA,(BA:BA=_xlfn.NUMBERVALUE(F33))*(BC:BC=_xlfn.NUMBERVALUE($C$2))*((BD:BD&gt;$C$2+3*$D$2)+(BD:BD&lt;$C$2-3*$D$2))))</f>
        <v>0</v>
      </c>
      <c r="S33" s="21">
        <f t="shared" si="3"/>
        <v>0</v>
      </c>
      <c r="T33" s="23">
        <v>46</v>
      </c>
      <c r="U33" s="23" cm="1">
        <f t="array" ref="U33">COUNT(_xlfn._xlws.FILTER(BA:BA,(BA:BA=F33)*(BC:BC=_xlfn.NUMBERVALUE($C$3))*((BD:BD&lt;=$C$3+$D$3)*(BD:BD&gt;$C$3-$D$3))))</f>
        <v>27</v>
      </c>
      <c r="V33" s="21">
        <f t="shared" si="16"/>
        <v>58.695652173913047</v>
      </c>
      <c r="W33" s="23" cm="1">
        <f t="array" ref="W33">COUNT(_xlfn._xlws.FILTER(BA:BA,(BA:BA=F33)*(BC:BC=_xlfn.NUMBERVALUE($C$3))*((BD:BD&gt;$C$3+$D$3)*(BD:BD&lt;$C$3+2*$D$3)+(BD:BD&lt;$C$3-$D$3)*(BD:BD&gt;$C$3-2*$D$3))))</f>
        <v>19</v>
      </c>
      <c r="X33" s="21">
        <f t="shared" si="5"/>
        <v>41.304347826086953</v>
      </c>
      <c r="Y33" s="23" cm="1">
        <f t="array" ref="Y33">COUNT(_xlfn._xlws.FILTER(BA:BA,(BA:BA=F33)*(BC:BC=_xlfn.NUMBERVALUE($C$3))*((BD:BD&gt;$C$3+2*$D$3)*(BD:BD&lt;$C$3+3*$D$3)+(BD:BD&lt;$C$3-2*$D$3)*(BD:BD&gt;$C$3-3*$D$3))))</f>
        <v>0</v>
      </c>
      <c r="Z33" s="21">
        <f t="shared" si="6"/>
        <v>0</v>
      </c>
      <c r="AA33" s="23" cm="1">
        <f t="array" ref="AA33">COUNT(_xlfn._xlws.FILTER(BA:BA,(BA:BA=F33)*(BC:BC=_xlfn.NUMBERVALUE($C$3))*((BD:BD&gt;=$C$3+3*$D$3)+(BD:BD&lt;=$C$3-3*$D$3))))</f>
        <v>0</v>
      </c>
      <c r="AB33" s="21">
        <f t="shared" si="7"/>
        <v>0</v>
      </c>
      <c r="AC33" s="23">
        <v>46</v>
      </c>
      <c r="AD33" s="23" cm="1">
        <f t="array" ref="AD33">COUNT(_xlfn._xlws.FILTER(BA:BA,(BA:BA=F33)*(BC:BC=_xlfn.NUMBERVALUE($C$4))*((BD:BD&lt;=$C$4+$D$4)*(BD:BD&gt;$C$4-$D$4))))</f>
        <v>21</v>
      </c>
      <c r="AE33" s="21">
        <f t="shared" si="8"/>
        <v>45.652173913043477</v>
      </c>
      <c r="AF33" s="23" cm="1">
        <f t="array" ref="AF33">COUNT(_xlfn._xlws.FILTER(BA:BA,(BA:BA=F33)*(BC:BC=_xlfn.NUMBERVALUE($C$4))*((BD:BD&gt;$C$4+$D$4)*(BD:BD&lt;$C$4+2*$D$4)+(BD:BD&lt;$C$4-$D$4)*(BD:BD&gt;$C$4-2*$D$4))))</f>
        <v>25</v>
      </c>
      <c r="AG33" s="21">
        <f t="shared" si="9"/>
        <v>54.347826086956516</v>
      </c>
      <c r="AH33" s="23" cm="1">
        <f t="array" ref="AH33">COUNT(_xlfn._xlws.FILTER(BA:BA,(BA:BA=F33)*(BC:BC=_xlfn.NUMBERVALUE($C$4))*((BD:BD&gt;$C$4+2*$D$4)*(BD:BD&lt;$C$4+3*$D$4)+(BD:BD&lt;$C$4-2*$D$4)*(BD:BD&gt;$C$4-3*$D$4))))</f>
        <v>0</v>
      </c>
      <c r="AI33" s="21">
        <f t="shared" si="10"/>
        <v>0</v>
      </c>
      <c r="AJ33" s="23" cm="1">
        <f t="array" ref="AJ33">COUNT(_xlfn._xlws.FILTER(BA:BA,(BA:BA=F33)*(BC:BC=_xlfn.NUMBERVALUE($C$4))*((BD:BD&gt;$C$4+3*$D$4)+(BD:BD&lt;$C$4-3*$D$4))))</f>
        <v>0</v>
      </c>
      <c r="AK33" s="21">
        <f t="shared" si="11"/>
        <v>0</v>
      </c>
      <c r="AL33" s="23">
        <v>46</v>
      </c>
      <c r="AM33" s="23" cm="1">
        <f t="array" ref="AM33">COUNT(_xlfn._xlws.FILTER(BA:BA,(BA:BA=F33)*(BC:BC=_xlfn.NUMBERVALUE($C$5))*((BD:BD&lt;=$C$5+$D$5)*(BD:BD&gt;$C$5-$D$5))))</f>
        <v>24</v>
      </c>
      <c r="AN33" s="21">
        <f t="shared" si="12"/>
        <v>52.173913043478258</v>
      </c>
      <c r="AO33" s="23" cm="1">
        <f t="array" ref="AO33">COUNT(_xlfn._xlws.FILTER(BA:BA,(BA:BA=F33)*(BC:BC=_xlfn.NUMBERVALUE($C$5))*((BD:BD&gt;$C$5+$D$5)*(BD:BD&lt;$C$5+2*$D$5)+(BD:BD&lt;$C$5-$D$5)*(BD:BD&gt;$C$5-2*$D$5))))</f>
        <v>23</v>
      </c>
      <c r="AP33" s="21">
        <f t="shared" si="13"/>
        <v>50</v>
      </c>
      <c r="AQ33" s="23" cm="1">
        <f t="array" ref="AQ33">COUNT(_xlfn._xlws.FILTER(BA:BA,(BA:BA=F33)*(BC:BC=_xlfn.NUMBERVALUE($C$5))*((BD:BD&gt;$C$5+2*$D$5)*(BD:BD&lt;$C$5+3*$D$5)+(BD:BD&lt;$C$5-2*$D$5)*(BD:BD&gt;$C$5-3*$D$5))))</f>
        <v>0</v>
      </c>
      <c r="AR33" s="21">
        <f t="shared" si="14"/>
        <v>0</v>
      </c>
      <c r="AS33" s="23" cm="1">
        <f t="array" ref="AS33">COUNT(_xlfn._xlws.FILTER(BA:BA,(BA:BA=F33)*(BC:BC=_xlfn.NUMBERVALUE($C$5))*((BD:BD&gt;$C$5+3*$D$5)+(BD:BD&lt;$C$5-3*$D$5))))</f>
        <v>0</v>
      </c>
      <c r="AT33" s="21">
        <f t="shared" si="15"/>
        <v>0</v>
      </c>
      <c r="AW33" s="1">
        <v>2.1</v>
      </c>
      <c r="AX33" s="1">
        <v>2.1</v>
      </c>
      <c r="AY33" t="str">
        <v>R080_HI782-0_0.0_LOT0367_PWW49.2_QC.xlsx</v>
      </c>
      <c r="AZ33" t="str">
        <v>LOT0367</v>
      </c>
      <c r="BA33" s="3">
        <v>2</v>
      </c>
      <c r="BB33" t="str">
        <v>P/Final</v>
      </c>
      <c r="BC33">
        <v>60</v>
      </c>
      <c r="BD33" s="10">
        <v>61.8</v>
      </c>
      <c r="BE33" s="10">
        <v>0</v>
      </c>
      <c r="BF33" s="10">
        <v>0</v>
      </c>
      <c r="BG33" s="13">
        <v>45300</v>
      </c>
      <c r="BP33" s="10" t="str" cm="1">
        <f t="array" ref="BP33">IF($BJ33&lt;&gt;"",IFERROR(AVERAGE(_xlfn._xlws.FILTER($BD:$BD,($BA:$BA=$BI33)*($BC:$BC=_xlfn.NUMBERVALUE($BJ33)))),""),"")</f>
        <v/>
      </c>
      <c r="BQ33" s="10" t="str" cm="1">
        <f t="array" ref="BQ33">IF($BK33&lt;&gt;"",IFERROR(AVERAGE(_xlfn._xlws.FILTER($BD:$BD,($BA:$BA=$BI33)*($BC:$BC=_xlfn.NUMBERVALUE($BK33)))),""),"")</f>
        <v/>
      </c>
      <c r="BR33" s="10" t="str" cm="1">
        <f t="array" ref="BR33">IF($BL33&lt;&gt;"",IFERROR(AVERAGE(_xlfn._xlws.FILTER($BD:$BD,($BA:$BA=$BI33)*($BC:$BC=_xlfn.NUMBERVALUE($BL33)))),""),"")</f>
        <v/>
      </c>
      <c r="BS33" s="10" t="str" cm="1">
        <f t="array" ref="BS33">IF($BM33&lt;&gt;"",IFERROR(AVERAGE(_xlfn._xlws.FILTER($BD:$BD,($BA:$BA=$BI33)*($BC:$BC=_xlfn.NUMBERVALUE($BM33)))),""),"")</f>
        <v/>
      </c>
      <c r="BT33" s="10" t="str" cm="1">
        <f t="array" ref="BT33">IF($BN33&lt;&gt;"",IFERROR(AVERAGE(_xlfn._xlws.FILTER($BD:$BD,($BA:$BA=$BI33)*($BC:$BC=_xlfn.NUMBERVALUE($BN33)))),""),"")</f>
        <v/>
      </c>
      <c r="BU33" s="10" t="str" cm="1">
        <f t="array" ref="BU33">IF($BO33&lt;&gt;"",IFERROR(AVERAGE(_xlfn._xlws.FILTER($BD:$BD,($BA:$BA=$BI33)*($BC:$BC=_xlfn.NUMBERVALUE($BO33)))),""),"")</f>
        <v/>
      </c>
      <c r="DL33" s="10" t="str" cm="1">
        <f t="array" ref="DL33">IF($BJ33&lt;&gt;"",IFERROR(AVERAGE(_xlfn._xlws.FILTER($BD:$BD,($BA:$BA=$BI33)*($BC:$BC=_xlfn.NUMBERVALUE($BJ33)))),""),"")</f>
        <v/>
      </c>
      <c r="DM33" s="10" t="str" cm="1">
        <f t="array" ref="DM33">IF($BK33&lt;&gt;"",IFERROR(AVERAGE(_xlfn._xlws.FILTER($BD:$BD,($BA:$BA=$BI33)*($BC:$BC=_xlfn.NUMBERVALUE($BK33)))),""),"")</f>
        <v/>
      </c>
      <c r="DN33" s="10" t="str" cm="1">
        <f t="array" ref="DN33">IF($BL33&lt;&gt;"",IFERROR(AVERAGE(_xlfn._xlws.FILTER($BD:$BD,($BA:$BA=$BI33)*($BC:$BC=_xlfn.NUMBERVALUE($BL33)))),""),"")</f>
        <v/>
      </c>
      <c r="DO33" s="10" t="str" cm="1">
        <f t="array" ref="DO33">IF($BM33&lt;&gt;"",IFERROR(AVERAGE(_xlfn._xlws.FILTER($BD:$BD,($BA:$BA=$BI33)*($BC:$BC=_xlfn.NUMBERVALUE($BM33)))),""),"")</f>
        <v/>
      </c>
      <c r="DP33" s="10" t="str" cm="1">
        <f t="array" ref="DP33">IF($BN33&lt;&gt;"",IFERROR(AVERAGE(_xlfn._xlws.FILTER($BD:$BD,($BA:$BA=$BI33)*($BC:$BC=_xlfn.NUMBERVALUE($BN33)))),""),"")</f>
        <v/>
      </c>
      <c r="DQ33" s="10" t="str" cm="1">
        <f t="array" ref="DQ33">IF($BO33&lt;&gt;"",IFERROR(AVERAGE(_xlfn._xlws.FILTER($BD:$BD,($BA:$BA=$BI33)*($BC:$BC=_xlfn.NUMBERVALUE($BO33)))),""),"")</f>
        <v/>
      </c>
      <c r="DX33" t="str" cm="1">
        <f t="array" ref="DX33">IF($BJ33&lt;&gt;"",IFERROR(AVERAGE(_xlfn._xlws.FILTER($BE:$BE,($BA:$BA=$BI33)*($BC:$BC=_xlfn.NUMBERVALUE($BJ33)))),""),"")</f>
        <v/>
      </c>
      <c r="DY33" s="10" t="str" cm="1">
        <f t="array" ref="DY33">IF($BK33&lt;&gt;"",IFERROR(AVERAGE(_xlfn._xlws.FILTER($BE:$BE,($BA:$BA=$BI33)*($BC:$BC=_xlfn.NUMBERVALUE($BK33)))),""),"")</f>
        <v/>
      </c>
      <c r="DZ33" s="10" t="str" cm="1">
        <f t="array" ref="DZ33">IF($BL33&lt;&gt;"",IFERROR(AVERAGE(_xlfn._xlws.FILTER($BE:$BE,($BA:$BA=$BI33)*($BC:$BC=_xlfn.NUMBERVALUE($BL33)))),""),"")</f>
        <v/>
      </c>
      <c r="EA33" s="10" t="str" cm="1">
        <f t="array" ref="EA33">IF($BM33&lt;&gt;"",IFERROR(AVERAGE(_xlfn._xlws.FILTER($BE:$BE,($BA:$BA=$BI33)*($BC:$BC=_xlfn.NUMBERVALUE($BM33)))),""),"")</f>
        <v/>
      </c>
      <c r="EB33" s="10" t="str" cm="1">
        <f t="array" ref="EB33">IF($BN33&lt;&gt;"",IFERROR(AVERAGE(_xlfn._xlws.FILTER($BE:$BE,($BA:$BA=$BI33)*($BC:$BC=_xlfn.NUMBERVALUE($BN33)))),""),"")</f>
        <v/>
      </c>
      <c r="EC33" s="10" t="str" cm="1">
        <f t="array" ref="EC33">IF($BO33&lt;&gt;"",IFERROR(AVERAGE(_xlfn._xlws.FILTER($BE:$BE,($BA:$BA=$BI33)*($BC:$BC=_xlfn.NUMBERVALUE($BO33)))),""),"")</f>
        <v/>
      </c>
    </row>
    <row r="34" spans="6:133" x14ac:dyDescent="0.3">
      <c r="F34" s="23">
        <v>23</v>
      </c>
      <c r="G34" s="23" t="str">
        <v>LOT0941</v>
      </c>
      <c r="H34" s="32">
        <v>45712</v>
      </c>
      <c r="I34" s="23">
        <v>9</v>
      </c>
      <c r="J34" s="23">
        <v>273</v>
      </c>
      <c r="K34" s="23">
        <v>25</v>
      </c>
      <c r="L34" s="23" cm="1">
        <f t="array" ref="L34">COUNT(_xlfn._xlws.FILTER(BA:BA,(BA:BA=_xlfn.NUMBERVALUE(F34))*(BC:BC=_xlfn.NUMBERVALUE($C$2))*((BD:BD&lt;$C$2+$D$2)*(BD:BD&gt;$C$2-$D$2))))</f>
        <v>25</v>
      </c>
      <c r="M34" s="21">
        <f t="shared" si="0"/>
        <v>100</v>
      </c>
      <c r="N34" s="23" cm="1">
        <f t="array" ref="N34">COUNT(_xlfn._xlws.FILTER(BA:BA,(BA:BA=_xlfn.NUMBERVALUE(F34))*(BC:BC=_xlfn.NUMBERVALUE($C$2))*((BD:BD&gt;$C$2+$D$2)*(BD:BD&lt;$C$2+2*$D$2)+(BD:BD&lt;$C$2-$D$2)*(BD:BD&gt;$C$2-2*$D$2))))</f>
        <v>0</v>
      </c>
      <c r="O34" s="21">
        <f t="shared" si="1"/>
        <v>0</v>
      </c>
      <c r="P34" s="23" cm="1">
        <f t="array" ref="P34">COUNT(_xlfn._xlws.FILTER(BA:BA,(BA:BA=_xlfn.NUMBERVALUE(F34))*(BC:BC=_xlfn.NUMBERVALUE($C$2))*((BD:BD&gt;$C$2+2*$D$2)*(BD:BD&lt;$C$2+3*$D$2)+(BD:BD&lt;$C$2-2*$D$2)*(BD:BD&gt;$C$2-3*$D$2))))</f>
        <v>0</v>
      </c>
      <c r="Q34" s="21">
        <f t="shared" si="17"/>
        <v>0</v>
      </c>
      <c r="R34" s="23" cm="1">
        <f t="array" ref="R34">COUNT(_xlfn._xlws.FILTER(BA:BA,(BA:BA=_xlfn.NUMBERVALUE(F34))*(BC:BC=_xlfn.NUMBERVALUE($C$2))*((BD:BD&gt;$C$2+3*$D$2)+(BD:BD&lt;$C$2-3*$D$2))))</f>
        <v>0</v>
      </c>
      <c r="S34" s="21">
        <f t="shared" si="3"/>
        <v>0</v>
      </c>
      <c r="T34" s="23">
        <v>78</v>
      </c>
      <c r="U34" s="23" cm="1">
        <f t="array" ref="U34">COUNT(_xlfn._xlws.FILTER(BA:BA,(BA:BA=F34)*(BC:BC=_xlfn.NUMBERVALUE($C$3))*((BD:BD&lt;=$C$3+$D$3)*(BD:BD&gt;$C$3-$D$3))))</f>
        <v>47</v>
      </c>
      <c r="V34" s="21">
        <f t="shared" si="16"/>
        <v>60.256410256410255</v>
      </c>
      <c r="W34" s="23" cm="1">
        <f t="array" ref="W34">COUNT(_xlfn._xlws.FILTER(BA:BA,(BA:BA=F34)*(BC:BC=_xlfn.NUMBERVALUE($C$3))*((BD:BD&gt;$C$3+$D$3)*(BD:BD&lt;$C$3+2*$D$3)+(BD:BD&lt;$C$3-$D$3)*(BD:BD&gt;$C$3-2*$D$3))))</f>
        <v>30</v>
      </c>
      <c r="X34" s="21">
        <f t="shared" si="5"/>
        <v>38.461538461538467</v>
      </c>
      <c r="Y34" s="23" cm="1">
        <f t="array" ref="Y34">COUNT(_xlfn._xlws.FILTER(BA:BA,(BA:BA=F34)*(BC:BC=_xlfn.NUMBERVALUE($C$3))*((BD:BD&gt;$C$3+2*$D$3)*(BD:BD&lt;$C$3+3*$D$3)+(BD:BD&lt;$C$3-2*$D$3)*(BD:BD&gt;$C$3-3*$D$3))))</f>
        <v>1</v>
      </c>
      <c r="Z34" s="21">
        <f t="shared" si="6"/>
        <v>1.2820512820512819</v>
      </c>
      <c r="AA34" s="23" cm="1">
        <f t="array" ref="AA34">COUNT(_xlfn._xlws.FILTER(BA:BA,(BA:BA=F34)*(BC:BC=_xlfn.NUMBERVALUE($C$3))*((BD:BD&gt;=$C$3+3*$D$3)+(BD:BD&lt;=$C$3-3*$D$3))))</f>
        <v>0</v>
      </c>
      <c r="AB34" s="21">
        <f t="shared" si="7"/>
        <v>0</v>
      </c>
      <c r="AC34" s="23">
        <v>78</v>
      </c>
      <c r="AD34" s="23" cm="1">
        <f t="array" ref="AD34">COUNT(_xlfn._xlws.FILTER(BA:BA,(BA:BA=F34)*(BC:BC=_xlfn.NUMBERVALUE($C$4))*((BD:BD&lt;=$C$4+$D$4)*(BD:BD&gt;$C$4-$D$4))))</f>
        <v>44</v>
      </c>
      <c r="AE34" s="21">
        <f t="shared" si="8"/>
        <v>56.410256410256409</v>
      </c>
      <c r="AF34" s="23" cm="1">
        <f t="array" ref="AF34">COUNT(_xlfn._xlws.FILTER(BA:BA,(BA:BA=F34)*(BC:BC=_xlfn.NUMBERVALUE($C$4))*((BD:BD&gt;$C$4+$D$4)*(BD:BD&lt;$C$4+2*$D$4)+(BD:BD&lt;$C$4-$D$4)*(BD:BD&gt;$C$4-2*$D$4))))</f>
        <v>35</v>
      </c>
      <c r="AG34" s="21">
        <f t="shared" si="9"/>
        <v>44.871794871794876</v>
      </c>
      <c r="AH34" s="23" cm="1">
        <f t="array" ref="AH34">COUNT(_xlfn._xlws.FILTER(BA:BA,(BA:BA=F34)*(BC:BC=_xlfn.NUMBERVALUE($C$4))*((BD:BD&gt;$C$4+2*$D$4)*(BD:BD&lt;$C$4+3*$D$4)+(BD:BD&lt;$C$4-2*$D$4)*(BD:BD&gt;$C$4-3*$D$4))))</f>
        <v>3</v>
      </c>
      <c r="AI34" s="21">
        <f t="shared" si="10"/>
        <v>3.8461538461538463</v>
      </c>
      <c r="AJ34" s="23" cm="1">
        <f t="array" ref="AJ34">COUNT(_xlfn._xlws.FILTER(BA:BA,(BA:BA=F34)*(BC:BC=_xlfn.NUMBERVALUE($C$4))*((BD:BD&gt;$C$4+3*$D$4)+(BD:BD&lt;$C$4-3*$D$4))))</f>
        <v>0</v>
      </c>
      <c r="AK34" s="21">
        <f t="shared" si="11"/>
        <v>0</v>
      </c>
      <c r="AL34" s="23">
        <v>78</v>
      </c>
      <c r="AM34" s="23" cm="1">
        <f t="array" ref="AM34">COUNT(_xlfn._xlws.FILTER(BA:BA,(BA:BA=F34)*(BC:BC=_xlfn.NUMBERVALUE($C$5))*((BD:BD&lt;=$C$5+$D$5)*(BD:BD&gt;$C$5-$D$5))))</f>
        <v>21</v>
      </c>
      <c r="AN34" s="21">
        <f t="shared" si="12"/>
        <v>26.923076923076923</v>
      </c>
      <c r="AO34" s="23" cm="1">
        <f t="array" ref="AO34">COUNT(_xlfn._xlws.FILTER(BA:BA,(BA:BA=F34)*(BC:BC=_xlfn.NUMBERVALUE($C$5))*((BD:BD&gt;$C$5+$D$5)*(BD:BD&lt;$C$5+2*$D$5)+(BD:BD&lt;$C$5-$D$5)*(BD:BD&gt;$C$5-2*$D$5))))</f>
        <v>51</v>
      </c>
      <c r="AP34" s="21">
        <f t="shared" si="13"/>
        <v>65.384615384615387</v>
      </c>
      <c r="AQ34" s="23" cm="1">
        <f t="array" ref="AQ34">COUNT(_xlfn._xlws.FILTER(BA:BA,(BA:BA=F34)*(BC:BC=_xlfn.NUMBERVALUE($C$5))*((BD:BD&gt;$C$5+2*$D$5)*(BD:BD&lt;$C$5+3*$D$5)+(BD:BD&lt;$C$5-2*$D$5)*(BD:BD&gt;$C$5-3*$D$5))))</f>
        <v>12</v>
      </c>
      <c r="AR34" s="21">
        <f t="shared" si="14"/>
        <v>15.384615384615385</v>
      </c>
      <c r="AS34" s="23" cm="1">
        <f t="array" ref="AS34">COUNT(_xlfn._xlws.FILTER(BA:BA,(BA:BA=F34)*(BC:BC=_xlfn.NUMBERVALUE($C$5))*((BD:BD&gt;$C$5+3*$D$5)+(BD:BD&lt;$C$5-3*$D$5))))</f>
        <v>4</v>
      </c>
      <c r="AT34" s="21">
        <f t="shared" si="15"/>
        <v>5.1282051282051277</v>
      </c>
      <c r="AW34" s="1">
        <v>2.1</v>
      </c>
      <c r="AX34" s="1">
        <v>2.1</v>
      </c>
      <c r="AY34" t="str">
        <v>R080_HI782-0_0.0_LOT0367_PWW49.2_QC.xlsx</v>
      </c>
      <c r="AZ34" t="str">
        <v>LOT0367</v>
      </c>
      <c r="BA34" s="3">
        <v>2</v>
      </c>
      <c r="BB34" t="str">
        <v>P/Final</v>
      </c>
      <c r="BC34">
        <v>60</v>
      </c>
      <c r="BD34" s="10">
        <v>62.6</v>
      </c>
      <c r="BE34" s="10">
        <v>0</v>
      </c>
      <c r="BF34" s="10">
        <v>0</v>
      </c>
      <c r="BG34" s="13">
        <v>45300</v>
      </c>
      <c r="BP34" s="10" t="str" cm="1">
        <f t="array" ref="BP34">IF($BJ34&lt;&gt;"",IFERROR(AVERAGE(_xlfn._xlws.FILTER($BD:$BD,($BA:$BA=$BI34)*($BC:$BC=_xlfn.NUMBERVALUE($BJ34)))),""),"")</f>
        <v/>
      </c>
      <c r="BQ34" s="10" t="str" cm="1">
        <f t="array" ref="BQ34">IF($BK34&lt;&gt;"",IFERROR(AVERAGE(_xlfn._xlws.FILTER($BD:$BD,($BA:$BA=$BI34)*($BC:$BC=_xlfn.NUMBERVALUE($BK34)))),""),"")</f>
        <v/>
      </c>
      <c r="BR34" s="10" t="str" cm="1">
        <f t="array" ref="BR34">IF($BL34&lt;&gt;"",IFERROR(AVERAGE(_xlfn._xlws.FILTER($BD:$BD,($BA:$BA=$BI34)*($BC:$BC=_xlfn.NUMBERVALUE($BL34)))),""),"")</f>
        <v/>
      </c>
      <c r="BS34" s="10" t="str" cm="1">
        <f t="array" ref="BS34">IF($BM34&lt;&gt;"",IFERROR(AVERAGE(_xlfn._xlws.FILTER($BD:$BD,($BA:$BA=$BI34)*($BC:$BC=_xlfn.NUMBERVALUE($BM34)))),""),"")</f>
        <v/>
      </c>
      <c r="BT34" s="10" t="str" cm="1">
        <f t="array" ref="BT34">IF($BN34&lt;&gt;"",IFERROR(AVERAGE(_xlfn._xlws.FILTER($BD:$BD,($BA:$BA=$BI34)*($BC:$BC=_xlfn.NUMBERVALUE($BN34)))),""),"")</f>
        <v/>
      </c>
      <c r="BU34" s="10" t="str" cm="1">
        <f t="array" ref="BU34">IF($BO34&lt;&gt;"",IFERROR(AVERAGE(_xlfn._xlws.FILTER($BD:$BD,($BA:$BA=$BI34)*($BC:$BC=_xlfn.NUMBERVALUE($BO34)))),""),"")</f>
        <v/>
      </c>
      <c r="DL34" s="10" t="str" cm="1">
        <f t="array" ref="DL34">IF($BJ34&lt;&gt;"",IFERROR(AVERAGE(_xlfn._xlws.FILTER($BD:$BD,($BA:$BA=$BI34)*($BC:$BC=_xlfn.NUMBERVALUE($BJ34)))),""),"")</f>
        <v/>
      </c>
      <c r="DM34" s="10" t="str" cm="1">
        <f t="array" ref="DM34">IF($BK34&lt;&gt;"",IFERROR(AVERAGE(_xlfn._xlws.FILTER($BD:$BD,($BA:$BA=$BI34)*($BC:$BC=_xlfn.NUMBERVALUE($BK34)))),""),"")</f>
        <v/>
      </c>
      <c r="DN34" s="10" t="str" cm="1">
        <f t="array" ref="DN34">IF($BL34&lt;&gt;"",IFERROR(AVERAGE(_xlfn._xlws.FILTER($BD:$BD,($BA:$BA=$BI34)*($BC:$BC=_xlfn.NUMBERVALUE($BL34)))),""),"")</f>
        <v/>
      </c>
      <c r="DO34" s="10" t="str" cm="1">
        <f t="array" ref="DO34">IF($BM34&lt;&gt;"",IFERROR(AVERAGE(_xlfn._xlws.FILTER($BD:$BD,($BA:$BA=$BI34)*($BC:$BC=_xlfn.NUMBERVALUE($BM34)))),""),"")</f>
        <v/>
      </c>
      <c r="DP34" s="10" t="str" cm="1">
        <f t="array" ref="DP34">IF($BN34&lt;&gt;"",IFERROR(AVERAGE(_xlfn._xlws.FILTER($BD:$BD,($BA:$BA=$BI34)*($BC:$BC=_xlfn.NUMBERVALUE($BN34)))),""),"")</f>
        <v/>
      </c>
      <c r="DQ34" s="10" t="str" cm="1">
        <f t="array" ref="DQ34">IF($BO34&lt;&gt;"",IFERROR(AVERAGE(_xlfn._xlws.FILTER($BD:$BD,($BA:$BA=$BI34)*($BC:$BC=_xlfn.NUMBERVALUE($BO34)))),""),"")</f>
        <v/>
      </c>
      <c r="DX34" t="str" cm="1">
        <f t="array" ref="DX34">IF($BJ34&lt;&gt;"",IFERROR(AVERAGE(_xlfn._xlws.FILTER($BE:$BE,($BA:$BA=$BI34)*($BC:$BC=_xlfn.NUMBERVALUE($BJ34)))),""),"")</f>
        <v/>
      </c>
      <c r="DY34" s="10" t="str" cm="1">
        <f t="array" ref="DY34">IF($BK34&lt;&gt;"",IFERROR(AVERAGE(_xlfn._xlws.FILTER($BE:$BE,($BA:$BA=$BI34)*($BC:$BC=_xlfn.NUMBERVALUE($BK34)))),""),"")</f>
        <v/>
      </c>
      <c r="DZ34" s="10" t="str" cm="1">
        <f t="array" ref="DZ34">IF($BL34&lt;&gt;"",IFERROR(AVERAGE(_xlfn._xlws.FILTER($BE:$BE,($BA:$BA=$BI34)*($BC:$BC=_xlfn.NUMBERVALUE($BL34)))),""),"")</f>
        <v/>
      </c>
      <c r="EA34" s="10" t="str" cm="1">
        <f t="array" ref="EA34">IF($BM34&lt;&gt;"",IFERROR(AVERAGE(_xlfn._xlws.FILTER($BE:$BE,($BA:$BA=$BI34)*($BC:$BC=_xlfn.NUMBERVALUE($BM34)))),""),"")</f>
        <v/>
      </c>
      <c r="EB34" s="10" t="str" cm="1">
        <f t="array" ref="EB34">IF($BN34&lt;&gt;"",IFERROR(AVERAGE(_xlfn._xlws.FILTER($BE:$BE,($BA:$BA=$BI34)*($BC:$BC=_xlfn.NUMBERVALUE($BN34)))),""),"")</f>
        <v/>
      </c>
      <c r="EC34" s="10" t="str" cm="1">
        <f t="array" ref="EC34">IF($BO34&lt;&gt;"",IFERROR(AVERAGE(_xlfn._xlws.FILTER($BE:$BE,($BA:$BA=$BI34)*($BC:$BC=_xlfn.NUMBERVALUE($BO34)))),""),"")</f>
        <v/>
      </c>
    </row>
    <row r="35" spans="6:133" x14ac:dyDescent="0.3">
      <c r="F35" s="23">
        <v>24</v>
      </c>
      <c r="G35" s="23" t="str">
        <v>LOT0970</v>
      </c>
      <c r="H35" s="32">
        <v>45740</v>
      </c>
      <c r="I35" s="23">
        <v>13</v>
      </c>
      <c r="J35" s="23">
        <v>202</v>
      </c>
      <c r="K35" s="23">
        <v>10</v>
      </c>
      <c r="L35" s="23" cm="1">
        <f t="array" ref="L35">COUNT(_xlfn._xlws.FILTER(BA:BA,(BA:BA=_xlfn.NUMBERVALUE(F35))*(BC:BC=_xlfn.NUMBERVALUE($C$2))*((BD:BD&lt;$C$2+$D$2)*(BD:BD&gt;$C$2-$D$2))))</f>
        <v>10</v>
      </c>
      <c r="M35" s="21">
        <f t="shared" si="0"/>
        <v>100</v>
      </c>
      <c r="N35" s="23" cm="1">
        <f t="array" ref="N35">COUNT(_xlfn._xlws.FILTER(BA:BA,(BA:BA=_xlfn.NUMBERVALUE(F35))*(BC:BC=_xlfn.NUMBERVALUE($C$2))*((BD:BD&gt;$C$2+$D$2)*(BD:BD&lt;$C$2+2*$D$2)+(BD:BD&lt;$C$2-$D$2)*(BD:BD&gt;$C$2-2*$D$2))))</f>
        <v>0</v>
      </c>
      <c r="O35" s="21">
        <f t="shared" si="1"/>
        <v>0</v>
      </c>
      <c r="P35" s="23" cm="1">
        <f t="array" ref="P35">COUNT(_xlfn._xlws.FILTER(BA:BA,(BA:BA=_xlfn.NUMBERVALUE(F35))*(BC:BC=_xlfn.NUMBERVALUE($C$2))*((BD:BD&gt;$C$2+2*$D$2)*(BD:BD&lt;$C$2+3*$D$2)+(BD:BD&lt;$C$2-2*$D$2)*(BD:BD&gt;$C$2-3*$D$2))))</f>
        <v>0</v>
      </c>
      <c r="Q35" s="21">
        <f t="shared" si="17"/>
        <v>0</v>
      </c>
      <c r="R35" s="23" cm="1">
        <f t="array" ref="R35">COUNT(_xlfn._xlws.FILTER(BA:BA,(BA:BA=_xlfn.NUMBERVALUE(F35))*(BC:BC=_xlfn.NUMBERVALUE($C$2))*((BD:BD&gt;$C$2+3*$D$2)+(BD:BD&lt;$C$2-3*$D$2))))</f>
        <v>0</v>
      </c>
      <c r="S35" s="21">
        <f t="shared" si="3"/>
        <v>0</v>
      </c>
      <c r="T35" s="23">
        <v>59</v>
      </c>
      <c r="U35" s="23" cm="1">
        <f t="array" ref="U35">COUNT(_xlfn._xlws.FILTER(BA:BA,(BA:BA=F35)*(BC:BC=_xlfn.NUMBERVALUE($C$3))*((BD:BD&lt;=$C$3+$D$3)*(BD:BD&gt;$C$3-$D$3))))</f>
        <v>40</v>
      </c>
      <c r="V35" s="21">
        <f t="shared" si="16"/>
        <v>67.796610169491515</v>
      </c>
      <c r="W35" s="23" cm="1">
        <f t="array" ref="W35">COUNT(_xlfn._xlws.FILTER(BA:BA,(BA:BA=F35)*(BC:BC=_xlfn.NUMBERVALUE($C$3))*((BD:BD&gt;$C$3+$D$3)*(BD:BD&lt;$C$3+2*$D$3)+(BD:BD&lt;$C$3-$D$3)*(BD:BD&gt;$C$3-2*$D$3))))</f>
        <v>18</v>
      </c>
      <c r="X35" s="21">
        <f t="shared" si="5"/>
        <v>30.508474576271187</v>
      </c>
      <c r="Y35" s="23" cm="1">
        <f t="array" ref="Y35">COUNT(_xlfn._xlws.FILTER(BA:BA,(BA:BA=F35)*(BC:BC=_xlfn.NUMBERVALUE($C$3))*((BD:BD&gt;$C$3+2*$D$3)*(BD:BD&lt;$C$3+3*$D$3)+(BD:BD&lt;$C$3-2*$D$3)*(BD:BD&gt;$C$3-3*$D$3))))</f>
        <v>1</v>
      </c>
      <c r="Z35" s="21">
        <f t="shared" si="6"/>
        <v>1.6949152542372881</v>
      </c>
      <c r="AA35" s="23" cm="1">
        <f t="array" ref="AA35">COUNT(_xlfn._xlws.FILTER(BA:BA,(BA:BA=F35)*(BC:BC=_xlfn.NUMBERVALUE($C$3))*((BD:BD&gt;=$C$3+3*$D$3)+(BD:BD&lt;=$C$3-3*$D$3))))</f>
        <v>0</v>
      </c>
      <c r="AB35" s="21">
        <f t="shared" si="7"/>
        <v>0</v>
      </c>
      <c r="AC35" s="23">
        <v>59</v>
      </c>
      <c r="AD35" s="23" cm="1">
        <f t="array" ref="AD35">COUNT(_xlfn._xlws.FILTER(BA:BA,(BA:BA=F35)*(BC:BC=_xlfn.NUMBERVALUE($C$4))*((BD:BD&lt;=$C$4+$D$4)*(BD:BD&gt;$C$4-$D$4))))</f>
        <v>17</v>
      </c>
      <c r="AE35" s="21">
        <f t="shared" si="8"/>
        <v>28.8135593220339</v>
      </c>
      <c r="AF35" s="23" cm="1">
        <f t="array" ref="AF35">COUNT(_xlfn._xlws.FILTER(BA:BA,(BA:BA=F35)*(BC:BC=_xlfn.NUMBERVALUE($C$4))*((BD:BD&gt;$C$4+$D$4)*(BD:BD&lt;$C$4+2*$D$4)+(BD:BD&lt;$C$4-$D$4)*(BD:BD&gt;$C$4-2*$D$4))))</f>
        <v>39</v>
      </c>
      <c r="AG35" s="21">
        <f t="shared" si="9"/>
        <v>66.101694915254242</v>
      </c>
      <c r="AH35" s="23" cm="1">
        <f t="array" ref="AH35">COUNT(_xlfn._xlws.FILTER(BA:BA,(BA:BA=F35)*(BC:BC=_xlfn.NUMBERVALUE($C$4))*((BD:BD&gt;$C$4+2*$D$4)*(BD:BD&lt;$C$4+3*$D$4)+(BD:BD&lt;$C$4-2*$D$4)*(BD:BD&gt;$C$4-3*$D$4))))</f>
        <v>10</v>
      </c>
      <c r="AI35" s="21">
        <f t="shared" si="10"/>
        <v>16.949152542372879</v>
      </c>
      <c r="AJ35" s="23" cm="1">
        <f t="array" ref="AJ35">COUNT(_xlfn._xlws.FILTER(BA:BA,(BA:BA=F35)*(BC:BC=_xlfn.NUMBERVALUE($C$4))*((BD:BD&gt;$C$4+3*$D$4)+(BD:BD&lt;$C$4-3*$D$4))))</f>
        <v>5</v>
      </c>
      <c r="AK35" s="21">
        <f t="shared" si="11"/>
        <v>8.4745762711864394</v>
      </c>
      <c r="AL35" s="23">
        <v>59</v>
      </c>
      <c r="AM35" s="23" cm="1">
        <f t="array" ref="AM35">COUNT(_xlfn._xlws.FILTER(BA:BA,(BA:BA=F35)*(BC:BC=_xlfn.NUMBERVALUE($C$5))*((BD:BD&lt;=$C$5+$D$5)*(BD:BD&gt;$C$5-$D$5))))</f>
        <v>28</v>
      </c>
      <c r="AN35" s="21">
        <f t="shared" si="12"/>
        <v>47.457627118644069</v>
      </c>
      <c r="AO35" s="23" cm="1">
        <f t="array" ref="AO35">COUNT(_xlfn._xlws.FILTER(BA:BA,(BA:BA=F35)*(BC:BC=_xlfn.NUMBERVALUE($C$5))*((BD:BD&gt;$C$5+$D$5)*(BD:BD&lt;$C$5+2*$D$5)+(BD:BD&lt;$C$5-$D$5)*(BD:BD&gt;$C$5-2*$D$5))))</f>
        <v>34</v>
      </c>
      <c r="AP35" s="21">
        <f t="shared" si="13"/>
        <v>57.627118644067799</v>
      </c>
      <c r="AQ35" s="23" cm="1">
        <f t="array" ref="AQ35">COUNT(_xlfn._xlws.FILTER(BA:BA,(BA:BA=F35)*(BC:BC=_xlfn.NUMBERVALUE($C$5))*((BD:BD&gt;$C$5+2*$D$5)*(BD:BD&lt;$C$5+3*$D$5)+(BD:BD&lt;$C$5-2*$D$5)*(BD:BD&gt;$C$5-3*$D$5))))</f>
        <v>0</v>
      </c>
      <c r="AR35" s="21">
        <f t="shared" si="14"/>
        <v>0</v>
      </c>
      <c r="AS35" s="23" cm="1">
        <f t="array" ref="AS35">COUNT(_xlfn._xlws.FILTER(BA:BA,(BA:BA=F35)*(BC:BC=_xlfn.NUMBERVALUE($C$5))*((BD:BD&gt;$C$5+3*$D$5)+(BD:BD&lt;$C$5-3*$D$5))))</f>
        <v>0</v>
      </c>
      <c r="AT35" s="21">
        <f t="shared" si="15"/>
        <v>0</v>
      </c>
      <c r="AW35" s="1">
        <v>2.1</v>
      </c>
      <c r="AX35" s="1">
        <v>2.1</v>
      </c>
      <c r="AY35" t="str">
        <v>R080_HI782-0_0.0_LOT0367_PWW49.2_QC.xlsx</v>
      </c>
      <c r="AZ35" t="str">
        <v>LOT0367</v>
      </c>
      <c r="BA35" s="3">
        <v>2</v>
      </c>
      <c r="BB35" t="str">
        <v>P/Final</v>
      </c>
      <c r="BC35">
        <v>60</v>
      </c>
      <c r="BD35" s="10">
        <v>63.4</v>
      </c>
      <c r="BE35" s="10">
        <v>0</v>
      </c>
      <c r="BF35" s="10">
        <v>0</v>
      </c>
      <c r="BG35" s="13">
        <v>45300</v>
      </c>
      <c r="BP35" s="10" t="str" cm="1">
        <f t="array" ref="BP35">IF($BJ35&lt;&gt;"",IFERROR(AVERAGE(_xlfn._xlws.FILTER($BD:$BD,($BA:$BA=$BI35)*($BC:$BC=_xlfn.NUMBERVALUE($BJ35)))),""),"")</f>
        <v/>
      </c>
      <c r="BQ35" s="10" t="str" cm="1">
        <f t="array" ref="BQ35">IF($BK35&lt;&gt;"",IFERROR(AVERAGE(_xlfn._xlws.FILTER($BD:$BD,($BA:$BA=$BI35)*($BC:$BC=_xlfn.NUMBERVALUE($BK35)))),""),"")</f>
        <v/>
      </c>
      <c r="BR35" s="10" t="str" cm="1">
        <f t="array" ref="BR35">IF($BL35&lt;&gt;"",IFERROR(AVERAGE(_xlfn._xlws.FILTER($BD:$BD,($BA:$BA=$BI35)*($BC:$BC=_xlfn.NUMBERVALUE($BL35)))),""),"")</f>
        <v/>
      </c>
      <c r="BS35" s="10" t="str" cm="1">
        <f t="array" ref="BS35">IF($BM35&lt;&gt;"",IFERROR(AVERAGE(_xlfn._xlws.FILTER($BD:$BD,($BA:$BA=$BI35)*($BC:$BC=_xlfn.NUMBERVALUE($BM35)))),""),"")</f>
        <v/>
      </c>
      <c r="BT35" s="10" t="str" cm="1">
        <f t="array" ref="BT35">IF($BN35&lt;&gt;"",IFERROR(AVERAGE(_xlfn._xlws.FILTER($BD:$BD,($BA:$BA=$BI35)*($BC:$BC=_xlfn.NUMBERVALUE($BN35)))),""),"")</f>
        <v/>
      </c>
      <c r="BU35" s="10" t="str" cm="1">
        <f t="array" ref="BU35">IF($BO35&lt;&gt;"",IFERROR(AVERAGE(_xlfn._xlws.FILTER($BD:$BD,($BA:$BA=$BI35)*($BC:$BC=_xlfn.NUMBERVALUE($BO35)))),""),"")</f>
        <v/>
      </c>
      <c r="DL35" s="10" t="str" cm="1">
        <f t="array" ref="DL35">IF($BJ35&lt;&gt;"",IFERROR(AVERAGE(_xlfn._xlws.FILTER($BD:$BD,($BA:$BA=$BI35)*($BC:$BC=_xlfn.NUMBERVALUE($BJ35)))),""),"")</f>
        <v/>
      </c>
      <c r="DM35" s="10" t="str" cm="1">
        <f t="array" ref="DM35">IF($BK35&lt;&gt;"",IFERROR(AVERAGE(_xlfn._xlws.FILTER($BD:$BD,($BA:$BA=$BI35)*($BC:$BC=_xlfn.NUMBERVALUE($BK35)))),""),"")</f>
        <v/>
      </c>
      <c r="DN35" s="10" t="str" cm="1">
        <f t="array" ref="DN35">IF($BL35&lt;&gt;"",IFERROR(AVERAGE(_xlfn._xlws.FILTER($BD:$BD,($BA:$BA=$BI35)*($BC:$BC=_xlfn.NUMBERVALUE($BL35)))),""),"")</f>
        <v/>
      </c>
      <c r="DO35" s="10" t="str" cm="1">
        <f t="array" ref="DO35">IF($BM35&lt;&gt;"",IFERROR(AVERAGE(_xlfn._xlws.FILTER($BD:$BD,($BA:$BA=$BI35)*($BC:$BC=_xlfn.NUMBERVALUE($BM35)))),""),"")</f>
        <v/>
      </c>
      <c r="DP35" s="10" t="str" cm="1">
        <f t="array" ref="DP35">IF($BN35&lt;&gt;"",IFERROR(AVERAGE(_xlfn._xlws.FILTER($BD:$BD,($BA:$BA=$BI35)*($BC:$BC=_xlfn.NUMBERVALUE($BN35)))),""),"")</f>
        <v/>
      </c>
      <c r="DQ35" s="10" t="str" cm="1">
        <f t="array" ref="DQ35">IF($BO35&lt;&gt;"",IFERROR(AVERAGE(_xlfn._xlws.FILTER($BD:$BD,($BA:$BA=$BI35)*($BC:$BC=_xlfn.NUMBERVALUE($BO35)))),""),"")</f>
        <v/>
      </c>
      <c r="DX35" t="str" cm="1">
        <f t="array" ref="DX35">IF($BJ35&lt;&gt;"",IFERROR(AVERAGE(_xlfn._xlws.FILTER($BE:$BE,($BA:$BA=$BI35)*($BC:$BC=_xlfn.NUMBERVALUE($BJ35)))),""),"")</f>
        <v/>
      </c>
      <c r="DY35" s="10" t="str" cm="1">
        <f t="array" ref="DY35">IF($BK35&lt;&gt;"",IFERROR(AVERAGE(_xlfn._xlws.FILTER($BE:$BE,($BA:$BA=$BI35)*($BC:$BC=_xlfn.NUMBERVALUE($BK35)))),""),"")</f>
        <v/>
      </c>
      <c r="DZ35" s="10" t="str" cm="1">
        <f t="array" ref="DZ35">IF($BL35&lt;&gt;"",IFERROR(AVERAGE(_xlfn._xlws.FILTER($BE:$BE,($BA:$BA=$BI35)*($BC:$BC=_xlfn.NUMBERVALUE($BL35)))),""),"")</f>
        <v/>
      </c>
      <c r="EA35" s="10" t="str" cm="1">
        <f t="array" ref="EA35">IF($BM35&lt;&gt;"",IFERROR(AVERAGE(_xlfn._xlws.FILTER($BE:$BE,($BA:$BA=$BI35)*($BC:$BC=_xlfn.NUMBERVALUE($BM35)))),""),"")</f>
        <v/>
      </c>
      <c r="EB35" s="10" t="str" cm="1">
        <f t="array" ref="EB35">IF($BN35&lt;&gt;"",IFERROR(AVERAGE(_xlfn._xlws.FILTER($BE:$BE,($BA:$BA=$BI35)*($BC:$BC=_xlfn.NUMBERVALUE($BN35)))),""),"")</f>
        <v/>
      </c>
      <c r="EC35" s="10" t="str" cm="1">
        <f t="array" ref="EC35">IF($BO35&lt;&gt;"",IFERROR(AVERAGE(_xlfn._xlws.FILTER($BE:$BE,($BA:$BA=$BI35)*($BC:$BC=_xlfn.NUMBERVALUE($BO35)))),""),"")</f>
        <v/>
      </c>
    </row>
    <row r="36" spans="6:133" x14ac:dyDescent="0.3">
      <c r="F36" s="23">
        <v>25</v>
      </c>
      <c r="G36" s="23" t="str">
        <v>LOT0972</v>
      </c>
      <c r="H36" s="32">
        <v>45743</v>
      </c>
      <c r="I36" s="23">
        <v>13</v>
      </c>
      <c r="J36" s="23">
        <v>115</v>
      </c>
      <c r="K36" s="23">
        <v>6</v>
      </c>
      <c r="L36" s="23" cm="1">
        <f t="array" ref="L36">COUNT(_xlfn._xlws.FILTER(BA:BA,(BA:BA=_xlfn.NUMBERVALUE(F36))*(BC:BC=_xlfn.NUMBERVALUE($C$2))*((BD:BD&lt;$C$2+$D$2)*(BD:BD&gt;$C$2-$D$2))))</f>
        <v>6</v>
      </c>
      <c r="M36" s="21">
        <f t="shared" si="0"/>
        <v>100</v>
      </c>
      <c r="N36" s="23" cm="1">
        <f t="array" ref="N36">COUNT(_xlfn._xlws.FILTER(BA:BA,(BA:BA=_xlfn.NUMBERVALUE(F36))*(BC:BC=_xlfn.NUMBERVALUE($C$2))*((BD:BD&gt;$C$2+$D$2)*(BD:BD&lt;$C$2+2*$D$2)+(BD:BD&lt;$C$2-$D$2)*(BD:BD&gt;$C$2-2*$D$2))))</f>
        <v>0</v>
      </c>
      <c r="O36" s="21">
        <f t="shared" si="1"/>
        <v>0</v>
      </c>
      <c r="P36" s="23" cm="1">
        <f t="array" ref="P36">COUNT(_xlfn._xlws.FILTER(BA:BA,(BA:BA=_xlfn.NUMBERVALUE(F36))*(BC:BC=_xlfn.NUMBERVALUE($C$2))*((BD:BD&gt;$C$2+2*$D$2)*(BD:BD&lt;$C$2+3*$D$2)+(BD:BD&lt;$C$2-2*$D$2)*(BD:BD&gt;$C$2-3*$D$2))))</f>
        <v>0</v>
      </c>
      <c r="Q36" s="21">
        <f t="shared" si="17"/>
        <v>0</v>
      </c>
      <c r="R36" s="23" cm="1">
        <f t="array" ref="R36">COUNT(_xlfn._xlws.FILTER(BA:BA,(BA:BA=_xlfn.NUMBERVALUE(F36))*(BC:BC=_xlfn.NUMBERVALUE($C$2))*((BD:BD&gt;$C$2+3*$D$2)+(BD:BD&lt;$C$2-3*$D$2))))</f>
        <v>0</v>
      </c>
      <c r="S36" s="21">
        <f t="shared" si="3"/>
        <v>0</v>
      </c>
      <c r="T36" s="23">
        <v>37</v>
      </c>
      <c r="U36" s="23" cm="1">
        <f t="array" ref="U36">COUNT(_xlfn._xlws.FILTER(BA:BA,(BA:BA=F36)*(BC:BC=_xlfn.NUMBERVALUE($C$3))*((BD:BD&lt;=$C$3+$D$3)*(BD:BD&gt;$C$3-$D$3))))</f>
        <v>20</v>
      </c>
      <c r="V36" s="21">
        <f t="shared" si="16"/>
        <v>54.054054054054056</v>
      </c>
      <c r="W36" s="23" cm="1">
        <f t="array" ref="W36">COUNT(_xlfn._xlws.FILTER(BA:BA,(BA:BA=F36)*(BC:BC=_xlfn.NUMBERVALUE($C$3))*((BD:BD&gt;$C$3+$D$3)*(BD:BD&lt;$C$3+2*$D$3)+(BD:BD&lt;$C$3-$D$3)*(BD:BD&gt;$C$3-2*$D$3))))</f>
        <v>16</v>
      </c>
      <c r="X36" s="21">
        <f t="shared" si="5"/>
        <v>43.243243243243242</v>
      </c>
      <c r="Y36" s="23" cm="1">
        <f t="array" ref="Y36">COUNT(_xlfn._xlws.FILTER(BA:BA,(BA:BA=F36)*(BC:BC=_xlfn.NUMBERVALUE($C$3))*((BD:BD&gt;$C$3+2*$D$3)*(BD:BD&lt;$C$3+3*$D$3)+(BD:BD&lt;$C$3-2*$D$3)*(BD:BD&gt;$C$3-3*$D$3))))</f>
        <v>0</v>
      </c>
      <c r="Z36" s="21">
        <f t="shared" si="6"/>
        <v>0</v>
      </c>
      <c r="AA36" s="23" cm="1">
        <f t="array" ref="AA36">COUNT(_xlfn._xlws.FILTER(BA:BA,(BA:BA=F36)*(BC:BC=_xlfn.NUMBERVALUE($C$3))*((BD:BD&gt;=$C$3+3*$D$3)+(BD:BD&lt;=$C$3-3*$D$3))))</f>
        <v>1</v>
      </c>
      <c r="AB36" s="21">
        <f t="shared" si="7"/>
        <v>2.7027027027027026</v>
      </c>
      <c r="AC36" s="23">
        <v>37</v>
      </c>
      <c r="AD36" s="23" cm="1">
        <f t="array" ref="AD36">COUNT(_xlfn._xlws.FILTER(BA:BA,(BA:BA=F36)*(BC:BC=_xlfn.NUMBERVALUE($C$4))*((BD:BD&lt;=$C$4+$D$4)*(BD:BD&gt;$C$4-$D$4))))</f>
        <v>18</v>
      </c>
      <c r="AE36" s="21">
        <f t="shared" si="8"/>
        <v>48.648648648648653</v>
      </c>
      <c r="AF36" s="23" cm="1">
        <f t="array" ref="AF36">COUNT(_xlfn._xlws.FILTER(BA:BA,(BA:BA=F36)*(BC:BC=_xlfn.NUMBERVALUE($C$4))*((BD:BD&gt;$C$4+$D$4)*(BD:BD&lt;$C$4+2*$D$4)+(BD:BD&lt;$C$4-$D$4)*(BD:BD&gt;$C$4-2*$D$4))))</f>
        <v>19</v>
      </c>
      <c r="AG36" s="21">
        <f t="shared" si="9"/>
        <v>51.351351351351347</v>
      </c>
      <c r="AH36" s="23" cm="1">
        <f t="array" ref="AH36">COUNT(_xlfn._xlws.FILTER(BA:BA,(BA:BA=F36)*(BC:BC=_xlfn.NUMBERVALUE($C$4))*((BD:BD&gt;$C$4+2*$D$4)*(BD:BD&lt;$C$4+3*$D$4)+(BD:BD&lt;$C$4-2*$D$4)*(BD:BD&gt;$C$4-3*$D$4))))</f>
        <v>1</v>
      </c>
      <c r="AI36" s="21">
        <f t="shared" si="10"/>
        <v>2.7027027027027026</v>
      </c>
      <c r="AJ36" s="23" cm="1">
        <f t="array" ref="AJ36">COUNT(_xlfn._xlws.FILTER(BA:BA,(BA:BA=F36)*(BC:BC=_xlfn.NUMBERVALUE($C$4))*((BD:BD&gt;$C$4+3*$D$4)+(BD:BD&lt;$C$4-3*$D$4))))</f>
        <v>0</v>
      </c>
      <c r="AK36" s="21">
        <f t="shared" si="11"/>
        <v>0</v>
      </c>
      <c r="AL36" s="23">
        <v>37</v>
      </c>
      <c r="AM36" s="23" cm="1">
        <f t="array" ref="AM36">COUNT(_xlfn._xlws.FILTER(BA:BA,(BA:BA=F36)*(BC:BC=_xlfn.NUMBERVALUE($C$5))*((BD:BD&lt;=$C$5+$D$5)*(BD:BD&gt;$C$5-$D$5))))</f>
        <v>20</v>
      </c>
      <c r="AN36" s="21">
        <f t="shared" si="12"/>
        <v>54.054054054054056</v>
      </c>
      <c r="AO36" s="23" cm="1">
        <f t="array" ref="AO36">COUNT(_xlfn._xlws.FILTER(BA:BA,(BA:BA=F36)*(BC:BC=_xlfn.NUMBERVALUE($C$5))*((BD:BD&gt;$C$5+$D$5)*(BD:BD&lt;$C$5+2*$D$5)+(BD:BD&lt;$C$5-$D$5)*(BD:BD&gt;$C$5-2*$D$5))))</f>
        <v>13</v>
      </c>
      <c r="AP36" s="21">
        <f t="shared" si="13"/>
        <v>35.135135135135137</v>
      </c>
      <c r="AQ36" s="23" cm="1">
        <f t="array" ref="AQ36">COUNT(_xlfn._xlws.FILTER(BA:BA,(BA:BA=F36)*(BC:BC=_xlfn.NUMBERVALUE($C$5))*((BD:BD&gt;$C$5+2*$D$5)*(BD:BD&lt;$C$5+3*$D$5)+(BD:BD&lt;$C$5-2*$D$5)*(BD:BD&gt;$C$5-3*$D$5))))</f>
        <v>0</v>
      </c>
      <c r="AR36" s="21">
        <f t="shared" si="14"/>
        <v>0</v>
      </c>
      <c r="AS36" s="23" cm="1">
        <f t="array" ref="AS36">COUNT(_xlfn._xlws.FILTER(BA:BA,(BA:BA=F36)*(BC:BC=_xlfn.NUMBERVALUE($C$5))*((BD:BD&gt;$C$5+3*$D$5)+(BD:BD&lt;$C$5-3*$D$5))))</f>
        <v>1</v>
      </c>
      <c r="AT36" s="21">
        <f t="shared" si="15"/>
        <v>2.7027027027027026</v>
      </c>
      <c r="AW36" s="1">
        <v>2.1</v>
      </c>
      <c r="AX36" s="1">
        <v>2.1</v>
      </c>
      <c r="AY36" t="str">
        <v>R080_HI782-0_0.0_LOT0367_PWW49.2_QC.xlsx</v>
      </c>
      <c r="AZ36" t="str">
        <v>LOT0367</v>
      </c>
      <c r="BA36" s="3">
        <v>2</v>
      </c>
      <c r="BB36" t="str">
        <v>P/Final</v>
      </c>
      <c r="BC36">
        <v>60</v>
      </c>
      <c r="BD36" s="10">
        <v>61.9</v>
      </c>
      <c r="BE36" s="10">
        <v>0</v>
      </c>
      <c r="BF36" s="10">
        <v>0</v>
      </c>
      <c r="BG36" s="13">
        <v>45300</v>
      </c>
      <c r="BP36" s="10" t="str" cm="1">
        <f t="array" ref="BP36">IF($BJ36&lt;&gt;"",IFERROR(AVERAGE(_xlfn._xlws.FILTER($BD:$BD,($BA:$BA=$BI36)*($BC:$BC=_xlfn.NUMBERVALUE($BJ36)))),""),"")</f>
        <v/>
      </c>
      <c r="BQ36" s="10" t="str" cm="1">
        <f t="array" ref="BQ36">IF($BK36&lt;&gt;"",IFERROR(AVERAGE(_xlfn._xlws.FILTER($BD:$BD,($BA:$BA=$BI36)*($BC:$BC=_xlfn.NUMBERVALUE($BK36)))),""),"")</f>
        <v/>
      </c>
      <c r="BR36" s="10" t="str" cm="1">
        <f t="array" ref="BR36">IF($BL36&lt;&gt;"",IFERROR(AVERAGE(_xlfn._xlws.FILTER($BD:$BD,($BA:$BA=$BI36)*($BC:$BC=_xlfn.NUMBERVALUE($BL36)))),""),"")</f>
        <v/>
      </c>
      <c r="BS36" s="10" t="str" cm="1">
        <f t="array" ref="BS36">IF($BM36&lt;&gt;"",IFERROR(AVERAGE(_xlfn._xlws.FILTER($BD:$BD,($BA:$BA=$BI36)*($BC:$BC=_xlfn.NUMBERVALUE($BM36)))),""),"")</f>
        <v/>
      </c>
      <c r="BT36" s="10" t="str" cm="1">
        <f t="array" ref="BT36">IF($BN36&lt;&gt;"",IFERROR(AVERAGE(_xlfn._xlws.FILTER($BD:$BD,($BA:$BA=$BI36)*($BC:$BC=_xlfn.NUMBERVALUE($BN36)))),""),"")</f>
        <v/>
      </c>
      <c r="BU36" s="10" t="str" cm="1">
        <f t="array" ref="BU36">IF($BO36&lt;&gt;"",IFERROR(AVERAGE(_xlfn._xlws.FILTER($BD:$BD,($BA:$BA=$BI36)*($BC:$BC=_xlfn.NUMBERVALUE($BO36)))),""),"")</f>
        <v/>
      </c>
      <c r="DL36" s="10" t="str" cm="1">
        <f t="array" ref="DL36">IF($BJ36&lt;&gt;"",IFERROR(AVERAGE(_xlfn._xlws.FILTER($BD:$BD,($BA:$BA=$BI36)*($BC:$BC=_xlfn.NUMBERVALUE($BJ36)))),""),"")</f>
        <v/>
      </c>
      <c r="DM36" s="10" t="str" cm="1">
        <f t="array" ref="DM36">IF($BK36&lt;&gt;"",IFERROR(AVERAGE(_xlfn._xlws.FILTER($BD:$BD,($BA:$BA=$BI36)*($BC:$BC=_xlfn.NUMBERVALUE($BK36)))),""),"")</f>
        <v/>
      </c>
      <c r="DN36" s="10" t="str" cm="1">
        <f t="array" ref="DN36">IF($BL36&lt;&gt;"",IFERROR(AVERAGE(_xlfn._xlws.FILTER($BD:$BD,($BA:$BA=$BI36)*($BC:$BC=_xlfn.NUMBERVALUE($BL36)))),""),"")</f>
        <v/>
      </c>
      <c r="DO36" s="10" t="str" cm="1">
        <f t="array" ref="DO36">IF($BM36&lt;&gt;"",IFERROR(AVERAGE(_xlfn._xlws.FILTER($BD:$BD,($BA:$BA=$BI36)*($BC:$BC=_xlfn.NUMBERVALUE($BM36)))),""),"")</f>
        <v/>
      </c>
      <c r="DP36" s="10" t="str" cm="1">
        <f t="array" ref="DP36">IF($BN36&lt;&gt;"",IFERROR(AVERAGE(_xlfn._xlws.FILTER($BD:$BD,($BA:$BA=$BI36)*($BC:$BC=_xlfn.NUMBERVALUE($BN36)))),""),"")</f>
        <v/>
      </c>
      <c r="DQ36" s="10" t="str" cm="1">
        <f t="array" ref="DQ36">IF($BO36&lt;&gt;"",IFERROR(AVERAGE(_xlfn._xlws.FILTER($BD:$BD,($BA:$BA=$BI36)*($BC:$BC=_xlfn.NUMBERVALUE($BO36)))),""),"")</f>
        <v/>
      </c>
      <c r="DX36" t="str" cm="1">
        <f t="array" ref="DX36">IF($BJ36&lt;&gt;"",IFERROR(AVERAGE(_xlfn._xlws.FILTER($BE:$BE,($BA:$BA=$BI36)*($BC:$BC=_xlfn.NUMBERVALUE($BJ36)))),""),"")</f>
        <v/>
      </c>
      <c r="DY36" s="10" t="str" cm="1">
        <f t="array" ref="DY36">IF($BK36&lt;&gt;"",IFERROR(AVERAGE(_xlfn._xlws.FILTER($BE:$BE,($BA:$BA=$BI36)*($BC:$BC=_xlfn.NUMBERVALUE($BK36)))),""),"")</f>
        <v/>
      </c>
      <c r="DZ36" s="10" t="str" cm="1">
        <f t="array" ref="DZ36">IF($BL36&lt;&gt;"",IFERROR(AVERAGE(_xlfn._xlws.FILTER($BE:$BE,($BA:$BA=$BI36)*($BC:$BC=_xlfn.NUMBERVALUE($BL36)))),""),"")</f>
        <v/>
      </c>
      <c r="EA36" s="10" t="str" cm="1">
        <f t="array" ref="EA36">IF($BM36&lt;&gt;"",IFERROR(AVERAGE(_xlfn._xlws.FILTER($BE:$BE,($BA:$BA=$BI36)*($BC:$BC=_xlfn.NUMBERVALUE($BM36)))),""),"")</f>
        <v/>
      </c>
      <c r="EB36" s="10" t="str" cm="1">
        <f t="array" ref="EB36">IF($BN36&lt;&gt;"",IFERROR(AVERAGE(_xlfn._xlws.FILTER($BE:$BE,($BA:$BA=$BI36)*($BC:$BC=_xlfn.NUMBERVALUE($BN36)))),""),"")</f>
        <v/>
      </c>
      <c r="EC36" s="10" t="str" cm="1">
        <f t="array" ref="EC36">IF($BO36&lt;&gt;"",IFERROR(AVERAGE(_xlfn._xlws.FILTER($BE:$BE,($BA:$BA=$BI36)*($BC:$BC=_xlfn.NUMBERVALUE($BO36)))),""),"")</f>
        <v/>
      </c>
    </row>
    <row r="37" spans="6:133" x14ac:dyDescent="0.3">
      <c r="G37" s="1"/>
      <c r="H37" s="33"/>
      <c r="M37" s="20"/>
      <c r="O37" s="20"/>
      <c r="Q37" s="20"/>
      <c r="S37" s="20"/>
      <c r="V37" s="20"/>
      <c r="X37" s="20"/>
      <c r="Z37" s="20"/>
      <c r="AB37" s="20"/>
      <c r="AE37" s="20"/>
      <c r="AG37" s="20"/>
      <c r="AI37" s="20"/>
      <c r="AK37" s="20"/>
      <c r="AN37" s="20"/>
      <c r="AP37" s="20"/>
      <c r="AR37" s="20"/>
      <c r="AT37" s="20"/>
      <c r="AW37" s="1">
        <v>3.1</v>
      </c>
      <c r="AX37" s="1">
        <v>3.1</v>
      </c>
      <c r="AY37" t="str">
        <v>R080_HI782-0_0.0_LOT0418_PW3W.1_QC.xlsx</v>
      </c>
      <c r="AZ37" t="str">
        <v>LOT0418</v>
      </c>
      <c r="BA37" s="3">
        <v>3</v>
      </c>
      <c r="BB37" t="str">
        <v>P/Final</v>
      </c>
      <c r="BC37">
        <v>15</v>
      </c>
      <c r="BD37" s="10">
        <v>18</v>
      </c>
      <c r="BE37" s="10">
        <v>0</v>
      </c>
      <c r="BF37" s="10">
        <v>0</v>
      </c>
      <c r="BG37" s="13">
        <v>45310</v>
      </c>
      <c r="BP37" s="10" t="str" cm="1">
        <f t="array" ref="BP37">IF($BJ37&lt;&gt;"",IFERROR(AVERAGE(_xlfn._xlws.FILTER($BD:$BD,($BA:$BA=$BI37)*($BC:$BC=_xlfn.NUMBERVALUE($BJ37)))),""),"")</f>
        <v/>
      </c>
      <c r="BQ37" s="10" t="str" cm="1">
        <f t="array" ref="BQ37">IF($BK37&lt;&gt;"",IFERROR(AVERAGE(_xlfn._xlws.FILTER($BD:$BD,($BA:$BA=$BI37)*($BC:$BC=_xlfn.NUMBERVALUE($BK37)))),""),"")</f>
        <v/>
      </c>
      <c r="BR37" s="10" t="str" cm="1">
        <f t="array" ref="BR37">IF($BL37&lt;&gt;"",IFERROR(AVERAGE(_xlfn._xlws.FILTER($BD:$BD,($BA:$BA=$BI37)*($BC:$BC=_xlfn.NUMBERVALUE($BL37)))),""),"")</f>
        <v/>
      </c>
      <c r="BS37" s="10" t="str" cm="1">
        <f t="array" ref="BS37">IF($BM37&lt;&gt;"",IFERROR(AVERAGE(_xlfn._xlws.FILTER($BD:$BD,($BA:$BA=$BI37)*($BC:$BC=_xlfn.NUMBERVALUE($BM37)))),""),"")</f>
        <v/>
      </c>
      <c r="BT37" s="10" t="str" cm="1">
        <f t="array" ref="BT37">IF($BN37&lt;&gt;"",IFERROR(AVERAGE(_xlfn._xlws.FILTER($BD:$BD,($BA:$BA=$BI37)*($BC:$BC=_xlfn.NUMBERVALUE($BN37)))),""),"")</f>
        <v/>
      </c>
      <c r="BU37" s="10" t="str" cm="1">
        <f t="array" ref="BU37">IF($BO37&lt;&gt;"",IFERROR(AVERAGE(_xlfn._xlws.FILTER($BD:$BD,($BA:$BA=$BI37)*($BC:$BC=_xlfn.NUMBERVALUE($BO37)))),""),"")</f>
        <v/>
      </c>
      <c r="DL37" s="10" t="str" cm="1">
        <f t="array" ref="DL37">IF($BJ37&lt;&gt;"",IFERROR(AVERAGE(_xlfn._xlws.FILTER($BD:$BD,($BA:$BA=$BI37)*($BC:$BC=_xlfn.NUMBERVALUE($BJ37)))),""),"")</f>
        <v/>
      </c>
      <c r="DM37" s="10" t="str" cm="1">
        <f t="array" ref="DM37">IF($BK37&lt;&gt;"",IFERROR(AVERAGE(_xlfn._xlws.FILTER($BD:$BD,($BA:$BA=$BI37)*($BC:$BC=_xlfn.NUMBERVALUE($BK37)))),""),"")</f>
        <v/>
      </c>
      <c r="DN37" s="10" t="str" cm="1">
        <f t="array" ref="DN37">IF($BL37&lt;&gt;"",IFERROR(AVERAGE(_xlfn._xlws.FILTER($BD:$BD,($BA:$BA=$BI37)*($BC:$BC=_xlfn.NUMBERVALUE($BL37)))),""),"")</f>
        <v/>
      </c>
      <c r="DO37" s="10" t="str" cm="1">
        <f t="array" ref="DO37">IF($BM37&lt;&gt;"",IFERROR(AVERAGE(_xlfn._xlws.FILTER($BD:$BD,($BA:$BA=$BI37)*($BC:$BC=_xlfn.NUMBERVALUE($BM37)))),""),"")</f>
        <v/>
      </c>
      <c r="DP37" s="10" t="str" cm="1">
        <f t="array" ref="DP37">IF($BN37&lt;&gt;"",IFERROR(AVERAGE(_xlfn._xlws.FILTER($BD:$BD,($BA:$BA=$BI37)*($BC:$BC=_xlfn.NUMBERVALUE($BN37)))),""),"")</f>
        <v/>
      </c>
      <c r="DQ37" s="10" t="str" cm="1">
        <f t="array" ref="DQ37">IF($BO37&lt;&gt;"",IFERROR(AVERAGE(_xlfn._xlws.FILTER($BD:$BD,($BA:$BA=$BI37)*($BC:$BC=_xlfn.NUMBERVALUE($BO37)))),""),"")</f>
        <v/>
      </c>
      <c r="DX37" t="str" cm="1">
        <f t="array" ref="DX37">IF($BJ37&lt;&gt;"",IFERROR(AVERAGE(_xlfn._xlws.FILTER($BE:$BE,($BA:$BA=$BI37)*($BC:$BC=_xlfn.NUMBERVALUE($BJ37)))),""),"")</f>
        <v/>
      </c>
      <c r="DY37" s="10" t="str" cm="1">
        <f t="array" ref="DY37">IF($BK37&lt;&gt;"",IFERROR(AVERAGE(_xlfn._xlws.FILTER($BE:$BE,($BA:$BA=$BI37)*($BC:$BC=_xlfn.NUMBERVALUE($BK37)))),""),"")</f>
        <v/>
      </c>
      <c r="DZ37" s="10" t="str" cm="1">
        <f t="array" ref="DZ37">IF($BL37&lt;&gt;"",IFERROR(AVERAGE(_xlfn._xlws.FILTER($BE:$BE,($BA:$BA=$BI37)*($BC:$BC=_xlfn.NUMBERVALUE($BL37)))),""),"")</f>
        <v/>
      </c>
      <c r="EA37" s="10" t="str" cm="1">
        <f t="array" ref="EA37">IF($BM37&lt;&gt;"",IFERROR(AVERAGE(_xlfn._xlws.FILTER($BE:$BE,($BA:$BA=$BI37)*($BC:$BC=_xlfn.NUMBERVALUE($BM37)))),""),"")</f>
        <v/>
      </c>
      <c r="EB37" s="10" t="str" cm="1">
        <f t="array" ref="EB37">IF($BN37&lt;&gt;"",IFERROR(AVERAGE(_xlfn._xlws.FILTER($BE:$BE,($BA:$BA=$BI37)*($BC:$BC=_xlfn.NUMBERVALUE($BN37)))),""),"")</f>
        <v/>
      </c>
      <c r="EC37" s="10" t="str" cm="1">
        <f t="array" ref="EC37">IF($BO37&lt;&gt;"",IFERROR(AVERAGE(_xlfn._xlws.FILTER($BE:$BE,($BA:$BA=$BI37)*($BC:$BC=_xlfn.NUMBERVALUE($BO37)))),""),"")</f>
        <v/>
      </c>
    </row>
    <row r="38" spans="6:133" x14ac:dyDescent="0.3">
      <c r="G38" s="1"/>
      <c r="H38" s="33"/>
      <c r="M38" s="20"/>
      <c r="O38" s="20"/>
      <c r="Q38" s="20"/>
      <c r="S38" s="20"/>
      <c r="V38" s="20"/>
      <c r="X38" s="20"/>
      <c r="Z38" s="20"/>
      <c r="AB38" s="20"/>
      <c r="AE38" s="20"/>
      <c r="AG38" s="20"/>
      <c r="AI38" s="20"/>
      <c r="AK38" s="20"/>
      <c r="AN38" s="20"/>
      <c r="AP38" s="20"/>
      <c r="AR38" s="20"/>
      <c r="AT38" s="20"/>
      <c r="AW38" s="1">
        <v>3.1</v>
      </c>
      <c r="AX38" s="1">
        <v>3.1</v>
      </c>
      <c r="AY38" t="str">
        <v>R080_HI782-0_0.0_LOT0418_PW3W.1_QC.xlsx</v>
      </c>
      <c r="AZ38" t="str">
        <v>LOT0418</v>
      </c>
      <c r="BA38" s="3">
        <v>3</v>
      </c>
      <c r="BB38" t="str">
        <v>P/Final</v>
      </c>
      <c r="BC38">
        <v>0</v>
      </c>
      <c r="BD38" s="10">
        <v>0</v>
      </c>
      <c r="BE38" s="10">
        <v>0</v>
      </c>
      <c r="BF38" s="10">
        <v>0</v>
      </c>
      <c r="BG38" s="13">
        <v>45313</v>
      </c>
      <c r="BP38" s="10" t="str" cm="1">
        <f t="array" ref="BP38">IF($BJ38&lt;&gt;"",IFERROR(AVERAGE(_xlfn._xlws.FILTER($BD:$BD,($BA:$BA=$BI38)*($BC:$BC=_xlfn.NUMBERVALUE($BJ38)))),""),"")</f>
        <v/>
      </c>
      <c r="BQ38" s="10" t="str" cm="1">
        <f t="array" ref="BQ38">IF($BK38&lt;&gt;"",IFERROR(AVERAGE(_xlfn._xlws.FILTER($BD:$BD,($BA:$BA=$BI38)*($BC:$BC=_xlfn.NUMBERVALUE($BK38)))),""),"")</f>
        <v/>
      </c>
      <c r="BR38" s="10" t="str" cm="1">
        <f t="array" ref="BR38">IF($BL38&lt;&gt;"",IFERROR(AVERAGE(_xlfn._xlws.FILTER($BD:$BD,($BA:$BA=$BI38)*($BC:$BC=_xlfn.NUMBERVALUE($BL38)))),""),"")</f>
        <v/>
      </c>
      <c r="BS38" s="10" t="str" cm="1">
        <f t="array" ref="BS38">IF($BM38&lt;&gt;"",IFERROR(AVERAGE(_xlfn._xlws.FILTER($BD:$BD,($BA:$BA=$BI38)*($BC:$BC=_xlfn.NUMBERVALUE($BM38)))),""),"")</f>
        <v/>
      </c>
      <c r="BT38" s="10" t="str" cm="1">
        <f t="array" ref="BT38">IF($BN38&lt;&gt;"",IFERROR(AVERAGE(_xlfn._xlws.FILTER($BD:$BD,($BA:$BA=$BI38)*($BC:$BC=_xlfn.NUMBERVALUE($BN38)))),""),"")</f>
        <v/>
      </c>
      <c r="BU38" s="10" t="str" cm="1">
        <f t="array" ref="BU38">IF($BO38&lt;&gt;"",IFERROR(AVERAGE(_xlfn._xlws.FILTER($BD:$BD,($BA:$BA=$BI38)*($BC:$BC=_xlfn.NUMBERVALUE($BO38)))),""),"")</f>
        <v/>
      </c>
      <c r="DL38" s="10" t="str" cm="1">
        <f t="array" ref="DL38">IF($BJ38&lt;&gt;"",IFERROR(AVERAGE(_xlfn._xlws.FILTER($BD:$BD,($BA:$BA=$BI38)*($BC:$BC=_xlfn.NUMBERVALUE($BJ38)))),""),"")</f>
        <v/>
      </c>
      <c r="DM38" s="10" t="str" cm="1">
        <f t="array" ref="DM38">IF($BK38&lt;&gt;"",IFERROR(AVERAGE(_xlfn._xlws.FILTER($BD:$BD,($BA:$BA=$BI38)*($BC:$BC=_xlfn.NUMBERVALUE($BK38)))),""),"")</f>
        <v/>
      </c>
      <c r="DN38" s="10" t="str" cm="1">
        <f t="array" ref="DN38">IF($BL38&lt;&gt;"",IFERROR(AVERAGE(_xlfn._xlws.FILTER($BD:$BD,($BA:$BA=$BI38)*($BC:$BC=_xlfn.NUMBERVALUE($BL38)))),""),"")</f>
        <v/>
      </c>
      <c r="DO38" s="10" t="str" cm="1">
        <f t="array" ref="DO38">IF($BM38&lt;&gt;"",IFERROR(AVERAGE(_xlfn._xlws.FILTER($BD:$BD,($BA:$BA=$BI38)*($BC:$BC=_xlfn.NUMBERVALUE($BM38)))),""),"")</f>
        <v/>
      </c>
      <c r="DP38" s="10" t="str" cm="1">
        <f t="array" ref="DP38">IF($BN38&lt;&gt;"",IFERROR(AVERAGE(_xlfn._xlws.FILTER($BD:$BD,($BA:$BA=$BI38)*($BC:$BC=_xlfn.NUMBERVALUE($BN38)))),""),"")</f>
        <v/>
      </c>
      <c r="DQ38" s="10" t="str" cm="1">
        <f t="array" ref="DQ38">IF($BO38&lt;&gt;"",IFERROR(AVERAGE(_xlfn._xlws.FILTER($BD:$BD,($BA:$BA=$BI38)*($BC:$BC=_xlfn.NUMBERVALUE($BO38)))),""),"")</f>
        <v/>
      </c>
      <c r="DX38" t="str" cm="1">
        <f t="array" ref="DX38">IF($BJ38&lt;&gt;"",IFERROR(AVERAGE(_xlfn._xlws.FILTER($BE:$BE,($BA:$BA=$BI38)*($BC:$BC=_xlfn.NUMBERVALUE($BJ38)))),""),"")</f>
        <v/>
      </c>
      <c r="DY38" s="10" t="str" cm="1">
        <f t="array" ref="DY38">IF($BK38&lt;&gt;"",IFERROR(AVERAGE(_xlfn._xlws.FILTER($BE:$BE,($BA:$BA=$BI38)*($BC:$BC=_xlfn.NUMBERVALUE($BK38)))),""),"")</f>
        <v/>
      </c>
      <c r="DZ38" s="10" t="str" cm="1">
        <f t="array" ref="DZ38">IF($BL38&lt;&gt;"",IFERROR(AVERAGE(_xlfn._xlws.FILTER($BE:$BE,($BA:$BA=$BI38)*($BC:$BC=_xlfn.NUMBERVALUE($BL38)))),""),"")</f>
        <v/>
      </c>
      <c r="EA38" s="10" t="str" cm="1">
        <f t="array" ref="EA38">IF($BM38&lt;&gt;"",IFERROR(AVERAGE(_xlfn._xlws.FILTER($BE:$BE,($BA:$BA=$BI38)*($BC:$BC=_xlfn.NUMBERVALUE($BM38)))),""),"")</f>
        <v/>
      </c>
      <c r="EB38" s="10" t="str" cm="1">
        <f t="array" ref="EB38">IF($BN38&lt;&gt;"",IFERROR(AVERAGE(_xlfn._xlws.FILTER($BE:$BE,($BA:$BA=$BI38)*($BC:$BC=_xlfn.NUMBERVALUE($BN38)))),""),"")</f>
        <v/>
      </c>
      <c r="EC38" s="10" t="str" cm="1">
        <f t="array" ref="EC38">IF($BO38&lt;&gt;"",IFERROR(AVERAGE(_xlfn._xlws.FILTER($BE:$BE,($BA:$BA=$BI38)*($BC:$BC=_xlfn.NUMBERVALUE($BO38)))),""),"")</f>
        <v/>
      </c>
    </row>
    <row r="39" spans="6:133" x14ac:dyDescent="0.3">
      <c r="AW39" s="1">
        <v>3.1</v>
      </c>
      <c r="AX39" s="1">
        <v>3.1</v>
      </c>
      <c r="AY39" t="str">
        <v>R080_HI782-0_0.0_LOT0418_PW3W.1_QC.xlsx</v>
      </c>
      <c r="AZ39" t="str">
        <v>LOT0418</v>
      </c>
      <c r="BA39" s="3">
        <v>3</v>
      </c>
      <c r="BB39" t="str">
        <v>P/Final</v>
      </c>
      <c r="BC39">
        <v>15</v>
      </c>
      <c r="BD39" s="10">
        <v>15.3</v>
      </c>
      <c r="BE39" s="10">
        <v>0</v>
      </c>
      <c r="BF39" s="10">
        <v>0</v>
      </c>
      <c r="BG39" s="13">
        <v>45313</v>
      </c>
      <c r="BP39" s="10" t="str" cm="1">
        <f t="array" ref="BP39">IF($BJ39&lt;&gt;"",IFERROR(AVERAGE(_xlfn._xlws.FILTER($BD:$BD,($BA:$BA=$BI39)*($BC:$BC=_xlfn.NUMBERVALUE($BJ39)))),""),"")</f>
        <v/>
      </c>
      <c r="BQ39" s="10" t="str" cm="1">
        <f t="array" ref="BQ39">IF($BK39&lt;&gt;"",IFERROR(AVERAGE(_xlfn._xlws.FILTER($BD:$BD,($BA:$BA=$BI39)*($BC:$BC=_xlfn.NUMBERVALUE($BK39)))),""),"")</f>
        <v/>
      </c>
      <c r="BR39" s="10" t="str" cm="1">
        <f t="array" ref="BR39">IF($BL39&lt;&gt;"",IFERROR(AVERAGE(_xlfn._xlws.FILTER($BD:$BD,($BA:$BA=$BI39)*($BC:$BC=_xlfn.NUMBERVALUE($BL39)))),""),"")</f>
        <v/>
      </c>
      <c r="BS39" s="10" t="str" cm="1">
        <f t="array" ref="BS39">IF($BM39&lt;&gt;"",IFERROR(AVERAGE(_xlfn._xlws.FILTER($BD:$BD,($BA:$BA=$BI39)*($BC:$BC=_xlfn.NUMBERVALUE($BM39)))),""),"")</f>
        <v/>
      </c>
      <c r="BT39" s="10" t="str" cm="1">
        <f t="array" ref="BT39">IF($BN39&lt;&gt;"",IFERROR(AVERAGE(_xlfn._xlws.FILTER($BD:$BD,($BA:$BA=$BI39)*($BC:$BC=_xlfn.NUMBERVALUE($BN39)))),""),"")</f>
        <v/>
      </c>
      <c r="BU39" s="10" t="str" cm="1">
        <f t="array" ref="BU39">IF($BO39&lt;&gt;"",IFERROR(AVERAGE(_xlfn._xlws.FILTER($BD:$BD,($BA:$BA=$BI39)*($BC:$BC=_xlfn.NUMBERVALUE($BO39)))),""),"")</f>
        <v/>
      </c>
      <c r="DL39" s="10" t="str" cm="1">
        <f t="array" ref="DL39">IF($BJ39&lt;&gt;"",IFERROR(AVERAGE(_xlfn._xlws.FILTER($BD:$BD,($BA:$BA=$BI39)*($BC:$BC=_xlfn.NUMBERVALUE($BJ39)))),""),"")</f>
        <v/>
      </c>
      <c r="DM39" s="10" t="str" cm="1">
        <f t="array" ref="DM39">IF($BK39&lt;&gt;"",IFERROR(AVERAGE(_xlfn._xlws.FILTER($BD:$BD,($BA:$BA=$BI39)*($BC:$BC=_xlfn.NUMBERVALUE($BK39)))),""),"")</f>
        <v/>
      </c>
      <c r="DN39" s="10" t="str" cm="1">
        <f t="array" ref="DN39">IF($BL39&lt;&gt;"",IFERROR(AVERAGE(_xlfn._xlws.FILTER($BD:$BD,($BA:$BA=$BI39)*($BC:$BC=_xlfn.NUMBERVALUE($BL39)))),""),"")</f>
        <v/>
      </c>
      <c r="DO39" s="10" t="str" cm="1">
        <f t="array" ref="DO39">IF($BM39&lt;&gt;"",IFERROR(AVERAGE(_xlfn._xlws.FILTER($BD:$BD,($BA:$BA=$BI39)*($BC:$BC=_xlfn.NUMBERVALUE($BM39)))),""),"")</f>
        <v/>
      </c>
      <c r="DP39" s="10" t="str" cm="1">
        <f t="array" ref="DP39">IF($BN39&lt;&gt;"",IFERROR(AVERAGE(_xlfn._xlws.FILTER($BD:$BD,($BA:$BA=$BI39)*($BC:$BC=_xlfn.NUMBERVALUE($BN39)))),""),"")</f>
        <v/>
      </c>
      <c r="DQ39" s="10" t="str" cm="1">
        <f t="array" ref="DQ39">IF($BO39&lt;&gt;"",IFERROR(AVERAGE(_xlfn._xlws.FILTER($BD:$BD,($BA:$BA=$BI39)*($BC:$BC=_xlfn.NUMBERVALUE($BO39)))),""),"")</f>
        <v/>
      </c>
      <c r="DX39" t="str" cm="1">
        <f t="array" ref="DX39">IF($BJ39&lt;&gt;"",IFERROR(AVERAGE(_xlfn._xlws.FILTER($BE:$BE,($BA:$BA=$BI39)*($BC:$BC=_xlfn.NUMBERVALUE($BJ39)))),""),"")</f>
        <v/>
      </c>
      <c r="DY39" s="10" t="str" cm="1">
        <f t="array" ref="DY39">IF($BK39&lt;&gt;"",IFERROR(AVERAGE(_xlfn._xlws.FILTER($BE:$BE,($BA:$BA=$BI39)*($BC:$BC=_xlfn.NUMBERVALUE($BK39)))),""),"")</f>
        <v/>
      </c>
      <c r="DZ39" s="10" t="str" cm="1">
        <f t="array" ref="DZ39">IF($BL39&lt;&gt;"",IFERROR(AVERAGE(_xlfn._xlws.FILTER($BE:$BE,($BA:$BA=$BI39)*($BC:$BC=_xlfn.NUMBERVALUE($BL39)))),""),"")</f>
        <v/>
      </c>
      <c r="EA39" s="10" t="str" cm="1">
        <f t="array" ref="EA39">IF($BM39&lt;&gt;"",IFERROR(AVERAGE(_xlfn._xlws.FILTER($BE:$BE,($BA:$BA=$BI39)*($BC:$BC=_xlfn.NUMBERVALUE($BM39)))),""),"")</f>
        <v/>
      </c>
      <c r="EB39" s="10" t="str" cm="1">
        <f t="array" ref="EB39">IF($BN39&lt;&gt;"",IFERROR(AVERAGE(_xlfn._xlws.FILTER($BE:$BE,($BA:$BA=$BI39)*($BC:$BC=_xlfn.NUMBERVALUE($BN39)))),""),"")</f>
        <v/>
      </c>
      <c r="EC39" s="10" t="str" cm="1">
        <f t="array" ref="EC39">IF($BO39&lt;&gt;"",IFERROR(AVERAGE(_xlfn._xlws.FILTER($BE:$BE,($BA:$BA=$BI39)*($BC:$BC=_xlfn.NUMBERVALUE($BO39)))),""),"")</f>
        <v/>
      </c>
    </row>
    <row r="40" spans="6:133" x14ac:dyDescent="0.3">
      <c r="AW40" s="1">
        <v>3.1</v>
      </c>
      <c r="AX40" s="1">
        <v>3.1</v>
      </c>
      <c r="AY40" t="str">
        <v>R080_HI782-0_0.0_LOT0418_PW3W.1_QC.xlsx</v>
      </c>
      <c r="AZ40" t="str">
        <v>LOT0418</v>
      </c>
      <c r="BA40" s="3">
        <v>3</v>
      </c>
      <c r="BB40" t="str">
        <v>P/Final</v>
      </c>
      <c r="BC40">
        <v>15</v>
      </c>
      <c r="BD40" s="10">
        <v>17.7</v>
      </c>
      <c r="BE40" s="10">
        <v>0</v>
      </c>
      <c r="BF40" s="10">
        <v>0</v>
      </c>
      <c r="BG40" s="13">
        <v>45313</v>
      </c>
      <c r="BP40" s="10" t="str" cm="1">
        <f t="array" ref="BP40">IF($BJ40&lt;&gt;"",IFERROR(AVERAGE(_xlfn._xlws.FILTER($BD:$BD,($BA:$BA=$BI40)*($BC:$BC=_xlfn.NUMBERVALUE($BJ40)))),""),"")</f>
        <v/>
      </c>
      <c r="BQ40" s="10" t="str" cm="1">
        <f t="array" ref="BQ40">IF($BK40&lt;&gt;"",IFERROR(AVERAGE(_xlfn._xlws.FILTER($BD:$BD,($BA:$BA=$BI40)*($BC:$BC=_xlfn.NUMBERVALUE($BK40)))),""),"")</f>
        <v/>
      </c>
      <c r="BR40" s="10" t="str" cm="1">
        <f t="array" ref="BR40">IF($BL40&lt;&gt;"",IFERROR(AVERAGE(_xlfn._xlws.FILTER($BD:$BD,($BA:$BA=$BI40)*($BC:$BC=_xlfn.NUMBERVALUE($BL40)))),""),"")</f>
        <v/>
      </c>
      <c r="BS40" s="10" t="str" cm="1">
        <f t="array" ref="BS40">IF($BM40&lt;&gt;"",IFERROR(AVERAGE(_xlfn._xlws.FILTER($BD:$BD,($BA:$BA=$BI40)*($BC:$BC=_xlfn.NUMBERVALUE($BM40)))),""),"")</f>
        <v/>
      </c>
      <c r="BT40" s="10" t="str" cm="1">
        <f t="array" ref="BT40">IF($BN40&lt;&gt;"",IFERROR(AVERAGE(_xlfn._xlws.FILTER($BD:$BD,($BA:$BA=$BI40)*($BC:$BC=_xlfn.NUMBERVALUE($BN40)))),""),"")</f>
        <v/>
      </c>
      <c r="BU40" s="10" t="str" cm="1">
        <f t="array" ref="BU40">IF($BO40&lt;&gt;"",IFERROR(AVERAGE(_xlfn._xlws.FILTER($BD:$BD,($BA:$BA=$BI40)*($BC:$BC=_xlfn.NUMBERVALUE($BO40)))),""),"")</f>
        <v/>
      </c>
      <c r="DL40" s="10" t="str" cm="1">
        <f t="array" ref="DL40">IF($BJ40&lt;&gt;"",IFERROR(AVERAGE(_xlfn._xlws.FILTER($BD:$BD,($BA:$BA=$BI40)*($BC:$BC=_xlfn.NUMBERVALUE($BJ40)))),""),"")</f>
        <v/>
      </c>
      <c r="DM40" s="10" t="str" cm="1">
        <f t="array" ref="DM40">IF($BK40&lt;&gt;"",IFERROR(AVERAGE(_xlfn._xlws.FILTER($BD:$BD,($BA:$BA=$BI40)*($BC:$BC=_xlfn.NUMBERVALUE($BK40)))),""),"")</f>
        <v/>
      </c>
      <c r="DN40" s="10" t="str" cm="1">
        <f t="array" ref="DN40">IF($BL40&lt;&gt;"",IFERROR(AVERAGE(_xlfn._xlws.FILTER($BD:$BD,($BA:$BA=$BI40)*($BC:$BC=_xlfn.NUMBERVALUE($BL40)))),""),"")</f>
        <v/>
      </c>
      <c r="DO40" s="10" t="str" cm="1">
        <f t="array" ref="DO40">IF($BM40&lt;&gt;"",IFERROR(AVERAGE(_xlfn._xlws.FILTER($BD:$BD,($BA:$BA=$BI40)*($BC:$BC=_xlfn.NUMBERVALUE($BM40)))),""),"")</f>
        <v/>
      </c>
      <c r="DP40" s="10" t="str" cm="1">
        <f t="array" ref="DP40">IF($BN40&lt;&gt;"",IFERROR(AVERAGE(_xlfn._xlws.FILTER($BD:$BD,($BA:$BA=$BI40)*($BC:$BC=_xlfn.NUMBERVALUE($BN40)))),""),"")</f>
        <v/>
      </c>
      <c r="DQ40" s="10" t="str" cm="1">
        <f t="array" ref="DQ40">IF($BO40&lt;&gt;"",IFERROR(AVERAGE(_xlfn._xlws.FILTER($BD:$BD,($BA:$BA=$BI40)*($BC:$BC=_xlfn.NUMBERVALUE($BO40)))),""),"")</f>
        <v/>
      </c>
      <c r="DX40" t="str" cm="1">
        <f t="array" ref="DX40">IF($BJ40&lt;&gt;"",IFERROR(AVERAGE(_xlfn._xlws.FILTER($BE:$BE,($BA:$BA=$BI40)*($BC:$BC=_xlfn.NUMBERVALUE($BJ40)))),""),"")</f>
        <v/>
      </c>
      <c r="DY40" s="10" t="str" cm="1">
        <f t="array" ref="DY40">IF($BK40&lt;&gt;"",IFERROR(AVERAGE(_xlfn._xlws.FILTER($BE:$BE,($BA:$BA=$BI40)*($BC:$BC=_xlfn.NUMBERVALUE($BK40)))),""),"")</f>
        <v/>
      </c>
      <c r="DZ40" s="10" t="str" cm="1">
        <f t="array" ref="DZ40">IF($BL40&lt;&gt;"",IFERROR(AVERAGE(_xlfn._xlws.FILTER($BE:$BE,($BA:$BA=$BI40)*($BC:$BC=_xlfn.NUMBERVALUE($BL40)))),""),"")</f>
        <v/>
      </c>
      <c r="EA40" s="10" t="str" cm="1">
        <f t="array" ref="EA40">IF($BM40&lt;&gt;"",IFERROR(AVERAGE(_xlfn._xlws.FILTER($BE:$BE,($BA:$BA=$BI40)*($BC:$BC=_xlfn.NUMBERVALUE($BM40)))),""),"")</f>
        <v/>
      </c>
      <c r="EB40" s="10" t="str" cm="1">
        <f t="array" ref="EB40">IF($BN40&lt;&gt;"",IFERROR(AVERAGE(_xlfn._xlws.FILTER($BE:$BE,($BA:$BA=$BI40)*($BC:$BC=_xlfn.NUMBERVALUE($BN40)))),""),"")</f>
        <v/>
      </c>
      <c r="EC40" s="10" t="str" cm="1">
        <f t="array" ref="EC40">IF($BO40&lt;&gt;"",IFERROR(AVERAGE(_xlfn._xlws.FILTER($BE:$BE,($BA:$BA=$BI40)*($BC:$BC=_xlfn.NUMBERVALUE($BO40)))),""),"")</f>
        <v/>
      </c>
    </row>
    <row r="41" spans="6:133" x14ac:dyDescent="0.3">
      <c r="AW41" s="1">
        <v>3.1</v>
      </c>
      <c r="AX41" s="1">
        <v>3.1</v>
      </c>
      <c r="AY41" t="str">
        <v>R080_HI782-0_0.0_LOT0418_PW3W.1_QC.xlsx</v>
      </c>
      <c r="AZ41" t="str">
        <v>LOT0418</v>
      </c>
      <c r="BA41" s="3">
        <v>3</v>
      </c>
      <c r="BB41" t="str">
        <v>P/Final</v>
      </c>
      <c r="BC41">
        <v>15</v>
      </c>
      <c r="BD41" s="10">
        <v>16.100000000000001</v>
      </c>
      <c r="BE41" s="10">
        <v>0</v>
      </c>
      <c r="BF41" s="10">
        <v>0</v>
      </c>
      <c r="BG41" s="13">
        <v>45313</v>
      </c>
      <c r="BP41" s="10" t="str" cm="1">
        <f t="array" ref="BP41">IF($BJ41&lt;&gt;"",IFERROR(AVERAGE(_xlfn._xlws.FILTER($BD:$BD,($BA:$BA=$BI41)*($BC:$BC=_xlfn.NUMBERVALUE($BJ41)))),""),"")</f>
        <v/>
      </c>
      <c r="BQ41" s="10" t="str" cm="1">
        <f t="array" ref="BQ41">IF($BK41&lt;&gt;"",IFERROR(AVERAGE(_xlfn._xlws.FILTER($BD:$BD,($BA:$BA=$BI41)*($BC:$BC=_xlfn.NUMBERVALUE($BK41)))),""),"")</f>
        <v/>
      </c>
      <c r="BR41" s="10" t="str" cm="1">
        <f t="array" ref="BR41">IF($BL41&lt;&gt;"",IFERROR(AVERAGE(_xlfn._xlws.FILTER($BD:$BD,($BA:$BA=$BI41)*($BC:$BC=_xlfn.NUMBERVALUE($BL41)))),""),"")</f>
        <v/>
      </c>
      <c r="BS41" s="10" t="str" cm="1">
        <f t="array" ref="BS41">IF($BM41&lt;&gt;"",IFERROR(AVERAGE(_xlfn._xlws.FILTER($BD:$BD,($BA:$BA=$BI41)*($BC:$BC=_xlfn.NUMBERVALUE($BM41)))),""),"")</f>
        <v/>
      </c>
      <c r="BT41" s="10" t="str" cm="1">
        <f t="array" ref="BT41">IF($BN41&lt;&gt;"",IFERROR(AVERAGE(_xlfn._xlws.FILTER($BD:$BD,($BA:$BA=$BI41)*($BC:$BC=_xlfn.NUMBERVALUE($BN41)))),""),"")</f>
        <v/>
      </c>
      <c r="BU41" s="10" t="str" cm="1">
        <f t="array" ref="BU41">IF($BO41&lt;&gt;"",IFERROR(AVERAGE(_xlfn._xlws.FILTER($BD:$BD,($BA:$BA=$BI41)*($BC:$BC=_xlfn.NUMBERVALUE($BO41)))),""),"")</f>
        <v/>
      </c>
      <c r="DL41" s="10" t="str" cm="1">
        <f t="array" ref="DL41">IF($BJ41&lt;&gt;"",IFERROR(AVERAGE(_xlfn._xlws.FILTER($BD:$BD,($BA:$BA=$BI41)*($BC:$BC=_xlfn.NUMBERVALUE($BJ41)))),""),"")</f>
        <v/>
      </c>
      <c r="DM41" s="10" t="str" cm="1">
        <f t="array" ref="DM41">IF($BK41&lt;&gt;"",IFERROR(AVERAGE(_xlfn._xlws.FILTER($BD:$BD,($BA:$BA=$BI41)*($BC:$BC=_xlfn.NUMBERVALUE($BK41)))),""),"")</f>
        <v/>
      </c>
      <c r="DN41" s="10" t="str" cm="1">
        <f t="array" ref="DN41">IF($BL41&lt;&gt;"",IFERROR(AVERAGE(_xlfn._xlws.FILTER($BD:$BD,($BA:$BA=$BI41)*($BC:$BC=_xlfn.NUMBERVALUE($BL41)))),""),"")</f>
        <v/>
      </c>
      <c r="DO41" s="10" t="str" cm="1">
        <f t="array" ref="DO41">IF($BM41&lt;&gt;"",IFERROR(AVERAGE(_xlfn._xlws.FILTER($BD:$BD,($BA:$BA=$BI41)*($BC:$BC=_xlfn.NUMBERVALUE($BM41)))),""),"")</f>
        <v/>
      </c>
      <c r="DP41" s="10" t="str" cm="1">
        <f t="array" ref="DP41">IF($BN41&lt;&gt;"",IFERROR(AVERAGE(_xlfn._xlws.FILTER($BD:$BD,($BA:$BA=$BI41)*($BC:$BC=_xlfn.NUMBERVALUE($BN41)))),""),"")</f>
        <v/>
      </c>
      <c r="DQ41" s="10" t="str" cm="1">
        <f t="array" ref="DQ41">IF($BO41&lt;&gt;"",IFERROR(AVERAGE(_xlfn._xlws.FILTER($BD:$BD,($BA:$BA=$BI41)*($BC:$BC=_xlfn.NUMBERVALUE($BO41)))),""),"")</f>
        <v/>
      </c>
      <c r="DX41" t="str" cm="1">
        <f t="array" ref="DX41">IF($BJ41&lt;&gt;"",IFERROR(AVERAGE(_xlfn._xlws.FILTER($BE:$BE,($BA:$BA=$BI41)*($BC:$BC=_xlfn.NUMBERVALUE($BJ41)))),""),"")</f>
        <v/>
      </c>
      <c r="DY41" s="10" t="str" cm="1">
        <f t="array" ref="DY41">IF($BK41&lt;&gt;"",IFERROR(AVERAGE(_xlfn._xlws.FILTER($BE:$BE,($BA:$BA=$BI41)*($BC:$BC=_xlfn.NUMBERVALUE($BK41)))),""),"")</f>
        <v/>
      </c>
      <c r="DZ41" s="10" t="str" cm="1">
        <f t="array" ref="DZ41">IF($BL41&lt;&gt;"",IFERROR(AVERAGE(_xlfn._xlws.FILTER($BE:$BE,($BA:$BA=$BI41)*($BC:$BC=_xlfn.NUMBERVALUE($BL41)))),""),"")</f>
        <v/>
      </c>
      <c r="EA41" s="10" t="str" cm="1">
        <f t="array" ref="EA41">IF($BM41&lt;&gt;"",IFERROR(AVERAGE(_xlfn._xlws.FILTER($BE:$BE,($BA:$BA=$BI41)*($BC:$BC=_xlfn.NUMBERVALUE($BM41)))),""),"")</f>
        <v/>
      </c>
      <c r="EB41" s="10" t="str" cm="1">
        <f t="array" ref="EB41">IF($BN41&lt;&gt;"",IFERROR(AVERAGE(_xlfn._xlws.FILTER($BE:$BE,($BA:$BA=$BI41)*($BC:$BC=_xlfn.NUMBERVALUE($BN41)))),""),"")</f>
        <v/>
      </c>
      <c r="EC41" s="10" t="str" cm="1">
        <f t="array" ref="EC41">IF($BO41&lt;&gt;"",IFERROR(AVERAGE(_xlfn._xlws.FILTER($BE:$BE,($BA:$BA=$BI41)*($BC:$BC=_xlfn.NUMBERVALUE($BO41)))),""),"")</f>
        <v/>
      </c>
    </row>
    <row r="42" spans="6:133" x14ac:dyDescent="0.3">
      <c r="AW42" s="1">
        <v>3.1</v>
      </c>
      <c r="AX42" s="1">
        <v>3.1</v>
      </c>
      <c r="AY42" t="str">
        <v>R080_HI782-0_0.0_LOT0418_PW3W.1_QC.xlsx</v>
      </c>
      <c r="AZ42" t="str">
        <v>LOT0418</v>
      </c>
      <c r="BA42" s="3">
        <v>3</v>
      </c>
      <c r="BB42" t="str">
        <v>P/Final</v>
      </c>
      <c r="BC42">
        <v>15</v>
      </c>
      <c r="BD42" s="10">
        <v>16.2</v>
      </c>
      <c r="BE42" s="10">
        <v>0</v>
      </c>
      <c r="BF42" s="10">
        <v>0</v>
      </c>
      <c r="BG42" s="13">
        <v>45313</v>
      </c>
      <c r="BP42" s="10" t="str" cm="1">
        <f t="array" ref="BP42">IF($BJ42&lt;&gt;"",IFERROR(AVERAGE(_xlfn._xlws.FILTER($BD:$BD,($BA:$BA=$BI42)*($BC:$BC=_xlfn.NUMBERVALUE($BJ42)))),""),"")</f>
        <v/>
      </c>
      <c r="BQ42" s="10" t="str" cm="1">
        <f t="array" ref="BQ42">IF($BK42&lt;&gt;"",IFERROR(AVERAGE(_xlfn._xlws.FILTER($BD:$BD,($BA:$BA=$BI42)*($BC:$BC=_xlfn.NUMBERVALUE($BK42)))),""),"")</f>
        <v/>
      </c>
      <c r="BR42" s="10" t="str" cm="1">
        <f t="array" ref="BR42">IF($BL42&lt;&gt;"",IFERROR(AVERAGE(_xlfn._xlws.FILTER($BD:$BD,($BA:$BA=$BI42)*($BC:$BC=_xlfn.NUMBERVALUE($BL42)))),""),"")</f>
        <v/>
      </c>
      <c r="BS42" s="10" t="str" cm="1">
        <f t="array" ref="BS42">IF($BM42&lt;&gt;"",IFERROR(AVERAGE(_xlfn._xlws.FILTER($BD:$BD,($BA:$BA=$BI42)*($BC:$BC=_xlfn.NUMBERVALUE($BM42)))),""),"")</f>
        <v/>
      </c>
      <c r="BT42" s="10" t="str" cm="1">
        <f t="array" ref="BT42">IF($BN42&lt;&gt;"",IFERROR(AVERAGE(_xlfn._xlws.FILTER($BD:$BD,($BA:$BA=$BI42)*($BC:$BC=_xlfn.NUMBERVALUE($BN42)))),""),"")</f>
        <v/>
      </c>
      <c r="BU42" s="10" t="str" cm="1">
        <f t="array" ref="BU42">IF($BO42&lt;&gt;"",IFERROR(AVERAGE(_xlfn._xlws.FILTER($BD:$BD,($BA:$BA=$BI42)*($BC:$BC=_xlfn.NUMBERVALUE($BO42)))),""),"")</f>
        <v/>
      </c>
      <c r="DL42" s="10" t="str" cm="1">
        <f t="array" ref="DL42">IF($BJ42&lt;&gt;"",IFERROR(AVERAGE(_xlfn._xlws.FILTER($BD:$BD,($BA:$BA=$BI42)*($BC:$BC=_xlfn.NUMBERVALUE($BJ42)))),""),"")</f>
        <v/>
      </c>
      <c r="DM42" s="10" t="str" cm="1">
        <f t="array" ref="DM42">IF($BK42&lt;&gt;"",IFERROR(AVERAGE(_xlfn._xlws.FILTER($BD:$BD,($BA:$BA=$BI42)*($BC:$BC=_xlfn.NUMBERVALUE($BK42)))),""),"")</f>
        <v/>
      </c>
      <c r="DN42" s="10" t="str" cm="1">
        <f t="array" ref="DN42">IF($BL42&lt;&gt;"",IFERROR(AVERAGE(_xlfn._xlws.FILTER($BD:$BD,($BA:$BA=$BI42)*($BC:$BC=_xlfn.NUMBERVALUE($BL42)))),""),"")</f>
        <v/>
      </c>
      <c r="DO42" s="10" t="str" cm="1">
        <f t="array" ref="DO42">IF($BM42&lt;&gt;"",IFERROR(AVERAGE(_xlfn._xlws.FILTER($BD:$BD,($BA:$BA=$BI42)*($BC:$BC=_xlfn.NUMBERVALUE($BM42)))),""),"")</f>
        <v/>
      </c>
      <c r="DP42" s="10" t="str" cm="1">
        <f t="array" ref="DP42">IF($BN42&lt;&gt;"",IFERROR(AVERAGE(_xlfn._xlws.FILTER($BD:$BD,($BA:$BA=$BI42)*($BC:$BC=_xlfn.NUMBERVALUE($BN42)))),""),"")</f>
        <v/>
      </c>
      <c r="DQ42" s="10" t="str" cm="1">
        <f t="array" ref="DQ42">IF($BO42&lt;&gt;"",IFERROR(AVERAGE(_xlfn._xlws.FILTER($BD:$BD,($BA:$BA=$BI42)*($BC:$BC=_xlfn.NUMBERVALUE($BO42)))),""),"")</f>
        <v/>
      </c>
      <c r="DX42" t="str" cm="1">
        <f t="array" ref="DX42">IF($BJ42&lt;&gt;"",IFERROR(AVERAGE(_xlfn._xlws.FILTER($BE:$BE,($BA:$BA=$BI42)*($BC:$BC=_xlfn.NUMBERVALUE($BJ42)))),""),"")</f>
        <v/>
      </c>
      <c r="DY42" s="10" t="str" cm="1">
        <f t="array" ref="DY42">IF($BK42&lt;&gt;"",IFERROR(AVERAGE(_xlfn._xlws.FILTER($BE:$BE,($BA:$BA=$BI42)*($BC:$BC=_xlfn.NUMBERVALUE($BK42)))),""),"")</f>
        <v/>
      </c>
      <c r="DZ42" s="10" t="str" cm="1">
        <f t="array" ref="DZ42">IF($BL42&lt;&gt;"",IFERROR(AVERAGE(_xlfn._xlws.FILTER($BE:$BE,($BA:$BA=$BI42)*($BC:$BC=_xlfn.NUMBERVALUE($BL42)))),""),"")</f>
        <v/>
      </c>
      <c r="EA42" s="10" t="str" cm="1">
        <f t="array" ref="EA42">IF($BM42&lt;&gt;"",IFERROR(AVERAGE(_xlfn._xlws.FILTER($BE:$BE,($BA:$BA=$BI42)*($BC:$BC=_xlfn.NUMBERVALUE($BM42)))),""),"")</f>
        <v/>
      </c>
      <c r="EB42" s="10" t="str" cm="1">
        <f t="array" ref="EB42">IF($BN42&lt;&gt;"",IFERROR(AVERAGE(_xlfn._xlws.FILTER($BE:$BE,($BA:$BA=$BI42)*($BC:$BC=_xlfn.NUMBERVALUE($BN42)))),""),"")</f>
        <v/>
      </c>
      <c r="EC42" s="10" t="str" cm="1">
        <f t="array" ref="EC42">IF($BO42&lt;&gt;"",IFERROR(AVERAGE(_xlfn._xlws.FILTER($BE:$BE,($BA:$BA=$BI42)*($BC:$BC=_xlfn.NUMBERVALUE($BO42)))),""),"")</f>
        <v/>
      </c>
    </row>
    <row r="43" spans="6:133" x14ac:dyDescent="0.3">
      <c r="AW43" s="1">
        <v>3.1</v>
      </c>
      <c r="AX43" s="1">
        <v>3.1</v>
      </c>
      <c r="AY43" t="str">
        <v>R080_HI782-0_0.0_LOT0418_PW3W.1_QC.xlsx</v>
      </c>
      <c r="AZ43" t="str">
        <v>LOT0418</v>
      </c>
      <c r="BA43" s="3">
        <v>3</v>
      </c>
      <c r="BB43" t="str">
        <v>P/Final</v>
      </c>
      <c r="BC43">
        <v>15</v>
      </c>
      <c r="BD43" s="10">
        <v>16.600000000000001</v>
      </c>
      <c r="BE43" s="10">
        <v>0</v>
      </c>
      <c r="BF43" s="10">
        <v>0</v>
      </c>
      <c r="BG43" s="13">
        <v>45313</v>
      </c>
      <c r="BP43" s="10" t="str" cm="1">
        <f t="array" ref="BP43">IF($BJ43&lt;&gt;"",IFERROR(AVERAGE(_xlfn._xlws.FILTER($BD:$BD,($BA:$BA=$BI43)*($BC:$BC=_xlfn.NUMBERVALUE($BJ43)))),""),"")</f>
        <v/>
      </c>
      <c r="BQ43" s="10" t="str" cm="1">
        <f t="array" ref="BQ43">IF($BK43&lt;&gt;"",IFERROR(AVERAGE(_xlfn._xlws.FILTER($BD:$BD,($BA:$BA=$BI43)*($BC:$BC=_xlfn.NUMBERVALUE($BK43)))),""),"")</f>
        <v/>
      </c>
      <c r="BR43" s="10" t="str" cm="1">
        <f t="array" ref="BR43">IF($BL43&lt;&gt;"",IFERROR(AVERAGE(_xlfn._xlws.FILTER($BD:$BD,($BA:$BA=$BI43)*($BC:$BC=_xlfn.NUMBERVALUE($BL43)))),""),"")</f>
        <v/>
      </c>
      <c r="BS43" s="10" t="str" cm="1">
        <f t="array" ref="BS43">IF($BM43&lt;&gt;"",IFERROR(AVERAGE(_xlfn._xlws.FILTER($BD:$BD,($BA:$BA=$BI43)*($BC:$BC=_xlfn.NUMBERVALUE($BM43)))),""),"")</f>
        <v/>
      </c>
      <c r="BT43" s="10" t="str" cm="1">
        <f t="array" ref="BT43">IF($BN43&lt;&gt;"",IFERROR(AVERAGE(_xlfn._xlws.FILTER($BD:$BD,($BA:$BA=$BI43)*($BC:$BC=_xlfn.NUMBERVALUE($BN43)))),""),"")</f>
        <v/>
      </c>
      <c r="BU43" s="10" t="str" cm="1">
        <f t="array" ref="BU43">IF($BO43&lt;&gt;"",IFERROR(AVERAGE(_xlfn._xlws.FILTER($BD:$BD,($BA:$BA=$BI43)*($BC:$BC=_xlfn.NUMBERVALUE($BO43)))),""),"")</f>
        <v/>
      </c>
      <c r="DL43" s="10" t="str" cm="1">
        <f t="array" ref="DL43">IF($BJ43&lt;&gt;"",IFERROR(AVERAGE(_xlfn._xlws.FILTER($BD:$BD,($BA:$BA=$BI43)*($BC:$BC=_xlfn.NUMBERVALUE($BJ43)))),""),"")</f>
        <v/>
      </c>
      <c r="DM43" s="10" t="str" cm="1">
        <f t="array" ref="DM43">IF($BK43&lt;&gt;"",IFERROR(AVERAGE(_xlfn._xlws.FILTER($BD:$BD,($BA:$BA=$BI43)*($BC:$BC=_xlfn.NUMBERVALUE($BK43)))),""),"")</f>
        <v/>
      </c>
      <c r="DN43" s="10" t="str" cm="1">
        <f t="array" ref="DN43">IF($BL43&lt;&gt;"",IFERROR(AVERAGE(_xlfn._xlws.FILTER($BD:$BD,($BA:$BA=$BI43)*($BC:$BC=_xlfn.NUMBERVALUE($BL43)))),""),"")</f>
        <v/>
      </c>
      <c r="DO43" s="10" t="str" cm="1">
        <f t="array" ref="DO43">IF($BM43&lt;&gt;"",IFERROR(AVERAGE(_xlfn._xlws.FILTER($BD:$BD,($BA:$BA=$BI43)*($BC:$BC=_xlfn.NUMBERVALUE($BM43)))),""),"")</f>
        <v/>
      </c>
      <c r="DP43" s="10" t="str" cm="1">
        <f t="array" ref="DP43">IF($BN43&lt;&gt;"",IFERROR(AVERAGE(_xlfn._xlws.FILTER($BD:$BD,($BA:$BA=$BI43)*($BC:$BC=_xlfn.NUMBERVALUE($BN43)))),""),"")</f>
        <v/>
      </c>
      <c r="DQ43" s="10" t="str" cm="1">
        <f t="array" ref="DQ43">IF($BO43&lt;&gt;"",IFERROR(AVERAGE(_xlfn._xlws.FILTER($BD:$BD,($BA:$BA=$BI43)*($BC:$BC=_xlfn.NUMBERVALUE($BO43)))),""),"")</f>
        <v/>
      </c>
      <c r="DX43" t="str" cm="1">
        <f t="array" ref="DX43">IF($BJ43&lt;&gt;"",IFERROR(AVERAGE(_xlfn._xlws.FILTER($BE:$BE,($BA:$BA=$BI43)*($BC:$BC=_xlfn.NUMBERVALUE($BJ43)))),""),"")</f>
        <v/>
      </c>
      <c r="DY43" s="10" t="str" cm="1">
        <f t="array" ref="DY43">IF($BK43&lt;&gt;"",IFERROR(AVERAGE(_xlfn._xlws.FILTER($BE:$BE,($BA:$BA=$BI43)*($BC:$BC=_xlfn.NUMBERVALUE($BK43)))),""),"")</f>
        <v/>
      </c>
      <c r="DZ43" s="10" t="str" cm="1">
        <f t="array" ref="DZ43">IF($BL43&lt;&gt;"",IFERROR(AVERAGE(_xlfn._xlws.FILTER($BE:$BE,($BA:$BA=$BI43)*($BC:$BC=_xlfn.NUMBERVALUE($BL43)))),""),"")</f>
        <v/>
      </c>
      <c r="EA43" s="10" t="str" cm="1">
        <f t="array" ref="EA43">IF($BM43&lt;&gt;"",IFERROR(AVERAGE(_xlfn._xlws.FILTER($BE:$BE,($BA:$BA=$BI43)*($BC:$BC=_xlfn.NUMBERVALUE($BM43)))),""),"")</f>
        <v/>
      </c>
      <c r="EB43" s="10" t="str" cm="1">
        <f t="array" ref="EB43">IF($BN43&lt;&gt;"",IFERROR(AVERAGE(_xlfn._xlws.FILTER($BE:$BE,($BA:$BA=$BI43)*($BC:$BC=_xlfn.NUMBERVALUE($BN43)))),""),"")</f>
        <v/>
      </c>
      <c r="EC43" s="10" t="str" cm="1">
        <f t="array" ref="EC43">IF($BO43&lt;&gt;"",IFERROR(AVERAGE(_xlfn._xlws.FILTER($BE:$BE,($BA:$BA=$BI43)*($BC:$BC=_xlfn.NUMBERVALUE($BO43)))),""),"")</f>
        <v/>
      </c>
    </row>
    <row r="44" spans="6:133" x14ac:dyDescent="0.3">
      <c r="AW44" s="1">
        <v>3.1</v>
      </c>
      <c r="AX44" s="1">
        <v>3.1</v>
      </c>
      <c r="AY44" t="str">
        <v>R080_HI782-0_0.0_LOT0418_PW3W.1_QC.xlsx</v>
      </c>
      <c r="AZ44" t="str">
        <v>LOT0418</v>
      </c>
      <c r="BA44" s="3">
        <v>3</v>
      </c>
      <c r="BB44" t="str">
        <v>P/Final</v>
      </c>
      <c r="BC44">
        <v>15</v>
      </c>
      <c r="BD44" s="10">
        <v>15.7</v>
      </c>
      <c r="BE44" s="10">
        <v>0</v>
      </c>
      <c r="BF44" s="10">
        <v>0</v>
      </c>
      <c r="BG44" s="13">
        <v>45313</v>
      </c>
      <c r="BP44" s="10" t="str" cm="1">
        <f t="array" ref="BP44">IF($BJ44&lt;&gt;"",IFERROR(AVERAGE(_xlfn._xlws.FILTER($BD:$BD,($BA:$BA=$BI44)*($BC:$BC=_xlfn.NUMBERVALUE($BJ44)))),""),"")</f>
        <v/>
      </c>
      <c r="BQ44" s="10" t="str" cm="1">
        <f t="array" ref="BQ44">IF($BK44&lt;&gt;"",IFERROR(AVERAGE(_xlfn._xlws.FILTER($BD:$BD,($BA:$BA=$BI44)*($BC:$BC=_xlfn.NUMBERVALUE($BK44)))),""),"")</f>
        <v/>
      </c>
      <c r="BR44" s="10" t="str" cm="1">
        <f t="array" ref="BR44">IF($BL44&lt;&gt;"",IFERROR(AVERAGE(_xlfn._xlws.FILTER($BD:$BD,($BA:$BA=$BI44)*($BC:$BC=_xlfn.NUMBERVALUE($BL44)))),""),"")</f>
        <v/>
      </c>
      <c r="BS44" s="10" t="str" cm="1">
        <f t="array" ref="BS44">IF($BM44&lt;&gt;"",IFERROR(AVERAGE(_xlfn._xlws.FILTER($BD:$BD,($BA:$BA=$BI44)*($BC:$BC=_xlfn.NUMBERVALUE($BM44)))),""),"")</f>
        <v/>
      </c>
      <c r="BT44" s="10" t="str" cm="1">
        <f t="array" ref="BT44">IF($BN44&lt;&gt;"",IFERROR(AVERAGE(_xlfn._xlws.FILTER($BD:$BD,($BA:$BA=$BI44)*($BC:$BC=_xlfn.NUMBERVALUE($BN44)))),""),"")</f>
        <v/>
      </c>
      <c r="BU44" s="10" t="str" cm="1">
        <f t="array" ref="BU44">IF($BO44&lt;&gt;"",IFERROR(AVERAGE(_xlfn._xlws.FILTER($BD:$BD,($BA:$BA=$BI44)*($BC:$BC=_xlfn.NUMBERVALUE($BO44)))),""),"")</f>
        <v/>
      </c>
      <c r="DL44" s="10" t="str" cm="1">
        <f t="array" ref="DL44">IF($BJ44&lt;&gt;"",IFERROR(AVERAGE(_xlfn._xlws.FILTER($BD:$BD,($BA:$BA=$BI44)*($BC:$BC=_xlfn.NUMBERVALUE($BJ44)))),""),"")</f>
        <v/>
      </c>
      <c r="DM44" s="10" t="str" cm="1">
        <f t="array" ref="DM44">IF($BK44&lt;&gt;"",IFERROR(AVERAGE(_xlfn._xlws.FILTER($BD:$BD,($BA:$BA=$BI44)*($BC:$BC=_xlfn.NUMBERVALUE($BK44)))),""),"")</f>
        <v/>
      </c>
      <c r="DN44" s="10" t="str" cm="1">
        <f t="array" ref="DN44">IF($BL44&lt;&gt;"",IFERROR(AVERAGE(_xlfn._xlws.FILTER($BD:$BD,($BA:$BA=$BI44)*($BC:$BC=_xlfn.NUMBERVALUE($BL44)))),""),"")</f>
        <v/>
      </c>
      <c r="DO44" s="10" t="str" cm="1">
        <f t="array" ref="DO44">IF($BM44&lt;&gt;"",IFERROR(AVERAGE(_xlfn._xlws.FILTER($BD:$BD,($BA:$BA=$BI44)*($BC:$BC=_xlfn.NUMBERVALUE($BM44)))),""),"")</f>
        <v/>
      </c>
      <c r="DP44" s="10" t="str" cm="1">
        <f t="array" ref="DP44">IF($BN44&lt;&gt;"",IFERROR(AVERAGE(_xlfn._xlws.FILTER($BD:$BD,($BA:$BA=$BI44)*($BC:$BC=_xlfn.NUMBERVALUE($BN44)))),""),"")</f>
        <v/>
      </c>
      <c r="DQ44" s="10" t="str" cm="1">
        <f t="array" ref="DQ44">IF($BO44&lt;&gt;"",IFERROR(AVERAGE(_xlfn._xlws.FILTER($BD:$BD,($BA:$BA=$BI44)*($BC:$BC=_xlfn.NUMBERVALUE($BO44)))),""),"")</f>
        <v/>
      </c>
      <c r="DX44" t="str" cm="1">
        <f t="array" ref="DX44">IF($BJ44&lt;&gt;"",IFERROR(AVERAGE(_xlfn._xlws.FILTER($BE:$BE,($BA:$BA=$BI44)*($BC:$BC=_xlfn.NUMBERVALUE($BJ44)))),""),"")</f>
        <v/>
      </c>
      <c r="DY44" s="10" t="str" cm="1">
        <f t="array" ref="DY44">IF($BK44&lt;&gt;"",IFERROR(AVERAGE(_xlfn._xlws.FILTER($BE:$BE,($BA:$BA=$BI44)*($BC:$BC=_xlfn.NUMBERVALUE($BK44)))),""),"")</f>
        <v/>
      </c>
      <c r="DZ44" s="10" t="str" cm="1">
        <f t="array" ref="DZ44">IF($BL44&lt;&gt;"",IFERROR(AVERAGE(_xlfn._xlws.FILTER($BE:$BE,($BA:$BA=$BI44)*($BC:$BC=_xlfn.NUMBERVALUE($BL44)))),""),"")</f>
        <v/>
      </c>
      <c r="EA44" s="10" t="str" cm="1">
        <f t="array" ref="EA44">IF($BM44&lt;&gt;"",IFERROR(AVERAGE(_xlfn._xlws.FILTER($BE:$BE,($BA:$BA=$BI44)*($BC:$BC=_xlfn.NUMBERVALUE($BM44)))),""),"")</f>
        <v/>
      </c>
      <c r="EB44" s="10" t="str" cm="1">
        <f t="array" ref="EB44">IF($BN44&lt;&gt;"",IFERROR(AVERAGE(_xlfn._xlws.FILTER($BE:$BE,($BA:$BA=$BI44)*($BC:$BC=_xlfn.NUMBERVALUE($BN44)))),""),"")</f>
        <v/>
      </c>
      <c r="EC44" s="10" t="str" cm="1">
        <f t="array" ref="EC44">IF($BO44&lt;&gt;"",IFERROR(AVERAGE(_xlfn._xlws.FILTER($BE:$BE,($BA:$BA=$BI44)*($BC:$BC=_xlfn.NUMBERVALUE($BO44)))),""),"")</f>
        <v/>
      </c>
    </row>
    <row r="45" spans="6:133" x14ac:dyDescent="0.3">
      <c r="AW45" s="1">
        <v>3.1</v>
      </c>
      <c r="AX45" s="1">
        <v>3.1</v>
      </c>
      <c r="AY45" t="str">
        <v>R080_HI782-0_0.0_LOT0418_PW3W.1_QC.xlsx</v>
      </c>
      <c r="AZ45" t="str">
        <v>LOT0418</v>
      </c>
      <c r="BA45" s="3">
        <v>3</v>
      </c>
      <c r="BB45" t="str">
        <v>P/Final</v>
      </c>
      <c r="BC45">
        <v>15</v>
      </c>
      <c r="BD45" s="10">
        <v>17.2</v>
      </c>
      <c r="BE45" s="10">
        <v>0</v>
      </c>
      <c r="BF45" s="10">
        <v>0</v>
      </c>
      <c r="BG45" s="13">
        <v>45313</v>
      </c>
      <c r="BP45" s="10" t="str" cm="1">
        <f t="array" ref="BP45">IF($BJ45&lt;&gt;"",IFERROR(AVERAGE(_xlfn._xlws.FILTER($BD:$BD,($BA:$BA=$BI45)*($BC:$BC=_xlfn.NUMBERVALUE($BJ45)))),""),"")</f>
        <v/>
      </c>
      <c r="BQ45" s="10" t="str" cm="1">
        <f t="array" ref="BQ45">IF($BK45&lt;&gt;"",IFERROR(AVERAGE(_xlfn._xlws.FILTER($BD:$BD,($BA:$BA=$BI45)*($BC:$BC=_xlfn.NUMBERVALUE($BK45)))),""),"")</f>
        <v/>
      </c>
      <c r="BR45" s="10" t="str" cm="1">
        <f t="array" ref="BR45">IF($BL45&lt;&gt;"",IFERROR(AVERAGE(_xlfn._xlws.FILTER($BD:$BD,($BA:$BA=$BI45)*($BC:$BC=_xlfn.NUMBERVALUE($BL45)))),""),"")</f>
        <v/>
      </c>
      <c r="BS45" s="10" t="str" cm="1">
        <f t="array" ref="BS45">IF($BM45&lt;&gt;"",IFERROR(AVERAGE(_xlfn._xlws.FILTER($BD:$BD,($BA:$BA=$BI45)*($BC:$BC=_xlfn.NUMBERVALUE($BM45)))),""),"")</f>
        <v/>
      </c>
      <c r="BT45" s="10" t="str" cm="1">
        <f t="array" ref="BT45">IF($BN45&lt;&gt;"",IFERROR(AVERAGE(_xlfn._xlws.FILTER($BD:$BD,($BA:$BA=$BI45)*($BC:$BC=_xlfn.NUMBERVALUE($BN45)))),""),"")</f>
        <v/>
      </c>
      <c r="BU45" s="10" t="str" cm="1">
        <f t="array" ref="BU45">IF($BO45&lt;&gt;"",IFERROR(AVERAGE(_xlfn._xlws.FILTER($BD:$BD,($BA:$BA=$BI45)*($BC:$BC=_xlfn.NUMBERVALUE($BO45)))),""),"")</f>
        <v/>
      </c>
      <c r="DL45" s="10" t="str" cm="1">
        <f t="array" ref="DL45">IF($BJ45&lt;&gt;"",IFERROR(AVERAGE(_xlfn._xlws.FILTER($BD:$BD,($BA:$BA=$BI45)*($BC:$BC=_xlfn.NUMBERVALUE($BJ45)))),""),"")</f>
        <v/>
      </c>
      <c r="DM45" s="10" t="str" cm="1">
        <f t="array" ref="DM45">IF($BK45&lt;&gt;"",IFERROR(AVERAGE(_xlfn._xlws.FILTER($BD:$BD,($BA:$BA=$BI45)*($BC:$BC=_xlfn.NUMBERVALUE($BK45)))),""),"")</f>
        <v/>
      </c>
      <c r="DN45" s="10" t="str" cm="1">
        <f t="array" ref="DN45">IF($BL45&lt;&gt;"",IFERROR(AVERAGE(_xlfn._xlws.FILTER($BD:$BD,($BA:$BA=$BI45)*($BC:$BC=_xlfn.NUMBERVALUE($BL45)))),""),"")</f>
        <v/>
      </c>
      <c r="DO45" s="10" t="str" cm="1">
        <f t="array" ref="DO45">IF($BM45&lt;&gt;"",IFERROR(AVERAGE(_xlfn._xlws.FILTER($BD:$BD,($BA:$BA=$BI45)*($BC:$BC=_xlfn.NUMBERVALUE($BM45)))),""),"")</f>
        <v/>
      </c>
      <c r="DP45" s="10" t="str" cm="1">
        <f t="array" ref="DP45">IF($BN45&lt;&gt;"",IFERROR(AVERAGE(_xlfn._xlws.FILTER($BD:$BD,($BA:$BA=$BI45)*($BC:$BC=_xlfn.NUMBERVALUE($BN45)))),""),"")</f>
        <v/>
      </c>
      <c r="DQ45" s="10" t="str" cm="1">
        <f t="array" ref="DQ45">IF($BO45&lt;&gt;"",IFERROR(AVERAGE(_xlfn._xlws.FILTER($BD:$BD,($BA:$BA=$BI45)*($BC:$BC=_xlfn.NUMBERVALUE($BO45)))),""),"")</f>
        <v/>
      </c>
      <c r="DX45" t="str" cm="1">
        <f t="array" ref="DX45">IF($BJ45&lt;&gt;"",IFERROR(AVERAGE(_xlfn._xlws.FILTER($BE:$BE,($BA:$BA=$BI45)*($BC:$BC=_xlfn.NUMBERVALUE($BJ45)))),""),"")</f>
        <v/>
      </c>
      <c r="DY45" s="10" t="str" cm="1">
        <f t="array" ref="DY45">IF($BK45&lt;&gt;"",IFERROR(AVERAGE(_xlfn._xlws.FILTER($BE:$BE,($BA:$BA=$BI45)*($BC:$BC=_xlfn.NUMBERVALUE($BK45)))),""),"")</f>
        <v/>
      </c>
      <c r="DZ45" s="10" t="str" cm="1">
        <f t="array" ref="DZ45">IF($BL45&lt;&gt;"",IFERROR(AVERAGE(_xlfn._xlws.FILTER($BE:$BE,($BA:$BA=$BI45)*($BC:$BC=_xlfn.NUMBERVALUE($BL45)))),""),"")</f>
        <v/>
      </c>
      <c r="EA45" s="10" t="str" cm="1">
        <f t="array" ref="EA45">IF($BM45&lt;&gt;"",IFERROR(AVERAGE(_xlfn._xlws.FILTER($BE:$BE,($BA:$BA=$BI45)*($BC:$BC=_xlfn.NUMBERVALUE($BM45)))),""),"")</f>
        <v/>
      </c>
      <c r="EB45" s="10" t="str" cm="1">
        <f t="array" ref="EB45">IF($BN45&lt;&gt;"",IFERROR(AVERAGE(_xlfn._xlws.FILTER($BE:$BE,($BA:$BA=$BI45)*($BC:$BC=_xlfn.NUMBERVALUE($BN45)))),""),"")</f>
        <v/>
      </c>
      <c r="EC45" s="10" t="str" cm="1">
        <f t="array" ref="EC45">IF($BO45&lt;&gt;"",IFERROR(AVERAGE(_xlfn._xlws.FILTER($BE:$BE,($BA:$BA=$BI45)*($BC:$BC=_xlfn.NUMBERVALUE($BO45)))),""),"")</f>
        <v/>
      </c>
    </row>
    <row r="46" spans="6:133" x14ac:dyDescent="0.3">
      <c r="AW46" s="1">
        <v>3.1</v>
      </c>
      <c r="AX46" s="1">
        <v>3.1</v>
      </c>
      <c r="AY46" t="str">
        <v>R080_HI782-0_0.0_LOT0418_PW3W.1_QC.xlsx</v>
      </c>
      <c r="AZ46" t="str">
        <v>LOT0418</v>
      </c>
      <c r="BA46" s="3">
        <v>3</v>
      </c>
      <c r="BB46" t="str">
        <v>P/Final</v>
      </c>
      <c r="BC46">
        <v>15</v>
      </c>
      <c r="BD46" s="10">
        <v>13.9</v>
      </c>
      <c r="BE46" s="10">
        <v>0</v>
      </c>
      <c r="BF46" s="10">
        <v>0</v>
      </c>
      <c r="BG46" s="13">
        <v>45313</v>
      </c>
      <c r="BP46" s="10" t="str" cm="1">
        <f t="array" ref="BP46">IF($BJ46&lt;&gt;"",IFERROR(AVERAGE(_xlfn._xlws.FILTER($BD:$BD,($BA:$BA=$BI46)*($BC:$BC=_xlfn.NUMBERVALUE($BJ46)))),""),"")</f>
        <v/>
      </c>
      <c r="BQ46" s="10" t="str" cm="1">
        <f t="array" ref="BQ46">IF($BK46&lt;&gt;"",IFERROR(AVERAGE(_xlfn._xlws.FILTER($BD:$BD,($BA:$BA=$BI46)*($BC:$BC=_xlfn.NUMBERVALUE($BK46)))),""),"")</f>
        <v/>
      </c>
      <c r="BR46" s="10" t="str" cm="1">
        <f t="array" ref="BR46">IF($BL46&lt;&gt;"",IFERROR(AVERAGE(_xlfn._xlws.FILTER($BD:$BD,($BA:$BA=$BI46)*($BC:$BC=_xlfn.NUMBERVALUE($BL46)))),""),"")</f>
        <v/>
      </c>
      <c r="BS46" s="10" t="str" cm="1">
        <f t="array" ref="BS46">IF($BM46&lt;&gt;"",IFERROR(AVERAGE(_xlfn._xlws.FILTER($BD:$BD,($BA:$BA=$BI46)*($BC:$BC=_xlfn.NUMBERVALUE($BM46)))),""),"")</f>
        <v/>
      </c>
      <c r="BT46" s="10" t="str" cm="1">
        <f t="array" ref="BT46">IF($BN46&lt;&gt;"",IFERROR(AVERAGE(_xlfn._xlws.FILTER($BD:$BD,($BA:$BA=$BI46)*($BC:$BC=_xlfn.NUMBERVALUE($BN46)))),""),"")</f>
        <v/>
      </c>
      <c r="BU46" s="10" t="str" cm="1">
        <f t="array" ref="BU46">IF($BO46&lt;&gt;"",IFERROR(AVERAGE(_xlfn._xlws.FILTER($BD:$BD,($BA:$BA=$BI46)*($BC:$BC=_xlfn.NUMBERVALUE($BO46)))),""),"")</f>
        <v/>
      </c>
      <c r="DL46" s="10" t="str" cm="1">
        <f t="array" ref="DL46">IF($BJ46&lt;&gt;"",IFERROR(AVERAGE(_xlfn._xlws.FILTER($BD:$BD,($BA:$BA=$BI46)*($BC:$BC=_xlfn.NUMBERVALUE($BJ46)))),""),"")</f>
        <v/>
      </c>
      <c r="DM46" s="10" t="str" cm="1">
        <f t="array" ref="DM46">IF($BK46&lt;&gt;"",IFERROR(AVERAGE(_xlfn._xlws.FILTER($BD:$BD,($BA:$BA=$BI46)*($BC:$BC=_xlfn.NUMBERVALUE($BK46)))),""),"")</f>
        <v/>
      </c>
      <c r="DN46" s="10" t="str" cm="1">
        <f t="array" ref="DN46">IF($BL46&lt;&gt;"",IFERROR(AVERAGE(_xlfn._xlws.FILTER($BD:$BD,($BA:$BA=$BI46)*($BC:$BC=_xlfn.NUMBERVALUE($BL46)))),""),"")</f>
        <v/>
      </c>
      <c r="DO46" s="10" t="str" cm="1">
        <f t="array" ref="DO46">IF($BM46&lt;&gt;"",IFERROR(AVERAGE(_xlfn._xlws.FILTER($BD:$BD,($BA:$BA=$BI46)*($BC:$BC=_xlfn.NUMBERVALUE($BM46)))),""),"")</f>
        <v/>
      </c>
      <c r="DP46" s="10" t="str" cm="1">
        <f t="array" ref="DP46">IF($BN46&lt;&gt;"",IFERROR(AVERAGE(_xlfn._xlws.FILTER($BD:$BD,($BA:$BA=$BI46)*($BC:$BC=_xlfn.NUMBERVALUE($BN46)))),""),"")</f>
        <v/>
      </c>
      <c r="DQ46" s="10" t="str" cm="1">
        <f t="array" ref="DQ46">IF($BO46&lt;&gt;"",IFERROR(AVERAGE(_xlfn._xlws.FILTER($BD:$BD,($BA:$BA=$BI46)*($BC:$BC=_xlfn.NUMBERVALUE($BO46)))),""),"")</f>
        <v/>
      </c>
      <c r="DX46" t="str" cm="1">
        <f t="array" ref="DX46">IF($BJ46&lt;&gt;"",IFERROR(AVERAGE(_xlfn._xlws.FILTER($BE:$BE,($BA:$BA=$BI46)*($BC:$BC=_xlfn.NUMBERVALUE($BJ46)))),""),"")</f>
        <v/>
      </c>
      <c r="DY46" s="10" t="str" cm="1">
        <f t="array" ref="DY46">IF($BK46&lt;&gt;"",IFERROR(AVERAGE(_xlfn._xlws.FILTER($BE:$BE,($BA:$BA=$BI46)*($BC:$BC=_xlfn.NUMBERVALUE($BK46)))),""),"")</f>
        <v/>
      </c>
      <c r="DZ46" s="10" t="str" cm="1">
        <f t="array" ref="DZ46">IF($BL46&lt;&gt;"",IFERROR(AVERAGE(_xlfn._xlws.FILTER($BE:$BE,($BA:$BA=$BI46)*($BC:$BC=_xlfn.NUMBERVALUE($BL46)))),""),"")</f>
        <v/>
      </c>
      <c r="EA46" s="10" t="str" cm="1">
        <f t="array" ref="EA46">IF($BM46&lt;&gt;"",IFERROR(AVERAGE(_xlfn._xlws.FILTER($BE:$BE,($BA:$BA=$BI46)*($BC:$BC=_xlfn.NUMBERVALUE($BM46)))),""),"")</f>
        <v/>
      </c>
      <c r="EB46" s="10" t="str" cm="1">
        <f t="array" ref="EB46">IF($BN46&lt;&gt;"",IFERROR(AVERAGE(_xlfn._xlws.FILTER($BE:$BE,($BA:$BA=$BI46)*($BC:$BC=_xlfn.NUMBERVALUE($BN46)))),""),"")</f>
        <v/>
      </c>
      <c r="EC46" s="10" t="str" cm="1">
        <f t="array" ref="EC46">IF($BO46&lt;&gt;"",IFERROR(AVERAGE(_xlfn._xlws.FILTER($BE:$BE,($BA:$BA=$BI46)*($BC:$BC=_xlfn.NUMBERVALUE($BO46)))),""),"")</f>
        <v/>
      </c>
    </row>
    <row r="47" spans="6:133" x14ac:dyDescent="0.3">
      <c r="AW47" s="1">
        <v>3.1</v>
      </c>
      <c r="AX47" s="1">
        <v>3.1</v>
      </c>
      <c r="AY47" t="str">
        <v>R080_HI782-0_0.0_LOT0418_PW3W.1_QC.xlsx</v>
      </c>
      <c r="AZ47" t="str">
        <v>LOT0418</v>
      </c>
      <c r="BA47" s="3">
        <v>3</v>
      </c>
      <c r="BB47" t="str">
        <v>P/Final</v>
      </c>
      <c r="BC47">
        <v>15</v>
      </c>
      <c r="BD47" s="10">
        <v>14.4</v>
      </c>
      <c r="BE47" s="10">
        <v>0</v>
      </c>
      <c r="BF47" s="10">
        <v>0</v>
      </c>
      <c r="BG47" s="13">
        <v>45313</v>
      </c>
      <c r="BP47" s="10" t="str" cm="1">
        <f t="array" ref="BP47">IF($BJ47&lt;&gt;"",IFERROR(AVERAGE(_xlfn._xlws.FILTER($BD:$BD,($BA:$BA=$BI47)*($BC:$BC=_xlfn.NUMBERVALUE($BJ47)))),""),"")</f>
        <v/>
      </c>
      <c r="BQ47" s="10" t="str" cm="1">
        <f t="array" ref="BQ47">IF($BK47&lt;&gt;"",IFERROR(AVERAGE(_xlfn._xlws.FILTER($BD:$BD,($BA:$BA=$BI47)*($BC:$BC=_xlfn.NUMBERVALUE($BK47)))),""),"")</f>
        <v/>
      </c>
      <c r="BR47" s="10" t="str" cm="1">
        <f t="array" ref="BR47">IF($BL47&lt;&gt;"",IFERROR(AVERAGE(_xlfn._xlws.FILTER($BD:$BD,($BA:$BA=$BI47)*($BC:$BC=_xlfn.NUMBERVALUE($BL47)))),""),"")</f>
        <v/>
      </c>
      <c r="BS47" s="10" t="str" cm="1">
        <f t="array" ref="BS47">IF($BM47&lt;&gt;"",IFERROR(AVERAGE(_xlfn._xlws.FILTER($BD:$BD,($BA:$BA=$BI47)*($BC:$BC=_xlfn.NUMBERVALUE($BM47)))),""),"")</f>
        <v/>
      </c>
      <c r="BT47" s="10" t="str" cm="1">
        <f t="array" ref="BT47">IF($BN47&lt;&gt;"",IFERROR(AVERAGE(_xlfn._xlws.FILTER($BD:$BD,($BA:$BA=$BI47)*($BC:$BC=_xlfn.NUMBERVALUE($BN47)))),""),"")</f>
        <v/>
      </c>
      <c r="BU47" s="10" t="str" cm="1">
        <f t="array" ref="BU47">IF($BO47&lt;&gt;"",IFERROR(AVERAGE(_xlfn._xlws.FILTER($BD:$BD,($BA:$BA=$BI47)*($BC:$BC=_xlfn.NUMBERVALUE($BO47)))),""),"")</f>
        <v/>
      </c>
      <c r="DL47" s="10" t="str" cm="1">
        <f t="array" ref="DL47">IF($BJ47&lt;&gt;"",IFERROR(AVERAGE(_xlfn._xlws.FILTER($BD:$BD,($BA:$BA=$BI47)*($BC:$BC=_xlfn.NUMBERVALUE($BJ47)))),""),"")</f>
        <v/>
      </c>
      <c r="DM47" s="10" t="str" cm="1">
        <f t="array" ref="DM47">IF($BK47&lt;&gt;"",IFERROR(AVERAGE(_xlfn._xlws.FILTER($BD:$BD,($BA:$BA=$BI47)*($BC:$BC=_xlfn.NUMBERVALUE($BK47)))),""),"")</f>
        <v/>
      </c>
      <c r="DN47" s="10" t="str" cm="1">
        <f t="array" ref="DN47">IF($BL47&lt;&gt;"",IFERROR(AVERAGE(_xlfn._xlws.FILTER($BD:$BD,($BA:$BA=$BI47)*($BC:$BC=_xlfn.NUMBERVALUE($BL47)))),""),"")</f>
        <v/>
      </c>
      <c r="DO47" s="10" t="str" cm="1">
        <f t="array" ref="DO47">IF($BM47&lt;&gt;"",IFERROR(AVERAGE(_xlfn._xlws.FILTER($BD:$BD,($BA:$BA=$BI47)*($BC:$BC=_xlfn.NUMBERVALUE($BM47)))),""),"")</f>
        <v/>
      </c>
      <c r="DP47" s="10" t="str" cm="1">
        <f t="array" ref="DP47">IF($BN47&lt;&gt;"",IFERROR(AVERAGE(_xlfn._xlws.FILTER($BD:$BD,($BA:$BA=$BI47)*($BC:$BC=_xlfn.NUMBERVALUE($BN47)))),""),"")</f>
        <v/>
      </c>
      <c r="DQ47" s="10" t="str" cm="1">
        <f t="array" ref="DQ47">IF($BO47&lt;&gt;"",IFERROR(AVERAGE(_xlfn._xlws.FILTER($BD:$BD,($BA:$BA=$BI47)*($BC:$BC=_xlfn.NUMBERVALUE($BO47)))),""),"")</f>
        <v/>
      </c>
      <c r="DX47" t="str" cm="1">
        <f t="array" ref="DX47">IF($BJ47&lt;&gt;"",IFERROR(AVERAGE(_xlfn._xlws.FILTER($BE:$BE,($BA:$BA=$BI47)*($BC:$BC=_xlfn.NUMBERVALUE($BJ47)))),""),"")</f>
        <v/>
      </c>
      <c r="DY47" s="10" t="str" cm="1">
        <f t="array" ref="DY47">IF($BK47&lt;&gt;"",IFERROR(AVERAGE(_xlfn._xlws.FILTER($BE:$BE,($BA:$BA=$BI47)*($BC:$BC=_xlfn.NUMBERVALUE($BK47)))),""),"")</f>
        <v/>
      </c>
      <c r="DZ47" s="10" t="str" cm="1">
        <f t="array" ref="DZ47">IF($BL47&lt;&gt;"",IFERROR(AVERAGE(_xlfn._xlws.FILTER($BE:$BE,($BA:$BA=$BI47)*($BC:$BC=_xlfn.NUMBERVALUE($BL47)))),""),"")</f>
        <v/>
      </c>
      <c r="EA47" s="10" t="str" cm="1">
        <f t="array" ref="EA47">IF($BM47&lt;&gt;"",IFERROR(AVERAGE(_xlfn._xlws.FILTER($BE:$BE,($BA:$BA=$BI47)*($BC:$BC=_xlfn.NUMBERVALUE($BM47)))),""),"")</f>
        <v/>
      </c>
      <c r="EB47" s="10" t="str" cm="1">
        <f t="array" ref="EB47">IF($BN47&lt;&gt;"",IFERROR(AVERAGE(_xlfn._xlws.FILTER($BE:$BE,($BA:$BA=$BI47)*($BC:$BC=_xlfn.NUMBERVALUE($BN47)))),""),"")</f>
        <v/>
      </c>
      <c r="EC47" s="10" t="str" cm="1">
        <f t="array" ref="EC47">IF($BO47&lt;&gt;"",IFERROR(AVERAGE(_xlfn._xlws.FILTER($BE:$BE,($BA:$BA=$BI47)*($BC:$BC=_xlfn.NUMBERVALUE($BO47)))),""),"")</f>
        <v/>
      </c>
    </row>
    <row r="48" spans="6:133" x14ac:dyDescent="0.3">
      <c r="AW48" s="1">
        <v>3.1</v>
      </c>
      <c r="AX48" s="1">
        <v>3.1</v>
      </c>
      <c r="AY48" t="str">
        <v>R080_HI782-0_0.0_LOT0418_PW3W.1_QC.xlsx</v>
      </c>
      <c r="AZ48" t="str">
        <v>LOT0418</v>
      </c>
      <c r="BA48" s="3">
        <v>3</v>
      </c>
      <c r="BB48" t="str">
        <v>P/Final</v>
      </c>
      <c r="BC48">
        <v>15</v>
      </c>
      <c r="BD48" s="10">
        <v>17.8</v>
      </c>
      <c r="BE48" s="10">
        <v>0</v>
      </c>
      <c r="BF48" s="10">
        <v>0</v>
      </c>
      <c r="BG48" s="13">
        <v>45313</v>
      </c>
      <c r="BP48" s="10" t="str" cm="1">
        <f t="array" ref="BP48">IF($BJ48&lt;&gt;"",IFERROR(AVERAGE(_xlfn._xlws.FILTER($BD:$BD,($BA:$BA=$BI48)*($BC:$BC=_xlfn.NUMBERVALUE($BJ48)))),""),"")</f>
        <v/>
      </c>
      <c r="BQ48" s="10" t="str" cm="1">
        <f t="array" ref="BQ48">IF($BK48&lt;&gt;"",IFERROR(AVERAGE(_xlfn._xlws.FILTER($BD:$BD,($BA:$BA=$BI48)*($BC:$BC=_xlfn.NUMBERVALUE($BK48)))),""),"")</f>
        <v/>
      </c>
      <c r="BR48" s="10" t="str" cm="1">
        <f t="array" ref="BR48">IF($BL48&lt;&gt;"",IFERROR(AVERAGE(_xlfn._xlws.FILTER($BD:$BD,($BA:$BA=$BI48)*($BC:$BC=_xlfn.NUMBERVALUE($BL48)))),""),"")</f>
        <v/>
      </c>
      <c r="BS48" s="10" t="str" cm="1">
        <f t="array" ref="BS48">IF($BM48&lt;&gt;"",IFERROR(AVERAGE(_xlfn._xlws.FILTER($BD:$BD,($BA:$BA=$BI48)*($BC:$BC=_xlfn.NUMBERVALUE($BM48)))),""),"")</f>
        <v/>
      </c>
      <c r="BT48" s="10" t="str" cm="1">
        <f t="array" ref="BT48">IF($BN48&lt;&gt;"",IFERROR(AVERAGE(_xlfn._xlws.FILTER($BD:$BD,($BA:$BA=$BI48)*($BC:$BC=_xlfn.NUMBERVALUE($BN48)))),""),"")</f>
        <v/>
      </c>
      <c r="BU48" s="10" t="str" cm="1">
        <f t="array" ref="BU48">IF($BO48&lt;&gt;"",IFERROR(AVERAGE(_xlfn._xlws.FILTER($BD:$BD,($BA:$BA=$BI48)*($BC:$BC=_xlfn.NUMBERVALUE($BO48)))),""),"")</f>
        <v/>
      </c>
      <c r="DL48" s="10" t="str" cm="1">
        <f t="array" ref="DL48">IF($BJ48&lt;&gt;"",IFERROR(AVERAGE(_xlfn._xlws.FILTER($BD:$BD,($BA:$BA=$BI48)*($BC:$BC=_xlfn.NUMBERVALUE($BJ48)))),""),"")</f>
        <v/>
      </c>
      <c r="DM48" s="10" t="str" cm="1">
        <f t="array" ref="DM48">IF($BK48&lt;&gt;"",IFERROR(AVERAGE(_xlfn._xlws.FILTER($BD:$BD,($BA:$BA=$BI48)*($BC:$BC=_xlfn.NUMBERVALUE($BK48)))),""),"")</f>
        <v/>
      </c>
      <c r="DN48" s="10" t="str" cm="1">
        <f t="array" ref="DN48">IF($BL48&lt;&gt;"",IFERROR(AVERAGE(_xlfn._xlws.FILTER($BD:$BD,($BA:$BA=$BI48)*($BC:$BC=_xlfn.NUMBERVALUE($BL48)))),""),"")</f>
        <v/>
      </c>
      <c r="DO48" s="10" t="str" cm="1">
        <f t="array" ref="DO48">IF($BM48&lt;&gt;"",IFERROR(AVERAGE(_xlfn._xlws.FILTER($BD:$BD,($BA:$BA=$BI48)*($BC:$BC=_xlfn.NUMBERVALUE($BM48)))),""),"")</f>
        <v/>
      </c>
      <c r="DP48" s="10" t="str" cm="1">
        <f t="array" ref="DP48">IF($BN48&lt;&gt;"",IFERROR(AVERAGE(_xlfn._xlws.FILTER($BD:$BD,($BA:$BA=$BI48)*($BC:$BC=_xlfn.NUMBERVALUE($BN48)))),""),"")</f>
        <v/>
      </c>
      <c r="DQ48" s="10" t="str" cm="1">
        <f t="array" ref="DQ48">IF($BO48&lt;&gt;"",IFERROR(AVERAGE(_xlfn._xlws.FILTER($BD:$BD,($BA:$BA=$BI48)*($BC:$BC=_xlfn.NUMBERVALUE($BO48)))),""),"")</f>
        <v/>
      </c>
      <c r="DX48" t="str" cm="1">
        <f t="array" ref="DX48">IF($BJ48&lt;&gt;"",IFERROR(AVERAGE(_xlfn._xlws.FILTER($BE:$BE,($BA:$BA=$BI48)*($BC:$BC=_xlfn.NUMBERVALUE($BJ48)))),""),"")</f>
        <v/>
      </c>
      <c r="DY48" s="10" t="str" cm="1">
        <f t="array" ref="DY48">IF($BK48&lt;&gt;"",IFERROR(AVERAGE(_xlfn._xlws.FILTER($BE:$BE,($BA:$BA=$BI48)*($BC:$BC=_xlfn.NUMBERVALUE($BK48)))),""),"")</f>
        <v/>
      </c>
      <c r="DZ48" s="10" t="str" cm="1">
        <f t="array" ref="DZ48">IF($BL48&lt;&gt;"",IFERROR(AVERAGE(_xlfn._xlws.FILTER($BE:$BE,($BA:$BA=$BI48)*($BC:$BC=_xlfn.NUMBERVALUE($BL48)))),""),"")</f>
        <v/>
      </c>
      <c r="EA48" s="10" t="str" cm="1">
        <f t="array" ref="EA48">IF($BM48&lt;&gt;"",IFERROR(AVERAGE(_xlfn._xlws.FILTER($BE:$BE,($BA:$BA=$BI48)*($BC:$BC=_xlfn.NUMBERVALUE($BM48)))),""),"")</f>
        <v/>
      </c>
      <c r="EB48" s="10" t="str" cm="1">
        <f t="array" ref="EB48">IF($BN48&lt;&gt;"",IFERROR(AVERAGE(_xlfn._xlws.FILTER($BE:$BE,($BA:$BA=$BI48)*($BC:$BC=_xlfn.NUMBERVALUE($BN48)))),""),"")</f>
        <v/>
      </c>
      <c r="EC48" s="10" t="str" cm="1">
        <f t="array" ref="EC48">IF($BO48&lt;&gt;"",IFERROR(AVERAGE(_xlfn._xlws.FILTER($BE:$BE,($BA:$BA=$BI48)*($BC:$BC=_xlfn.NUMBERVALUE($BO48)))),""),"")</f>
        <v/>
      </c>
    </row>
    <row r="49" spans="49:133" x14ac:dyDescent="0.3">
      <c r="AW49" s="1">
        <v>3.1</v>
      </c>
      <c r="AX49" s="1">
        <v>3.1</v>
      </c>
      <c r="AY49" t="str">
        <v>R080_HI782-0_0.0_LOT0418_PW3W.1_QC.xlsx</v>
      </c>
      <c r="AZ49" t="str">
        <v>LOT0418</v>
      </c>
      <c r="BA49" s="3">
        <v>3</v>
      </c>
      <c r="BB49" t="str">
        <v>P/Final</v>
      </c>
      <c r="BC49">
        <v>15</v>
      </c>
      <c r="BD49" s="10">
        <v>16.100000000000001</v>
      </c>
      <c r="BE49" s="10">
        <v>0</v>
      </c>
      <c r="BF49" s="10">
        <v>0</v>
      </c>
      <c r="BG49" s="13">
        <v>45313</v>
      </c>
      <c r="BP49" s="10" t="str" cm="1">
        <f t="array" ref="BP49">IF($BJ49&lt;&gt;"",IFERROR(AVERAGE(_xlfn._xlws.FILTER($BD:$BD,($BA:$BA=$BI49)*($BC:$BC=_xlfn.NUMBERVALUE($BJ49)))),""),"")</f>
        <v/>
      </c>
      <c r="BQ49" s="10" t="str" cm="1">
        <f t="array" ref="BQ49">IF($BK49&lt;&gt;"",IFERROR(AVERAGE(_xlfn._xlws.FILTER($BD:$BD,($BA:$BA=$BI49)*($BC:$BC=_xlfn.NUMBERVALUE($BK49)))),""),"")</f>
        <v/>
      </c>
      <c r="BR49" s="10" t="str" cm="1">
        <f t="array" ref="BR49">IF($BL49&lt;&gt;"",IFERROR(AVERAGE(_xlfn._xlws.FILTER($BD:$BD,($BA:$BA=$BI49)*($BC:$BC=_xlfn.NUMBERVALUE($BL49)))),""),"")</f>
        <v/>
      </c>
      <c r="BS49" s="10" t="str" cm="1">
        <f t="array" ref="BS49">IF($BM49&lt;&gt;"",IFERROR(AVERAGE(_xlfn._xlws.FILTER($BD:$BD,($BA:$BA=$BI49)*($BC:$BC=_xlfn.NUMBERVALUE($BM49)))),""),"")</f>
        <v/>
      </c>
      <c r="BT49" s="10" t="str" cm="1">
        <f t="array" ref="BT49">IF($BN49&lt;&gt;"",IFERROR(AVERAGE(_xlfn._xlws.FILTER($BD:$BD,($BA:$BA=$BI49)*($BC:$BC=_xlfn.NUMBERVALUE($BN49)))),""),"")</f>
        <v/>
      </c>
      <c r="BU49" s="10" t="str" cm="1">
        <f t="array" ref="BU49">IF($BO49&lt;&gt;"",IFERROR(AVERAGE(_xlfn._xlws.FILTER($BD:$BD,($BA:$BA=$BI49)*($BC:$BC=_xlfn.NUMBERVALUE($BO49)))),""),"")</f>
        <v/>
      </c>
      <c r="DL49" s="10" t="str" cm="1">
        <f t="array" ref="DL49">IF($BJ49&lt;&gt;"",IFERROR(AVERAGE(_xlfn._xlws.FILTER($BD:$BD,($BA:$BA=$BI49)*($BC:$BC=_xlfn.NUMBERVALUE($BJ49)))),""),"")</f>
        <v/>
      </c>
      <c r="DM49" s="10" t="str" cm="1">
        <f t="array" ref="DM49">IF($BK49&lt;&gt;"",IFERROR(AVERAGE(_xlfn._xlws.FILTER($BD:$BD,($BA:$BA=$BI49)*($BC:$BC=_xlfn.NUMBERVALUE($BK49)))),""),"")</f>
        <v/>
      </c>
      <c r="DN49" s="10" t="str" cm="1">
        <f t="array" ref="DN49">IF($BL49&lt;&gt;"",IFERROR(AVERAGE(_xlfn._xlws.FILTER($BD:$BD,($BA:$BA=$BI49)*($BC:$BC=_xlfn.NUMBERVALUE($BL49)))),""),"")</f>
        <v/>
      </c>
      <c r="DO49" s="10" t="str" cm="1">
        <f t="array" ref="DO49">IF($BM49&lt;&gt;"",IFERROR(AVERAGE(_xlfn._xlws.FILTER($BD:$BD,($BA:$BA=$BI49)*($BC:$BC=_xlfn.NUMBERVALUE($BM49)))),""),"")</f>
        <v/>
      </c>
      <c r="DP49" s="10" t="str" cm="1">
        <f t="array" ref="DP49">IF($BN49&lt;&gt;"",IFERROR(AVERAGE(_xlfn._xlws.FILTER($BD:$BD,($BA:$BA=$BI49)*($BC:$BC=_xlfn.NUMBERVALUE($BN49)))),""),"")</f>
        <v/>
      </c>
      <c r="DQ49" s="10" t="str" cm="1">
        <f t="array" ref="DQ49">IF($BO49&lt;&gt;"",IFERROR(AVERAGE(_xlfn._xlws.FILTER($BD:$BD,($BA:$BA=$BI49)*($BC:$BC=_xlfn.NUMBERVALUE($BO49)))),""),"")</f>
        <v/>
      </c>
      <c r="DX49" t="str" cm="1">
        <f t="array" ref="DX49">IF($BJ49&lt;&gt;"",IFERROR(AVERAGE(_xlfn._xlws.FILTER($BE:$BE,($BA:$BA=$BI49)*($BC:$BC=_xlfn.NUMBERVALUE($BJ49)))),""),"")</f>
        <v/>
      </c>
      <c r="DY49" s="10" t="str" cm="1">
        <f t="array" ref="DY49">IF($BK49&lt;&gt;"",IFERROR(AVERAGE(_xlfn._xlws.FILTER($BE:$BE,($BA:$BA=$BI49)*($BC:$BC=_xlfn.NUMBERVALUE($BK49)))),""),"")</f>
        <v/>
      </c>
      <c r="DZ49" s="10" t="str" cm="1">
        <f t="array" ref="DZ49">IF($BL49&lt;&gt;"",IFERROR(AVERAGE(_xlfn._xlws.FILTER($BE:$BE,($BA:$BA=$BI49)*($BC:$BC=_xlfn.NUMBERVALUE($BL49)))),""),"")</f>
        <v/>
      </c>
      <c r="EA49" s="10" t="str" cm="1">
        <f t="array" ref="EA49">IF($BM49&lt;&gt;"",IFERROR(AVERAGE(_xlfn._xlws.FILTER($BE:$BE,($BA:$BA=$BI49)*($BC:$BC=_xlfn.NUMBERVALUE($BM49)))),""),"")</f>
        <v/>
      </c>
      <c r="EB49" s="10" t="str" cm="1">
        <f t="array" ref="EB49">IF($BN49&lt;&gt;"",IFERROR(AVERAGE(_xlfn._xlws.FILTER($BE:$BE,($BA:$BA=$BI49)*($BC:$BC=_xlfn.NUMBERVALUE($BN49)))),""),"")</f>
        <v/>
      </c>
      <c r="EC49" s="10" t="str" cm="1">
        <f t="array" ref="EC49">IF($BO49&lt;&gt;"",IFERROR(AVERAGE(_xlfn._xlws.FILTER($BE:$BE,($BA:$BA=$BI49)*($BC:$BC=_xlfn.NUMBERVALUE($BO49)))),""),"")</f>
        <v/>
      </c>
    </row>
    <row r="50" spans="49:133" x14ac:dyDescent="0.3">
      <c r="AW50" s="1">
        <v>3.1</v>
      </c>
      <c r="AX50" s="1">
        <v>3.1</v>
      </c>
      <c r="AY50" t="str">
        <v>R080_HI782-0_0.0_LOT0418_PW3W.1_QC.xlsx</v>
      </c>
      <c r="AZ50" t="str">
        <v>LOT0418</v>
      </c>
      <c r="BA50" s="3">
        <v>3</v>
      </c>
      <c r="BB50" t="str">
        <v>P/Final</v>
      </c>
      <c r="BC50">
        <v>15</v>
      </c>
      <c r="BD50" s="10">
        <v>16</v>
      </c>
      <c r="BE50" s="10">
        <v>0</v>
      </c>
      <c r="BF50" s="10">
        <v>0</v>
      </c>
      <c r="BG50" s="13">
        <v>45313</v>
      </c>
      <c r="BP50" s="10" t="str" cm="1">
        <f t="array" ref="BP50">IF($BJ50&lt;&gt;"",IFERROR(AVERAGE(_xlfn._xlws.FILTER($BD:$BD,($BA:$BA=$BI50)*($BC:$BC=_xlfn.NUMBERVALUE($BJ50)))),""),"")</f>
        <v/>
      </c>
      <c r="BQ50" s="10" t="str" cm="1">
        <f t="array" ref="BQ50">IF($BK50&lt;&gt;"",IFERROR(AVERAGE(_xlfn._xlws.FILTER($BD:$BD,($BA:$BA=$BI50)*($BC:$BC=_xlfn.NUMBERVALUE($BK50)))),""),"")</f>
        <v/>
      </c>
      <c r="BR50" s="10" t="str" cm="1">
        <f t="array" ref="BR50">IF($BL50&lt;&gt;"",IFERROR(AVERAGE(_xlfn._xlws.FILTER($BD:$BD,($BA:$BA=$BI50)*($BC:$BC=_xlfn.NUMBERVALUE($BL50)))),""),"")</f>
        <v/>
      </c>
      <c r="BS50" s="10" t="str" cm="1">
        <f t="array" ref="BS50">IF($BM50&lt;&gt;"",IFERROR(AVERAGE(_xlfn._xlws.FILTER($BD:$BD,($BA:$BA=$BI50)*($BC:$BC=_xlfn.NUMBERVALUE($BM50)))),""),"")</f>
        <v/>
      </c>
      <c r="BT50" s="10" t="str" cm="1">
        <f t="array" ref="BT50">IF($BN50&lt;&gt;"",IFERROR(AVERAGE(_xlfn._xlws.FILTER($BD:$BD,($BA:$BA=$BI50)*($BC:$BC=_xlfn.NUMBERVALUE($BN50)))),""),"")</f>
        <v/>
      </c>
      <c r="BU50" s="10" t="str" cm="1">
        <f t="array" ref="BU50">IF($BO50&lt;&gt;"",IFERROR(AVERAGE(_xlfn._xlws.FILTER($BD:$BD,($BA:$BA=$BI50)*($BC:$BC=_xlfn.NUMBERVALUE($BO50)))),""),"")</f>
        <v/>
      </c>
      <c r="DL50" s="10" t="str" cm="1">
        <f t="array" ref="DL50">IF($BJ50&lt;&gt;"",IFERROR(AVERAGE(_xlfn._xlws.FILTER($BD:$BD,($BA:$BA=$BI50)*($BC:$BC=_xlfn.NUMBERVALUE($BJ50)))),""),"")</f>
        <v/>
      </c>
      <c r="DM50" s="10" t="str" cm="1">
        <f t="array" ref="DM50">IF($BK50&lt;&gt;"",IFERROR(AVERAGE(_xlfn._xlws.FILTER($BD:$BD,($BA:$BA=$BI50)*($BC:$BC=_xlfn.NUMBERVALUE($BK50)))),""),"")</f>
        <v/>
      </c>
      <c r="DN50" s="10" t="str" cm="1">
        <f t="array" ref="DN50">IF($BL50&lt;&gt;"",IFERROR(AVERAGE(_xlfn._xlws.FILTER($BD:$BD,($BA:$BA=$BI50)*($BC:$BC=_xlfn.NUMBERVALUE($BL50)))),""),"")</f>
        <v/>
      </c>
      <c r="DO50" s="10" t="str" cm="1">
        <f t="array" ref="DO50">IF($BM50&lt;&gt;"",IFERROR(AVERAGE(_xlfn._xlws.FILTER($BD:$BD,($BA:$BA=$BI50)*($BC:$BC=_xlfn.NUMBERVALUE($BM50)))),""),"")</f>
        <v/>
      </c>
      <c r="DP50" s="10" t="str" cm="1">
        <f t="array" ref="DP50">IF($BN50&lt;&gt;"",IFERROR(AVERAGE(_xlfn._xlws.FILTER($BD:$BD,($BA:$BA=$BI50)*($BC:$BC=_xlfn.NUMBERVALUE($BN50)))),""),"")</f>
        <v/>
      </c>
      <c r="DQ50" s="10" t="str" cm="1">
        <f t="array" ref="DQ50">IF($BO50&lt;&gt;"",IFERROR(AVERAGE(_xlfn._xlws.FILTER($BD:$BD,($BA:$BA=$BI50)*($BC:$BC=_xlfn.NUMBERVALUE($BO50)))),""),"")</f>
        <v/>
      </c>
      <c r="DX50" t="str" cm="1">
        <f t="array" ref="DX50">IF($BJ50&lt;&gt;"",IFERROR(AVERAGE(_xlfn._xlws.FILTER($BE:$BE,($BA:$BA=$BI50)*($BC:$BC=_xlfn.NUMBERVALUE($BJ50)))),""),"")</f>
        <v/>
      </c>
      <c r="DY50" s="10" t="str" cm="1">
        <f t="array" ref="DY50">IF($BK50&lt;&gt;"",IFERROR(AVERAGE(_xlfn._xlws.FILTER($BE:$BE,($BA:$BA=$BI50)*($BC:$BC=_xlfn.NUMBERVALUE($BK50)))),""),"")</f>
        <v/>
      </c>
      <c r="DZ50" s="10" t="str" cm="1">
        <f t="array" ref="DZ50">IF($BL50&lt;&gt;"",IFERROR(AVERAGE(_xlfn._xlws.FILTER($BE:$BE,($BA:$BA=$BI50)*($BC:$BC=_xlfn.NUMBERVALUE($BL50)))),""),"")</f>
        <v/>
      </c>
      <c r="EA50" s="10" t="str" cm="1">
        <f t="array" ref="EA50">IF($BM50&lt;&gt;"",IFERROR(AVERAGE(_xlfn._xlws.FILTER($BE:$BE,($BA:$BA=$BI50)*($BC:$BC=_xlfn.NUMBERVALUE($BM50)))),""),"")</f>
        <v/>
      </c>
      <c r="EB50" s="10" t="str" cm="1">
        <f t="array" ref="EB50">IF($BN50&lt;&gt;"",IFERROR(AVERAGE(_xlfn._xlws.FILTER($BE:$BE,($BA:$BA=$BI50)*($BC:$BC=_xlfn.NUMBERVALUE($BN50)))),""),"")</f>
        <v/>
      </c>
      <c r="EC50" s="10" t="str" cm="1">
        <f t="array" ref="EC50">IF($BO50&lt;&gt;"",IFERROR(AVERAGE(_xlfn._xlws.FILTER($BE:$BE,($BA:$BA=$BI50)*($BC:$BC=_xlfn.NUMBERVALUE($BO50)))),""),"")</f>
        <v/>
      </c>
    </row>
    <row r="51" spans="49:133" x14ac:dyDescent="0.3">
      <c r="AW51" s="1">
        <v>3.1</v>
      </c>
      <c r="AX51" s="1">
        <v>3.1</v>
      </c>
      <c r="AY51" t="str">
        <v>R080_HI782-0_0.0_LOT0418_PW3W.1_QC.xlsx</v>
      </c>
      <c r="AZ51" t="str">
        <v>LOT0418</v>
      </c>
      <c r="BA51" s="3">
        <v>3</v>
      </c>
      <c r="BB51" t="str">
        <v>P/Final</v>
      </c>
      <c r="BC51">
        <v>35</v>
      </c>
      <c r="BD51" s="10">
        <v>39</v>
      </c>
      <c r="BE51" s="10">
        <v>0</v>
      </c>
      <c r="BF51" s="10">
        <v>0</v>
      </c>
      <c r="BG51" s="13">
        <v>45313</v>
      </c>
      <c r="BP51" s="10" t="str" cm="1">
        <f t="array" ref="BP51">IF($BJ51&lt;&gt;"",IFERROR(AVERAGE(_xlfn._xlws.FILTER($BD:$BD,($BA:$BA=$BI51)*($BC:$BC=_xlfn.NUMBERVALUE($BJ51)))),""),"")</f>
        <v/>
      </c>
      <c r="BQ51" s="10" t="str" cm="1">
        <f t="array" ref="BQ51">IF($BK51&lt;&gt;"",IFERROR(AVERAGE(_xlfn._xlws.FILTER($BD:$BD,($BA:$BA=$BI51)*($BC:$BC=_xlfn.NUMBERVALUE($BK51)))),""),"")</f>
        <v/>
      </c>
      <c r="BR51" s="10" t="str" cm="1">
        <f t="array" ref="BR51">IF($BL51&lt;&gt;"",IFERROR(AVERAGE(_xlfn._xlws.FILTER($BD:$BD,($BA:$BA=$BI51)*($BC:$BC=_xlfn.NUMBERVALUE($BL51)))),""),"")</f>
        <v/>
      </c>
      <c r="BS51" s="10" t="str" cm="1">
        <f t="array" ref="BS51">IF($BM51&lt;&gt;"",IFERROR(AVERAGE(_xlfn._xlws.FILTER($BD:$BD,($BA:$BA=$BI51)*($BC:$BC=_xlfn.NUMBERVALUE($BM51)))),""),"")</f>
        <v/>
      </c>
      <c r="BT51" s="10" t="str" cm="1">
        <f t="array" ref="BT51">IF($BN51&lt;&gt;"",IFERROR(AVERAGE(_xlfn._xlws.FILTER($BD:$BD,($BA:$BA=$BI51)*($BC:$BC=_xlfn.NUMBERVALUE($BN51)))),""),"")</f>
        <v/>
      </c>
      <c r="BU51" s="10" t="str" cm="1">
        <f t="array" ref="BU51">IF($BO51&lt;&gt;"",IFERROR(AVERAGE(_xlfn._xlws.FILTER($BD:$BD,($BA:$BA=$BI51)*($BC:$BC=_xlfn.NUMBERVALUE($BO51)))),""),"")</f>
        <v/>
      </c>
      <c r="DL51" s="10" t="str" cm="1">
        <f t="array" ref="DL51">IF($BJ51&lt;&gt;"",IFERROR(AVERAGE(_xlfn._xlws.FILTER($BD:$BD,($BA:$BA=$BI51)*($BC:$BC=_xlfn.NUMBERVALUE($BJ51)))),""),"")</f>
        <v/>
      </c>
      <c r="DM51" s="10" t="str" cm="1">
        <f t="array" ref="DM51">IF($BK51&lt;&gt;"",IFERROR(AVERAGE(_xlfn._xlws.FILTER($BD:$BD,($BA:$BA=$BI51)*($BC:$BC=_xlfn.NUMBERVALUE($BK51)))),""),"")</f>
        <v/>
      </c>
      <c r="DN51" s="10" t="str" cm="1">
        <f t="array" ref="DN51">IF($BL51&lt;&gt;"",IFERROR(AVERAGE(_xlfn._xlws.FILTER($BD:$BD,($BA:$BA=$BI51)*($BC:$BC=_xlfn.NUMBERVALUE($BL51)))),""),"")</f>
        <v/>
      </c>
      <c r="DO51" s="10" t="str" cm="1">
        <f t="array" ref="DO51">IF($BM51&lt;&gt;"",IFERROR(AVERAGE(_xlfn._xlws.FILTER($BD:$BD,($BA:$BA=$BI51)*($BC:$BC=_xlfn.NUMBERVALUE($BM51)))),""),"")</f>
        <v/>
      </c>
      <c r="DP51" s="10" t="str" cm="1">
        <f t="array" ref="DP51">IF($BN51&lt;&gt;"",IFERROR(AVERAGE(_xlfn._xlws.FILTER($BD:$BD,($BA:$BA=$BI51)*($BC:$BC=_xlfn.NUMBERVALUE($BN51)))),""),"")</f>
        <v/>
      </c>
      <c r="DQ51" s="10" t="str" cm="1">
        <f t="array" ref="DQ51">IF($BO51&lt;&gt;"",IFERROR(AVERAGE(_xlfn._xlws.FILTER($BD:$BD,($BA:$BA=$BI51)*($BC:$BC=_xlfn.NUMBERVALUE($BO51)))),""),"")</f>
        <v/>
      </c>
      <c r="DX51" t="str" cm="1">
        <f t="array" ref="DX51">IF($BJ51&lt;&gt;"",IFERROR(AVERAGE(_xlfn._xlws.FILTER($BE:$BE,($BA:$BA=$BI51)*($BC:$BC=_xlfn.NUMBERVALUE($BJ51)))),""),"")</f>
        <v/>
      </c>
      <c r="DY51" s="10" t="str" cm="1">
        <f t="array" ref="DY51">IF($BK51&lt;&gt;"",IFERROR(AVERAGE(_xlfn._xlws.FILTER($BE:$BE,($BA:$BA=$BI51)*($BC:$BC=_xlfn.NUMBERVALUE($BK51)))),""),"")</f>
        <v/>
      </c>
      <c r="DZ51" s="10" t="str" cm="1">
        <f t="array" ref="DZ51">IF($BL51&lt;&gt;"",IFERROR(AVERAGE(_xlfn._xlws.FILTER($BE:$BE,($BA:$BA=$BI51)*($BC:$BC=_xlfn.NUMBERVALUE($BL51)))),""),"")</f>
        <v/>
      </c>
      <c r="EA51" s="10" t="str" cm="1">
        <f t="array" ref="EA51">IF($BM51&lt;&gt;"",IFERROR(AVERAGE(_xlfn._xlws.FILTER($BE:$BE,($BA:$BA=$BI51)*($BC:$BC=_xlfn.NUMBERVALUE($BM51)))),""),"")</f>
        <v/>
      </c>
      <c r="EB51" s="10" t="str" cm="1">
        <f t="array" ref="EB51">IF($BN51&lt;&gt;"",IFERROR(AVERAGE(_xlfn._xlws.FILTER($BE:$BE,($BA:$BA=$BI51)*($BC:$BC=_xlfn.NUMBERVALUE($BN51)))),""),"")</f>
        <v/>
      </c>
      <c r="EC51" s="10" t="str" cm="1">
        <f t="array" ref="EC51">IF($BO51&lt;&gt;"",IFERROR(AVERAGE(_xlfn._xlws.FILTER($BE:$BE,($BA:$BA=$BI51)*($BC:$BC=_xlfn.NUMBERVALUE($BO51)))),""),"")</f>
        <v/>
      </c>
    </row>
    <row r="52" spans="49:133" x14ac:dyDescent="0.3">
      <c r="AW52" s="1">
        <v>3.1</v>
      </c>
      <c r="AX52" s="1">
        <v>3.1</v>
      </c>
      <c r="AY52" t="str">
        <v>R080_HI782-0_0.0_LOT0418_PW3W.1_QC.xlsx</v>
      </c>
      <c r="AZ52" t="str">
        <v>LOT0418</v>
      </c>
      <c r="BA52" s="3">
        <v>3</v>
      </c>
      <c r="BB52" t="str">
        <v>P/Final</v>
      </c>
      <c r="BC52">
        <v>35</v>
      </c>
      <c r="BD52" s="10">
        <v>35.700000000000003</v>
      </c>
      <c r="BE52" s="10">
        <v>0</v>
      </c>
      <c r="BF52" s="10">
        <v>0</v>
      </c>
      <c r="BG52" s="13">
        <v>45313</v>
      </c>
      <c r="BP52" s="10" t="str" cm="1">
        <f t="array" ref="BP52">IF($BJ52&lt;&gt;"",IFERROR(AVERAGE(_xlfn._xlws.FILTER($BD:$BD,($BA:$BA=$BI52)*($BC:$BC=_xlfn.NUMBERVALUE($BJ52)))),""),"")</f>
        <v/>
      </c>
      <c r="BQ52" s="10" t="str" cm="1">
        <f t="array" ref="BQ52">IF($BK52&lt;&gt;"",IFERROR(AVERAGE(_xlfn._xlws.FILTER($BD:$BD,($BA:$BA=$BI52)*($BC:$BC=_xlfn.NUMBERVALUE($BK52)))),""),"")</f>
        <v/>
      </c>
      <c r="BR52" s="10" t="str" cm="1">
        <f t="array" ref="BR52">IF($BL52&lt;&gt;"",IFERROR(AVERAGE(_xlfn._xlws.FILTER($BD:$BD,($BA:$BA=$BI52)*($BC:$BC=_xlfn.NUMBERVALUE($BL52)))),""),"")</f>
        <v/>
      </c>
      <c r="BS52" s="10" t="str" cm="1">
        <f t="array" ref="BS52">IF($BM52&lt;&gt;"",IFERROR(AVERAGE(_xlfn._xlws.FILTER($BD:$BD,($BA:$BA=$BI52)*($BC:$BC=_xlfn.NUMBERVALUE($BM52)))),""),"")</f>
        <v/>
      </c>
      <c r="BT52" s="10" t="str" cm="1">
        <f t="array" ref="BT52">IF($BN52&lt;&gt;"",IFERROR(AVERAGE(_xlfn._xlws.FILTER($BD:$BD,($BA:$BA=$BI52)*($BC:$BC=_xlfn.NUMBERVALUE($BN52)))),""),"")</f>
        <v/>
      </c>
      <c r="BU52" s="10" t="str" cm="1">
        <f t="array" ref="BU52">IF($BO52&lt;&gt;"",IFERROR(AVERAGE(_xlfn._xlws.FILTER($BD:$BD,($BA:$BA=$BI52)*($BC:$BC=_xlfn.NUMBERVALUE($BO52)))),""),"")</f>
        <v/>
      </c>
      <c r="DL52" s="10" t="str" cm="1">
        <f t="array" ref="DL52">IF($BJ52&lt;&gt;"",IFERROR(AVERAGE(_xlfn._xlws.FILTER($BD:$BD,($BA:$BA=$BI52)*($BC:$BC=_xlfn.NUMBERVALUE($BJ52)))),""),"")</f>
        <v/>
      </c>
      <c r="DM52" s="10" t="str" cm="1">
        <f t="array" ref="DM52">IF($BK52&lt;&gt;"",IFERROR(AVERAGE(_xlfn._xlws.FILTER($BD:$BD,($BA:$BA=$BI52)*($BC:$BC=_xlfn.NUMBERVALUE($BK52)))),""),"")</f>
        <v/>
      </c>
      <c r="DN52" s="10" t="str" cm="1">
        <f t="array" ref="DN52">IF($BL52&lt;&gt;"",IFERROR(AVERAGE(_xlfn._xlws.FILTER($BD:$BD,($BA:$BA=$BI52)*($BC:$BC=_xlfn.NUMBERVALUE($BL52)))),""),"")</f>
        <v/>
      </c>
      <c r="DO52" s="10" t="str" cm="1">
        <f t="array" ref="DO52">IF($BM52&lt;&gt;"",IFERROR(AVERAGE(_xlfn._xlws.FILTER($BD:$BD,($BA:$BA=$BI52)*($BC:$BC=_xlfn.NUMBERVALUE($BM52)))),""),"")</f>
        <v/>
      </c>
      <c r="DP52" s="10" t="str" cm="1">
        <f t="array" ref="DP52">IF($BN52&lt;&gt;"",IFERROR(AVERAGE(_xlfn._xlws.FILTER($BD:$BD,($BA:$BA=$BI52)*($BC:$BC=_xlfn.NUMBERVALUE($BN52)))),""),"")</f>
        <v/>
      </c>
      <c r="DQ52" s="10" t="str" cm="1">
        <f t="array" ref="DQ52">IF($BO52&lt;&gt;"",IFERROR(AVERAGE(_xlfn._xlws.FILTER($BD:$BD,($BA:$BA=$BI52)*($BC:$BC=_xlfn.NUMBERVALUE($BO52)))),""),"")</f>
        <v/>
      </c>
      <c r="DX52" t="str" cm="1">
        <f t="array" ref="DX52">IF($BJ52&lt;&gt;"",IFERROR(AVERAGE(_xlfn._xlws.FILTER($BE:$BE,($BA:$BA=$BI52)*($BC:$BC=_xlfn.NUMBERVALUE($BJ52)))),""),"")</f>
        <v/>
      </c>
      <c r="DY52" s="10" t="str" cm="1">
        <f t="array" ref="DY52">IF($BK52&lt;&gt;"",IFERROR(AVERAGE(_xlfn._xlws.FILTER($BE:$BE,($BA:$BA=$BI52)*($BC:$BC=_xlfn.NUMBERVALUE($BK52)))),""),"")</f>
        <v/>
      </c>
      <c r="DZ52" s="10" t="str" cm="1">
        <f t="array" ref="DZ52">IF($BL52&lt;&gt;"",IFERROR(AVERAGE(_xlfn._xlws.FILTER($BE:$BE,($BA:$BA=$BI52)*($BC:$BC=_xlfn.NUMBERVALUE($BL52)))),""),"")</f>
        <v/>
      </c>
      <c r="EA52" s="10" t="str" cm="1">
        <f t="array" ref="EA52">IF($BM52&lt;&gt;"",IFERROR(AVERAGE(_xlfn._xlws.FILTER($BE:$BE,($BA:$BA=$BI52)*($BC:$BC=_xlfn.NUMBERVALUE($BM52)))),""),"")</f>
        <v/>
      </c>
      <c r="EB52" s="10" t="str" cm="1">
        <f t="array" ref="EB52">IF($BN52&lt;&gt;"",IFERROR(AVERAGE(_xlfn._xlws.FILTER($BE:$BE,($BA:$BA=$BI52)*($BC:$BC=_xlfn.NUMBERVALUE($BN52)))),""),"")</f>
        <v/>
      </c>
      <c r="EC52" s="10" t="str" cm="1">
        <f t="array" ref="EC52">IF($BO52&lt;&gt;"",IFERROR(AVERAGE(_xlfn._xlws.FILTER($BE:$BE,($BA:$BA=$BI52)*($BC:$BC=_xlfn.NUMBERVALUE($BO52)))),""),"")</f>
        <v/>
      </c>
    </row>
    <row r="53" spans="49:133" x14ac:dyDescent="0.3">
      <c r="AW53" s="1">
        <v>3.1</v>
      </c>
      <c r="AX53" s="1">
        <v>3.1</v>
      </c>
      <c r="AY53" t="str">
        <v>R080_HI782-0_0.0_LOT0418_PW3W.1_QC.xlsx</v>
      </c>
      <c r="AZ53" t="str">
        <v>LOT0418</v>
      </c>
      <c r="BA53" s="3">
        <v>3</v>
      </c>
      <c r="BB53" t="str">
        <v>P/Final</v>
      </c>
      <c r="BC53">
        <v>35</v>
      </c>
      <c r="BD53" s="10">
        <v>33.200000000000003</v>
      </c>
      <c r="BE53" s="10">
        <v>0</v>
      </c>
      <c r="BF53" s="10">
        <v>0</v>
      </c>
      <c r="BG53" s="13">
        <v>45313</v>
      </c>
      <c r="BP53" s="10" t="str" cm="1">
        <f t="array" ref="BP53">IF($BJ53&lt;&gt;"",IFERROR(AVERAGE(_xlfn._xlws.FILTER($BD:$BD,($BA:$BA=$BI53)*($BC:$BC=_xlfn.NUMBERVALUE($BJ53)))),""),"")</f>
        <v/>
      </c>
      <c r="BQ53" s="10" t="str" cm="1">
        <f t="array" ref="BQ53">IF($BK53&lt;&gt;"",IFERROR(AVERAGE(_xlfn._xlws.FILTER($BD:$BD,($BA:$BA=$BI53)*($BC:$BC=_xlfn.NUMBERVALUE($BK53)))),""),"")</f>
        <v/>
      </c>
      <c r="BR53" s="10" t="str" cm="1">
        <f t="array" ref="BR53">IF($BL53&lt;&gt;"",IFERROR(AVERAGE(_xlfn._xlws.FILTER($BD:$BD,($BA:$BA=$BI53)*($BC:$BC=_xlfn.NUMBERVALUE($BL53)))),""),"")</f>
        <v/>
      </c>
      <c r="BS53" s="10" t="str" cm="1">
        <f t="array" ref="BS53">IF($BM53&lt;&gt;"",IFERROR(AVERAGE(_xlfn._xlws.FILTER($BD:$BD,($BA:$BA=$BI53)*($BC:$BC=_xlfn.NUMBERVALUE($BM53)))),""),"")</f>
        <v/>
      </c>
      <c r="BT53" s="10" t="str" cm="1">
        <f t="array" ref="BT53">IF($BN53&lt;&gt;"",IFERROR(AVERAGE(_xlfn._xlws.FILTER($BD:$BD,($BA:$BA=$BI53)*($BC:$BC=_xlfn.NUMBERVALUE($BN53)))),""),"")</f>
        <v/>
      </c>
      <c r="BU53" s="10" t="str" cm="1">
        <f t="array" ref="BU53">IF($BO53&lt;&gt;"",IFERROR(AVERAGE(_xlfn._xlws.FILTER($BD:$BD,($BA:$BA=$BI53)*($BC:$BC=_xlfn.NUMBERVALUE($BO53)))),""),"")</f>
        <v/>
      </c>
      <c r="DL53" s="10" t="str" cm="1">
        <f t="array" ref="DL53">IF($BJ53&lt;&gt;"",IFERROR(AVERAGE(_xlfn._xlws.FILTER($BD:$BD,($BA:$BA=$BI53)*($BC:$BC=_xlfn.NUMBERVALUE($BJ53)))),""),"")</f>
        <v/>
      </c>
      <c r="DM53" s="10" t="str" cm="1">
        <f t="array" ref="DM53">IF($BK53&lt;&gt;"",IFERROR(AVERAGE(_xlfn._xlws.FILTER($BD:$BD,($BA:$BA=$BI53)*($BC:$BC=_xlfn.NUMBERVALUE($BK53)))),""),"")</f>
        <v/>
      </c>
      <c r="DN53" s="10" t="str" cm="1">
        <f t="array" ref="DN53">IF($BL53&lt;&gt;"",IFERROR(AVERAGE(_xlfn._xlws.FILTER($BD:$BD,($BA:$BA=$BI53)*($BC:$BC=_xlfn.NUMBERVALUE($BL53)))),""),"")</f>
        <v/>
      </c>
      <c r="DO53" s="10" t="str" cm="1">
        <f t="array" ref="DO53">IF($BM53&lt;&gt;"",IFERROR(AVERAGE(_xlfn._xlws.FILTER($BD:$BD,($BA:$BA=$BI53)*($BC:$BC=_xlfn.NUMBERVALUE($BM53)))),""),"")</f>
        <v/>
      </c>
      <c r="DP53" s="10" t="str" cm="1">
        <f t="array" ref="DP53">IF($BN53&lt;&gt;"",IFERROR(AVERAGE(_xlfn._xlws.FILTER($BD:$BD,($BA:$BA=$BI53)*($BC:$BC=_xlfn.NUMBERVALUE($BN53)))),""),"")</f>
        <v/>
      </c>
      <c r="DQ53" s="10" t="str" cm="1">
        <f t="array" ref="DQ53">IF($BO53&lt;&gt;"",IFERROR(AVERAGE(_xlfn._xlws.FILTER($BD:$BD,($BA:$BA=$BI53)*($BC:$BC=_xlfn.NUMBERVALUE($BO53)))),""),"")</f>
        <v/>
      </c>
      <c r="DX53" t="str" cm="1">
        <f t="array" ref="DX53">IF($BJ53&lt;&gt;"",IFERROR(AVERAGE(_xlfn._xlws.FILTER($BE:$BE,($BA:$BA=$BI53)*($BC:$BC=_xlfn.NUMBERVALUE($BJ53)))),""),"")</f>
        <v/>
      </c>
      <c r="DY53" s="10" t="str" cm="1">
        <f t="array" ref="DY53">IF($BK53&lt;&gt;"",IFERROR(AVERAGE(_xlfn._xlws.FILTER($BE:$BE,($BA:$BA=$BI53)*($BC:$BC=_xlfn.NUMBERVALUE($BK53)))),""),"")</f>
        <v/>
      </c>
      <c r="DZ53" s="10" t="str" cm="1">
        <f t="array" ref="DZ53">IF($BL53&lt;&gt;"",IFERROR(AVERAGE(_xlfn._xlws.FILTER($BE:$BE,($BA:$BA=$BI53)*($BC:$BC=_xlfn.NUMBERVALUE($BL53)))),""),"")</f>
        <v/>
      </c>
      <c r="EA53" s="10" t="str" cm="1">
        <f t="array" ref="EA53">IF($BM53&lt;&gt;"",IFERROR(AVERAGE(_xlfn._xlws.FILTER($BE:$BE,($BA:$BA=$BI53)*($BC:$BC=_xlfn.NUMBERVALUE($BM53)))),""),"")</f>
        <v/>
      </c>
      <c r="EB53" s="10" t="str" cm="1">
        <f t="array" ref="EB53">IF($BN53&lt;&gt;"",IFERROR(AVERAGE(_xlfn._xlws.FILTER($BE:$BE,($BA:$BA=$BI53)*($BC:$BC=_xlfn.NUMBERVALUE($BN53)))),""),"")</f>
        <v/>
      </c>
      <c r="EC53" s="10" t="str" cm="1">
        <f t="array" ref="EC53">IF($BO53&lt;&gt;"",IFERROR(AVERAGE(_xlfn._xlws.FILTER($BE:$BE,($BA:$BA=$BI53)*($BC:$BC=_xlfn.NUMBERVALUE($BO53)))),""),"")</f>
        <v/>
      </c>
    </row>
    <row r="54" spans="49:133" x14ac:dyDescent="0.3">
      <c r="AW54" s="1">
        <v>3.1</v>
      </c>
      <c r="AX54" s="1">
        <v>3.1</v>
      </c>
      <c r="AY54" t="str">
        <v>R080_HI782-0_0.0_LOT0418_PW3W.1_QC.xlsx</v>
      </c>
      <c r="AZ54" t="str">
        <v>LOT0418</v>
      </c>
      <c r="BA54" s="3">
        <v>3</v>
      </c>
      <c r="BB54" t="str">
        <v>P/Final</v>
      </c>
      <c r="BC54">
        <v>35</v>
      </c>
      <c r="BD54" s="10">
        <v>35.9</v>
      </c>
      <c r="BE54" s="10">
        <v>0</v>
      </c>
      <c r="BF54" s="10">
        <v>0</v>
      </c>
      <c r="BG54" s="13">
        <v>45313</v>
      </c>
      <c r="BP54" s="10" t="str" cm="1">
        <f t="array" ref="BP54">IF($BJ54&lt;&gt;"",IFERROR(AVERAGE(_xlfn._xlws.FILTER($BD:$BD,($BA:$BA=$BI54)*($BC:$BC=_xlfn.NUMBERVALUE($BJ54)))),""),"")</f>
        <v/>
      </c>
      <c r="BQ54" s="10" t="str" cm="1">
        <f t="array" ref="BQ54">IF($BK54&lt;&gt;"",IFERROR(AVERAGE(_xlfn._xlws.FILTER($BD:$BD,($BA:$BA=$BI54)*($BC:$BC=_xlfn.NUMBERVALUE($BK54)))),""),"")</f>
        <v/>
      </c>
      <c r="BR54" s="10" t="str" cm="1">
        <f t="array" ref="BR54">IF($BL54&lt;&gt;"",IFERROR(AVERAGE(_xlfn._xlws.FILTER($BD:$BD,($BA:$BA=$BI54)*($BC:$BC=_xlfn.NUMBERVALUE($BL54)))),""),"")</f>
        <v/>
      </c>
      <c r="BS54" s="10" t="str" cm="1">
        <f t="array" ref="BS54">IF($BM54&lt;&gt;"",IFERROR(AVERAGE(_xlfn._xlws.FILTER($BD:$BD,($BA:$BA=$BI54)*($BC:$BC=_xlfn.NUMBERVALUE($BM54)))),""),"")</f>
        <v/>
      </c>
      <c r="BT54" s="10" t="str" cm="1">
        <f t="array" ref="BT54">IF($BN54&lt;&gt;"",IFERROR(AVERAGE(_xlfn._xlws.FILTER($BD:$BD,($BA:$BA=$BI54)*($BC:$BC=_xlfn.NUMBERVALUE($BN54)))),""),"")</f>
        <v/>
      </c>
      <c r="BU54" s="10" t="str" cm="1">
        <f t="array" ref="BU54">IF($BO54&lt;&gt;"",IFERROR(AVERAGE(_xlfn._xlws.FILTER($BD:$BD,($BA:$BA=$BI54)*($BC:$BC=_xlfn.NUMBERVALUE($BO54)))),""),"")</f>
        <v/>
      </c>
      <c r="DL54" s="10" t="str" cm="1">
        <f t="array" ref="DL54">IF($BJ54&lt;&gt;"",IFERROR(AVERAGE(_xlfn._xlws.FILTER($BD:$BD,($BA:$BA=$BI54)*($BC:$BC=_xlfn.NUMBERVALUE($BJ54)))),""),"")</f>
        <v/>
      </c>
      <c r="DM54" s="10" t="str" cm="1">
        <f t="array" ref="DM54">IF($BK54&lt;&gt;"",IFERROR(AVERAGE(_xlfn._xlws.FILTER($BD:$BD,($BA:$BA=$BI54)*($BC:$BC=_xlfn.NUMBERVALUE($BK54)))),""),"")</f>
        <v/>
      </c>
      <c r="DN54" s="10" t="str" cm="1">
        <f t="array" ref="DN54">IF($BL54&lt;&gt;"",IFERROR(AVERAGE(_xlfn._xlws.FILTER($BD:$BD,($BA:$BA=$BI54)*($BC:$BC=_xlfn.NUMBERVALUE($BL54)))),""),"")</f>
        <v/>
      </c>
      <c r="DO54" s="10" t="str" cm="1">
        <f t="array" ref="DO54">IF($BM54&lt;&gt;"",IFERROR(AVERAGE(_xlfn._xlws.FILTER($BD:$BD,($BA:$BA=$BI54)*($BC:$BC=_xlfn.NUMBERVALUE($BM54)))),""),"")</f>
        <v/>
      </c>
      <c r="DP54" s="10" t="str" cm="1">
        <f t="array" ref="DP54">IF($BN54&lt;&gt;"",IFERROR(AVERAGE(_xlfn._xlws.FILTER($BD:$BD,($BA:$BA=$BI54)*($BC:$BC=_xlfn.NUMBERVALUE($BN54)))),""),"")</f>
        <v/>
      </c>
      <c r="DQ54" s="10" t="str" cm="1">
        <f t="array" ref="DQ54">IF($BO54&lt;&gt;"",IFERROR(AVERAGE(_xlfn._xlws.FILTER($BD:$BD,($BA:$BA=$BI54)*($BC:$BC=_xlfn.NUMBERVALUE($BO54)))),""),"")</f>
        <v/>
      </c>
      <c r="DX54" t="str" cm="1">
        <f t="array" ref="DX54">IF($BJ54&lt;&gt;"",IFERROR(AVERAGE(_xlfn._xlws.FILTER($BE:$BE,($BA:$BA=$BI54)*($BC:$BC=_xlfn.NUMBERVALUE($BJ54)))),""),"")</f>
        <v/>
      </c>
      <c r="DY54" s="10" t="str" cm="1">
        <f t="array" ref="DY54">IF($BK54&lt;&gt;"",IFERROR(AVERAGE(_xlfn._xlws.FILTER($BE:$BE,($BA:$BA=$BI54)*($BC:$BC=_xlfn.NUMBERVALUE($BK54)))),""),"")</f>
        <v/>
      </c>
      <c r="DZ54" s="10" t="str" cm="1">
        <f t="array" ref="DZ54">IF($BL54&lt;&gt;"",IFERROR(AVERAGE(_xlfn._xlws.FILTER($BE:$BE,($BA:$BA=$BI54)*($BC:$BC=_xlfn.NUMBERVALUE($BL54)))),""),"")</f>
        <v/>
      </c>
      <c r="EA54" s="10" t="str" cm="1">
        <f t="array" ref="EA54">IF($BM54&lt;&gt;"",IFERROR(AVERAGE(_xlfn._xlws.FILTER($BE:$BE,($BA:$BA=$BI54)*($BC:$BC=_xlfn.NUMBERVALUE($BM54)))),""),"")</f>
        <v/>
      </c>
      <c r="EB54" s="10" t="str" cm="1">
        <f t="array" ref="EB54">IF($BN54&lt;&gt;"",IFERROR(AVERAGE(_xlfn._xlws.FILTER($BE:$BE,($BA:$BA=$BI54)*($BC:$BC=_xlfn.NUMBERVALUE($BN54)))),""),"")</f>
        <v/>
      </c>
      <c r="EC54" s="10" t="str" cm="1">
        <f t="array" ref="EC54">IF($BO54&lt;&gt;"",IFERROR(AVERAGE(_xlfn._xlws.FILTER($BE:$BE,($BA:$BA=$BI54)*($BC:$BC=_xlfn.NUMBERVALUE($BO54)))),""),"")</f>
        <v/>
      </c>
    </row>
    <row r="55" spans="49:133" x14ac:dyDescent="0.3">
      <c r="AW55" s="1">
        <v>3.1</v>
      </c>
      <c r="AX55" s="1">
        <v>3.1</v>
      </c>
      <c r="AY55" t="str">
        <v>R080_HI782-0_0.0_LOT0418_PW3W.1_QC.xlsx</v>
      </c>
      <c r="AZ55" t="str">
        <v>LOT0418</v>
      </c>
      <c r="BA55" s="3">
        <v>3</v>
      </c>
      <c r="BB55" t="str">
        <v>P/Final</v>
      </c>
      <c r="BC55">
        <v>35</v>
      </c>
      <c r="BD55" s="10">
        <v>36.200000000000003</v>
      </c>
      <c r="BE55" s="10">
        <v>0</v>
      </c>
      <c r="BF55" s="10">
        <v>0</v>
      </c>
      <c r="BG55" s="13">
        <v>45313</v>
      </c>
      <c r="BP55" s="10" t="str" cm="1">
        <f t="array" ref="BP55">IF($BJ55&lt;&gt;"",IFERROR(AVERAGE(_xlfn._xlws.FILTER($BD:$BD,($BA:$BA=$BI55)*($BC:$BC=_xlfn.NUMBERVALUE($BJ55)))),""),"")</f>
        <v/>
      </c>
      <c r="BQ55" s="10" t="str" cm="1">
        <f t="array" ref="BQ55">IF($BK55&lt;&gt;"",IFERROR(AVERAGE(_xlfn._xlws.FILTER($BD:$BD,($BA:$BA=$BI55)*($BC:$BC=_xlfn.NUMBERVALUE($BK55)))),""),"")</f>
        <v/>
      </c>
      <c r="BR55" s="10" t="str" cm="1">
        <f t="array" ref="BR55">IF($BL55&lt;&gt;"",IFERROR(AVERAGE(_xlfn._xlws.FILTER($BD:$BD,($BA:$BA=$BI55)*($BC:$BC=_xlfn.NUMBERVALUE($BL55)))),""),"")</f>
        <v/>
      </c>
      <c r="BS55" s="10" t="str" cm="1">
        <f t="array" ref="BS55">IF($BM55&lt;&gt;"",IFERROR(AVERAGE(_xlfn._xlws.FILTER($BD:$BD,($BA:$BA=$BI55)*($BC:$BC=_xlfn.NUMBERVALUE($BM55)))),""),"")</f>
        <v/>
      </c>
      <c r="BT55" s="10" t="str" cm="1">
        <f t="array" ref="BT55">IF($BN55&lt;&gt;"",IFERROR(AVERAGE(_xlfn._xlws.FILTER($BD:$BD,($BA:$BA=$BI55)*($BC:$BC=_xlfn.NUMBERVALUE($BN55)))),""),"")</f>
        <v/>
      </c>
      <c r="BU55" s="10" t="str" cm="1">
        <f t="array" ref="BU55">IF($BO55&lt;&gt;"",IFERROR(AVERAGE(_xlfn._xlws.FILTER($BD:$BD,($BA:$BA=$BI55)*($BC:$BC=_xlfn.NUMBERVALUE($BO55)))),""),"")</f>
        <v/>
      </c>
      <c r="DL55" s="10" t="str" cm="1">
        <f t="array" ref="DL55">IF($BJ55&lt;&gt;"",IFERROR(AVERAGE(_xlfn._xlws.FILTER($BD:$BD,($BA:$BA=$BI55)*($BC:$BC=_xlfn.NUMBERVALUE($BJ55)))),""),"")</f>
        <v/>
      </c>
      <c r="DM55" s="10" t="str" cm="1">
        <f t="array" ref="DM55">IF($BK55&lt;&gt;"",IFERROR(AVERAGE(_xlfn._xlws.FILTER($BD:$BD,($BA:$BA=$BI55)*($BC:$BC=_xlfn.NUMBERVALUE($BK55)))),""),"")</f>
        <v/>
      </c>
      <c r="DN55" s="10" t="str" cm="1">
        <f t="array" ref="DN55">IF($BL55&lt;&gt;"",IFERROR(AVERAGE(_xlfn._xlws.FILTER($BD:$BD,($BA:$BA=$BI55)*($BC:$BC=_xlfn.NUMBERVALUE($BL55)))),""),"")</f>
        <v/>
      </c>
      <c r="DO55" s="10" t="str" cm="1">
        <f t="array" ref="DO55">IF($BM55&lt;&gt;"",IFERROR(AVERAGE(_xlfn._xlws.FILTER($BD:$BD,($BA:$BA=$BI55)*($BC:$BC=_xlfn.NUMBERVALUE($BM55)))),""),"")</f>
        <v/>
      </c>
      <c r="DP55" s="10" t="str" cm="1">
        <f t="array" ref="DP55">IF($BN55&lt;&gt;"",IFERROR(AVERAGE(_xlfn._xlws.FILTER($BD:$BD,($BA:$BA=$BI55)*($BC:$BC=_xlfn.NUMBERVALUE($BN55)))),""),"")</f>
        <v/>
      </c>
      <c r="DQ55" s="10" t="str" cm="1">
        <f t="array" ref="DQ55">IF($BO55&lt;&gt;"",IFERROR(AVERAGE(_xlfn._xlws.FILTER($BD:$BD,($BA:$BA=$BI55)*($BC:$BC=_xlfn.NUMBERVALUE($BO55)))),""),"")</f>
        <v/>
      </c>
      <c r="DX55" t="str" cm="1">
        <f t="array" ref="DX55">IF($BJ55&lt;&gt;"",IFERROR(AVERAGE(_xlfn._xlws.FILTER($BE:$BE,($BA:$BA=$BI55)*($BC:$BC=_xlfn.NUMBERVALUE($BJ55)))),""),"")</f>
        <v/>
      </c>
      <c r="DY55" s="10" t="str" cm="1">
        <f t="array" ref="DY55">IF($BK55&lt;&gt;"",IFERROR(AVERAGE(_xlfn._xlws.FILTER($BE:$BE,($BA:$BA=$BI55)*($BC:$BC=_xlfn.NUMBERVALUE($BK55)))),""),"")</f>
        <v/>
      </c>
      <c r="DZ55" s="10" t="str" cm="1">
        <f t="array" ref="DZ55">IF($BL55&lt;&gt;"",IFERROR(AVERAGE(_xlfn._xlws.FILTER($BE:$BE,($BA:$BA=$BI55)*($BC:$BC=_xlfn.NUMBERVALUE($BL55)))),""),"")</f>
        <v/>
      </c>
      <c r="EA55" s="10" t="str" cm="1">
        <f t="array" ref="EA55">IF($BM55&lt;&gt;"",IFERROR(AVERAGE(_xlfn._xlws.FILTER($BE:$BE,($BA:$BA=$BI55)*($BC:$BC=_xlfn.NUMBERVALUE($BM55)))),""),"")</f>
        <v/>
      </c>
      <c r="EB55" s="10" t="str" cm="1">
        <f t="array" ref="EB55">IF($BN55&lt;&gt;"",IFERROR(AVERAGE(_xlfn._xlws.FILTER($BE:$BE,($BA:$BA=$BI55)*($BC:$BC=_xlfn.NUMBERVALUE($BN55)))),""),"")</f>
        <v/>
      </c>
      <c r="EC55" s="10" t="str" cm="1">
        <f t="array" ref="EC55">IF($BO55&lt;&gt;"",IFERROR(AVERAGE(_xlfn._xlws.FILTER($BE:$BE,($BA:$BA=$BI55)*($BC:$BC=_xlfn.NUMBERVALUE($BO55)))),""),"")</f>
        <v/>
      </c>
    </row>
    <row r="56" spans="49:133" x14ac:dyDescent="0.3">
      <c r="AW56" s="1">
        <v>3.1</v>
      </c>
      <c r="AX56" s="1">
        <v>3.1</v>
      </c>
      <c r="AY56" t="str">
        <v>R080_HI782-0_0.0_LOT0418_PW3W.1_QC.xlsx</v>
      </c>
      <c r="AZ56" t="str">
        <v>LOT0418</v>
      </c>
      <c r="BA56" s="3">
        <v>3</v>
      </c>
      <c r="BB56" t="str">
        <v>P/Final</v>
      </c>
      <c r="BC56">
        <v>35</v>
      </c>
      <c r="BD56" s="10">
        <v>34.5</v>
      </c>
      <c r="BE56" s="10">
        <v>0</v>
      </c>
      <c r="BF56" s="10">
        <v>0</v>
      </c>
      <c r="BG56" s="13">
        <v>45313</v>
      </c>
      <c r="BP56" s="10" t="str" cm="1">
        <f t="array" ref="BP56">IF($BJ56&lt;&gt;"",IFERROR(AVERAGE(_xlfn._xlws.FILTER($BD:$BD,($BA:$BA=$BI56)*($BC:$BC=_xlfn.NUMBERVALUE($BJ56)))),""),"")</f>
        <v/>
      </c>
      <c r="BQ56" s="10" t="str" cm="1">
        <f t="array" ref="BQ56">IF($BK56&lt;&gt;"",IFERROR(AVERAGE(_xlfn._xlws.FILTER($BD:$BD,($BA:$BA=$BI56)*($BC:$BC=_xlfn.NUMBERVALUE($BK56)))),""),"")</f>
        <v/>
      </c>
      <c r="BR56" s="10" t="str" cm="1">
        <f t="array" ref="BR56">IF($BL56&lt;&gt;"",IFERROR(AVERAGE(_xlfn._xlws.FILTER($BD:$BD,($BA:$BA=$BI56)*($BC:$BC=_xlfn.NUMBERVALUE($BL56)))),""),"")</f>
        <v/>
      </c>
      <c r="BS56" s="10" t="str" cm="1">
        <f t="array" ref="BS56">IF($BM56&lt;&gt;"",IFERROR(AVERAGE(_xlfn._xlws.FILTER($BD:$BD,($BA:$BA=$BI56)*($BC:$BC=_xlfn.NUMBERVALUE($BM56)))),""),"")</f>
        <v/>
      </c>
      <c r="BT56" s="10" t="str" cm="1">
        <f t="array" ref="BT56">IF($BN56&lt;&gt;"",IFERROR(AVERAGE(_xlfn._xlws.FILTER($BD:$BD,($BA:$BA=$BI56)*($BC:$BC=_xlfn.NUMBERVALUE($BN56)))),""),"")</f>
        <v/>
      </c>
      <c r="BU56" s="10" t="str" cm="1">
        <f t="array" ref="BU56">IF($BO56&lt;&gt;"",IFERROR(AVERAGE(_xlfn._xlws.FILTER($BD:$BD,($BA:$BA=$BI56)*($BC:$BC=_xlfn.NUMBERVALUE($BO56)))),""),"")</f>
        <v/>
      </c>
      <c r="DL56" s="10" t="str" cm="1">
        <f t="array" ref="DL56">IF($BJ56&lt;&gt;"",IFERROR(AVERAGE(_xlfn._xlws.FILTER($BD:$BD,($BA:$BA=$BI56)*($BC:$BC=_xlfn.NUMBERVALUE($BJ56)))),""),"")</f>
        <v/>
      </c>
      <c r="DM56" s="10" t="str" cm="1">
        <f t="array" ref="DM56">IF($BK56&lt;&gt;"",IFERROR(AVERAGE(_xlfn._xlws.FILTER($BD:$BD,($BA:$BA=$BI56)*($BC:$BC=_xlfn.NUMBERVALUE($BK56)))),""),"")</f>
        <v/>
      </c>
      <c r="DN56" s="10" t="str" cm="1">
        <f t="array" ref="DN56">IF($BL56&lt;&gt;"",IFERROR(AVERAGE(_xlfn._xlws.FILTER($BD:$BD,($BA:$BA=$BI56)*($BC:$BC=_xlfn.NUMBERVALUE($BL56)))),""),"")</f>
        <v/>
      </c>
      <c r="DO56" s="10" t="str" cm="1">
        <f t="array" ref="DO56">IF($BM56&lt;&gt;"",IFERROR(AVERAGE(_xlfn._xlws.FILTER($BD:$BD,($BA:$BA=$BI56)*($BC:$BC=_xlfn.NUMBERVALUE($BM56)))),""),"")</f>
        <v/>
      </c>
      <c r="DP56" s="10" t="str" cm="1">
        <f t="array" ref="DP56">IF($BN56&lt;&gt;"",IFERROR(AVERAGE(_xlfn._xlws.FILTER($BD:$BD,($BA:$BA=$BI56)*($BC:$BC=_xlfn.NUMBERVALUE($BN56)))),""),"")</f>
        <v/>
      </c>
      <c r="DQ56" s="10" t="str" cm="1">
        <f t="array" ref="DQ56">IF($BO56&lt;&gt;"",IFERROR(AVERAGE(_xlfn._xlws.FILTER($BD:$BD,($BA:$BA=$BI56)*($BC:$BC=_xlfn.NUMBERVALUE($BO56)))),""),"")</f>
        <v/>
      </c>
      <c r="DX56" t="str" cm="1">
        <f t="array" ref="DX56">IF($BJ56&lt;&gt;"",IFERROR(AVERAGE(_xlfn._xlws.FILTER($BE:$BE,($BA:$BA=$BI56)*($BC:$BC=_xlfn.NUMBERVALUE($BJ56)))),""),"")</f>
        <v/>
      </c>
      <c r="DY56" s="10" t="str" cm="1">
        <f t="array" ref="DY56">IF($BK56&lt;&gt;"",IFERROR(AVERAGE(_xlfn._xlws.FILTER($BE:$BE,($BA:$BA=$BI56)*($BC:$BC=_xlfn.NUMBERVALUE($BK56)))),""),"")</f>
        <v/>
      </c>
      <c r="DZ56" s="10" t="str" cm="1">
        <f t="array" ref="DZ56">IF($BL56&lt;&gt;"",IFERROR(AVERAGE(_xlfn._xlws.FILTER($BE:$BE,($BA:$BA=$BI56)*($BC:$BC=_xlfn.NUMBERVALUE($BL56)))),""),"")</f>
        <v/>
      </c>
      <c r="EA56" s="10" t="str" cm="1">
        <f t="array" ref="EA56">IF($BM56&lt;&gt;"",IFERROR(AVERAGE(_xlfn._xlws.FILTER($BE:$BE,($BA:$BA=$BI56)*($BC:$BC=_xlfn.NUMBERVALUE($BM56)))),""),"")</f>
        <v/>
      </c>
      <c r="EB56" s="10" t="str" cm="1">
        <f t="array" ref="EB56">IF($BN56&lt;&gt;"",IFERROR(AVERAGE(_xlfn._xlws.FILTER($BE:$BE,($BA:$BA=$BI56)*($BC:$BC=_xlfn.NUMBERVALUE($BN56)))),""),"")</f>
        <v/>
      </c>
      <c r="EC56" s="10" t="str" cm="1">
        <f t="array" ref="EC56">IF($BO56&lt;&gt;"",IFERROR(AVERAGE(_xlfn._xlws.FILTER($BE:$BE,($BA:$BA=$BI56)*($BC:$BC=_xlfn.NUMBERVALUE($BO56)))),""),"")</f>
        <v/>
      </c>
    </row>
    <row r="57" spans="49:133" x14ac:dyDescent="0.3">
      <c r="AW57" s="1">
        <v>3.1</v>
      </c>
      <c r="AX57" s="1">
        <v>3.1</v>
      </c>
      <c r="AY57" t="str">
        <v>R080_HI782-0_0.0_LOT0418_PW3W.1_QC.xlsx</v>
      </c>
      <c r="AZ57" t="str">
        <v>LOT0418</v>
      </c>
      <c r="BA57" s="3">
        <v>3</v>
      </c>
      <c r="BB57" t="str">
        <v>P/Final</v>
      </c>
      <c r="BC57">
        <v>35</v>
      </c>
      <c r="BD57" s="10">
        <v>39.1</v>
      </c>
      <c r="BE57" s="10">
        <v>0</v>
      </c>
      <c r="BF57" s="10">
        <v>0</v>
      </c>
      <c r="BG57" s="13">
        <v>45313</v>
      </c>
      <c r="BP57" s="10" t="str" cm="1">
        <f t="array" ref="BP57">IF($BJ57&lt;&gt;"",IFERROR(AVERAGE(_xlfn._xlws.FILTER($BD:$BD,($BA:$BA=$BI57)*($BC:$BC=_xlfn.NUMBERVALUE($BJ57)))),""),"")</f>
        <v/>
      </c>
      <c r="BQ57" s="10" t="str" cm="1">
        <f t="array" ref="BQ57">IF($BK57&lt;&gt;"",IFERROR(AVERAGE(_xlfn._xlws.FILTER($BD:$BD,($BA:$BA=$BI57)*($BC:$BC=_xlfn.NUMBERVALUE($BK57)))),""),"")</f>
        <v/>
      </c>
      <c r="BR57" s="10" t="str" cm="1">
        <f t="array" ref="BR57">IF($BL57&lt;&gt;"",IFERROR(AVERAGE(_xlfn._xlws.FILTER($BD:$BD,($BA:$BA=$BI57)*($BC:$BC=_xlfn.NUMBERVALUE($BL57)))),""),"")</f>
        <v/>
      </c>
      <c r="BS57" s="10" t="str" cm="1">
        <f t="array" ref="BS57">IF($BM57&lt;&gt;"",IFERROR(AVERAGE(_xlfn._xlws.FILTER($BD:$BD,($BA:$BA=$BI57)*($BC:$BC=_xlfn.NUMBERVALUE($BM57)))),""),"")</f>
        <v/>
      </c>
      <c r="BT57" s="10" t="str" cm="1">
        <f t="array" ref="BT57">IF($BN57&lt;&gt;"",IFERROR(AVERAGE(_xlfn._xlws.FILTER($BD:$BD,($BA:$BA=$BI57)*($BC:$BC=_xlfn.NUMBERVALUE($BN57)))),""),"")</f>
        <v/>
      </c>
      <c r="BU57" s="10" t="str" cm="1">
        <f t="array" ref="BU57">IF($BO57&lt;&gt;"",IFERROR(AVERAGE(_xlfn._xlws.FILTER($BD:$BD,($BA:$BA=$BI57)*($BC:$BC=_xlfn.NUMBERVALUE($BO57)))),""),"")</f>
        <v/>
      </c>
      <c r="DL57" s="10" t="str" cm="1">
        <f t="array" ref="DL57">IF($BJ57&lt;&gt;"",IFERROR(AVERAGE(_xlfn._xlws.FILTER($BD:$BD,($BA:$BA=$BI57)*($BC:$BC=_xlfn.NUMBERVALUE($BJ57)))),""),"")</f>
        <v/>
      </c>
      <c r="DM57" s="10" t="str" cm="1">
        <f t="array" ref="DM57">IF($BK57&lt;&gt;"",IFERROR(AVERAGE(_xlfn._xlws.FILTER($BD:$BD,($BA:$BA=$BI57)*($BC:$BC=_xlfn.NUMBERVALUE($BK57)))),""),"")</f>
        <v/>
      </c>
      <c r="DN57" s="10" t="str" cm="1">
        <f t="array" ref="DN57">IF($BL57&lt;&gt;"",IFERROR(AVERAGE(_xlfn._xlws.FILTER($BD:$BD,($BA:$BA=$BI57)*($BC:$BC=_xlfn.NUMBERVALUE($BL57)))),""),"")</f>
        <v/>
      </c>
      <c r="DO57" s="10" t="str" cm="1">
        <f t="array" ref="DO57">IF($BM57&lt;&gt;"",IFERROR(AVERAGE(_xlfn._xlws.FILTER($BD:$BD,($BA:$BA=$BI57)*($BC:$BC=_xlfn.NUMBERVALUE($BM57)))),""),"")</f>
        <v/>
      </c>
      <c r="DP57" s="10" t="str" cm="1">
        <f t="array" ref="DP57">IF($BN57&lt;&gt;"",IFERROR(AVERAGE(_xlfn._xlws.FILTER($BD:$BD,($BA:$BA=$BI57)*($BC:$BC=_xlfn.NUMBERVALUE($BN57)))),""),"")</f>
        <v/>
      </c>
      <c r="DQ57" s="10" t="str" cm="1">
        <f t="array" ref="DQ57">IF($BO57&lt;&gt;"",IFERROR(AVERAGE(_xlfn._xlws.FILTER($BD:$BD,($BA:$BA=$BI57)*($BC:$BC=_xlfn.NUMBERVALUE($BO57)))),""),"")</f>
        <v/>
      </c>
      <c r="DX57" t="str" cm="1">
        <f t="array" ref="DX57">IF($BJ57&lt;&gt;"",IFERROR(AVERAGE(_xlfn._xlws.FILTER($BE:$BE,($BA:$BA=$BI57)*($BC:$BC=_xlfn.NUMBERVALUE($BJ57)))),""),"")</f>
        <v/>
      </c>
      <c r="DY57" s="10" t="str" cm="1">
        <f t="array" ref="DY57">IF($BK57&lt;&gt;"",IFERROR(AVERAGE(_xlfn._xlws.FILTER($BE:$BE,($BA:$BA=$BI57)*($BC:$BC=_xlfn.NUMBERVALUE($BK57)))),""),"")</f>
        <v/>
      </c>
      <c r="DZ57" s="10" t="str" cm="1">
        <f t="array" ref="DZ57">IF($BL57&lt;&gt;"",IFERROR(AVERAGE(_xlfn._xlws.FILTER($BE:$BE,($BA:$BA=$BI57)*($BC:$BC=_xlfn.NUMBERVALUE($BL57)))),""),"")</f>
        <v/>
      </c>
      <c r="EA57" s="10" t="str" cm="1">
        <f t="array" ref="EA57">IF($BM57&lt;&gt;"",IFERROR(AVERAGE(_xlfn._xlws.FILTER($BE:$BE,($BA:$BA=$BI57)*($BC:$BC=_xlfn.NUMBERVALUE($BM57)))),""),"")</f>
        <v/>
      </c>
      <c r="EB57" s="10" t="str" cm="1">
        <f t="array" ref="EB57">IF($BN57&lt;&gt;"",IFERROR(AVERAGE(_xlfn._xlws.FILTER($BE:$BE,($BA:$BA=$BI57)*($BC:$BC=_xlfn.NUMBERVALUE($BN57)))),""),"")</f>
        <v/>
      </c>
      <c r="EC57" s="10" t="str" cm="1">
        <f t="array" ref="EC57">IF($BO57&lt;&gt;"",IFERROR(AVERAGE(_xlfn._xlws.FILTER($BE:$BE,($BA:$BA=$BI57)*($BC:$BC=_xlfn.NUMBERVALUE($BO57)))),""),"")</f>
        <v/>
      </c>
    </row>
    <row r="58" spans="49:133" x14ac:dyDescent="0.3">
      <c r="AW58" s="1">
        <v>3.1</v>
      </c>
      <c r="AX58" s="1">
        <v>3.1</v>
      </c>
      <c r="AY58" t="str">
        <v>R080_HI782-0_0.0_LOT0418_PW3W.1_QC.xlsx</v>
      </c>
      <c r="AZ58" t="str">
        <v>LOT0418</v>
      </c>
      <c r="BA58" s="3">
        <v>3</v>
      </c>
      <c r="BB58" t="str">
        <v>P/Final</v>
      </c>
      <c r="BC58">
        <v>35</v>
      </c>
      <c r="BD58" s="10">
        <v>35.5</v>
      </c>
      <c r="BE58" s="10">
        <v>0</v>
      </c>
      <c r="BF58" s="10">
        <v>0</v>
      </c>
      <c r="BG58" s="13">
        <v>45313</v>
      </c>
      <c r="BP58" s="10" t="str" cm="1">
        <f t="array" ref="BP58">IF($BJ58&lt;&gt;"",IFERROR(AVERAGE(_xlfn._xlws.FILTER($BD:$BD,($BA:$BA=$BI58)*($BC:$BC=_xlfn.NUMBERVALUE($BJ58)))),""),"")</f>
        <v/>
      </c>
      <c r="BQ58" s="10" t="str" cm="1">
        <f t="array" ref="BQ58">IF($BK58&lt;&gt;"",IFERROR(AVERAGE(_xlfn._xlws.FILTER($BD:$BD,($BA:$BA=$BI58)*($BC:$BC=_xlfn.NUMBERVALUE($BK58)))),""),"")</f>
        <v/>
      </c>
      <c r="BR58" s="10" t="str" cm="1">
        <f t="array" ref="BR58">IF($BL58&lt;&gt;"",IFERROR(AVERAGE(_xlfn._xlws.FILTER($BD:$BD,($BA:$BA=$BI58)*($BC:$BC=_xlfn.NUMBERVALUE($BL58)))),""),"")</f>
        <v/>
      </c>
      <c r="BS58" s="10" t="str" cm="1">
        <f t="array" ref="BS58">IF($BM58&lt;&gt;"",IFERROR(AVERAGE(_xlfn._xlws.FILTER($BD:$BD,($BA:$BA=$BI58)*($BC:$BC=_xlfn.NUMBERVALUE($BM58)))),""),"")</f>
        <v/>
      </c>
      <c r="BT58" s="10" t="str" cm="1">
        <f t="array" ref="BT58">IF($BN58&lt;&gt;"",IFERROR(AVERAGE(_xlfn._xlws.FILTER($BD:$BD,($BA:$BA=$BI58)*($BC:$BC=_xlfn.NUMBERVALUE($BN58)))),""),"")</f>
        <v/>
      </c>
      <c r="BU58" s="10" t="str" cm="1">
        <f t="array" ref="BU58">IF($BO58&lt;&gt;"",IFERROR(AVERAGE(_xlfn._xlws.FILTER($BD:$BD,($BA:$BA=$BI58)*($BC:$BC=_xlfn.NUMBERVALUE($BO58)))),""),"")</f>
        <v/>
      </c>
      <c r="DL58" s="10" t="str" cm="1">
        <f t="array" ref="DL58">IF($BJ58&lt;&gt;"",IFERROR(AVERAGE(_xlfn._xlws.FILTER($BD:$BD,($BA:$BA=$BI58)*($BC:$BC=_xlfn.NUMBERVALUE($BJ58)))),""),"")</f>
        <v/>
      </c>
      <c r="DM58" s="10" t="str" cm="1">
        <f t="array" ref="DM58">IF($BK58&lt;&gt;"",IFERROR(AVERAGE(_xlfn._xlws.FILTER($BD:$BD,($BA:$BA=$BI58)*($BC:$BC=_xlfn.NUMBERVALUE($BK58)))),""),"")</f>
        <v/>
      </c>
      <c r="DN58" s="10" t="str" cm="1">
        <f t="array" ref="DN58">IF($BL58&lt;&gt;"",IFERROR(AVERAGE(_xlfn._xlws.FILTER($BD:$BD,($BA:$BA=$BI58)*($BC:$BC=_xlfn.NUMBERVALUE($BL58)))),""),"")</f>
        <v/>
      </c>
      <c r="DO58" s="10" t="str" cm="1">
        <f t="array" ref="DO58">IF($BM58&lt;&gt;"",IFERROR(AVERAGE(_xlfn._xlws.FILTER($BD:$BD,($BA:$BA=$BI58)*($BC:$BC=_xlfn.NUMBERVALUE($BM58)))),""),"")</f>
        <v/>
      </c>
      <c r="DP58" s="10" t="str" cm="1">
        <f t="array" ref="DP58">IF($BN58&lt;&gt;"",IFERROR(AVERAGE(_xlfn._xlws.FILTER($BD:$BD,($BA:$BA=$BI58)*($BC:$BC=_xlfn.NUMBERVALUE($BN58)))),""),"")</f>
        <v/>
      </c>
      <c r="DQ58" s="10" t="str" cm="1">
        <f t="array" ref="DQ58">IF($BO58&lt;&gt;"",IFERROR(AVERAGE(_xlfn._xlws.FILTER($BD:$BD,($BA:$BA=$BI58)*($BC:$BC=_xlfn.NUMBERVALUE($BO58)))),""),"")</f>
        <v/>
      </c>
      <c r="DX58" t="str" cm="1">
        <f t="array" ref="DX58">IF($BJ58&lt;&gt;"",IFERROR(AVERAGE(_xlfn._xlws.FILTER($BE:$BE,($BA:$BA=$BI58)*($BC:$BC=_xlfn.NUMBERVALUE($BJ58)))),""),"")</f>
        <v/>
      </c>
      <c r="DY58" s="10" t="str" cm="1">
        <f t="array" ref="DY58">IF($BK58&lt;&gt;"",IFERROR(AVERAGE(_xlfn._xlws.FILTER($BE:$BE,($BA:$BA=$BI58)*($BC:$BC=_xlfn.NUMBERVALUE($BK58)))),""),"")</f>
        <v/>
      </c>
      <c r="DZ58" s="10" t="str" cm="1">
        <f t="array" ref="DZ58">IF($BL58&lt;&gt;"",IFERROR(AVERAGE(_xlfn._xlws.FILTER($BE:$BE,($BA:$BA=$BI58)*($BC:$BC=_xlfn.NUMBERVALUE($BL58)))),""),"")</f>
        <v/>
      </c>
      <c r="EA58" s="10" t="str" cm="1">
        <f t="array" ref="EA58">IF($BM58&lt;&gt;"",IFERROR(AVERAGE(_xlfn._xlws.FILTER($BE:$BE,($BA:$BA=$BI58)*($BC:$BC=_xlfn.NUMBERVALUE($BM58)))),""),"")</f>
        <v/>
      </c>
      <c r="EB58" s="10" t="str" cm="1">
        <f t="array" ref="EB58">IF($BN58&lt;&gt;"",IFERROR(AVERAGE(_xlfn._xlws.FILTER($BE:$BE,($BA:$BA=$BI58)*($BC:$BC=_xlfn.NUMBERVALUE($BN58)))),""),"")</f>
        <v/>
      </c>
      <c r="EC58" s="10" t="str" cm="1">
        <f t="array" ref="EC58">IF($BO58&lt;&gt;"",IFERROR(AVERAGE(_xlfn._xlws.FILTER($BE:$BE,($BA:$BA=$BI58)*($BC:$BC=_xlfn.NUMBERVALUE($BO58)))),""),"")</f>
        <v/>
      </c>
    </row>
    <row r="59" spans="49:133" x14ac:dyDescent="0.3">
      <c r="AW59" s="1">
        <v>3.1</v>
      </c>
      <c r="AX59" s="1">
        <v>3.1</v>
      </c>
      <c r="AY59" t="str">
        <v>R080_HI782-0_0.0_LOT0418_PW3W.1_QC.xlsx</v>
      </c>
      <c r="AZ59" t="str">
        <v>LOT0418</v>
      </c>
      <c r="BA59" s="3">
        <v>3</v>
      </c>
      <c r="BB59" t="str">
        <v>P/Final</v>
      </c>
      <c r="BC59">
        <v>35</v>
      </c>
      <c r="BD59" s="10">
        <v>38.299999999999997</v>
      </c>
      <c r="BE59" s="10">
        <v>0</v>
      </c>
      <c r="BF59" s="10">
        <v>0</v>
      </c>
      <c r="BG59" s="13">
        <v>45313</v>
      </c>
      <c r="BP59" s="10" t="str" cm="1">
        <f t="array" ref="BP59">IF($BJ59&lt;&gt;"",IFERROR(AVERAGE(_xlfn._xlws.FILTER($BD:$BD,($BA:$BA=$BI59)*($BC:$BC=_xlfn.NUMBERVALUE($BJ59)))),""),"")</f>
        <v/>
      </c>
      <c r="BQ59" s="10" t="str" cm="1">
        <f t="array" ref="BQ59">IF($BK59&lt;&gt;"",IFERROR(AVERAGE(_xlfn._xlws.FILTER($BD:$BD,($BA:$BA=$BI59)*($BC:$BC=_xlfn.NUMBERVALUE($BK59)))),""),"")</f>
        <v/>
      </c>
      <c r="BR59" s="10" t="str" cm="1">
        <f t="array" ref="BR59">IF($BL59&lt;&gt;"",IFERROR(AVERAGE(_xlfn._xlws.FILTER($BD:$BD,($BA:$BA=$BI59)*($BC:$BC=_xlfn.NUMBERVALUE($BL59)))),""),"")</f>
        <v/>
      </c>
      <c r="BS59" s="10" t="str" cm="1">
        <f t="array" ref="BS59">IF($BM59&lt;&gt;"",IFERROR(AVERAGE(_xlfn._xlws.FILTER($BD:$BD,($BA:$BA=$BI59)*($BC:$BC=_xlfn.NUMBERVALUE($BM59)))),""),"")</f>
        <v/>
      </c>
      <c r="BT59" s="10" t="str" cm="1">
        <f t="array" ref="BT59">IF($BN59&lt;&gt;"",IFERROR(AVERAGE(_xlfn._xlws.FILTER($BD:$BD,($BA:$BA=$BI59)*($BC:$BC=_xlfn.NUMBERVALUE($BN59)))),""),"")</f>
        <v/>
      </c>
      <c r="BU59" s="10" t="str" cm="1">
        <f t="array" ref="BU59">IF($BO59&lt;&gt;"",IFERROR(AVERAGE(_xlfn._xlws.FILTER($BD:$BD,($BA:$BA=$BI59)*($BC:$BC=_xlfn.NUMBERVALUE($BO59)))),""),"")</f>
        <v/>
      </c>
      <c r="DL59" s="10" t="str" cm="1">
        <f t="array" ref="DL59">IF($BJ59&lt;&gt;"",IFERROR(AVERAGE(_xlfn._xlws.FILTER($BD:$BD,($BA:$BA=$BI59)*($BC:$BC=_xlfn.NUMBERVALUE($BJ59)))),""),"")</f>
        <v/>
      </c>
      <c r="DM59" s="10" t="str" cm="1">
        <f t="array" ref="DM59">IF($BK59&lt;&gt;"",IFERROR(AVERAGE(_xlfn._xlws.FILTER($BD:$BD,($BA:$BA=$BI59)*($BC:$BC=_xlfn.NUMBERVALUE($BK59)))),""),"")</f>
        <v/>
      </c>
      <c r="DN59" s="10" t="str" cm="1">
        <f t="array" ref="DN59">IF($BL59&lt;&gt;"",IFERROR(AVERAGE(_xlfn._xlws.FILTER($BD:$BD,($BA:$BA=$BI59)*($BC:$BC=_xlfn.NUMBERVALUE($BL59)))),""),"")</f>
        <v/>
      </c>
      <c r="DO59" s="10" t="str" cm="1">
        <f t="array" ref="DO59">IF($BM59&lt;&gt;"",IFERROR(AVERAGE(_xlfn._xlws.FILTER($BD:$BD,($BA:$BA=$BI59)*($BC:$BC=_xlfn.NUMBERVALUE($BM59)))),""),"")</f>
        <v/>
      </c>
      <c r="DP59" s="10" t="str" cm="1">
        <f t="array" ref="DP59">IF($BN59&lt;&gt;"",IFERROR(AVERAGE(_xlfn._xlws.FILTER($BD:$BD,($BA:$BA=$BI59)*($BC:$BC=_xlfn.NUMBERVALUE($BN59)))),""),"")</f>
        <v/>
      </c>
      <c r="DQ59" s="10" t="str" cm="1">
        <f t="array" ref="DQ59">IF($BO59&lt;&gt;"",IFERROR(AVERAGE(_xlfn._xlws.FILTER($BD:$BD,($BA:$BA=$BI59)*($BC:$BC=_xlfn.NUMBERVALUE($BO59)))),""),"")</f>
        <v/>
      </c>
      <c r="DX59" t="str" cm="1">
        <f t="array" ref="DX59">IF($BJ59&lt;&gt;"",IFERROR(AVERAGE(_xlfn._xlws.FILTER($BE:$BE,($BA:$BA=$BI59)*($BC:$BC=_xlfn.NUMBERVALUE($BJ59)))),""),"")</f>
        <v/>
      </c>
      <c r="DY59" s="10" t="str" cm="1">
        <f t="array" ref="DY59">IF($BK59&lt;&gt;"",IFERROR(AVERAGE(_xlfn._xlws.FILTER($BE:$BE,($BA:$BA=$BI59)*($BC:$BC=_xlfn.NUMBERVALUE($BK59)))),""),"")</f>
        <v/>
      </c>
      <c r="DZ59" s="10" t="str" cm="1">
        <f t="array" ref="DZ59">IF($BL59&lt;&gt;"",IFERROR(AVERAGE(_xlfn._xlws.FILTER($BE:$BE,($BA:$BA=$BI59)*($BC:$BC=_xlfn.NUMBERVALUE($BL59)))),""),"")</f>
        <v/>
      </c>
      <c r="EA59" s="10" t="str" cm="1">
        <f t="array" ref="EA59">IF($BM59&lt;&gt;"",IFERROR(AVERAGE(_xlfn._xlws.FILTER($BE:$BE,($BA:$BA=$BI59)*($BC:$BC=_xlfn.NUMBERVALUE($BM59)))),""),"")</f>
        <v/>
      </c>
      <c r="EB59" s="10" t="str" cm="1">
        <f t="array" ref="EB59">IF($BN59&lt;&gt;"",IFERROR(AVERAGE(_xlfn._xlws.FILTER($BE:$BE,($BA:$BA=$BI59)*($BC:$BC=_xlfn.NUMBERVALUE($BN59)))),""),"")</f>
        <v/>
      </c>
      <c r="EC59" s="10" t="str" cm="1">
        <f t="array" ref="EC59">IF($BO59&lt;&gt;"",IFERROR(AVERAGE(_xlfn._xlws.FILTER($BE:$BE,($BA:$BA=$BI59)*($BC:$BC=_xlfn.NUMBERVALUE($BO59)))),""),"")</f>
        <v/>
      </c>
    </row>
    <row r="60" spans="49:133" x14ac:dyDescent="0.3">
      <c r="AW60" s="1">
        <v>3.1</v>
      </c>
      <c r="AX60" s="1">
        <v>3.1</v>
      </c>
      <c r="AY60" t="str">
        <v>R080_HI782-0_0.0_LOT0418_PW3W.1_QC.xlsx</v>
      </c>
      <c r="AZ60" t="str">
        <v>LOT0418</v>
      </c>
      <c r="BA60" s="3">
        <v>3</v>
      </c>
      <c r="BB60" t="str">
        <v>P/Final</v>
      </c>
      <c r="BC60">
        <v>35</v>
      </c>
      <c r="BD60" s="10">
        <v>33.5</v>
      </c>
      <c r="BE60" s="10">
        <v>0</v>
      </c>
      <c r="BF60" s="10">
        <v>0</v>
      </c>
      <c r="BG60" s="13">
        <v>45313</v>
      </c>
      <c r="BP60" s="10" t="str" cm="1">
        <f t="array" ref="BP60">IF($BJ60&lt;&gt;"",IFERROR(AVERAGE(_xlfn._xlws.FILTER($BD:$BD,($BA:$BA=$BI60)*($BC:$BC=_xlfn.NUMBERVALUE($BJ60)))),""),"")</f>
        <v/>
      </c>
      <c r="BQ60" s="10" t="str" cm="1">
        <f t="array" ref="BQ60">IF($BK60&lt;&gt;"",IFERROR(AVERAGE(_xlfn._xlws.FILTER($BD:$BD,($BA:$BA=$BI60)*($BC:$BC=_xlfn.NUMBERVALUE($BK60)))),""),"")</f>
        <v/>
      </c>
      <c r="BR60" s="10" t="str" cm="1">
        <f t="array" ref="BR60">IF($BL60&lt;&gt;"",IFERROR(AVERAGE(_xlfn._xlws.FILTER($BD:$BD,($BA:$BA=$BI60)*($BC:$BC=_xlfn.NUMBERVALUE($BL60)))),""),"")</f>
        <v/>
      </c>
      <c r="BS60" s="10" t="str" cm="1">
        <f t="array" ref="BS60">IF($BM60&lt;&gt;"",IFERROR(AVERAGE(_xlfn._xlws.FILTER($BD:$BD,($BA:$BA=$BI60)*($BC:$BC=_xlfn.NUMBERVALUE($BM60)))),""),"")</f>
        <v/>
      </c>
      <c r="BT60" s="10" t="str" cm="1">
        <f t="array" ref="BT60">IF($BN60&lt;&gt;"",IFERROR(AVERAGE(_xlfn._xlws.FILTER($BD:$BD,($BA:$BA=$BI60)*($BC:$BC=_xlfn.NUMBERVALUE($BN60)))),""),"")</f>
        <v/>
      </c>
      <c r="BU60" s="10" t="str" cm="1">
        <f t="array" ref="BU60">IF($BO60&lt;&gt;"",IFERROR(AVERAGE(_xlfn._xlws.FILTER($BD:$BD,($BA:$BA=$BI60)*($BC:$BC=_xlfn.NUMBERVALUE($BO60)))),""),"")</f>
        <v/>
      </c>
      <c r="DL60" s="10" t="str" cm="1">
        <f t="array" ref="DL60">IF($BJ60&lt;&gt;"",IFERROR(AVERAGE(_xlfn._xlws.FILTER($BD:$BD,($BA:$BA=$BI60)*($BC:$BC=_xlfn.NUMBERVALUE($BJ60)))),""),"")</f>
        <v/>
      </c>
      <c r="DM60" s="10" t="str" cm="1">
        <f t="array" ref="DM60">IF($BK60&lt;&gt;"",IFERROR(AVERAGE(_xlfn._xlws.FILTER($BD:$BD,($BA:$BA=$BI60)*($BC:$BC=_xlfn.NUMBERVALUE($BK60)))),""),"")</f>
        <v/>
      </c>
      <c r="DN60" s="10" t="str" cm="1">
        <f t="array" ref="DN60">IF($BL60&lt;&gt;"",IFERROR(AVERAGE(_xlfn._xlws.FILTER($BD:$BD,($BA:$BA=$BI60)*($BC:$BC=_xlfn.NUMBERVALUE($BL60)))),""),"")</f>
        <v/>
      </c>
      <c r="DO60" s="10" t="str" cm="1">
        <f t="array" ref="DO60">IF($BM60&lt;&gt;"",IFERROR(AVERAGE(_xlfn._xlws.FILTER($BD:$BD,($BA:$BA=$BI60)*($BC:$BC=_xlfn.NUMBERVALUE($BM60)))),""),"")</f>
        <v/>
      </c>
      <c r="DP60" s="10" t="str" cm="1">
        <f t="array" ref="DP60">IF($BN60&lt;&gt;"",IFERROR(AVERAGE(_xlfn._xlws.FILTER($BD:$BD,($BA:$BA=$BI60)*($BC:$BC=_xlfn.NUMBERVALUE($BN60)))),""),"")</f>
        <v/>
      </c>
      <c r="DQ60" s="10" t="str" cm="1">
        <f t="array" ref="DQ60">IF($BO60&lt;&gt;"",IFERROR(AVERAGE(_xlfn._xlws.FILTER($BD:$BD,($BA:$BA=$BI60)*($BC:$BC=_xlfn.NUMBERVALUE($BO60)))),""),"")</f>
        <v/>
      </c>
      <c r="DX60" t="str" cm="1">
        <f t="array" ref="DX60">IF($BJ60&lt;&gt;"",IFERROR(AVERAGE(_xlfn._xlws.FILTER($BE:$BE,($BA:$BA=$BI60)*($BC:$BC=_xlfn.NUMBERVALUE($BJ60)))),""),"")</f>
        <v/>
      </c>
      <c r="DY60" s="10" t="str" cm="1">
        <f t="array" ref="DY60">IF($BK60&lt;&gt;"",IFERROR(AVERAGE(_xlfn._xlws.FILTER($BE:$BE,($BA:$BA=$BI60)*($BC:$BC=_xlfn.NUMBERVALUE($BK60)))),""),"")</f>
        <v/>
      </c>
      <c r="DZ60" s="10" t="str" cm="1">
        <f t="array" ref="DZ60">IF($BL60&lt;&gt;"",IFERROR(AVERAGE(_xlfn._xlws.FILTER($BE:$BE,($BA:$BA=$BI60)*($BC:$BC=_xlfn.NUMBERVALUE($BL60)))),""),"")</f>
        <v/>
      </c>
      <c r="EA60" s="10" t="str" cm="1">
        <f t="array" ref="EA60">IF($BM60&lt;&gt;"",IFERROR(AVERAGE(_xlfn._xlws.FILTER($BE:$BE,($BA:$BA=$BI60)*($BC:$BC=_xlfn.NUMBERVALUE($BM60)))),""),"")</f>
        <v/>
      </c>
      <c r="EB60" s="10" t="str" cm="1">
        <f t="array" ref="EB60">IF($BN60&lt;&gt;"",IFERROR(AVERAGE(_xlfn._xlws.FILTER($BE:$BE,($BA:$BA=$BI60)*($BC:$BC=_xlfn.NUMBERVALUE($BN60)))),""),"")</f>
        <v/>
      </c>
      <c r="EC60" s="10" t="str" cm="1">
        <f t="array" ref="EC60">IF($BO60&lt;&gt;"",IFERROR(AVERAGE(_xlfn._xlws.FILTER($BE:$BE,($BA:$BA=$BI60)*($BC:$BC=_xlfn.NUMBERVALUE($BO60)))),""),"")</f>
        <v/>
      </c>
    </row>
    <row r="61" spans="49:133" x14ac:dyDescent="0.3">
      <c r="AW61" s="1">
        <v>3.1</v>
      </c>
      <c r="AX61" s="1">
        <v>3.1</v>
      </c>
      <c r="AY61" t="str">
        <v>R080_HI782-0_0.0_LOT0418_PW3W.1_QC.xlsx</v>
      </c>
      <c r="AZ61" t="str">
        <v>LOT0418</v>
      </c>
      <c r="BA61" s="3">
        <v>3</v>
      </c>
      <c r="BB61" t="str">
        <v>P/Final</v>
      </c>
      <c r="BC61">
        <v>35</v>
      </c>
      <c r="BD61" s="10">
        <v>37.200000000000003</v>
      </c>
      <c r="BE61" s="10">
        <v>0</v>
      </c>
      <c r="BF61" s="10">
        <v>0</v>
      </c>
      <c r="BG61" s="13">
        <v>45313</v>
      </c>
      <c r="BP61" s="10" t="str" cm="1">
        <f t="array" ref="BP61">IF($BJ61&lt;&gt;"",IFERROR(AVERAGE(_xlfn._xlws.FILTER($BD:$BD,($BA:$BA=$BI61)*($BC:$BC=_xlfn.NUMBERVALUE($BJ61)))),""),"")</f>
        <v/>
      </c>
      <c r="BQ61" s="10" t="str" cm="1">
        <f t="array" ref="BQ61">IF($BK61&lt;&gt;"",IFERROR(AVERAGE(_xlfn._xlws.FILTER($BD:$BD,($BA:$BA=$BI61)*($BC:$BC=_xlfn.NUMBERVALUE($BK61)))),""),"")</f>
        <v/>
      </c>
      <c r="BR61" s="10" t="str" cm="1">
        <f t="array" ref="BR61">IF($BL61&lt;&gt;"",IFERROR(AVERAGE(_xlfn._xlws.FILTER($BD:$BD,($BA:$BA=$BI61)*($BC:$BC=_xlfn.NUMBERVALUE($BL61)))),""),"")</f>
        <v/>
      </c>
      <c r="BS61" s="10" t="str" cm="1">
        <f t="array" ref="BS61">IF($BM61&lt;&gt;"",IFERROR(AVERAGE(_xlfn._xlws.FILTER($BD:$BD,($BA:$BA=$BI61)*($BC:$BC=_xlfn.NUMBERVALUE($BM61)))),""),"")</f>
        <v/>
      </c>
      <c r="BT61" s="10" t="str" cm="1">
        <f t="array" ref="BT61">IF($BN61&lt;&gt;"",IFERROR(AVERAGE(_xlfn._xlws.FILTER($BD:$BD,($BA:$BA=$BI61)*($BC:$BC=_xlfn.NUMBERVALUE($BN61)))),""),"")</f>
        <v/>
      </c>
      <c r="BU61" s="10" t="str" cm="1">
        <f t="array" ref="BU61">IF($BO61&lt;&gt;"",IFERROR(AVERAGE(_xlfn._xlws.FILTER($BD:$BD,($BA:$BA=$BI61)*($BC:$BC=_xlfn.NUMBERVALUE($BO61)))),""),"")</f>
        <v/>
      </c>
      <c r="DL61" s="10" t="str" cm="1">
        <f t="array" ref="DL61">IF($BJ61&lt;&gt;"",IFERROR(AVERAGE(_xlfn._xlws.FILTER($BD:$BD,($BA:$BA=$BI61)*($BC:$BC=_xlfn.NUMBERVALUE($BJ61)))),""),"")</f>
        <v/>
      </c>
      <c r="DM61" s="10" t="str" cm="1">
        <f t="array" ref="DM61">IF($BK61&lt;&gt;"",IFERROR(AVERAGE(_xlfn._xlws.FILTER($BD:$BD,($BA:$BA=$BI61)*($BC:$BC=_xlfn.NUMBERVALUE($BK61)))),""),"")</f>
        <v/>
      </c>
      <c r="DN61" s="10" t="str" cm="1">
        <f t="array" ref="DN61">IF($BL61&lt;&gt;"",IFERROR(AVERAGE(_xlfn._xlws.FILTER($BD:$BD,($BA:$BA=$BI61)*($BC:$BC=_xlfn.NUMBERVALUE($BL61)))),""),"")</f>
        <v/>
      </c>
      <c r="DO61" s="10" t="str" cm="1">
        <f t="array" ref="DO61">IF($BM61&lt;&gt;"",IFERROR(AVERAGE(_xlfn._xlws.FILTER($BD:$BD,($BA:$BA=$BI61)*($BC:$BC=_xlfn.NUMBERVALUE($BM61)))),""),"")</f>
        <v/>
      </c>
      <c r="DP61" s="10" t="str" cm="1">
        <f t="array" ref="DP61">IF($BN61&lt;&gt;"",IFERROR(AVERAGE(_xlfn._xlws.FILTER($BD:$BD,($BA:$BA=$BI61)*($BC:$BC=_xlfn.NUMBERVALUE($BN61)))),""),"")</f>
        <v/>
      </c>
      <c r="DQ61" s="10" t="str" cm="1">
        <f t="array" ref="DQ61">IF($BO61&lt;&gt;"",IFERROR(AVERAGE(_xlfn._xlws.FILTER($BD:$BD,($BA:$BA=$BI61)*($BC:$BC=_xlfn.NUMBERVALUE($BO61)))),""),"")</f>
        <v/>
      </c>
      <c r="DX61" t="str" cm="1">
        <f t="array" ref="DX61">IF($BJ61&lt;&gt;"",IFERROR(AVERAGE(_xlfn._xlws.FILTER($BE:$BE,($BA:$BA=$BI61)*($BC:$BC=_xlfn.NUMBERVALUE($BJ61)))),""),"")</f>
        <v/>
      </c>
      <c r="DY61" s="10" t="str" cm="1">
        <f t="array" ref="DY61">IF($BK61&lt;&gt;"",IFERROR(AVERAGE(_xlfn._xlws.FILTER($BE:$BE,($BA:$BA=$BI61)*($BC:$BC=_xlfn.NUMBERVALUE($BK61)))),""),"")</f>
        <v/>
      </c>
      <c r="DZ61" s="10" t="str" cm="1">
        <f t="array" ref="DZ61">IF($BL61&lt;&gt;"",IFERROR(AVERAGE(_xlfn._xlws.FILTER($BE:$BE,($BA:$BA=$BI61)*($BC:$BC=_xlfn.NUMBERVALUE($BL61)))),""),"")</f>
        <v/>
      </c>
      <c r="EA61" s="10" t="str" cm="1">
        <f t="array" ref="EA61">IF($BM61&lt;&gt;"",IFERROR(AVERAGE(_xlfn._xlws.FILTER($BE:$BE,($BA:$BA=$BI61)*($BC:$BC=_xlfn.NUMBERVALUE($BM61)))),""),"")</f>
        <v/>
      </c>
      <c r="EB61" s="10" t="str" cm="1">
        <f t="array" ref="EB61">IF($BN61&lt;&gt;"",IFERROR(AVERAGE(_xlfn._xlws.FILTER($BE:$BE,($BA:$BA=$BI61)*($BC:$BC=_xlfn.NUMBERVALUE($BN61)))),""),"")</f>
        <v/>
      </c>
      <c r="EC61" s="10" t="str" cm="1">
        <f t="array" ref="EC61">IF($BO61&lt;&gt;"",IFERROR(AVERAGE(_xlfn._xlws.FILTER($BE:$BE,($BA:$BA=$BI61)*($BC:$BC=_xlfn.NUMBERVALUE($BO61)))),""),"")</f>
        <v/>
      </c>
    </row>
    <row r="62" spans="49:133" x14ac:dyDescent="0.3">
      <c r="AW62" s="1">
        <v>3.1</v>
      </c>
      <c r="AX62" s="1">
        <v>3.1</v>
      </c>
      <c r="AY62" t="str">
        <v>R080_HI782-0_0.0_LOT0418_PW3W.1_QC.xlsx</v>
      </c>
      <c r="AZ62" t="str">
        <v>LOT0418</v>
      </c>
      <c r="BA62" s="3">
        <v>3</v>
      </c>
      <c r="BB62" t="str">
        <v>P/Final</v>
      </c>
      <c r="BC62">
        <v>35</v>
      </c>
      <c r="BD62" s="10">
        <v>37.799999999999997</v>
      </c>
      <c r="BE62" s="10">
        <v>0</v>
      </c>
      <c r="BF62" s="10">
        <v>0</v>
      </c>
      <c r="BG62" s="13">
        <v>45313</v>
      </c>
      <c r="BP62" s="10" t="str" cm="1">
        <f t="array" ref="BP62">IF($BJ62&lt;&gt;"",IFERROR(AVERAGE(_xlfn._xlws.FILTER($BD:$BD,($BA:$BA=$BI62)*($BC:$BC=_xlfn.NUMBERVALUE($BJ62)))),""),"")</f>
        <v/>
      </c>
      <c r="BQ62" s="10" t="str" cm="1">
        <f t="array" ref="BQ62">IF($BK62&lt;&gt;"",IFERROR(AVERAGE(_xlfn._xlws.FILTER($BD:$BD,($BA:$BA=$BI62)*($BC:$BC=_xlfn.NUMBERVALUE($BK62)))),""),"")</f>
        <v/>
      </c>
      <c r="BR62" s="10" t="str" cm="1">
        <f t="array" ref="BR62">IF($BL62&lt;&gt;"",IFERROR(AVERAGE(_xlfn._xlws.FILTER($BD:$BD,($BA:$BA=$BI62)*($BC:$BC=_xlfn.NUMBERVALUE($BL62)))),""),"")</f>
        <v/>
      </c>
      <c r="BS62" s="10" t="str" cm="1">
        <f t="array" ref="BS62">IF($BM62&lt;&gt;"",IFERROR(AVERAGE(_xlfn._xlws.FILTER($BD:$BD,($BA:$BA=$BI62)*($BC:$BC=_xlfn.NUMBERVALUE($BM62)))),""),"")</f>
        <v/>
      </c>
      <c r="BT62" s="10" t="str" cm="1">
        <f t="array" ref="BT62">IF($BN62&lt;&gt;"",IFERROR(AVERAGE(_xlfn._xlws.FILTER($BD:$BD,($BA:$BA=$BI62)*($BC:$BC=_xlfn.NUMBERVALUE($BN62)))),""),"")</f>
        <v/>
      </c>
      <c r="BU62" s="10" t="str" cm="1">
        <f t="array" ref="BU62">IF($BO62&lt;&gt;"",IFERROR(AVERAGE(_xlfn._xlws.FILTER($BD:$BD,($BA:$BA=$BI62)*($BC:$BC=_xlfn.NUMBERVALUE($BO62)))),""),"")</f>
        <v/>
      </c>
      <c r="DL62" s="10" t="str" cm="1">
        <f t="array" ref="DL62">IF($BJ62&lt;&gt;"",IFERROR(AVERAGE(_xlfn._xlws.FILTER($BD:$BD,($BA:$BA=$BI62)*($BC:$BC=_xlfn.NUMBERVALUE($BJ62)))),""),"")</f>
        <v/>
      </c>
      <c r="DM62" s="10" t="str" cm="1">
        <f t="array" ref="DM62">IF($BK62&lt;&gt;"",IFERROR(AVERAGE(_xlfn._xlws.FILTER($BD:$BD,($BA:$BA=$BI62)*($BC:$BC=_xlfn.NUMBERVALUE($BK62)))),""),"")</f>
        <v/>
      </c>
      <c r="DN62" s="10" t="str" cm="1">
        <f t="array" ref="DN62">IF($BL62&lt;&gt;"",IFERROR(AVERAGE(_xlfn._xlws.FILTER($BD:$BD,($BA:$BA=$BI62)*($BC:$BC=_xlfn.NUMBERVALUE($BL62)))),""),"")</f>
        <v/>
      </c>
      <c r="DO62" s="10" t="str" cm="1">
        <f t="array" ref="DO62">IF($BM62&lt;&gt;"",IFERROR(AVERAGE(_xlfn._xlws.FILTER($BD:$BD,($BA:$BA=$BI62)*($BC:$BC=_xlfn.NUMBERVALUE($BM62)))),""),"")</f>
        <v/>
      </c>
      <c r="DP62" s="10" t="str" cm="1">
        <f t="array" ref="DP62">IF($BN62&lt;&gt;"",IFERROR(AVERAGE(_xlfn._xlws.FILTER($BD:$BD,($BA:$BA=$BI62)*($BC:$BC=_xlfn.NUMBERVALUE($BN62)))),""),"")</f>
        <v/>
      </c>
      <c r="DQ62" s="10" t="str" cm="1">
        <f t="array" ref="DQ62">IF($BO62&lt;&gt;"",IFERROR(AVERAGE(_xlfn._xlws.FILTER($BD:$BD,($BA:$BA=$BI62)*($BC:$BC=_xlfn.NUMBERVALUE($BO62)))),""),"")</f>
        <v/>
      </c>
      <c r="DX62" t="str" cm="1">
        <f t="array" ref="DX62">IF($BJ62&lt;&gt;"",IFERROR(AVERAGE(_xlfn._xlws.FILTER($BE:$BE,($BA:$BA=$BI62)*($BC:$BC=_xlfn.NUMBERVALUE($BJ62)))),""),"")</f>
        <v/>
      </c>
      <c r="DY62" s="10" t="str" cm="1">
        <f t="array" ref="DY62">IF($BK62&lt;&gt;"",IFERROR(AVERAGE(_xlfn._xlws.FILTER($BE:$BE,($BA:$BA=$BI62)*($BC:$BC=_xlfn.NUMBERVALUE($BK62)))),""),"")</f>
        <v/>
      </c>
      <c r="DZ62" s="10" t="str" cm="1">
        <f t="array" ref="DZ62">IF($BL62&lt;&gt;"",IFERROR(AVERAGE(_xlfn._xlws.FILTER($BE:$BE,($BA:$BA=$BI62)*($BC:$BC=_xlfn.NUMBERVALUE($BL62)))),""),"")</f>
        <v/>
      </c>
      <c r="EA62" s="10" t="str" cm="1">
        <f t="array" ref="EA62">IF($BM62&lt;&gt;"",IFERROR(AVERAGE(_xlfn._xlws.FILTER($BE:$BE,($BA:$BA=$BI62)*($BC:$BC=_xlfn.NUMBERVALUE($BM62)))),""),"")</f>
        <v/>
      </c>
      <c r="EB62" s="10" t="str" cm="1">
        <f t="array" ref="EB62">IF($BN62&lt;&gt;"",IFERROR(AVERAGE(_xlfn._xlws.FILTER($BE:$BE,($BA:$BA=$BI62)*($BC:$BC=_xlfn.NUMBERVALUE($BN62)))),""),"")</f>
        <v/>
      </c>
      <c r="EC62" s="10" t="str" cm="1">
        <f t="array" ref="EC62">IF($BO62&lt;&gt;"",IFERROR(AVERAGE(_xlfn._xlws.FILTER($BE:$BE,($BA:$BA=$BI62)*($BC:$BC=_xlfn.NUMBERVALUE($BO62)))),""),"")</f>
        <v/>
      </c>
    </row>
    <row r="63" spans="49:133" x14ac:dyDescent="0.3">
      <c r="AW63" s="1">
        <v>3.1</v>
      </c>
      <c r="AX63" s="1">
        <v>3.1</v>
      </c>
      <c r="AY63" t="str">
        <v>R080_HI782-0_0.0_LOT0418_PW3W.1_QC.xlsx</v>
      </c>
      <c r="AZ63" t="str">
        <v>LOT0418</v>
      </c>
      <c r="BA63" s="3">
        <v>3</v>
      </c>
      <c r="BB63" t="str">
        <v>P/Final</v>
      </c>
      <c r="BC63">
        <v>35</v>
      </c>
      <c r="BD63" s="10">
        <v>34.799999999999997</v>
      </c>
      <c r="BE63" s="10">
        <v>0</v>
      </c>
      <c r="BF63" s="10">
        <v>0</v>
      </c>
      <c r="BG63" s="13">
        <v>45313</v>
      </c>
      <c r="BP63" s="10" t="str" cm="1">
        <f t="array" ref="BP63">IF($BJ63&lt;&gt;"",IFERROR(AVERAGE(_xlfn._xlws.FILTER($BD:$BD,($BA:$BA=$BI63)*($BC:$BC=_xlfn.NUMBERVALUE($BJ63)))),""),"")</f>
        <v/>
      </c>
      <c r="BQ63" s="10" t="str" cm="1">
        <f t="array" ref="BQ63">IF($BK63&lt;&gt;"",IFERROR(AVERAGE(_xlfn._xlws.FILTER($BD:$BD,($BA:$BA=$BI63)*($BC:$BC=_xlfn.NUMBERVALUE($BK63)))),""),"")</f>
        <v/>
      </c>
      <c r="BR63" s="10" t="str" cm="1">
        <f t="array" ref="BR63">IF($BL63&lt;&gt;"",IFERROR(AVERAGE(_xlfn._xlws.FILTER($BD:$BD,($BA:$BA=$BI63)*($BC:$BC=_xlfn.NUMBERVALUE($BL63)))),""),"")</f>
        <v/>
      </c>
      <c r="BS63" s="10" t="str" cm="1">
        <f t="array" ref="BS63">IF($BM63&lt;&gt;"",IFERROR(AVERAGE(_xlfn._xlws.FILTER($BD:$BD,($BA:$BA=$BI63)*($BC:$BC=_xlfn.NUMBERVALUE($BM63)))),""),"")</f>
        <v/>
      </c>
      <c r="BT63" s="10" t="str" cm="1">
        <f t="array" ref="BT63">IF($BN63&lt;&gt;"",IFERROR(AVERAGE(_xlfn._xlws.FILTER($BD:$BD,($BA:$BA=$BI63)*($BC:$BC=_xlfn.NUMBERVALUE($BN63)))),""),"")</f>
        <v/>
      </c>
      <c r="BU63" s="10" t="str" cm="1">
        <f t="array" ref="BU63">IF($BO63&lt;&gt;"",IFERROR(AVERAGE(_xlfn._xlws.FILTER($BD:$BD,($BA:$BA=$BI63)*($BC:$BC=_xlfn.NUMBERVALUE($BO63)))),""),"")</f>
        <v/>
      </c>
      <c r="DL63" s="10" t="str" cm="1">
        <f t="array" ref="DL63">IF($BJ63&lt;&gt;"",IFERROR(AVERAGE(_xlfn._xlws.FILTER($BD:$BD,($BA:$BA=$BI63)*($BC:$BC=_xlfn.NUMBERVALUE($BJ63)))),""),"")</f>
        <v/>
      </c>
      <c r="DM63" s="10" t="str" cm="1">
        <f t="array" ref="DM63">IF($BK63&lt;&gt;"",IFERROR(AVERAGE(_xlfn._xlws.FILTER($BD:$BD,($BA:$BA=$BI63)*($BC:$BC=_xlfn.NUMBERVALUE($BK63)))),""),"")</f>
        <v/>
      </c>
      <c r="DN63" s="10" t="str" cm="1">
        <f t="array" ref="DN63">IF($BL63&lt;&gt;"",IFERROR(AVERAGE(_xlfn._xlws.FILTER($BD:$BD,($BA:$BA=$BI63)*($BC:$BC=_xlfn.NUMBERVALUE($BL63)))),""),"")</f>
        <v/>
      </c>
      <c r="DO63" s="10" t="str" cm="1">
        <f t="array" ref="DO63">IF($BM63&lt;&gt;"",IFERROR(AVERAGE(_xlfn._xlws.FILTER($BD:$BD,($BA:$BA=$BI63)*($BC:$BC=_xlfn.NUMBERVALUE($BM63)))),""),"")</f>
        <v/>
      </c>
      <c r="DP63" s="10" t="str" cm="1">
        <f t="array" ref="DP63">IF($BN63&lt;&gt;"",IFERROR(AVERAGE(_xlfn._xlws.FILTER($BD:$BD,($BA:$BA=$BI63)*($BC:$BC=_xlfn.NUMBERVALUE($BN63)))),""),"")</f>
        <v/>
      </c>
      <c r="DQ63" s="10" t="str" cm="1">
        <f t="array" ref="DQ63">IF($BO63&lt;&gt;"",IFERROR(AVERAGE(_xlfn._xlws.FILTER($BD:$BD,($BA:$BA=$BI63)*($BC:$BC=_xlfn.NUMBERVALUE($BO63)))),""),"")</f>
        <v/>
      </c>
      <c r="DX63" t="str" cm="1">
        <f t="array" ref="DX63">IF($BJ63&lt;&gt;"",IFERROR(AVERAGE(_xlfn._xlws.FILTER($BE:$BE,($BA:$BA=$BI63)*($BC:$BC=_xlfn.NUMBERVALUE($BJ63)))),""),"")</f>
        <v/>
      </c>
      <c r="DY63" s="10" t="str" cm="1">
        <f t="array" ref="DY63">IF($BK63&lt;&gt;"",IFERROR(AVERAGE(_xlfn._xlws.FILTER($BE:$BE,($BA:$BA=$BI63)*($BC:$BC=_xlfn.NUMBERVALUE($BK63)))),""),"")</f>
        <v/>
      </c>
      <c r="DZ63" s="10" t="str" cm="1">
        <f t="array" ref="DZ63">IF($BL63&lt;&gt;"",IFERROR(AVERAGE(_xlfn._xlws.FILTER($BE:$BE,($BA:$BA=$BI63)*($BC:$BC=_xlfn.NUMBERVALUE($BL63)))),""),"")</f>
        <v/>
      </c>
      <c r="EA63" s="10" t="str" cm="1">
        <f t="array" ref="EA63">IF($BM63&lt;&gt;"",IFERROR(AVERAGE(_xlfn._xlws.FILTER($BE:$BE,($BA:$BA=$BI63)*($BC:$BC=_xlfn.NUMBERVALUE($BM63)))),""),"")</f>
        <v/>
      </c>
      <c r="EB63" s="10" t="str" cm="1">
        <f t="array" ref="EB63">IF($BN63&lt;&gt;"",IFERROR(AVERAGE(_xlfn._xlws.FILTER($BE:$BE,($BA:$BA=$BI63)*($BC:$BC=_xlfn.NUMBERVALUE($BN63)))),""),"")</f>
        <v/>
      </c>
      <c r="EC63" s="10" t="str" cm="1">
        <f t="array" ref="EC63">IF($BO63&lt;&gt;"",IFERROR(AVERAGE(_xlfn._xlws.FILTER($BE:$BE,($BA:$BA=$BI63)*($BC:$BC=_xlfn.NUMBERVALUE($BO63)))),""),"")</f>
        <v/>
      </c>
    </row>
    <row r="64" spans="49:133" x14ac:dyDescent="0.3">
      <c r="AW64" s="1">
        <v>3.1</v>
      </c>
      <c r="AX64" s="1">
        <v>3.1</v>
      </c>
      <c r="AY64" t="str">
        <v>R080_HI782-0_0.0_LOT0418_PW3W.1_QC.xlsx</v>
      </c>
      <c r="AZ64" t="str">
        <v>LOT0418</v>
      </c>
      <c r="BA64" s="3">
        <v>3</v>
      </c>
      <c r="BB64" t="str">
        <v>P/Final</v>
      </c>
      <c r="BC64">
        <v>35</v>
      </c>
      <c r="BD64" s="10">
        <v>39.6</v>
      </c>
      <c r="BE64" s="10">
        <v>0</v>
      </c>
      <c r="BF64" s="10">
        <v>0</v>
      </c>
      <c r="BG64" s="13">
        <v>45313</v>
      </c>
      <c r="BP64" s="10" t="str" cm="1">
        <f t="array" ref="BP64">IF($BJ64&lt;&gt;"",IFERROR(AVERAGE(_xlfn._xlws.FILTER($BD:$BD,($BA:$BA=$BI64)*($BC:$BC=_xlfn.NUMBERVALUE($BJ64)))),""),"")</f>
        <v/>
      </c>
      <c r="BQ64" s="10" t="str" cm="1">
        <f t="array" ref="BQ64">IF($BK64&lt;&gt;"",IFERROR(AVERAGE(_xlfn._xlws.FILTER($BD:$BD,($BA:$BA=$BI64)*($BC:$BC=_xlfn.NUMBERVALUE($BK64)))),""),"")</f>
        <v/>
      </c>
      <c r="BR64" s="10" t="str" cm="1">
        <f t="array" ref="BR64">IF($BL64&lt;&gt;"",IFERROR(AVERAGE(_xlfn._xlws.FILTER($BD:$BD,($BA:$BA=$BI64)*($BC:$BC=_xlfn.NUMBERVALUE($BL64)))),""),"")</f>
        <v/>
      </c>
      <c r="BS64" s="10" t="str" cm="1">
        <f t="array" ref="BS64">IF($BM64&lt;&gt;"",IFERROR(AVERAGE(_xlfn._xlws.FILTER($BD:$BD,($BA:$BA=$BI64)*($BC:$BC=_xlfn.NUMBERVALUE($BM64)))),""),"")</f>
        <v/>
      </c>
      <c r="BT64" s="10" t="str" cm="1">
        <f t="array" ref="BT64">IF($BN64&lt;&gt;"",IFERROR(AVERAGE(_xlfn._xlws.FILTER($BD:$BD,($BA:$BA=$BI64)*($BC:$BC=_xlfn.NUMBERVALUE($BN64)))),""),"")</f>
        <v/>
      </c>
      <c r="BU64" s="10" t="str" cm="1">
        <f t="array" ref="BU64">IF($BO64&lt;&gt;"",IFERROR(AVERAGE(_xlfn._xlws.FILTER($BD:$BD,($BA:$BA=$BI64)*($BC:$BC=_xlfn.NUMBERVALUE($BO64)))),""),"")</f>
        <v/>
      </c>
      <c r="DL64" s="10" t="str" cm="1">
        <f t="array" ref="DL64">IF($BJ64&lt;&gt;"",IFERROR(AVERAGE(_xlfn._xlws.FILTER($BD:$BD,($BA:$BA=$BI64)*($BC:$BC=_xlfn.NUMBERVALUE($BJ64)))),""),"")</f>
        <v/>
      </c>
      <c r="DM64" s="10" t="str" cm="1">
        <f t="array" ref="DM64">IF($BK64&lt;&gt;"",IFERROR(AVERAGE(_xlfn._xlws.FILTER($BD:$BD,($BA:$BA=$BI64)*($BC:$BC=_xlfn.NUMBERVALUE($BK64)))),""),"")</f>
        <v/>
      </c>
      <c r="DN64" s="10" t="str" cm="1">
        <f t="array" ref="DN64">IF($BL64&lt;&gt;"",IFERROR(AVERAGE(_xlfn._xlws.FILTER($BD:$BD,($BA:$BA=$BI64)*($BC:$BC=_xlfn.NUMBERVALUE($BL64)))),""),"")</f>
        <v/>
      </c>
      <c r="DO64" s="10" t="str" cm="1">
        <f t="array" ref="DO64">IF($BM64&lt;&gt;"",IFERROR(AVERAGE(_xlfn._xlws.FILTER($BD:$BD,($BA:$BA=$BI64)*($BC:$BC=_xlfn.NUMBERVALUE($BM64)))),""),"")</f>
        <v/>
      </c>
      <c r="DP64" s="10" t="str" cm="1">
        <f t="array" ref="DP64">IF($BN64&lt;&gt;"",IFERROR(AVERAGE(_xlfn._xlws.FILTER($BD:$BD,($BA:$BA=$BI64)*($BC:$BC=_xlfn.NUMBERVALUE($BN64)))),""),"")</f>
        <v/>
      </c>
      <c r="DQ64" s="10" t="str" cm="1">
        <f t="array" ref="DQ64">IF($BO64&lt;&gt;"",IFERROR(AVERAGE(_xlfn._xlws.FILTER($BD:$BD,($BA:$BA=$BI64)*($BC:$BC=_xlfn.NUMBERVALUE($BO64)))),""),"")</f>
        <v/>
      </c>
      <c r="DX64" t="str" cm="1">
        <f t="array" ref="DX64">IF($BJ64&lt;&gt;"",IFERROR(AVERAGE(_xlfn._xlws.FILTER($BE:$BE,($BA:$BA=$BI64)*($BC:$BC=_xlfn.NUMBERVALUE($BJ64)))),""),"")</f>
        <v/>
      </c>
      <c r="DY64" s="10" t="str" cm="1">
        <f t="array" ref="DY64">IF($BK64&lt;&gt;"",IFERROR(AVERAGE(_xlfn._xlws.FILTER($BE:$BE,($BA:$BA=$BI64)*($BC:$BC=_xlfn.NUMBERVALUE($BK64)))),""),"")</f>
        <v/>
      </c>
      <c r="DZ64" s="10" t="str" cm="1">
        <f t="array" ref="DZ64">IF($BL64&lt;&gt;"",IFERROR(AVERAGE(_xlfn._xlws.FILTER($BE:$BE,($BA:$BA=$BI64)*($BC:$BC=_xlfn.NUMBERVALUE($BL64)))),""),"")</f>
        <v/>
      </c>
      <c r="EA64" s="10" t="str" cm="1">
        <f t="array" ref="EA64">IF($BM64&lt;&gt;"",IFERROR(AVERAGE(_xlfn._xlws.FILTER($BE:$BE,($BA:$BA=$BI64)*($BC:$BC=_xlfn.NUMBERVALUE($BM64)))),""),"")</f>
        <v/>
      </c>
      <c r="EB64" s="10" t="str" cm="1">
        <f t="array" ref="EB64">IF($BN64&lt;&gt;"",IFERROR(AVERAGE(_xlfn._xlws.FILTER($BE:$BE,($BA:$BA=$BI64)*($BC:$BC=_xlfn.NUMBERVALUE($BN64)))),""),"")</f>
        <v/>
      </c>
      <c r="EC64" s="10" t="str" cm="1">
        <f t="array" ref="EC64">IF($BO64&lt;&gt;"",IFERROR(AVERAGE(_xlfn._xlws.FILTER($BE:$BE,($BA:$BA=$BI64)*($BC:$BC=_xlfn.NUMBERVALUE($BO64)))),""),"")</f>
        <v/>
      </c>
    </row>
    <row r="65" spans="49:133" x14ac:dyDescent="0.3">
      <c r="AW65" s="1">
        <v>3.1</v>
      </c>
      <c r="AX65" s="1">
        <v>3.1</v>
      </c>
      <c r="AY65" t="str">
        <v>R080_HI782-0_0.0_LOT0418_PW3W.1_QC.xlsx</v>
      </c>
      <c r="AZ65" t="str">
        <v>LOT0418</v>
      </c>
      <c r="BA65" s="3">
        <v>3</v>
      </c>
      <c r="BB65" t="str">
        <v>P/Final</v>
      </c>
      <c r="BC65">
        <v>35</v>
      </c>
      <c r="BD65" s="10">
        <v>32.799999999999997</v>
      </c>
      <c r="BE65" s="10">
        <v>0</v>
      </c>
      <c r="BF65" s="10">
        <v>0</v>
      </c>
      <c r="BG65" s="13">
        <v>45313</v>
      </c>
      <c r="BP65" s="10" t="str" cm="1">
        <f t="array" ref="BP65">IF($BJ65&lt;&gt;"",IFERROR(AVERAGE(_xlfn._xlws.FILTER($BD:$BD,($BA:$BA=$BI65)*($BC:$BC=_xlfn.NUMBERVALUE($BJ65)))),""),"")</f>
        <v/>
      </c>
      <c r="BQ65" s="10" t="str" cm="1">
        <f t="array" ref="BQ65">IF($BK65&lt;&gt;"",IFERROR(AVERAGE(_xlfn._xlws.FILTER($BD:$BD,($BA:$BA=$BI65)*($BC:$BC=_xlfn.NUMBERVALUE($BK65)))),""),"")</f>
        <v/>
      </c>
      <c r="BR65" s="10" t="str" cm="1">
        <f t="array" ref="BR65">IF($BL65&lt;&gt;"",IFERROR(AVERAGE(_xlfn._xlws.FILTER($BD:$BD,($BA:$BA=$BI65)*($BC:$BC=_xlfn.NUMBERVALUE($BL65)))),""),"")</f>
        <v/>
      </c>
      <c r="BS65" s="10" t="str" cm="1">
        <f t="array" ref="BS65">IF($BM65&lt;&gt;"",IFERROR(AVERAGE(_xlfn._xlws.FILTER($BD:$BD,($BA:$BA=$BI65)*($BC:$BC=_xlfn.NUMBERVALUE($BM65)))),""),"")</f>
        <v/>
      </c>
      <c r="BT65" s="10" t="str" cm="1">
        <f t="array" ref="BT65">IF($BN65&lt;&gt;"",IFERROR(AVERAGE(_xlfn._xlws.FILTER($BD:$BD,($BA:$BA=$BI65)*($BC:$BC=_xlfn.NUMBERVALUE($BN65)))),""),"")</f>
        <v/>
      </c>
      <c r="BU65" s="10" t="str" cm="1">
        <f t="array" ref="BU65">IF($BO65&lt;&gt;"",IFERROR(AVERAGE(_xlfn._xlws.FILTER($BD:$BD,($BA:$BA=$BI65)*($BC:$BC=_xlfn.NUMBERVALUE($BO65)))),""),"")</f>
        <v/>
      </c>
      <c r="DL65" s="10" t="str" cm="1">
        <f t="array" ref="DL65">IF($BJ65&lt;&gt;"",IFERROR(AVERAGE(_xlfn._xlws.FILTER($BD:$BD,($BA:$BA=$BI65)*($BC:$BC=_xlfn.NUMBERVALUE($BJ65)))),""),"")</f>
        <v/>
      </c>
      <c r="DM65" s="10" t="str" cm="1">
        <f t="array" ref="DM65">IF($BK65&lt;&gt;"",IFERROR(AVERAGE(_xlfn._xlws.FILTER($BD:$BD,($BA:$BA=$BI65)*($BC:$BC=_xlfn.NUMBERVALUE($BK65)))),""),"")</f>
        <v/>
      </c>
      <c r="DN65" s="10" t="str" cm="1">
        <f t="array" ref="DN65">IF($BL65&lt;&gt;"",IFERROR(AVERAGE(_xlfn._xlws.FILTER($BD:$BD,($BA:$BA=$BI65)*($BC:$BC=_xlfn.NUMBERVALUE($BL65)))),""),"")</f>
        <v/>
      </c>
      <c r="DO65" s="10" t="str" cm="1">
        <f t="array" ref="DO65">IF($BM65&lt;&gt;"",IFERROR(AVERAGE(_xlfn._xlws.FILTER($BD:$BD,($BA:$BA=$BI65)*($BC:$BC=_xlfn.NUMBERVALUE($BM65)))),""),"")</f>
        <v/>
      </c>
      <c r="DP65" s="10" t="str" cm="1">
        <f t="array" ref="DP65">IF($BN65&lt;&gt;"",IFERROR(AVERAGE(_xlfn._xlws.FILTER($BD:$BD,($BA:$BA=$BI65)*($BC:$BC=_xlfn.NUMBERVALUE($BN65)))),""),"")</f>
        <v/>
      </c>
      <c r="DQ65" s="10" t="str" cm="1">
        <f t="array" ref="DQ65">IF($BO65&lt;&gt;"",IFERROR(AVERAGE(_xlfn._xlws.FILTER($BD:$BD,($BA:$BA=$BI65)*($BC:$BC=_xlfn.NUMBERVALUE($BO65)))),""),"")</f>
        <v/>
      </c>
      <c r="DX65" t="str" cm="1">
        <f t="array" ref="DX65">IF($BJ65&lt;&gt;"",IFERROR(AVERAGE(_xlfn._xlws.FILTER($BE:$BE,($BA:$BA=$BI65)*($BC:$BC=_xlfn.NUMBERVALUE($BJ65)))),""),"")</f>
        <v/>
      </c>
      <c r="DY65" s="10" t="str" cm="1">
        <f t="array" ref="DY65">IF($BK65&lt;&gt;"",IFERROR(AVERAGE(_xlfn._xlws.FILTER($BE:$BE,($BA:$BA=$BI65)*($BC:$BC=_xlfn.NUMBERVALUE($BK65)))),""),"")</f>
        <v/>
      </c>
      <c r="DZ65" s="10" t="str" cm="1">
        <f t="array" ref="DZ65">IF($BL65&lt;&gt;"",IFERROR(AVERAGE(_xlfn._xlws.FILTER($BE:$BE,($BA:$BA=$BI65)*($BC:$BC=_xlfn.NUMBERVALUE($BL65)))),""),"")</f>
        <v/>
      </c>
      <c r="EA65" s="10" t="str" cm="1">
        <f t="array" ref="EA65">IF($BM65&lt;&gt;"",IFERROR(AVERAGE(_xlfn._xlws.FILTER($BE:$BE,($BA:$BA=$BI65)*($BC:$BC=_xlfn.NUMBERVALUE($BM65)))),""),"")</f>
        <v/>
      </c>
      <c r="EB65" s="10" t="str" cm="1">
        <f t="array" ref="EB65">IF($BN65&lt;&gt;"",IFERROR(AVERAGE(_xlfn._xlws.FILTER($BE:$BE,($BA:$BA=$BI65)*($BC:$BC=_xlfn.NUMBERVALUE($BN65)))),""),"")</f>
        <v/>
      </c>
      <c r="EC65" s="10" t="str" cm="1">
        <f t="array" ref="EC65">IF($BO65&lt;&gt;"",IFERROR(AVERAGE(_xlfn._xlws.FILTER($BE:$BE,($BA:$BA=$BI65)*($BC:$BC=_xlfn.NUMBERVALUE($BO65)))),""),"")</f>
        <v/>
      </c>
    </row>
    <row r="66" spans="49:133" x14ac:dyDescent="0.3">
      <c r="AW66" s="1">
        <v>3.1</v>
      </c>
      <c r="AX66" s="1">
        <v>3.1</v>
      </c>
      <c r="AY66" t="str">
        <v>R080_HI782-0_0.0_LOT0418_PW3W.1_QC.xlsx</v>
      </c>
      <c r="AZ66" t="str">
        <v>LOT0418</v>
      </c>
      <c r="BA66" s="3">
        <v>3</v>
      </c>
      <c r="BB66" t="str">
        <v>P/Final</v>
      </c>
      <c r="BC66">
        <v>60</v>
      </c>
      <c r="BD66" s="10">
        <v>67.7</v>
      </c>
      <c r="BE66" s="10">
        <v>0</v>
      </c>
      <c r="BF66" s="10">
        <v>0</v>
      </c>
      <c r="BG66" s="13">
        <v>45313</v>
      </c>
      <c r="BP66" s="10" t="str" cm="1">
        <f t="array" ref="BP66">IF($BJ66&lt;&gt;"",IFERROR(AVERAGE(_xlfn._xlws.FILTER($BD:$BD,($BA:$BA=$BI66)*($BC:$BC=_xlfn.NUMBERVALUE($BJ66)))),""),"")</f>
        <v/>
      </c>
      <c r="BQ66" s="10" t="str" cm="1">
        <f t="array" ref="BQ66">IF($BK66&lt;&gt;"",IFERROR(AVERAGE(_xlfn._xlws.FILTER($BD:$BD,($BA:$BA=$BI66)*($BC:$BC=_xlfn.NUMBERVALUE($BK66)))),""),"")</f>
        <v/>
      </c>
      <c r="BR66" s="10" t="str" cm="1">
        <f t="array" ref="BR66">IF($BL66&lt;&gt;"",IFERROR(AVERAGE(_xlfn._xlws.FILTER($BD:$BD,($BA:$BA=$BI66)*($BC:$BC=_xlfn.NUMBERVALUE($BL66)))),""),"")</f>
        <v/>
      </c>
      <c r="BS66" s="10" t="str" cm="1">
        <f t="array" ref="BS66">IF($BM66&lt;&gt;"",IFERROR(AVERAGE(_xlfn._xlws.FILTER($BD:$BD,($BA:$BA=$BI66)*($BC:$BC=_xlfn.NUMBERVALUE($BM66)))),""),"")</f>
        <v/>
      </c>
      <c r="BT66" s="10" t="str" cm="1">
        <f t="array" ref="BT66">IF($BN66&lt;&gt;"",IFERROR(AVERAGE(_xlfn._xlws.FILTER($BD:$BD,($BA:$BA=$BI66)*($BC:$BC=_xlfn.NUMBERVALUE($BN66)))),""),"")</f>
        <v/>
      </c>
      <c r="BU66" s="10" t="str" cm="1">
        <f t="array" ref="BU66">IF($BO66&lt;&gt;"",IFERROR(AVERAGE(_xlfn._xlws.FILTER($BD:$BD,($BA:$BA=$BI66)*($BC:$BC=_xlfn.NUMBERVALUE($BO66)))),""),"")</f>
        <v/>
      </c>
      <c r="DL66" s="10" t="str" cm="1">
        <f t="array" ref="DL66">IF($BJ66&lt;&gt;"",IFERROR(AVERAGE(_xlfn._xlws.FILTER($BD:$BD,($BA:$BA=$BI66)*($BC:$BC=_xlfn.NUMBERVALUE($BJ66)))),""),"")</f>
        <v/>
      </c>
      <c r="DM66" s="10" t="str" cm="1">
        <f t="array" ref="DM66">IF($BK66&lt;&gt;"",IFERROR(AVERAGE(_xlfn._xlws.FILTER($BD:$BD,($BA:$BA=$BI66)*($BC:$BC=_xlfn.NUMBERVALUE($BK66)))),""),"")</f>
        <v/>
      </c>
      <c r="DN66" s="10" t="str" cm="1">
        <f t="array" ref="DN66">IF($BL66&lt;&gt;"",IFERROR(AVERAGE(_xlfn._xlws.FILTER($BD:$BD,($BA:$BA=$BI66)*($BC:$BC=_xlfn.NUMBERVALUE($BL66)))),""),"")</f>
        <v/>
      </c>
      <c r="DO66" s="10" t="str" cm="1">
        <f t="array" ref="DO66">IF($BM66&lt;&gt;"",IFERROR(AVERAGE(_xlfn._xlws.FILTER($BD:$BD,($BA:$BA=$BI66)*($BC:$BC=_xlfn.NUMBERVALUE($BM66)))),""),"")</f>
        <v/>
      </c>
      <c r="DP66" s="10" t="str" cm="1">
        <f t="array" ref="DP66">IF($BN66&lt;&gt;"",IFERROR(AVERAGE(_xlfn._xlws.FILTER($BD:$BD,($BA:$BA=$BI66)*($BC:$BC=_xlfn.NUMBERVALUE($BN66)))),""),"")</f>
        <v/>
      </c>
      <c r="DQ66" s="10" t="str" cm="1">
        <f t="array" ref="DQ66">IF($BO66&lt;&gt;"",IFERROR(AVERAGE(_xlfn._xlws.FILTER($BD:$BD,($BA:$BA=$BI66)*($BC:$BC=_xlfn.NUMBERVALUE($BO66)))),""),"")</f>
        <v/>
      </c>
      <c r="DX66" t="str" cm="1">
        <f t="array" ref="DX66">IF($BJ66&lt;&gt;"",IFERROR(AVERAGE(_xlfn._xlws.FILTER($BE:$BE,($BA:$BA=$BI66)*($BC:$BC=_xlfn.NUMBERVALUE($BJ66)))),""),"")</f>
        <v/>
      </c>
      <c r="DY66" s="10" t="str" cm="1">
        <f t="array" ref="DY66">IF($BK66&lt;&gt;"",IFERROR(AVERAGE(_xlfn._xlws.FILTER($BE:$BE,($BA:$BA=$BI66)*($BC:$BC=_xlfn.NUMBERVALUE($BK66)))),""),"")</f>
        <v/>
      </c>
      <c r="DZ66" s="10" t="str" cm="1">
        <f t="array" ref="DZ66">IF($BL66&lt;&gt;"",IFERROR(AVERAGE(_xlfn._xlws.FILTER($BE:$BE,($BA:$BA=$BI66)*($BC:$BC=_xlfn.NUMBERVALUE($BL66)))),""),"")</f>
        <v/>
      </c>
      <c r="EA66" s="10" t="str" cm="1">
        <f t="array" ref="EA66">IF($BM66&lt;&gt;"",IFERROR(AVERAGE(_xlfn._xlws.FILTER($BE:$BE,($BA:$BA=$BI66)*($BC:$BC=_xlfn.NUMBERVALUE($BM66)))),""),"")</f>
        <v/>
      </c>
      <c r="EB66" s="10" t="str" cm="1">
        <f t="array" ref="EB66">IF($BN66&lt;&gt;"",IFERROR(AVERAGE(_xlfn._xlws.FILTER($BE:$BE,($BA:$BA=$BI66)*($BC:$BC=_xlfn.NUMBERVALUE($BN66)))),""),"")</f>
        <v/>
      </c>
      <c r="EC66" s="10" t="str" cm="1">
        <f t="array" ref="EC66">IF($BO66&lt;&gt;"",IFERROR(AVERAGE(_xlfn._xlws.FILTER($BE:$BE,($BA:$BA=$BI66)*($BC:$BC=_xlfn.NUMBERVALUE($BO66)))),""),"")</f>
        <v/>
      </c>
    </row>
    <row r="67" spans="49:133" x14ac:dyDescent="0.3">
      <c r="AW67" s="1">
        <v>3.1</v>
      </c>
      <c r="AX67" s="1">
        <v>3.1</v>
      </c>
      <c r="AY67" t="str">
        <v>R080_HI782-0_0.0_LOT0418_PW3W.1_QC.xlsx</v>
      </c>
      <c r="AZ67" t="str">
        <v>LOT0418</v>
      </c>
      <c r="BA67" s="3">
        <v>3</v>
      </c>
      <c r="BB67" t="str">
        <v>P/Final</v>
      </c>
      <c r="BC67">
        <v>60</v>
      </c>
      <c r="BD67" s="10">
        <v>61.7</v>
      </c>
      <c r="BE67" s="10">
        <v>0</v>
      </c>
      <c r="BF67" s="10">
        <v>0</v>
      </c>
      <c r="BG67" s="13">
        <v>45313</v>
      </c>
      <c r="BP67" s="10" t="str" cm="1">
        <f t="array" ref="BP67">IF($BJ67&lt;&gt;"",IFERROR(AVERAGE(_xlfn._xlws.FILTER($BD:$BD,($BA:$BA=$BI67)*($BC:$BC=_xlfn.NUMBERVALUE($BJ67)))),""),"")</f>
        <v/>
      </c>
      <c r="BQ67" s="10" t="str" cm="1">
        <f t="array" ref="BQ67">IF($BK67&lt;&gt;"",IFERROR(AVERAGE(_xlfn._xlws.FILTER($BD:$BD,($BA:$BA=$BI67)*($BC:$BC=_xlfn.NUMBERVALUE($BK67)))),""),"")</f>
        <v/>
      </c>
      <c r="BR67" s="10" t="str" cm="1">
        <f t="array" ref="BR67">IF($BL67&lt;&gt;"",IFERROR(AVERAGE(_xlfn._xlws.FILTER($BD:$BD,($BA:$BA=$BI67)*($BC:$BC=_xlfn.NUMBERVALUE($BL67)))),""),"")</f>
        <v/>
      </c>
      <c r="BS67" s="10" t="str" cm="1">
        <f t="array" ref="BS67">IF($BM67&lt;&gt;"",IFERROR(AVERAGE(_xlfn._xlws.FILTER($BD:$BD,($BA:$BA=$BI67)*($BC:$BC=_xlfn.NUMBERVALUE($BM67)))),""),"")</f>
        <v/>
      </c>
      <c r="BT67" s="10" t="str" cm="1">
        <f t="array" ref="BT67">IF($BN67&lt;&gt;"",IFERROR(AVERAGE(_xlfn._xlws.FILTER($BD:$BD,($BA:$BA=$BI67)*($BC:$BC=_xlfn.NUMBERVALUE($BN67)))),""),"")</f>
        <v/>
      </c>
      <c r="BU67" s="10" t="str" cm="1">
        <f t="array" ref="BU67">IF($BO67&lt;&gt;"",IFERROR(AVERAGE(_xlfn._xlws.FILTER($BD:$BD,($BA:$BA=$BI67)*($BC:$BC=_xlfn.NUMBERVALUE($BO67)))),""),"")</f>
        <v/>
      </c>
      <c r="DL67" s="10" t="str" cm="1">
        <f t="array" ref="DL67">IF($BJ67&lt;&gt;"",IFERROR(AVERAGE(_xlfn._xlws.FILTER($BD:$BD,($BA:$BA=$BI67)*($BC:$BC=_xlfn.NUMBERVALUE($BJ67)))),""),"")</f>
        <v/>
      </c>
      <c r="DM67" s="10" t="str" cm="1">
        <f t="array" ref="DM67">IF($BK67&lt;&gt;"",IFERROR(AVERAGE(_xlfn._xlws.FILTER($BD:$BD,($BA:$BA=$BI67)*($BC:$BC=_xlfn.NUMBERVALUE($BK67)))),""),"")</f>
        <v/>
      </c>
      <c r="DN67" s="10" t="str" cm="1">
        <f t="array" ref="DN67">IF($BL67&lt;&gt;"",IFERROR(AVERAGE(_xlfn._xlws.FILTER($BD:$BD,($BA:$BA=$BI67)*($BC:$BC=_xlfn.NUMBERVALUE($BL67)))),""),"")</f>
        <v/>
      </c>
      <c r="DO67" s="10" t="str" cm="1">
        <f t="array" ref="DO67">IF($BM67&lt;&gt;"",IFERROR(AVERAGE(_xlfn._xlws.FILTER($BD:$BD,($BA:$BA=$BI67)*($BC:$BC=_xlfn.NUMBERVALUE($BM67)))),""),"")</f>
        <v/>
      </c>
      <c r="DP67" s="10" t="str" cm="1">
        <f t="array" ref="DP67">IF($BN67&lt;&gt;"",IFERROR(AVERAGE(_xlfn._xlws.FILTER($BD:$BD,($BA:$BA=$BI67)*($BC:$BC=_xlfn.NUMBERVALUE($BN67)))),""),"")</f>
        <v/>
      </c>
      <c r="DQ67" s="10" t="str" cm="1">
        <f t="array" ref="DQ67">IF($BO67&lt;&gt;"",IFERROR(AVERAGE(_xlfn._xlws.FILTER($BD:$BD,($BA:$BA=$BI67)*($BC:$BC=_xlfn.NUMBERVALUE($BO67)))),""),"")</f>
        <v/>
      </c>
      <c r="DX67" t="str" cm="1">
        <f t="array" ref="DX67">IF($BJ67&lt;&gt;"",IFERROR(AVERAGE(_xlfn._xlws.FILTER($BE:$BE,($BA:$BA=$BI67)*($BC:$BC=_xlfn.NUMBERVALUE($BJ67)))),""),"")</f>
        <v/>
      </c>
      <c r="DY67" s="10" t="str" cm="1">
        <f t="array" ref="DY67">IF($BK67&lt;&gt;"",IFERROR(AVERAGE(_xlfn._xlws.FILTER($BE:$BE,($BA:$BA=$BI67)*($BC:$BC=_xlfn.NUMBERVALUE($BK67)))),""),"")</f>
        <v/>
      </c>
      <c r="DZ67" s="10" t="str" cm="1">
        <f t="array" ref="DZ67">IF($BL67&lt;&gt;"",IFERROR(AVERAGE(_xlfn._xlws.FILTER($BE:$BE,($BA:$BA=$BI67)*($BC:$BC=_xlfn.NUMBERVALUE($BL67)))),""),"")</f>
        <v/>
      </c>
      <c r="EA67" s="10" t="str" cm="1">
        <f t="array" ref="EA67">IF($BM67&lt;&gt;"",IFERROR(AVERAGE(_xlfn._xlws.FILTER($BE:$BE,($BA:$BA=$BI67)*($BC:$BC=_xlfn.NUMBERVALUE($BM67)))),""),"")</f>
        <v/>
      </c>
      <c r="EB67" s="10" t="str" cm="1">
        <f t="array" ref="EB67">IF($BN67&lt;&gt;"",IFERROR(AVERAGE(_xlfn._xlws.FILTER($BE:$BE,($BA:$BA=$BI67)*($BC:$BC=_xlfn.NUMBERVALUE($BN67)))),""),"")</f>
        <v/>
      </c>
      <c r="EC67" s="10" t="str" cm="1">
        <f t="array" ref="EC67">IF($BO67&lt;&gt;"",IFERROR(AVERAGE(_xlfn._xlws.FILTER($BE:$BE,($BA:$BA=$BI67)*($BC:$BC=_xlfn.NUMBERVALUE($BO67)))),""),"")</f>
        <v/>
      </c>
    </row>
    <row r="68" spans="49:133" x14ac:dyDescent="0.3">
      <c r="AW68" s="1">
        <v>3.1</v>
      </c>
      <c r="AX68" s="1">
        <v>3.1</v>
      </c>
      <c r="AY68" t="str">
        <v>R080_HI782-0_0.0_LOT0418_PW3W.1_QC.xlsx</v>
      </c>
      <c r="AZ68" t="str">
        <v>LOT0418</v>
      </c>
      <c r="BA68" s="3">
        <v>3</v>
      </c>
      <c r="BB68" t="str">
        <v>P/Final</v>
      </c>
      <c r="BC68">
        <v>60</v>
      </c>
      <c r="BD68" s="10">
        <v>61.5</v>
      </c>
      <c r="BE68" s="10">
        <v>0</v>
      </c>
      <c r="BF68" s="10">
        <v>0</v>
      </c>
      <c r="BG68" s="13">
        <v>45313</v>
      </c>
      <c r="BP68" s="10" t="str" cm="1">
        <f t="array" ref="BP68">IF($BJ68&lt;&gt;"",IFERROR(AVERAGE(_xlfn._xlws.FILTER($BD:$BD,($BA:$BA=$BI68)*($BC:$BC=_xlfn.NUMBERVALUE($BJ68)))),""),"")</f>
        <v/>
      </c>
      <c r="BQ68" s="10" t="str" cm="1">
        <f t="array" ref="BQ68">IF($BK68&lt;&gt;"",IFERROR(AVERAGE(_xlfn._xlws.FILTER($BD:$BD,($BA:$BA=$BI68)*($BC:$BC=_xlfn.NUMBERVALUE($BK68)))),""),"")</f>
        <v/>
      </c>
      <c r="BR68" s="10" t="str" cm="1">
        <f t="array" ref="BR68">IF($BL68&lt;&gt;"",IFERROR(AVERAGE(_xlfn._xlws.FILTER($BD:$BD,($BA:$BA=$BI68)*($BC:$BC=_xlfn.NUMBERVALUE($BL68)))),""),"")</f>
        <v/>
      </c>
      <c r="BS68" s="10" t="str" cm="1">
        <f t="array" ref="BS68">IF($BM68&lt;&gt;"",IFERROR(AVERAGE(_xlfn._xlws.FILTER($BD:$BD,($BA:$BA=$BI68)*($BC:$BC=_xlfn.NUMBERVALUE($BM68)))),""),"")</f>
        <v/>
      </c>
      <c r="BT68" s="10" t="str" cm="1">
        <f t="array" ref="BT68">IF($BN68&lt;&gt;"",IFERROR(AVERAGE(_xlfn._xlws.FILTER($BD:$BD,($BA:$BA=$BI68)*($BC:$BC=_xlfn.NUMBERVALUE($BN68)))),""),"")</f>
        <v/>
      </c>
      <c r="BU68" s="10" t="str" cm="1">
        <f t="array" ref="BU68">IF($BO68&lt;&gt;"",IFERROR(AVERAGE(_xlfn._xlws.FILTER($BD:$BD,($BA:$BA=$BI68)*($BC:$BC=_xlfn.NUMBERVALUE($BO68)))),""),"")</f>
        <v/>
      </c>
      <c r="DL68" s="10" t="str" cm="1">
        <f t="array" ref="DL68">IF($BJ68&lt;&gt;"",IFERROR(AVERAGE(_xlfn._xlws.FILTER($BD:$BD,($BA:$BA=$BI68)*($BC:$BC=_xlfn.NUMBERVALUE($BJ68)))),""),"")</f>
        <v/>
      </c>
      <c r="DM68" s="10" t="str" cm="1">
        <f t="array" ref="DM68">IF($BK68&lt;&gt;"",IFERROR(AVERAGE(_xlfn._xlws.FILTER($BD:$BD,($BA:$BA=$BI68)*($BC:$BC=_xlfn.NUMBERVALUE($BK68)))),""),"")</f>
        <v/>
      </c>
      <c r="DN68" s="10" t="str" cm="1">
        <f t="array" ref="DN68">IF($BL68&lt;&gt;"",IFERROR(AVERAGE(_xlfn._xlws.FILTER($BD:$BD,($BA:$BA=$BI68)*($BC:$BC=_xlfn.NUMBERVALUE($BL68)))),""),"")</f>
        <v/>
      </c>
      <c r="DO68" s="10" t="str" cm="1">
        <f t="array" ref="DO68">IF($BM68&lt;&gt;"",IFERROR(AVERAGE(_xlfn._xlws.FILTER($BD:$BD,($BA:$BA=$BI68)*($BC:$BC=_xlfn.NUMBERVALUE($BM68)))),""),"")</f>
        <v/>
      </c>
      <c r="DP68" s="10" t="str" cm="1">
        <f t="array" ref="DP68">IF($BN68&lt;&gt;"",IFERROR(AVERAGE(_xlfn._xlws.FILTER($BD:$BD,($BA:$BA=$BI68)*($BC:$BC=_xlfn.NUMBERVALUE($BN68)))),""),"")</f>
        <v/>
      </c>
      <c r="DQ68" s="10" t="str" cm="1">
        <f t="array" ref="DQ68">IF($BO68&lt;&gt;"",IFERROR(AVERAGE(_xlfn._xlws.FILTER($BD:$BD,($BA:$BA=$BI68)*($BC:$BC=_xlfn.NUMBERVALUE($BO68)))),""),"")</f>
        <v/>
      </c>
      <c r="DX68" t="str" cm="1">
        <f t="array" ref="DX68">IF($BJ68&lt;&gt;"",IFERROR(AVERAGE(_xlfn._xlws.FILTER($BE:$BE,($BA:$BA=$BI68)*($BC:$BC=_xlfn.NUMBERVALUE($BJ68)))),""),"")</f>
        <v/>
      </c>
      <c r="DY68" s="10" t="str" cm="1">
        <f t="array" ref="DY68">IF($BK68&lt;&gt;"",IFERROR(AVERAGE(_xlfn._xlws.FILTER($BE:$BE,($BA:$BA=$BI68)*($BC:$BC=_xlfn.NUMBERVALUE($BK68)))),""),"")</f>
        <v/>
      </c>
      <c r="DZ68" s="10" t="str" cm="1">
        <f t="array" ref="DZ68">IF($BL68&lt;&gt;"",IFERROR(AVERAGE(_xlfn._xlws.FILTER($BE:$BE,($BA:$BA=$BI68)*($BC:$BC=_xlfn.NUMBERVALUE($BL68)))),""),"")</f>
        <v/>
      </c>
      <c r="EA68" s="10" t="str" cm="1">
        <f t="array" ref="EA68">IF($BM68&lt;&gt;"",IFERROR(AVERAGE(_xlfn._xlws.FILTER($BE:$BE,($BA:$BA=$BI68)*($BC:$BC=_xlfn.NUMBERVALUE($BM68)))),""),"")</f>
        <v/>
      </c>
      <c r="EB68" s="10" t="str" cm="1">
        <f t="array" ref="EB68">IF($BN68&lt;&gt;"",IFERROR(AVERAGE(_xlfn._xlws.FILTER($BE:$BE,($BA:$BA=$BI68)*($BC:$BC=_xlfn.NUMBERVALUE($BN68)))),""),"")</f>
        <v/>
      </c>
      <c r="EC68" s="10" t="str" cm="1">
        <f t="array" ref="EC68">IF($BO68&lt;&gt;"",IFERROR(AVERAGE(_xlfn._xlws.FILTER($BE:$BE,($BA:$BA=$BI68)*($BC:$BC=_xlfn.NUMBERVALUE($BO68)))),""),"")</f>
        <v/>
      </c>
    </row>
    <row r="69" spans="49:133" x14ac:dyDescent="0.3">
      <c r="AW69" s="1">
        <v>3.1</v>
      </c>
      <c r="AX69" s="1">
        <v>3.1</v>
      </c>
      <c r="AY69" t="str">
        <v>R080_HI782-0_0.0_LOT0418_PW3W.1_QC.xlsx</v>
      </c>
      <c r="AZ69" t="str">
        <v>LOT0418</v>
      </c>
      <c r="BA69" s="3">
        <v>3</v>
      </c>
      <c r="BB69" t="str">
        <v>P/Final</v>
      </c>
      <c r="BC69">
        <v>60</v>
      </c>
      <c r="BD69" s="10">
        <v>64.400000000000006</v>
      </c>
      <c r="BE69" s="10">
        <v>0</v>
      </c>
      <c r="BF69" s="10">
        <v>0</v>
      </c>
      <c r="BG69" s="13">
        <v>45313</v>
      </c>
      <c r="BP69" s="10" t="str" cm="1">
        <f t="array" ref="BP69">IF($BJ69&lt;&gt;"",IFERROR(AVERAGE(_xlfn._xlws.FILTER($BD:$BD,($BA:$BA=$BI69)*($BC:$BC=_xlfn.NUMBERVALUE($BJ69)))),""),"")</f>
        <v/>
      </c>
      <c r="BQ69" s="10" t="str" cm="1">
        <f t="array" ref="BQ69">IF($BK69&lt;&gt;"",IFERROR(AVERAGE(_xlfn._xlws.FILTER($BD:$BD,($BA:$BA=$BI69)*($BC:$BC=_xlfn.NUMBERVALUE($BK69)))),""),"")</f>
        <v/>
      </c>
      <c r="BR69" s="10" t="str" cm="1">
        <f t="array" ref="BR69">IF($BL69&lt;&gt;"",IFERROR(AVERAGE(_xlfn._xlws.FILTER($BD:$BD,($BA:$BA=$BI69)*($BC:$BC=_xlfn.NUMBERVALUE($BL69)))),""),"")</f>
        <v/>
      </c>
      <c r="BS69" s="10" t="str" cm="1">
        <f t="array" ref="BS69">IF($BM69&lt;&gt;"",IFERROR(AVERAGE(_xlfn._xlws.FILTER($BD:$BD,($BA:$BA=$BI69)*($BC:$BC=_xlfn.NUMBERVALUE($BM69)))),""),"")</f>
        <v/>
      </c>
      <c r="BT69" s="10" t="str" cm="1">
        <f t="array" ref="BT69">IF($BN69&lt;&gt;"",IFERROR(AVERAGE(_xlfn._xlws.FILTER($BD:$BD,($BA:$BA=$BI69)*($BC:$BC=_xlfn.NUMBERVALUE($BN69)))),""),"")</f>
        <v/>
      </c>
      <c r="BU69" s="10" t="str" cm="1">
        <f t="array" ref="BU69">IF($BO69&lt;&gt;"",IFERROR(AVERAGE(_xlfn._xlws.FILTER($BD:$BD,($BA:$BA=$BI69)*($BC:$BC=_xlfn.NUMBERVALUE($BO69)))),""),"")</f>
        <v/>
      </c>
      <c r="DL69" s="10" t="str" cm="1">
        <f t="array" ref="DL69">IF($BJ69&lt;&gt;"",IFERROR(AVERAGE(_xlfn._xlws.FILTER($BD:$BD,($BA:$BA=$BI69)*($BC:$BC=_xlfn.NUMBERVALUE($BJ69)))),""),"")</f>
        <v/>
      </c>
      <c r="DM69" s="10" t="str" cm="1">
        <f t="array" ref="DM69">IF($BK69&lt;&gt;"",IFERROR(AVERAGE(_xlfn._xlws.FILTER($BD:$BD,($BA:$BA=$BI69)*($BC:$BC=_xlfn.NUMBERVALUE($BK69)))),""),"")</f>
        <v/>
      </c>
      <c r="DN69" s="10" t="str" cm="1">
        <f t="array" ref="DN69">IF($BL69&lt;&gt;"",IFERROR(AVERAGE(_xlfn._xlws.FILTER($BD:$BD,($BA:$BA=$BI69)*($BC:$BC=_xlfn.NUMBERVALUE($BL69)))),""),"")</f>
        <v/>
      </c>
      <c r="DO69" s="10" t="str" cm="1">
        <f t="array" ref="DO69">IF($BM69&lt;&gt;"",IFERROR(AVERAGE(_xlfn._xlws.FILTER($BD:$BD,($BA:$BA=$BI69)*($BC:$BC=_xlfn.NUMBERVALUE($BM69)))),""),"")</f>
        <v/>
      </c>
      <c r="DP69" s="10" t="str" cm="1">
        <f t="array" ref="DP69">IF($BN69&lt;&gt;"",IFERROR(AVERAGE(_xlfn._xlws.FILTER($BD:$BD,($BA:$BA=$BI69)*($BC:$BC=_xlfn.NUMBERVALUE($BN69)))),""),"")</f>
        <v/>
      </c>
      <c r="DQ69" s="10" t="str" cm="1">
        <f t="array" ref="DQ69">IF($BO69&lt;&gt;"",IFERROR(AVERAGE(_xlfn._xlws.FILTER($BD:$BD,($BA:$BA=$BI69)*($BC:$BC=_xlfn.NUMBERVALUE($BO69)))),""),"")</f>
        <v/>
      </c>
      <c r="DX69" t="str" cm="1">
        <f t="array" ref="DX69">IF($BJ69&lt;&gt;"",IFERROR(AVERAGE(_xlfn._xlws.FILTER($BE:$BE,($BA:$BA=$BI69)*($BC:$BC=_xlfn.NUMBERVALUE($BJ69)))),""),"")</f>
        <v/>
      </c>
      <c r="DY69" s="10" t="str" cm="1">
        <f t="array" ref="DY69">IF($BK69&lt;&gt;"",IFERROR(AVERAGE(_xlfn._xlws.FILTER($BE:$BE,($BA:$BA=$BI69)*($BC:$BC=_xlfn.NUMBERVALUE($BK69)))),""),"")</f>
        <v/>
      </c>
      <c r="DZ69" s="10" t="str" cm="1">
        <f t="array" ref="DZ69">IF($BL69&lt;&gt;"",IFERROR(AVERAGE(_xlfn._xlws.FILTER($BE:$BE,($BA:$BA=$BI69)*($BC:$BC=_xlfn.NUMBERVALUE($BL69)))),""),"")</f>
        <v/>
      </c>
      <c r="EA69" s="10" t="str" cm="1">
        <f t="array" ref="EA69">IF($BM69&lt;&gt;"",IFERROR(AVERAGE(_xlfn._xlws.FILTER($BE:$BE,($BA:$BA=$BI69)*($BC:$BC=_xlfn.NUMBERVALUE($BM69)))),""),"")</f>
        <v/>
      </c>
      <c r="EB69" s="10" t="str" cm="1">
        <f t="array" ref="EB69">IF($BN69&lt;&gt;"",IFERROR(AVERAGE(_xlfn._xlws.FILTER($BE:$BE,($BA:$BA=$BI69)*($BC:$BC=_xlfn.NUMBERVALUE($BN69)))),""),"")</f>
        <v/>
      </c>
      <c r="EC69" s="10" t="str" cm="1">
        <f t="array" ref="EC69">IF($BO69&lt;&gt;"",IFERROR(AVERAGE(_xlfn._xlws.FILTER($BE:$BE,($BA:$BA=$BI69)*($BC:$BC=_xlfn.NUMBERVALUE($BO69)))),""),"")</f>
        <v/>
      </c>
    </row>
    <row r="70" spans="49:133" x14ac:dyDescent="0.3">
      <c r="AW70" s="1">
        <v>3.1</v>
      </c>
      <c r="AX70" s="1">
        <v>3.1</v>
      </c>
      <c r="AY70" t="str">
        <v>R080_HI782-0_0.0_LOT0418_PW3W.1_QC.xlsx</v>
      </c>
      <c r="AZ70" t="str">
        <v>LOT0418</v>
      </c>
      <c r="BA70" s="3">
        <v>3</v>
      </c>
      <c r="BB70" t="str">
        <v>P/Final</v>
      </c>
      <c r="BC70">
        <v>60</v>
      </c>
      <c r="BD70" s="10">
        <v>66.8</v>
      </c>
      <c r="BE70" s="10">
        <v>0</v>
      </c>
      <c r="BF70" s="10">
        <v>0</v>
      </c>
      <c r="BG70" s="13">
        <v>45313</v>
      </c>
      <c r="BP70" s="10" t="str" cm="1">
        <f t="array" ref="BP70">IF($BJ70&lt;&gt;"",IFERROR(AVERAGE(_xlfn._xlws.FILTER($BD:$BD,($BA:$BA=$BI70)*($BC:$BC=_xlfn.NUMBERVALUE($BJ70)))),""),"")</f>
        <v/>
      </c>
      <c r="BQ70" s="10" t="str" cm="1">
        <f t="array" ref="BQ70">IF($BK70&lt;&gt;"",IFERROR(AVERAGE(_xlfn._xlws.FILTER($BD:$BD,($BA:$BA=$BI70)*($BC:$BC=_xlfn.NUMBERVALUE($BK70)))),""),"")</f>
        <v/>
      </c>
      <c r="BR70" s="10" t="str" cm="1">
        <f t="array" ref="BR70">IF($BL70&lt;&gt;"",IFERROR(AVERAGE(_xlfn._xlws.FILTER($BD:$BD,($BA:$BA=$BI70)*($BC:$BC=_xlfn.NUMBERVALUE($BL70)))),""),"")</f>
        <v/>
      </c>
      <c r="BS70" s="10" t="str" cm="1">
        <f t="array" ref="BS70">IF($BM70&lt;&gt;"",IFERROR(AVERAGE(_xlfn._xlws.FILTER($BD:$BD,($BA:$BA=$BI70)*($BC:$BC=_xlfn.NUMBERVALUE($BM70)))),""),"")</f>
        <v/>
      </c>
      <c r="BT70" s="10" t="str" cm="1">
        <f t="array" ref="BT70">IF($BN70&lt;&gt;"",IFERROR(AVERAGE(_xlfn._xlws.FILTER($BD:$BD,($BA:$BA=$BI70)*($BC:$BC=_xlfn.NUMBERVALUE($BN70)))),""),"")</f>
        <v/>
      </c>
      <c r="BU70" s="10" t="str" cm="1">
        <f t="array" ref="BU70">IF($BO70&lt;&gt;"",IFERROR(AVERAGE(_xlfn._xlws.FILTER($BD:$BD,($BA:$BA=$BI70)*($BC:$BC=_xlfn.NUMBERVALUE($BO70)))),""),"")</f>
        <v/>
      </c>
      <c r="DL70" s="10" t="str" cm="1">
        <f t="array" ref="DL70">IF($BJ70&lt;&gt;"",IFERROR(AVERAGE(_xlfn._xlws.FILTER($BD:$BD,($BA:$BA=$BI70)*($BC:$BC=_xlfn.NUMBERVALUE($BJ70)))),""),"")</f>
        <v/>
      </c>
      <c r="DM70" s="10" t="str" cm="1">
        <f t="array" ref="DM70">IF($BK70&lt;&gt;"",IFERROR(AVERAGE(_xlfn._xlws.FILTER($BD:$BD,($BA:$BA=$BI70)*($BC:$BC=_xlfn.NUMBERVALUE($BK70)))),""),"")</f>
        <v/>
      </c>
      <c r="DN70" s="10" t="str" cm="1">
        <f t="array" ref="DN70">IF($BL70&lt;&gt;"",IFERROR(AVERAGE(_xlfn._xlws.FILTER($BD:$BD,($BA:$BA=$BI70)*($BC:$BC=_xlfn.NUMBERVALUE($BL70)))),""),"")</f>
        <v/>
      </c>
      <c r="DO70" s="10" t="str" cm="1">
        <f t="array" ref="DO70">IF($BM70&lt;&gt;"",IFERROR(AVERAGE(_xlfn._xlws.FILTER($BD:$BD,($BA:$BA=$BI70)*($BC:$BC=_xlfn.NUMBERVALUE($BM70)))),""),"")</f>
        <v/>
      </c>
      <c r="DP70" s="10" t="str" cm="1">
        <f t="array" ref="DP70">IF($BN70&lt;&gt;"",IFERROR(AVERAGE(_xlfn._xlws.FILTER($BD:$BD,($BA:$BA=$BI70)*($BC:$BC=_xlfn.NUMBERVALUE($BN70)))),""),"")</f>
        <v/>
      </c>
      <c r="DQ70" s="10" t="str" cm="1">
        <f t="array" ref="DQ70">IF($BO70&lt;&gt;"",IFERROR(AVERAGE(_xlfn._xlws.FILTER($BD:$BD,($BA:$BA=$BI70)*($BC:$BC=_xlfn.NUMBERVALUE($BO70)))),""),"")</f>
        <v/>
      </c>
      <c r="DX70" t="str" cm="1">
        <f t="array" ref="DX70">IF($BJ70&lt;&gt;"",IFERROR(AVERAGE(_xlfn._xlws.FILTER($BE:$BE,($BA:$BA=$BI70)*($BC:$BC=_xlfn.NUMBERVALUE($BJ70)))),""),"")</f>
        <v/>
      </c>
      <c r="DY70" s="10" t="str" cm="1">
        <f t="array" ref="DY70">IF($BK70&lt;&gt;"",IFERROR(AVERAGE(_xlfn._xlws.FILTER($BE:$BE,($BA:$BA=$BI70)*($BC:$BC=_xlfn.NUMBERVALUE($BK70)))),""),"")</f>
        <v/>
      </c>
      <c r="DZ70" s="10" t="str" cm="1">
        <f t="array" ref="DZ70">IF($BL70&lt;&gt;"",IFERROR(AVERAGE(_xlfn._xlws.FILTER($BE:$BE,($BA:$BA=$BI70)*($BC:$BC=_xlfn.NUMBERVALUE($BL70)))),""),"")</f>
        <v/>
      </c>
      <c r="EA70" s="10" t="str" cm="1">
        <f t="array" ref="EA70">IF($BM70&lt;&gt;"",IFERROR(AVERAGE(_xlfn._xlws.FILTER($BE:$BE,($BA:$BA=$BI70)*($BC:$BC=_xlfn.NUMBERVALUE($BM70)))),""),"")</f>
        <v/>
      </c>
      <c r="EB70" s="10" t="str" cm="1">
        <f t="array" ref="EB70">IF($BN70&lt;&gt;"",IFERROR(AVERAGE(_xlfn._xlws.FILTER($BE:$BE,($BA:$BA=$BI70)*($BC:$BC=_xlfn.NUMBERVALUE($BN70)))),""),"")</f>
        <v/>
      </c>
      <c r="EC70" s="10" t="str" cm="1">
        <f t="array" ref="EC70">IF($BO70&lt;&gt;"",IFERROR(AVERAGE(_xlfn._xlws.FILTER($BE:$BE,($BA:$BA=$BI70)*($BC:$BC=_xlfn.NUMBERVALUE($BO70)))),""),"")</f>
        <v/>
      </c>
    </row>
    <row r="71" spans="49:133" x14ac:dyDescent="0.3">
      <c r="AW71" s="1">
        <v>3.1</v>
      </c>
      <c r="AX71" s="1">
        <v>3.1</v>
      </c>
      <c r="AY71" t="str">
        <v>R080_HI782-0_0.0_LOT0418_PW3W.1_QC.xlsx</v>
      </c>
      <c r="AZ71" t="str">
        <v>LOT0418</v>
      </c>
      <c r="BA71" s="3">
        <v>3</v>
      </c>
      <c r="BB71" t="str">
        <v>P/Final</v>
      </c>
      <c r="BC71">
        <v>60</v>
      </c>
      <c r="BD71" s="10">
        <v>62.2</v>
      </c>
      <c r="BE71" s="10">
        <v>0</v>
      </c>
      <c r="BF71" s="10">
        <v>0</v>
      </c>
      <c r="BG71" s="13">
        <v>45313</v>
      </c>
      <c r="BP71" s="10" t="str" cm="1">
        <f t="array" ref="BP71">IF($BJ71&lt;&gt;"",IFERROR(AVERAGE(_xlfn._xlws.FILTER($BD:$BD,($BA:$BA=$BI71)*($BC:$BC=_xlfn.NUMBERVALUE($BJ71)))),""),"")</f>
        <v/>
      </c>
      <c r="BQ71" s="10" t="str" cm="1">
        <f t="array" ref="BQ71">IF($BK71&lt;&gt;"",IFERROR(AVERAGE(_xlfn._xlws.FILTER($BD:$BD,($BA:$BA=$BI71)*($BC:$BC=_xlfn.NUMBERVALUE($BK71)))),""),"")</f>
        <v/>
      </c>
      <c r="BR71" s="10" t="str" cm="1">
        <f t="array" ref="BR71">IF($BL71&lt;&gt;"",IFERROR(AVERAGE(_xlfn._xlws.FILTER($BD:$BD,($BA:$BA=$BI71)*($BC:$BC=_xlfn.NUMBERVALUE($BL71)))),""),"")</f>
        <v/>
      </c>
      <c r="BS71" s="10" t="str" cm="1">
        <f t="array" ref="BS71">IF($BM71&lt;&gt;"",IFERROR(AVERAGE(_xlfn._xlws.FILTER($BD:$BD,($BA:$BA=$BI71)*($BC:$BC=_xlfn.NUMBERVALUE($BM71)))),""),"")</f>
        <v/>
      </c>
      <c r="BT71" s="10" t="str" cm="1">
        <f t="array" ref="BT71">IF($BN71&lt;&gt;"",IFERROR(AVERAGE(_xlfn._xlws.FILTER($BD:$BD,($BA:$BA=$BI71)*($BC:$BC=_xlfn.NUMBERVALUE($BN71)))),""),"")</f>
        <v/>
      </c>
      <c r="BU71" s="10" t="str" cm="1">
        <f t="array" ref="BU71">IF($BO71&lt;&gt;"",IFERROR(AVERAGE(_xlfn._xlws.FILTER($BD:$BD,($BA:$BA=$BI71)*($BC:$BC=_xlfn.NUMBERVALUE($BO71)))),""),"")</f>
        <v/>
      </c>
      <c r="DL71" s="10" t="str" cm="1">
        <f t="array" ref="DL71">IF($BJ71&lt;&gt;"",IFERROR(AVERAGE(_xlfn._xlws.FILTER($BD:$BD,($BA:$BA=$BI71)*($BC:$BC=_xlfn.NUMBERVALUE($BJ71)))),""),"")</f>
        <v/>
      </c>
      <c r="DM71" s="10" t="str" cm="1">
        <f t="array" ref="DM71">IF($BK71&lt;&gt;"",IFERROR(AVERAGE(_xlfn._xlws.FILTER($BD:$BD,($BA:$BA=$BI71)*($BC:$BC=_xlfn.NUMBERVALUE($BK71)))),""),"")</f>
        <v/>
      </c>
      <c r="DN71" s="10" t="str" cm="1">
        <f t="array" ref="DN71">IF($BL71&lt;&gt;"",IFERROR(AVERAGE(_xlfn._xlws.FILTER($BD:$BD,($BA:$BA=$BI71)*($BC:$BC=_xlfn.NUMBERVALUE($BL71)))),""),"")</f>
        <v/>
      </c>
      <c r="DO71" s="10" t="str" cm="1">
        <f t="array" ref="DO71">IF($BM71&lt;&gt;"",IFERROR(AVERAGE(_xlfn._xlws.FILTER($BD:$BD,($BA:$BA=$BI71)*($BC:$BC=_xlfn.NUMBERVALUE($BM71)))),""),"")</f>
        <v/>
      </c>
      <c r="DP71" s="10" t="str" cm="1">
        <f t="array" ref="DP71">IF($BN71&lt;&gt;"",IFERROR(AVERAGE(_xlfn._xlws.FILTER($BD:$BD,($BA:$BA=$BI71)*($BC:$BC=_xlfn.NUMBERVALUE($BN71)))),""),"")</f>
        <v/>
      </c>
      <c r="DQ71" s="10" t="str" cm="1">
        <f t="array" ref="DQ71">IF($BO71&lt;&gt;"",IFERROR(AVERAGE(_xlfn._xlws.FILTER($BD:$BD,($BA:$BA=$BI71)*($BC:$BC=_xlfn.NUMBERVALUE($BO71)))),""),"")</f>
        <v/>
      </c>
      <c r="DX71" t="str" cm="1">
        <f t="array" ref="DX71">IF($BJ71&lt;&gt;"",IFERROR(AVERAGE(_xlfn._xlws.FILTER($BE:$BE,($BA:$BA=$BI71)*($BC:$BC=_xlfn.NUMBERVALUE($BJ71)))),""),"")</f>
        <v/>
      </c>
      <c r="DY71" s="10" t="str" cm="1">
        <f t="array" ref="DY71">IF($BK71&lt;&gt;"",IFERROR(AVERAGE(_xlfn._xlws.FILTER($BE:$BE,($BA:$BA=$BI71)*($BC:$BC=_xlfn.NUMBERVALUE($BK71)))),""),"")</f>
        <v/>
      </c>
      <c r="DZ71" s="10" t="str" cm="1">
        <f t="array" ref="DZ71">IF($BL71&lt;&gt;"",IFERROR(AVERAGE(_xlfn._xlws.FILTER($BE:$BE,($BA:$BA=$BI71)*($BC:$BC=_xlfn.NUMBERVALUE($BL71)))),""),"")</f>
        <v/>
      </c>
      <c r="EA71" s="10" t="str" cm="1">
        <f t="array" ref="EA71">IF($BM71&lt;&gt;"",IFERROR(AVERAGE(_xlfn._xlws.FILTER($BE:$BE,($BA:$BA=$BI71)*($BC:$BC=_xlfn.NUMBERVALUE($BM71)))),""),"")</f>
        <v/>
      </c>
      <c r="EB71" s="10" t="str" cm="1">
        <f t="array" ref="EB71">IF($BN71&lt;&gt;"",IFERROR(AVERAGE(_xlfn._xlws.FILTER($BE:$BE,($BA:$BA=$BI71)*($BC:$BC=_xlfn.NUMBERVALUE($BN71)))),""),"")</f>
        <v/>
      </c>
      <c r="EC71" s="10" t="str" cm="1">
        <f t="array" ref="EC71">IF($BO71&lt;&gt;"",IFERROR(AVERAGE(_xlfn._xlws.FILTER($BE:$BE,($BA:$BA=$BI71)*($BC:$BC=_xlfn.NUMBERVALUE($BO71)))),""),"")</f>
        <v/>
      </c>
    </row>
    <row r="72" spans="49:133" x14ac:dyDescent="0.3">
      <c r="AW72" s="1">
        <v>3.1</v>
      </c>
      <c r="AX72" s="1">
        <v>3.1</v>
      </c>
      <c r="AY72" t="str">
        <v>R080_HI782-0_0.0_LOT0418_PW3W.1_QC.xlsx</v>
      </c>
      <c r="AZ72" t="str">
        <v>LOT0418</v>
      </c>
      <c r="BA72" s="3">
        <v>3</v>
      </c>
      <c r="BB72" t="str">
        <v>P/Final</v>
      </c>
      <c r="BC72">
        <v>60</v>
      </c>
      <c r="BD72" s="10">
        <v>65.900000000000006</v>
      </c>
      <c r="BE72" s="10">
        <v>0</v>
      </c>
      <c r="BF72" s="10">
        <v>0</v>
      </c>
      <c r="BG72" s="13">
        <v>45313</v>
      </c>
      <c r="BP72" s="10" t="str" cm="1">
        <f t="array" ref="BP72">IF($BJ72&lt;&gt;"",IFERROR(AVERAGE(_xlfn._xlws.FILTER($BD:$BD,($BA:$BA=$BI72)*($BC:$BC=_xlfn.NUMBERVALUE($BJ72)))),""),"")</f>
        <v/>
      </c>
      <c r="BQ72" s="10" t="str" cm="1">
        <f t="array" ref="BQ72">IF($BK72&lt;&gt;"",IFERROR(AVERAGE(_xlfn._xlws.FILTER($BD:$BD,($BA:$BA=$BI72)*($BC:$BC=_xlfn.NUMBERVALUE($BK72)))),""),"")</f>
        <v/>
      </c>
      <c r="BR72" s="10" t="str" cm="1">
        <f t="array" ref="BR72">IF($BL72&lt;&gt;"",IFERROR(AVERAGE(_xlfn._xlws.FILTER($BD:$BD,($BA:$BA=$BI72)*($BC:$BC=_xlfn.NUMBERVALUE($BL72)))),""),"")</f>
        <v/>
      </c>
      <c r="BS72" s="10" t="str" cm="1">
        <f t="array" ref="BS72">IF($BM72&lt;&gt;"",IFERROR(AVERAGE(_xlfn._xlws.FILTER($BD:$BD,($BA:$BA=$BI72)*($BC:$BC=_xlfn.NUMBERVALUE($BM72)))),""),"")</f>
        <v/>
      </c>
      <c r="BT72" s="10" t="str" cm="1">
        <f t="array" ref="BT72">IF($BN72&lt;&gt;"",IFERROR(AVERAGE(_xlfn._xlws.FILTER($BD:$BD,($BA:$BA=$BI72)*($BC:$BC=_xlfn.NUMBERVALUE($BN72)))),""),"")</f>
        <v/>
      </c>
      <c r="BU72" s="10" t="str" cm="1">
        <f t="array" ref="BU72">IF($BO72&lt;&gt;"",IFERROR(AVERAGE(_xlfn._xlws.FILTER($BD:$BD,($BA:$BA=$BI72)*($BC:$BC=_xlfn.NUMBERVALUE($BO72)))),""),"")</f>
        <v/>
      </c>
      <c r="DL72" s="10" t="str" cm="1">
        <f t="array" ref="DL72">IF($BJ72&lt;&gt;"",IFERROR(AVERAGE(_xlfn._xlws.FILTER($BD:$BD,($BA:$BA=$BI72)*($BC:$BC=_xlfn.NUMBERVALUE($BJ72)))),""),"")</f>
        <v/>
      </c>
      <c r="DM72" s="10" t="str" cm="1">
        <f t="array" ref="DM72">IF($BK72&lt;&gt;"",IFERROR(AVERAGE(_xlfn._xlws.FILTER($BD:$BD,($BA:$BA=$BI72)*($BC:$BC=_xlfn.NUMBERVALUE($BK72)))),""),"")</f>
        <v/>
      </c>
      <c r="DN72" s="10" t="str" cm="1">
        <f t="array" ref="DN72">IF($BL72&lt;&gt;"",IFERROR(AVERAGE(_xlfn._xlws.FILTER($BD:$BD,($BA:$BA=$BI72)*($BC:$BC=_xlfn.NUMBERVALUE($BL72)))),""),"")</f>
        <v/>
      </c>
      <c r="DO72" s="10" t="str" cm="1">
        <f t="array" ref="DO72">IF($BM72&lt;&gt;"",IFERROR(AVERAGE(_xlfn._xlws.FILTER($BD:$BD,($BA:$BA=$BI72)*($BC:$BC=_xlfn.NUMBERVALUE($BM72)))),""),"")</f>
        <v/>
      </c>
      <c r="DP72" s="10" t="str" cm="1">
        <f t="array" ref="DP72">IF($BN72&lt;&gt;"",IFERROR(AVERAGE(_xlfn._xlws.FILTER($BD:$BD,($BA:$BA=$BI72)*($BC:$BC=_xlfn.NUMBERVALUE($BN72)))),""),"")</f>
        <v/>
      </c>
      <c r="DQ72" s="10" t="str" cm="1">
        <f t="array" ref="DQ72">IF($BO72&lt;&gt;"",IFERROR(AVERAGE(_xlfn._xlws.FILTER($BD:$BD,($BA:$BA=$BI72)*($BC:$BC=_xlfn.NUMBERVALUE($BO72)))),""),"")</f>
        <v/>
      </c>
      <c r="DX72" t="str" cm="1">
        <f t="array" ref="DX72">IF($BJ72&lt;&gt;"",IFERROR(AVERAGE(_xlfn._xlws.FILTER($BE:$BE,($BA:$BA=$BI72)*($BC:$BC=_xlfn.NUMBERVALUE($BJ72)))),""),"")</f>
        <v/>
      </c>
      <c r="DY72" s="10" t="str" cm="1">
        <f t="array" ref="DY72">IF($BK72&lt;&gt;"",IFERROR(AVERAGE(_xlfn._xlws.FILTER($BE:$BE,($BA:$BA=$BI72)*($BC:$BC=_xlfn.NUMBERVALUE($BK72)))),""),"")</f>
        <v/>
      </c>
      <c r="DZ72" s="10" t="str" cm="1">
        <f t="array" ref="DZ72">IF($BL72&lt;&gt;"",IFERROR(AVERAGE(_xlfn._xlws.FILTER($BE:$BE,($BA:$BA=$BI72)*($BC:$BC=_xlfn.NUMBERVALUE($BL72)))),""),"")</f>
        <v/>
      </c>
      <c r="EA72" s="10" t="str" cm="1">
        <f t="array" ref="EA72">IF($BM72&lt;&gt;"",IFERROR(AVERAGE(_xlfn._xlws.FILTER($BE:$BE,($BA:$BA=$BI72)*($BC:$BC=_xlfn.NUMBERVALUE($BM72)))),""),"")</f>
        <v/>
      </c>
      <c r="EB72" s="10" t="str" cm="1">
        <f t="array" ref="EB72">IF($BN72&lt;&gt;"",IFERROR(AVERAGE(_xlfn._xlws.FILTER($BE:$BE,($BA:$BA=$BI72)*($BC:$BC=_xlfn.NUMBERVALUE($BN72)))),""),"")</f>
        <v/>
      </c>
      <c r="EC72" s="10" t="str" cm="1">
        <f t="array" ref="EC72">IF($BO72&lt;&gt;"",IFERROR(AVERAGE(_xlfn._xlws.FILTER($BE:$BE,($BA:$BA=$BI72)*($BC:$BC=_xlfn.NUMBERVALUE($BO72)))),""),"")</f>
        <v/>
      </c>
    </row>
    <row r="73" spans="49:133" x14ac:dyDescent="0.3">
      <c r="AW73" s="1">
        <v>3.1</v>
      </c>
      <c r="AX73" s="1">
        <v>3.1</v>
      </c>
      <c r="AY73" t="str">
        <v>R080_HI782-0_0.0_LOT0418_PW3W.1_QC.xlsx</v>
      </c>
      <c r="AZ73" t="str">
        <v>LOT0418</v>
      </c>
      <c r="BA73" s="3">
        <v>3</v>
      </c>
      <c r="BB73" t="str">
        <v>P/Final</v>
      </c>
      <c r="BC73">
        <v>60</v>
      </c>
      <c r="BD73" s="10">
        <v>65.400000000000006</v>
      </c>
      <c r="BE73" s="10">
        <v>0</v>
      </c>
      <c r="BF73" s="10">
        <v>0</v>
      </c>
      <c r="BG73" s="13">
        <v>45313</v>
      </c>
      <c r="BP73" s="10" t="str" cm="1">
        <f t="array" ref="BP73">IF($BJ73&lt;&gt;"",IFERROR(AVERAGE(_xlfn._xlws.FILTER($BD:$BD,($BA:$BA=$BI73)*($BC:$BC=_xlfn.NUMBERVALUE($BJ73)))),""),"")</f>
        <v/>
      </c>
      <c r="BQ73" s="10" t="str" cm="1">
        <f t="array" ref="BQ73">IF($BK73&lt;&gt;"",IFERROR(AVERAGE(_xlfn._xlws.FILTER($BD:$BD,($BA:$BA=$BI73)*($BC:$BC=_xlfn.NUMBERVALUE($BK73)))),""),"")</f>
        <v/>
      </c>
      <c r="BR73" s="10" t="str" cm="1">
        <f t="array" ref="BR73">IF($BL73&lt;&gt;"",IFERROR(AVERAGE(_xlfn._xlws.FILTER($BD:$BD,($BA:$BA=$BI73)*($BC:$BC=_xlfn.NUMBERVALUE($BL73)))),""),"")</f>
        <v/>
      </c>
      <c r="BS73" s="10" t="str" cm="1">
        <f t="array" ref="BS73">IF($BM73&lt;&gt;"",IFERROR(AVERAGE(_xlfn._xlws.FILTER($BD:$BD,($BA:$BA=$BI73)*($BC:$BC=_xlfn.NUMBERVALUE($BM73)))),""),"")</f>
        <v/>
      </c>
      <c r="BT73" s="10" t="str" cm="1">
        <f t="array" ref="BT73">IF($BN73&lt;&gt;"",IFERROR(AVERAGE(_xlfn._xlws.FILTER($BD:$BD,($BA:$BA=$BI73)*($BC:$BC=_xlfn.NUMBERVALUE($BN73)))),""),"")</f>
        <v/>
      </c>
      <c r="BU73" s="10" t="str" cm="1">
        <f t="array" ref="BU73">IF($BO73&lt;&gt;"",IFERROR(AVERAGE(_xlfn._xlws.FILTER($BD:$BD,($BA:$BA=$BI73)*($BC:$BC=_xlfn.NUMBERVALUE($BO73)))),""),"")</f>
        <v/>
      </c>
      <c r="DL73" s="10" t="str" cm="1">
        <f t="array" ref="DL73">IF($BJ73&lt;&gt;"",IFERROR(AVERAGE(_xlfn._xlws.FILTER($BD:$BD,($BA:$BA=$BI73)*($BC:$BC=_xlfn.NUMBERVALUE($BJ73)))),""),"")</f>
        <v/>
      </c>
      <c r="DM73" s="10" t="str" cm="1">
        <f t="array" ref="DM73">IF($BK73&lt;&gt;"",IFERROR(AVERAGE(_xlfn._xlws.FILTER($BD:$BD,($BA:$BA=$BI73)*($BC:$BC=_xlfn.NUMBERVALUE($BK73)))),""),"")</f>
        <v/>
      </c>
      <c r="DN73" s="10" t="str" cm="1">
        <f t="array" ref="DN73">IF($BL73&lt;&gt;"",IFERROR(AVERAGE(_xlfn._xlws.FILTER($BD:$BD,($BA:$BA=$BI73)*($BC:$BC=_xlfn.NUMBERVALUE($BL73)))),""),"")</f>
        <v/>
      </c>
      <c r="DO73" s="10" t="str" cm="1">
        <f t="array" ref="DO73">IF($BM73&lt;&gt;"",IFERROR(AVERAGE(_xlfn._xlws.FILTER($BD:$BD,($BA:$BA=$BI73)*($BC:$BC=_xlfn.NUMBERVALUE($BM73)))),""),"")</f>
        <v/>
      </c>
      <c r="DP73" s="10" t="str" cm="1">
        <f t="array" ref="DP73">IF($BN73&lt;&gt;"",IFERROR(AVERAGE(_xlfn._xlws.FILTER($BD:$BD,($BA:$BA=$BI73)*($BC:$BC=_xlfn.NUMBERVALUE($BN73)))),""),"")</f>
        <v/>
      </c>
      <c r="DQ73" s="10" t="str" cm="1">
        <f t="array" ref="DQ73">IF($BO73&lt;&gt;"",IFERROR(AVERAGE(_xlfn._xlws.FILTER($BD:$BD,($BA:$BA=$BI73)*($BC:$BC=_xlfn.NUMBERVALUE($BO73)))),""),"")</f>
        <v/>
      </c>
      <c r="DX73" t="str" cm="1">
        <f t="array" ref="DX73">IF($BJ73&lt;&gt;"",IFERROR(AVERAGE(_xlfn._xlws.FILTER($BE:$BE,($BA:$BA=$BI73)*($BC:$BC=_xlfn.NUMBERVALUE($BJ73)))),""),"")</f>
        <v/>
      </c>
      <c r="DY73" s="10" t="str" cm="1">
        <f t="array" ref="DY73">IF($BK73&lt;&gt;"",IFERROR(AVERAGE(_xlfn._xlws.FILTER($BE:$BE,($BA:$BA=$BI73)*($BC:$BC=_xlfn.NUMBERVALUE($BK73)))),""),"")</f>
        <v/>
      </c>
      <c r="DZ73" s="10" t="str" cm="1">
        <f t="array" ref="DZ73">IF($BL73&lt;&gt;"",IFERROR(AVERAGE(_xlfn._xlws.FILTER($BE:$BE,($BA:$BA=$BI73)*($BC:$BC=_xlfn.NUMBERVALUE($BL73)))),""),"")</f>
        <v/>
      </c>
      <c r="EA73" s="10" t="str" cm="1">
        <f t="array" ref="EA73">IF($BM73&lt;&gt;"",IFERROR(AVERAGE(_xlfn._xlws.FILTER($BE:$BE,($BA:$BA=$BI73)*($BC:$BC=_xlfn.NUMBERVALUE($BM73)))),""),"")</f>
        <v/>
      </c>
      <c r="EB73" s="10" t="str" cm="1">
        <f t="array" ref="EB73">IF($BN73&lt;&gt;"",IFERROR(AVERAGE(_xlfn._xlws.FILTER($BE:$BE,($BA:$BA=$BI73)*($BC:$BC=_xlfn.NUMBERVALUE($BN73)))),""),"")</f>
        <v/>
      </c>
      <c r="EC73" s="10" t="str" cm="1">
        <f t="array" ref="EC73">IF($BO73&lt;&gt;"",IFERROR(AVERAGE(_xlfn._xlws.FILTER($BE:$BE,($BA:$BA=$BI73)*($BC:$BC=_xlfn.NUMBERVALUE($BO73)))),""),"")</f>
        <v/>
      </c>
    </row>
    <row r="74" spans="49:133" x14ac:dyDescent="0.3">
      <c r="AW74" s="1">
        <v>3.1</v>
      </c>
      <c r="AX74" s="1">
        <v>3.1</v>
      </c>
      <c r="AY74" t="str">
        <v>R080_HI782-0_0.0_LOT0418_PW3W.1_QC.xlsx</v>
      </c>
      <c r="AZ74" t="str">
        <v>LOT0418</v>
      </c>
      <c r="BA74" s="3">
        <v>3</v>
      </c>
      <c r="BB74" t="str">
        <v>P/Final</v>
      </c>
      <c r="BC74">
        <v>60</v>
      </c>
      <c r="BD74" s="10">
        <v>63.1</v>
      </c>
      <c r="BE74" s="10">
        <v>0</v>
      </c>
      <c r="BF74" s="10">
        <v>0</v>
      </c>
      <c r="BG74" s="13">
        <v>45313</v>
      </c>
      <c r="BP74" s="10" t="str" cm="1">
        <f t="array" ref="BP74">IF($BJ74&lt;&gt;"",IFERROR(AVERAGE(_xlfn._xlws.FILTER($BD:$BD,($BA:$BA=$BI74)*($BC:$BC=_xlfn.NUMBERVALUE($BJ74)))),""),"")</f>
        <v/>
      </c>
      <c r="BQ74" s="10" t="str" cm="1">
        <f t="array" ref="BQ74">IF($BK74&lt;&gt;"",IFERROR(AVERAGE(_xlfn._xlws.FILTER($BD:$BD,($BA:$BA=$BI74)*($BC:$BC=_xlfn.NUMBERVALUE($BK74)))),""),"")</f>
        <v/>
      </c>
      <c r="BR74" s="10" t="str" cm="1">
        <f t="array" ref="BR74">IF($BL74&lt;&gt;"",IFERROR(AVERAGE(_xlfn._xlws.FILTER($BD:$BD,($BA:$BA=$BI74)*($BC:$BC=_xlfn.NUMBERVALUE($BL74)))),""),"")</f>
        <v/>
      </c>
      <c r="BS74" s="10" t="str" cm="1">
        <f t="array" ref="BS74">IF($BM74&lt;&gt;"",IFERROR(AVERAGE(_xlfn._xlws.FILTER($BD:$BD,($BA:$BA=$BI74)*($BC:$BC=_xlfn.NUMBERVALUE($BM74)))),""),"")</f>
        <v/>
      </c>
      <c r="BT74" s="10" t="str" cm="1">
        <f t="array" ref="BT74">IF($BN74&lt;&gt;"",IFERROR(AVERAGE(_xlfn._xlws.FILTER($BD:$BD,($BA:$BA=$BI74)*($BC:$BC=_xlfn.NUMBERVALUE($BN74)))),""),"")</f>
        <v/>
      </c>
      <c r="BU74" s="10" t="str" cm="1">
        <f t="array" ref="BU74">IF($BO74&lt;&gt;"",IFERROR(AVERAGE(_xlfn._xlws.FILTER($BD:$BD,($BA:$BA=$BI74)*($BC:$BC=_xlfn.NUMBERVALUE($BO74)))),""),"")</f>
        <v/>
      </c>
      <c r="DL74" s="10" t="str" cm="1">
        <f t="array" ref="DL74">IF($BJ74&lt;&gt;"",IFERROR(AVERAGE(_xlfn._xlws.FILTER($BD:$BD,($BA:$BA=$BI74)*($BC:$BC=_xlfn.NUMBERVALUE($BJ74)))),""),"")</f>
        <v/>
      </c>
      <c r="DM74" s="10" t="str" cm="1">
        <f t="array" ref="DM74">IF($BK74&lt;&gt;"",IFERROR(AVERAGE(_xlfn._xlws.FILTER($BD:$BD,($BA:$BA=$BI74)*($BC:$BC=_xlfn.NUMBERVALUE($BK74)))),""),"")</f>
        <v/>
      </c>
      <c r="DN74" s="10" t="str" cm="1">
        <f t="array" ref="DN74">IF($BL74&lt;&gt;"",IFERROR(AVERAGE(_xlfn._xlws.FILTER($BD:$BD,($BA:$BA=$BI74)*($BC:$BC=_xlfn.NUMBERVALUE($BL74)))),""),"")</f>
        <v/>
      </c>
      <c r="DO74" s="10" t="str" cm="1">
        <f t="array" ref="DO74">IF($BM74&lt;&gt;"",IFERROR(AVERAGE(_xlfn._xlws.FILTER($BD:$BD,($BA:$BA=$BI74)*($BC:$BC=_xlfn.NUMBERVALUE($BM74)))),""),"")</f>
        <v/>
      </c>
      <c r="DP74" s="10" t="str" cm="1">
        <f t="array" ref="DP74">IF($BN74&lt;&gt;"",IFERROR(AVERAGE(_xlfn._xlws.FILTER($BD:$BD,($BA:$BA=$BI74)*($BC:$BC=_xlfn.NUMBERVALUE($BN74)))),""),"")</f>
        <v/>
      </c>
      <c r="DQ74" s="10" t="str" cm="1">
        <f t="array" ref="DQ74">IF($BO74&lt;&gt;"",IFERROR(AVERAGE(_xlfn._xlws.FILTER($BD:$BD,($BA:$BA=$BI74)*($BC:$BC=_xlfn.NUMBERVALUE($BO74)))),""),"")</f>
        <v/>
      </c>
      <c r="DX74" t="str" cm="1">
        <f t="array" ref="DX74">IF($BJ74&lt;&gt;"",IFERROR(AVERAGE(_xlfn._xlws.FILTER($BE:$BE,($BA:$BA=$BI74)*($BC:$BC=_xlfn.NUMBERVALUE($BJ74)))),""),"")</f>
        <v/>
      </c>
      <c r="DY74" s="10" t="str" cm="1">
        <f t="array" ref="DY74">IF($BK74&lt;&gt;"",IFERROR(AVERAGE(_xlfn._xlws.FILTER($BE:$BE,($BA:$BA=$BI74)*($BC:$BC=_xlfn.NUMBERVALUE($BK74)))),""),"")</f>
        <v/>
      </c>
      <c r="DZ74" s="10" t="str" cm="1">
        <f t="array" ref="DZ74">IF($BL74&lt;&gt;"",IFERROR(AVERAGE(_xlfn._xlws.FILTER($BE:$BE,($BA:$BA=$BI74)*($BC:$BC=_xlfn.NUMBERVALUE($BL74)))),""),"")</f>
        <v/>
      </c>
      <c r="EA74" s="10" t="str" cm="1">
        <f t="array" ref="EA74">IF($BM74&lt;&gt;"",IFERROR(AVERAGE(_xlfn._xlws.FILTER($BE:$BE,($BA:$BA=$BI74)*($BC:$BC=_xlfn.NUMBERVALUE($BM74)))),""),"")</f>
        <v/>
      </c>
      <c r="EB74" s="10" t="str" cm="1">
        <f t="array" ref="EB74">IF($BN74&lt;&gt;"",IFERROR(AVERAGE(_xlfn._xlws.FILTER($BE:$BE,($BA:$BA=$BI74)*($BC:$BC=_xlfn.NUMBERVALUE($BN74)))),""),"")</f>
        <v/>
      </c>
      <c r="EC74" s="10" t="str" cm="1">
        <f t="array" ref="EC74">IF($BO74&lt;&gt;"",IFERROR(AVERAGE(_xlfn._xlws.FILTER($BE:$BE,($BA:$BA=$BI74)*($BC:$BC=_xlfn.NUMBERVALUE($BO74)))),""),"")</f>
        <v/>
      </c>
    </row>
    <row r="75" spans="49:133" x14ac:dyDescent="0.3">
      <c r="AW75" s="1">
        <v>3.1</v>
      </c>
      <c r="AX75" s="1">
        <v>3.1</v>
      </c>
      <c r="AY75" t="str">
        <v>R080_HI782-0_0.0_LOT0418_PW3W.1_QC.xlsx</v>
      </c>
      <c r="AZ75" t="str">
        <v>LOT0418</v>
      </c>
      <c r="BA75" s="3">
        <v>3</v>
      </c>
      <c r="BB75" t="str">
        <v>P/Final</v>
      </c>
      <c r="BC75">
        <v>60</v>
      </c>
      <c r="BD75" s="10">
        <v>61.8</v>
      </c>
      <c r="BE75" s="10">
        <v>0</v>
      </c>
      <c r="BF75" s="10">
        <v>0</v>
      </c>
      <c r="BG75" s="13">
        <v>45313</v>
      </c>
      <c r="BP75" s="10" t="str" cm="1">
        <f t="array" ref="BP75">IF($BJ75&lt;&gt;"",IFERROR(AVERAGE(_xlfn._xlws.FILTER($BD:$BD,($BA:$BA=$BI75)*($BC:$BC=_xlfn.NUMBERVALUE($BJ75)))),""),"")</f>
        <v/>
      </c>
      <c r="BQ75" s="10" t="str" cm="1">
        <f t="array" ref="BQ75">IF($BK75&lt;&gt;"",IFERROR(AVERAGE(_xlfn._xlws.FILTER($BD:$BD,($BA:$BA=$BI75)*($BC:$BC=_xlfn.NUMBERVALUE($BK75)))),""),"")</f>
        <v/>
      </c>
      <c r="BR75" s="10" t="str" cm="1">
        <f t="array" ref="BR75">IF($BL75&lt;&gt;"",IFERROR(AVERAGE(_xlfn._xlws.FILTER($BD:$BD,($BA:$BA=$BI75)*($BC:$BC=_xlfn.NUMBERVALUE($BL75)))),""),"")</f>
        <v/>
      </c>
      <c r="BS75" s="10" t="str" cm="1">
        <f t="array" ref="BS75">IF($BM75&lt;&gt;"",IFERROR(AVERAGE(_xlfn._xlws.FILTER($BD:$BD,($BA:$BA=$BI75)*($BC:$BC=_xlfn.NUMBERVALUE($BM75)))),""),"")</f>
        <v/>
      </c>
      <c r="BT75" s="10" t="str" cm="1">
        <f t="array" ref="BT75">IF($BN75&lt;&gt;"",IFERROR(AVERAGE(_xlfn._xlws.FILTER($BD:$BD,($BA:$BA=$BI75)*($BC:$BC=_xlfn.NUMBERVALUE($BN75)))),""),"")</f>
        <v/>
      </c>
      <c r="BU75" s="10" t="str" cm="1">
        <f t="array" ref="BU75">IF($BO75&lt;&gt;"",IFERROR(AVERAGE(_xlfn._xlws.FILTER($BD:$BD,($BA:$BA=$BI75)*($BC:$BC=_xlfn.NUMBERVALUE($BO75)))),""),"")</f>
        <v/>
      </c>
      <c r="DL75" s="10" t="str" cm="1">
        <f t="array" ref="DL75">IF($BJ75&lt;&gt;"",IFERROR(AVERAGE(_xlfn._xlws.FILTER($BD:$BD,($BA:$BA=$BI75)*($BC:$BC=_xlfn.NUMBERVALUE($BJ75)))),""),"")</f>
        <v/>
      </c>
      <c r="DM75" s="10" t="str" cm="1">
        <f t="array" ref="DM75">IF($BK75&lt;&gt;"",IFERROR(AVERAGE(_xlfn._xlws.FILTER($BD:$BD,($BA:$BA=$BI75)*($BC:$BC=_xlfn.NUMBERVALUE($BK75)))),""),"")</f>
        <v/>
      </c>
      <c r="DN75" s="10" t="str" cm="1">
        <f t="array" ref="DN75">IF($BL75&lt;&gt;"",IFERROR(AVERAGE(_xlfn._xlws.FILTER($BD:$BD,($BA:$BA=$BI75)*($BC:$BC=_xlfn.NUMBERVALUE($BL75)))),""),"")</f>
        <v/>
      </c>
      <c r="DO75" s="10" t="str" cm="1">
        <f t="array" ref="DO75">IF($BM75&lt;&gt;"",IFERROR(AVERAGE(_xlfn._xlws.FILTER($BD:$BD,($BA:$BA=$BI75)*($BC:$BC=_xlfn.NUMBERVALUE($BM75)))),""),"")</f>
        <v/>
      </c>
      <c r="DP75" s="10" t="str" cm="1">
        <f t="array" ref="DP75">IF($BN75&lt;&gt;"",IFERROR(AVERAGE(_xlfn._xlws.FILTER($BD:$BD,($BA:$BA=$BI75)*($BC:$BC=_xlfn.NUMBERVALUE($BN75)))),""),"")</f>
        <v/>
      </c>
      <c r="DQ75" s="10" t="str" cm="1">
        <f t="array" ref="DQ75">IF($BO75&lt;&gt;"",IFERROR(AVERAGE(_xlfn._xlws.FILTER($BD:$BD,($BA:$BA=$BI75)*($BC:$BC=_xlfn.NUMBERVALUE($BO75)))),""),"")</f>
        <v/>
      </c>
      <c r="DX75" t="str" cm="1">
        <f t="array" ref="DX75">IF($BJ75&lt;&gt;"",IFERROR(AVERAGE(_xlfn._xlws.FILTER($BE:$BE,($BA:$BA=$BI75)*($BC:$BC=_xlfn.NUMBERVALUE($BJ75)))),""),"")</f>
        <v/>
      </c>
      <c r="DY75" s="10" t="str" cm="1">
        <f t="array" ref="DY75">IF($BK75&lt;&gt;"",IFERROR(AVERAGE(_xlfn._xlws.FILTER($BE:$BE,($BA:$BA=$BI75)*($BC:$BC=_xlfn.NUMBERVALUE($BK75)))),""),"")</f>
        <v/>
      </c>
      <c r="DZ75" s="10" t="str" cm="1">
        <f t="array" ref="DZ75">IF($BL75&lt;&gt;"",IFERROR(AVERAGE(_xlfn._xlws.FILTER($BE:$BE,($BA:$BA=$BI75)*($BC:$BC=_xlfn.NUMBERVALUE($BL75)))),""),"")</f>
        <v/>
      </c>
      <c r="EA75" s="10" t="str" cm="1">
        <f t="array" ref="EA75">IF($BM75&lt;&gt;"",IFERROR(AVERAGE(_xlfn._xlws.FILTER($BE:$BE,($BA:$BA=$BI75)*($BC:$BC=_xlfn.NUMBERVALUE($BM75)))),""),"")</f>
        <v/>
      </c>
      <c r="EB75" s="10" t="str" cm="1">
        <f t="array" ref="EB75">IF($BN75&lt;&gt;"",IFERROR(AVERAGE(_xlfn._xlws.FILTER($BE:$BE,($BA:$BA=$BI75)*($BC:$BC=_xlfn.NUMBERVALUE($BN75)))),""),"")</f>
        <v/>
      </c>
      <c r="EC75" s="10" t="str" cm="1">
        <f t="array" ref="EC75">IF($BO75&lt;&gt;"",IFERROR(AVERAGE(_xlfn._xlws.FILTER($BE:$BE,($BA:$BA=$BI75)*($BC:$BC=_xlfn.NUMBERVALUE($BO75)))),""),"")</f>
        <v/>
      </c>
    </row>
    <row r="76" spans="49:133" x14ac:dyDescent="0.3">
      <c r="AW76" s="1">
        <v>4.0999999999999996</v>
      </c>
      <c r="AX76" s="1">
        <v>4.0999999999999996</v>
      </c>
      <c r="AY76" t="str">
        <v>R080_HI782-0_0.0_LOT0428_PW5W.1_QC.xlsx</v>
      </c>
      <c r="AZ76" t="str">
        <v>LOT0428</v>
      </c>
      <c r="BA76" s="3">
        <v>4</v>
      </c>
      <c r="BB76" t="str">
        <v>P/Final</v>
      </c>
      <c r="BC76">
        <v>0</v>
      </c>
      <c r="BD76" s="10">
        <v>0.1</v>
      </c>
      <c r="BE76" s="10">
        <v>0</v>
      </c>
      <c r="BF76" s="10">
        <v>0</v>
      </c>
      <c r="BG76" s="13">
        <v>45330</v>
      </c>
      <c r="BP76" s="10" t="str" cm="1">
        <f t="array" ref="BP76">IF($BJ76&lt;&gt;"",IFERROR(AVERAGE(_xlfn._xlws.FILTER($BD:$BD,($BA:$BA=$BI76)*($BC:$BC=_xlfn.NUMBERVALUE($BJ76)))),""),"")</f>
        <v/>
      </c>
      <c r="BQ76" s="10" t="str" cm="1">
        <f t="array" ref="BQ76">IF($BK76&lt;&gt;"",IFERROR(AVERAGE(_xlfn._xlws.FILTER($BD:$BD,($BA:$BA=$BI76)*($BC:$BC=_xlfn.NUMBERVALUE($BK76)))),""),"")</f>
        <v/>
      </c>
      <c r="BR76" s="10" t="str" cm="1">
        <f t="array" ref="BR76">IF($BL76&lt;&gt;"",IFERROR(AVERAGE(_xlfn._xlws.FILTER($BD:$BD,($BA:$BA=$BI76)*($BC:$BC=_xlfn.NUMBERVALUE($BL76)))),""),"")</f>
        <v/>
      </c>
      <c r="BS76" s="10" t="str" cm="1">
        <f t="array" ref="BS76">IF($BM76&lt;&gt;"",IFERROR(AVERAGE(_xlfn._xlws.FILTER($BD:$BD,($BA:$BA=$BI76)*($BC:$BC=_xlfn.NUMBERVALUE($BM76)))),""),"")</f>
        <v/>
      </c>
      <c r="BT76" s="10" t="str" cm="1">
        <f t="array" ref="BT76">IF($BN76&lt;&gt;"",IFERROR(AVERAGE(_xlfn._xlws.FILTER($BD:$BD,($BA:$BA=$BI76)*($BC:$BC=_xlfn.NUMBERVALUE($BN76)))),""),"")</f>
        <v/>
      </c>
      <c r="BU76" s="10" t="str" cm="1">
        <f t="array" ref="BU76">IF($BO76&lt;&gt;"",IFERROR(AVERAGE(_xlfn._xlws.FILTER($BD:$BD,($BA:$BA=$BI76)*($BC:$BC=_xlfn.NUMBERVALUE($BO76)))),""),"")</f>
        <v/>
      </c>
      <c r="DL76" s="10" t="str" cm="1">
        <f t="array" ref="DL76">IF($BJ76&lt;&gt;"",IFERROR(AVERAGE(_xlfn._xlws.FILTER($BD:$BD,($BA:$BA=$BI76)*($BC:$BC=_xlfn.NUMBERVALUE($BJ76)))),""),"")</f>
        <v/>
      </c>
      <c r="DM76" s="10" t="str" cm="1">
        <f t="array" ref="DM76">IF($BK76&lt;&gt;"",IFERROR(AVERAGE(_xlfn._xlws.FILTER($BD:$BD,($BA:$BA=$BI76)*($BC:$BC=_xlfn.NUMBERVALUE($BK76)))),""),"")</f>
        <v/>
      </c>
      <c r="DN76" s="10" t="str" cm="1">
        <f t="array" ref="DN76">IF($BL76&lt;&gt;"",IFERROR(AVERAGE(_xlfn._xlws.FILTER($BD:$BD,($BA:$BA=$BI76)*($BC:$BC=_xlfn.NUMBERVALUE($BL76)))),""),"")</f>
        <v/>
      </c>
      <c r="DO76" s="10" t="str" cm="1">
        <f t="array" ref="DO76">IF($BM76&lt;&gt;"",IFERROR(AVERAGE(_xlfn._xlws.FILTER($BD:$BD,($BA:$BA=$BI76)*($BC:$BC=_xlfn.NUMBERVALUE($BM76)))),""),"")</f>
        <v/>
      </c>
      <c r="DP76" s="10" t="str" cm="1">
        <f t="array" ref="DP76">IF($BN76&lt;&gt;"",IFERROR(AVERAGE(_xlfn._xlws.FILTER($BD:$BD,($BA:$BA=$BI76)*($BC:$BC=_xlfn.NUMBERVALUE($BN76)))),""),"")</f>
        <v/>
      </c>
      <c r="DQ76" s="10" t="str" cm="1">
        <f t="array" ref="DQ76">IF($BO76&lt;&gt;"",IFERROR(AVERAGE(_xlfn._xlws.FILTER($BD:$BD,($BA:$BA=$BI76)*($BC:$BC=_xlfn.NUMBERVALUE($BO76)))),""),"")</f>
        <v/>
      </c>
      <c r="DX76" t="str" cm="1">
        <f t="array" ref="DX76">IF($BJ76&lt;&gt;"",IFERROR(AVERAGE(_xlfn._xlws.FILTER($BE:$BE,($BA:$BA=$BI76)*($BC:$BC=_xlfn.NUMBERVALUE($BJ76)))),""),"")</f>
        <v/>
      </c>
      <c r="DY76" s="10" t="str" cm="1">
        <f t="array" ref="DY76">IF($BK76&lt;&gt;"",IFERROR(AVERAGE(_xlfn._xlws.FILTER($BE:$BE,($BA:$BA=$BI76)*($BC:$BC=_xlfn.NUMBERVALUE($BK76)))),""),"")</f>
        <v/>
      </c>
      <c r="DZ76" s="10" t="str" cm="1">
        <f t="array" ref="DZ76">IF($BL76&lt;&gt;"",IFERROR(AVERAGE(_xlfn._xlws.FILTER($BE:$BE,($BA:$BA=$BI76)*($BC:$BC=_xlfn.NUMBERVALUE($BL76)))),""),"")</f>
        <v/>
      </c>
      <c r="EA76" s="10" t="str" cm="1">
        <f t="array" ref="EA76">IF($BM76&lt;&gt;"",IFERROR(AVERAGE(_xlfn._xlws.FILTER($BE:$BE,($BA:$BA=$BI76)*($BC:$BC=_xlfn.NUMBERVALUE($BM76)))),""),"")</f>
        <v/>
      </c>
      <c r="EB76" s="10" t="str" cm="1">
        <f t="array" ref="EB76">IF($BN76&lt;&gt;"",IFERROR(AVERAGE(_xlfn._xlws.FILTER($BE:$BE,($BA:$BA=$BI76)*($BC:$BC=_xlfn.NUMBERVALUE($BN76)))),""),"")</f>
        <v/>
      </c>
      <c r="EC76" s="10" t="str" cm="1">
        <f t="array" ref="EC76">IF($BO76&lt;&gt;"",IFERROR(AVERAGE(_xlfn._xlws.FILTER($BE:$BE,($BA:$BA=$BI76)*($BC:$BC=_xlfn.NUMBERVALUE($BO76)))),""),"")</f>
        <v/>
      </c>
    </row>
    <row r="77" spans="49:133" x14ac:dyDescent="0.3">
      <c r="AW77" s="1">
        <v>4.0999999999999996</v>
      </c>
      <c r="AX77" s="1">
        <v>4.0999999999999996</v>
      </c>
      <c r="AY77" t="str">
        <v>R080_HI782-0_0.0_LOT0428_PW5W.1_QC.xlsx</v>
      </c>
      <c r="AZ77" t="str">
        <v>LOT0428</v>
      </c>
      <c r="BA77" s="3">
        <v>4</v>
      </c>
      <c r="BB77" t="str">
        <v>P/Final</v>
      </c>
      <c r="BC77">
        <v>0</v>
      </c>
      <c r="BD77" s="10">
        <v>0.1</v>
      </c>
      <c r="BE77" s="10">
        <v>0</v>
      </c>
      <c r="BF77" s="10">
        <v>0</v>
      </c>
      <c r="BG77" s="13">
        <v>45330</v>
      </c>
      <c r="BP77" s="10" t="str" cm="1">
        <f t="array" ref="BP77">IF($BJ77&lt;&gt;"",IFERROR(AVERAGE(_xlfn._xlws.FILTER($BD:$BD,($BA:$BA=$BI77)*($BC:$BC=_xlfn.NUMBERVALUE($BJ77)))),""),"")</f>
        <v/>
      </c>
      <c r="BQ77" s="10" t="str" cm="1">
        <f t="array" ref="BQ77">IF($BK77&lt;&gt;"",IFERROR(AVERAGE(_xlfn._xlws.FILTER($BD:$BD,($BA:$BA=$BI77)*($BC:$BC=_xlfn.NUMBERVALUE($BK77)))),""),"")</f>
        <v/>
      </c>
      <c r="BR77" s="10" t="str" cm="1">
        <f t="array" ref="BR77">IF($BL77&lt;&gt;"",IFERROR(AVERAGE(_xlfn._xlws.FILTER($BD:$BD,($BA:$BA=$BI77)*($BC:$BC=_xlfn.NUMBERVALUE($BL77)))),""),"")</f>
        <v/>
      </c>
      <c r="BS77" s="10" t="str" cm="1">
        <f t="array" ref="BS77">IF($BM77&lt;&gt;"",IFERROR(AVERAGE(_xlfn._xlws.FILTER($BD:$BD,($BA:$BA=$BI77)*($BC:$BC=_xlfn.NUMBERVALUE($BM77)))),""),"")</f>
        <v/>
      </c>
      <c r="BT77" s="10" t="str" cm="1">
        <f t="array" ref="BT77">IF($BN77&lt;&gt;"",IFERROR(AVERAGE(_xlfn._xlws.FILTER($BD:$BD,($BA:$BA=$BI77)*($BC:$BC=_xlfn.NUMBERVALUE($BN77)))),""),"")</f>
        <v/>
      </c>
      <c r="BU77" s="10" t="str" cm="1">
        <f t="array" ref="BU77">IF($BO77&lt;&gt;"",IFERROR(AVERAGE(_xlfn._xlws.FILTER($BD:$BD,($BA:$BA=$BI77)*($BC:$BC=_xlfn.NUMBERVALUE($BO77)))),""),"")</f>
        <v/>
      </c>
      <c r="DL77" s="10" t="str" cm="1">
        <f t="array" ref="DL77">IF($BJ77&lt;&gt;"",IFERROR(AVERAGE(_xlfn._xlws.FILTER($BD:$BD,($BA:$BA=$BI77)*($BC:$BC=_xlfn.NUMBERVALUE($BJ77)))),""),"")</f>
        <v/>
      </c>
      <c r="DM77" s="10" t="str" cm="1">
        <f t="array" ref="DM77">IF($BK77&lt;&gt;"",IFERROR(AVERAGE(_xlfn._xlws.FILTER($BD:$BD,($BA:$BA=$BI77)*($BC:$BC=_xlfn.NUMBERVALUE($BK77)))),""),"")</f>
        <v/>
      </c>
      <c r="DN77" s="10" t="str" cm="1">
        <f t="array" ref="DN77">IF($BL77&lt;&gt;"",IFERROR(AVERAGE(_xlfn._xlws.FILTER($BD:$BD,($BA:$BA=$BI77)*($BC:$BC=_xlfn.NUMBERVALUE($BL77)))),""),"")</f>
        <v/>
      </c>
      <c r="DO77" s="10" t="str" cm="1">
        <f t="array" ref="DO77">IF($BM77&lt;&gt;"",IFERROR(AVERAGE(_xlfn._xlws.FILTER($BD:$BD,($BA:$BA=$BI77)*($BC:$BC=_xlfn.NUMBERVALUE($BM77)))),""),"")</f>
        <v/>
      </c>
      <c r="DP77" s="10" t="str" cm="1">
        <f t="array" ref="DP77">IF($BN77&lt;&gt;"",IFERROR(AVERAGE(_xlfn._xlws.FILTER($BD:$BD,($BA:$BA=$BI77)*($BC:$BC=_xlfn.NUMBERVALUE($BN77)))),""),"")</f>
        <v/>
      </c>
      <c r="DQ77" s="10" t="str" cm="1">
        <f t="array" ref="DQ77">IF($BO77&lt;&gt;"",IFERROR(AVERAGE(_xlfn._xlws.FILTER($BD:$BD,($BA:$BA=$BI77)*($BC:$BC=_xlfn.NUMBERVALUE($BO77)))),""),"")</f>
        <v/>
      </c>
      <c r="DX77" t="str" cm="1">
        <f t="array" ref="DX77">IF($BJ77&lt;&gt;"",IFERROR(AVERAGE(_xlfn._xlws.FILTER($BE:$BE,($BA:$BA=$BI77)*($BC:$BC=_xlfn.NUMBERVALUE($BJ77)))),""),"")</f>
        <v/>
      </c>
      <c r="DY77" s="10" t="str" cm="1">
        <f t="array" ref="DY77">IF($BK77&lt;&gt;"",IFERROR(AVERAGE(_xlfn._xlws.FILTER($BE:$BE,($BA:$BA=$BI77)*($BC:$BC=_xlfn.NUMBERVALUE($BK77)))),""),"")</f>
        <v/>
      </c>
      <c r="DZ77" s="10" t="str" cm="1">
        <f t="array" ref="DZ77">IF($BL77&lt;&gt;"",IFERROR(AVERAGE(_xlfn._xlws.FILTER($BE:$BE,($BA:$BA=$BI77)*($BC:$BC=_xlfn.NUMBERVALUE($BL77)))),""),"")</f>
        <v/>
      </c>
      <c r="EA77" s="10" t="str" cm="1">
        <f t="array" ref="EA77">IF($BM77&lt;&gt;"",IFERROR(AVERAGE(_xlfn._xlws.FILTER($BE:$BE,($BA:$BA=$BI77)*($BC:$BC=_xlfn.NUMBERVALUE($BM77)))),""),"")</f>
        <v/>
      </c>
      <c r="EB77" s="10" t="str" cm="1">
        <f t="array" ref="EB77">IF($BN77&lt;&gt;"",IFERROR(AVERAGE(_xlfn._xlws.FILTER($BE:$BE,($BA:$BA=$BI77)*($BC:$BC=_xlfn.NUMBERVALUE($BN77)))),""),"")</f>
        <v/>
      </c>
      <c r="EC77" s="10" t="str" cm="1">
        <f t="array" ref="EC77">IF($BO77&lt;&gt;"",IFERROR(AVERAGE(_xlfn._xlws.FILTER($BE:$BE,($BA:$BA=$BI77)*($BC:$BC=_xlfn.NUMBERVALUE($BO77)))),""),"")</f>
        <v/>
      </c>
    </row>
    <row r="78" spans="49:133" x14ac:dyDescent="0.3">
      <c r="AW78" s="1">
        <v>4.0999999999999996</v>
      </c>
      <c r="AX78" s="1">
        <v>4.0999999999999996</v>
      </c>
      <c r="AY78" t="str">
        <v>R080_HI782-0_0.0_LOT0428_PW5W.1_QC.xlsx</v>
      </c>
      <c r="AZ78" t="str">
        <v>LOT0428</v>
      </c>
      <c r="BA78" s="3">
        <v>4</v>
      </c>
      <c r="BB78" t="str">
        <v>P/Final</v>
      </c>
      <c r="BC78">
        <v>15</v>
      </c>
      <c r="BD78" s="10">
        <v>14.7</v>
      </c>
      <c r="BE78" s="10">
        <v>0</v>
      </c>
      <c r="BF78" s="10">
        <v>0</v>
      </c>
      <c r="BG78" s="13">
        <v>45330</v>
      </c>
      <c r="BP78" s="10" t="str" cm="1">
        <f t="array" ref="BP78">IF($BJ78&lt;&gt;"",IFERROR(AVERAGE(_xlfn._xlws.FILTER($BD:$BD,($BA:$BA=$BI78)*($BC:$BC=_xlfn.NUMBERVALUE($BJ78)))),""),"")</f>
        <v/>
      </c>
      <c r="BQ78" s="10" t="str" cm="1">
        <f t="array" ref="BQ78">IF($BK78&lt;&gt;"",IFERROR(AVERAGE(_xlfn._xlws.FILTER($BD:$BD,($BA:$BA=$BI78)*($BC:$BC=_xlfn.NUMBERVALUE($BK78)))),""),"")</f>
        <v/>
      </c>
      <c r="BR78" s="10" t="str" cm="1">
        <f t="array" ref="BR78">IF($BL78&lt;&gt;"",IFERROR(AVERAGE(_xlfn._xlws.FILTER($BD:$BD,($BA:$BA=$BI78)*($BC:$BC=_xlfn.NUMBERVALUE($BL78)))),""),"")</f>
        <v/>
      </c>
      <c r="BS78" s="10" t="str" cm="1">
        <f t="array" ref="BS78">IF($BM78&lt;&gt;"",IFERROR(AVERAGE(_xlfn._xlws.FILTER($BD:$BD,($BA:$BA=$BI78)*($BC:$BC=_xlfn.NUMBERVALUE($BM78)))),""),"")</f>
        <v/>
      </c>
      <c r="BT78" s="10" t="str" cm="1">
        <f t="array" ref="BT78">IF($BN78&lt;&gt;"",IFERROR(AVERAGE(_xlfn._xlws.FILTER($BD:$BD,($BA:$BA=$BI78)*($BC:$BC=_xlfn.NUMBERVALUE($BN78)))),""),"")</f>
        <v/>
      </c>
      <c r="BU78" s="10" t="str" cm="1">
        <f t="array" ref="BU78">IF($BO78&lt;&gt;"",IFERROR(AVERAGE(_xlfn._xlws.FILTER($BD:$BD,($BA:$BA=$BI78)*($BC:$BC=_xlfn.NUMBERVALUE($BO78)))),""),"")</f>
        <v/>
      </c>
      <c r="DL78" s="10" t="str" cm="1">
        <f t="array" ref="DL78">IF($BJ78&lt;&gt;"",IFERROR(AVERAGE(_xlfn._xlws.FILTER($BD:$BD,($BA:$BA=$BI78)*($BC:$BC=_xlfn.NUMBERVALUE($BJ78)))),""),"")</f>
        <v/>
      </c>
      <c r="DM78" s="10" t="str" cm="1">
        <f t="array" ref="DM78">IF($BK78&lt;&gt;"",IFERROR(AVERAGE(_xlfn._xlws.FILTER($BD:$BD,($BA:$BA=$BI78)*($BC:$BC=_xlfn.NUMBERVALUE($BK78)))),""),"")</f>
        <v/>
      </c>
      <c r="DN78" s="10" t="str" cm="1">
        <f t="array" ref="DN78">IF($BL78&lt;&gt;"",IFERROR(AVERAGE(_xlfn._xlws.FILTER($BD:$BD,($BA:$BA=$BI78)*($BC:$BC=_xlfn.NUMBERVALUE($BL78)))),""),"")</f>
        <v/>
      </c>
      <c r="DO78" s="10" t="str" cm="1">
        <f t="array" ref="DO78">IF($BM78&lt;&gt;"",IFERROR(AVERAGE(_xlfn._xlws.FILTER($BD:$BD,($BA:$BA=$BI78)*($BC:$BC=_xlfn.NUMBERVALUE($BM78)))),""),"")</f>
        <v/>
      </c>
      <c r="DP78" s="10" t="str" cm="1">
        <f t="array" ref="DP78">IF($BN78&lt;&gt;"",IFERROR(AVERAGE(_xlfn._xlws.FILTER($BD:$BD,($BA:$BA=$BI78)*($BC:$BC=_xlfn.NUMBERVALUE($BN78)))),""),"")</f>
        <v/>
      </c>
      <c r="DQ78" s="10" t="str" cm="1">
        <f t="array" ref="DQ78">IF($BO78&lt;&gt;"",IFERROR(AVERAGE(_xlfn._xlws.FILTER($BD:$BD,($BA:$BA=$BI78)*($BC:$BC=_xlfn.NUMBERVALUE($BO78)))),""),"")</f>
        <v/>
      </c>
      <c r="DX78" t="str" cm="1">
        <f t="array" ref="DX78">IF($BJ78&lt;&gt;"",IFERROR(AVERAGE(_xlfn._xlws.FILTER($BE:$BE,($BA:$BA=$BI78)*($BC:$BC=_xlfn.NUMBERVALUE($BJ78)))),""),"")</f>
        <v/>
      </c>
      <c r="DY78" s="10" t="str" cm="1">
        <f t="array" ref="DY78">IF($BK78&lt;&gt;"",IFERROR(AVERAGE(_xlfn._xlws.FILTER($BE:$BE,($BA:$BA=$BI78)*($BC:$BC=_xlfn.NUMBERVALUE($BK78)))),""),"")</f>
        <v/>
      </c>
      <c r="DZ78" s="10" t="str" cm="1">
        <f t="array" ref="DZ78">IF($BL78&lt;&gt;"",IFERROR(AVERAGE(_xlfn._xlws.FILTER($BE:$BE,($BA:$BA=$BI78)*($BC:$BC=_xlfn.NUMBERVALUE($BL78)))),""),"")</f>
        <v/>
      </c>
      <c r="EA78" s="10" t="str" cm="1">
        <f t="array" ref="EA78">IF($BM78&lt;&gt;"",IFERROR(AVERAGE(_xlfn._xlws.FILTER($BE:$BE,($BA:$BA=$BI78)*($BC:$BC=_xlfn.NUMBERVALUE($BM78)))),""),"")</f>
        <v/>
      </c>
      <c r="EB78" s="10" t="str" cm="1">
        <f t="array" ref="EB78">IF($BN78&lt;&gt;"",IFERROR(AVERAGE(_xlfn._xlws.FILTER($BE:$BE,($BA:$BA=$BI78)*($BC:$BC=_xlfn.NUMBERVALUE($BN78)))),""),"")</f>
        <v/>
      </c>
      <c r="EC78" s="10" t="str" cm="1">
        <f t="array" ref="EC78">IF($BO78&lt;&gt;"",IFERROR(AVERAGE(_xlfn._xlws.FILTER($BE:$BE,($BA:$BA=$BI78)*($BC:$BC=_xlfn.NUMBERVALUE($BO78)))),""),"")</f>
        <v/>
      </c>
    </row>
    <row r="79" spans="49:133" x14ac:dyDescent="0.3">
      <c r="AW79" s="1">
        <v>4.0999999999999996</v>
      </c>
      <c r="AX79" s="1">
        <v>4.0999999999999996</v>
      </c>
      <c r="AY79" t="str">
        <v>R080_HI782-0_0.0_LOT0428_PW5W.1_QC.xlsx</v>
      </c>
      <c r="AZ79" t="str">
        <v>LOT0428</v>
      </c>
      <c r="BA79" s="3">
        <v>4</v>
      </c>
      <c r="BB79" t="str">
        <v>P/Final</v>
      </c>
      <c r="BC79">
        <v>15</v>
      </c>
      <c r="BD79" s="10">
        <v>15.9</v>
      </c>
      <c r="BE79" s="10">
        <v>0</v>
      </c>
      <c r="BF79" s="10">
        <v>0</v>
      </c>
      <c r="BG79" s="13">
        <v>45330</v>
      </c>
      <c r="BP79" s="10" t="str" cm="1">
        <f t="array" ref="BP79">IF($BJ79&lt;&gt;"",IFERROR(AVERAGE(_xlfn._xlws.FILTER($BD:$BD,($BA:$BA=$BI79)*($BC:$BC=_xlfn.NUMBERVALUE($BJ79)))),""),"")</f>
        <v/>
      </c>
      <c r="BQ79" s="10" t="str" cm="1">
        <f t="array" ref="BQ79">IF($BK79&lt;&gt;"",IFERROR(AVERAGE(_xlfn._xlws.FILTER($BD:$BD,($BA:$BA=$BI79)*($BC:$BC=_xlfn.NUMBERVALUE($BK79)))),""),"")</f>
        <v/>
      </c>
      <c r="BR79" s="10" t="str" cm="1">
        <f t="array" ref="BR79">IF($BL79&lt;&gt;"",IFERROR(AVERAGE(_xlfn._xlws.FILTER($BD:$BD,($BA:$BA=$BI79)*($BC:$BC=_xlfn.NUMBERVALUE($BL79)))),""),"")</f>
        <v/>
      </c>
      <c r="BS79" s="10" t="str" cm="1">
        <f t="array" ref="BS79">IF($BM79&lt;&gt;"",IFERROR(AVERAGE(_xlfn._xlws.FILTER($BD:$BD,($BA:$BA=$BI79)*($BC:$BC=_xlfn.NUMBERVALUE($BM79)))),""),"")</f>
        <v/>
      </c>
      <c r="BT79" s="10" t="str" cm="1">
        <f t="array" ref="BT79">IF($BN79&lt;&gt;"",IFERROR(AVERAGE(_xlfn._xlws.FILTER($BD:$BD,($BA:$BA=$BI79)*($BC:$BC=_xlfn.NUMBERVALUE($BN79)))),""),"")</f>
        <v/>
      </c>
      <c r="BU79" s="10" t="str" cm="1">
        <f t="array" ref="BU79">IF($BO79&lt;&gt;"",IFERROR(AVERAGE(_xlfn._xlws.FILTER($BD:$BD,($BA:$BA=$BI79)*($BC:$BC=_xlfn.NUMBERVALUE($BO79)))),""),"")</f>
        <v/>
      </c>
      <c r="DL79" s="10" t="str" cm="1">
        <f t="array" ref="DL79">IF($BJ79&lt;&gt;"",IFERROR(AVERAGE(_xlfn._xlws.FILTER($BD:$BD,($BA:$BA=$BI79)*($BC:$BC=_xlfn.NUMBERVALUE($BJ79)))),""),"")</f>
        <v/>
      </c>
      <c r="DM79" s="10" t="str" cm="1">
        <f t="array" ref="DM79">IF($BK79&lt;&gt;"",IFERROR(AVERAGE(_xlfn._xlws.FILTER($BD:$BD,($BA:$BA=$BI79)*($BC:$BC=_xlfn.NUMBERVALUE($BK79)))),""),"")</f>
        <v/>
      </c>
      <c r="DN79" s="10" t="str" cm="1">
        <f t="array" ref="DN79">IF($BL79&lt;&gt;"",IFERROR(AVERAGE(_xlfn._xlws.FILTER($BD:$BD,($BA:$BA=$BI79)*($BC:$BC=_xlfn.NUMBERVALUE($BL79)))),""),"")</f>
        <v/>
      </c>
      <c r="DO79" s="10" t="str" cm="1">
        <f t="array" ref="DO79">IF($BM79&lt;&gt;"",IFERROR(AVERAGE(_xlfn._xlws.FILTER($BD:$BD,($BA:$BA=$BI79)*($BC:$BC=_xlfn.NUMBERVALUE($BM79)))),""),"")</f>
        <v/>
      </c>
      <c r="DP79" s="10" t="str" cm="1">
        <f t="array" ref="DP79">IF($BN79&lt;&gt;"",IFERROR(AVERAGE(_xlfn._xlws.FILTER($BD:$BD,($BA:$BA=$BI79)*($BC:$BC=_xlfn.NUMBERVALUE($BN79)))),""),"")</f>
        <v/>
      </c>
      <c r="DQ79" s="10" t="str" cm="1">
        <f t="array" ref="DQ79">IF($BO79&lt;&gt;"",IFERROR(AVERAGE(_xlfn._xlws.FILTER($BD:$BD,($BA:$BA=$BI79)*($BC:$BC=_xlfn.NUMBERVALUE($BO79)))),""),"")</f>
        <v/>
      </c>
      <c r="DX79" t="str" cm="1">
        <f t="array" ref="DX79">IF($BJ79&lt;&gt;"",IFERROR(AVERAGE(_xlfn._xlws.FILTER($BE:$BE,($BA:$BA=$BI79)*($BC:$BC=_xlfn.NUMBERVALUE($BJ79)))),""),"")</f>
        <v/>
      </c>
      <c r="DY79" s="10" t="str" cm="1">
        <f t="array" ref="DY79">IF($BK79&lt;&gt;"",IFERROR(AVERAGE(_xlfn._xlws.FILTER($BE:$BE,($BA:$BA=$BI79)*($BC:$BC=_xlfn.NUMBERVALUE($BK79)))),""),"")</f>
        <v/>
      </c>
      <c r="DZ79" s="10" t="str" cm="1">
        <f t="array" ref="DZ79">IF($BL79&lt;&gt;"",IFERROR(AVERAGE(_xlfn._xlws.FILTER($BE:$BE,($BA:$BA=$BI79)*($BC:$BC=_xlfn.NUMBERVALUE($BL79)))),""),"")</f>
        <v/>
      </c>
      <c r="EA79" s="10" t="str" cm="1">
        <f t="array" ref="EA79">IF($BM79&lt;&gt;"",IFERROR(AVERAGE(_xlfn._xlws.FILTER($BE:$BE,($BA:$BA=$BI79)*($BC:$BC=_xlfn.NUMBERVALUE($BM79)))),""),"")</f>
        <v/>
      </c>
      <c r="EB79" s="10" t="str" cm="1">
        <f t="array" ref="EB79">IF($BN79&lt;&gt;"",IFERROR(AVERAGE(_xlfn._xlws.FILTER($BE:$BE,($BA:$BA=$BI79)*($BC:$BC=_xlfn.NUMBERVALUE($BN79)))),""),"")</f>
        <v/>
      </c>
      <c r="EC79" s="10" t="str" cm="1">
        <f t="array" ref="EC79">IF($BO79&lt;&gt;"",IFERROR(AVERAGE(_xlfn._xlws.FILTER($BE:$BE,($BA:$BA=$BI79)*($BC:$BC=_xlfn.NUMBERVALUE($BO79)))),""),"")</f>
        <v/>
      </c>
    </row>
    <row r="80" spans="49:133" x14ac:dyDescent="0.3">
      <c r="AW80" s="1">
        <v>4.0999999999999996</v>
      </c>
      <c r="AX80" s="1">
        <v>4.0999999999999996</v>
      </c>
      <c r="AY80" t="str">
        <v>R080_HI782-0_0.0_LOT0428_PW5W.1_QC.xlsx</v>
      </c>
      <c r="AZ80" t="str">
        <v>LOT0428</v>
      </c>
      <c r="BA80" s="3">
        <v>4</v>
      </c>
      <c r="BB80" t="str">
        <v>P/Final</v>
      </c>
      <c r="BC80">
        <v>15</v>
      </c>
      <c r="BD80" s="10">
        <v>15.7</v>
      </c>
      <c r="BE80" s="10">
        <v>0</v>
      </c>
      <c r="BF80" s="10">
        <v>0</v>
      </c>
      <c r="BG80" s="13">
        <v>45330</v>
      </c>
      <c r="BP80" s="10" t="str" cm="1">
        <f t="array" ref="BP80">IF($BJ80&lt;&gt;"",IFERROR(AVERAGE(_xlfn._xlws.FILTER($BD:$BD,($BA:$BA=$BI80)*($BC:$BC=_xlfn.NUMBERVALUE($BJ80)))),""),"")</f>
        <v/>
      </c>
      <c r="BQ80" s="10" t="str" cm="1">
        <f t="array" ref="BQ80">IF($BK80&lt;&gt;"",IFERROR(AVERAGE(_xlfn._xlws.FILTER($BD:$BD,($BA:$BA=$BI80)*($BC:$BC=_xlfn.NUMBERVALUE($BK80)))),""),"")</f>
        <v/>
      </c>
      <c r="BR80" s="10" t="str" cm="1">
        <f t="array" ref="BR80">IF($BL80&lt;&gt;"",IFERROR(AVERAGE(_xlfn._xlws.FILTER($BD:$BD,($BA:$BA=$BI80)*($BC:$BC=_xlfn.NUMBERVALUE($BL80)))),""),"")</f>
        <v/>
      </c>
      <c r="BS80" s="10" t="str" cm="1">
        <f t="array" ref="BS80">IF($BM80&lt;&gt;"",IFERROR(AVERAGE(_xlfn._xlws.FILTER($BD:$BD,($BA:$BA=$BI80)*($BC:$BC=_xlfn.NUMBERVALUE($BM80)))),""),"")</f>
        <v/>
      </c>
      <c r="BT80" s="10" t="str" cm="1">
        <f t="array" ref="BT80">IF($BN80&lt;&gt;"",IFERROR(AVERAGE(_xlfn._xlws.FILTER($BD:$BD,($BA:$BA=$BI80)*($BC:$BC=_xlfn.NUMBERVALUE($BN80)))),""),"")</f>
        <v/>
      </c>
      <c r="BU80" s="10" t="str" cm="1">
        <f t="array" ref="BU80">IF($BO80&lt;&gt;"",IFERROR(AVERAGE(_xlfn._xlws.FILTER($BD:$BD,($BA:$BA=$BI80)*($BC:$BC=_xlfn.NUMBERVALUE($BO80)))),""),"")</f>
        <v/>
      </c>
      <c r="DL80" s="10" t="str" cm="1">
        <f t="array" ref="DL80">IF($BJ80&lt;&gt;"",IFERROR(AVERAGE(_xlfn._xlws.FILTER($BD:$BD,($BA:$BA=$BI80)*($BC:$BC=_xlfn.NUMBERVALUE($BJ80)))),""),"")</f>
        <v/>
      </c>
      <c r="DM80" s="10" t="str" cm="1">
        <f t="array" ref="DM80">IF($BK80&lt;&gt;"",IFERROR(AVERAGE(_xlfn._xlws.FILTER($BD:$BD,($BA:$BA=$BI80)*($BC:$BC=_xlfn.NUMBERVALUE($BK80)))),""),"")</f>
        <v/>
      </c>
      <c r="DN80" s="10" t="str" cm="1">
        <f t="array" ref="DN80">IF($BL80&lt;&gt;"",IFERROR(AVERAGE(_xlfn._xlws.FILTER($BD:$BD,($BA:$BA=$BI80)*($BC:$BC=_xlfn.NUMBERVALUE($BL80)))),""),"")</f>
        <v/>
      </c>
      <c r="DO80" s="10" t="str" cm="1">
        <f t="array" ref="DO80">IF($BM80&lt;&gt;"",IFERROR(AVERAGE(_xlfn._xlws.FILTER($BD:$BD,($BA:$BA=$BI80)*($BC:$BC=_xlfn.NUMBERVALUE($BM80)))),""),"")</f>
        <v/>
      </c>
      <c r="DP80" s="10" t="str" cm="1">
        <f t="array" ref="DP80">IF($BN80&lt;&gt;"",IFERROR(AVERAGE(_xlfn._xlws.FILTER($BD:$BD,($BA:$BA=$BI80)*($BC:$BC=_xlfn.NUMBERVALUE($BN80)))),""),"")</f>
        <v/>
      </c>
      <c r="DQ80" s="10" t="str" cm="1">
        <f t="array" ref="DQ80">IF($BO80&lt;&gt;"",IFERROR(AVERAGE(_xlfn._xlws.FILTER($BD:$BD,($BA:$BA=$BI80)*($BC:$BC=_xlfn.NUMBERVALUE($BO80)))),""),"")</f>
        <v/>
      </c>
      <c r="DX80" t="str" cm="1">
        <f t="array" ref="DX80">IF($BJ80&lt;&gt;"",IFERROR(AVERAGE(_xlfn._xlws.FILTER($BE:$BE,($BA:$BA=$BI80)*($BC:$BC=_xlfn.NUMBERVALUE($BJ80)))),""),"")</f>
        <v/>
      </c>
      <c r="DY80" s="10" t="str" cm="1">
        <f t="array" ref="DY80">IF($BK80&lt;&gt;"",IFERROR(AVERAGE(_xlfn._xlws.FILTER($BE:$BE,($BA:$BA=$BI80)*($BC:$BC=_xlfn.NUMBERVALUE($BK80)))),""),"")</f>
        <v/>
      </c>
      <c r="DZ80" s="10" t="str" cm="1">
        <f t="array" ref="DZ80">IF($BL80&lt;&gt;"",IFERROR(AVERAGE(_xlfn._xlws.FILTER($BE:$BE,($BA:$BA=$BI80)*($BC:$BC=_xlfn.NUMBERVALUE($BL80)))),""),"")</f>
        <v/>
      </c>
      <c r="EA80" s="10" t="str" cm="1">
        <f t="array" ref="EA80">IF($BM80&lt;&gt;"",IFERROR(AVERAGE(_xlfn._xlws.FILTER($BE:$BE,($BA:$BA=$BI80)*($BC:$BC=_xlfn.NUMBERVALUE($BM80)))),""),"")</f>
        <v/>
      </c>
      <c r="EB80" s="10" t="str" cm="1">
        <f t="array" ref="EB80">IF($BN80&lt;&gt;"",IFERROR(AVERAGE(_xlfn._xlws.FILTER($BE:$BE,($BA:$BA=$BI80)*($BC:$BC=_xlfn.NUMBERVALUE($BN80)))),""),"")</f>
        <v/>
      </c>
      <c r="EC80" s="10" t="str" cm="1">
        <f t="array" ref="EC80">IF($BO80&lt;&gt;"",IFERROR(AVERAGE(_xlfn._xlws.FILTER($BE:$BE,($BA:$BA=$BI80)*($BC:$BC=_xlfn.NUMBERVALUE($BO80)))),""),"")</f>
        <v/>
      </c>
    </row>
    <row r="81" spans="49:133" x14ac:dyDescent="0.3">
      <c r="AW81" s="1">
        <v>4.0999999999999996</v>
      </c>
      <c r="AX81" s="1">
        <v>4.0999999999999996</v>
      </c>
      <c r="AY81" t="str">
        <v>R080_HI782-0_0.0_LOT0428_PW5W.1_QC.xlsx</v>
      </c>
      <c r="AZ81" t="str">
        <v>LOT0428</v>
      </c>
      <c r="BA81" s="3">
        <v>4</v>
      </c>
      <c r="BB81" t="str">
        <v>P/Final</v>
      </c>
      <c r="BC81">
        <v>15</v>
      </c>
      <c r="BD81" s="10">
        <v>15.4</v>
      </c>
      <c r="BE81" s="10">
        <v>0</v>
      </c>
      <c r="BF81" s="10">
        <v>0</v>
      </c>
      <c r="BG81" s="13">
        <v>45330</v>
      </c>
      <c r="BP81" s="10" t="str" cm="1">
        <f t="array" ref="BP81">IF($BJ81&lt;&gt;"",IFERROR(AVERAGE(_xlfn._xlws.FILTER($BD:$BD,($BA:$BA=$BI81)*($BC:$BC=_xlfn.NUMBERVALUE($BJ81)))),""),"")</f>
        <v/>
      </c>
      <c r="BQ81" s="10" t="str" cm="1">
        <f t="array" ref="BQ81">IF($BK81&lt;&gt;"",IFERROR(AVERAGE(_xlfn._xlws.FILTER($BD:$BD,($BA:$BA=$BI81)*($BC:$BC=_xlfn.NUMBERVALUE($BK81)))),""),"")</f>
        <v/>
      </c>
      <c r="BR81" s="10" t="str" cm="1">
        <f t="array" ref="BR81">IF($BL81&lt;&gt;"",IFERROR(AVERAGE(_xlfn._xlws.FILTER($BD:$BD,($BA:$BA=$BI81)*($BC:$BC=_xlfn.NUMBERVALUE($BL81)))),""),"")</f>
        <v/>
      </c>
      <c r="BS81" s="10" t="str" cm="1">
        <f t="array" ref="BS81">IF($BM81&lt;&gt;"",IFERROR(AVERAGE(_xlfn._xlws.FILTER($BD:$BD,($BA:$BA=$BI81)*($BC:$BC=_xlfn.NUMBERVALUE($BM81)))),""),"")</f>
        <v/>
      </c>
      <c r="BT81" s="10" t="str" cm="1">
        <f t="array" ref="BT81">IF($BN81&lt;&gt;"",IFERROR(AVERAGE(_xlfn._xlws.FILTER($BD:$BD,($BA:$BA=$BI81)*($BC:$BC=_xlfn.NUMBERVALUE($BN81)))),""),"")</f>
        <v/>
      </c>
      <c r="BU81" s="10" t="str" cm="1">
        <f t="array" ref="BU81">IF($BO81&lt;&gt;"",IFERROR(AVERAGE(_xlfn._xlws.FILTER($BD:$BD,($BA:$BA=$BI81)*($BC:$BC=_xlfn.NUMBERVALUE($BO81)))),""),"")</f>
        <v/>
      </c>
      <c r="DL81" s="10" t="str" cm="1">
        <f t="array" ref="DL81">IF($BJ81&lt;&gt;"",IFERROR(AVERAGE(_xlfn._xlws.FILTER($BD:$BD,($BA:$BA=$BI81)*($BC:$BC=_xlfn.NUMBERVALUE($BJ81)))),""),"")</f>
        <v/>
      </c>
      <c r="DM81" s="10" t="str" cm="1">
        <f t="array" ref="DM81">IF($BK81&lt;&gt;"",IFERROR(AVERAGE(_xlfn._xlws.FILTER($BD:$BD,($BA:$BA=$BI81)*($BC:$BC=_xlfn.NUMBERVALUE($BK81)))),""),"")</f>
        <v/>
      </c>
      <c r="DN81" s="10" t="str" cm="1">
        <f t="array" ref="DN81">IF($BL81&lt;&gt;"",IFERROR(AVERAGE(_xlfn._xlws.FILTER($BD:$BD,($BA:$BA=$BI81)*($BC:$BC=_xlfn.NUMBERVALUE($BL81)))),""),"")</f>
        <v/>
      </c>
      <c r="DO81" s="10" t="str" cm="1">
        <f t="array" ref="DO81">IF($BM81&lt;&gt;"",IFERROR(AVERAGE(_xlfn._xlws.FILTER($BD:$BD,($BA:$BA=$BI81)*($BC:$BC=_xlfn.NUMBERVALUE($BM81)))),""),"")</f>
        <v/>
      </c>
      <c r="DP81" s="10" t="str" cm="1">
        <f t="array" ref="DP81">IF($BN81&lt;&gt;"",IFERROR(AVERAGE(_xlfn._xlws.FILTER($BD:$BD,($BA:$BA=$BI81)*($BC:$BC=_xlfn.NUMBERVALUE($BN81)))),""),"")</f>
        <v/>
      </c>
      <c r="DQ81" s="10" t="str" cm="1">
        <f t="array" ref="DQ81">IF($BO81&lt;&gt;"",IFERROR(AVERAGE(_xlfn._xlws.FILTER($BD:$BD,($BA:$BA=$BI81)*($BC:$BC=_xlfn.NUMBERVALUE($BO81)))),""),"")</f>
        <v/>
      </c>
      <c r="DX81" t="str" cm="1">
        <f t="array" ref="DX81">IF($BJ81&lt;&gt;"",IFERROR(AVERAGE(_xlfn._xlws.FILTER($BE:$BE,($BA:$BA=$BI81)*($BC:$BC=_xlfn.NUMBERVALUE($BJ81)))),""),"")</f>
        <v/>
      </c>
      <c r="DY81" s="10" t="str" cm="1">
        <f t="array" ref="DY81">IF($BK81&lt;&gt;"",IFERROR(AVERAGE(_xlfn._xlws.FILTER($BE:$BE,($BA:$BA=$BI81)*($BC:$BC=_xlfn.NUMBERVALUE($BK81)))),""),"")</f>
        <v/>
      </c>
      <c r="DZ81" s="10" t="str" cm="1">
        <f t="array" ref="DZ81">IF($BL81&lt;&gt;"",IFERROR(AVERAGE(_xlfn._xlws.FILTER($BE:$BE,($BA:$BA=$BI81)*($BC:$BC=_xlfn.NUMBERVALUE($BL81)))),""),"")</f>
        <v/>
      </c>
      <c r="EA81" s="10" t="str" cm="1">
        <f t="array" ref="EA81">IF($BM81&lt;&gt;"",IFERROR(AVERAGE(_xlfn._xlws.FILTER($BE:$BE,($BA:$BA=$BI81)*($BC:$BC=_xlfn.NUMBERVALUE($BM81)))),""),"")</f>
        <v/>
      </c>
      <c r="EB81" s="10" t="str" cm="1">
        <f t="array" ref="EB81">IF($BN81&lt;&gt;"",IFERROR(AVERAGE(_xlfn._xlws.FILTER($BE:$BE,($BA:$BA=$BI81)*($BC:$BC=_xlfn.NUMBERVALUE($BN81)))),""),"")</f>
        <v/>
      </c>
      <c r="EC81" s="10" t="str" cm="1">
        <f t="array" ref="EC81">IF($BO81&lt;&gt;"",IFERROR(AVERAGE(_xlfn._xlws.FILTER($BE:$BE,($BA:$BA=$BI81)*($BC:$BC=_xlfn.NUMBERVALUE($BO81)))),""),"")</f>
        <v/>
      </c>
    </row>
    <row r="82" spans="49:133" x14ac:dyDescent="0.3">
      <c r="AW82" s="1">
        <v>4.0999999999999996</v>
      </c>
      <c r="AX82" s="1">
        <v>4.0999999999999996</v>
      </c>
      <c r="AY82" t="str">
        <v>R080_HI782-0_0.0_LOT0428_PW5W.1_QC.xlsx</v>
      </c>
      <c r="AZ82" t="str">
        <v>LOT0428</v>
      </c>
      <c r="BA82" s="3">
        <v>4</v>
      </c>
      <c r="BB82" t="str">
        <v>P/Final</v>
      </c>
      <c r="BC82">
        <v>15</v>
      </c>
      <c r="BD82" s="10">
        <v>16.2</v>
      </c>
      <c r="BE82" s="10">
        <v>0</v>
      </c>
      <c r="BF82" s="10">
        <v>0</v>
      </c>
      <c r="BG82" s="13">
        <v>45330</v>
      </c>
      <c r="BP82" s="10" t="str" cm="1">
        <f t="array" ref="BP82">IF($BJ82&lt;&gt;"",IFERROR(AVERAGE(_xlfn._xlws.FILTER($BD:$BD,($BA:$BA=$BI82)*($BC:$BC=_xlfn.NUMBERVALUE($BJ82)))),""),"")</f>
        <v/>
      </c>
      <c r="BQ82" s="10" t="str" cm="1">
        <f t="array" ref="BQ82">IF($BK82&lt;&gt;"",IFERROR(AVERAGE(_xlfn._xlws.FILTER($BD:$BD,($BA:$BA=$BI82)*($BC:$BC=_xlfn.NUMBERVALUE($BK82)))),""),"")</f>
        <v/>
      </c>
      <c r="BR82" s="10" t="str" cm="1">
        <f t="array" ref="BR82">IF($BL82&lt;&gt;"",IFERROR(AVERAGE(_xlfn._xlws.FILTER($BD:$BD,($BA:$BA=$BI82)*($BC:$BC=_xlfn.NUMBERVALUE($BL82)))),""),"")</f>
        <v/>
      </c>
      <c r="BS82" s="10" t="str" cm="1">
        <f t="array" ref="BS82">IF($BM82&lt;&gt;"",IFERROR(AVERAGE(_xlfn._xlws.FILTER($BD:$BD,($BA:$BA=$BI82)*($BC:$BC=_xlfn.NUMBERVALUE($BM82)))),""),"")</f>
        <v/>
      </c>
      <c r="BT82" s="10" t="str" cm="1">
        <f t="array" ref="BT82">IF($BN82&lt;&gt;"",IFERROR(AVERAGE(_xlfn._xlws.FILTER($BD:$BD,($BA:$BA=$BI82)*($BC:$BC=_xlfn.NUMBERVALUE($BN82)))),""),"")</f>
        <v/>
      </c>
      <c r="BU82" s="10" t="str" cm="1">
        <f t="array" ref="BU82">IF($BO82&lt;&gt;"",IFERROR(AVERAGE(_xlfn._xlws.FILTER($BD:$BD,($BA:$BA=$BI82)*($BC:$BC=_xlfn.NUMBERVALUE($BO82)))),""),"")</f>
        <v/>
      </c>
      <c r="DL82" s="10" t="str" cm="1">
        <f t="array" ref="DL82">IF($BJ82&lt;&gt;"",IFERROR(AVERAGE(_xlfn._xlws.FILTER($BD:$BD,($BA:$BA=$BI82)*($BC:$BC=_xlfn.NUMBERVALUE($BJ82)))),""),"")</f>
        <v/>
      </c>
      <c r="DM82" s="10" t="str" cm="1">
        <f t="array" ref="DM82">IF($BK82&lt;&gt;"",IFERROR(AVERAGE(_xlfn._xlws.FILTER($BD:$BD,($BA:$BA=$BI82)*($BC:$BC=_xlfn.NUMBERVALUE($BK82)))),""),"")</f>
        <v/>
      </c>
      <c r="DN82" s="10" t="str" cm="1">
        <f t="array" ref="DN82">IF($BL82&lt;&gt;"",IFERROR(AVERAGE(_xlfn._xlws.FILTER($BD:$BD,($BA:$BA=$BI82)*($BC:$BC=_xlfn.NUMBERVALUE($BL82)))),""),"")</f>
        <v/>
      </c>
      <c r="DO82" s="10" t="str" cm="1">
        <f t="array" ref="DO82">IF($BM82&lt;&gt;"",IFERROR(AVERAGE(_xlfn._xlws.FILTER($BD:$BD,($BA:$BA=$BI82)*($BC:$BC=_xlfn.NUMBERVALUE($BM82)))),""),"")</f>
        <v/>
      </c>
      <c r="DP82" s="10" t="str" cm="1">
        <f t="array" ref="DP82">IF($BN82&lt;&gt;"",IFERROR(AVERAGE(_xlfn._xlws.FILTER($BD:$BD,($BA:$BA=$BI82)*($BC:$BC=_xlfn.NUMBERVALUE($BN82)))),""),"")</f>
        <v/>
      </c>
      <c r="DQ82" s="10" t="str" cm="1">
        <f t="array" ref="DQ82">IF($BO82&lt;&gt;"",IFERROR(AVERAGE(_xlfn._xlws.FILTER($BD:$BD,($BA:$BA=$BI82)*($BC:$BC=_xlfn.NUMBERVALUE($BO82)))),""),"")</f>
        <v/>
      </c>
      <c r="DX82" t="str" cm="1">
        <f t="array" ref="DX82">IF($BJ82&lt;&gt;"",IFERROR(AVERAGE(_xlfn._xlws.FILTER($BE:$BE,($BA:$BA=$BI82)*($BC:$BC=_xlfn.NUMBERVALUE($BJ82)))),""),"")</f>
        <v/>
      </c>
      <c r="DY82" s="10" t="str" cm="1">
        <f t="array" ref="DY82">IF($BK82&lt;&gt;"",IFERROR(AVERAGE(_xlfn._xlws.FILTER($BE:$BE,($BA:$BA=$BI82)*($BC:$BC=_xlfn.NUMBERVALUE($BK82)))),""),"")</f>
        <v/>
      </c>
      <c r="DZ82" s="10" t="str" cm="1">
        <f t="array" ref="DZ82">IF($BL82&lt;&gt;"",IFERROR(AVERAGE(_xlfn._xlws.FILTER($BE:$BE,($BA:$BA=$BI82)*($BC:$BC=_xlfn.NUMBERVALUE($BL82)))),""),"")</f>
        <v/>
      </c>
      <c r="EA82" s="10" t="str" cm="1">
        <f t="array" ref="EA82">IF($BM82&lt;&gt;"",IFERROR(AVERAGE(_xlfn._xlws.FILTER($BE:$BE,($BA:$BA=$BI82)*($BC:$BC=_xlfn.NUMBERVALUE($BM82)))),""),"")</f>
        <v/>
      </c>
      <c r="EB82" s="10" t="str" cm="1">
        <f t="array" ref="EB82">IF($BN82&lt;&gt;"",IFERROR(AVERAGE(_xlfn._xlws.FILTER($BE:$BE,($BA:$BA=$BI82)*($BC:$BC=_xlfn.NUMBERVALUE($BN82)))),""),"")</f>
        <v/>
      </c>
      <c r="EC82" s="10" t="str" cm="1">
        <f t="array" ref="EC82">IF($BO82&lt;&gt;"",IFERROR(AVERAGE(_xlfn._xlws.FILTER($BE:$BE,($BA:$BA=$BI82)*($BC:$BC=_xlfn.NUMBERVALUE($BO82)))),""),"")</f>
        <v/>
      </c>
    </row>
    <row r="83" spans="49:133" x14ac:dyDescent="0.3">
      <c r="AW83" s="1">
        <v>4.0999999999999996</v>
      </c>
      <c r="AX83" s="1">
        <v>4.0999999999999996</v>
      </c>
      <c r="AY83" t="str">
        <v>R080_HI782-0_0.0_LOT0428_PW5W.1_QC.xlsx</v>
      </c>
      <c r="AZ83" t="str">
        <v>LOT0428</v>
      </c>
      <c r="BA83" s="3">
        <v>4</v>
      </c>
      <c r="BB83" t="str">
        <v>P/Final</v>
      </c>
      <c r="BC83">
        <v>15</v>
      </c>
      <c r="BD83" s="10">
        <v>15.4</v>
      </c>
      <c r="BE83" s="10">
        <v>0</v>
      </c>
      <c r="BF83" s="10">
        <v>0</v>
      </c>
      <c r="BG83" s="13">
        <v>45330</v>
      </c>
      <c r="BP83" s="10" t="str" cm="1">
        <f t="array" ref="BP83">IF($BJ83&lt;&gt;"",IFERROR(AVERAGE(_xlfn._xlws.FILTER($BD:$BD,($BA:$BA=$BI83)*($BC:$BC=_xlfn.NUMBERVALUE($BJ83)))),""),"")</f>
        <v/>
      </c>
      <c r="BQ83" s="10" t="str" cm="1">
        <f t="array" ref="BQ83">IF($BK83&lt;&gt;"",IFERROR(AVERAGE(_xlfn._xlws.FILTER($BD:$BD,($BA:$BA=$BI83)*($BC:$BC=_xlfn.NUMBERVALUE($BK83)))),""),"")</f>
        <v/>
      </c>
      <c r="BR83" s="10" t="str" cm="1">
        <f t="array" ref="BR83">IF($BL83&lt;&gt;"",IFERROR(AVERAGE(_xlfn._xlws.FILTER($BD:$BD,($BA:$BA=$BI83)*($BC:$BC=_xlfn.NUMBERVALUE($BL83)))),""),"")</f>
        <v/>
      </c>
      <c r="BS83" s="10" t="str" cm="1">
        <f t="array" ref="BS83">IF($BM83&lt;&gt;"",IFERROR(AVERAGE(_xlfn._xlws.FILTER($BD:$BD,($BA:$BA=$BI83)*($BC:$BC=_xlfn.NUMBERVALUE($BM83)))),""),"")</f>
        <v/>
      </c>
      <c r="BT83" s="10" t="str" cm="1">
        <f t="array" ref="BT83">IF($BN83&lt;&gt;"",IFERROR(AVERAGE(_xlfn._xlws.FILTER($BD:$BD,($BA:$BA=$BI83)*($BC:$BC=_xlfn.NUMBERVALUE($BN83)))),""),"")</f>
        <v/>
      </c>
      <c r="BU83" s="10" t="str" cm="1">
        <f t="array" ref="BU83">IF($BO83&lt;&gt;"",IFERROR(AVERAGE(_xlfn._xlws.FILTER($BD:$BD,($BA:$BA=$BI83)*($BC:$BC=_xlfn.NUMBERVALUE($BO83)))),""),"")</f>
        <v/>
      </c>
      <c r="DL83" s="10" t="str" cm="1">
        <f t="array" ref="DL83">IF($BJ83&lt;&gt;"",IFERROR(AVERAGE(_xlfn._xlws.FILTER($BD:$BD,($BA:$BA=$BI83)*($BC:$BC=_xlfn.NUMBERVALUE($BJ83)))),""),"")</f>
        <v/>
      </c>
      <c r="DM83" s="10" t="str" cm="1">
        <f t="array" ref="DM83">IF($BK83&lt;&gt;"",IFERROR(AVERAGE(_xlfn._xlws.FILTER($BD:$BD,($BA:$BA=$BI83)*($BC:$BC=_xlfn.NUMBERVALUE($BK83)))),""),"")</f>
        <v/>
      </c>
      <c r="DN83" s="10" t="str" cm="1">
        <f t="array" ref="DN83">IF($BL83&lt;&gt;"",IFERROR(AVERAGE(_xlfn._xlws.FILTER($BD:$BD,($BA:$BA=$BI83)*($BC:$BC=_xlfn.NUMBERVALUE($BL83)))),""),"")</f>
        <v/>
      </c>
      <c r="DO83" s="10" t="str" cm="1">
        <f t="array" ref="DO83">IF($BM83&lt;&gt;"",IFERROR(AVERAGE(_xlfn._xlws.FILTER($BD:$BD,($BA:$BA=$BI83)*($BC:$BC=_xlfn.NUMBERVALUE($BM83)))),""),"")</f>
        <v/>
      </c>
      <c r="DP83" s="10" t="str" cm="1">
        <f t="array" ref="DP83">IF($BN83&lt;&gt;"",IFERROR(AVERAGE(_xlfn._xlws.FILTER($BD:$BD,($BA:$BA=$BI83)*($BC:$BC=_xlfn.NUMBERVALUE($BN83)))),""),"")</f>
        <v/>
      </c>
      <c r="DQ83" s="10" t="str" cm="1">
        <f t="array" ref="DQ83">IF($BO83&lt;&gt;"",IFERROR(AVERAGE(_xlfn._xlws.FILTER($BD:$BD,($BA:$BA=$BI83)*($BC:$BC=_xlfn.NUMBERVALUE($BO83)))),""),"")</f>
        <v/>
      </c>
      <c r="DX83" t="str" cm="1">
        <f t="array" ref="DX83">IF($BJ83&lt;&gt;"",IFERROR(AVERAGE(_xlfn._xlws.FILTER($BE:$BE,($BA:$BA=$BI83)*($BC:$BC=_xlfn.NUMBERVALUE($BJ83)))),""),"")</f>
        <v/>
      </c>
      <c r="DY83" s="10" t="str" cm="1">
        <f t="array" ref="DY83">IF($BK83&lt;&gt;"",IFERROR(AVERAGE(_xlfn._xlws.FILTER($BE:$BE,($BA:$BA=$BI83)*($BC:$BC=_xlfn.NUMBERVALUE($BK83)))),""),"")</f>
        <v/>
      </c>
      <c r="DZ83" s="10" t="str" cm="1">
        <f t="array" ref="DZ83">IF($BL83&lt;&gt;"",IFERROR(AVERAGE(_xlfn._xlws.FILTER($BE:$BE,($BA:$BA=$BI83)*($BC:$BC=_xlfn.NUMBERVALUE($BL83)))),""),"")</f>
        <v/>
      </c>
      <c r="EA83" s="10" t="str" cm="1">
        <f t="array" ref="EA83">IF($BM83&lt;&gt;"",IFERROR(AVERAGE(_xlfn._xlws.FILTER($BE:$BE,($BA:$BA=$BI83)*($BC:$BC=_xlfn.NUMBERVALUE($BM83)))),""),"")</f>
        <v/>
      </c>
      <c r="EB83" s="10" t="str" cm="1">
        <f t="array" ref="EB83">IF($BN83&lt;&gt;"",IFERROR(AVERAGE(_xlfn._xlws.FILTER($BE:$BE,($BA:$BA=$BI83)*($BC:$BC=_xlfn.NUMBERVALUE($BN83)))),""),"")</f>
        <v/>
      </c>
      <c r="EC83" s="10" t="str" cm="1">
        <f t="array" ref="EC83">IF($BO83&lt;&gt;"",IFERROR(AVERAGE(_xlfn._xlws.FILTER($BE:$BE,($BA:$BA=$BI83)*($BC:$BC=_xlfn.NUMBERVALUE($BO83)))),""),"")</f>
        <v/>
      </c>
    </row>
    <row r="84" spans="49:133" x14ac:dyDescent="0.3">
      <c r="AW84" s="1">
        <v>4.0999999999999996</v>
      </c>
      <c r="AX84" s="1">
        <v>4.0999999999999996</v>
      </c>
      <c r="AY84" t="str">
        <v>R080_HI782-0_0.0_LOT0428_PW5W.1_QC.xlsx</v>
      </c>
      <c r="AZ84" t="str">
        <v>LOT0428</v>
      </c>
      <c r="BA84" s="3">
        <v>4</v>
      </c>
      <c r="BB84" t="str">
        <v>P/Final</v>
      </c>
      <c r="BC84">
        <v>15</v>
      </c>
      <c r="BD84" s="10">
        <v>15.9</v>
      </c>
      <c r="BE84" s="10">
        <v>0</v>
      </c>
      <c r="BF84" s="10">
        <v>0</v>
      </c>
      <c r="BG84" s="13">
        <v>45330</v>
      </c>
      <c r="BP84" s="10" t="str" cm="1">
        <f t="array" ref="BP84">IF($BJ84&lt;&gt;"",IFERROR(AVERAGE(_xlfn._xlws.FILTER($BD:$BD,($BA:$BA=$BI84)*($BC:$BC=_xlfn.NUMBERVALUE($BJ84)))),""),"")</f>
        <v/>
      </c>
      <c r="BQ84" s="10" t="str" cm="1">
        <f t="array" ref="BQ84">IF($BK84&lt;&gt;"",IFERROR(AVERAGE(_xlfn._xlws.FILTER($BD:$BD,($BA:$BA=$BI84)*($BC:$BC=_xlfn.NUMBERVALUE($BK84)))),""),"")</f>
        <v/>
      </c>
      <c r="BR84" s="10" t="str" cm="1">
        <f t="array" ref="BR84">IF($BL84&lt;&gt;"",IFERROR(AVERAGE(_xlfn._xlws.FILTER($BD:$BD,($BA:$BA=$BI84)*($BC:$BC=_xlfn.NUMBERVALUE($BL84)))),""),"")</f>
        <v/>
      </c>
      <c r="BS84" s="10" t="str" cm="1">
        <f t="array" ref="BS84">IF($BM84&lt;&gt;"",IFERROR(AVERAGE(_xlfn._xlws.FILTER($BD:$BD,($BA:$BA=$BI84)*($BC:$BC=_xlfn.NUMBERVALUE($BM84)))),""),"")</f>
        <v/>
      </c>
      <c r="BT84" s="10" t="str" cm="1">
        <f t="array" ref="BT84">IF($BN84&lt;&gt;"",IFERROR(AVERAGE(_xlfn._xlws.FILTER($BD:$BD,($BA:$BA=$BI84)*($BC:$BC=_xlfn.NUMBERVALUE($BN84)))),""),"")</f>
        <v/>
      </c>
      <c r="BU84" s="10" t="str" cm="1">
        <f t="array" ref="BU84">IF($BO84&lt;&gt;"",IFERROR(AVERAGE(_xlfn._xlws.FILTER($BD:$BD,($BA:$BA=$BI84)*($BC:$BC=_xlfn.NUMBERVALUE($BO84)))),""),"")</f>
        <v/>
      </c>
      <c r="DL84" s="10" t="str" cm="1">
        <f t="array" ref="DL84">IF($BJ84&lt;&gt;"",IFERROR(AVERAGE(_xlfn._xlws.FILTER($BD:$BD,($BA:$BA=$BI84)*($BC:$BC=_xlfn.NUMBERVALUE($BJ84)))),""),"")</f>
        <v/>
      </c>
      <c r="DM84" s="10" t="str" cm="1">
        <f t="array" ref="DM84">IF($BK84&lt;&gt;"",IFERROR(AVERAGE(_xlfn._xlws.FILTER($BD:$BD,($BA:$BA=$BI84)*($BC:$BC=_xlfn.NUMBERVALUE($BK84)))),""),"")</f>
        <v/>
      </c>
      <c r="DN84" s="10" t="str" cm="1">
        <f t="array" ref="DN84">IF($BL84&lt;&gt;"",IFERROR(AVERAGE(_xlfn._xlws.FILTER($BD:$BD,($BA:$BA=$BI84)*($BC:$BC=_xlfn.NUMBERVALUE($BL84)))),""),"")</f>
        <v/>
      </c>
      <c r="DO84" s="10" t="str" cm="1">
        <f t="array" ref="DO84">IF($BM84&lt;&gt;"",IFERROR(AVERAGE(_xlfn._xlws.FILTER($BD:$BD,($BA:$BA=$BI84)*($BC:$BC=_xlfn.NUMBERVALUE($BM84)))),""),"")</f>
        <v/>
      </c>
      <c r="DP84" s="10" t="str" cm="1">
        <f t="array" ref="DP84">IF($BN84&lt;&gt;"",IFERROR(AVERAGE(_xlfn._xlws.FILTER($BD:$BD,($BA:$BA=$BI84)*($BC:$BC=_xlfn.NUMBERVALUE($BN84)))),""),"")</f>
        <v/>
      </c>
      <c r="DQ84" s="10" t="str" cm="1">
        <f t="array" ref="DQ84">IF($BO84&lt;&gt;"",IFERROR(AVERAGE(_xlfn._xlws.FILTER($BD:$BD,($BA:$BA=$BI84)*($BC:$BC=_xlfn.NUMBERVALUE($BO84)))),""),"")</f>
        <v/>
      </c>
      <c r="DX84" t="str" cm="1">
        <f t="array" ref="DX84">IF($BJ84&lt;&gt;"",IFERROR(AVERAGE(_xlfn._xlws.FILTER($BE:$BE,($BA:$BA=$BI84)*($BC:$BC=_xlfn.NUMBERVALUE($BJ84)))),""),"")</f>
        <v/>
      </c>
      <c r="DY84" s="10" t="str" cm="1">
        <f t="array" ref="DY84">IF($BK84&lt;&gt;"",IFERROR(AVERAGE(_xlfn._xlws.FILTER($BE:$BE,($BA:$BA=$BI84)*($BC:$BC=_xlfn.NUMBERVALUE($BK84)))),""),"")</f>
        <v/>
      </c>
      <c r="DZ84" s="10" t="str" cm="1">
        <f t="array" ref="DZ84">IF($BL84&lt;&gt;"",IFERROR(AVERAGE(_xlfn._xlws.FILTER($BE:$BE,($BA:$BA=$BI84)*($BC:$BC=_xlfn.NUMBERVALUE($BL84)))),""),"")</f>
        <v/>
      </c>
      <c r="EA84" s="10" t="str" cm="1">
        <f t="array" ref="EA84">IF($BM84&lt;&gt;"",IFERROR(AVERAGE(_xlfn._xlws.FILTER($BE:$BE,($BA:$BA=$BI84)*($BC:$BC=_xlfn.NUMBERVALUE($BM84)))),""),"")</f>
        <v/>
      </c>
      <c r="EB84" s="10" t="str" cm="1">
        <f t="array" ref="EB84">IF($BN84&lt;&gt;"",IFERROR(AVERAGE(_xlfn._xlws.FILTER($BE:$BE,($BA:$BA=$BI84)*($BC:$BC=_xlfn.NUMBERVALUE($BN84)))),""),"")</f>
        <v/>
      </c>
      <c r="EC84" s="10" t="str" cm="1">
        <f t="array" ref="EC84">IF($BO84&lt;&gt;"",IFERROR(AVERAGE(_xlfn._xlws.FILTER($BE:$BE,($BA:$BA=$BI84)*($BC:$BC=_xlfn.NUMBERVALUE($BO84)))),""),"")</f>
        <v/>
      </c>
    </row>
    <row r="85" spans="49:133" x14ac:dyDescent="0.3">
      <c r="AW85" s="1">
        <v>4.0999999999999996</v>
      </c>
      <c r="AX85" s="1">
        <v>4.0999999999999996</v>
      </c>
      <c r="AY85" t="str">
        <v>R080_HI782-0_0.0_LOT0428_PW5W.1_QC.xlsx</v>
      </c>
      <c r="AZ85" t="str">
        <v>LOT0428</v>
      </c>
      <c r="BA85" s="3">
        <v>4</v>
      </c>
      <c r="BB85" t="str">
        <v>P/Final</v>
      </c>
      <c r="BC85">
        <v>15</v>
      </c>
      <c r="BD85" s="10">
        <v>14.9</v>
      </c>
      <c r="BE85" s="10">
        <v>0</v>
      </c>
      <c r="BF85" s="10">
        <v>0</v>
      </c>
      <c r="BG85" s="13">
        <v>45330</v>
      </c>
      <c r="BP85" s="10" t="str" cm="1">
        <f t="array" ref="BP85">IF($BJ85&lt;&gt;"",IFERROR(AVERAGE(_xlfn._xlws.FILTER($BD:$BD,($BA:$BA=$BI85)*($BC:$BC=_xlfn.NUMBERVALUE($BJ85)))),""),"")</f>
        <v/>
      </c>
      <c r="BQ85" s="10" t="str" cm="1">
        <f t="array" ref="BQ85">IF($BK85&lt;&gt;"",IFERROR(AVERAGE(_xlfn._xlws.FILTER($BD:$BD,($BA:$BA=$BI85)*($BC:$BC=_xlfn.NUMBERVALUE($BK85)))),""),"")</f>
        <v/>
      </c>
      <c r="BR85" s="10" t="str" cm="1">
        <f t="array" ref="BR85">IF($BL85&lt;&gt;"",IFERROR(AVERAGE(_xlfn._xlws.FILTER($BD:$BD,($BA:$BA=$BI85)*($BC:$BC=_xlfn.NUMBERVALUE($BL85)))),""),"")</f>
        <v/>
      </c>
      <c r="BS85" s="10" t="str" cm="1">
        <f t="array" ref="BS85">IF($BM85&lt;&gt;"",IFERROR(AVERAGE(_xlfn._xlws.FILTER($BD:$BD,($BA:$BA=$BI85)*($BC:$BC=_xlfn.NUMBERVALUE($BM85)))),""),"")</f>
        <v/>
      </c>
      <c r="BT85" s="10" t="str" cm="1">
        <f t="array" ref="BT85">IF($BN85&lt;&gt;"",IFERROR(AVERAGE(_xlfn._xlws.FILTER($BD:$BD,($BA:$BA=$BI85)*($BC:$BC=_xlfn.NUMBERVALUE($BN85)))),""),"")</f>
        <v/>
      </c>
      <c r="BU85" s="10" t="str" cm="1">
        <f t="array" ref="BU85">IF($BO85&lt;&gt;"",IFERROR(AVERAGE(_xlfn._xlws.FILTER($BD:$BD,($BA:$BA=$BI85)*($BC:$BC=_xlfn.NUMBERVALUE($BO85)))),""),"")</f>
        <v/>
      </c>
      <c r="DL85" s="10" t="str" cm="1">
        <f t="array" ref="DL85">IF($BJ85&lt;&gt;"",IFERROR(AVERAGE(_xlfn._xlws.FILTER($BD:$BD,($BA:$BA=$BI85)*($BC:$BC=_xlfn.NUMBERVALUE($BJ85)))),""),"")</f>
        <v/>
      </c>
      <c r="DM85" s="10" t="str" cm="1">
        <f t="array" ref="DM85">IF($BK85&lt;&gt;"",IFERROR(AVERAGE(_xlfn._xlws.FILTER($BD:$BD,($BA:$BA=$BI85)*($BC:$BC=_xlfn.NUMBERVALUE($BK85)))),""),"")</f>
        <v/>
      </c>
      <c r="DN85" s="10" t="str" cm="1">
        <f t="array" ref="DN85">IF($BL85&lt;&gt;"",IFERROR(AVERAGE(_xlfn._xlws.FILTER($BD:$BD,($BA:$BA=$BI85)*($BC:$BC=_xlfn.NUMBERVALUE($BL85)))),""),"")</f>
        <v/>
      </c>
      <c r="DO85" s="10" t="str" cm="1">
        <f t="array" ref="DO85">IF($BM85&lt;&gt;"",IFERROR(AVERAGE(_xlfn._xlws.FILTER($BD:$BD,($BA:$BA=$BI85)*($BC:$BC=_xlfn.NUMBERVALUE($BM85)))),""),"")</f>
        <v/>
      </c>
      <c r="DP85" s="10" t="str" cm="1">
        <f t="array" ref="DP85">IF($BN85&lt;&gt;"",IFERROR(AVERAGE(_xlfn._xlws.FILTER($BD:$BD,($BA:$BA=$BI85)*($BC:$BC=_xlfn.NUMBERVALUE($BN85)))),""),"")</f>
        <v/>
      </c>
      <c r="DQ85" s="10" t="str" cm="1">
        <f t="array" ref="DQ85">IF($BO85&lt;&gt;"",IFERROR(AVERAGE(_xlfn._xlws.FILTER($BD:$BD,($BA:$BA=$BI85)*($BC:$BC=_xlfn.NUMBERVALUE($BO85)))),""),"")</f>
        <v/>
      </c>
      <c r="DX85" t="str" cm="1">
        <f t="array" ref="DX85">IF($BJ85&lt;&gt;"",IFERROR(AVERAGE(_xlfn._xlws.FILTER($BE:$BE,($BA:$BA=$BI85)*($BC:$BC=_xlfn.NUMBERVALUE($BJ85)))),""),"")</f>
        <v/>
      </c>
      <c r="DY85" s="10" t="str" cm="1">
        <f t="array" ref="DY85">IF($BK85&lt;&gt;"",IFERROR(AVERAGE(_xlfn._xlws.FILTER($BE:$BE,($BA:$BA=$BI85)*($BC:$BC=_xlfn.NUMBERVALUE($BK85)))),""),"")</f>
        <v/>
      </c>
      <c r="DZ85" s="10" t="str" cm="1">
        <f t="array" ref="DZ85">IF($BL85&lt;&gt;"",IFERROR(AVERAGE(_xlfn._xlws.FILTER($BE:$BE,($BA:$BA=$BI85)*($BC:$BC=_xlfn.NUMBERVALUE($BL85)))),""),"")</f>
        <v/>
      </c>
      <c r="EA85" s="10" t="str" cm="1">
        <f t="array" ref="EA85">IF($BM85&lt;&gt;"",IFERROR(AVERAGE(_xlfn._xlws.FILTER($BE:$BE,($BA:$BA=$BI85)*($BC:$BC=_xlfn.NUMBERVALUE($BM85)))),""),"")</f>
        <v/>
      </c>
      <c r="EB85" s="10" t="str" cm="1">
        <f t="array" ref="EB85">IF($BN85&lt;&gt;"",IFERROR(AVERAGE(_xlfn._xlws.FILTER($BE:$BE,($BA:$BA=$BI85)*($BC:$BC=_xlfn.NUMBERVALUE($BN85)))),""),"")</f>
        <v/>
      </c>
      <c r="EC85" s="10" t="str" cm="1">
        <f t="array" ref="EC85">IF($BO85&lt;&gt;"",IFERROR(AVERAGE(_xlfn._xlws.FILTER($BE:$BE,($BA:$BA=$BI85)*($BC:$BC=_xlfn.NUMBERVALUE($BO85)))),""),"")</f>
        <v/>
      </c>
    </row>
    <row r="86" spans="49:133" x14ac:dyDescent="0.3">
      <c r="AW86" s="1">
        <v>4.0999999999999996</v>
      </c>
      <c r="AX86" s="1">
        <v>4.0999999999999996</v>
      </c>
      <c r="AY86" t="str">
        <v>R080_HI782-0_0.0_LOT0428_PW5W.1_QC.xlsx</v>
      </c>
      <c r="AZ86" t="str">
        <v>LOT0428</v>
      </c>
      <c r="BA86" s="3">
        <v>4</v>
      </c>
      <c r="BB86" t="str">
        <v>P/Final</v>
      </c>
      <c r="BC86">
        <v>35</v>
      </c>
      <c r="BD86" s="10">
        <v>37.9</v>
      </c>
      <c r="BE86" s="10">
        <v>0</v>
      </c>
      <c r="BF86" s="10">
        <v>0</v>
      </c>
      <c r="BG86" s="13">
        <v>45330</v>
      </c>
      <c r="BP86" s="10" t="str" cm="1">
        <f t="array" ref="BP86">IF($BJ86&lt;&gt;"",IFERROR(AVERAGE(_xlfn._xlws.FILTER($BD:$BD,($BA:$BA=$BI86)*($BC:$BC=_xlfn.NUMBERVALUE($BJ86)))),""),"")</f>
        <v/>
      </c>
      <c r="BQ86" s="10" t="str" cm="1">
        <f t="array" ref="BQ86">IF($BK86&lt;&gt;"",IFERROR(AVERAGE(_xlfn._xlws.FILTER($BD:$BD,($BA:$BA=$BI86)*($BC:$BC=_xlfn.NUMBERVALUE($BK86)))),""),"")</f>
        <v/>
      </c>
      <c r="BR86" s="10" t="str" cm="1">
        <f t="array" ref="BR86">IF($BL86&lt;&gt;"",IFERROR(AVERAGE(_xlfn._xlws.FILTER($BD:$BD,($BA:$BA=$BI86)*($BC:$BC=_xlfn.NUMBERVALUE($BL86)))),""),"")</f>
        <v/>
      </c>
      <c r="BS86" s="10" t="str" cm="1">
        <f t="array" ref="BS86">IF($BM86&lt;&gt;"",IFERROR(AVERAGE(_xlfn._xlws.FILTER($BD:$BD,($BA:$BA=$BI86)*($BC:$BC=_xlfn.NUMBERVALUE($BM86)))),""),"")</f>
        <v/>
      </c>
      <c r="BT86" s="10" t="str" cm="1">
        <f t="array" ref="BT86">IF($BN86&lt;&gt;"",IFERROR(AVERAGE(_xlfn._xlws.FILTER($BD:$BD,($BA:$BA=$BI86)*($BC:$BC=_xlfn.NUMBERVALUE($BN86)))),""),"")</f>
        <v/>
      </c>
      <c r="BU86" s="10" t="str" cm="1">
        <f t="array" ref="BU86">IF($BO86&lt;&gt;"",IFERROR(AVERAGE(_xlfn._xlws.FILTER($BD:$BD,($BA:$BA=$BI86)*($BC:$BC=_xlfn.NUMBERVALUE($BO86)))),""),"")</f>
        <v/>
      </c>
      <c r="DL86" s="10" t="str" cm="1">
        <f t="array" ref="DL86">IF($BJ86&lt;&gt;"",IFERROR(AVERAGE(_xlfn._xlws.FILTER($BD:$BD,($BA:$BA=$BI86)*($BC:$BC=_xlfn.NUMBERVALUE($BJ86)))),""),"")</f>
        <v/>
      </c>
      <c r="DM86" s="10" t="str" cm="1">
        <f t="array" ref="DM86">IF($BK86&lt;&gt;"",IFERROR(AVERAGE(_xlfn._xlws.FILTER($BD:$BD,($BA:$BA=$BI86)*($BC:$BC=_xlfn.NUMBERVALUE($BK86)))),""),"")</f>
        <v/>
      </c>
      <c r="DN86" s="10" t="str" cm="1">
        <f t="array" ref="DN86">IF($BL86&lt;&gt;"",IFERROR(AVERAGE(_xlfn._xlws.FILTER($BD:$BD,($BA:$BA=$BI86)*($BC:$BC=_xlfn.NUMBERVALUE($BL86)))),""),"")</f>
        <v/>
      </c>
      <c r="DO86" s="10" t="str" cm="1">
        <f t="array" ref="DO86">IF($BM86&lt;&gt;"",IFERROR(AVERAGE(_xlfn._xlws.FILTER($BD:$BD,($BA:$BA=$BI86)*($BC:$BC=_xlfn.NUMBERVALUE($BM86)))),""),"")</f>
        <v/>
      </c>
      <c r="DP86" s="10" t="str" cm="1">
        <f t="array" ref="DP86">IF($BN86&lt;&gt;"",IFERROR(AVERAGE(_xlfn._xlws.FILTER($BD:$BD,($BA:$BA=$BI86)*($BC:$BC=_xlfn.NUMBERVALUE($BN86)))),""),"")</f>
        <v/>
      </c>
      <c r="DQ86" s="10" t="str" cm="1">
        <f t="array" ref="DQ86">IF($BO86&lt;&gt;"",IFERROR(AVERAGE(_xlfn._xlws.FILTER($BD:$BD,($BA:$BA=$BI86)*($BC:$BC=_xlfn.NUMBERVALUE($BO86)))),""),"")</f>
        <v/>
      </c>
      <c r="DX86" t="str" cm="1">
        <f t="array" ref="DX86">IF($BJ86&lt;&gt;"",IFERROR(AVERAGE(_xlfn._xlws.FILTER($BE:$BE,($BA:$BA=$BI86)*($BC:$BC=_xlfn.NUMBERVALUE($BJ86)))),""),"")</f>
        <v/>
      </c>
      <c r="DY86" s="10" t="str" cm="1">
        <f t="array" ref="DY86">IF($BK86&lt;&gt;"",IFERROR(AVERAGE(_xlfn._xlws.FILTER($BE:$BE,($BA:$BA=$BI86)*($BC:$BC=_xlfn.NUMBERVALUE($BK86)))),""),"")</f>
        <v/>
      </c>
      <c r="DZ86" s="10" t="str" cm="1">
        <f t="array" ref="DZ86">IF($BL86&lt;&gt;"",IFERROR(AVERAGE(_xlfn._xlws.FILTER($BE:$BE,($BA:$BA=$BI86)*($BC:$BC=_xlfn.NUMBERVALUE($BL86)))),""),"")</f>
        <v/>
      </c>
      <c r="EA86" s="10" t="str" cm="1">
        <f t="array" ref="EA86">IF($BM86&lt;&gt;"",IFERROR(AVERAGE(_xlfn._xlws.FILTER($BE:$BE,($BA:$BA=$BI86)*($BC:$BC=_xlfn.NUMBERVALUE($BM86)))),""),"")</f>
        <v/>
      </c>
      <c r="EB86" s="10" t="str" cm="1">
        <f t="array" ref="EB86">IF($BN86&lt;&gt;"",IFERROR(AVERAGE(_xlfn._xlws.FILTER($BE:$BE,($BA:$BA=$BI86)*($BC:$BC=_xlfn.NUMBERVALUE($BN86)))),""),"")</f>
        <v/>
      </c>
      <c r="EC86" s="10" t="str" cm="1">
        <f t="array" ref="EC86">IF($BO86&lt;&gt;"",IFERROR(AVERAGE(_xlfn._xlws.FILTER($BE:$BE,($BA:$BA=$BI86)*($BC:$BC=_xlfn.NUMBERVALUE($BO86)))),""),"")</f>
        <v/>
      </c>
    </row>
    <row r="87" spans="49:133" x14ac:dyDescent="0.3">
      <c r="AW87" s="1">
        <v>4.0999999999999996</v>
      </c>
      <c r="AX87" s="1">
        <v>4.0999999999999996</v>
      </c>
      <c r="AY87" t="str">
        <v>R080_HI782-0_0.0_LOT0428_PW5W.1_QC.xlsx</v>
      </c>
      <c r="AZ87" t="str">
        <v>LOT0428</v>
      </c>
      <c r="BA87" s="3">
        <v>4</v>
      </c>
      <c r="BB87" t="str">
        <v>P/Final</v>
      </c>
      <c r="BC87">
        <v>35</v>
      </c>
      <c r="BD87" s="10">
        <v>36.6</v>
      </c>
      <c r="BE87" s="10">
        <v>0</v>
      </c>
      <c r="BF87" s="10">
        <v>0</v>
      </c>
      <c r="BG87" s="13">
        <v>45330</v>
      </c>
      <c r="BP87" s="10" t="str" cm="1">
        <f t="array" ref="BP87">IF($BJ87&lt;&gt;"",IFERROR(AVERAGE(_xlfn._xlws.FILTER($BD:$BD,($BA:$BA=$BI87)*($BC:$BC=_xlfn.NUMBERVALUE($BJ87)))),""),"")</f>
        <v/>
      </c>
      <c r="BQ87" s="10" t="str" cm="1">
        <f t="array" ref="BQ87">IF($BK87&lt;&gt;"",IFERROR(AVERAGE(_xlfn._xlws.FILTER($BD:$BD,($BA:$BA=$BI87)*($BC:$BC=_xlfn.NUMBERVALUE($BK87)))),""),"")</f>
        <v/>
      </c>
      <c r="BR87" s="10" t="str" cm="1">
        <f t="array" ref="BR87">IF($BL87&lt;&gt;"",IFERROR(AVERAGE(_xlfn._xlws.FILTER($BD:$BD,($BA:$BA=$BI87)*($BC:$BC=_xlfn.NUMBERVALUE($BL87)))),""),"")</f>
        <v/>
      </c>
      <c r="BS87" s="10" t="str" cm="1">
        <f t="array" ref="BS87">IF($BM87&lt;&gt;"",IFERROR(AVERAGE(_xlfn._xlws.FILTER($BD:$BD,($BA:$BA=$BI87)*($BC:$BC=_xlfn.NUMBERVALUE($BM87)))),""),"")</f>
        <v/>
      </c>
      <c r="BT87" s="10" t="str" cm="1">
        <f t="array" ref="BT87">IF($BN87&lt;&gt;"",IFERROR(AVERAGE(_xlfn._xlws.FILTER($BD:$BD,($BA:$BA=$BI87)*($BC:$BC=_xlfn.NUMBERVALUE($BN87)))),""),"")</f>
        <v/>
      </c>
      <c r="BU87" s="10" t="str" cm="1">
        <f t="array" ref="BU87">IF($BO87&lt;&gt;"",IFERROR(AVERAGE(_xlfn._xlws.FILTER($BD:$BD,($BA:$BA=$BI87)*($BC:$BC=_xlfn.NUMBERVALUE($BO87)))),""),"")</f>
        <v/>
      </c>
      <c r="DL87" s="10" t="str" cm="1">
        <f t="array" ref="DL87">IF($BJ87&lt;&gt;"",IFERROR(AVERAGE(_xlfn._xlws.FILTER($BD:$BD,($BA:$BA=$BI87)*($BC:$BC=_xlfn.NUMBERVALUE($BJ87)))),""),"")</f>
        <v/>
      </c>
      <c r="DM87" s="10" t="str" cm="1">
        <f t="array" ref="DM87">IF($BK87&lt;&gt;"",IFERROR(AVERAGE(_xlfn._xlws.FILTER($BD:$BD,($BA:$BA=$BI87)*($BC:$BC=_xlfn.NUMBERVALUE($BK87)))),""),"")</f>
        <v/>
      </c>
      <c r="DN87" s="10" t="str" cm="1">
        <f t="array" ref="DN87">IF($BL87&lt;&gt;"",IFERROR(AVERAGE(_xlfn._xlws.FILTER($BD:$BD,($BA:$BA=$BI87)*($BC:$BC=_xlfn.NUMBERVALUE($BL87)))),""),"")</f>
        <v/>
      </c>
      <c r="DO87" s="10" t="str" cm="1">
        <f t="array" ref="DO87">IF($BM87&lt;&gt;"",IFERROR(AVERAGE(_xlfn._xlws.FILTER($BD:$BD,($BA:$BA=$BI87)*($BC:$BC=_xlfn.NUMBERVALUE($BM87)))),""),"")</f>
        <v/>
      </c>
      <c r="DP87" s="10" t="str" cm="1">
        <f t="array" ref="DP87">IF($BN87&lt;&gt;"",IFERROR(AVERAGE(_xlfn._xlws.FILTER($BD:$BD,($BA:$BA=$BI87)*($BC:$BC=_xlfn.NUMBERVALUE($BN87)))),""),"")</f>
        <v/>
      </c>
      <c r="DQ87" s="10" t="str" cm="1">
        <f t="array" ref="DQ87">IF($BO87&lt;&gt;"",IFERROR(AVERAGE(_xlfn._xlws.FILTER($BD:$BD,($BA:$BA=$BI87)*($BC:$BC=_xlfn.NUMBERVALUE($BO87)))),""),"")</f>
        <v/>
      </c>
      <c r="DX87" t="str" cm="1">
        <f t="array" ref="DX87">IF($BJ87&lt;&gt;"",IFERROR(AVERAGE(_xlfn._xlws.FILTER($BE:$BE,($BA:$BA=$BI87)*($BC:$BC=_xlfn.NUMBERVALUE($BJ87)))),""),"")</f>
        <v/>
      </c>
      <c r="DY87" s="10" t="str" cm="1">
        <f t="array" ref="DY87">IF($BK87&lt;&gt;"",IFERROR(AVERAGE(_xlfn._xlws.FILTER($BE:$BE,($BA:$BA=$BI87)*($BC:$BC=_xlfn.NUMBERVALUE($BK87)))),""),"")</f>
        <v/>
      </c>
      <c r="DZ87" s="10" t="str" cm="1">
        <f t="array" ref="DZ87">IF($BL87&lt;&gt;"",IFERROR(AVERAGE(_xlfn._xlws.FILTER($BE:$BE,($BA:$BA=$BI87)*($BC:$BC=_xlfn.NUMBERVALUE($BL87)))),""),"")</f>
        <v/>
      </c>
      <c r="EA87" s="10" t="str" cm="1">
        <f t="array" ref="EA87">IF($BM87&lt;&gt;"",IFERROR(AVERAGE(_xlfn._xlws.FILTER($BE:$BE,($BA:$BA=$BI87)*($BC:$BC=_xlfn.NUMBERVALUE($BM87)))),""),"")</f>
        <v/>
      </c>
      <c r="EB87" s="10" t="str" cm="1">
        <f t="array" ref="EB87">IF($BN87&lt;&gt;"",IFERROR(AVERAGE(_xlfn._xlws.FILTER($BE:$BE,($BA:$BA=$BI87)*($BC:$BC=_xlfn.NUMBERVALUE($BN87)))),""),"")</f>
        <v/>
      </c>
      <c r="EC87" s="10" t="str" cm="1">
        <f t="array" ref="EC87">IF($BO87&lt;&gt;"",IFERROR(AVERAGE(_xlfn._xlws.FILTER($BE:$BE,($BA:$BA=$BI87)*($BC:$BC=_xlfn.NUMBERVALUE($BO87)))),""),"")</f>
        <v/>
      </c>
    </row>
    <row r="88" spans="49:133" x14ac:dyDescent="0.3">
      <c r="AW88" s="1">
        <v>4.0999999999999996</v>
      </c>
      <c r="AX88" s="1">
        <v>4.0999999999999996</v>
      </c>
      <c r="AY88" t="str">
        <v>R080_HI782-0_0.0_LOT0428_PW5W.1_QC.xlsx</v>
      </c>
      <c r="AZ88" t="str">
        <v>LOT0428</v>
      </c>
      <c r="BA88" s="3">
        <v>4</v>
      </c>
      <c r="BB88" t="str">
        <v>P/Final</v>
      </c>
      <c r="BC88">
        <v>35</v>
      </c>
      <c r="BD88" s="10">
        <v>35.5</v>
      </c>
      <c r="BE88" s="10">
        <v>0</v>
      </c>
      <c r="BF88" s="10">
        <v>0</v>
      </c>
      <c r="BG88" s="13">
        <v>45330</v>
      </c>
      <c r="BP88" s="10" t="str" cm="1">
        <f t="array" ref="BP88">IF($BJ88&lt;&gt;"",IFERROR(AVERAGE(_xlfn._xlws.FILTER($BD:$BD,($BA:$BA=$BI88)*($BC:$BC=_xlfn.NUMBERVALUE($BJ88)))),""),"")</f>
        <v/>
      </c>
      <c r="BQ88" s="10" t="str" cm="1">
        <f t="array" ref="BQ88">IF($BK88&lt;&gt;"",IFERROR(AVERAGE(_xlfn._xlws.FILTER($BD:$BD,($BA:$BA=$BI88)*($BC:$BC=_xlfn.NUMBERVALUE($BK88)))),""),"")</f>
        <v/>
      </c>
      <c r="BR88" s="10" t="str" cm="1">
        <f t="array" ref="BR88">IF($BL88&lt;&gt;"",IFERROR(AVERAGE(_xlfn._xlws.FILTER($BD:$BD,($BA:$BA=$BI88)*($BC:$BC=_xlfn.NUMBERVALUE($BL88)))),""),"")</f>
        <v/>
      </c>
      <c r="BS88" s="10" t="str" cm="1">
        <f t="array" ref="BS88">IF($BM88&lt;&gt;"",IFERROR(AVERAGE(_xlfn._xlws.FILTER($BD:$BD,($BA:$BA=$BI88)*($BC:$BC=_xlfn.NUMBERVALUE($BM88)))),""),"")</f>
        <v/>
      </c>
      <c r="BT88" s="10" t="str" cm="1">
        <f t="array" ref="BT88">IF($BN88&lt;&gt;"",IFERROR(AVERAGE(_xlfn._xlws.FILTER($BD:$BD,($BA:$BA=$BI88)*($BC:$BC=_xlfn.NUMBERVALUE($BN88)))),""),"")</f>
        <v/>
      </c>
      <c r="BU88" s="10" t="str" cm="1">
        <f t="array" ref="BU88">IF($BO88&lt;&gt;"",IFERROR(AVERAGE(_xlfn._xlws.FILTER($BD:$BD,($BA:$BA=$BI88)*($BC:$BC=_xlfn.NUMBERVALUE($BO88)))),""),"")</f>
        <v/>
      </c>
      <c r="DL88" s="10" t="str" cm="1">
        <f t="array" ref="DL88">IF($BJ88&lt;&gt;"",IFERROR(AVERAGE(_xlfn._xlws.FILTER($BD:$BD,($BA:$BA=$BI88)*($BC:$BC=_xlfn.NUMBERVALUE($BJ88)))),""),"")</f>
        <v/>
      </c>
      <c r="DM88" s="10" t="str" cm="1">
        <f t="array" ref="DM88">IF($BK88&lt;&gt;"",IFERROR(AVERAGE(_xlfn._xlws.FILTER($BD:$BD,($BA:$BA=$BI88)*($BC:$BC=_xlfn.NUMBERVALUE($BK88)))),""),"")</f>
        <v/>
      </c>
      <c r="DN88" s="10" t="str" cm="1">
        <f t="array" ref="DN88">IF($BL88&lt;&gt;"",IFERROR(AVERAGE(_xlfn._xlws.FILTER($BD:$BD,($BA:$BA=$BI88)*($BC:$BC=_xlfn.NUMBERVALUE($BL88)))),""),"")</f>
        <v/>
      </c>
      <c r="DO88" s="10" t="str" cm="1">
        <f t="array" ref="DO88">IF($BM88&lt;&gt;"",IFERROR(AVERAGE(_xlfn._xlws.FILTER($BD:$BD,($BA:$BA=$BI88)*($BC:$BC=_xlfn.NUMBERVALUE($BM88)))),""),"")</f>
        <v/>
      </c>
      <c r="DP88" s="10" t="str" cm="1">
        <f t="array" ref="DP88">IF($BN88&lt;&gt;"",IFERROR(AVERAGE(_xlfn._xlws.FILTER($BD:$BD,($BA:$BA=$BI88)*($BC:$BC=_xlfn.NUMBERVALUE($BN88)))),""),"")</f>
        <v/>
      </c>
      <c r="DQ88" s="10" t="str" cm="1">
        <f t="array" ref="DQ88">IF($BO88&lt;&gt;"",IFERROR(AVERAGE(_xlfn._xlws.FILTER($BD:$BD,($BA:$BA=$BI88)*($BC:$BC=_xlfn.NUMBERVALUE($BO88)))),""),"")</f>
        <v/>
      </c>
      <c r="DX88" t="str" cm="1">
        <f t="array" ref="DX88">IF($BJ88&lt;&gt;"",IFERROR(AVERAGE(_xlfn._xlws.FILTER($BE:$BE,($BA:$BA=$BI88)*($BC:$BC=_xlfn.NUMBERVALUE($BJ88)))),""),"")</f>
        <v/>
      </c>
      <c r="DY88" s="10" t="str" cm="1">
        <f t="array" ref="DY88">IF($BK88&lt;&gt;"",IFERROR(AVERAGE(_xlfn._xlws.FILTER($BE:$BE,($BA:$BA=$BI88)*($BC:$BC=_xlfn.NUMBERVALUE($BK88)))),""),"")</f>
        <v/>
      </c>
      <c r="DZ88" s="10" t="str" cm="1">
        <f t="array" ref="DZ88">IF($BL88&lt;&gt;"",IFERROR(AVERAGE(_xlfn._xlws.FILTER($BE:$BE,($BA:$BA=$BI88)*($BC:$BC=_xlfn.NUMBERVALUE($BL88)))),""),"")</f>
        <v/>
      </c>
      <c r="EA88" s="10" t="str" cm="1">
        <f t="array" ref="EA88">IF($BM88&lt;&gt;"",IFERROR(AVERAGE(_xlfn._xlws.FILTER($BE:$BE,($BA:$BA=$BI88)*($BC:$BC=_xlfn.NUMBERVALUE($BM88)))),""),"")</f>
        <v/>
      </c>
      <c r="EB88" s="10" t="str" cm="1">
        <f t="array" ref="EB88">IF($BN88&lt;&gt;"",IFERROR(AVERAGE(_xlfn._xlws.FILTER($BE:$BE,($BA:$BA=$BI88)*($BC:$BC=_xlfn.NUMBERVALUE($BN88)))),""),"")</f>
        <v/>
      </c>
      <c r="EC88" s="10" t="str" cm="1">
        <f t="array" ref="EC88">IF($BO88&lt;&gt;"",IFERROR(AVERAGE(_xlfn._xlws.FILTER($BE:$BE,($BA:$BA=$BI88)*($BC:$BC=_xlfn.NUMBERVALUE($BO88)))),""),"")</f>
        <v/>
      </c>
    </row>
    <row r="89" spans="49:133" x14ac:dyDescent="0.3">
      <c r="AW89" s="1">
        <v>4.0999999999999996</v>
      </c>
      <c r="AX89" s="1">
        <v>4.0999999999999996</v>
      </c>
      <c r="AY89" t="str">
        <v>R080_HI782-0_0.0_LOT0428_PW5W.1_QC.xlsx</v>
      </c>
      <c r="AZ89" t="str">
        <v>LOT0428</v>
      </c>
      <c r="BA89" s="3">
        <v>4</v>
      </c>
      <c r="BB89" t="str">
        <v>P/Final</v>
      </c>
      <c r="BC89">
        <v>35</v>
      </c>
      <c r="BD89" s="10">
        <v>36.700000000000003</v>
      </c>
      <c r="BE89" s="10">
        <v>0</v>
      </c>
      <c r="BF89" s="10">
        <v>0</v>
      </c>
      <c r="BG89" s="13">
        <v>45330</v>
      </c>
      <c r="BP89" s="10" t="str" cm="1">
        <f t="array" ref="BP89">IF($BJ89&lt;&gt;"",IFERROR(AVERAGE(_xlfn._xlws.FILTER($BD:$BD,($BA:$BA=$BI89)*($BC:$BC=_xlfn.NUMBERVALUE($BJ89)))),""),"")</f>
        <v/>
      </c>
      <c r="BQ89" s="10" t="str" cm="1">
        <f t="array" ref="BQ89">IF($BK89&lt;&gt;"",IFERROR(AVERAGE(_xlfn._xlws.FILTER($BD:$BD,($BA:$BA=$BI89)*($BC:$BC=_xlfn.NUMBERVALUE($BK89)))),""),"")</f>
        <v/>
      </c>
      <c r="BR89" s="10" t="str" cm="1">
        <f t="array" ref="BR89">IF($BL89&lt;&gt;"",IFERROR(AVERAGE(_xlfn._xlws.FILTER($BD:$BD,($BA:$BA=$BI89)*($BC:$BC=_xlfn.NUMBERVALUE($BL89)))),""),"")</f>
        <v/>
      </c>
      <c r="BS89" s="10" t="str" cm="1">
        <f t="array" ref="BS89">IF($BM89&lt;&gt;"",IFERROR(AVERAGE(_xlfn._xlws.FILTER($BD:$BD,($BA:$BA=$BI89)*($BC:$BC=_xlfn.NUMBERVALUE($BM89)))),""),"")</f>
        <v/>
      </c>
      <c r="BT89" s="10" t="str" cm="1">
        <f t="array" ref="BT89">IF($BN89&lt;&gt;"",IFERROR(AVERAGE(_xlfn._xlws.FILTER($BD:$BD,($BA:$BA=$BI89)*($BC:$BC=_xlfn.NUMBERVALUE($BN89)))),""),"")</f>
        <v/>
      </c>
      <c r="BU89" s="10" t="str" cm="1">
        <f t="array" ref="BU89">IF($BO89&lt;&gt;"",IFERROR(AVERAGE(_xlfn._xlws.FILTER($BD:$BD,($BA:$BA=$BI89)*($BC:$BC=_xlfn.NUMBERVALUE($BO89)))),""),"")</f>
        <v/>
      </c>
      <c r="DL89" s="10" t="str" cm="1">
        <f t="array" ref="DL89">IF($BJ89&lt;&gt;"",IFERROR(AVERAGE(_xlfn._xlws.FILTER($BD:$BD,($BA:$BA=$BI89)*($BC:$BC=_xlfn.NUMBERVALUE($BJ89)))),""),"")</f>
        <v/>
      </c>
      <c r="DM89" s="10" t="str" cm="1">
        <f t="array" ref="DM89">IF($BK89&lt;&gt;"",IFERROR(AVERAGE(_xlfn._xlws.FILTER($BD:$BD,($BA:$BA=$BI89)*($BC:$BC=_xlfn.NUMBERVALUE($BK89)))),""),"")</f>
        <v/>
      </c>
      <c r="DN89" s="10" t="str" cm="1">
        <f t="array" ref="DN89">IF($BL89&lt;&gt;"",IFERROR(AVERAGE(_xlfn._xlws.FILTER($BD:$BD,($BA:$BA=$BI89)*($BC:$BC=_xlfn.NUMBERVALUE($BL89)))),""),"")</f>
        <v/>
      </c>
      <c r="DO89" s="10" t="str" cm="1">
        <f t="array" ref="DO89">IF($BM89&lt;&gt;"",IFERROR(AVERAGE(_xlfn._xlws.FILTER($BD:$BD,($BA:$BA=$BI89)*($BC:$BC=_xlfn.NUMBERVALUE($BM89)))),""),"")</f>
        <v/>
      </c>
      <c r="DP89" s="10" t="str" cm="1">
        <f t="array" ref="DP89">IF($BN89&lt;&gt;"",IFERROR(AVERAGE(_xlfn._xlws.FILTER($BD:$BD,($BA:$BA=$BI89)*($BC:$BC=_xlfn.NUMBERVALUE($BN89)))),""),"")</f>
        <v/>
      </c>
      <c r="DQ89" s="10" t="str" cm="1">
        <f t="array" ref="DQ89">IF($BO89&lt;&gt;"",IFERROR(AVERAGE(_xlfn._xlws.FILTER($BD:$BD,($BA:$BA=$BI89)*($BC:$BC=_xlfn.NUMBERVALUE($BO89)))),""),"")</f>
        <v/>
      </c>
      <c r="DX89" t="str" cm="1">
        <f t="array" ref="DX89">IF($BJ89&lt;&gt;"",IFERROR(AVERAGE(_xlfn._xlws.FILTER($BE:$BE,($BA:$BA=$BI89)*($BC:$BC=_xlfn.NUMBERVALUE($BJ89)))),""),"")</f>
        <v/>
      </c>
      <c r="DY89" s="10" t="str" cm="1">
        <f t="array" ref="DY89">IF($BK89&lt;&gt;"",IFERROR(AVERAGE(_xlfn._xlws.FILTER($BE:$BE,($BA:$BA=$BI89)*($BC:$BC=_xlfn.NUMBERVALUE($BK89)))),""),"")</f>
        <v/>
      </c>
      <c r="DZ89" s="10" t="str" cm="1">
        <f t="array" ref="DZ89">IF($BL89&lt;&gt;"",IFERROR(AVERAGE(_xlfn._xlws.FILTER($BE:$BE,($BA:$BA=$BI89)*($BC:$BC=_xlfn.NUMBERVALUE($BL89)))),""),"")</f>
        <v/>
      </c>
      <c r="EA89" s="10" t="str" cm="1">
        <f t="array" ref="EA89">IF($BM89&lt;&gt;"",IFERROR(AVERAGE(_xlfn._xlws.FILTER($BE:$BE,($BA:$BA=$BI89)*($BC:$BC=_xlfn.NUMBERVALUE($BM89)))),""),"")</f>
        <v/>
      </c>
      <c r="EB89" s="10" t="str" cm="1">
        <f t="array" ref="EB89">IF($BN89&lt;&gt;"",IFERROR(AVERAGE(_xlfn._xlws.FILTER($BE:$BE,($BA:$BA=$BI89)*($BC:$BC=_xlfn.NUMBERVALUE($BN89)))),""),"")</f>
        <v/>
      </c>
      <c r="EC89" s="10" t="str" cm="1">
        <f t="array" ref="EC89">IF($BO89&lt;&gt;"",IFERROR(AVERAGE(_xlfn._xlws.FILTER($BE:$BE,($BA:$BA=$BI89)*($BC:$BC=_xlfn.NUMBERVALUE($BO89)))),""),"")</f>
        <v/>
      </c>
    </row>
    <row r="90" spans="49:133" x14ac:dyDescent="0.3">
      <c r="AW90" s="1">
        <v>4.0999999999999996</v>
      </c>
      <c r="AX90" s="1">
        <v>4.0999999999999996</v>
      </c>
      <c r="AY90" t="str">
        <v>R080_HI782-0_0.0_LOT0428_PW5W.1_QC.xlsx</v>
      </c>
      <c r="AZ90" t="str">
        <v>LOT0428</v>
      </c>
      <c r="BA90" s="3">
        <v>4</v>
      </c>
      <c r="BB90" t="str">
        <v>P/Final</v>
      </c>
      <c r="BC90">
        <v>35</v>
      </c>
      <c r="BD90" s="10">
        <v>36.4</v>
      </c>
      <c r="BE90" s="10">
        <v>0</v>
      </c>
      <c r="BF90" s="10">
        <v>0</v>
      </c>
      <c r="BG90" s="13">
        <v>45330</v>
      </c>
      <c r="BP90" s="10" t="str" cm="1">
        <f t="array" ref="BP90">IF($BJ90&lt;&gt;"",IFERROR(AVERAGE(_xlfn._xlws.FILTER($BD:$BD,($BA:$BA=$BI90)*($BC:$BC=_xlfn.NUMBERVALUE($BJ90)))),""),"")</f>
        <v/>
      </c>
      <c r="BQ90" s="10" t="str" cm="1">
        <f t="array" ref="BQ90">IF($BK90&lt;&gt;"",IFERROR(AVERAGE(_xlfn._xlws.FILTER($BD:$BD,($BA:$BA=$BI90)*($BC:$BC=_xlfn.NUMBERVALUE($BK90)))),""),"")</f>
        <v/>
      </c>
      <c r="BR90" s="10" t="str" cm="1">
        <f t="array" ref="BR90">IF($BL90&lt;&gt;"",IFERROR(AVERAGE(_xlfn._xlws.FILTER($BD:$BD,($BA:$BA=$BI90)*($BC:$BC=_xlfn.NUMBERVALUE($BL90)))),""),"")</f>
        <v/>
      </c>
      <c r="BS90" s="10" t="str" cm="1">
        <f t="array" ref="BS90">IF($BM90&lt;&gt;"",IFERROR(AVERAGE(_xlfn._xlws.FILTER($BD:$BD,($BA:$BA=$BI90)*($BC:$BC=_xlfn.NUMBERVALUE($BM90)))),""),"")</f>
        <v/>
      </c>
      <c r="BT90" s="10" t="str" cm="1">
        <f t="array" ref="BT90">IF($BN90&lt;&gt;"",IFERROR(AVERAGE(_xlfn._xlws.FILTER($BD:$BD,($BA:$BA=$BI90)*($BC:$BC=_xlfn.NUMBERVALUE($BN90)))),""),"")</f>
        <v/>
      </c>
      <c r="BU90" s="10" t="str" cm="1">
        <f t="array" ref="BU90">IF($BO90&lt;&gt;"",IFERROR(AVERAGE(_xlfn._xlws.FILTER($BD:$BD,($BA:$BA=$BI90)*($BC:$BC=_xlfn.NUMBERVALUE($BO90)))),""),"")</f>
        <v/>
      </c>
      <c r="DL90" s="10" t="str" cm="1">
        <f t="array" ref="DL90">IF($BJ90&lt;&gt;"",IFERROR(AVERAGE(_xlfn._xlws.FILTER($BD:$BD,($BA:$BA=$BI90)*($BC:$BC=_xlfn.NUMBERVALUE($BJ90)))),""),"")</f>
        <v/>
      </c>
      <c r="DM90" s="10" t="str" cm="1">
        <f t="array" ref="DM90">IF($BK90&lt;&gt;"",IFERROR(AVERAGE(_xlfn._xlws.FILTER($BD:$BD,($BA:$BA=$BI90)*($BC:$BC=_xlfn.NUMBERVALUE($BK90)))),""),"")</f>
        <v/>
      </c>
      <c r="DN90" s="10" t="str" cm="1">
        <f t="array" ref="DN90">IF($BL90&lt;&gt;"",IFERROR(AVERAGE(_xlfn._xlws.FILTER($BD:$BD,($BA:$BA=$BI90)*($BC:$BC=_xlfn.NUMBERVALUE($BL90)))),""),"")</f>
        <v/>
      </c>
      <c r="DO90" s="10" t="str" cm="1">
        <f t="array" ref="DO90">IF($BM90&lt;&gt;"",IFERROR(AVERAGE(_xlfn._xlws.FILTER($BD:$BD,($BA:$BA=$BI90)*($BC:$BC=_xlfn.NUMBERVALUE($BM90)))),""),"")</f>
        <v/>
      </c>
      <c r="DP90" s="10" t="str" cm="1">
        <f t="array" ref="DP90">IF($BN90&lt;&gt;"",IFERROR(AVERAGE(_xlfn._xlws.FILTER($BD:$BD,($BA:$BA=$BI90)*($BC:$BC=_xlfn.NUMBERVALUE($BN90)))),""),"")</f>
        <v/>
      </c>
      <c r="DQ90" s="10" t="str" cm="1">
        <f t="array" ref="DQ90">IF($BO90&lt;&gt;"",IFERROR(AVERAGE(_xlfn._xlws.FILTER($BD:$BD,($BA:$BA=$BI90)*($BC:$BC=_xlfn.NUMBERVALUE($BO90)))),""),"")</f>
        <v/>
      </c>
      <c r="DX90" t="str" cm="1">
        <f t="array" ref="DX90">IF($BJ90&lt;&gt;"",IFERROR(AVERAGE(_xlfn._xlws.FILTER($BE:$BE,($BA:$BA=$BI90)*($BC:$BC=_xlfn.NUMBERVALUE($BJ90)))),""),"")</f>
        <v/>
      </c>
      <c r="DY90" s="10" t="str" cm="1">
        <f t="array" ref="DY90">IF($BK90&lt;&gt;"",IFERROR(AVERAGE(_xlfn._xlws.FILTER($BE:$BE,($BA:$BA=$BI90)*($BC:$BC=_xlfn.NUMBERVALUE($BK90)))),""),"")</f>
        <v/>
      </c>
      <c r="DZ90" s="10" t="str" cm="1">
        <f t="array" ref="DZ90">IF($BL90&lt;&gt;"",IFERROR(AVERAGE(_xlfn._xlws.FILTER($BE:$BE,($BA:$BA=$BI90)*($BC:$BC=_xlfn.NUMBERVALUE($BL90)))),""),"")</f>
        <v/>
      </c>
      <c r="EA90" s="10" t="str" cm="1">
        <f t="array" ref="EA90">IF($BM90&lt;&gt;"",IFERROR(AVERAGE(_xlfn._xlws.FILTER($BE:$BE,($BA:$BA=$BI90)*($BC:$BC=_xlfn.NUMBERVALUE($BM90)))),""),"")</f>
        <v/>
      </c>
      <c r="EB90" s="10" t="str" cm="1">
        <f t="array" ref="EB90">IF($BN90&lt;&gt;"",IFERROR(AVERAGE(_xlfn._xlws.FILTER($BE:$BE,($BA:$BA=$BI90)*($BC:$BC=_xlfn.NUMBERVALUE($BN90)))),""),"")</f>
        <v/>
      </c>
      <c r="EC90" s="10" t="str" cm="1">
        <f t="array" ref="EC90">IF($BO90&lt;&gt;"",IFERROR(AVERAGE(_xlfn._xlws.FILTER($BE:$BE,($BA:$BA=$BI90)*($BC:$BC=_xlfn.NUMBERVALUE($BO90)))),""),"")</f>
        <v/>
      </c>
    </row>
    <row r="91" spans="49:133" x14ac:dyDescent="0.3">
      <c r="AW91" s="1">
        <v>4.0999999999999996</v>
      </c>
      <c r="AX91" s="1">
        <v>4.0999999999999996</v>
      </c>
      <c r="AY91" t="str">
        <v>R080_HI782-0_0.0_LOT0428_PW5W.1_QC.xlsx</v>
      </c>
      <c r="AZ91" t="str">
        <v>LOT0428</v>
      </c>
      <c r="BA91" s="3">
        <v>4</v>
      </c>
      <c r="BB91" t="str">
        <v>P/Final</v>
      </c>
      <c r="BC91">
        <v>35</v>
      </c>
      <c r="BD91" s="10">
        <v>35.799999999999997</v>
      </c>
      <c r="BE91" s="10">
        <v>0</v>
      </c>
      <c r="BF91" s="10">
        <v>0</v>
      </c>
      <c r="BG91" s="13">
        <v>45330</v>
      </c>
      <c r="BP91" s="10" t="str" cm="1">
        <f t="array" ref="BP91">IF($BJ91&lt;&gt;"",IFERROR(AVERAGE(_xlfn._xlws.FILTER($BD:$BD,($BA:$BA=$BI91)*($BC:$BC=_xlfn.NUMBERVALUE($BJ91)))),""),"")</f>
        <v/>
      </c>
      <c r="BQ91" s="10" t="str" cm="1">
        <f t="array" ref="BQ91">IF($BK91&lt;&gt;"",IFERROR(AVERAGE(_xlfn._xlws.FILTER($BD:$BD,($BA:$BA=$BI91)*($BC:$BC=_xlfn.NUMBERVALUE($BK91)))),""),"")</f>
        <v/>
      </c>
      <c r="BR91" s="10" t="str" cm="1">
        <f t="array" ref="BR91">IF($BL91&lt;&gt;"",IFERROR(AVERAGE(_xlfn._xlws.FILTER($BD:$BD,($BA:$BA=$BI91)*($BC:$BC=_xlfn.NUMBERVALUE($BL91)))),""),"")</f>
        <v/>
      </c>
      <c r="BS91" s="10" t="str" cm="1">
        <f t="array" ref="BS91">IF($BM91&lt;&gt;"",IFERROR(AVERAGE(_xlfn._xlws.FILTER($BD:$BD,($BA:$BA=$BI91)*($BC:$BC=_xlfn.NUMBERVALUE($BM91)))),""),"")</f>
        <v/>
      </c>
      <c r="BT91" s="10" t="str" cm="1">
        <f t="array" ref="BT91">IF($BN91&lt;&gt;"",IFERROR(AVERAGE(_xlfn._xlws.FILTER($BD:$BD,($BA:$BA=$BI91)*($BC:$BC=_xlfn.NUMBERVALUE($BN91)))),""),"")</f>
        <v/>
      </c>
      <c r="BU91" s="10" t="str" cm="1">
        <f t="array" ref="BU91">IF($BO91&lt;&gt;"",IFERROR(AVERAGE(_xlfn._xlws.FILTER($BD:$BD,($BA:$BA=$BI91)*($BC:$BC=_xlfn.NUMBERVALUE($BO91)))),""),"")</f>
        <v/>
      </c>
      <c r="DL91" s="10" t="str" cm="1">
        <f t="array" ref="DL91">IF($BJ91&lt;&gt;"",IFERROR(AVERAGE(_xlfn._xlws.FILTER($BD:$BD,($BA:$BA=$BI91)*($BC:$BC=_xlfn.NUMBERVALUE($BJ91)))),""),"")</f>
        <v/>
      </c>
      <c r="DM91" s="10" t="str" cm="1">
        <f t="array" ref="DM91">IF($BK91&lt;&gt;"",IFERROR(AVERAGE(_xlfn._xlws.FILTER($BD:$BD,($BA:$BA=$BI91)*($BC:$BC=_xlfn.NUMBERVALUE($BK91)))),""),"")</f>
        <v/>
      </c>
      <c r="DN91" s="10" t="str" cm="1">
        <f t="array" ref="DN91">IF($BL91&lt;&gt;"",IFERROR(AVERAGE(_xlfn._xlws.FILTER($BD:$BD,($BA:$BA=$BI91)*($BC:$BC=_xlfn.NUMBERVALUE($BL91)))),""),"")</f>
        <v/>
      </c>
      <c r="DO91" s="10" t="str" cm="1">
        <f t="array" ref="DO91">IF($BM91&lt;&gt;"",IFERROR(AVERAGE(_xlfn._xlws.FILTER($BD:$BD,($BA:$BA=$BI91)*($BC:$BC=_xlfn.NUMBERVALUE($BM91)))),""),"")</f>
        <v/>
      </c>
      <c r="DP91" s="10" t="str" cm="1">
        <f t="array" ref="DP91">IF($BN91&lt;&gt;"",IFERROR(AVERAGE(_xlfn._xlws.FILTER($BD:$BD,($BA:$BA=$BI91)*($BC:$BC=_xlfn.NUMBERVALUE($BN91)))),""),"")</f>
        <v/>
      </c>
      <c r="DQ91" s="10" t="str" cm="1">
        <f t="array" ref="DQ91">IF($BO91&lt;&gt;"",IFERROR(AVERAGE(_xlfn._xlws.FILTER($BD:$BD,($BA:$BA=$BI91)*($BC:$BC=_xlfn.NUMBERVALUE($BO91)))),""),"")</f>
        <v/>
      </c>
      <c r="DX91" t="str" cm="1">
        <f t="array" ref="DX91">IF($BJ91&lt;&gt;"",IFERROR(AVERAGE(_xlfn._xlws.FILTER($BE:$BE,($BA:$BA=$BI91)*($BC:$BC=_xlfn.NUMBERVALUE($BJ91)))),""),"")</f>
        <v/>
      </c>
      <c r="DY91" s="10" t="str" cm="1">
        <f t="array" ref="DY91">IF($BK91&lt;&gt;"",IFERROR(AVERAGE(_xlfn._xlws.FILTER($BE:$BE,($BA:$BA=$BI91)*($BC:$BC=_xlfn.NUMBERVALUE($BK91)))),""),"")</f>
        <v/>
      </c>
      <c r="DZ91" s="10" t="str" cm="1">
        <f t="array" ref="DZ91">IF($BL91&lt;&gt;"",IFERROR(AVERAGE(_xlfn._xlws.FILTER($BE:$BE,($BA:$BA=$BI91)*($BC:$BC=_xlfn.NUMBERVALUE($BL91)))),""),"")</f>
        <v/>
      </c>
      <c r="EA91" s="10" t="str" cm="1">
        <f t="array" ref="EA91">IF($BM91&lt;&gt;"",IFERROR(AVERAGE(_xlfn._xlws.FILTER($BE:$BE,($BA:$BA=$BI91)*($BC:$BC=_xlfn.NUMBERVALUE($BM91)))),""),"")</f>
        <v/>
      </c>
      <c r="EB91" s="10" t="str" cm="1">
        <f t="array" ref="EB91">IF($BN91&lt;&gt;"",IFERROR(AVERAGE(_xlfn._xlws.FILTER($BE:$BE,($BA:$BA=$BI91)*($BC:$BC=_xlfn.NUMBERVALUE($BN91)))),""),"")</f>
        <v/>
      </c>
      <c r="EC91" s="10" t="str" cm="1">
        <f t="array" ref="EC91">IF($BO91&lt;&gt;"",IFERROR(AVERAGE(_xlfn._xlws.FILTER($BE:$BE,($BA:$BA=$BI91)*($BC:$BC=_xlfn.NUMBERVALUE($BO91)))),""),"")</f>
        <v/>
      </c>
    </row>
    <row r="92" spans="49:133" x14ac:dyDescent="0.3">
      <c r="AW92" s="1">
        <v>4.0999999999999996</v>
      </c>
      <c r="AX92" s="1">
        <v>4.0999999999999996</v>
      </c>
      <c r="AY92" t="str">
        <v>R080_HI782-0_0.0_LOT0428_PW5W.1_QC.xlsx</v>
      </c>
      <c r="AZ92" t="str">
        <v>LOT0428</v>
      </c>
      <c r="BA92" s="3">
        <v>4</v>
      </c>
      <c r="BB92" t="str">
        <v>P/Final</v>
      </c>
      <c r="BC92">
        <v>35</v>
      </c>
      <c r="BD92" s="10">
        <v>36.299999999999997</v>
      </c>
      <c r="BE92" s="10">
        <v>0</v>
      </c>
      <c r="BF92" s="10">
        <v>0</v>
      </c>
      <c r="BG92" s="13">
        <v>45330</v>
      </c>
      <c r="BP92" s="10" t="str" cm="1">
        <f t="array" ref="BP92">IF($BJ92&lt;&gt;"",IFERROR(AVERAGE(_xlfn._xlws.FILTER($BD:$BD,($BA:$BA=$BI92)*($BC:$BC=_xlfn.NUMBERVALUE($BJ92)))),""),"")</f>
        <v/>
      </c>
      <c r="BQ92" s="10" t="str" cm="1">
        <f t="array" ref="BQ92">IF($BK92&lt;&gt;"",IFERROR(AVERAGE(_xlfn._xlws.FILTER($BD:$BD,($BA:$BA=$BI92)*($BC:$BC=_xlfn.NUMBERVALUE($BK92)))),""),"")</f>
        <v/>
      </c>
      <c r="BR92" s="10" t="str" cm="1">
        <f t="array" ref="BR92">IF($BL92&lt;&gt;"",IFERROR(AVERAGE(_xlfn._xlws.FILTER($BD:$BD,($BA:$BA=$BI92)*($BC:$BC=_xlfn.NUMBERVALUE($BL92)))),""),"")</f>
        <v/>
      </c>
      <c r="BS92" s="10" t="str" cm="1">
        <f t="array" ref="BS92">IF($BM92&lt;&gt;"",IFERROR(AVERAGE(_xlfn._xlws.FILTER($BD:$BD,($BA:$BA=$BI92)*($BC:$BC=_xlfn.NUMBERVALUE($BM92)))),""),"")</f>
        <v/>
      </c>
      <c r="BT92" s="10" t="str" cm="1">
        <f t="array" ref="BT92">IF($BN92&lt;&gt;"",IFERROR(AVERAGE(_xlfn._xlws.FILTER($BD:$BD,($BA:$BA=$BI92)*($BC:$BC=_xlfn.NUMBERVALUE($BN92)))),""),"")</f>
        <v/>
      </c>
      <c r="BU92" s="10" t="str" cm="1">
        <f t="array" ref="BU92">IF($BO92&lt;&gt;"",IFERROR(AVERAGE(_xlfn._xlws.FILTER($BD:$BD,($BA:$BA=$BI92)*($BC:$BC=_xlfn.NUMBERVALUE($BO92)))),""),"")</f>
        <v/>
      </c>
      <c r="DL92" s="10" t="str" cm="1">
        <f t="array" ref="DL92">IF($BJ92&lt;&gt;"",IFERROR(AVERAGE(_xlfn._xlws.FILTER($BD:$BD,($BA:$BA=$BI92)*($BC:$BC=_xlfn.NUMBERVALUE($BJ92)))),""),"")</f>
        <v/>
      </c>
      <c r="DM92" s="10" t="str" cm="1">
        <f t="array" ref="DM92">IF($BK92&lt;&gt;"",IFERROR(AVERAGE(_xlfn._xlws.FILTER($BD:$BD,($BA:$BA=$BI92)*($BC:$BC=_xlfn.NUMBERVALUE($BK92)))),""),"")</f>
        <v/>
      </c>
      <c r="DN92" s="10" t="str" cm="1">
        <f t="array" ref="DN92">IF($BL92&lt;&gt;"",IFERROR(AVERAGE(_xlfn._xlws.FILTER($BD:$BD,($BA:$BA=$BI92)*($BC:$BC=_xlfn.NUMBERVALUE($BL92)))),""),"")</f>
        <v/>
      </c>
      <c r="DO92" s="10" t="str" cm="1">
        <f t="array" ref="DO92">IF($BM92&lt;&gt;"",IFERROR(AVERAGE(_xlfn._xlws.FILTER($BD:$BD,($BA:$BA=$BI92)*($BC:$BC=_xlfn.NUMBERVALUE($BM92)))),""),"")</f>
        <v/>
      </c>
      <c r="DP92" s="10" t="str" cm="1">
        <f t="array" ref="DP92">IF($BN92&lt;&gt;"",IFERROR(AVERAGE(_xlfn._xlws.FILTER($BD:$BD,($BA:$BA=$BI92)*($BC:$BC=_xlfn.NUMBERVALUE($BN92)))),""),"")</f>
        <v/>
      </c>
      <c r="DQ92" s="10" t="str" cm="1">
        <f t="array" ref="DQ92">IF($BO92&lt;&gt;"",IFERROR(AVERAGE(_xlfn._xlws.FILTER($BD:$BD,($BA:$BA=$BI92)*($BC:$BC=_xlfn.NUMBERVALUE($BO92)))),""),"")</f>
        <v/>
      </c>
      <c r="DX92" t="str" cm="1">
        <f t="array" ref="DX92">IF($BJ92&lt;&gt;"",IFERROR(AVERAGE(_xlfn._xlws.FILTER($BE:$BE,($BA:$BA=$BI92)*($BC:$BC=_xlfn.NUMBERVALUE($BJ92)))),""),"")</f>
        <v/>
      </c>
      <c r="DY92" s="10" t="str" cm="1">
        <f t="array" ref="DY92">IF($BK92&lt;&gt;"",IFERROR(AVERAGE(_xlfn._xlws.FILTER($BE:$BE,($BA:$BA=$BI92)*($BC:$BC=_xlfn.NUMBERVALUE($BK92)))),""),"")</f>
        <v/>
      </c>
      <c r="DZ92" s="10" t="str" cm="1">
        <f t="array" ref="DZ92">IF($BL92&lt;&gt;"",IFERROR(AVERAGE(_xlfn._xlws.FILTER($BE:$BE,($BA:$BA=$BI92)*($BC:$BC=_xlfn.NUMBERVALUE($BL92)))),""),"")</f>
        <v/>
      </c>
      <c r="EA92" s="10" t="str" cm="1">
        <f t="array" ref="EA92">IF($BM92&lt;&gt;"",IFERROR(AVERAGE(_xlfn._xlws.FILTER($BE:$BE,($BA:$BA=$BI92)*($BC:$BC=_xlfn.NUMBERVALUE($BM92)))),""),"")</f>
        <v/>
      </c>
      <c r="EB92" s="10" t="str" cm="1">
        <f t="array" ref="EB92">IF($BN92&lt;&gt;"",IFERROR(AVERAGE(_xlfn._xlws.FILTER($BE:$BE,($BA:$BA=$BI92)*($BC:$BC=_xlfn.NUMBERVALUE($BN92)))),""),"")</f>
        <v/>
      </c>
      <c r="EC92" s="10" t="str" cm="1">
        <f t="array" ref="EC92">IF($BO92&lt;&gt;"",IFERROR(AVERAGE(_xlfn._xlws.FILTER($BE:$BE,($BA:$BA=$BI92)*($BC:$BC=_xlfn.NUMBERVALUE($BO92)))),""),"")</f>
        <v/>
      </c>
    </row>
    <row r="93" spans="49:133" x14ac:dyDescent="0.3">
      <c r="AW93" s="1">
        <v>4.0999999999999996</v>
      </c>
      <c r="AX93" s="1">
        <v>4.0999999999999996</v>
      </c>
      <c r="AY93" t="str">
        <v>R080_HI782-0_0.0_LOT0428_PW5W.1_QC.xlsx</v>
      </c>
      <c r="AZ93" t="str">
        <v>LOT0428</v>
      </c>
      <c r="BA93" s="3">
        <v>4</v>
      </c>
      <c r="BB93" t="str">
        <v>P/Final</v>
      </c>
      <c r="BC93">
        <v>35</v>
      </c>
      <c r="BD93" s="10">
        <v>37.700000000000003</v>
      </c>
      <c r="BE93" s="10">
        <v>0</v>
      </c>
      <c r="BF93" s="10">
        <v>0</v>
      </c>
      <c r="BG93" s="13">
        <v>45330</v>
      </c>
      <c r="BP93" s="10" t="str" cm="1">
        <f t="array" ref="BP93">IF($BJ93&lt;&gt;"",IFERROR(AVERAGE(_xlfn._xlws.FILTER($BD:$BD,($BA:$BA=$BI93)*($BC:$BC=_xlfn.NUMBERVALUE($BJ93)))),""),"")</f>
        <v/>
      </c>
      <c r="BQ93" s="10" t="str" cm="1">
        <f t="array" ref="BQ93">IF($BK93&lt;&gt;"",IFERROR(AVERAGE(_xlfn._xlws.FILTER($BD:$BD,($BA:$BA=$BI93)*($BC:$BC=_xlfn.NUMBERVALUE($BK93)))),""),"")</f>
        <v/>
      </c>
      <c r="BR93" s="10" t="str" cm="1">
        <f t="array" ref="BR93">IF($BL93&lt;&gt;"",IFERROR(AVERAGE(_xlfn._xlws.FILTER($BD:$BD,($BA:$BA=$BI93)*($BC:$BC=_xlfn.NUMBERVALUE($BL93)))),""),"")</f>
        <v/>
      </c>
      <c r="BS93" s="10" t="str" cm="1">
        <f t="array" ref="BS93">IF($BM93&lt;&gt;"",IFERROR(AVERAGE(_xlfn._xlws.FILTER($BD:$BD,($BA:$BA=$BI93)*($BC:$BC=_xlfn.NUMBERVALUE($BM93)))),""),"")</f>
        <v/>
      </c>
      <c r="BT93" s="10" t="str" cm="1">
        <f t="array" ref="BT93">IF($BN93&lt;&gt;"",IFERROR(AVERAGE(_xlfn._xlws.FILTER($BD:$BD,($BA:$BA=$BI93)*($BC:$BC=_xlfn.NUMBERVALUE($BN93)))),""),"")</f>
        <v/>
      </c>
      <c r="BU93" s="10" t="str" cm="1">
        <f t="array" ref="BU93">IF($BO93&lt;&gt;"",IFERROR(AVERAGE(_xlfn._xlws.FILTER($BD:$BD,($BA:$BA=$BI93)*($BC:$BC=_xlfn.NUMBERVALUE($BO93)))),""),"")</f>
        <v/>
      </c>
      <c r="DL93" s="10" t="str" cm="1">
        <f t="array" ref="DL93">IF($BJ93&lt;&gt;"",IFERROR(AVERAGE(_xlfn._xlws.FILTER($BD:$BD,($BA:$BA=$BI93)*($BC:$BC=_xlfn.NUMBERVALUE($BJ93)))),""),"")</f>
        <v/>
      </c>
      <c r="DM93" s="10" t="str" cm="1">
        <f t="array" ref="DM93">IF($BK93&lt;&gt;"",IFERROR(AVERAGE(_xlfn._xlws.FILTER($BD:$BD,($BA:$BA=$BI93)*($BC:$BC=_xlfn.NUMBERVALUE($BK93)))),""),"")</f>
        <v/>
      </c>
      <c r="DN93" s="10" t="str" cm="1">
        <f t="array" ref="DN93">IF($BL93&lt;&gt;"",IFERROR(AVERAGE(_xlfn._xlws.FILTER($BD:$BD,($BA:$BA=$BI93)*($BC:$BC=_xlfn.NUMBERVALUE($BL93)))),""),"")</f>
        <v/>
      </c>
      <c r="DO93" s="10" t="str" cm="1">
        <f t="array" ref="DO93">IF($BM93&lt;&gt;"",IFERROR(AVERAGE(_xlfn._xlws.FILTER($BD:$BD,($BA:$BA=$BI93)*($BC:$BC=_xlfn.NUMBERVALUE($BM93)))),""),"")</f>
        <v/>
      </c>
      <c r="DP93" s="10" t="str" cm="1">
        <f t="array" ref="DP93">IF($BN93&lt;&gt;"",IFERROR(AVERAGE(_xlfn._xlws.FILTER($BD:$BD,($BA:$BA=$BI93)*($BC:$BC=_xlfn.NUMBERVALUE($BN93)))),""),"")</f>
        <v/>
      </c>
      <c r="DQ93" s="10" t="str" cm="1">
        <f t="array" ref="DQ93">IF($BO93&lt;&gt;"",IFERROR(AVERAGE(_xlfn._xlws.FILTER($BD:$BD,($BA:$BA=$BI93)*($BC:$BC=_xlfn.NUMBERVALUE($BO93)))),""),"")</f>
        <v/>
      </c>
      <c r="DX93" t="str" cm="1">
        <f t="array" ref="DX93">IF($BJ93&lt;&gt;"",IFERROR(AVERAGE(_xlfn._xlws.FILTER($BE:$BE,($BA:$BA=$BI93)*($BC:$BC=_xlfn.NUMBERVALUE($BJ93)))),""),"")</f>
        <v/>
      </c>
      <c r="DY93" s="10" t="str" cm="1">
        <f t="array" ref="DY93">IF($BK93&lt;&gt;"",IFERROR(AVERAGE(_xlfn._xlws.FILTER($BE:$BE,($BA:$BA=$BI93)*($BC:$BC=_xlfn.NUMBERVALUE($BK93)))),""),"")</f>
        <v/>
      </c>
      <c r="DZ93" s="10" t="str" cm="1">
        <f t="array" ref="DZ93">IF($BL93&lt;&gt;"",IFERROR(AVERAGE(_xlfn._xlws.FILTER($BE:$BE,($BA:$BA=$BI93)*($BC:$BC=_xlfn.NUMBERVALUE($BL93)))),""),"")</f>
        <v/>
      </c>
      <c r="EA93" s="10" t="str" cm="1">
        <f t="array" ref="EA93">IF($BM93&lt;&gt;"",IFERROR(AVERAGE(_xlfn._xlws.FILTER($BE:$BE,($BA:$BA=$BI93)*($BC:$BC=_xlfn.NUMBERVALUE($BM93)))),""),"")</f>
        <v/>
      </c>
      <c r="EB93" s="10" t="str" cm="1">
        <f t="array" ref="EB93">IF($BN93&lt;&gt;"",IFERROR(AVERAGE(_xlfn._xlws.FILTER($BE:$BE,($BA:$BA=$BI93)*($BC:$BC=_xlfn.NUMBERVALUE($BN93)))),""),"")</f>
        <v/>
      </c>
      <c r="EC93" s="10" t="str" cm="1">
        <f t="array" ref="EC93">IF($BO93&lt;&gt;"",IFERROR(AVERAGE(_xlfn._xlws.FILTER($BE:$BE,($BA:$BA=$BI93)*($BC:$BC=_xlfn.NUMBERVALUE($BO93)))),""),"")</f>
        <v/>
      </c>
    </row>
    <row r="94" spans="49:133" x14ac:dyDescent="0.3">
      <c r="AW94" s="1">
        <v>4.0999999999999996</v>
      </c>
      <c r="AX94" s="1">
        <v>4.0999999999999996</v>
      </c>
      <c r="AY94" t="str">
        <v>R080_HI782-0_0.0_LOT0428_PW5W.1_QC.xlsx</v>
      </c>
      <c r="AZ94" t="str">
        <v>LOT0428</v>
      </c>
      <c r="BA94" s="3">
        <v>4</v>
      </c>
      <c r="BB94" t="str">
        <v>P/Final</v>
      </c>
      <c r="BC94">
        <v>60</v>
      </c>
      <c r="BD94" s="10">
        <v>58.9</v>
      </c>
      <c r="BE94" s="10">
        <v>0</v>
      </c>
      <c r="BF94" s="10">
        <v>0</v>
      </c>
      <c r="BG94" s="13">
        <v>45330</v>
      </c>
      <c r="BP94" s="10" t="str" cm="1">
        <f t="array" ref="BP94">IF($BJ94&lt;&gt;"",IFERROR(AVERAGE(_xlfn._xlws.FILTER($BD:$BD,($BA:$BA=$BI94)*($BC:$BC=_xlfn.NUMBERVALUE($BJ94)))),""),"")</f>
        <v/>
      </c>
      <c r="BQ94" s="10" t="str" cm="1">
        <f t="array" ref="BQ94">IF($BK94&lt;&gt;"",IFERROR(AVERAGE(_xlfn._xlws.FILTER($BD:$BD,($BA:$BA=$BI94)*($BC:$BC=_xlfn.NUMBERVALUE($BK94)))),""),"")</f>
        <v/>
      </c>
      <c r="BR94" s="10" t="str" cm="1">
        <f t="array" ref="BR94">IF($BL94&lt;&gt;"",IFERROR(AVERAGE(_xlfn._xlws.FILTER($BD:$BD,($BA:$BA=$BI94)*($BC:$BC=_xlfn.NUMBERVALUE($BL94)))),""),"")</f>
        <v/>
      </c>
      <c r="BS94" s="10" t="str" cm="1">
        <f t="array" ref="BS94">IF($BM94&lt;&gt;"",IFERROR(AVERAGE(_xlfn._xlws.FILTER($BD:$BD,($BA:$BA=$BI94)*($BC:$BC=_xlfn.NUMBERVALUE($BM94)))),""),"")</f>
        <v/>
      </c>
      <c r="BT94" s="10" t="str" cm="1">
        <f t="array" ref="BT94">IF($BN94&lt;&gt;"",IFERROR(AVERAGE(_xlfn._xlws.FILTER($BD:$BD,($BA:$BA=$BI94)*($BC:$BC=_xlfn.NUMBERVALUE($BN94)))),""),"")</f>
        <v/>
      </c>
      <c r="BU94" s="10" t="str" cm="1">
        <f t="array" ref="BU94">IF($BO94&lt;&gt;"",IFERROR(AVERAGE(_xlfn._xlws.FILTER($BD:$BD,($BA:$BA=$BI94)*($BC:$BC=_xlfn.NUMBERVALUE($BO94)))),""),"")</f>
        <v/>
      </c>
      <c r="DL94" s="10" t="str" cm="1">
        <f t="array" ref="DL94">IF($BJ94&lt;&gt;"",IFERROR(AVERAGE(_xlfn._xlws.FILTER($BD:$BD,($BA:$BA=$BI94)*($BC:$BC=_xlfn.NUMBERVALUE($BJ94)))),""),"")</f>
        <v/>
      </c>
      <c r="DM94" s="10" t="str" cm="1">
        <f t="array" ref="DM94">IF($BK94&lt;&gt;"",IFERROR(AVERAGE(_xlfn._xlws.FILTER($BD:$BD,($BA:$BA=$BI94)*($BC:$BC=_xlfn.NUMBERVALUE($BK94)))),""),"")</f>
        <v/>
      </c>
      <c r="DN94" s="10" t="str" cm="1">
        <f t="array" ref="DN94">IF($BL94&lt;&gt;"",IFERROR(AVERAGE(_xlfn._xlws.FILTER($BD:$BD,($BA:$BA=$BI94)*($BC:$BC=_xlfn.NUMBERVALUE($BL94)))),""),"")</f>
        <v/>
      </c>
      <c r="DO94" s="10" t="str" cm="1">
        <f t="array" ref="DO94">IF($BM94&lt;&gt;"",IFERROR(AVERAGE(_xlfn._xlws.FILTER($BD:$BD,($BA:$BA=$BI94)*($BC:$BC=_xlfn.NUMBERVALUE($BM94)))),""),"")</f>
        <v/>
      </c>
      <c r="DP94" s="10" t="str" cm="1">
        <f t="array" ref="DP94">IF($BN94&lt;&gt;"",IFERROR(AVERAGE(_xlfn._xlws.FILTER($BD:$BD,($BA:$BA=$BI94)*($BC:$BC=_xlfn.NUMBERVALUE($BN94)))),""),"")</f>
        <v/>
      </c>
      <c r="DQ94" s="10" t="str" cm="1">
        <f t="array" ref="DQ94">IF($BO94&lt;&gt;"",IFERROR(AVERAGE(_xlfn._xlws.FILTER($BD:$BD,($BA:$BA=$BI94)*($BC:$BC=_xlfn.NUMBERVALUE($BO94)))),""),"")</f>
        <v/>
      </c>
      <c r="DX94" t="str" cm="1">
        <f t="array" ref="DX94">IF($BJ94&lt;&gt;"",IFERROR(AVERAGE(_xlfn._xlws.FILTER($BE:$BE,($BA:$BA=$BI94)*($BC:$BC=_xlfn.NUMBERVALUE($BJ94)))),""),"")</f>
        <v/>
      </c>
      <c r="DY94" s="10" t="str" cm="1">
        <f t="array" ref="DY94">IF($BK94&lt;&gt;"",IFERROR(AVERAGE(_xlfn._xlws.FILTER($BE:$BE,($BA:$BA=$BI94)*($BC:$BC=_xlfn.NUMBERVALUE($BK94)))),""),"")</f>
        <v/>
      </c>
      <c r="DZ94" s="10" t="str" cm="1">
        <f t="array" ref="DZ94">IF($BL94&lt;&gt;"",IFERROR(AVERAGE(_xlfn._xlws.FILTER($BE:$BE,($BA:$BA=$BI94)*($BC:$BC=_xlfn.NUMBERVALUE($BL94)))),""),"")</f>
        <v/>
      </c>
      <c r="EA94" s="10" t="str" cm="1">
        <f t="array" ref="EA94">IF($BM94&lt;&gt;"",IFERROR(AVERAGE(_xlfn._xlws.FILTER($BE:$BE,($BA:$BA=$BI94)*($BC:$BC=_xlfn.NUMBERVALUE($BM94)))),""),"")</f>
        <v/>
      </c>
      <c r="EB94" s="10" t="str" cm="1">
        <f t="array" ref="EB94">IF($BN94&lt;&gt;"",IFERROR(AVERAGE(_xlfn._xlws.FILTER($BE:$BE,($BA:$BA=$BI94)*($BC:$BC=_xlfn.NUMBERVALUE($BN94)))),""),"")</f>
        <v/>
      </c>
      <c r="EC94" s="10" t="str" cm="1">
        <f t="array" ref="EC94">IF($BO94&lt;&gt;"",IFERROR(AVERAGE(_xlfn._xlws.FILTER($BE:$BE,($BA:$BA=$BI94)*($BC:$BC=_xlfn.NUMBERVALUE($BO94)))),""),"")</f>
        <v/>
      </c>
    </row>
    <row r="95" spans="49:133" x14ac:dyDescent="0.3">
      <c r="AW95" s="1">
        <v>4.0999999999999996</v>
      </c>
      <c r="AX95" s="1">
        <v>4.0999999999999996</v>
      </c>
      <c r="AY95" t="str">
        <v>R080_HI782-0_0.0_LOT0428_PW5W.1_QC.xlsx</v>
      </c>
      <c r="AZ95" t="str">
        <v>LOT0428</v>
      </c>
      <c r="BA95" s="3">
        <v>4</v>
      </c>
      <c r="BB95" t="str">
        <v>P/Final</v>
      </c>
      <c r="BC95">
        <v>60</v>
      </c>
      <c r="BD95" s="10">
        <v>60.3</v>
      </c>
      <c r="BE95" s="10">
        <v>0</v>
      </c>
      <c r="BF95" s="10">
        <v>0</v>
      </c>
      <c r="BG95" s="13">
        <v>45330</v>
      </c>
      <c r="BP95" s="10" t="str" cm="1">
        <f t="array" ref="BP95">IF($BJ95&lt;&gt;"",IFERROR(AVERAGE(_xlfn._xlws.FILTER($BD:$BD,($BA:$BA=$BI95)*($BC:$BC=_xlfn.NUMBERVALUE($BJ95)))),""),"")</f>
        <v/>
      </c>
      <c r="BQ95" s="10" t="str" cm="1">
        <f t="array" ref="BQ95">IF($BK95&lt;&gt;"",IFERROR(AVERAGE(_xlfn._xlws.FILTER($BD:$BD,($BA:$BA=$BI95)*($BC:$BC=_xlfn.NUMBERVALUE($BK95)))),""),"")</f>
        <v/>
      </c>
      <c r="BR95" s="10" t="str" cm="1">
        <f t="array" ref="BR95">IF($BL95&lt;&gt;"",IFERROR(AVERAGE(_xlfn._xlws.FILTER($BD:$BD,($BA:$BA=$BI95)*($BC:$BC=_xlfn.NUMBERVALUE($BL95)))),""),"")</f>
        <v/>
      </c>
      <c r="BS95" s="10" t="str" cm="1">
        <f t="array" ref="BS95">IF($BM95&lt;&gt;"",IFERROR(AVERAGE(_xlfn._xlws.FILTER($BD:$BD,($BA:$BA=$BI95)*($BC:$BC=_xlfn.NUMBERVALUE($BM95)))),""),"")</f>
        <v/>
      </c>
      <c r="BT95" s="10" t="str" cm="1">
        <f t="array" ref="BT95">IF($BN95&lt;&gt;"",IFERROR(AVERAGE(_xlfn._xlws.FILTER($BD:$BD,($BA:$BA=$BI95)*($BC:$BC=_xlfn.NUMBERVALUE($BN95)))),""),"")</f>
        <v/>
      </c>
      <c r="BU95" s="10" t="str" cm="1">
        <f t="array" ref="BU95">IF($BO95&lt;&gt;"",IFERROR(AVERAGE(_xlfn._xlws.FILTER($BD:$BD,($BA:$BA=$BI95)*($BC:$BC=_xlfn.NUMBERVALUE($BO95)))),""),"")</f>
        <v/>
      </c>
      <c r="DL95" s="10" t="str" cm="1">
        <f t="array" ref="DL95">IF($BJ95&lt;&gt;"",IFERROR(AVERAGE(_xlfn._xlws.FILTER($BD:$BD,($BA:$BA=$BI95)*($BC:$BC=_xlfn.NUMBERVALUE($BJ95)))),""),"")</f>
        <v/>
      </c>
      <c r="DM95" s="10" t="str" cm="1">
        <f t="array" ref="DM95">IF($BK95&lt;&gt;"",IFERROR(AVERAGE(_xlfn._xlws.FILTER($BD:$BD,($BA:$BA=$BI95)*($BC:$BC=_xlfn.NUMBERVALUE($BK95)))),""),"")</f>
        <v/>
      </c>
      <c r="DN95" s="10" t="str" cm="1">
        <f t="array" ref="DN95">IF($BL95&lt;&gt;"",IFERROR(AVERAGE(_xlfn._xlws.FILTER($BD:$BD,($BA:$BA=$BI95)*($BC:$BC=_xlfn.NUMBERVALUE($BL95)))),""),"")</f>
        <v/>
      </c>
      <c r="DO95" s="10" t="str" cm="1">
        <f t="array" ref="DO95">IF($BM95&lt;&gt;"",IFERROR(AVERAGE(_xlfn._xlws.FILTER($BD:$BD,($BA:$BA=$BI95)*($BC:$BC=_xlfn.NUMBERVALUE($BM95)))),""),"")</f>
        <v/>
      </c>
      <c r="DP95" s="10" t="str" cm="1">
        <f t="array" ref="DP95">IF($BN95&lt;&gt;"",IFERROR(AVERAGE(_xlfn._xlws.FILTER($BD:$BD,($BA:$BA=$BI95)*($BC:$BC=_xlfn.NUMBERVALUE($BN95)))),""),"")</f>
        <v/>
      </c>
      <c r="DQ95" s="10" t="str" cm="1">
        <f t="array" ref="DQ95">IF($BO95&lt;&gt;"",IFERROR(AVERAGE(_xlfn._xlws.FILTER($BD:$BD,($BA:$BA=$BI95)*($BC:$BC=_xlfn.NUMBERVALUE($BO95)))),""),"")</f>
        <v/>
      </c>
      <c r="DX95" t="str" cm="1">
        <f t="array" ref="DX95">IF($BJ95&lt;&gt;"",IFERROR(AVERAGE(_xlfn._xlws.FILTER($BE:$BE,($BA:$BA=$BI95)*($BC:$BC=_xlfn.NUMBERVALUE($BJ95)))),""),"")</f>
        <v/>
      </c>
      <c r="DY95" s="10" t="str" cm="1">
        <f t="array" ref="DY95">IF($BK95&lt;&gt;"",IFERROR(AVERAGE(_xlfn._xlws.FILTER($BE:$BE,($BA:$BA=$BI95)*($BC:$BC=_xlfn.NUMBERVALUE($BK95)))),""),"")</f>
        <v/>
      </c>
      <c r="DZ95" s="10" t="str" cm="1">
        <f t="array" ref="DZ95">IF($BL95&lt;&gt;"",IFERROR(AVERAGE(_xlfn._xlws.FILTER($BE:$BE,($BA:$BA=$BI95)*($BC:$BC=_xlfn.NUMBERVALUE($BL95)))),""),"")</f>
        <v/>
      </c>
      <c r="EA95" s="10" t="str" cm="1">
        <f t="array" ref="EA95">IF($BM95&lt;&gt;"",IFERROR(AVERAGE(_xlfn._xlws.FILTER($BE:$BE,($BA:$BA=$BI95)*($BC:$BC=_xlfn.NUMBERVALUE($BM95)))),""),"")</f>
        <v/>
      </c>
      <c r="EB95" s="10" t="str" cm="1">
        <f t="array" ref="EB95">IF($BN95&lt;&gt;"",IFERROR(AVERAGE(_xlfn._xlws.FILTER($BE:$BE,($BA:$BA=$BI95)*($BC:$BC=_xlfn.NUMBERVALUE($BN95)))),""),"")</f>
        <v/>
      </c>
      <c r="EC95" s="10" t="str" cm="1">
        <f t="array" ref="EC95">IF($BO95&lt;&gt;"",IFERROR(AVERAGE(_xlfn._xlws.FILTER($BE:$BE,($BA:$BA=$BI95)*($BC:$BC=_xlfn.NUMBERVALUE($BO95)))),""),"")</f>
        <v/>
      </c>
    </row>
    <row r="96" spans="49:133" x14ac:dyDescent="0.3">
      <c r="AW96" s="1">
        <v>4.0999999999999996</v>
      </c>
      <c r="AX96" s="1">
        <v>4.0999999999999996</v>
      </c>
      <c r="AY96" t="str">
        <v>R080_HI782-0_0.0_LOT0428_PW5W.1_QC.xlsx</v>
      </c>
      <c r="AZ96" t="str">
        <v>LOT0428</v>
      </c>
      <c r="BA96" s="3">
        <v>4</v>
      </c>
      <c r="BB96" t="str">
        <v>P/Final</v>
      </c>
      <c r="BC96">
        <v>60</v>
      </c>
      <c r="BD96" s="10">
        <v>64.900000000000006</v>
      </c>
      <c r="BE96" s="10">
        <v>0</v>
      </c>
      <c r="BF96" s="10">
        <v>0</v>
      </c>
      <c r="BG96" s="13">
        <v>45330</v>
      </c>
      <c r="BP96" s="10" t="str" cm="1">
        <f t="array" ref="BP96">IF($BJ96&lt;&gt;"",IFERROR(AVERAGE(_xlfn._xlws.FILTER($BD:$BD,($BA:$BA=$BI96)*($BC:$BC=_xlfn.NUMBERVALUE($BJ96)))),""),"")</f>
        <v/>
      </c>
      <c r="BQ96" s="10" t="str" cm="1">
        <f t="array" ref="BQ96">IF($BK96&lt;&gt;"",IFERROR(AVERAGE(_xlfn._xlws.FILTER($BD:$BD,($BA:$BA=$BI96)*($BC:$BC=_xlfn.NUMBERVALUE($BK96)))),""),"")</f>
        <v/>
      </c>
      <c r="BR96" s="10" t="str" cm="1">
        <f t="array" ref="BR96">IF($BL96&lt;&gt;"",IFERROR(AVERAGE(_xlfn._xlws.FILTER($BD:$BD,($BA:$BA=$BI96)*($BC:$BC=_xlfn.NUMBERVALUE($BL96)))),""),"")</f>
        <v/>
      </c>
      <c r="BS96" s="10" t="str" cm="1">
        <f t="array" ref="BS96">IF($BM96&lt;&gt;"",IFERROR(AVERAGE(_xlfn._xlws.FILTER($BD:$BD,($BA:$BA=$BI96)*($BC:$BC=_xlfn.NUMBERVALUE($BM96)))),""),"")</f>
        <v/>
      </c>
      <c r="BT96" s="10" t="str" cm="1">
        <f t="array" ref="BT96">IF($BN96&lt;&gt;"",IFERROR(AVERAGE(_xlfn._xlws.FILTER($BD:$BD,($BA:$BA=$BI96)*($BC:$BC=_xlfn.NUMBERVALUE($BN96)))),""),"")</f>
        <v/>
      </c>
      <c r="BU96" s="10" t="str" cm="1">
        <f t="array" ref="BU96">IF($BO96&lt;&gt;"",IFERROR(AVERAGE(_xlfn._xlws.FILTER($BD:$BD,($BA:$BA=$BI96)*($BC:$BC=_xlfn.NUMBERVALUE($BO96)))),""),"")</f>
        <v/>
      </c>
      <c r="DL96" s="10" t="str" cm="1">
        <f t="array" ref="DL96">IF($BJ96&lt;&gt;"",IFERROR(AVERAGE(_xlfn._xlws.FILTER($BD:$BD,($BA:$BA=$BI96)*($BC:$BC=_xlfn.NUMBERVALUE($BJ96)))),""),"")</f>
        <v/>
      </c>
      <c r="DM96" s="10" t="str" cm="1">
        <f t="array" ref="DM96">IF($BK96&lt;&gt;"",IFERROR(AVERAGE(_xlfn._xlws.FILTER($BD:$BD,($BA:$BA=$BI96)*($BC:$BC=_xlfn.NUMBERVALUE($BK96)))),""),"")</f>
        <v/>
      </c>
      <c r="DN96" s="10" t="str" cm="1">
        <f t="array" ref="DN96">IF($BL96&lt;&gt;"",IFERROR(AVERAGE(_xlfn._xlws.FILTER($BD:$BD,($BA:$BA=$BI96)*($BC:$BC=_xlfn.NUMBERVALUE($BL96)))),""),"")</f>
        <v/>
      </c>
      <c r="DO96" s="10" t="str" cm="1">
        <f t="array" ref="DO96">IF($BM96&lt;&gt;"",IFERROR(AVERAGE(_xlfn._xlws.FILTER($BD:$BD,($BA:$BA=$BI96)*($BC:$BC=_xlfn.NUMBERVALUE($BM96)))),""),"")</f>
        <v/>
      </c>
      <c r="DP96" s="10" t="str" cm="1">
        <f t="array" ref="DP96">IF($BN96&lt;&gt;"",IFERROR(AVERAGE(_xlfn._xlws.FILTER($BD:$BD,($BA:$BA=$BI96)*($BC:$BC=_xlfn.NUMBERVALUE($BN96)))),""),"")</f>
        <v/>
      </c>
      <c r="DQ96" s="10" t="str" cm="1">
        <f t="array" ref="DQ96">IF($BO96&lt;&gt;"",IFERROR(AVERAGE(_xlfn._xlws.FILTER($BD:$BD,($BA:$BA=$BI96)*($BC:$BC=_xlfn.NUMBERVALUE($BO96)))),""),"")</f>
        <v/>
      </c>
      <c r="DX96" t="str" cm="1">
        <f t="array" ref="DX96">IF($BJ96&lt;&gt;"",IFERROR(AVERAGE(_xlfn._xlws.FILTER($BE:$BE,($BA:$BA=$BI96)*($BC:$BC=_xlfn.NUMBERVALUE($BJ96)))),""),"")</f>
        <v/>
      </c>
      <c r="DY96" s="10" t="str" cm="1">
        <f t="array" ref="DY96">IF($BK96&lt;&gt;"",IFERROR(AVERAGE(_xlfn._xlws.FILTER($BE:$BE,($BA:$BA=$BI96)*($BC:$BC=_xlfn.NUMBERVALUE($BK96)))),""),"")</f>
        <v/>
      </c>
      <c r="DZ96" s="10" t="str" cm="1">
        <f t="array" ref="DZ96">IF($BL96&lt;&gt;"",IFERROR(AVERAGE(_xlfn._xlws.FILTER($BE:$BE,($BA:$BA=$BI96)*($BC:$BC=_xlfn.NUMBERVALUE($BL96)))),""),"")</f>
        <v/>
      </c>
      <c r="EA96" s="10" t="str" cm="1">
        <f t="array" ref="EA96">IF($BM96&lt;&gt;"",IFERROR(AVERAGE(_xlfn._xlws.FILTER($BE:$BE,($BA:$BA=$BI96)*($BC:$BC=_xlfn.NUMBERVALUE($BM96)))),""),"")</f>
        <v/>
      </c>
      <c r="EB96" s="10" t="str" cm="1">
        <f t="array" ref="EB96">IF($BN96&lt;&gt;"",IFERROR(AVERAGE(_xlfn._xlws.FILTER($BE:$BE,($BA:$BA=$BI96)*($BC:$BC=_xlfn.NUMBERVALUE($BN96)))),""),"")</f>
        <v/>
      </c>
      <c r="EC96" s="10" t="str" cm="1">
        <f t="array" ref="EC96">IF($BO96&lt;&gt;"",IFERROR(AVERAGE(_xlfn._xlws.FILTER($BE:$BE,($BA:$BA=$BI96)*($BC:$BC=_xlfn.NUMBERVALUE($BO96)))),""),"")</f>
        <v/>
      </c>
    </row>
    <row r="97" spans="49:133" x14ac:dyDescent="0.3">
      <c r="AW97" s="1">
        <v>4.0999999999999996</v>
      </c>
      <c r="AX97" s="1">
        <v>4.0999999999999996</v>
      </c>
      <c r="AY97" t="str">
        <v>R080_HI782-0_0.0_LOT0428_PW5W.1_QC.xlsx</v>
      </c>
      <c r="AZ97" t="str">
        <v>LOT0428</v>
      </c>
      <c r="BA97" s="3">
        <v>4</v>
      </c>
      <c r="BB97" t="str">
        <v>P/Final</v>
      </c>
      <c r="BC97">
        <v>60</v>
      </c>
      <c r="BD97" s="10">
        <v>61.8</v>
      </c>
      <c r="BE97" s="10">
        <v>0</v>
      </c>
      <c r="BF97" s="10">
        <v>0</v>
      </c>
      <c r="BG97" s="13">
        <v>45330</v>
      </c>
      <c r="BP97" s="10" t="str" cm="1">
        <f t="array" ref="BP97">IF($BJ97&lt;&gt;"",IFERROR(AVERAGE(_xlfn._xlws.FILTER($BD:$BD,($BA:$BA=$BI97)*($BC:$BC=_xlfn.NUMBERVALUE($BJ97)))),""),"")</f>
        <v/>
      </c>
      <c r="BQ97" s="10" t="str" cm="1">
        <f t="array" ref="BQ97">IF($BK97&lt;&gt;"",IFERROR(AVERAGE(_xlfn._xlws.FILTER($BD:$BD,($BA:$BA=$BI97)*($BC:$BC=_xlfn.NUMBERVALUE($BK97)))),""),"")</f>
        <v/>
      </c>
      <c r="BR97" s="10" t="str" cm="1">
        <f t="array" ref="BR97">IF($BL97&lt;&gt;"",IFERROR(AVERAGE(_xlfn._xlws.FILTER($BD:$BD,($BA:$BA=$BI97)*($BC:$BC=_xlfn.NUMBERVALUE($BL97)))),""),"")</f>
        <v/>
      </c>
      <c r="BS97" s="10" t="str" cm="1">
        <f t="array" ref="BS97">IF($BM97&lt;&gt;"",IFERROR(AVERAGE(_xlfn._xlws.FILTER($BD:$BD,($BA:$BA=$BI97)*($BC:$BC=_xlfn.NUMBERVALUE($BM97)))),""),"")</f>
        <v/>
      </c>
      <c r="BT97" s="10" t="str" cm="1">
        <f t="array" ref="BT97">IF($BN97&lt;&gt;"",IFERROR(AVERAGE(_xlfn._xlws.FILTER($BD:$BD,($BA:$BA=$BI97)*($BC:$BC=_xlfn.NUMBERVALUE($BN97)))),""),"")</f>
        <v/>
      </c>
      <c r="BU97" s="10" t="str" cm="1">
        <f t="array" ref="BU97">IF($BO97&lt;&gt;"",IFERROR(AVERAGE(_xlfn._xlws.FILTER($BD:$BD,($BA:$BA=$BI97)*($BC:$BC=_xlfn.NUMBERVALUE($BO97)))),""),"")</f>
        <v/>
      </c>
      <c r="DL97" s="10" t="str" cm="1">
        <f t="array" ref="DL97">IF($BJ97&lt;&gt;"",IFERROR(AVERAGE(_xlfn._xlws.FILTER($BD:$BD,($BA:$BA=$BI97)*($BC:$BC=_xlfn.NUMBERVALUE($BJ97)))),""),"")</f>
        <v/>
      </c>
      <c r="DM97" s="10" t="str" cm="1">
        <f t="array" ref="DM97">IF($BK97&lt;&gt;"",IFERROR(AVERAGE(_xlfn._xlws.FILTER($BD:$BD,($BA:$BA=$BI97)*($BC:$BC=_xlfn.NUMBERVALUE($BK97)))),""),"")</f>
        <v/>
      </c>
      <c r="DN97" s="10" t="str" cm="1">
        <f t="array" ref="DN97">IF($BL97&lt;&gt;"",IFERROR(AVERAGE(_xlfn._xlws.FILTER($BD:$BD,($BA:$BA=$BI97)*($BC:$BC=_xlfn.NUMBERVALUE($BL97)))),""),"")</f>
        <v/>
      </c>
      <c r="DO97" s="10" t="str" cm="1">
        <f t="array" ref="DO97">IF($BM97&lt;&gt;"",IFERROR(AVERAGE(_xlfn._xlws.FILTER($BD:$BD,($BA:$BA=$BI97)*($BC:$BC=_xlfn.NUMBERVALUE($BM97)))),""),"")</f>
        <v/>
      </c>
      <c r="DP97" s="10" t="str" cm="1">
        <f t="array" ref="DP97">IF($BN97&lt;&gt;"",IFERROR(AVERAGE(_xlfn._xlws.FILTER($BD:$BD,($BA:$BA=$BI97)*($BC:$BC=_xlfn.NUMBERVALUE($BN97)))),""),"")</f>
        <v/>
      </c>
      <c r="DQ97" s="10" t="str" cm="1">
        <f t="array" ref="DQ97">IF($BO97&lt;&gt;"",IFERROR(AVERAGE(_xlfn._xlws.FILTER($BD:$BD,($BA:$BA=$BI97)*($BC:$BC=_xlfn.NUMBERVALUE($BO97)))),""),"")</f>
        <v/>
      </c>
      <c r="DX97" t="str" cm="1">
        <f t="array" ref="DX97">IF($BJ97&lt;&gt;"",IFERROR(AVERAGE(_xlfn._xlws.FILTER($BE:$BE,($BA:$BA=$BI97)*($BC:$BC=_xlfn.NUMBERVALUE($BJ97)))),""),"")</f>
        <v/>
      </c>
      <c r="DY97" s="10" t="str" cm="1">
        <f t="array" ref="DY97">IF($BK97&lt;&gt;"",IFERROR(AVERAGE(_xlfn._xlws.FILTER($BE:$BE,($BA:$BA=$BI97)*($BC:$BC=_xlfn.NUMBERVALUE($BK97)))),""),"")</f>
        <v/>
      </c>
      <c r="DZ97" s="10" t="str" cm="1">
        <f t="array" ref="DZ97">IF($BL97&lt;&gt;"",IFERROR(AVERAGE(_xlfn._xlws.FILTER($BE:$BE,($BA:$BA=$BI97)*($BC:$BC=_xlfn.NUMBERVALUE($BL97)))),""),"")</f>
        <v/>
      </c>
      <c r="EA97" s="10" t="str" cm="1">
        <f t="array" ref="EA97">IF($BM97&lt;&gt;"",IFERROR(AVERAGE(_xlfn._xlws.FILTER($BE:$BE,($BA:$BA=$BI97)*($BC:$BC=_xlfn.NUMBERVALUE($BM97)))),""),"")</f>
        <v/>
      </c>
      <c r="EB97" s="10" t="str" cm="1">
        <f t="array" ref="EB97">IF($BN97&lt;&gt;"",IFERROR(AVERAGE(_xlfn._xlws.FILTER($BE:$BE,($BA:$BA=$BI97)*($BC:$BC=_xlfn.NUMBERVALUE($BN97)))),""),"")</f>
        <v/>
      </c>
      <c r="EC97" s="10" t="str" cm="1">
        <f t="array" ref="EC97">IF($BO97&lt;&gt;"",IFERROR(AVERAGE(_xlfn._xlws.FILTER($BE:$BE,($BA:$BA=$BI97)*($BC:$BC=_xlfn.NUMBERVALUE($BO97)))),""),"")</f>
        <v/>
      </c>
    </row>
    <row r="98" spans="49:133" x14ac:dyDescent="0.3">
      <c r="AW98" s="1">
        <v>4.0999999999999996</v>
      </c>
      <c r="AX98" s="1">
        <v>4.0999999999999996</v>
      </c>
      <c r="AY98" t="str">
        <v>R080_HI782-0_0.0_LOT0428_PW5W.1_QC.xlsx</v>
      </c>
      <c r="AZ98" t="str">
        <v>LOT0428</v>
      </c>
      <c r="BA98" s="3">
        <v>4</v>
      </c>
      <c r="BB98" t="str">
        <v>P/Final</v>
      </c>
      <c r="BC98">
        <v>60</v>
      </c>
      <c r="BD98" s="10">
        <v>63.6</v>
      </c>
      <c r="BE98" s="10">
        <v>0</v>
      </c>
      <c r="BF98" s="10">
        <v>0</v>
      </c>
      <c r="BG98" s="13">
        <v>45330</v>
      </c>
      <c r="BP98" s="10" t="str" cm="1">
        <f t="array" ref="BP98">IF($BJ98&lt;&gt;"",IFERROR(AVERAGE(_xlfn._xlws.FILTER($BD:$BD,($BA:$BA=$BI98)*($BC:$BC=_xlfn.NUMBERVALUE($BJ98)))),""),"")</f>
        <v/>
      </c>
      <c r="BQ98" s="10" t="str" cm="1">
        <f t="array" ref="BQ98">IF($BK98&lt;&gt;"",IFERROR(AVERAGE(_xlfn._xlws.FILTER($BD:$BD,($BA:$BA=$BI98)*($BC:$BC=_xlfn.NUMBERVALUE($BK98)))),""),"")</f>
        <v/>
      </c>
      <c r="BR98" s="10" t="str" cm="1">
        <f t="array" ref="BR98">IF($BL98&lt;&gt;"",IFERROR(AVERAGE(_xlfn._xlws.FILTER($BD:$BD,($BA:$BA=$BI98)*($BC:$BC=_xlfn.NUMBERVALUE($BL98)))),""),"")</f>
        <v/>
      </c>
      <c r="BS98" s="10" t="str" cm="1">
        <f t="array" ref="BS98">IF($BM98&lt;&gt;"",IFERROR(AVERAGE(_xlfn._xlws.FILTER($BD:$BD,($BA:$BA=$BI98)*($BC:$BC=_xlfn.NUMBERVALUE($BM98)))),""),"")</f>
        <v/>
      </c>
      <c r="BT98" s="10" t="str" cm="1">
        <f t="array" ref="BT98">IF($BN98&lt;&gt;"",IFERROR(AVERAGE(_xlfn._xlws.FILTER($BD:$BD,($BA:$BA=$BI98)*($BC:$BC=_xlfn.NUMBERVALUE($BN98)))),""),"")</f>
        <v/>
      </c>
      <c r="BU98" s="10" t="str" cm="1">
        <f t="array" ref="BU98">IF($BO98&lt;&gt;"",IFERROR(AVERAGE(_xlfn._xlws.FILTER($BD:$BD,($BA:$BA=$BI98)*($BC:$BC=_xlfn.NUMBERVALUE($BO98)))),""),"")</f>
        <v/>
      </c>
      <c r="DL98" s="10" t="str" cm="1">
        <f t="array" ref="DL98">IF($BJ98&lt;&gt;"",IFERROR(AVERAGE(_xlfn._xlws.FILTER($BD:$BD,($BA:$BA=$BI98)*($BC:$BC=_xlfn.NUMBERVALUE($BJ98)))),""),"")</f>
        <v/>
      </c>
      <c r="DM98" s="10" t="str" cm="1">
        <f t="array" ref="DM98">IF($BK98&lt;&gt;"",IFERROR(AVERAGE(_xlfn._xlws.FILTER($BD:$BD,($BA:$BA=$BI98)*($BC:$BC=_xlfn.NUMBERVALUE($BK98)))),""),"")</f>
        <v/>
      </c>
      <c r="DN98" s="10" t="str" cm="1">
        <f t="array" ref="DN98">IF($BL98&lt;&gt;"",IFERROR(AVERAGE(_xlfn._xlws.FILTER($BD:$BD,($BA:$BA=$BI98)*($BC:$BC=_xlfn.NUMBERVALUE($BL98)))),""),"")</f>
        <v/>
      </c>
      <c r="DO98" s="10" t="str" cm="1">
        <f t="array" ref="DO98">IF($BM98&lt;&gt;"",IFERROR(AVERAGE(_xlfn._xlws.FILTER($BD:$BD,($BA:$BA=$BI98)*($BC:$BC=_xlfn.NUMBERVALUE($BM98)))),""),"")</f>
        <v/>
      </c>
      <c r="DP98" s="10" t="str" cm="1">
        <f t="array" ref="DP98">IF($BN98&lt;&gt;"",IFERROR(AVERAGE(_xlfn._xlws.FILTER($BD:$BD,($BA:$BA=$BI98)*($BC:$BC=_xlfn.NUMBERVALUE($BN98)))),""),"")</f>
        <v/>
      </c>
      <c r="DQ98" s="10" t="str" cm="1">
        <f t="array" ref="DQ98">IF($BO98&lt;&gt;"",IFERROR(AVERAGE(_xlfn._xlws.FILTER($BD:$BD,($BA:$BA=$BI98)*($BC:$BC=_xlfn.NUMBERVALUE($BO98)))),""),"")</f>
        <v/>
      </c>
      <c r="DX98" t="str" cm="1">
        <f t="array" ref="DX98">IF($BJ98&lt;&gt;"",IFERROR(AVERAGE(_xlfn._xlws.FILTER($BE:$BE,($BA:$BA=$BI98)*($BC:$BC=_xlfn.NUMBERVALUE($BJ98)))),""),"")</f>
        <v/>
      </c>
      <c r="DY98" s="10" t="str" cm="1">
        <f t="array" ref="DY98">IF($BK98&lt;&gt;"",IFERROR(AVERAGE(_xlfn._xlws.FILTER($BE:$BE,($BA:$BA=$BI98)*($BC:$BC=_xlfn.NUMBERVALUE($BK98)))),""),"")</f>
        <v/>
      </c>
      <c r="DZ98" s="10" t="str" cm="1">
        <f t="array" ref="DZ98">IF($BL98&lt;&gt;"",IFERROR(AVERAGE(_xlfn._xlws.FILTER($BE:$BE,($BA:$BA=$BI98)*($BC:$BC=_xlfn.NUMBERVALUE($BL98)))),""),"")</f>
        <v/>
      </c>
      <c r="EA98" s="10" t="str" cm="1">
        <f t="array" ref="EA98">IF($BM98&lt;&gt;"",IFERROR(AVERAGE(_xlfn._xlws.FILTER($BE:$BE,($BA:$BA=$BI98)*($BC:$BC=_xlfn.NUMBERVALUE($BM98)))),""),"")</f>
        <v/>
      </c>
      <c r="EB98" s="10" t="str" cm="1">
        <f t="array" ref="EB98">IF($BN98&lt;&gt;"",IFERROR(AVERAGE(_xlfn._xlws.FILTER($BE:$BE,($BA:$BA=$BI98)*($BC:$BC=_xlfn.NUMBERVALUE($BN98)))),""),"")</f>
        <v/>
      </c>
      <c r="EC98" s="10" t="str" cm="1">
        <f t="array" ref="EC98">IF($BO98&lt;&gt;"",IFERROR(AVERAGE(_xlfn._xlws.FILTER($BE:$BE,($BA:$BA=$BI98)*($BC:$BC=_xlfn.NUMBERVALUE($BO98)))),""),"")</f>
        <v/>
      </c>
    </row>
    <row r="99" spans="49:133" x14ac:dyDescent="0.3">
      <c r="AW99" s="1">
        <v>4.0999999999999996</v>
      </c>
      <c r="AX99" s="1">
        <v>4.0999999999999996</v>
      </c>
      <c r="AY99" t="str">
        <v>R080_HI782-0_0.0_LOT0428_PW5W.1_QC.xlsx</v>
      </c>
      <c r="AZ99" t="str">
        <v>LOT0428</v>
      </c>
      <c r="BA99" s="3">
        <v>4</v>
      </c>
      <c r="BB99" t="str">
        <v>P/Final</v>
      </c>
      <c r="BC99">
        <v>60</v>
      </c>
      <c r="BD99" s="10">
        <v>60</v>
      </c>
      <c r="BE99" s="10">
        <v>0</v>
      </c>
      <c r="BF99" s="10">
        <v>0</v>
      </c>
      <c r="BG99" s="13">
        <v>45330</v>
      </c>
      <c r="BP99" s="10" t="str" cm="1">
        <f t="array" ref="BP99">IF($BJ99&lt;&gt;"",IFERROR(AVERAGE(_xlfn._xlws.FILTER($BD:$BD,($BA:$BA=$BI99)*($BC:$BC=_xlfn.NUMBERVALUE($BJ99)))),""),"")</f>
        <v/>
      </c>
      <c r="BQ99" s="10" t="str" cm="1">
        <f t="array" ref="BQ99">IF($BK99&lt;&gt;"",IFERROR(AVERAGE(_xlfn._xlws.FILTER($BD:$BD,($BA:$BA=$BI99)*($BC:$BC=_xlfn.NUMBERVALUE($BK99)))),""),"")</f>
        <v/>
      </c>
      <c r="BR99" s="10" t="str" cm="1">
        <f t="array" ref="BR99">IF($BL99&lt;&gt;"",IFERROR(AVERAGE(_xlfn._xlws.FILTER($BD:$BD,($BA:$BA=$BI99)*($BC:$BC=_xlfn.NUMBERVALUE($BL99)))),""),"")</f>
        <v/>
      </c>
      <c r="BS99" s="10" t="str" cm="1">
        <f t="array" ref="BS99">IF($BM99&lt;&gt;"",IFERROR(AVERAGE(_xlfn._xlws.FILTER($BD:$BD,($BA:$BA=$BI99)*($BC:$BC=_xlfn.NUMBERVALUE($BM99)))),""),"")</f>
        <v/>
      </c>
      <c r="BT99" s="10" t="str" cm="1">
        <f t="array" ref="BT99">IF($BN99&lt;&gt;"",IFERROR(AVERAGE(_xlfn._xlws.FILTER($BD:$BD,($BA:$BA=$BI99)*($BC:$BC=_xlfn.NUMBERVALUE($BN99)))),""),"")</f>
        <v/>
      </c>
      <c r="BU99" s="10" t="str" cm="1">
        <f t="array" ref="BU99">IF($BO99&lt;&gt;"",IFERROR(AVERAGE(_xlfn._xlws.FILTER($BD:$BD,($BA:$BA=$BI99)*($BC:$BC=_xlfn.NUMBERVALUE($BO99)))),""),"")</f>
        <v/>
      </c>
      <c r="DL99" s="10" t="str" cm="1">
        <f t="array" ref="DL99">IF($BJ99&lt;&gt;"",IFERROR(AVERAGE(_xlfn._xlws.FILTER($BD:$BD,($BA:$BA=$BI99)*($BC:$BC=_xlfn.NUMBERVALUE($BJ99)))),""),"")</f>
        <v/>
      </c>
      <c r="DM99" s="10" t="str" cm="1">
        <f t="array" ref="DM99">IF($BK99&lt;&gt;"",IFERROR(AVERAGE(_xlfn._xlws.FILTER($BD:$BD,($BA:$BA=$BI99)*($BC:$BC=_xlfn.NUMBERVALUE($BK99)))),""),"")</f>
        <v/>
      </c>
      <c r="DN99" s="10" t="str" cm="1">
        <f t="array" ref="DN99">IF($BL99&lt;&gt;"",IFERROR(AVERAGE(_xlfn._xlws.FILTER($BD:$BD,($BA:$BA=$BI99)*($BC:$BC=_xlfn.NUMBERVALUE($BL99)))),""),"")</f>
        <v/>
      </c>
      <c r="DO99" s="10" t="str" cm="1">
        <f t="array" ref="DO99">IF($BM99&lt;&gt;"",IFERROR(AVERAGE(_xlfn._xlws.FILTER($BD:$BD,($BA:$BA=$BI99)*($BC:$BC=_xlfn.NUMBERVALUE($BM99)))),""),"")</f>
        <v/>
      </c>
      <c r="DP99" s="10" t="str" cm="1">
        <f t="array" ref="DP99">IF($BN99&lt;&gt;"",IFERROR(AVERAGE(_xlfn._xlws.FILTER($BD:$BD,($BA:$BA=$BI99)*($BC:$BC=_xlfn.NUMBERVALUE($BN99)))),""),"")</f>
        <v/>
      </c>
      <c r="DQ99" s="10" t="str" cm="1">
        <f t="array" ref="DQ99">IF($BO99&lt;&gt;"",IFERROR(AVERAGE(_xlfn._xlws.FILTER($BD:$BD,($BA:$BA=$BI99)*($BC:$BC=_xlfn.NUMBERVALUE($BO99)))),""),"")</f>
        <v/>
      </c>
      <c r="DX99" t="str" cm="1">
        <f t="array" ref="DX99">IF($BJ99&lt;&gt;"",IFERROR(AVERAGE(_xlfn._xlws.FILTER($BE:$BE,($BA:$BA=$BI99)*($BC:$BC=_xlfn.NUMBERVALUE($BJ99)))),""),"")</f>
        <v/>
      </c>
      <c r="DY99" s="10" t="str" cm="1">
        <f t="array" ref="DY99">IF($BK99&lt;&gt;"",IFERROR(AVERAGE(_xlfn._xlws.FILTER($BE:$BE,($BA:$BA=$BI99)*($BC:$BC=_xlfn.NUMBERVALUE($BK99)))),""),"")</f>
        <v/>
      </c>
      <c r="DZ99" s="10" t="str" cm="1">
        <f t="array" ref="DZ99">IF($BL99&lt;&gt;"",IFERROR(AVERAGE(_xlfn._xlws.FILTER($BE:$BE,($BA:$BA=$BI99)*($BC:$BC=_xlfn.NUMBERVALUE($BL99)))),""),"")</f>
        <v/>
      </c>
      <c r="EA99" s="10" t="str" cm="1">
        <f t="array" ref="EA99">IF($BM99&lt;&gt;"",IFERROR(AVERAGE(_xlfn._xlws.FILTER($BE:$BE,($BA:$BA=$BI99)*($BC:$BC=_xlfn.NUMBERVALUE($BM99)))),""),"")</f>
        <v/>
      </c>
      <c r="EB99" s="10" t="str" cm="1">
        <f t="array" ref="EB99">IF($BN99&lt;&gt;"",IFERROR(AVERAGE(_xlfn._xlws.FILTER($BE:$BE,($BA:$BA=$BI99)*($BC:$BC=_xlfn.NUMBERVALUE($BN99)))),""),"")</f>
        <v/>
      </c>
      <c r="EC99" s="10" t="str" cm="1">
        <f t="array" ref="EC99">IF($BO99&lt;&gt;"",IFERROR(AVERAGE(_xlfn._xlws.FILTER($BE:$BE,($BA:$BA=$BI99)*($BC:$BC=_xlfn.NUMBERVALUE($BO99)))),""),"")</f>
        <v/>
      </c>
    </row>
    <row r="100" spans="49:133" x14ac:dyDescent="0.3">
      <c r="AW100" s="1">
        <v>4.0999999999999996</v>
      </c>
      <c r="AX100" s="1">
        <v>4.0999999999999996</v>
      </c>
      <c r="AY100" t="str">
        <v>R080_HI782-0_0.0_LOT0428_PW5W.1_QC.xlsx</v>
      </c>
      <c r="AZ100" t="str">
        <v>LOT0428</v>
      </c>
      <c r="BA100" s="3">
        <v>4</v>
      </c>
      <c r="BB100" t="str">
        <v>P/Final</v>
      </c>
      <c r="BC100">
        <v>60</v>
      </c>
      <c r="BD100" s="10">
        <v>59.8</v>
      </c>
      <c r="BE100" s="10">
        <v>0</v>
      </c>
      <c r="BF100" s="10">
        <v>0</v>
      </c>
      <c r="BG100" s="13">
        <v>45330</v>
      </c>
      <c r="BP100" s="10" t="str" cm="1">
        <f t="array" ref="BP100">IF($BJ100&lt;&gt;"",IFERROR(AVERAGE(_xlfn._xlws.FILTER($BD:$BD,($BA:$BA=$BI100)*($BC:$BC=_xlfn.NUMBERVALUE($BJ100)))),""),"")</f>
        <v/>
      </c>
      <c r="BQ100" s="10" t="str" cm="1">
        <f t="array" ref="BQ100">IF($BK100&lt;&gt;"",IFERROR(AVERAGE(_xlfn._xlws.FILTER($BD:$BD,($BA:$BA=$BI100)*($BC:$BC=_xlfn.NUMBERVALUE($BK100)))),""),"")</f>
        <v/>
      </c>
      <c r="BR100" s="10" t="str" cm="1">
        <f t="array" ref="BR100">IF($BL100&lt;&gt;"",IFERROR(AVERAGE(_xlfn._xlws.FILTER($BD:$BD,($BA:$BA=$BI100)*($BC:$BC=_xlfn.NUMBERVALUE($BL100)))),""),"")</f>
        <v/>
      </c>
      <c r="BS100" s="10" t="str" cm="1">
        <f t="array" ref="BS100">IF($BM100&lt;&gt;"",IFERROR(AVERAGE(_xlfn._xlws.FILTER($BD:$BD,($BA:$BA=$BI100)*($BC:$BC=_xlfn.NUMBERVALUE($BM100)))),""),"")</f>
        <v/>
      </c>
      <c r="BT100" s="10" t="str" cm="1">
        <f t="array" ref="BT100">IF($BN100&lt;&gt;"",IFERROR(AVERAGE(_xlfn._xlws.FILTER($BD:$BD,($BA:$BA=$BI100)*($BC:$BC=_xlfn.NUMBERVALUE($BN100)))),""),"")</f>
        <v/>
      </c>
      <c r="BU100" s="10" t="str" cm="1">
        <f t="array" ref="BU100">IF($BO100&lt;&gt;"",IFERROR(AVERAGE(_xlfn._xlws.FILTER($BD:$BD,($BA:$BA=$BI100)*($BC:$BC=_xlfn.NUMBERVALUE($BO100)))),""),"")</f>
        <v/>
      </c>
      <c r="DL100" s="10" t="str" cm="1">
        <f t="array" ref="DL100">IF($BJ100&lt;&gt;"",IFERROR(AVERAGE(_xlfn._xlws.FILTER($BD:$BD,($BA:$BA=$BI100)*($BC:$BC=_xlfn.NUMBERVALUE($BJ100)))),""),"")</f>
        <v/>
      </c>
      <c r="DM100" s="10" t="str" cm="1">
        <f t="array" ref="DM100">IF($BK100&lt;&gt;"",IFERROR(AVERAGE(_xlfn._xlws.FILTER($BD:$BD,($BA:$BA=$BI100)*($BC:$BC=_xlfn.NUMBERVALUE($BK100)))),""),"")</f>
        <v/>
      </c>
      <c r="DN100" s="10" t="str" cm="1">
        <f t="array" ref="DN100">IF($BL100&lt;&gt;"",IFERROR(AVERAGE(_xlfn._xlws.FILTER($BD:$BD,($BA:$BA=$BI100)*($BC:$BC=_xlfn.NUMBERVALUE($BL100)))),""),"")</f>
        <v/>
      </c>
      <c r="DO100" s="10" t="str" cm="1">
        <f t="array" ref="DO100">IF($BM100&lt;&gt;"",IFERROR(AVERAGE(_xlfn._xlws.FILTER($BD:$BD,($BA:$BA=$BI100)*($BC:$BC=_xlfn.NUMBERVALUE($BM100)))),""),"")</f>
        <v/>
      </c>
      <c r="DP100" s="10" t="str" cm="1">
        <f t="array" ref="DP100">IF($BN100&lt;&gt;"",IFERROR(AVERAGE(_xlfn._xlws.FILTER($BD:$BD,($BA:$BA=$BI100)*($BC:$BC=_xlfn.NUMBERVALUE($BN100)))),""),"")</f>
        <v/>
      </c>
      <c r="DQ100" s="10" t="str" cm="1">
        <f t="array" ref="DQ100">IF($BO100&lt;&gt;"",IFERROR(AVERAGE(_xlfn._xlws.FILTER($BD:$BD,($BA:$BA=$BI100)*($BC:$BC=_xlfn.NUMBERVALUE($BO100)))),""),"")</f>
        <v/>
      </c>
    </row>
    <row r="101" spans="49:133" x14ac:dyDescent="0.3">
      <c r="AW101" s="1">
        <v>4.0999999999999996</v>
      </c>
      <c r="AX101" s="1">
        <v>4.0999999999999996</v>
      </c>
      <c r="AY101" t="str">
        <v>R080_HI782-0_0.0_LOT0428_PW5W.1_QC.xlsx</v>
      </c>
      <c r="AZ101" t="str">
        <v>LOT0428</v>
      </c>
      <c r="BA101" s="3">
        <v>4</v>
      </c>
      <c r="BB101" t="str">
        <v>P/Final</v>
      </c>
      <c r="BC101">
        <v>60</v>
      </c>
      <c r="BD101" s="10">
        <v>63.9</v>
      </c>
      <c r="BE101" s="10">
        <v>0</v>
      </c>
      <c r="BF101" s="10">
        <v>0</v>
      </c>
      <c r="BG101" s="13">
        <v>45330</v>
      </c>
    </row>
    <row r="102" spans="49:133" x14ac:dyDescent="0.3">
      <c r="AW102" s="1">
        <v>4.0999999999999996</v>
      </c>
      <c r="AX102" s="1">
        <v>4.0999999999999996</v>
      </c>
      <c r="AY102" t="str">
        <v>R080_HI782-0_0.0_LOT0428_PW5W.1_QC.xlsx</v>
      </c>
      <c r="AZ102" t="str">
        <v>LOT0428</v>
      </c>
      <c r="BA102" s="3">
        <v>4</v>
      </c>
      <c r="BB102" t="str">
        <v>P/Final</v>
      </c>
      <c r="BC102">
        <v>0</v>
      </c>
      <c r="BD102" s="10">
        <v>0.1</v>
      </c>
      <c r="BE102" s="10">
        <v>0</v>
      </c>
      <c r="BF102" s="10">
        <v>0</v>
      </c>
      <c r="BG102" s="13">
        <v>45331</v>
      </c>
    </row>
    <row r="103" spans="49:133" x14ac:dyDescent="0.3">
      <c r="AW103" s="1">
        <v>4.0999999999999996</v>
      </c>
      <c r="AX103" s="1">
        <v>4.0999999999999996</v>
      </c>
      <c r="AY103" t="str">
        <v>R080_HI782-0_0.0_LOT0428_PW5W.1_QC.xlsx</v>
      </c>
      <c r="AZ103" t="str">
        <v>LOT0428</v>
      </c>
      <c r="BA103" s="3">
        <v>4</v>
      </c>
      <c r="BB103" t="str">
        <v>P/Final</v>
      </c>
      <c r="BC103">
        <v>0</v>
      </c>
      <c r="BD103" s="10">
        <v>0.1</v>
      </c>
      <c r="BE103" s="10">
        <v>0</v>
      </c>
      <c r="BF103" s="10">
        <v>0</v>
      </c>
      <c r="BG103" s="13">
        <v>45331</v>
      </c>
    </row>
    <row r="104" spans="49:133" x14ac:dyDescent="0.3">
      <c r="AW104" s="1">
        <v>4.0999999999999996</v>
      </c>
      <c r="AX104" s="1">
        <v>4.0999999999999996</v>
      </c>
      <c r="AY104" t="str">
        <v>R080_HI782-0_0.0_LOT0428_PW5W.1_QC.xlsx</v>
      </c>
      <c r="AZ104" t="str">
        <v>LOT0428</v>
      </c>
      <c r="BA104" s="3">
        <v>4</v>
      </c>
      <c r="BB104" t="str">
        <v>P/Final</v>
      </c>
      <c r="BC104">
        <v>15</v>
      </c>
      <c r="BD104" s="10">
        <v>15.2</v>
      </c>
      <c r="BE104" s="10">
        <v>0</v>
      </c>
      <c r="BF104" s="10">
        <v>0</v>
      </c>
      <c r="BG104" s="13">
        <v>45331</v>
      </c>
    </row>
    <row r="105" spans="49:133" x14ac:dyDescent="0.3">
      <c r="AW105" s="1">
        <v>4.0999999999999996</v>
      </c>
      <c r="AX105" s="1">
        <v>4.0999999999999996</v>
      </c>
      <c r="AY105" t="str">
        <v>R080_HI782-0_0.0_LOT0428_PW5W.1_QC.xlsx</v>
      </c>
      <c r="AZ105" t="str">
        <v>LOT0428</v>
      </c>
      <c r="BA105" s="3">
        <v>4</v>
      </c>
      <c r="BB105" t="str">
        <v>P/Final</v>
      </c>
      <c r="BC105">
        <v>15</v>
      </c>
      <c r="BD105" s="10">
        <v>14.6</v>
      </c>
      <c r="BE105" s="10">
        <v>0</v>
      </c>
      <c r="BF105" s="10">
        <v>0</v>
      </c>
      <c r="BG105" s="13">
        <v>45331</v>
      </c>
    </row>
    <row r="106" spans="49:133" x14ac:dyDescent="0.3">
      <c r="AW106" s="1">
        <v>4.0999999999999996</v>
      </c>
      <c r="AX106" s="1">
        <v>4.0999999999999996</v>
      </c>
      <c r="AY106" t="str">
        <v>R080_HI782-0_0.0_LOT0428_PW5W.1_QC.xlsx</v>
      </c>
      <c r="AZ106" t="str">
        <v>LOT0428</v>
      </c>
      <c r="BA106" s="3">
        <v>4</v>
      </c>
      <c r="BB106" t="str">
        <v>P/Final</v>
      </c>
      <c r="BC106">
        <v>15</v>
      </c>
      <c r="BD106" s="10">
        <v>14.7</v>
      </c>
      <c r="BE106" s="10">
        <v>0</v>
      </c>
      <c r="BF106" s="10">
        <v>0</v>
      </c>
      <c r="BG106" s="13">
        <v>45331</v>
      </c>
    </row>
    <row r="107" spans="49:133" x14ac:dyDescent="0.3">
      <c r="AW107" s="1">
        <v>4.0999999999999996</v>
      </c>
      <c r="AX107" s="1">
        <v>4.0999999999999996</v>
      </c>
      <c r="AY107" t="str">
        <v>R080_HI782-0_0.0_LOT0428_PW5W.1_QC.xlsx</v>
      </c>
      <c r="AZ107" t="str">
        <v>LOT0428</v>
      </c>
      <c r="BA107" s="3">
        <v>4</v>
      </c>
      <c r="BB107" t="str">
        <v>P/Final</v>
      </c>
      <c r="BC107">
        <v>15</v>
      </c>
      <c r="BD107" s="10">
        <v>14.7</v>
      </c>
      <c r="BE107" s="10">
        <v>0</v>
      </c>
      <c r="BF107" s="10">
        <v>0</v>
      </c>
      <c r="BG107" s="13">
        <v>45331</v>
      </c>
    </row>
    <row r="108" spans="49:133" x14ac:dyDescent="0.3">
      <c r="AW108" s="1">
        <v>4.0999999999999996</v>
      </c>
      <c r="AX108" s="1">
        <v>4.0999999999999996</v>
      </c>
      <c r="AY108" t="str">
        <v>R080_HI782-0_0.0_LOT0428_PW5W.1_QC.xlsx</v>
      </c>
      <c r="AZ108" t="str">
        <v>LOT0428</v>
      </c>
      <c r="BA108" s="3">
        <v>4</v>
      </c>
      <c r="BB108" t="str">
        <v>P/Final</v>
      </c>
      <c r="BC108">
        <v>15</v>
      </c>
      <c r="BD108" s="10">
        <v>14.5</v>
      </c>
      <c r="BE108" s="10">
        <v>0</v>
      </c>
      <c r="BF108" s="10">
        <v>0</v>
      </c>
      <c r="BG108" s="13">
        <v>45331</v>
      </c>
    </row>
    <row r="109" spans="49:133" x14ac:dyDescent="0.3">
      <c r="AW109" s="1">
        <v>4.0999999999999996</v>
      </c>
      <c r="AX109" s="1">
        <v>4.0999999999999996</v>
      </c>
      <c r="AY109" t="str">
        <v>R080_HI782-0_0.0_LOT0428_PW5W.1_QC.xlsx</v>
      </c>
      <c r="AZ109" t="str">
        <v>LOT0428</v>
      </c>
      <c r="BA109" s="3">
        <v>4</v>
      </c>
      <c r="BB109" t="str">
        <v>P/Final</v>
      </c>
      <c r="BC109">
        <v>15</v>
      </c>
      <c r="BD109" s="10">
        <v>14.8</v>
      </c>
      <c r="BE109" s="10">
        <v>0</v>
      </c>
      <c r="BF109" s="10">
        <v>0</v>
      </c>
      <c r="BG109" s="13">
        <v>45331</v>
      </c>
    </row>
    <row r="110" spans="49:133" x14ac:dyDescent="0.3">
      <c r="AW110" s="1">
        <v>4.0999999999999996</v>
      </c>
      <c r="AX110" s="1">
        <v>4.0999999999999996</v>
      </c>
      <c r="AY110" t="str">
        <v>R080_HI782-0_0.0_LOT0428_PW5W.1_QC.xlsx</v>
      </c>
      <c r="AZ110" t="str">
        <v>LOT0428</v>
      </c>
      <c r="BA110" s="3">
        <v>4</v>
      </c>
      <c r="BB110" t="str">
        <v>P/Final</v>
      </c>
      <c r="BC110">
        <v>15</v>
      </c>
      <c r="BD110" s="10">
        <v>16</v>
      </c>
      <c r="BE110" s="10">
        <v>0</v>
      </c>
      <c r="BF110" s="10">
        <v>0</v>
      </c>
      <c r="BG110" s="13">
        <v>45331</v>
      </c>
    </row>
    <row r="111" spans="49:133" x14ac:dyDescent="0.3">
      <c r="AW111" s="1">
        <v>4.0999999999999996</v>
      </c>
      <c r="AX111" s="1">
        <v>4.0999999999999996</v>
      </c>
      <c r="AY111" t="str">
        <v>R080_HI782-0_0.0_LOT0428_PW5W.1_QC.xlsx</v>
      </c>
      <c r="AZ111" t="str">
        <v>LOT0428</v>
      </c>
      <c r="BA111" s="3">
        <v>4</v>
      </c>
      <c r="BB111" t="str">
        <v>P/Final</v>
      </c>
      <c r="BC111">
        <v>35</v>
      </c>
      <c r="BD111" s="10">
        <v>32.799999999999997</v>
      </c>
      <c r="BE111" s="10">
        <v>0</v>
      </c>
      <c r="BF111" s="10">
        <v>0</v>
      </c>
      <c r="BG111" s="13">
        <v>45331</v>
      </c>
    </row>
    <row r="112" spans="49:133" x14ac:dyDescent="0.3">
      <c r="AW112" s="1">
        <v>4.0999999999999996</v>
      </c>
      <c r="AX112" s="1">
        <v>4.0999999999999996</v>
      </c>
      <c r="AY112" t="str">
        <v>R080_HI782-0_0.0_LOT0428_PW5W.1_QC.xlsx</v>
      </c>
      <c r="AZ112" t="str">
        <v>LOT0428</v>
      </c>
      <c r="BA112" s="3">
        <v>4</v>
      </c>
      <c r="BB112" t="str">
        <v>P/Final</v>
      </c>
      <c r="BC112">
        <v>35</v>
      </c>
      <c r="BD112" s="10">
        <v>33</v>
      </c>
      <c r="BE112" s="10">
        <v>0</v>
      </c>
      <c r="BF112" s="10">
        <v>0</v>
      </c>
      <c r="BG112" s="13">
        <v>45331</v>
      </c>
    </row>
    <row r="113" spans="49:59" x14ac:dyDescent="0.3">
      <c r="AW113" s="1">
        <v>4.0999999999999996</v>
      </c>
      <c r="AX113" s="1">
        <v>4.0999999999999996</v>
      </c>
      <c r="AY113" t="str">
        <v>R080_HI782-0_0.0_LOT0428_PW5W.1_QC.xlsx</v>
      </c>
      <c r="AZ113" t="str">
        <v>LOT0428</v>
      </c>
      <c r="BA113" s="3">
        <v>4</v>
      </c>
      <c r="BB113" t="str">
        <v>P/Final</v>
      </c>
      <c r="BC113">
        <v>35</v>
      </c>
      <c r="BD113" s="10">
        <v>31.8</v>
      </c>
      <c r="BE113" s="10">
        <v>0</v>
      </c>
      <c r="BF113" s="10">
        <v>0</v>
      </c>
      <c r="BG113" s="13">
        <v>45331</v>
      </c>
    </row>
    <row r="114" spans="49:59" x14ac:dyDescent="0.3">
      <c r="AW114" s="1">
        <v>4.0999999999999996</v>
      </c>
      <c r="AX114" s="1">
        <v>4.0999999999999996</v>
      </c>
      <c r="AY114" t="str">
        <v>R080_HI782-0_0.0_LOT0428_PW5W.1_QC.xlsx</v>
      </c>
      <c r="AZ114" t="str">
        <v>LOT0428</v>
      </c>
      <c r="BA114" s="3">
        <v>4</v>
      </c>
      <c r="BB114" t="str">
        <v>P/Final</v>
      </c>
      <c r="BC114">
        <v>35</v>
      </c>
      <c r="BD114" s="10">
        <v>35.5</v>
      </c>
      <c r="BE114" s="10">
        <v>0</v>
      </c>
      <c r="BF114" s="10">
        <v>0</v>
      </c>
      <c r="BG114" s="13">
        <v>45331</v>
      </c>
    </row>
    <row r="115" spans="49:59" x14ac:dyDescent="0.3">
      <c r="AW115" s="1">
        <v>4.0999999999999996</v>
      </c>
      <c r="AX115" s="1">
        <v>4.0999999999999996</v>
      </c>
      <c r="AY115" t="str">
        <v>R080_HI782-0_0.0_LOT0428_PW5W.1_QC.xlsx</v>
      </c>
      <c r="AZ115" t="str">
        <v>LOT0428</v>
      </c>
      <c r="BA115" s="3">
        <v>4</v>
      </c>
      <c r="BB115" t="str">
        <v>P/Final</v>
      </c>
      <c r="BC115">
        <v>35</v>
      </c>
      <c r="BD115" s="10">
        <v>33</v>
      </c>
      <c r="BE115" s="10">
        <v>0</v>
      </c>
      <c r="BF115" s="10">
        <v>0</v>
      </c>
      <c r="BG115" s="13">
        <v>45331</v>
      </c>
    </row>
    <row r="116" spans="49:59" x14ac:dyDescent="0.3">
      <c r="AW116" s="1">
        <v>4.0999999999999996</v>
      </c>
      <c r="AX116" s="1">
        <v>4.0999999999999996</v>
      </c>
      <c r="AY116" t="str">
        <v>R080_HI782-0_0.0_LOT0428_PW5W.1_QC.xlsx</v>
      </c>
      <c r="AZ116" t="str">
        <v>LOT0428</v>
      </c>
      <c r="BA116" s="3">
        <v>4</v>
      </c>
      <c r="BB116" t="str">
        <v>P/Final</v>
      </c>
      <c r="BC116">
        <v>35</v>
      </c>
      <c r="BD116" s="10">
        <v>35.1</v>
      </c>
      <c r="BE116" s="10">
        <v>0</v>
      </c>
      <c r="BF116" s="10">
        <v>0</v>
      </c>
      <c r="BG116" s="13">
        <v>45331</v>
      </c>
    </row>
    <row r="117" spans="49:59" x14ac:dyDescent="0.3">
      <c r="AW117" s="1">
        <v>4.0999999999999996</v>
      </c>
      <c r="AX117" s="1">
        <v>4.0999999999999996</v>
      </c>
      <c r="AY117" t="str">
        <v>R080_HI782-0_0.0_LOT0428_PW5W.1_QC.xlsx</v>
      </c>
      <c r="AZ117" t="str">
        <v>LOT0428</v>
      </c>
      <c r="BA117" s="3">
        <v>4</v>
      </c>
      <c r="BB117" t="str">
        <v>P/Final</v>
      </c>
      <c r="BC117">
        <v>35</v>
      </c>
      <c r="BD117" s="10">
        <v>33.799999999999997</v>
      </c>
      <c r="BE117" s="10">
        <v>0</v>
      </c>
      <c r="BF117" s="10">
        <v>0</v>
      </c>
      <c r="BG117" s="13">
        <v>45331</v>
      </c>
    </row>
    <row r="118" spans="49:59" x14ac:dyDescent="0.3">
      <c r="AW118" s="1">
        <v>4.0999999999999996</v>
      </c>
      <c r="AX118" s="1">
        <v>4.0999999999999996</v>
      </c>
      <c r="AY118" t="str">
        <v>R080_HI782-0_0.0_LOT0428_PW5W.1_QC.xlsx</v>
      </c>
      <c r="AZ118" t="str">
        <v>LOT0428</v>
      </c>
      <c r="BA118" s="3">
        <v>4</v>
      </c>
      <c r="BB118" t="str">
        <v>P/Final</v>
      </c>
      <c r="BC118">
        <v>35</v>
      </c>
      <c r="BD118" s="10">
        <v>33.5</v>
      </c>
      <c r="BE118" s="10">
        <v>0</v>
      </c>
      <c r="BF118" s="10">
        <v>0</v>
      </c>
      <c r="BG118" s="13">
        <v>45331</v>
      </c>
    </row>
    <row r="119" spans="49:59" x14ac:dyDescent="0.3">
      <c r="AW119" s="1">
        <v>4.0999999999999996</v>
      </c>
      <c r="AX119" s="1">
        <v>4.0999999999999996</v>
      </c>
      <c r="AY119" t="str">
        <v>R080_HI782-0_0.0_LOT0428_PW5W.1_QC.xlsx</v>
      </c>
      <c r="AZ119" t="str">
        <v>LOT0428</v>
      </c>
      <c r="BA119" s="3">
        <v>4</v>
      </c>
      <c r="BB119" t="str">
        <v>P/Final</v>
      </c>
      <c r="BC119">
        <v>35</v>
      </c>
      <c r="BD119" s="10">
        <v>33.1</v>
      </c>
      <c r="BE119" s="10">
        <v>0</v>
      </c>
      <c r="BF119" s="10">
        <v>0</v>
      </c>
      <c r="BG119" s="13">
        <v>45331</v>
      </c>
    </row>
    <row r="120" spans="49:59" x14ac:dyDescent="0.3">
      <c r="AW120" s="1">
        <v>4.0999999999999996</v>
      </c>
      <c r="AX120" s="1">
        <v>4.0999999999999996</v>
      </c>
      <c r="AY120" t="str">
        <v>R080_HI782-0_0.0_LOT0428_PW5W.1_QC.xlsx</v>
      </c>
      <c r="AZ120" t="str">
        <v>LOT0428</v>
      </c>
      <c r="BA120" s="3">
        <v>4</v>
      </c>
      <c r="BB120" t="str">
        <v>P/Final</v>
      </c>
      <c r="BC120">
        <v>35</v>
      </c>
      <c r="BD120" s="10">
        <v>32.700000000000003</v>
      </c>
      <c r="BE120" s="10">
        <v>0</v>
      </c>
      <c r="BF120" s="10">
        <v>0</v>
      </c>
      <c r="BG120" s="13">
        <v>45331</v>
      </c>
    </row>
    <row r="121" spans="49:59" x14ac:dyDescent="0.3">
      <c r="AW121" s="1">
        <v>4.0999999999999996</v>
      </c>
      <c r="AX121" s="1">
        <v>4.0999999999999996</v>
      </c>
      <c r="AY121" t="str">
        <v>R080_HI782-0_0.0_LOT0428_PW5W.1_QC.xlsx</v>
      </c>
      <c r="AZ121" t="str">
        <v>LOT0428</v>
      </c>
      <c r="BA121" s="3">
        <v>4</v>
      </c>
      <c r="BB121" t="str">
        <v>P/Final</v>
      </c>
      <c r="BC121">
        <v>60</v>
      </c>
      <c r="BD121" s="10">
        <v>60.1</v>
      </c>
      <c r="BE121" s="10">
        <v>0</v>
      </c>
      <c r="BF121" s="10">
        <v>0</v>
      </c>
      <c r="BG121" s="13">
        <v>45331</v>
      </c>
    </row>
    <row r="122" spans="49:59" x14ac:dyDescent="0.3">
      <c r="AW122" s="1">
        <v>4.0999999999999996</v>
      </c>
      <c r="AX122" s="1">
        <v>4.0999999999999996</v>
      </c>
      <c r="AY122" t="str">
        <v>R080_HI782-0_0.0_LOT0428_PW5W.1_QC.xlsx</v>
      </c>
      <c r="AZ122" t="str">
        <v>LOT0428</v>
      </c>
      <c r="BA122" s="3">
        <v>4</v>
      </c>
      <c r="BB122" t="str">
        <v>P/Final</v>
      </c>
      <c r="BC122">
        <v>60</v>
      </c>
      <c r="BD122" s="10">
        <v>61</v>
      </c>
      <c r="BE122" s="10">
        <v>0</v>
      </c>
      <c r="BF122" s="10">
        <v>0</v>
      </c>
      <c r="BG122" s="13">
        <v>45331</v>
      </c>
    </row>
    <row r="123" spans="49:59" x14ac:dyDescent="0.3">
      <c r="AW123" s="1">
        <v>4.0999999999999996</v>
      </c>
      <c r="AX123" s="1">
        <v>4.0999999999999996</v>
      </c>
      <c r="AY123" t="str">
        <v>R080_HI782-0_0.0_LOT0428_PW5W.1_QC.xlsx</v>
      </c>
      <c r="AZ123" t="str">
        <v>LOT0428</v>
      </c>
      <c r="BA123" s="3">
        <v>4</v>
      </c>
      <c r="BB123" t="str">
        <v>P/Final</v>
      </c>
      <c r="BC123">
        <v>60</v>
      </c>
      <c r="BD123" s="10">
        <v>60.5</v>
      </c>
      <c r="BE123" s="10">
        <v>0</v>
      </c>
      <c r="BF123" s="10">
        <v>0</v>
      </c>
      <c r="BG123" s="13">
        <v>45331</v>
      </c>
    </row>
    <row r="124" spans="49:59" x14ac:dyDescent="0.3">
      <c r="AW124" s="1">
        <v>4.0999999999999996</v>
      </c>
      <c r="AX124" s="1">
        <v>4.0999999999999996</v>
      </c>
      <c r="AY124" t="str">
        <v>R080_HI782-0_0.0_LOT0428_PW5W.1_QC.xlsx</v>
      </c>
      <c r="AZ124" t="str">
        <v>LOT0428</v>
      </c>
      <c r="BA124" s="3">
        <v>4</v>
      </c>
      <c r="BB124" t="str">
        <v>P/Final</v>
      </c>
      <c r="BC124">
        <v>60</v>
      </c>
      <c r="BD124" s="10">
        <v>53.6</v>
      </c>
      <c r="BE124" s="10">
        <v>0</v>
      </c>
      <c r="BF124" s="10">
        <v>0</v>
      </c>
      <c r="BG124" s="13">
        <v>45331</v>
      </c>
    </row>
    <row r="125" spans="49:59" x14ac:dyDescent="0.3">
      <c r="AW125" s="1">
        <v>4.0999999999999996</v>
      </c>
      <c r="AX125" s="1">
        <v>4.0999999999999996</v>
      </c>
      <c r="AY125" t="str">
        <v>R080_HI782-0_0.0_LOT0428_PW5W.1_QC.xlsx</v>
      </c>
      <c r="AZ125" t="str">
        <v>LOT0428</v>
      </c>
      <c r="BA125" s="3">
        <v>4</v>
      </c>
      <c r="BB125" t="str">
        <v>P/Final</v>
      </c>
      <c r="BC125">
        <v>60</v>
      </c>
      <c r="BD125" s="10">
        <v>59.3</v>
      </c>
      <c r="BE125" s="10">
        <v>0</v>
      </c>
      <c r="BF125" s="10">
        <v>0</v>
      </c>
      <c r="BG125" s="13">
        <v>45331</v>
      </c>
    </row>
    <row r="126" spans="49:59" x14ac:dyDescent="0.3">
      <c r="AW126" s="1">
        <v>4.0999999999999996</v>
      </c>
      <c r="AX126" s="1">
        <v>4.0999999999999996</v>
      </c>
      <c r="AY126" t="str">
        <v>R080_HI782-0_0.0_LOT0428_PW5W.1_QC.xlsx</v>
      </c>
      <c r="AZ126" t="str">
        <v>LOT0428</v>
      </c>
      <c r="BA126" s="3">
        <v>4</v>
      </c>
      <c r="BB126" t="str">
        <v>P/Final</v>
      </c>
      <c r="BC126">
        <v>60</v>
      </c>
      <c r="BD126" s="10">
        <v>57.6</v>
      </c>
      <c r="BE126" s="10">
        <v>0</v>
      </c>
      <c r="BF126" s="10">
        <v>0</v>
      </c>
      <c r="BG126" s="13">
        <v>45331</v>
      </c>
    </row>
    <row r="127" spans="49:59" x14ac:dyDescent="0.3">
      <c r="AW127" s="1">
        <v>4.0999999999999996</v>
      </c>
      <c r="AX127" s="1">
        <v>4.0999999999999996</v>
      </c>
      <c r="AY127" t="str">
        <v>R080_HI782-0_0.0_LOT0428_PW5W.1_QC.xlsx</v>
      </c>
      <c r="AZ127" t="str">
        <v>LOT0428</v>
      </c>
      <c r="BA127" s="3">
        <v>4</v>
      </c>
      <c r="BB127" t="str">
        <v>P/Final</v>
      </c>
      <c r="BC127">
        <v>60</v>
      </c>
      <c r="BD127" s="10">
        <v>59.8</v>
      </c>
      <c r="BE127" s="10">
        <v>0</v>
      </c>
      <c r="BF127" s="10">
        <v>0</v>
      </c>
      <c r="BG127" s="13">
        <v>45331</v>
      </c>
    </row>
    <row r="128" spans="49:59" x14ac:dyDescent="0.3">
      <c r="AW128" s="1">
        <v>4.0999999999999996</v>
      </c>
      <c r="AX128" s="1">
        <v>4.0999999999999996</v>
      </c>
      <c r="AY128" t="str">
        <v>R080_HI782-0_0.0_LOT0428_PW5W.1_QC.xlsx</v>
      </c>
      <c r="AZ128" t="str">
        <v>LOT0428</v>
      </c>
      <c r="BA128" s="3">
        <v>4</v>
      </c>
      <c r="BB128" t="str">
        <v>P/Final</v>
      </c>
      <c r="BC128">
        <v>0</v>
      </c>
      <c r="BD128" s="10">
        <v>0.2</v>
      </c>
      <c r="BE128" s="10">
        <v>0</v>
      </c>
      <c r="BF128" s="10">
        <v>0</v>
      </c>
      <c r="BG128" s="13">
        <v>45334</v>
      </c>
    </row>
    <row r="129" spans="49:59" x14ac:dyDescent="0.3">
      <c r="AW129" s="1">
        <v>4.0999999999999996</v>
      </c>
      <c r="AX129" s="1">
        <v>4.0999999999999996</v>
      </c>
      <c r="AY129" t="str">
        <v>R080_HI782-0_0.0_LOT0428_PW5W.1_QC.xlsx</v>
      </c>
      <c r="AZ129" t="str">
        <v>LOT0428</v>
      </c>
      <c r="BA129" s="3">
        <v>4</v>
      </c>
      <c r="BB129" t="str">
        <v>P/Final</v>
      </c>
      <c r="BC129">
        <v>0</v>
      </c>
      <c r="BD129" s="10">
        <v>0.2</v>
      </c>
      <c r="BE129" s="10">
        <v>0</v>
      </c>
      <c r="BF129" s="10">
        <v>0</v>
      </c>
      <c r="BG129" s="13">
        <v>45334</v>
      </c>
    </row>
    <row r="130" spans="49:59" x14ac:dyDescent="0.3">
      <c r="AW130" s="1">
        <v>4.0999999999999996</v>
      </c>
      <c r="AX130" s="1">
        <v>4.0999999999999996</v>
      </c>
      <c r="AY130" t="str">
        <v>R080_HI782-0_0.0_LOT0428_PW5W.1_QC.xlsx</v>
      </c>
      <c r="AZ130" t="str">
        <v>LOT0428</v>
      </c>
      <c r="BA130" s="3">
        <v>4</v>
      </c>
      <c r="BB130" t="str">
        <v>P/Final</v>
      </c>
      <c r="BC130">
        <v>15</v>
      </c>
      <c r="BD130" s="10">
        <v>16.3</v>
      </c>
      <c r="BE130" s="10">
        <v>0</v>
      </c>
      <c r="BF130" s="10">
        <v>0</v>
      </c>
      <c r="BG130" s="13">
        <v>45334</v>
      </c>
    </row>
    <row r="131" spans="49:59" x14ac:dyDescent="0.3">
      <c r="AW131" s="1">
        <v>4.0999999999999996</v>
      </c>
      <c r="AX131" s="1">
        <v>4.0999999999999996</v>
      </c>
      <c r="AY131" t="str">
        <v>R080_HI782-0_0.0_LOT0428_PW5W.1_QC.xlsx</v>
      </c>
      <c r="AZ131" t="str">
        <v>LOT0428</v>
      </c>
      <c r="BA131" s="3">
        <v>4</v>
      </c>
      <c r="BB131" t="str">
        <v>P/Final</v>
      </c>
      <c r="BC131">
        <v>15</v>
      </c>
      <c r="BD131" s="10">
        <v>16.2</v>
      </c>
      <c r="BE131" s="10">
        <v>0</v>
      </c>
      <c r="BF131" s="10">
        <v>0</v>
      </c>
      <c r="BG131" s="13">
        <v>45334</v>
      </c>
    </row>
    <row r="132" spans="49:59" x14ac:dyDescent="0.3">
      <c r="AW132" s="1">
        <v>4.0999999999999996</v>
      </c>
      <c r="AX132" s="1">
        <v>4.0999999999999996</v>
      </c>
      <c r="AY132" t="str">
        <v>R080_HI782-0_0.0_LOT0428_PW5W.1_QC.xlsx</v>
      </c>
      <c r="AZ132" t="str">
        <v>LOT0428</v>
      </c>
      <c r="BA132" s="3">
        <v>4</v>
      </c>
      <c r="BB132" t="str">
        <v>P/Final</v>
      </c>
      <c r="BC132">
        <v>35</v>
      </c>
      <c r="BD132" s="10">
        <v>37.1</v>
      </c>
      <c r="BE132" s="10">
        <v>0</v>
      </c>
      <c r="BF132" s="10">
        <v>0</v>
      </c>
      <c r="BG132" s="13">
        <v>45334</v>
      </c>
    </row>
    <row r="133" spans="49:59" x14ac:dyDescent="0.3">
      <c r="AW133" s="1">
        <v>4.0999999999999996</v>
      </c>
      <c r="AX133" s="1">
        <v>4.0999999999999996</v>
      </c>
      <c r="AY133" t="str">
        <v>R080_HI782-0_0.0_LOT0428_PW5W.1_QC.xlsx</v>
      </c>
      <c r="AZ133" t="str">
        <v>LOT0428</v>
      </c>
      <c r="BA133" s="3">
        <v>4</v>
      </c>
      <c r="BB133" t="str">
        <v>P/Final</v>
      </c>
      <c r="BC133">
        <v>35</v>
      </c>
      <c r="BD133" s="10">
        <v>38.5</v>
      </c>
      <c r="BE133" s="10">
        <v>0</v>
      </c>
      <c r="BF133" s="10">
        <v>0</v>
      </c>
      <c r="BG133" s="13">
        <v>45334</v>
      </c>
    </row>
    <row r="134" spans="49:59" x14ac:dyDescent="0.3">
      <c r="AW134" s="1">
        <v>4.0999999999999996</v>
      </c>
      <c r="AX134" s="1">
        <v>4.0999999999999996</v>
      </c>
      <c r="AY134" t="str">
        <v>R080_HI782-0_0.0_LOT0428_PW5W.1_QC.xlsx</v>
      </c>
      <c r="AZ134" t="str">
        <v>LOT0428</v>
      </c>
      <c r="BA134" s="3">
        <v>4</v>
      </c>
      <c r="BB134" t="str">
        <v>P/Final</v>
      </c>
      <c r="BC134">
        <v>35</v>
      </c>
      <c r="BD134" s="10">
        <v>37.200000000000003</v>
      </c>
      <c r="BE134" s="10">
        <v>0</v>
      </c>
      <c r="BF134" s="10">
        <v>0</v>
      </c>
      <c r="BG134" s="13">
        <v>45334</v>
      </c>
    </row>
    <row r="135" spans="49:59" x14ac:dyDescent="0.3">
      <c r="AW135" s="1">
        <v>4.0999999999999996</v>
      </c>
      <c r="AX135" s="1">
        <v>4.0999999999999996</v>
      </c>
      <c r="AY135" t="str">
        <v>R080_HI782-0_0.0_LOT0428_PW5W.1_QC.xlsx</v>
      </c>
      <c r="AZ135" t="str">
        <v>LOT0428</v>
      </c>
      <c r="BA135" s="3">
        <v>4</v>
      </c>
      <c r="BB135" t="str">
        <v>P/Final</v>
      </c>
      <c r="BC135">
        <v>60</v>
      </c>
      <c r="BD135" s="10">
        <v>62.6</v>
      </c>
      <c r="BE135" s="10">
        <v>0</v>
      </c>
      <c r="BF135" s="10">
        <v>0</v>
      </c>
      <c r="BG135" s="13">
        <v>45334</v>
      </c>
    </row>
    <row r="136" spans="49:59" x14ac:dyDescent="0.3">
      <c r="AW136" s="1">
        <v>4.0999999999999996</v>
      </c>
      <c r="AX136" s="1">
        <v>4.0999999999999996</v>
      </c>
      <c r="AY136" t="str">
        <v>R080_HI782-0_0.0_LOT0428_PW5W.1_QC.xlsx</v>
      </c>
      <c r="AZ136" t="str">
        <v>LOT0428</v>
      </c>
      <c r="BA136" s="3">
        <v>4</v>
      </c>
      <c r="BB136" t="str">
        <v>P/Final</v>
      </c>
      <c r="BC136">
        <v>60</v>
      </c>
      <c r="BD136" s="10">
        <v>61.5</v>
      </c>
      <c r="BE136" s="10">
        <v>0</v>
      </c>
      <c r="BF136" s="10">
        <v>0</v>
      </c>
      <c r="BG136" s="13">
        <v>45334</v>
      </c>
    </row>
    <row r="137" spans="49:59" x14ac:dyDescent="0.3">
      <c r="AW137" s="1">
        <v>5.0999999999999996</v>
      </c>
      <c r="AX137" s="1">
        <v>5.0999999999999996</v>
      </c>
      <c r="AY137" t="str">
        <v>R080_HI782-0_0.0_LOT0450_PW7.1_QC.xlsx</v>
      </c>
      <c r="AZ137" t="str">
        <v>LOT0450</v>
      </c>
      <c r="BA137" s="3">
        <v>5</v>
      </c>
      <c r="BB137" t="str">
        <v>P/Final</v>
      </c>
      <c r="BC137">
        <v>15</v>
      </c>
      <c r="BD137" s="10">
        <v>17.600000000000001</v>
      </c>
      <c r="BE137" s="10">
        <v>0</v>
      </c>
      <c r="BF137" s="10">
        <v>0</v>
      </c>
      <c r="BG137" s="13">
        <v>45352</v>
      </c>
    </row>
    <row r="138" spans="49:59" x14ac:dyDescent="0.3">
      <c r="AW138" s="1">
        <v>5.0999999999999996</v>
      </c>
      <c r="AX138" s="1">
        <v>5.0999999999999996</v>
      </c>
      <c r="AY138" t="str">
        <v>R080_HI782-0_0.0_LOT0450_PW7.1_QC.xlsx</v>
      </c>
      <c r="AZ138" t="str">
        <v>LOT0450</v>
      </c>
      <c r="BA138" s="3">
        <v>5</v>
      </c>
      <c r="BB138" t="str">
        <v>P/Final</v>
      </c>
      <c r="BC138">
        <v>15</v>
      </c>
      <c r="BD138" s="10">
        <v>17.899999999999999</v>
      </c>
      <c r="BE138" s="10">
        <v>0</v>
      </c>
      <c r="BF138" s="10">
        <v>0</v>
      </c>
      <c r="BG138" s="13">
        <v>45352</v>
      </c>
    </row>
    <row r="139" spans="49:59" x14ac:dyDescent="0.3">
      <c r="AW139" s="1">
        <v>5.0999999999999996</v>
      </c>
      <c r="AX139" s="1">
        <v>5.0999999999999996</v>
      </c>
      <c r="AY139" t="str">
        <v>R080_HI782-0_0.0_LOT0450_PW7.1_QC.xlsx</v>
      </c>
      <c r="AZ139" t="str">
        <v>LOT0450</v>
      </c>
      <c r="BA139" s="3">
        <v>5</v>
      </c>
      <c r="BB139" t="str">
        <v>P/Final</v>
      </c>
      <c r="BC139">
        <v>15</v>
      </c>
      <c r="BD139" s="10">
        <v>17.100000000000001</v>
      </c>
      <c r="BE139" s="10">
        <v>0</v>
      </c>
      <c r="BF139" s="10">
        <v>0</v>
      </c>
      <c r="BG139" s="13">
        <v>45352</v>
      </c>
    </row>
    <row r="140" spans="49:59" x14ac:dyDescent="0.3">
      <c r="AW140" s="1">
        <v>5.0999999999999996</v>
      </c>
      <c r="AX140" s="1">
        <v>5.0999999999999996</v>
      </c>
      <c r="AY140" t="str">
        <v>R080_HI782-0_0.0_LOT0450_PW7.1_QC.xlsx</v>
      </c>
      <c r="AZ140" t="str">
        <v>LOT0450</v>
      </c>
      <c r="BA140" s="3">
        <v>5</v>
      </c>
      <c r="BB140" t="str">
        <v>P/Final</v>
      </c>
      <c r="BC140">
        <v>15</v>
      </c>
      <c r="BD140" s="10">
        <v>17.2</v>
      </c>
      <c r="BE140" s="10">
        <v>0</v>
      </c>
      <c r="BF140" s="10">
        <v>0</v>
      </c>
      <c r="BG140" s="13">
        <v>45352</v>
      </c>
    </row>
    <row r="141" spans="49:59" x14ac:dyDescent="0.3">
      <c r="AW141" s="1">
        <v>5.0999999999999996</v>
      </c>
      <c r="AX141" s="1">
        <v>5.0999999999999996</v>
      </c>
      <c r="AY141" t="str">
        <v>R080_HI782-0_0.0_LOT0450_PW7.1_QC.xlsx</v>
      </c>
      <c r="AZ141" t="str">
        <v>LOT0450</v>
      </c>
      <c r="BA141" s="3">
        <v>5</v>
      </c>
      <c r="BB141" t="str">
        <v>P/Final</v>
      </c>
      <c r="BC141">
        <v>15</v>
      </c>
      <c r="BD141" s="10">
        <v>18</v>
      </c>
      <c r="BE141" s="10">
        <v>0</v>
      </c>
      <c r="BF141" s="10">
        <v>0</v>
      </c>
      <c r="BG141" s="13">
        <v>45352</v>
      </c>
    </row>
    <row r="142" spans="49:59" x14ac:dyDescent="0.3">
      <c r="AW142" s="1">
        <v>5.0999999999999996</v>
      </c>
      <c r="AX142" s="1">
        <v>5.0999999999999996</v>
      </c>
      <c r="AY142" t="str">
        <v>R080_HI782-0_0.0_LOT0450_PW7.1_QC.xlsx</v>
      </c>
      <c r="AZ142" t="str">
        <v>LOT0450</v>
      </c>
      <c r="BA142" s="3">
        <v>5</v>
      </c>
      <c r="BB142" t="str">
        <v>P/Final</v>
      </c>
      <c r="BC142">
        <v>15</v>
      </c>
      <c r="BD142" s="10">
        <v>16.5</v>
      </c>
      <c r="BE142" s="10">
        <v>0</v>
      </c>
      <c r="BF142" s="10">
        <v>0</v>
      </c>
      <c r="BG142" s="13">
        <v>45352</v>
      </c>
    </row>
    <row r="143" spans="49:59" x14ac:dyDescent="0.3">
      <c r="AW143" s="1">
        <v>5.0999999999999996</v>
      </c>
      <c r="AX143" s="1">
        <v>5.0999999999999996</v>
      </c>
      <c r="AY143" t="str">
        <v>R080_HI782-0_0.0_LOT0450_PW7.1_QC.xlsx</v>
      </c>
      <c r="AZ143" t="str">
        <v>LOT0450</v>
      </c>
      <c r="BA143" s="3">
        <v>5</v>
      </c>
      <c r="BB143" t="str">
        <v>P/Final</v>
      </c>
      <c r="BC143">
        <v>15</v>
      </c>
      <c r="BD143" s="10">
        <v>16.899999999999999</v>
      </c>
      <c r="BE143" s="10">
        <v>0</v>
      </c>
      <c r="BF143" s="10">
        <v>0</v>
      </c>
      <c r="BG143" s="13">
        <v>45352</v>
      </c>
    </row>
    <row r="144" spans="49:59" x14ac:dyDescent="0.3">
      <c r="AW144" s="1">
        <v>5.0999999999999996</v>
      </c>
      <c r="AX144" s="1">
        <v>5.0999999999999996</v>
      </c>
      <c r="AY144" t="str">
        <v>R080_HI782-0_0.0_LOT0450_PW7.1_QC.xlsx</v>
      </c>
      <c r="AZ144" t="str">
        <v>LOT0450</v>
      </c>
      <c r="BA144" s="3">
        <v>5</v>
      </c>
      <c r="BB144" t="str">
        <v>P/Final</v>
      </c>
      <c r="BC144">
        <v>15</v>
      </c>
      <c r="BD144" s="10">
        <v>15.6</v>
      </c>
      <c r="BE144" s="10">
        <v>0</v>
      </c>
      <c r="BF144" s="10">
        <v>0</v>
      </c>
      <c r="BG144" s="13">
        <v>45352</v>
      </c>
    </row>
    <row r="145" spans="49:59" x14ac:dyDescent="0.3">
      <c r="AW145" s="1">
        <v>5.0999999999999996</v>
      </c>
      <c r="AX145" s="1">
        <v>5.0999999999999996</v>
      </c>
      <c r="AY145" t="str">
        <v>R080_HI782-0_0.0_LOT0450_PW7.1_QC.xlsx</v>
      </c>
      <c r="AZ145" t="str">
        <v>LOT0450</v>
      </c>
      <c r="BA145" s="3">
        <v>5</v>
      </c>
      <c r="BB145" t="str">
        <v>P/Final</v>
      </c>
      <c r="BC145">
        <v>15</v>
      </c>
      <c r="BD145" s="10">
        <v>16.8</v>
      </c>
      <c r="BE145" s="10">
        <v>0</v>
      </c>
      <c r="BF145" s="10">
        <v>0</v>
      </c>
      <c r="BG145" s="13">
        <v>45352</v>
      </c>
    </row>
    <row r="146" spans="49:59" x14ac:dyDescent="0.3">
      <c r="AW146" s="1">
        <v>5.0999999999999996</v>
      </c>
      <c r="AX146" s="1">
        <v>5.0999999999999996</v>
      </c>
      <c r="AY146" t="str">
        <v>R080_HI782-0_0.0_LOT0450_PW7.1_QC.xlsx</v>
      </c>
      <c r="AZ146" t="str">
        <v>LOT0450</v>
      </c>
      <c r="BA146" s="3">
        <v>5</v>
      </c>
      <c r="BB146" t="str">
        <v>P/Final</v>
      </c>
      <c r="BC146">
        <v>35</v>
      </c>
      <c r="BD146" s="10">
        <v>36</v>
      </c>
      <c r="BE146" s="10">
        <v>0</v>
      </c>
      <c r="BF146" s="10">
        <v>0</v>
      </c>
      <c r="BG146" s="13">
        <v>45352</v>
      </c>
    </row>
    <row r="147" spans="49:59" x14ac:dyDescent="0.3">
      <c r="AW147" s="1">
        <v>5.0999999999999996</v>
      </c>
      <c r="AX147" s="1">
        <v>5.0999999999999996</v>
      </c>
      <c r="AY147" t="str">
        <v>R080_HI782-0_0.0_LOT0450_PW7.1_QC.xlsx</v>
      </c>
      <c r="AZ147" t="str">
        <v>LOT0450</v>
      </c>
      <c r="BA147" s="3">
        <v>5</v>
      </c>
      <c r="BB147" t="str">
        <v>P/Final</v>
      </c>
      <c r="BC147">
        <v>35</v>
      </c>
      <c r="BD147" s="10">
        <v>38.5</v>
      </c>
      <c r="BE147" s="10">
        <v>0</v>
      </c>
      <c r="BF147" s="10">
        <v>0</v>
      </c>
      <c r="BG147" s="13">
        <v>45352</v>
      </c>
    </row>
    <row r="148" spans="49:59" x14ac:dyDescent="0.3">
      <c r="AW148" s="1">
        <v>5.0999999999999996</v>
      </c>
      <c r="AX148" s="1">
        <v>5.0999999999999996</v>
      </c>
      <c r="AY148" t="str">
        <v>R080_HI782-0_0.0_LOT0450_PW7.1_QC.xlsx</v>
      </c>
      <c r="AZ148" t="str">
        <v>LOT0450</v>
      </c>
      <c r="BA148" s="3">
        <v>5</v>
      </c>
      <c r="BB148" t="str">
        <v>P/Final</v>
      </c>
      <c r="BC148">
        <v>35</v>
      </c>
      <c r="BD148" s="10">
        <v>39.1</v>
      </c>
      <c r="BE148" s="10">
        <v>0</v>
      </c>
      <c r="BF148" s="10">
        <v>0</v>
      </c>
      <c r="BG148" s="13">
        <v>45352</v>
      </c>
    </row>
    <row r="149" spans="49:59" x14ac:dyDescent="0.3">
      <c r="AW149" s="1">
        <v>5.0999999999999996</v>
      </c>
      <c r="AX149" s="1">
        <v>5.0999999999999996</v>
      </c>
      <c r="AY149" t="str">
        <v>R080_HI782-0_0.0_LOT0450_PW7.1_QC.xlsx</v>
      </c>
      <c r="AZ149" t="str">
        <v>LOT0450</v>
      </c>
      <c r="BA149" s="3">
        <v>5</v>
      </c>
      <c r="BB149" t="str">
        <v>P/Prod</v>
      </c>
      <c r="BC149">
        <v>35</v>
      </c>
      <c r="BD149" s="10">
        <v>38.4</v>
      </c>
      <c r="BE149" s="10">
        <v>0</v>
      </c>
      <c r="BF149" s="10">
        <v>0</v>
      </c>
      <c r="BG149" s="13">
        <v>45352</v>
      </c>
    </row>
    <row r="150" spans="49:59" x14ac:dyDescent="0.3">
      <c r="AW150" s="1">
        <v>5.0999999999999996</v>
      </c>
      <c r="AX150" s="1">
        <v>5.0999999999999996</v>
      </c>
      <c r="AY150" t="str">
        <v>R080_HI782-0_0.0_LOT0450_PW7.1_QC.xlsx</v>
      </c>
      <c r="AZ150" t="str">
        <v>LOT0450</v>
      </c>
      <c r="BA150" s="3">
        <v>5</v>
      </c>
      <c r="BB150" t="str">
        <v>P/Final</v>
      </c>
      <c r="BC150">
        <v>35</v>
      </c>
      <c r="BD150" s="10">
        <v>42.3</v>
      </c>
      <c r="BE150" s="10">
        <v>0</v>
      </c>
      <c r="BF150" s="10">
        <v>0</v>
      </c>
      <c r="BG150" s="13">
        <v>45352</v>
      </c>
    </row>
    <row r="151" spans="49:59" x14ac:dyDescent="0.3">
      <c r="AW151" s="1">
        <v>5.0999999999999996</v>
      </c>
      <c r="AX151" s="1">
        <v>5.0999999999999996</v>
      </c>
      <c r="AY151" t="str">
        <v>R080_HI782-0_0.0_LOT0450_PW7.1_QC.xlsx</v>
      </c>
      <c r="AZ151" t="str">
        <v>LOT0450</v>
      </c>
      <c r="BA151" s="3">
        <v>5</v>
      </c>
      <c r="BB151" t="str">
        <v>P/Final</v>
      </c>
      <c r="BC151">
        <v>35</v>
      </c>
      <c r="BD151" s="10">
        <v>37.799999999999997</v>
      </c>
      <c r="BE151" s="10">
        <v>0</v>
      </c>
      <c r="BF151" s="10">
        <v>0</v>
      </c>
      <c r="BG151" s="13">
        <v>45352</v>
      </c>
    </row>
    <row r="152" spans="49:59" x14ac:dyDescent="0.3">
      <c r="AW152" s="1">
        <v>5.0999999999999996</v>
      </c>
      <c r="AX152" s="1">
        <v>5.0999999999999996</v>
      </c>
      <c r="AY152" t="str">
        <v>R080_HI782-0_0.0_LOT0450_PW7.1_QC.xlsx</v>
      </c>
      <c r="AZ152" t="str">
        <v>LOT0450</v>
      </c>
      <c r="BA152" s="3">
        <v>5</v>
      </c>
      <c r="BB152" t="str">
        <v>P/Final</v>
      </c>
      <c r="BC152">
        <v>35</v>
      </c>
      <c r="BD152" s="10">
        <v>36.5</v>
      </c>
      <c r="BE152" s="10">
        <v>0</v>
      </c>
      <c r="BF152" s="10">
        <v>0</v>
      </c>
      <c r="BG152" s="13">
        <v>45352</v>
      </c>
    </row>
    <row r="153" spans="49:59" x14ac:dyDescent="0.3">
      <c r="AW153" s="1">
        <v>5.0999999999999996</v>
      </c>
      <c r="AX153" s="1">
        <v>5.0999999999999996</v>
      </c>
      <c r="AY153" t="str">
        <v>R080_HI782-0_0.0_LOT0450_PW7.1_QC.xlsx</v>
      </c>
      <c r="AZ153" t="str">
        <v>LOT0450</v>
      </c>
      <c r="BA153" s="3">
        <v>5</v>
      </c>
      <c r="BB153" t="str">
        <v>P/Final</v>
      </c>
      <c r="BC153">
        <v>35</v>
      </c>
      <c r="BD153" s="10">
        <v>38.700000000000003</v>
      </c>
      <c r="BE153" s="10">
        <v>0</v>
      </c>
      <c r="BF153" s="10">
        <v>0</v>
      </c>
      <c r="BG153" s="13">
        <v>45352</v>
      </c>
    </row>
    <row r="154" spans="49:59" x14ac:dyDescent="0.3">
      <c r="AW154" s="1">
        <v>5.0999999999999996</v>
      </c>
      <c r="AX154" s="1">
        <v>5.0999999999999996</v>
      </c>
      <c r="AY154" t="str">
        <v>R080_HI782-0_0.0_LOT0450_PW7.1_QC.xlsx</v>
      </c>
      <c r="AZ154" t="str">
        <v>LOT0450</v>
      </c>
      <c r="BA154" s="3">
        <v>5</v>
      </c>
      <c r="BB154" t="str">
        <v>P/Final</v>
      </c>
      <c r="BC154">
        <v>35</v>
      </c>
      <c r="BD154" s="10">
        <v>38.6</v>
      </c>
      <c r="BE154" s="10">
        <v>0</v>
      </c>
      <c r="BF154" s="10">
        <v>0</v>
      </c>
      <c r="BG154" s="13">
        <v>45352</v>
      </c>
    </row>
    <row r="155" spans="49:59" x14ac:dyDescent="0.3">
      <c r="AW155" s="1">
        <v>5.0999999999999996</v>
      </c>
      <c r="AX155" s="1">
        <v>5.0999999999999996</v>
      </c>
      <c r="AY155" t="str">
        <v>R080_HI782-0_0.0_LOT0450_PW7.1_QC.xlsx</v>
      </c>
      <c r="AZ155" t="str">
        <v>LOT0450</v>
      </c>
      <c r="BA155" s="3">
        <v>5</v>
      </c>
      <c r="BB155" t="str">
        <v>P/Final</v>
      </c>
      <c r="BC155">
        <v>35</v>
      </c>
      <c r="BD155" s="10">
        <v>39</v>
      </c>
      <c r="BE155" s="10">
        <v>0</v>
      </c>
      <c r="BF155" s="10">
        <v>0</v>
      </c>
      <c r="BG155" s="13">
        <v>45352</v>
      </c>
    </row>
    <row r="156" spans="49:59" x14ac:dyDescent="0.3">
      <c r="AW156" s="1">
        <v>5.0999999999999996</v>
      </c>
      <c r="AX156" s="1">
        <v>5.0999999999999996</v>
      </c>
      <c r="AY156" t="str">
        <v>R080_HI782-0_0.0_LOT0450_PW7.1_QC.xlsx</v>
      </c>
      <c r="AZ156" t="str">
        <v>LOT0450</v>
      </c>
      <c r="BA156" s="3">
        <v>5</v>
      </c>
      <c r="BB156" t="str">
        <v>P/Final</v>
      </c>
      <c r="BC156">
        <v>35</v>
      </c>
      <c r="BD156" s="10">
        <v>38</v>
      </c>
      <c r="BE156" s="10">
        <v>0</v>
      </c>
      <c r="BF156" s="10">
        <v>0</v>
      </c>
      <c r="BG156" s="13">
        <v>45352</v>
      </c>
    </row>
    <row r="157" spans="49:59" x14ac:dyDescent="0.3">
      <c r="AW157" s="1">
        <v>5.0999999999999996</v>
      </c>
      <c r="AX157" s="1">
        <v>5.0999999999999996</v>
      </c>
      <c r="AY157" t="str">
        <v>R080_HI782-0_0.0_LOT0450_PW7.1_QC.xlsx</v>
      </c>
      <c r="AZ157" t="str">
        <v>LOT0450</v>
      </c>
      <c r="BA157" s="3">
        <v>5</v>
      </c>
      <c r="BB157" t="str">
        <v>P/Final</v>
      </c>
      <c r="BC157">
        <v>35</v>
      </c>
      <c r="BD157" s="10">
        <v>41</v>
      </c>
      <c r="BE157" s="10">
        <v>0</v>
      </c>
      <c r="BF157" s="10">
        <v>0</v>
      </c>
      <c r="BG157" s="13">
        <v>45352</v>
      </c>
    </row>
    <row r="158" spans="49:59" x14ac:dyDescent="0.3">
      <c r="AW158" s="1">
        <v>5.0999999999999996</v>
      </c>
      <c r="AX158" s="1">
        <v>5.0999999999999996</v>
      </c>
      <c r="AY158" t="str">
        <v>R080_HI782-0_0.0_LOT0450_PW7.1_QC.xlsx</v>
      </c>
      <c r="AZ158" t="str">
        <v>LOT0450</v>
      </c>
      <c r="BA158" s="3">
        <v>5</v>
      </c>
      <c r="BB158" t="str">
        <v>P/Final</v>
      </c>
      <c r="BC158">
        <v>35</v>
      </c>
      <c r="BD158" s="10">
        <v>38.700000000000003</v>
      </c>
      <c r="BE158" s="10">
        <v>0</v>
      </c>
      <c r="BF158" s="10">
        <v>0</v>
      </c>
      <c r="BG158" s="13">
        <v>45352</v>
      </c>
    </row>
    <row r="159" spans="49:59" x14ac:dyDescent="0.3">
      <c r="AW159" s="1">
        <v>5.0999999999999996</v>
      </c>
      <c r="AX159" s="1">
        <v>5.0999999999999996</v>
      </c>
      <c r="AY159" t="str">
        <v>R080_HI782-0_0.0_LOT0450_PW7.1_QC.xlsx</v>
      </c>
      <c r="AZ159" t="str">
        <v>LOT0450</v>
      </c>
      <c r="BA159" s="3">
        <v>5</v>
      </c>
      <c r="BB159" t="str">
        <v>P/Final</v>
      </c>
      <c r="BC159">
        <v>35</v>
      </c>
      <c r="BD159" s="10">
        <v>36.6</v>
      </c>
      <c r="BE159" s="10">
        <v>0</v>
      </c>
      <c r="BF159" s="10">
        <v>0</v>
      </c>
      <c r="BG159" s="13">
        <v>45352</v>
      </c>
    </row>
    <row r="160" spans="49:59" x14ac:dyDescent="0.3">
      <c r="AW160" s="1">
        <v>5.0999999999999996</v>
      </c>
      <c r="AX160" s="1">
        <v>5.0999999999999996</v>
      </c>
      <c r="AY160" t="str">
        <v>R080_HI782-0_0.0_LOT0450_PW7.1_QC.xlsx</v>
      </c>
      <c r="AZ160" t="str">
        <v>LOT0450</v>
      </c>
      <c r="BA160" s="3">
        <v>5</v>
      </c>
      <c r="BB160" t="str">
        <v>P/Final</v>
      </c>
      <c r="BC160">
        <v>35</v>
      </c>
      <c r="BD160" s="10">
        <v>40.700000000000003</v>
      </c>
      <c r="BE160" s="10">
        <v>0</v>
      </c>
      <c r="BF160" s="10">
        <v>0</v>
      </c>
      <c r="BG160" s="13">
        <v>45352</v>
      </c>
    </row>
    <row r="161" spans="49:59" x14ac:dyDescent="0.3">
      <c r="AW161" s="1">
        <v>5.0999999999999996</v>
      </c>
      <c r="AX161" s="1">
        <v>5.0999999999999996</v>
      </c>
      <c r="AY161" t="str">
        <v>R080_HI782-0_0.0_LOT0450_PW7.1_QC.xlsx</v>
      </c>
      <c r="AZ161" t="str">
        <v>LOT0450</v>
      </c>
      <c r="BA161" s="3">
        <v>5</v>
      </c>
      <c r="BB161" t="str">
        <v>P/Final</v>
      </c>
      <c r="BC161">
        <v>35</v>
      </c>
      <c r="BD161" s="10">
        <v>42.4</v>
      </c>
      <c r="BE161" s="10">
        <v>0</v>
      </c>
      <c r="BF161" s="10">
        <v>0</v>
      </c>
      <c r="BG161" s="13">
        <v>45352</v>
      </c>
    </row>
    <row r="162" spans="49:59" x14ac:dyDescent="0.3">
      <c r="AW162" s="1">
        <v>5.0999999999999996</v>
      </c>
      <c r="AX162" s="1">
        <v>5.0999999999999996</v>
      </c>
      <c r="AY162" t="str">
        <v>R080_HI782-0_0.0_LOT0450_PW7.1_QC.xlsx</v>
      </c>
      <c r="AZ162" t="str">
        <v>LOT0450</v>
      </c>
      <c r="BA162" s="3">
        <v>5</v>
      </c>
      <c r="BB162" t="str">
        <v>P/Final</v>
      </c>
      <c r="BC162">
        <v>60</v>
      </c>
      <c r="BD162" s="10">
        <v>60.4</v>
      </c>
      <c r="BE162" s="10">
        <v>0</v>
      </c>
      <c r="BF162" s="10">
        <v>0</v>
      </c>
      <c r="BG162" s="13">
        <v>45352</v>
      </c>
    </row>
    <row r="163" spans="49:59" x14ac:dyDescent="0.3">
      <c r="AW163" s="1">
        <v>5.0999999999999996</v>
      </c>
      <c r="AX163" s="1">
        <v>5.0999999999999996</v>
      </c>
      <c r="AY163" t="str">
        <v>R080_HI782-0_0.0_LOT0450_PW7.1_QC.xlsx</v>
      </c>
      <c r="AZ163" t="str">
        <v>LOT0450</v>
      </c>
      <c r="BA163" s="3">
        <v>5</v>
      </c>
      <c r="BB163" t="str">
        <v>P/Final</v>
      </c>
      <c r="BC163">
        <v>60</v>
      </c>
      <c r="BD163" s="10">
        <v>64.900000000000006</v>
      </c>
      <c r="BE163" s="10">
        <v>0</v>
      </c>
      <c r="BF163" s="10">
        <v>0</v>
      </c>
      <c r="BG163" s="13">
        <v>45352</v>
      </c>
    </row>
    <row r="164" spans="49:59" x14ac:dyDescent="0.3">
      <c r="AW164" s="1">
        <v>5.0999999999999996</v>
      </c>
      <c r="AX164" s="1">
        <v>5.0999999999999996</v>
      </c>
      <c r="AY164" t="str">
        <v>R080_HI782-0_0.0_LOT0450_PW7.1_QC.xlsx</v>
      </c>
      <c r="AZ164" t="str">
        <v>LOT0450</v>
      </c>
      <c r="BA164" s="3">
        <v>5</v>
      </c>
      <c r="BB164" t="str">
        <v>P/Final</v>
      </c>
      <c r="BC164">
        <v>60</v>
      </c>
      <c r="BD164" s="10">
        <v>61.7</v>
      </c>
      <c r="BE164" s="10">
        <v>0</v>
      </c>
      <c r="BF164" s="10">
        <v>0</v>
      </c>
      <c r="BG164" s="13">
        <v>45352</v>
      </c>
    </row>
    <row r="165" spans="49:59" x14ac:dyDescent="0.3">
      <c r="AW165" s="1">
        <v>5.0999999999999996</v>
      </c>
      <c r="AX165" s="1">
        <v>5.0999999999999996</v>
      </c>
      <c r="AY165" t="str">
        <v>R080_HI782-0_0.0_LOT0450_PW7.1_QC.xlsx</v>
      </c>
      <c r="AZ165" t="str">
        <v>LOT0450</v>
      </c>
      <c r="BA165" s="3">
        <v>5</v>
      </c>
      <c r="BB165" t="str">
        <v>P/Final</v>
      </c>
      <c r="BC165">
        <v>60</v>
      </c>
      <c r="BD165" s="10">
        <v>60.5</v>
      </c>
      <c r="BE165" s="10">
        <v>0</v>
      </c>
      <c r="BF165" s="10">
        <v>0</v>
      </c>
      <c r="BG165" s="13">
        <v>45352</v>
      </c>
    </row>
    <row r="166" spans="49:59" x14ac:dyDescent="0.3">
      <c r="AW166" s="1">
        <v>5.0999999999999996</v>
      </c>
      <c r="AX166" s="1">
        <v>5.0999999999999996</v>
      </c>
      <c r="AY166" t="str">
        <v>R080_HI782-0_0.0_LOT0450_PW7.1_QC.xlsx</v>
      </c>
      <c r="AZ166" t="str">
        <v>LOT0450</v>
      </c>
      <c r="BA166" s="3">
        <v>5</v>
      </c>
      <c r="BB166" t="str">
        <v>P/Final</v>
      </c>
      <c r="BC166">
        <v>60</v>
      </c>
      <c r="BD166" s="10">
        <v>61.2</v>
      </c>
      <c r="BE166" s="10">
        <v>0</v>
      </c>
      <c r="BF166" s="10">
        <v>0</v>
      </c>
      <c r="BG166" s="13">
        <v>45352</v>
      </c>
    </row>
    <row r="167" spans="49:59" x14ac:dyDescent="0.3">
      <c r="AW167" s="1">
        <v>5.0999999999999996</v>
      </c>
      <c r="AX167" s="1">
        <v>5.0999999999999996</v>
      </c>
      <c r="AY167" t="str">
        <v>R080_HI782-0_0.0_LOT0450_PW7.1_QC.xlsx</v>
      </c>
      <c r="AZ167" t="str">
        <v>LOT0450</v>
      </c>
      <c r="BA167" s="3">
        <v>5</v>
      </c>
      <c r="BB167" t="str">
        <v>P/Final</v>
      </c>
      <c r="BC167">
        <v>60</v>
      </c>
      <c r="BD167" s="10">
        <v>62.7</v>
      </c>
      <c r="BE167" s="10">
        <v>0</v>
      </c>
      <c r="BF167" s="10">
        <v>0</v>
      </c>
      <c r="BG167" s="13">
        <v>45352</v>
      </c>
    </row>
    <row r="168" spans="49:59" x14ac:dyDescent="0.3">
      <c r="AW168" s="1">
        <v>5.0999999999999996</v>
      </c>
      <c r="AX168" s="1">
        <v>5.0999999999999996</v>
      </c>
      <c r="AY168" t="str">
        <v>R080_HI782-0_0.0_LOT0450_PW7.1_QC.xlsx</v>
      </c>
      <c r="AZ168" t="str">
        <v>LOT0450</v>
      </c>
      <c r="BA168" s="3">
        <v>5</v>
      </c>
      <c r="BB168" t="str">
        <v>P/Final</v>
      </c>
      <c r="BC168">
        <v>60</v>
      </c>
      <c r="BD168" s="10">
        <v>66.5</v>
      </c>
      <c r="BE168" s="10">
        <v>0</v>
      </c>
      <c r="BF168" s="10">
        <v>0</v>
      </c>
      <c r="BG168" s="13">
        <v>45352</v>
      </c>
    </row>
    <row r="169" spans="49:59" x14ac:dyDescent="0.3">
      <c r="AW169" s="1">
        <v>5.0999999999999996</v>
      </c>
      <c r="AX169" s="1">
        <v>5.0999999999999996</v>
      </c>
      <c r="AY169" t="str">
        <v>R080_HI782-0_0.0_LOT0450_PW7.1_QC.xlsx</v>
      </c>
      <c r="AZ169" t="str">
        <v>LOT0450</v>
      </c>
      <c r="BA169" s="3">
        <v>5</v>
      </c>
      <c r="BB169" t="str">
        <v>P/Final</v>
      </c>
      <c r="BC169">
        <v>60</v>
      </c>
      <c r="BD169" s="10">
        <v>64.2</v>
      </c>
      <c r="BE169" s="10">
        <v>0</v>
      </c>
      <c r="BF169" s="10">
        <v>0</v>
      </c>
      <c r="BG169" s="13">
        <v>45352</v>
      </c>
    </row>
    <row r="170" spans="49:59" x14ac:dyDescent="0.3">
      <c r="AW170" s="1">
        <v>5.0999999999999996</v>
      </c>
      <c r="AX170" s="1">
        <v>5.0999999999999996</v>
      </c>
      <c r="AY170" t="str">
        <v>R080_HI782-0_0.0_LOT0450_PW7.1_QC.xlsx</v>
      </c>
      <c r="AZ170" t="str">
        <v>LOT0450</v>
      </c>
      <c r="BA170" s="3">
        <v>5</v>
      </c>
      <c r="BB170" t="str">
        <v>P/Final</v>
      </c>
      <c r="BC170">
        <v>0</v>
      </c>
      <c r="BD170" s="10">
        <v>0.6</v>
      </c>
      <c r="BE170" s="10">
        <v>0</v>
      </c>
      <c r="BF170" s="10">
        <v>0</v>
      </c>
      <c r="BG170" s="13">
        <v>45355</v>
      </c>
    </row>
    <row r="171" spans="49:59" x14ac:dyDescent="0.3">
      <c r="AW171" s="1">
        <v>5.0999999999999996</v>
      </c>
      <c r="AX171" s="1">
        <v>5.0999999999999996</v>
      </c>
      <c r="AY171" t="str">
        <v>R080_HI782-0_0.0_LOT0450_PW7.1_QC.xlsx</v>
      </c>
      <c r="AZ171" t="str">
        <v>LOT0450</v>
      </c>
      <c r="BA171" s="3">
        <v>5</v>
      </c>
      <c r="BB171" t="str">
        <v>P/Final</v>
      </c>
      <c r="BC171">
        <v>15</v>
      </c>
      <c r="BD171" s="10">
        <v>17.899999999999999</v>
      </c>
      <c r="BE171" s="10">
        <v>0</v>
      </c>
      <c r="BF171" s="10">
        <v>0</v>
      </c>
      <c r="BG171" s="13">
        <v>45355</v>
      </c>
    </row>
    <row r="172" spans="49:59" x14ac:dyDescent="0.3">
      <c r="AW172" s="1">
        <v>5.0999999999999996</v>
      </c>
      <c r="AX172" s="1">
        <v>5.0999999999999996</v>
      </c>
      <c r="AY172" t="str">
        <v>R080_HI782-0_0.0_LOT0450_PW7.1_QC.xlsx</v>
      </c>
      <c r="AZ172" t="str">
        <v>LOT0450</v>
      </c>
      <c r="BA172" s="3">
        <v>5</v>
      </c>
      <c r="BB172" t="str">
        <v>P/Final</v>
      </c>
      <c r="BC172">
        <v>15</v>
      </c>
      <c r="BD172" s="10">
        <v>16.899999999999999</v>
      </c>
      <c r="BE172" s="10">
        <v>0</v>
      </c>
      <c r="BF172" s="10">
        <v>0</v>
      </c>
      <c r="BG172" s="13">
        <v>45355</v>
      </c>
    </row>
    <row r="173" spans="49:59" x14ac:dyDescent="0.3">
      <c r="AW173" s="1">
        <v>5.0999999999999996</v>
      </c>
      <c r="AX173" s="1">
        <v>5.0999999999999996</v>
      </c>
      <c r="AY173" t="str">
        <v>R080_HI782-0_0.0_LOT0450_PW7.1_QC.xlsx</v>
      </c>
      <c r="AZ173" t="str">
        <v>LOT0450</v>
      </c>
      <c r="BA173" s="3">
        <v>5</v>
      </c>
      <c r="BB173" t="str">
        <v>P/Final</v>
      </c>
      <c r="BC173">
        <v>15</v>
      </c>
      <c r="BD173" s="10">
        <v>17</v>
      </c>
      <c r="BE173" s="10">
        <v>0</v>
      </c>
      <c r="BF173" s="10">
        <v>0</v>
      </c>
      <c r="BG173" s="13">
        <v>45355</v>
      </c>
    </row>
    <row r="174" spans="49:59" x14ac:dyDescent="0.3">
      <c r="AW174" s="1">
        <v>5.0999999999999996</v>
      </c>
      <c r="AX174" s="1">
        <v>5.0999999999999996</v>
      </c>
      <c r="AY174" t="str">
        <v>R080_HI782-0_0.0_LOT0450_PW7.1_QC.xlsx</v>
      </c>
      <c r="AZ174" t="str">
        <v>LOT0450</v>
      </c>
      <c r="BA174" s="3">
        <v>5</v>
      </c>
      <c r="BB174" t="str">
        <v>P/Final</v>
      </c>
      <c r="BC174">
        <v>15</v>
      </c>
      <c r="BD174" s="10">
        <v>15.9</v>
      </c>
      <c r="BE174" s="10">
        <v>0</v>
      </c>
      <c r="BF174" s="10">
        <v>0</v>
      </c>
      <c r="BG174" s="13">
        <v>45355</v>
      </c>
    </row>
    <row r="175" spans="49:59" x14ac:dyDescent="0.3">
      <c r="AW175" s="1">
        <v>5.0999999999999996</v>
      </c>
      <c r="AX175" s="1">
        <v>5.0999999999999996</v>
      </c>
      <c r="AY175" t="str">
        <v>R080_HI782-0_0.0_LOT0450_PW7.1_QC.xlsx</v>
      </c>
      <c r="AZ175" t="str">
        <v>LOT0450</v>
      </c>
      <c r="BA175" s="3">
        <v>5</v>
      </c>
      <c r="BB175" t="str">
        <v>P/Final</v>
      </c>
      <c r="BC175">
        <v>15</v>
      </c>
      <c r="BD175" s="10">
        <v>15.7</v>
      </c>
      <c r="BE175" s="10">
        <v>0</v>
      </c>
      <c r="BF175" s="10">
        <v>0</v>
      </c>
      <c r="BG175" s="13">
        <v>45355</v>
      </c>
    </row>
    <row r="176" spans="49:59" x14ac:dyDescent="0.3">
      <c r="AW176" s="1">
        <v>5.0999999999999996</v>
      </c>
      <c r="AX176" s="1">
        <v>5.0999999999999996</v>
      </c>
      <c r="AY176" t="str">
        <v>R080_HI782-0_0.0_LOT0450_PW7.1_QC.xlsx</v>
      </c>
      <c r="AZ176" t="str">
        <v>LOT0450</v>
      </c>
      <c r="BA176" s="3">
        <v>5</v>
      </c>
      <c r="BB176" t="str">
        <v>P/Final</v>
      </c>
      <c r="BC176">
        <v>15</v>
      </c>
      <c r="BD176" s="10">
        <v>16.7</v>
      </c>
      <c r="BE176" s="10">
        <v>0</v>
      </c>
      <c r="BF176" s="10">
        <v>0</v>
      </c>
      <c r="BG176" s="13">
        <v>45355</v>
      </c>
    </row>
    <row r="177" spans="49:59" x14ac:dyDescent="0.3">
      <c r="AW177" s="1">
        <v>5.0999999999999996</v>
      </c>
      <c r="AX177" s="1">
        <v>5.0999999999999996</v>
      </c>
      <c r="AY177" t="str">
        <v>R080_HI782-0_0.0_LOT0450_PW7.1_QC.xlsx</v>
      </c>
      <c r="AZ177" t="str">
        <v>LOT0450</v>
      </c>
      <c r="BA177" s="3">
        <v>5</v>
      </c>
      <c r="BB177" t="str">
        <v>P/Final</v>
      </c>
      <c r="BC177">
        <v>15</v>
      </c>
      <c r="BD177" s="10">
        <v>17.2</v>
      </c>
      <c r="BE177" s="10">
        <v>0</v>
      </c>
      <c r="BF177" s="10">
        <v>0</v>
      </c>
      <c r="BG177" s="13">
        <v>45355</v>
      </c>
    </row>
    <row r="178" spans="49:59" x14ac:dyDescent="0.3">
      <c r="AW178" s="1">
        <v>5.0999999999999996</v>
      </c>
      <c r="AX178" s="1">
        <v>5.0999999999999996</v>
      </c>
      <c r="AY178" t="str">
        <v>R080_HI782-0_0.0_LOT0450_PW7.1_QC.xlsx</v>
      </c>
      <c r="AZ178" t="str">
        <v>LOT0450</v>
      </c>
      <c r="BA178" s="3">
        <v>5</v>
      </c>
      <c r="BB178" t="str">
        <v>P/Final</v>
      </c>
      <c r="BC178">
        <v>15</v>
      </c>
      <c r="BD178" s="10">
        <v>17.5</v>
      </c>
      <c r="BE178" s="10">
        <v>0</v>
      </c>
      <c r="BF178" s="10">
        <v>0</v>
      </c>
      <c r="BG178" s="13">
        <v>45355</v>
      </c>
    </row>
    <row r="179" spans="49:59" x14ac:dyDescent="0.3">
      <c r="AW179" s="1">
        <v>5.0999999999999996</v>
      </c>
      <c r="AX179" s="1">
        <v>5.0999999999999996</v>
      </c>
      <c r="AY179" t="str">
        <v>R080_HI782-0_0.0_LOT0450_PW7.1_QC.xlsx</v>
      </c>
      <c r="AZ179" t="str">
        <v>LOT0450</v>
      </c>
      <c r="BA179" s="3">
        <v>5</v>
      </c>
      <c r="BB179" t="str">
        <v>P/Final</v>
      </c>
      <c r="BC179">
        <v>15</v>
      </c>
      <c r="BD179" s="10">
        <v>17.8</v>
      </c>
      <c r="BE179" s="10">
        <v>0</v>
      </c>
      <c r="BF179" s="10">
        <v>0</v>
      </c>
      <c r="BG179" s="13">
        <v>45355</v>
      </c>
    </row>
    <row r="180" spans="49:59" x14ac:dyDescent="0.3">
      <c r="AW180" s="1">
        <v>5.0999999999999996</v>
      </c>
      <c r="AX180" s="1">
        <v>5.0999999999999996</v>
      </c>
      <c r="AY180" t="str">
        <v>R080_HI782-0_0.0_LOT0450_PW7.1_QC.xlsx</v>
      </c>
      <c r="AZ180" t="str">
        <v>LOT0450</v>
      </c>
      <c r="BA180" s="3">
        <v>5</v>
      </c>
      <c r="BB180" t="str">
        <v>P/Final</v>
      </c>
      <c r="BC180">
        <v>15</v>
      </c>
      <c r="BD180" s="10">
        <v>18.399999999999999</v>
      </c>
      <c r="BE180" s="10">
        <v>0</v>
      </c>
      <c r="BF180" s="10">
        <v>0</v>
      </c>
      <c r="BG180" s="13">
        <v>45355</v>
      </c>
    </row>
    <row r="181" spans="49:59" x14ac:dyDescent="0.3">
      <c r="AW181" s="1">
        <v>5.0999999999999996</v>
      </c>
      <c r="AX181" s="1">
        <v>5.0999999999999996</v>
      </c>
      <c r="AY181" t="str">
        <v>R080_HI782-0_0.0_LOT0450_PW7.1_QC.xlsx</v>
      </c>
      <c r="AZ181" t="str">
        <v>LOT0450</v>
      </c>
      <c r="BA181" s="3">
        <v>5</v>
      </c>
      <c r="BB181" t="str">
        <v>P/Final</v>
      </c>
      <c r="BC181">
        <v>15</v>
      </c>
      <c r="BD181" s="10">
        <v>18.5</v>
      </c>
      <c r="BE181" s="10">
        <v>0</v>
      </c>
      <c r="BF181" s="10">
        <v>0</v>
      </c>
      <c r="BG181" s="13">
        <v>45355</v>
      </c>
    </row>
    <row r="182" spans="49:59" x14ac:dyDescent="0.3">
      <c r="AW182" s="1">
        <v>5.0999999999999996</v>
      </c>
      <c r="AX182" s="1">
        <v>5.0999999999999996</v>
      </c>
      <c r="AY182" t="str">
        <v>R080_HI782-0_0.0_LOT0450_PW7.1_QC.xlsx</v>
      </c>
      <c r="AZ182" t="str">
        <v>LOT0450</v>
      </c>
      <c r="BA182" s="3">
        <v>5</v>
      </c>
      <c r="BB182" t="str">
        <v>P/Final</v>
      </c>
      <c r="BC182">
        <v>15</v>
      </c>
      <c r="BD182" s="10">
        <v>17.7</v>
      </c>
      <c r="BE182" s="10">
        <v>0</v>
      </c>
      <c r="BF182" s="10">
        <v>0</v>
      </c>
      <c r="BG182" s="13">
        <v>45355</v>
      </c>
    </row>
    <row r="183" spans="49:59" x14ac:dyDescent="0.3">
      <c r="AW183" s="1">
        <v>5.0999999999999996</v>
      </c>
      <c r="AX183" s="1">
        <v>5.0999999999999996</v>
      </c>
      <c r="AY183" t="str">
        <v>R080_HI782-0_0.0_LOT0450_PW7.1_QC.xlsx</v>
      </c>
      <c r="AZ183" t="str">
        <v>LOT0450</v>
      </c>
      <c r="BA183" s="3">
        <v>5</v>
      </c>
      <c r="BB183" t="str">
        <v>P/Final</v>
      </c>
      <c r="BC183">
        <v>35</v>
      </c>
      <c r="BD183" s="10">
        <v>38.1</v>
      </c>
      <c r="BE183" s="10">
        <v>0</v>
      </c>
      <c r="BF183" s="10">
        <v>0</v>
      </c>
      <c r="BG183" s="13">
        <v>45355</v>
      </c>
    </row>
    <row r="184" spans="49:59" x14ac:dyDescent="0.3">
      <c r="AW184" s="1">
        <v>5.0999999999999996</v>
      </c>
      <c r="AX184" s="1">
        <v>5.0999999999999996</v>
      </c>
      <c r="AY184" t="str">
        <v>R080_HI782-0_0.0_LOT0450_PW7.1_QC.xlsx</v>
      </c>
      <c r="AZ184" t="str">
        <v>LOT0450</v>
      </c>
      <c r="BA184" s="3">
        <v>5</v>
      </c>
      <c r="BB184" t="str">
        <v>P/Final</v>
      </c>
      <c r="BC184">
        <v>35</v>
      </c>
      <c r="BD184" s="10">
        <v>37.799999999999997</v>
      </c>
      <c r="BE184" s="10">
        <v>0</v>
      </c>
      <c r="BF184" s="10">
        <v>0</v>
      </c>
      <c r="BG184" s="13">
        <v>45355</v>
      </c>
    </row>
    <row r="185" spans="49:59" x14ac:dyDescent="0.3">
      <c r="AW185" s="1">
        <v>5.0999999999999996</v>
      </c>
      <c r="AX185" s="1">
        <v>5.0999999999999996</v>
      </c>
      <c r="AY185" t="str">
        <v>R080_HI782-0_0.0_LOT0450_PW7.1_QC.xlsx</v>
      </c>
      <c r="AZ185" t="str">
        <v>LOT0450</v>
      </c>
      <c r="BA185" s="3">
        <v>5</v>
      </c>
      <c r="BB185" t="str">
        <v>P/Final</v>
      </c>
      <c r="BC185">
        <v>35</v>
      </c>
      <c r="BD185" s="10">
        <v>36.799999999999997</v>
      </c>
      <c r="BE185" s="10">
        <v>0</v>
      </c>
      <c r="BF185" s="10">
        <v>0</v>
      </c>
      <c r="BG185" s="13">
        <v>45355</v>
      </c>
    </row>
    <row r="186" spans="49:59" x14ac:dyDescent="0.3">
      <c r="AW186" s="1">
        <v>5.0999999999999996</v>
      </c>
      <c r="AX186" s="1">
        <v>5.0999999999999996</v>
      </c>
      <c r="AY186" t="str">
        <v>R080_HI782-0_0.0_LOT0450_PW7.1_QC.xlsx</v>
      </c>
      <c r="AZ186" t="str">
        <v>LOT0450</v>
      </c>
      <c r="BA186" s="3">
        <v>5</v>
      </c>
      <c r="BB186" t="str">
        <v>P/Final</v>
      </c>
      <c r="BC186">
        <v>35</v>
      </c>
      <c r="BD186" s="10">
        <v>36.200000000000003</v>
      </c>
      <c r="BE186" s="10">
        <v>0</v>
      </c>
      <c r="BF186" s="10">
        <v>0</v>
      </c>
      <c r="BG186" s="13">
        <v>45355</v>
      </c>
    </row>
    <row r="187" spans="49:59" x14ac:dyDescent="0.3">
      <c r="AW187" s="1">
        <v>5.0999999999999996</v>
      </c>
      <c r="AX187" s="1">
        <v>5.0999999999999996</v>
      </c>
      <c r="AY187" t="str">
        <v>R080_HI782-0_0.0_LOT0450_PW7.1_QC.xlsx</v>
      </c>
      <c r="AZ187" t="str">
        <v>LOT0450</v>
      </c>
      <c r="BA187" s="3">
        <v>5</v>
      </c>
      <c r="BB187" t="str">
        <v>P/Final</v>
      </c>
      <c r="BC187">
        <v>35</v>
      </c>
      <c r="BD187" s="10">
        <v>38.5</v>
      </c>
      <c r="BE187" s="10">
        <v>0</v>
      </c>
      <c r="BF187" s="10">
        <v>0</v>
      </c>
      <c r="BG187" s="13">
        <v>45355</v>
      </c>
    </row>
    <row r="188" spans="49:59" x14ac:dyDescent="0.3">
      <c r="AW188" s="1">
        <v>5.0999999999999996</v>
      </c>
      <c r="AX188" s="1">
        <v>5.0999999999999996</v>
      </c>
      <c r="AY188" t="str">
        <v>R080_HI782-0_0.0_LOT0450_PW7.1_QC.xlsx</v>
      </c>
      <c r="AZ188" t="str">
        <v>LOT0450</v>
      </c>
      <c r="BA188" s="3">
        <v>5</v>
      </c>
      <c r="BB188" t="str">
        <v>P/Final</v>
      </c>
      <c r="BC188">
        <v>35</v>
      </c>
      <c r="BD188" s="10">
        <v>38.1</v>
      </c>
      <c r="BE188" s="10">
        <v>0</v>
      </c>
      <c r="BF188" s="10">
        <v>0</v>
      </c>
      <c r="BG188" s="13">
        <v>45355</v>
      </c>
    </row>
    <row r="189" spans="49:59" x14ac:dyDescent="0.3">
      <c r="AW189" s="1">
        <v>5.0999999999999996</v>
      </c>
      <c r="AX189" s="1">
        <v>5.0999999999999996</v>
      </c>
      <c r="AY189" t="str">
        <v>R080_HI782-0_0.0_LOT0450_PW7.1_QC.xlsx</v>
      </c>
      <c r="AZ189" t="str">
        <v>LOT0450</v>
      </c>
      <c r="BA189" s="3">
        <v>5</v>
      </c>
      <c r="BB189" t="str">
        <v>P/Final</v>
      </c>
      <c r="BC189">
        <v>35</v>
      </c>
      <c r="BD189" s="10">
        <v>38.200000000000003</v>
      </c>
      <c r="BE189" s="10">
        <v>0</v>
      </c>
      <c r="BF189" s="10">
        <v>0</v>
      </c>
      <c r="BG189" s="13">
        <v>45355</v>
      </c>
    </row>
    <row r="190" spans="49:59" x14ac:dyDescent="0.3">
      <c r="AW190" s="1">
        <v>5.0999999999999996</v>
      </c>
      <c r="AX190" s="1">
        <v>5.0999999999999996</v>
      </c>
      <c r="AY190" t="str">
        <v>R080_HI782-0_0.0_LOT0450_PW7.1_QC.xlsx</v>
      </c>
      <c r="AZ190" t="str">
        <v>LOT0450</v>
      </c>
      <c r="BA190" s="3">
        <v>5</v>
      </c>
      <c r="BB190" t="str">
        <v>P/Final</v>
      </c>
      <c r="BC190">
        <v>35</v>
      </c>
      <c r="BD190" s="10">
        <v>38.1</v>
      </c>
      <c r="BE190" s="10">
        <v>0</v>
      </c>
      <c r="BF190" s="10">
        <v>0</v>
      </c>
      <c r="BG190" s="13">
        <v>45355</v>
      </c>
    </row>
    <row r="191" spans="49:59" x14ac:dyDescent="0.3">
      <c r="AW191" s="1">
        <v>5.0999999999999996</v>
      </c>
      <c r="AX191" s="1">
        <v>5.0999999999999996</v>
      </c>
      <c r="AY191" t="str">
        <v>R080_HI782-0_0.0_LOT0450_PW7.1_QC.xlsx</v>
      </c>
      <c r="AZ191" t="str">
        <v>LOT0450</v>
      </c>
      <c r="BA191" s="3">
        <v>5</v>
      </c>
      <c r="BB191" t="str">
        <v>P/Final</v>
      </c>
      <c r="BC191">
        <v>35</v>
      </c>
      <c r="BD191" s="10">
        <v>38.6</v>
      </c>
      <c r="BE191" s="10">
        <v>0</v>
      </c>
      <c r="BF191" s="10">
        <v>0</v>
      </c>
      <c r="BG191" s="13">
        <v>45355</v>
      </c>
    </row>
    <row r="192" spans="49:59" x14ac:dyDescent="0.3">
      <c r="AW192" s="1">
        <v>5.0999999999999996</v>
      </c>
      <c r="AX192" s="1">
        <v>5.0999999999999996</v>
      </c>
      <c r="AY192" t="str">
        <v>R080_HI782-0_0.0_LOT0450_PW7.1_QC.xlsx</v>
      </c>
      <c r="AZ192" t="str">
        <v>LOT0450</v>
      </c>
      <c r="BA192" s="3">
        <v>5</v>
      </c>
      <c r="BB192" t="str">
        <v>P/Final</v>
      </c>
      <c r="BC192">
        <v>35</v>
      </c>
      <c r="BD192" s="10">
        <v>38.299999999999997</v>
      </c>
      <c r="BE192" s="10">
        <v>0</v>
      </c>
      <c r="BF192" s="10">
        <v>0</v>
      </c>
      <c r="BG192" s="13">
        <v>45355</v>
      </c>
    </row>
    <row r="193" spans="49:59" x14ac:dyDescent="0.3">
      <c r="AW193" s="1">
        <v>5.0999999999999996</v>
      </c>
      <c r="AX193" s="1">
        <v>5.0999999999999996</v>
      </c>
      <c r="AY193" t="str">
        <v>R080_HI782-0_0.0_LOT0450_PW7.1_QC.xlsx</v>
      </c>
      <c r="AZ193" t="str">
        <v>LOT0450</v>
      </c>
      <c r="BA193" s="3">
        <v>5</v>
      </c>
      <c r="BB193" t="str">
        <v>P/Final</v>
      </c>
      <c r="BC193">
        <v>60</v>
      </c>
      <c r="BD193" s="10">
        <v>59.9</v>
      </c>
      <c r="BE193" s="10">
        <v>0</v>
      </c>
      <c r="BF193" s="10">
        <v>0</v>
      </c>
      <c r="BG193" s="13">
        <v>45355</v>
      </c>
    </row>
    <row r="194" spans="49:59" x14ac:dyDescent="0.3">
      <c r="AW194" s="1">
        <v>5.0999999999999996</v>
      </c>
      <c r="AX194" s="1">
        <v>5.0999999999999996</v>
      </c>
      <c r="AY194" t="str">
        <v>R080_HI782-0_0.0_LOT0450_PW7.1_QC.xlsx</v>
      </c>
      <c r="AZ194" t="str">
        <v>LOT0450</v>
      </c>
      <c r="BA194" s="3">
        <v>5</v>
      </c>
      <c r="BB194" t="str">
        <v>P/Final</v>
      </c>
      <c r="BC194">
        <v>60</v>
      </c>
      <c r="BD194" s="10">
        <v>60.8</v>
      </c>
      <c r="BE194" s="10">
        <v>0</v>
      </c>
      <c r="BF194" s="10">
        <v>0</v>
      </c>
      <c r="BG194" s="13">
        <v>45355</v>
      </c>
    </row>
    <row r="195" spans="49:59" x14ac:dyDescent="0.3">
      <c r="AW195" s="1">
        <v>5.0999999999999996</v>
      </c>
      <c r="AX195" s="1">
        <v>5.0999999999999996</v>
      </c>
      <c r="AY195" t="str">
        <v>R080_HI782-0_0.0_LOT0450_PW7.1_QC.xlsx</v>
      </c>
      <c r="AZ195" t="str">
        <v>LOT0450</v>
      </c>
      <c r="BA195" s="3">
        <v>5</v>
      </c>
      <c r="BB195" t="str">
        <v>P/Final</v>
      </c>
      <c r="BC195">
        <v>60</v>
      </c>
      <c r="BD195" s="10">
        <v>61.4</v>
      </c>
      <c r="BE195" s="10">
        <v>0</v>
      </c>
      <c r="BF195" s="10">
        <v>0</v>
      </c>
      <c r="BG195" s="13">
        <v>45355</v>
      </c>
    </row>
    <row r="196" spans="49:59" x14ac:dyDescent="0.3">
      <c r="AW196" s="1">
        <v>5.0999999999999996</v>
      </c>
      <c r="AX196" s="1">
        <v>5.0999999999999996</v>
      </c>
      <c r="AY196" t="str">
        <v>R080_HI782-0_0.0_LOT0450_PW7.1_QC.xlsx</v>
      </c>
      <c r="AZ196" t="str">
        <v>LOT0450</v>
      </c>
      <c r="BA196" s="3">
        <v>5</v>
      </c>
      <c r="BB196" t="str">
        <v>P/Final</v>
      </c>
      <c r="BC196">
        <v>60</v>
      </c>
      <c r="BD196" s="10">
        <v>61.6</v>
      </c>
      <c r="BE196" s="10">
        <v>0</v>
      </c>
      <c r="BF196" s="10">
        <v>0</v>
      </c>
      <c r="BG196" s="13">
        <v>45355</v>
      </c>
    </row>
    <row r="197" spans="49:59" x14ac:dyDescent="0.3">
      <c r="AW197" s="1">
        <v>5.0999999999999996</v>
      </c>
      <c r="AX197" s="1">
        <v>5.0999999999999996</v>
      </c>
      <c r="AY197" t="str">
        <v>R080_HI782-0_0.0_LOT0450_PW7.1_QC.xlsx</v>
      </c>
      <c r="AZ197" t="str">
        <v>LOT0450</v>
      </c>
      <c r="BA197" s="3">
        <v>5</v>
      </c>
      <c r="BB197" t="str">
        <v>P/Final</v>
      </c>
      <c r="BC197">
        <v>60</v>
      </c>
      <c r="BD197" s="10">
        <v>60.8</v>
      </c>
      <c r="BE197" s="10">
        <v>0</v>
      </c>
      <c r="BF197" s="10">
        <v>0</v>
      </c>
      <c r="BG197" s="13">
        <v>45355</v>
      </c>
    </row>
    <row r="198" spans="49:59" x14ac:dyDescent="0.3">
      <c r="AW198" s="1">
        <v>5.0999999999999996</v>
      </c>
      <c r="AX198" s="1">
        <v>5.0999999999999996</v>
      </c>
      <c r="AY198" t="str">
        <v>R080_HI782-0_0.0_LOT0450_PW7.1_QC.xlsx</v>
      </c>
      <c r="AZ198" t="str">
        <v>LOT0450</v>
      </c>
      <c r="BA198" s="3">
        <v>5</v>
      </c>
      <c r="BB198" t="str">
        <v>P/Final</v>
      </c>
      <c r="BC198">
        <v>60</v>
      </c>
      <c r="BD198" s="10">
        <v>62.3</v>
      </c>
      <c r="BE198" s="10">
        <v>0</v>
      </c>
      <c r="BF198" s="10">
        <v>0</v>
      </c>
      <c r="BG198" s="13">
        <v>45355</v>
      </c>
    </row>
    <row r="199" spans="49:59" x14ac:dyDescent="0.3">
      <c r="AW199" s="1">
        <v>5.0999999999999996</v>
      </c>
      <c r="AX199" s="1">
        <v>5.0999999999999996</v>
      </c>
      <c r="AY199" t="str">
        <v>R080_HI782-0_0.0_LOT0450_PW7.1_QC.xlsx</v>
      </c>
      <c r="AZ199" t="str">
        <v>LOT0450</v>
      </c>
      <c r="BA199" s="3">
        <v>5</v>
      </c>
      <c r="BB199" t="str">
        <v>P/Final</v>
      </c>
      <c r="BC199">
        <v>60</v>
      </c>
      <c r="BD199" s="10">
        <v>62.8</v>
      </c>
      <c r="BE199" s="10">
        <v>0</v>
      </c>
      <c r="BF199" s="10">
        <v>0</v>
      </c>
      <c r="BG199" s="13">
        <v>45355</v>
      </c>
    </row>
    <row r="200" spans="49:59" x14ac:dyDescent="0.3">
      <c r="AW200" s="1">
        <v>5.0999999999999996</v>
      </c>
      <c r="AX200" s="1">
        <v>5.0999999999999996</v>
      </c>
      <c r="AY200" t="str">
        <v>R080_HI782-0_0.0_LOT0450_PW7.1_QC.xlsx</v>
      </c>
      <c r="AZ200" t="str">
        <v>LOT0450</v>
      </c>
      <c r="BA200" s="3">
        <v>5</v>
      </c>
      <c r="BB200" t="str">
        <v>P/Final</v>
      </c>
      <c r="BC200">
        <v>60</v>
      </c>
      <c r="BD200" s="10">
        <v>62.7</v>
      </c>
      <c r="BE200" s="10">
        <v>0</v>
      </c>
      <c r="BF200" s="10">
        <v>0</v>
      </c>
      <c r="BG200" s="13">
        <v>45355</v>
      </c>
    </row>
    <row r="201" spans="49:59" x14ac:dyDescent="0.3">
      <c r="AW201" s="1">
        <v>5.0999999999999996</v>
      </c>
      <c r="AX201" s="1">
        <v>5.0999999999999996</v>
      </c>
      <c r="AY201" t="str">
        <v>R080_HI782-0_0.0_LOT0450_PW7.1_QC.xlsx</v>
      </c>
      <c r="AZ201" t="str">
        <v>LOT0450</v>
      </c>
      <c r="BA201" s="3">
        <v>5</v>
      </c>
      <c r="BB201" t="str">
        <v>P/Final</v>
      </c>
      <c r="BC201">
        <v>60</v>
      </c>
      <c r="BD201" s="10">
        <v>59.1</v>
      </c>
      <c r="BE201" s="10">
        <v>0</v>
      </c>
      <c r="BF201" s="10">
        <v>0</v>
      </c>
      <c r="BG201" s="13">
        <v>45355</v>
      </c>
    </row>
    <row r="202" spans="49:59" x14ac:dyDescent="0.3">
      <c r="AW202" s="1">
        <v>5.0999999999999996</v>
      </c>
      <c r="AX202" s="1">
        <v>5.0999999999999996</v>
      </c>
      <c r="AY202" t="str">
        <v>R080_HI782-0_0.0_LOT0450_PW7.1_QC.xlsx</v>
      </c>
      <c r="AZ202" t="str">
        <v>LOT0450</v>
      </c>
      <c r="BA202" s="3">
        <v>5</v>
      </c>
      <c r="BB202" t="str">
        <v>P/Final</v>
      </c>
      <c r="BC202">
        <v>60</v>
      </c>
      <c r="BD202" s="10">
        <v>62.2</v>
      </c>
      <c r="BE202" s="10">
        <v>0</v>
      </c>
      <c r="BF202" s="10">
        <v>0</v>
      </c>
      <c r="BG202" s="13">
        <v>45355</v>
      </c>
    </row>
    <row r="203" spans="49:59" x14ac:dyDescent="0.3">
      <c r="AW203" s="1">
        <v>5.0999999999999996</v>
      </c>
      <c r="AX203" s="1">
        <v>5.0999999999999996</v>
      </c>
      <c r="AY203" t="str">
        <v>R080_HI782-0_0.0_LOT0450_PW7.1_QC.xlsx</v>
      </c>
      <c r="AZ203" t="str">
        <v>LOT0450</v>
      </c>
      <c r="BA203" s="3">
        <v>5</v>
      </c>
      <c r="BB203" t="str">
        <v>P/Final</v>
      </c>
      <c r="BC203">
        <v>60</v>
      </c>
      <c r="BD203" s="10">
        <v>63.1</v>
      </c>
      <c r="BE203" s="10">
        <v>0</v>
      </c>
      <c r="BF203" s="10">
        <v>0</v>
      </c>
      <c r="BG203" s="13">
        <v>45355</v>
      </c>
    </row>
    <row r="204" spans="49:59" x14ac:dyDescent="0.3">
      <c r="AW204" s="1">
        <v>6.1</v>
      </c>
      <c r="AX204" s="1">
        <v>6.1</v>
      </c>
      <c r="AY204" t="str">
        <v>R080_HI782-0_0.0_LOT0473_PW7.1_QC.xlsx</v>
      </c>
      <c r="AZ204" t="str">
        <v>LOT0473</v>
      </c>
      <c r="BA204" s="3">
        <v>6</v>
      </c>
      <c r="BB204" t="str">
        <v>P/Final</v>
      </c>
      <c r="BC204">
        <v>0</v>
      </c>
      <c r="BD204" s="10">
        <v>0.4</v>
      </c>
      <c r="BE204" s="10">
        <v>0</v>
      </c>
      <c r="BF204" s="10">
        <v>0</v>
      </c>
      <c r="BG204" s="13">
        <v>45356</v>
      </c>
    </row>
    <row r="205" spans="49:59" x14ac:dyDescent="0.3">
      <c r="AW205" s="1">
        <v>6.1</v>
      </c>
      <c r="AX205" s="1">
        <v>6.1</v>
      </c>
      <c r="AY205" t="str">
        <v>R080_HI782-0_0.0_LOT0473_PW7.1_QC.xlsx</v>
      </c>
      <c r="AZ205" t="str">
        <v>LOT0473</v>
      </c>
      <c r="BA205" s="3">
        <v>6</v>
      </c>
      <c r="BB205" t="str">
        <v>P/Final</v>
      </c>
      <c r="BC205">
        <v>0</v>
      </c>
      <c r="BD205" s="10">
        <v>0.3</v>
      </c>
      <c r="BE205" s="10">
        <v>0</v>
      </c>
      <c r="BF205" s="10">
        <v>0</v>
      </c>
      <c r="BG205" s="13">
        <v>45356</v>
      </c>
    </row>
    <row r="206" spans="49:59" x14ac:dyDescent="0.3">
      <c r="AW206" s="1">
        <v>6.1</v>
      </c>
      <c r="AX206" s="1">
        <v>6.1</v>
      </c>
      <c r="AY206" t="str">
        <v>R080_HI782-0_0.0_LOT0473_PW7.1_QC.xlsx</v>
      </c>
      <c r="AZ206" t="str">
        <v>LOT0473</v>
      </c>
      <c r="BA206" s="3">
        <v>6</v>
      </c>
      <c r="BB206" t="str">
        <v>P/Final</v>
      </c>
      <c r="BC206">
        <v>15</v>
      </c>
      <c r="BD206" s="10">
        <v>14.9</v>
      </c>
      <c r="BE206" s="10">
        <v>0</v>
      </c>
      <c r="BF206" s="10">
        <v>0</v>
      </c>
      <c r="BG206" s="13">
        <v>45356</v>
      </c>
    </row>
    <row r="207" spans="49:59" x14ac:dyDescent="0.3">
      <c r="AW207" s="1">
        <v>6.1</v>
      </c>
      <c r="AX207" s="1">
        <v>6.1</v>
      </c>
      <c r="AY207" t="str">
        <v>R080_HI782-0_0.0_LOT0473_PW7.1_QC.xlsx</v>
      </c>
      <c r="AZ207" t="str">
        <v>LOT0473</v>
      </c>
      <c r="BA207" s="3">
        <v>6</v>
      </c>
      <c r="BB207" t="str">
        <v>P/Final</v>
      </c>
      <c r="BC207">
        <v>15</v>
      </c>
      <c r="BD207" s="10">
        <v>16.3</v>
      </c>
      <c r="BE207" s="10">
        <v>0</v>
      </c>
      <c r="BF207" s="10">
        <v>0</v>
      </c>
      <c r="BG207" s="13">
        <v>45356</v>
      </c>
    </row>
    <row r="208" spans="49:59" x14ac:dyDescent="0.3">
      <c r="AW208" s="1">
        <v>6.1</v>
      </c>
      <c r="AX208" s="1">
        <v>6.1</v>
      </c>
      <c r="AY208" t="str">
        <v>R080_HI782-0_0.0_LOT0473_PW7.1_QC.xlsx</v>
      </c>
      <c r="AZ208" t="str">
        <v>LOT0473</v>
      </c>
      <c r="BA208" s="3">
        <v>6</v>
      </c>
      <c r="BB208" t="str">
        <v>P/Final</v>
      </c>
      <c r="BC208">
        <v>15</v>
      </c>
      <c r="BD208" s="10">
        <v>15.7</v>
      </c>
      <c r="BE208" s="10">
        <v>0</v>
      </c>
      <c r="BF208" s="10">
        <v>0</v>
      </c>
      <c r="BG208" s="13">
        <v>45356</v>
      </c>
    </row>
    <row r="209" spans="49:59" x14ac:dyDescent="0.3">
      <c r="AW209" s="1">
        <v>6.1</v>
      </c>
      <c r="AX209" s="1">
        <v>6.1</v>
      </c>
      <c r="AY209" t="str">
        <v>R080_HI782-0_0.0_LOT0473_PW7.1_QC.xlsx</v>
      </c>
      <c r="AZ209" t="str">
        <v>LOT0473</v>
      </c>
      <c r="BA209" s="3">
        <v>6</v>
      </c>
      <c r="BB209" t="str">
        <v>P/Final</v>
      </c>
      <c r="BC209">
        <v>15</v>
      </c>
      <c r="BD209" s="10">
        <v>16.3</v>
      </c>
      <c r="BE209" s="10">
        <v>0</v>
      </c>
      <c r="BF209" s="10">
        <v>0</v>
      </c>
      <c r="BG209" s="13">
        <v>45356</v>
      </c>
    </row>
    <row r="210" spans="49:59" x14ac:dyDescent="0.3">
      <c r="AW210" s="1">
        <v>6.1</v>
      </c>
      <c r="AX210" s="1">
        <v>6.1</v>
      </c>
      <c r="AY210" t="str">
        <v>R080_HI782-0_0.0_LOT0473_PW7.1_QC.xlsx</v>
      </c>
      <c r="AZ210" t="str">
        <v>LOT0473</v>
      </c>
      <c r="BA210" s="3">
        <v>6</v>
      </c>
      <c r="BB210" t="str">
        <v>P/Final</v>
      </c>
      <c r="BC210">
        <v>15</v>
      </c>
      <c r="BD210" s="10">
        <v>15.6</v>
      </c>
      <c r="BE210" s="10">
        <v>0</v>
      </c>
      <c r="BF210" s="10">
        <v>0</v>
      </c>
      <c r="BG210" s="13">
        <v>45356</v>
      </c>
    </row>
    <row r="211" spans="49:59" x14ac:dyDescent="0.3">
      <c r="AW211" s="1">
        <v>6.1</v>
      </c>
      <c r="AX211" s="1">
        <v>6.1</v>
      </c>
      <c r="AY211" t="str">
        <v>R080_HI782-0_0.0_LOT0473_PW7.1_QC.xlsx</v>
      </c>
      <c r="AZ211" t="str">
        <v>LOT0473</v>
      </c>
      <c r="BA211" s="3">
        <v>6</v>
      </c>
      <c r="BB211" t="str">
        <v>P/Final</v>
      </c>
      <c r="BC211">
        <v>15</v>
      </c>
      <c r="BD211" s="10">
        <v>17.2</v>
      </c>
      <c r="BE211" s="10">
        <v>0</v>
      </c>
      <c r="BF211" s="10">
        <v>0</v>
      </c>
      <c r="BG211" s="13">
        <v>45356</v>
      </c>
    </row>
    <row r="212" spans="49:59" x14ac:dyDescent="0.3">
      <c r="AW212" s="1">
        <v>6.1</v>
      </c>
      <c r="AX212" s="1">
        <v>6.1</v>
      </c>
      <c r="AY212" t="str">
        <v>R080_HI782-0_0.0_LOT0473_PW7.1_QC.xlsx</v>
      </c>
      <c r="AZ212" t="str">
        <v>LOT0473</v>
      </c>
      <c r="BA212" s="3">
        <v>6</v>
      </c>
      <c r="BB212" t="str">
        <v>P/Final</v>
      </c>
      <c r="BC212">
        <v>15</v>
      </c>
      <c r="BD212" s="10">
        <v>17</v>
      </c>
      <c r="BE212" s="10">
        <v>0</v>
      </c>
      <c r="BF212" s="10">
        <v>0</v>
      </c>
      <c r="BG212" s="13">
        <v>45356</v>
      </c>
    </row>
    <row r="213" spans="49:59" x14ac:dyDescent="0.3">
      <c r="AW213" s="1">
        <v>5.0999999999999996</v>
      </c>
      <c r="AX213" s="1">
        <v>5.0999999999999996</v>
      </c>
      <c r="AY213" t="str">
        <v>R080_HI782-0_0.0_LOT0450_PW7.1_QC.xlsx</v>
      </c>
      <c r="AZ213" t="str">
        <v>LOT0450</v>
      </c>
      <c r="BA213" s="3">
        <v>5</v>
      </c>
      <c r="BB213" t="str">
        <v>P/Final</v>
      </c>
      <c r="BC213">
        <v>15</v>
      </c>
      <c r="BD213" s="10">
        <v>17.3</v>
      </c>
      <c r="BE213" s="10">
        <v>0</v>
      </c>
      <c r="BF213" s="10">
        <v>0</v>
      </c>
      <c r="BG213" s="13">
        <v>45356</v>
      </c>
    </row>
    <row r="214" spans="49:59" x14ac:dyDescent="0.3">
      <c r="AW214" s="1">
        <v>6.1</v>
      </c>
      <c r="AX214" s="1">
        <v>6.1</v>
      </c>
      <c r="AY214" t="str">
        <v>R080_HI782-0_0.0_LOT0473_PW7.1_QC.xlsx</v>
      </c>
      <c r="AZ214" t="str">
        <v>LOT0473</v>
      </c>
      <c r="BA214" s="3">
        <v>6</v>
      </c>
      <c r="BB214" t="str">
        <v>P/Final</v>
      </c>
      <c r="BC214">
        <v>15</v>
      </c>
      <c r="BD214" s="10">
        <v>14</v>
      </c>
      <c r="BE214" s="10">
        <v>0</v>
      </c>
      <c r="BF214" s="10">
        <v>0</v>
      </c>
      <c r="BG214" s="13">
        <v>45356</v>
      </c>
    </row>
    <row r="215" spans="49:59" x14ac:dyDescent="0.3">
      <c r="AW215" s="1">
        <v>5.0999999999999996</v>
      </c>
      <c r="AX215" s="1">
        <v>5.0999999999999996</v>
      </c>
      <c r="AY215" t="str">
        <v>R080_HI782-0_0.0_LOT0450_PW7.1_QC.xlsx</v>
      </c>
      <c r="AZ215" t="str">
        <v>LOT0450</v>
      </c>
      <c r="BA215" s="3">
        <v>5</v>
      </c>
      <c r="BB215" t="str">
        <v>P/Final</v>
      </c>
      <c r="BC215">
        <v>15</v>
      </c>
      <c r="BD215" s="10">
        <v>17.2</v>
      </c>
      <c r="BE215" s="10">
        <v>0</v>
      </c>
      <c r="BF215" s="10">
        <v>0</v>
      </c>
      <c r="BG215" s="13">
        <v>45356</v>
      </c>
    </row>
    <row r="216" spans="49:59" x14ac:dyDescent="0.3">
      <c r="AW216" s="1">
        <v>6.1</v>
      </c>
      <c r="AX216" s="1">
        <v>6.1</v>
      </c>
      <c r="AY216" t="str">
        <v>R080_HI782-0_0.0_LOT0473_PW7.1_QC.xlsx</v>
      </c>
      <c r="AZ216" t="str">
        <v>LOT0473</v>
      </c>
      <c r="BA216" s="3">
        <v>6</v>
      </c>
      <c r="BB216" t="str">
        <v>P/Final</v>
      </c>
      <c r="BC216">
        <v>15</v>
      </c>
      <c r="BD216" s="10">
        <v>15.7</v>
      </c>
      <c r="BE216" s="10">
        <v>0</v>
      </c>
      <c r="BF216" s="10">
        <v>0</v>
      </c>
      <c r="BG216" s="13">
        <v>45356</v>
      </c>
    </row>
    <row r="217" spans="49:59" x14ac:dyDescent="0.3">
      <c r="AW217" s="1">
        <v>6.1</v>
      </c>
      <c r="AX217" s="1">
        <v>6.1</v>
      </c>
      <c r="AY217" t="str">
        <v>R080_HI782-0_0.0_LOT0473_PW7.1_QC.xlsx</v>
      </c>
      <c r="AZ217" t="str">
        <v>LOT0473</v>
      </c>
      <c r="BA217" s="3">
        <v>6</v>
      </c>
      <c r="BB217" t="str">
        <v>P/Final</v>
      </c>
      <c r="BC217">
        <v>15</v>
      </c>
      <c r="BD217" s="10">
        <v>15.5</v>
      </c>
      <c r="BE217" s="10">
        <v>0</v>
      </c>
      <c r="BF217" s="10">
        <v>0</v>
      </c>
      <c r="BG217" s="13">
        <v>45356</v>
      </c>
    </row>
    <row r="218" spans="49:59" x14ac:dyDescent="0.3">
      <c r="AW218" s="1">
        <v>6.1</v>
      </c>
      <c r="AX218" s="1">
        <v>6.1</v>
      </c>
      <c r="AY218" t="str">
        <v>R080_HI782-0_0.0_LOT0473_PW7.1_QC.xlsx</v>
      </c>
      <c r="AZ218" t="str">
        <v>LOT0473</v>
      </c>
      <c r="BA218" s="3">
        <v>6</v>
      </c>
      <c r="BB218" t="str">
        <v>P/Final</v>
      </c>
      <c r="BC218">
        <v>15</v>
      </c>
      <c r="BD218" s="10">
        <v>16.8</v>
      </c>
      <c r="BE218" s="10">
        <v>0</v>
      </c>
      <c r="BF218" s="10">
        <v>0</v>
      </c>
      <c r="BG218" s="13">
        <v>45356</v>
      </c>
    </row>
    <row r="219" spans="49:59" x14ac:dyDescent="0.3">
      <c r="AW219" s="1">
        <v>6.1</v>
      </c>
      <c r="AX219" s="1">
        <v>6.1</v>
      </c>
      <c r="AY219" t="str">
        <v>R080_HI782-0_0.0_LOT0473_PW7.1_QC.xlsx</v>
      </c>
      <c r="AZ219" t="str">
        <v>LOT0473</v>
      </c>
      <c r="BA219" s="3">
        <v>6</v>
      </c>
      <c r="BB219" t="str">
        <v>P/Final</v>
      </c>
      <c r="BC219">
        <v>15</v>
      </c>
      <c r="BD219" s="10">
        <v>16.5</v>
      </c>
      <c r="BE219" s="10">
        <v>0</v>
      </c>
      <c r="BF219" s="10">
        <v>0</v>
      </c>
      <c r="BG219" s="13">
        <v>45356</v>
      </c>
    </row>
    <row r="220" spans="49:59" x14ac:dyDescent="0.3">
      <c r="AW220" s="1">
        <v>6.1</v>
      </c>
      <c r="AX220" s="1">
        <v>6.1</v>
      </c>
      <c r="AY220" t="str">
        <v>R080_HI782-0_0.0_LOT0473_PW7.1_QC.xlsx</v>
      </c>
      <c r="AZ220" t="str">
        <v>LOT0473</v>
      </c>
      <c r="BA220" s="3">
        <v>6</v>
      </c>
      <c r="BB220" t="str">
        <v>P/Final</v>
      </c>
      <c r="BC220">
        <v>15</v>
      </c>
      <c r="BD220" s="10">
        <v>14.2</v>
      </c>
      <c r="BE220" s="10">
        <v>0</v>
      </c>
      <c r="BF220" s="10">
        <v>0</v>
      </c>
      <c r="BG220" s="13">
        <v>45356</v>
      </c>
    </row>
    <row r="221" spans="49:59" x14ac:dyDescent="0.3">
      <c r="AW221" s="1">
        <v>6.1</v>
      </c>
      <c r="AX221" s="1">
        <v>6.1</v>
      </c>
      <c r="AY221" t="str">
        <v>R080_HI782-0_0.0_LOT0473_PW7.1_QC.xlsx</v>
      </c>
      <c r="AZ221" t="str">
        <v>LOT0473</v>
      </c>
      <c r="BA221" s="3">
        <v>6</v>
      </c>
      <c r="BB221" t="str">
        <v>P/Final</v>
      </c>
      <c r="BC221">
        <v>35</v>
      </c>
      <c r="BD221" s="10">
        <v>35</v>
      </c>
      <c r="BE221" s="10">
        <v>0</v>
      </c>
      <c r="BF221" s="10">
        <v>0</v>
      </c>
      <c r="BG221" s="13">
        <v>45356</v>
      </c>
    </row>
    <row r="222" spans="49:59" x14ac:dyDescent="0.3">
      <c r="AW222" s="1">
        <v>5.0999999999999996</v>
      </c>
      <c r="AX222" s="1">
        <v>5.0999999999999996</v>
      </c>
      <c r="AY222" t="str">
        <v>R080_HI782-0_0.0_LOT0450_PW7.1_QC.xlsx</v>
      </c>
      <c r="AZ222" t="str">
        <v>LOT0450</v>
      </c>
      <c r="BA222" s="3">
        <v>5</v>
      </c>
      <c r="BB222" t="str">
        <v>P/Final</v>
      </c>
      <c r="BC222">
        <v>35</v>
      </c>
      <c r="BD222" s="10">
        <v>37.6</v>
      </c>
      <c r="BE222" s="10">
        <v>0</v>
      </c>
      <c r="BF222" s="10">
        <v>0</v>
      </c>
      <c r="BG222" s="13">
        <v>45356</v>
      </c>
    </row>
    <row r="223" spans="49:59" x14ac:dyDescent="0.3">
      <c r="AW223" s="1">
        <v>6.1</v>
      </c>
      <c r="AX223" s="1">
        <v>6.1</v>
      </c>
      <c r="AY223" t="str">
        <v>R080_HI782-0_0.0_LOT0473_PW7.1_QC.xlsx</v>
      </c>
      <c r="AZ223" t="str">
        <v>LOT0473</v>
      </c>
      <c r="BA223" s="3">
        <v>6</v>
      </c>
      <c r="BB223" t="str">
        <v>P/Final</v>
      </c>
      <c r="BC223">
        <v>35</v>
      </c>
      <c r="BD223" s="10">
        <v>33.6</v>
      </c>
      <c r="BE223" s="10">
        <v>0</v>
      </c>
      <c r="BF223" s="10">
        <v>0</v>
      </c>
      <c r="BG223" s="13">
        <v>45356</v>
      </c>
    </row>
    <row r="224" spans="49:59" x14ac:dyDescent="0.3">
      <c r="AW224" s="1">
        <v>6.1</v>
      </c>
      <c r="AX224" s="1">
        <v>6.1</v>
      </c>
      <c r="AY224" t="str">
        <v>R080_HI782-0_0.0_LOT0473_PW7.1_QC.xlsx</v>
      </c>
      <c r="AZ224" t="str">
        <v>LOT0473</v>
      </c>
      <c r="BA224" s="3">
        <v>6</v>
      </c>
      <c r="BB224" t="str">
        <v>P/Final</v>
      </c>
      <c r="BC224">
        <v>35</v>
      </c>
      <c r="BD224" s="10">
        <v>38.9</v>
      </c>
      <c r="BE224" s="10">
        <v>0</v>
      </c>
      <c r="BF224" s="10">
        <v>0</v>
      </c>
      <c r="BG224" s="13">
        <v>45356</v>
      </c>
    </row>
    <row r="225" spans="49:59" x14ac:dyDescent="0.3">
      <c r="AW225" s="1">
        <v>6.1</v>
      </c>
      <c r="AX225" s="1">
        <v>6.1</v>
      </c>
      <c r="AY225" t="str">
        <v>R080_HI782-0_0.0_LOT0473_PW7.1_QC.xlsx</v>
      </c>
      <c r="AZ225" t="str">
        <v>LOT0473</v>
      </c>
      <c r="BA225" s="3">
        <v>6</v>
      </c>
      <c r="BB225" t="str">
        <v>P/Final</v>
      </c>
      <c r="BC225">
        <v>35</v>
      </c>
      <c r="BD225" s="10">
        <v>36.6</v>
      </c>
      <c r="BE225" s="10">
        <v>0</v>
      </c>
      <c r="BF225" s="10">
        <v>0</v>
      </c>
      <c r="BG225" s="13">
        <v>45356</v>
      </c>
    </row>
    <row r="226" spans="49:59" x14ac:dyDescent="0.3">
      <c r="AW226" s="1">
        <v>6.1</v>
      </c>
      <c r="AX226" s="1">
        <v>6.1</v>
      </c>
      <c r="AY226" t="str">
        <v>R080_HI782-0_0.0_LOT0473_PW7.1_QC.xlsx</v>
      </c>
      <c r="AZ226" t="str">
        <v>LOT0473</v>
      </c>
      <c r="BA226" s="3">
        <v>6</v>
      </c>
      <c r="BB226" t="str">
        <v>P/Final</v>
      </c>
      <c r="BC226">
        <v>35</v>
      </c>
      <c r="BD226" s="10">
        <v>36.700000000000003</v>
      </c>
      <c r="BE226" s="10">
        <v>0</v>
      </c>
      <c r="BF226" s="10">
        <v>0</v>
      </c>
      <c r="BG226" s="13">
        <v>45356</v>
      </c>
    </row>
    <row r="227" spans="49:59" x14ac:dyDescent="0.3">
      <c r="AW227" s="1">
        <v>6.1</v>
      </c>
      <c r="AX227" s="1">
        <v>6.1</v>
      </c>
      <c r="AY227" t="str">
        <v>R080_HI782-0_0.0_LOT0473_PW7.1_QC.xlsx</v>
      </c>
      <c r="AZ227" t="str">
        <v>LOT0473</v>
      </c>
      <c r="BA227" s="3">
        <v>6</v>
      </c>
      <c r="BB227" t="str">
        <v>P/Final</v>
      </c>
      <c r="BC227">
        <v>35</v>
      </c>
      <c r="BD227" s="10">
        <v>35.299999999999997</v>
      </c>
      <c r="BE227" s="10">
        <v>0</v>
      </c>
      <c r="BF227" s="10">
        <v>0</v>
      </c>
      <c r="BG227" s="13">
        <v>45356</v>
      </c>
    </row>
    <row r="228" spans="49:59" x14ac:dyDescent="0.3">
      <c r="AW228" s="1">
        <v>6.1</v>
      </c>
      <c r="AX228" s="1">
        <v>6.1</v>
      </c>
      <c r="AY228" t="str">
        <v>R080_HI782-0_0.0_LOT0473_PW7.1_QC.xlsx</v>
      </c>
      <c r="AZ228" t="str">
        <v>LOT0473</v>
      </c>
      <c r="BA228" s="3">
        <v>6</v>
      </c>
      <c r="BB228" t="str">
        <v>P/Final</v>
      </c>
      <c r="BC228">
        <v>35</v>
      </c>
      <c r="BD228" s="10">
        <v>38.700000000000003</v>
      </c>
      <c r="BE228" s="10">
        <v>0</v>
      </c>
      <c r="BF228" s="10">
        <v>0</v>
      </c>
      <c r="BG228" s="13">
        <v>45356</v>
      </c>
    </row>
    <row r="229" spans="49:59" x14ac:dyDescent="0.3">
      <c r="AW229" s="1">
        <v>6.1</v>
      </c>
      <c r="AX229" s="1">
        <v>6.1</v>
      </c>
      <c r="AY229" t="str">
        <v>R080_HI782-0_0.0_LOT0473_PW7.1_QC.xlsx</v>
      </c>
      <c r="AZ229" t="str">
        <v>LOT0473</v>
      </c>
      <c r="BA229" s="3">
        <v>6</v>
      </c>
      <c r="BB229" t="str">
        <v>P/Final</v>
      </c>
      <c r="BC229">
        <v>35</v>
      </c>
      <c r="BD229" s="10">
        <v>35.5</v>
      </c>
      <c r="BE229" s="10">
        <v>0</v>
      </c>
      <c r="BF229" s="10">
        <v>0</v>
      </c>
      <c r="BG229" s="13">
        <v>45356</v>
      </c>
    </row>
    <row r="230" spans="49:59" x14ac:dyDescent="0.3">
      <c r="AW230" s="1">
        <v>6.1</v>
      </c>
      <c r="AX230" s="1">
        <v>6.1</v>
      </c>
      <c r="AY230" t="str">
        <v>R080_HI782-0_0.0_LOT0473_PW7.1_QC.xlsx</v>
      </c>
      <c r="AZ230" t="str">
        <v>LOT0473</v>
      </c>
      <c r="BA230" s="3">
        <v>6</v>
      </c>
      <c r="BB230" t="str">
        <v>P/Final</v>
      </c>
      <c r="BC230">
        <v>35</v>
      </c>
      <c r="BD230" s="10">
        <v>37.200000000000003</v>
      </c>
      <c r="BE230" s="10">
        <v>0</v>
      </c>
      <c r="BF230" s="10">
        <v>0</v>
      </c>
      <c r="BG230" s="13">
        <v>45356</v>
      </c>
    </row>
    <row r="231" spans="49:59" x14ac:dyDescent="0.3">
      <c r="AW231" s="1">
        <v>6.1</v>
      </c>
      <c r="AX231" s="1">
        <v>6.1</v>
      </c>
      <c r="AY231" t="str">
        <v>R080_HI782-0_0.0_LOT0473_PW7.1_QC.xlsx</v>
      </c>
      <c r="AZ231" t="str">
        <v>LOT0473</v>
      </c>
      <c r="BA231" s="3">
        <v>6</v>
      </c>
      <c r="BB231" t="str">
        <v>P/Final</v>
      </c>
      <c r="BC231">
        <v>35</v>
      </c>
      <c r="BD231" s="10">
        <v>36.6</v>
      </c>
      <c r="BE231" s="10">
        <v>0</v>
      </c>
      <c r="BF231" s="10">
        <v>0</v>
      </c>
      <c r="BG231" s="13">
        <v>45356</v>
      </c>
    </row>
    <row r="232" spans="49:59" x14ac:dyDescent="0.3">
      <c r="AW232" s="1">
        <v>6.1</v>
      </c>
      <c r="AX232" s="1">
        <v>6.1</v>
      </c>
      <c r="AY232" t="str">
        <v>R080_HI782-0_0.0_LOT0473_PW7.1_QC.xlsx</v>
      </c>
      <c r="AZ232" t="str">
        <v>LOT0473</v>
      </c>
      <c r="BA232" s="3">
        <v>6</v>
      </c>
      <c r="BB232" t="str">
        <v>P/Final</v>
      </c>
      <c r="BC232">
        <v>35</v>
      </c>
      <c r="BD232" s="10">
        <v>39</v>
      </c>
      <c r="BE232" s="10">
        <v>0</v>
      </c>
      <c r="BF232" s="10">
        <v>0</v>
      </c>
      <c r="BG232" s="13">
        <v>45356</v>
      </c>
    </row>
    <row r="233" spans="49:59" x14ac:dyDescent="0.3">
      <c r="AW233" s="1">
        <v>6.1</v>
      </c>
      <c r="AX233" s="1">
        <v>6.1</v>
      </c>
      <c r="AY233" t="str">
        <v>R080_HI782-0_0.0_LOT0473_PW7.1_QC.xlsx</v>
      </c>
      <c r="AZ233" t="str">
        <v>LOT0473</v>
      </c>
      <c r="BA233" s="3">
        <v>6</v>
      </c>
      <c r="BB233" t="str">
        <v>P/Final</v>
      </c>
      <c r="BC233">
        <v>35</v>
      </c>
      <c r="BD233" s="10">
        <v>38</v>
      </c>
      <c r="BE233" s="10">
        <v>0</v>
      </c>
      <c r="BF233" s="10">
        <v>0</v>
      </c>
      <c r="BG233" s="13">
        <v>45356</v>
      </c>
    </row>
    <row r="234" spans="49:59" x14ac:dyDescent="0.3">
      <c r="AW234" s="1">
        <v>6.1</v>
      </c>
      <c r="AX234" s="1">
        <v>6.1</v>
      </c>
      <c r="AY234" t="str">
        <v>R080_HI782-0_0.0_LOT0473_PW7.1_QC.xlsx</v>
      </c>
      <c r="AZ234" t="str">
        <v>LOT0473</v>
      </c>
      <c r="BA234" s="3">
        <v>6</v>
      </c>
      <c r="BB234" t="str">
        <v>P/Final</v>
      </c>
      <c r="BC234">
        <v>35</v>
      </c>
      <c r="BD234" s="10">
        <v>38.5</v>
      </c>
      <c r="BE234" s="10">
        <v>0</v>
      </c>
      <c r="BF234" s="10">
        <v>0</v>
      </c>
      <c r="BG234" s="13">
        <v>45356</v>
      </c>
    </row>
    <row r="235" spans="49:59" x14ac:dyDescent="0.3">
      <c r="AW235" s="1">
        <v>6.1</v>
      </c>
      <c r="AX235" s="1">
        <v>6.1</v>
      </c>
      <c r="AY235" t="str">
        <v>R080_HI782-0_0.0_LOT0473_PW7.1_QC.xlsx</v>
      </c>
      <c r="AZ235" t="str">
        <v>LOT0473</v>
      </c>
      <c r="BA235" s="3">
        <v>6</v>
      </c>
      <c r="BB235" t="str">
        <v>P/Final</v>
      </c>
      <c r="BC235">
        <v>35</v>
      </c>
      <c r="BD235" s="10">
        <v>39.200000000000003</v>
      </c>
      <c r="BE235" s="10">
        <v>0</v>
      </c>
      <c r="BF235" s="10">
        <v>0</v>
      </c>
      <c r="BG235" s="13">
        <v>45356</v>
      </c>
    </row>
    <row r="236" spans="49:59" x14ac:dyDescent="0.3">
      <c r="AW236" s="1">
        <v>6.1</v>
      </c>
      <c r="AX236" s="1">
        <v>6.1</v>
      </c>
      <c r="AY236" t="str">
        <v>R080_HI782-0_0.0_LOT0473_PW7.1_QC.xlsx</v>
      </c>
      <c r="AZ236" t="str">
        <v>LOT0473</v>
      </c>
      <c r="BA236" s="3">
        <v>6</v>
      </c>
      <c r="BB236" t="str">
        <v>P/Final</v>
      </c>
      <c r="BC236">
        <v>35</v>
      </c>
      <c r="BD236" s="10">
        <v>38.4</v>
      </c>
      <c r="BE236" s="10">
        <v>0</v>
      </c>
      <c r="BF236" s="10">
        <v>0</v>
      </c>
      <c r="BG236" s="13">
        <v>45356</v>
      </c>
    </row>
    <row r="237" spans="49:59" x14ac:dyDescent="0.3">
      <c r="AW237" s="1">
        <v>5.0999999999999996</v>
      </c>
      <c r="AX237" s="1">
        <v>5.0999999999999996</v>
      </c>
      <c r="AY237" t="str">
        <v>R080_HI782-0_0.0_LOT0450_PW7.1_QC.xlsx</v>
      </c>
      <c r="AZ237" t="str">
        <v>LOT0450</v>
      </c>
      <c r="BA237" s="3">
        <v>5</v>
      </c>
      <c r="BB237" t="str">
        <v>P/Final</v>
      </c>
      <c r="BC237">
        <v>35</v>
      </c>
      <c r="BD237" s="10">
        <v>37.799999999999997</v>
      </c>
      <c r="BE237" s="10">
        <v>0</v>
      </c>
      <c r="BF237" s="10">
        <v>0</v>
      </c>
      <c r="BG237" s="13">
        <v>45356</v>
      </c>
    </row>
    <row r="238" spans="49:59" x14ac:dyDescent="0.3">
      <c r="AW238" s="1">
        <v>6.1</v>
      </c>
      <c r="AX238" s="1">
        <v>6.1</v>
      </c>
      <c r="AY238" t="str">
        <v>R080_HI782-0_0.0_LOT0473_PW7.1_QC.xlsx</v>
      </c>
      <c r="AZ238" t="str">
        <v>LOT0473</v>
      </c>
      <c r="BA238" s="3">
        <v>6</v>
      </c>
      <c r="BB238" t="str">
        <v>P/Final</v>
      </c>
      <c r="BC238">
        <v>35</v>
      </c>
      <c r="BD238" s="10">
        <v>37.299999999999997</v>
      </c>
      <c r="BE238" s="10">
        <v>0</v>
      </c>
      <c r="BF238" s="10">
        <v>0</v>
      </c>
      <c r="BG238" s="13">
        <v>45356</v>
      </c>
    </row>
    <row r="239" spans="49:59" x14ac:dyDescent="0.3">
      <c r="AW239" s="1">
        <v>6.1</v>
      </c>
      <c r="AX239" s="1">
        <v>6.1</v>
      </c>
      <c r="AY239" t="str">
        <v>R080_HI782-0_0.0_LOT0473_PW7.1_QC.xlsx</v>
      </c>
      <c r="AZ239" t="str">
        <v>LOT0473</v>
      </c>
      <c r="BA239" s="3">
        <v>6</v>
      </c>
      <c r="BB239" t="str">
        <v>P/Final</v>
      </c>
      <c r="BC239">
        <v>60</v>
      </c>
      <c r="BD239" s="10">
        <v>57.7</v>
      </c>
      <c r="BE239" s="10">
        <v>0</v>
      </c>
      <c r="BF239" s="10">
        <v>0</v>
      </c>
      <c r="BG239" s="13">
        <v>45356</v>
      </c>
    </row>
    <row r="240" spans="49:59" x14ac:dyDescent="0.3">
      <c r="AW240" s="1">
        <v>5.0999999999999996</v>
      </c>
      <c r="AX240" s="1">
        <v>5.0999999999999996</v>
      </c>
      <c r="AY240" t="str">
        <v>R080_HI782-0_0.0_LOT0450_PW7.1_QC.xlsx</v>
      </c>
      <c r="AZ240" t="str">
        <v>LOT0450</v>
      </c>
      <c r="BA240" s="3">
        <v>5</v>
      </c>
      <c r="BB240" t="str">
        <v>P/Final</v>
      </c>
      <c r="BC240">
        <v>60</v>
      </c>
      <c r="BD240" s="10">
        <v>60.5</v>
      </c>
      <c r="BE240" s="10">
        <v>0</v>
      </c>
      <c r="BF240" s="10">
        <v>0</v>
      </c>
      <c r="BG240" s="13">
        <v>45356</v>
      </c>
    </row>
    <row r="241" spans="49:59" x14ac:dyDescent="0.3">
      <c r="AW241" s="1">
        <v>6.1</v>
      </c>
      <c r="AX241" s="1">
        <v>6.1</v>
      </c>
      <c r="AY241" t="str">
        <v>R080_HI782-0_0.0_LOT0473_PW7.1_QC.xlsx</v>
      </c>
      <c r="AZ241" t="str">
        <v>LOT0473</v>
      </c>
      <c r="BA241" s="3">
        <v>6</v>
      </c>
      <c r="BB241" t="str">
        <v>P/Final</v>
      </c>
      <c r="BC241">
        <v>60</v>
      </c>
      <c r="BD241" s="10">
        <v>58</v>
      </c>
      <c r="BE241" s="10">
        <v>0</v>
      </c>
      <c r="BF241" s="10">
        <v>0</v>
      </c>
      <c r="BG241" s="13">
        <v>45356</v>
      </c>
    </row>
    <row r="242" spans="49:59" x14ac:dyDescent="0.3">
      <c r="AW242" s="1">
        <v>6.1</v>
      </c>
      <c r="AX242" s="1">
        <v>6.1</v>
      </c>
      <c r="AY242" t="str">
        <v>R080_HI782-0_0.0_LOT0473_PW7.1_QC.xlsx</v>
      </c>
      <c r="AZ242" t="str">
        <v>LOT0473</v>
      </c>
      <c r="BA242" s="3">
        <v>6</v>
      </c>
      <c r="BB242" t="str">
        <v>P/Final</v>
      </c>
      <c r="BC242">
        <v>60</v>
      </c>
      <c r="BD242" s="10">
        <v>55.6</v>
      </c>
      <c r="BE242" s="10">
        <v>0</v>
      </c>
      <c r="BF242" s="10">
        <v>0</v>
      </c>
      <c r="BG242" s="13">
        <v>45356</v>
      </c>
    </row>
    <row r="243" spans="49:59" x14ac:dyDescent="0.3">
      <c r="AW243" s="1">
        <v>6.1</v>
      </c>
      <c r="AX243" s="1">
        <v>6.1</v>
      </c>
      <c r="AY243" t="str">
        <v>R080_HI782-0_0.0_LOT0473_PW7.1_QC.xlsx</v>
      </c>
      <c r="AZ243" t="str">
        <v>LOT0473</v>
      </c>
      <c r="BA243" s="3">
        <v>6</v>
      </c>
      <c r="BB243" t="str">
        <v>P/Final</v>
      </c>
      <c r="BC243">
        <v>60</v>
      </c>
      <c r="BD243" s="10">
        <v>57.3</v>
      </c>
      <c r="BE243" s="10">
        <v>0</v>
      </c>
      <c r="BF243" s="10">
        <v>0</v>
      </c>
      <c r="BG243" s="13">
        <v>45356</v>
      </c>
    </row>
    <row r="244" spans="49:59" x14ac:dyDescent="0.3">
      <c r="AW244" s="1">
        <v>6.1</v>
      </c>
      <c r="AX244" s="1">
        <v>6.1</v>
      </c>
      <c r="AY244" t="str">
        <v>R080_HI782-0_0.0_LOT0473_PW7.1_QC.xlsx</v>
      </c>
      <c r="AZ244" t="str">
        <v>LOT0473</v>
      </c>
      <c r="BA244" s="3">
        <v>6</v>
      </c>
      <c r="BB244" t="str">
        <v>P/Final</v>
      </c>
      <c r="BC244">
        <v>60</v>
      </c>
      <c r="BD244" s="10">
        <v>57.6</v>
      </c>
      <c r="BE244" s="10">
        <v>0</v>
      </c>
      <c r="BF244" s="10">
        <v>0</v>
      </c>
      <c r="BG244" s="13">
        <v>45356</v>
      </c>
    </row>
    <row r="245" spans="49:59" x14ac:dyDescent="0.3">
      <c r="AW245" s="1">
        <v>6.1</v>
      </c>
      <c r="AX245" s="1">
        <v>6.1</v>
      </c>
      <c r="AY245" t="str">
        <v>R080_HI782-0_0.0_LOT0473_PW7.1_QC.xlsx</v>
      </c>
      <c r="AZ245" t="str">
        <v>LOT0473</v>
      </c>
      <c r="BA245" s="3">
        <v>6</v>
      </c>
      <c r="BB245" t="str">
        <v>P/Final</v>
      </c>
      <c r="BC245">
        <v>60</v>
      </c>
      <c r="BD245" s="10">
        <v>60.8</v>
      </c>
      <c r="BE245" s="10">
        <v>0</v>
      </c>
      <c r="BF245" s="10">
        <v>0</v>
      </c>
      <c r="BG245" s="13">
        <v>45356</v>
      </c>
    </row>
    <row r="246" spans="49:59" x14ac:dyDescent="0.3">
      <c r="AW246" s="1">
        <v>6.1</v>
      </c>
      <c r="AX246" s="1">
        <v>6.1</v>
      </c>
      <c r="AY246" t="str">
        <v>R080_HI782-0_0.0_LOT0473_PW7.1_QC.xlsx</v>
      </c>
      <c r="AZ246" t="str">
        <v>LOT0473</v>
      </c>
      <c r="BA246" s="3">
        <v>6</v>
      </c>
      <c r="BB246" t="str">
        <v>P/Final</v>
      </c>
      <c r="BC246">
        <v>60</v>
      </c>
      <c r="BD246" s="10">
        <v>61</v>
      </c>
      <c r="BE246" s="10">
        <v>0</v>
      </c>
      <c r="BF246" s="10">
        <v>0</v>
      </c>
      <c r="BG246" s="13">
        <v>45356</v>
      </c>
    </row>
    <row r="247" spans="49:59" x14ac:dyDescent="0.3">
      <c r="AW247" s="1">
        <v>6.1</v>
      </c>
      <c r="AX247" s="1">
        <v>6.1</v>
      </c>
      <c r="AY247" t="str">
        <v>R080_HI782-0_0.0_LOT0473_PW7.1_QC.xlsx</v>
      </c>
      <c r="AZ247" t="str">
        <v>LOT0473</v>
      </c>
      <c r="BA247" s="3">
        <v>6</v>
      </c>
      <c r="BB247" t="str">
        <v>P/Final</v>
      </c>
      <c r="BC247">
        <v>60</v>
      </c>
      <c r="BD247" s="10">
        <v>62.7</v>
      </c>
      <c r="BE247" s="10">
        <v>0</v>
      </c>
      <c r="BF247" s="10">
        <v>0</v>
      </c>
      <c r="BG247" s="13">
        <v>45356</v>
      </c>
    </row>
    <row r="248" spans="49:59" x14ac:dyDescent="0.3">
      <c r="AW248" s="1">
        <v>6.1</v>
      </c>
      <c r="AX248" s="1">
        <v>6.1</v>
      </c>
      <c r="AY248" t="str">
        <v>R080_HI782-0_0.0_LOT0473_PW7.1_QC.xlsx</v>
      </c>
      <c r="AZ248" t="str">
        <v>LOT0473</v>
      </c>
      <c r="BA248" s="3">
        <v>6</v>
      </c>
      <c r="BB248" t="str">
        <v>P/Final</v>
      </c>
      <c r="BC248">
        <v>60</v>
      </c>
      <c r="BD248" s="10">
        <v>61.5</v>
      </c>
      <c r="BE248" s="10">
        <v>0</v>
      </c>
      <c r="BF248" s="10">
        <v>0</v>
      </c>
      <c r="BG248" s="13">
        <v>45356</v>
      </c>
    </row>
    <row r="249" spans="49:59" x14ac:dyDescent="0.3">
      <c r="AW249" s="1">
        <v>6.1</v>
      </c>
      <c r="AX249" s="1">
        <v>6.1</v>
      </c>
      <c r="AY249" t="str">
        <v>R080_HI782-0_0.0_LOT0473_PW7.1_QC.xlsx</v>
      </c>
      <c r="AZ249" t="str">
        <v>LOT0473</v>
      </c>
      <c r="BA249" s="3">
        <v>6</v>
      </c>
      <c r="BB249" t="str">
        <v>P/Final</v>
      </c>
      <c r="BC249">
        <v>60</v>
      </c>
      <c r="BD249" s="10">
        <v>60.5</v>
      </c>
      <c r="BE249" s="10">
        <v>0</v>
      </c>
      <c r="BF249" s="10">
        <v>0</v>
      </c>
      <c r="BG249" s="13">
        <v>45356</v>
      </c>
    </row>
    <row r="250" spans="49:59" x14ac:dyDescent="0.3">
      <c r="AW250" s="1">
        <v>6.1</v>
      </c>
      <c r="AX250" s="1">
        <v>6.1</v>
      </c>
      <c r="AY250" t="str">
        <v>R080_HI782-0_0.0_LOT0473_PW7.1_QC.xlsx</v>
      </c>
      <c r="AZ250" t="str">
        <v>LOT0473</v>
      </c>
      <c r="BA250" s="3">
        <v>6</v>
      </c>
      <c r="BB250" t="str">
        <v>P/Final</v>
      </c>
      <c r="BC250">
        <v>60</v>
      </c>
      <c r="BD250" s="10">
        <v>60.8</v>
      </c>
      <c r="BE250" s="10">
        <v>0</v>
      </c>
      <c r="BF250" s="10">
        <v>0</v>
      </c>
      <c r="BG250" s="13">
        <v>45356</v>
      </c>
    </row>
    <row r="251" spans="49:59" x14ac:dyDescent="0.3">
      <c r="AW251" s="1">
        <v>5.0999999999999996</v>
      </c>
      <c r="AX251" s="1">
        <v>5.0999999999999996</v>
      </c>
      <c r="AY251" t="str">
        <v>R080_HI782-0_0.0_LOT0450_PW7.1_QC.xlsx</v>
      </c>
      <c r="AZ251" t="str">
        <v>LOT0450</v>
      </c>
      <c r="BA251" s="3">
        <v>5</v>
      </c>
      <c r="BB251" t="str">
        <v>P/Final</v>
      </c>
      <c r="BC251">
        <v>60</v>
      </c>
      <c r="BD251" s="10">
        <v>63</v>
      </c>
      <c r="BE251" s="10">
        <v>0</v>
      </c>
      <c r="BF251" s="10">
        <v>0</v>
      </c>
      <c r="BG251" s="13">
        <v>45356</v>
      </c>
    </row>
    <row r="252" spans="49:59" x14ac:dyDescent="0.3">
      <c r="AW252" s="1">
        <v>7.1</v>
      </c>
      <c r="AX252" s="1">
        <v>7.1</v>
      </c>
      <c r="AY252" t="str">
        <v>R080_HI782-0_0.0_LOT0504_PWW11.1_QC.xlsx</v>
      </c>
      <c r="AZ252" t="str">
        <v>LOT0504</v>
      </c>
      <c r="BA252" s="3">
        <v>7</v>
      </c>
      <c r="BB252" t="str">
        <v>P/Final</v>
      </c>
      <c r="BC252">
        <v>60</v>
      </c>
      <c r="BD252" s="10">
        <v>60.4</v>
      </c>
      <c r="BE252" s="10">
        <v>0</v>
      </c>
      <c r="BF252" s="10">
        <v>0</v>
      </c>
      <c r="BG252" s="13">
        <v>45366</v>
      </c>
    </row>
    <row r="253" spans="49:59" x14ac:dyDescent="0.3">
      <c r="AW253" s="1">
        <v>7.1</v>
      </c>
      <c r="AX253" s="1">
        <v>7.1</v>
      </c>
      <c r="AY253" t="str">
        <v>R080_HI782-0_0.0_LOT0504_PWW11.1_QC.xlsx</v>
      </c>
      <c r="AZ253" t="str">
        <v>LOT0504</v>
      </c>
      <c r="BA253" s="3">
        <v>7</v>
      </c>
      <c r="BB253" t="str">
        <v>P/Final</v>
      </c>
      <c r="BC253">
        <v>60</v>
      </c>
      <c r="BD253" s="10">
        <v>60.1</v>
      </c>
      <c r="BE253" s="10">
        <v>0</v>
      </c>
      <c r="BF253" s="10">
        <v>0</v>
      </c>
      <c r="BG253" s="13">
        <v>45366</v>
      </c>
    </row>
    <row r="254" spans="49:59" x14ac:dyDescent="0.3">
      <c r="AW254" s="1">
        <v>7.1</v>
      </c>
      <c r="AX254" s="1">
        <v>7.1</v>
      </c>
      <c r="AY254" t="str">
        <v>R080_HI782-0_0.0_LOT0504_PWW11.1_QC.xlsx</v>
      </c>
      <c r="AZ254" t="str">
        <v>LOT0504</v>
      </c>
      <c r="BA254" s="3">
        <v>7</v>
      </c>
      <c r="BB254" t="str">
        <v>P/Final</v>
      </c>
      <c r="BC254">
        <v>0</v>
      </c>
      <c r="BD254" s="10">
        <v>0</v>
      </c>
      <c r="BE254" s="10">
        <v>0</v>
      </c>
      <c r="BF254" s="10">
        <v>0</v>
      </c>
      <c r="BG254" s="13">
        <v>45371</v>
      </c>
    </row>
    <row r="255" spans="49:59" x14ac:dyDescent="0.3">
      <c r="AW255" s="1">
        <v>7.1</v>
      </c>
      <c r="AX255" s="1">
        <v>7.1</v>
      </c>
      <c r="AY255" t="str">
        <v>R080_HI782-0_0.0_LOT0504_PWW11.1_QC.xlsx</v>
      </c>
      <c r="AZ255" t="str">
        <v>LOT0504</v>
      </c>
      <c r="BA255" s="3">
        <v>7</v>
      </c>
      <c r="BB255" t="str">
        <v>P/Final</v>
      </c>
      <c r="BC255">
        <v>15</v>
      </c>
      <c r="BD255" s="10">
        <v>17.5</v>
      </c>
      <c r="BE255" s="10">
        <v>0</v>
      </c>
      <c r="BF255" s="10">
        <v>0</v>
      </c>
      <c r="BG255" s="13">
        <v>45371</v>
      </c>
    </row>
    <row r="256" spans="49:59" x14ac:dyDescent="0.3">
      <c r="AW256" s="1">
        <v>7.1</v>
      </c>
      <c r="AX256" s="1">
        <v>7.1</v>
      </c>
      <c r="AY256" t="str">
        <v>R080_HI782-0_0.0_LOT0504_PWW11.1_QC.xlsx</v>
      </c>
      <c r="AZ256" t="str">
        <v>LOT0504</v>
      </c>
      <c r="BA256" s="3">
        <v>7</v>
      </c>
      <c r="BB256" t="str">
        <v>P/Final</v>
      </c>
      <c r="BC256">
        <v>15</v>
      </c>
      <c r="BD256" s="10">
        <v>16.600000000000001</v>
      </c>
      <c r="BE256" s="10">
        <v>0</v>
      </c>
      <c r="BF256" s="10">
        <v>0</v>
      </c>
      <c r="BG256" s="13">
        <v>45371</v>
      </c>
    </row>
    <row r="257" spans="49:59" x14ac:dyDescent="0.3">
      <c r="AW257" s="1">
        <v>7.1</v>
      </c>
      <c r="AX257" s="1">
        <v>7.1</v>
      </c>
      <c r="AY257" t="str">
        <v>R080_HI782-0_0.0_LOT0504_PWW11.1_QC.xlsx</v>
      </c>
      <c r="AZ257" t="str">
        <v>LOT0504</v>
      </c>
      <c r="BA257" s="3">
        <v>7</v>
      </c>
      <c r="BB257" t="str">
        <v>P/Final</v>
      </c>
      <c r="BC257">
        <v>15</v>
      </c>
      <c r="BD257" s="10">
        <v>17</v>
      </c>
      <c r="BE257" s="10">
        <v>0</v>
      </c>
      <c r="BF257" s="10">
        <v>0</v>
      </c>
      <c r="BG257" s="13">
        <v>45371</v>
      </c>
    </row>
    <row r="258" spans="49:59" x14ac:dyDescent="0.3">
      <c r="AW258" s="1">
        <v>7.1</v>
      </c>
      <c r="AX258" s="1">
        <v>7.1</v>
      </c>
      <c r="AY258" t="str">
        <v>R080_HI782-0_0.0_LOT0504_PWW11.1_QC.xlsx</v>
      </c>
      <c r="AZ258" t="str">
        <v>LOT0504</v>
      </c>
      <c r="BA258" s="3">
        <v>7</v>
      </c>
      <c r="BB258" t="str">
        <v>P/Final</v>
      </c>
      <c r="BC258">
        <v>15</v>
      </c>
      <c r="BD258" s="10">
        <v>17.3</v>
      </c>
      <c r="BE258" s="10">
        <v>0</v>
      </c>
      <c r="BF258" s="10">
        <v>0</v>
      </c>
      <c r="BG258" s="13">
        <v>45371</v>
      </c>
    </row>
    <row r="259" spans="49:59" x14ac:dyDescent="0.3">
      <c r="AW259" s="1">
        <v>7.1</v>
      </c>
      <c r="AX259" s="1">
        <v>7.1</v>
      </c>
      <c r="AY259" t="str">
        <v>R080_HI782-0_0.0_LOT0504_PWW11.1_QC.xlsx</v>
      </c>
      <c r="AZ259" t="str">
        <v>LOT0504</v>
      </c>
      <c r="BA259" s="3">
        <v>7</v>
      </c>
      <c r="BB259" t="str">
        <v>P/Final</v>
      </c>
      <c r="BC259">
        <v>15</v>
      </c>
      <c r="BD259" s="10">
        <v>17.3</v>
      </c>
      <c r="BE259" s="10">
        <v>0</v>
      </c>
      <c r="BF259" s="10">
        <v>0</v>
      </c>
      <c r="BG259" s="13">
        <v>45371</v>
      </c>
    </row>
    <row r="260" spans="49:59" x14ac:dyDescent="0.3">
      <c r="AW260" s="1">
        <v>7.1</v>
      </c>
      <c r="AX260" s="1">
        <v>7.1</v>
      </c>
      <c r="AY260" t="str">
        <v>R080_HI782-0_0.0_LOT0504_PWW11.1_QC.xlsx</v>
      </c>
      <c r="AZ260" t="str">
        <v>LOT0504</v>
      </c>
      <c r="BA260" s="3">
        <v>7</v>
      </c>
      <c r="BB260" t="str">
        <v>P/Final</v>
      </c>
      <c r="BC260">
        <v>15</v>
      </c>
      <c r="BD260" s="10">
        <v>15.8</v>
      </c>
      <c r="BE260" s="10">
        <v>0</v>
      </c>
      <c r="BF260" s="10">
        <v>0</v>
      </c>
      <c r="BG260" s="13">
        <v>45371</v>
      </c>
    </row>
    <row r="261" spans="49:59" x14ac:dyDescent="0.3">
      <c r="AW261" s="1">
        <v>7.1</v>
      </c>
      <c r="AX261" s="1">
        <v>7.1</v>
      </c>
      <c r="AY261" t="str">
        <v>R080_HI782-0_0.0_LOT0504_PWW11.1_QC.xlsx</v>
      </c>
      <c r="AZ261" t="str">
        <v>LOT0504</v>
      </c>
      <c r="BA261" s="3">
        <v>7</v>
      </c>
      <c r="BB261" t="str">
        <v>P/Final</v>
      </c>
      <c r="BC261">
        <v>15</v>
      </c>
      <c r="BD261" s="10">
        <v>16.600000000000001</v>
      </c>
      <c r="BE261" s="10">
        <v>0</v>
      </c>
      <c r="BF261" s="10">
        <v>0</v>
      </c>
      <c r="BG261" s="13">
        <v>45371</v>
      </c>
    </row>
    <row r="262" spans="49:59" x14ac:dyDescent="0.3">
      <c r="AW262" s="1">
        <v>7.1</v>
      </c>
      <c r="AX262" s="1">
        <v>7.1</v>
      </c>
      <c r="AY262" t="str">
        <v>R080_HI782-0_0.0_LOT0504_PWW11.1_QC.xlsx</v>
      </c>
      <c r="AZ262" t="str">
        <v>LOT0504</v>
      </c>
      <c r="BA262" s="3">
        <v>7</v>
      </c>
      <c r="BB262" t="str">
        <v>P/Final</v>
      </c>
      <c r="BC262">
        <v>15</v>
      </c>
      <c r="BD262" s="10">
        <v>14.9</v>
      </c>
      <c r="BE262" s="10">
        <v>0</v>
      </c>
      <c r="BF262" s="10">
        <v>0</v>
      </c>
      <c r="BG262" s="13">
        <v>45371</v>
      </c>
    </row>
    <row r="263" spans="49:59" x14ac:dyDescent="0.3">
      <c r="AW263" s="1">
        <v>7.1</v>
      </c>
      <c r="AX263" s="1">
        <v>7.1</v>
      </c>
      <c r="AY263" t="str">
        <v>R080_HI782-0_0.0_LOT0504_PWW11.1_QC.xlsx</v>
      </c>
      <c r="AZ263" t="str">
        <v>LOT0504</v>
      </c>
      <c r="BA263" s="3">
        <v>7</v>
      </c>
      <c r="BB263" t="str">
        <v>P/Final</v>
      </c>
      <c r="BC263">
        <v>15</v>
      </c>
      <c r="BD263" s="10">
        <v>15.9</v>
      </c>
      <c r="BE263" s="10">
        <v>0</v>
      </c>
      <c r="BF263" s="10">
        <v>0</v>
      </c>
      <c r="BG263" s="13">
        <v>45371</v>
      </c>
    </row>
    <row r="264" spans="49:59" x14ac:dyDescent="0.3">
      <c r="AW264" s="1">
        <v>7.1</v>
      </c>
      <c r="AX264" s="1">
        <v>7.1</v>
      </c>
      <c r="AY264" t="str">
        <v>R080_HI782-0_0.0_LOT0504_PWW11.1_QC.xlsx</v>
      </c>
      <c r="AZ264" t="str">
        <v>LOT0504</v>
      </c>
      <c r="BA264" s="3">
        <v>7</v>
      </c>
      <c r="BB264" t="str">
        <v>P/Final</v>
      </c>
      <c r="BC264">
        <v>15</v>
      </c>
      <c r="BD264" s="10">
        <v>15.3</v>
      </c>
      <c r="BE264" s="10">
        <v>0</v>
      </c>
      <c r="BF264" s="10">
        <v>0</v>
      </c>
      <c r="BG264" s="13">
        <v>45371</v>
      </c>
    </row>
    <row r="265" spans="49:59" x14ac:dyDescent="0.3">
      <c r="AW265" s="1">
        <v>7.1</v>
      </c>
      <c r="AX265" s="1">
        <v>7.1</v>
      </c>
      <c r="AY265" t="str">
        <v>R080_HI782-0_0.0_LOT0504_PWW11.1_QC.xlsx</v>
      </c>
      <c r="AZ265" t="str">
        <v>LOT0504</v>
      </c>
      <c r="BA265" s="3">
        <v>7</v>
      </c>
      <c r="BB265" t="str">
        <v>P/Final</v>
      </c>
      <c r="BC265">
        <v>15</v>
      </c>
      <c r="BD265" s="10">
        <v>15</v>
      </c>
      <c r="BE265" s="10">
        <v>0</v>
      </c>
      <c r="BF265" s="10">
        <v>0</v>
      </c>
      <c r="BG265" s="13">
        <v>45371</v>
      </c>
    </row>
    <row r="266" spans="49:59" x14ac:dyDescent="0.3">
      <c r="AW266" s="1">
        <v>7.1</v>
      </c>
      <c r="AX266" s="1">
        <v>7.1</v>
      </c>
      <c r="AY266" t="str">
        <v>R080_HI782-0_0.0_LOT0504_PWW11.1_QC.xlsx</v>
      </c>
      <c r="AZ266" t="str">
        <v>LOT0504</v>
      </c>
      <c r="BA266" s="3">
        <v>7</v>
      </c>
      <c r="BB266" t="str">
        <v>P/Final</v>
      </c>
      <c r="BC266">
        <v>15</v>
      </c>
      <c r="BD266" s="10">
        <v>16.600000000000001</v>
      </c>
      <c r="BE266" s="10">
        <v>0</v>
      </c>
      <c r="BF266" s="10">
        <v>0</v>
      </c>
      <c r="BG266" s="13">
        <v>45371</v>
      </c>
    </row>
    <row r="267" spans="49:59" x14ac:dyDescent="0.3">
      <c r="AW267" s="1">
        <v>7.1</v>
      </c>
      <c r="AX267" s="1">
        <v>7.1</v>
      </c>
      <c r="AY267" t="str">
        <v>R080_HI782-0_0.0_LOT0504_PWW11.1_QC.xlsx</v>
      </c>
      <c r="AZ267" t="str">
        <v>LOT0504</v>
      </c>
      <c r="BA267" s="3">
        <v>7</v>
      </c>
      <c r="BB267" t="str">
        <v>P/Final</v>
      </c>
      <c r="BC267">
        <v>15</v>
      </c>
      <c r="BD267" s="10">
        <v>16.399999999999999</v>
      </c>
      <c r="BE267" s="10">
        <v>0</v>
      </c>
      <c r="BF267" s="10">
        <v>0</v>
      </c>
      <c r="BG267" s="13">
        <v>45371</v>
      </c>
    </row>
    <row r="268" spans="49:59" x14ac:dyDescent="0.3">
      <c r="AW268" s="1">
        <v>7.1</v>
      </c>
      <c r="AX268" s="1">
        <v>7.1</v>
      </c>
      <c r="AY268" t="str">
        <v>R080_HI782-0_0.0_LOT0504_PWW11.1_QC.xlsx</v>
      </c>
      <c r="AZ268" t="str">
        <v>LOT0504</v>
      </c>
      <c r="BA268" s="3">
        <v>7</v>
      </c>
      <c r="BB268" t="str">
        <v>P/Final</v>
      </c>
      <c r="BC268">
        <v>15</v>
      </c>
      <c r="BD268" s="10">
        <v>16.5</v>
      </c>
      <c r="BE268" s="10">
        <v>0</v>
      </c>
      <c r="BF268" s="10">
        <v>0</v>
      </c>
      <c r="BG268" s="13">
        <v>45371</v>
      </c>
    </row>
    <row r="269" spans="49:59" x14ac:dyDescent="0.3">
      <c r="AW269" s="1">
        <v>7.1</v>
      </c>
      <c r="AX269" s="1">
        <v>7.1</v>
      </c>
      <c r="AY269" t="str">
        <v>R080_HI782-0_0.0_LOT0504_PWW11.1_QC.xlsx</v>
      </c>
      <c r="AZ269" t="str">
        <v>LOT0504</v>
      </c>
      <c r="BA269" s="3">
        <v>7</v>
      </c>
      <c r="BB269" t="str">
        <v>P/Final</v>
      </c>
      <c r="BC269">
        <v>15</v>
      </c>
      <c r="BD269" s="10">
        <v>15.6</v>
      </c>
      <c r="BE269" s="10">
        <v>0</v>
      </c>
      <c r="BF269" s="10">
        <v>0</v>
      </c>
      <c r="BG269" s="13">
        <v>45371</v>
      </c>
    </row>
    <row r="270" spans="49:59" x14ac:dyDescent="0.3">
      <c r="AW270" s="1">
        <v>7.1</v>
      </c>
      <c r="AX270" s="1">
        <v>7.1</v>
      </c>
      <c r="AY270" t="str">
        <v>R080_HI782-0_0.0_LOT0504_PWW11.1_QC.xlsx</v>
      </c>
      <c r="AZ270" t="str">
        <v>LOT0504</v>
      </c>
      <c r="BA270" s="3">
        <v>7</v>
      </c>
      <c r="BB270" t="str">
        <v>P/Final</v>
      </c>
      <c r="BC270">
        <v>35</v>
      </c>
      <c r="BD270" s="10">
        <v>37.700000000000003</v>
      </c>
      <c r="BE270" s="10">
        <v>0</v>
      </c>
      <c r="BF270" s="10">
        <v>0</v>
      </c>
      <c r="BG270" s="13">
        <v>45371</v>
      </c>
    </row>
    <row r="271" spans="49:59" x14ac:dyDescent="0.3">
      <c r="AW271" s="1">
        <v>7.1</v>
      </c>
      <c r="AX271" s="1">
        <v>7.1</v>
      </c>
      <c r="AY271" t="str">
        <v>R080_HI782-0_0.0_LOT0504_PWW11.1_QC.xlsx</v>
      </c>
      <c r="AZ271" t="str">
        <v>LOT0504</v>
      </c>
      <c r="BA271" s="3">
        <v>7</v>
      </c>
      <c r="BB271" t="str">
        <v>P/Final</v>
      </c>
      <c r="BC271">
        <v>35</v>
      </c>
      <c r="BD271" s="10">
        <v>37.5</v>
      </c>
      <c r="BE271" s="10">
        <v>0</v>
      </c>
      <c r="BF271" s="10">
        <v>0</v>
      </c>
      <c r="BG271" s="13">
        <v>45371</v>
      </c>
    </row>
    <row r="272" spans="49:59" x14ac:dyDescent="0.3">
      <c r="AW272" s="1">
        <v>7.1</v>
      </c>
      <c r="AX272" s="1">
        <v>7.1</v>
      </c>
      <c r="AY272" t="str">
        <v>R080_HI782-0_0.0_LOT0504_PWW11.1_QC.xlsx</v>
      </c>
      <c r="AZ272" t="str">
        <v>LOT0504</v>
      </c>
      <c r="BA272" s="3">
        <v>7</v>
      </c>
      <c r="BB272" t="str">
        <v>P/Final</v>
      </c>
      <c r="BC272">
        <v>35</v>
      </c>
      <c r="BD272" s="10">
        <v>37.6</v>
      </c>
      <c r="BE272" s="10">
        <v>0</v>
      </c>
      <c r="BF272" s="10">
        <v>0</v>
      </c>
      <c r="BG272" s="13">
        <v>45371</v>
      </c>
    </row>
    <row r="273" spans="49:59" x14ac:dyDescent="0.3">
      <c r="AW273" s="1">
        <v>7.1</v>
      </c>
      <c r="AX273" s="1">
        <v>7.1</v>
      </c>
      <c r="AY273" t="str">
        <v>R080_HI782-0_0.0_LOT0504_PWW11.1_QC.xlsx</v>
      </c>
      <c r="AZ273" t="str">
        <v>LOT0504</v>
      </c>
      <c r="BA273" s="3">
        <v>7</v>
      </c>
      <c r="BB273" t="str">
        <v>P/Final</v>
      </c>
      <c r="BC273">
        <v>35</v>
      </c>
      <c r="BD273" s="10">
        <v>36.700000000000003</v>
      </c>
      <c r="BE273" s="10">
        <v>0</v>
      </c>
      <c r="BF273" s="10">
        <v>0</v>
      </c>
      <c r="BG273" s="13">
        <v>45371</v>
      </c>
    </row>
    <row r="274" spans="49:59" x14ac:dyDescent="0.3">
      <c r="AW274" s="1">
        <v>7.1</v>
      </c>
      <c r="AX274" s="1">
        <v>7.1</v>
      </c>
      <c r="AY274" t="str">
        <v>R080_HI782-0_0.0_LOT0504_PWW11.1_QC.xlsx</v>
      </c>
      <c r="AZ274" t="str">
        <v>LOT0504</v>
      </c>
      <c r="BA274" s="3">
        <v>7</v>
      </c>
      <c r="BB274" t="str">
        <v>P/Final</v>
      </c>
      <c r="BC274">
        <v>35</v>
      </c>
      <c r="BD274" s="10">
        <v>38.700000000000003</v>
      </c>
      <c r="BE274" s="10">
        <v>0</v>
      </c>
      <c r="BF274" s="10">
        <v>0</v>
      </c>
      <c r="BG274" s="13">
        <v>45371</v>
      </c>
    </row>
    <row r="275" spans="49:59" x14ac:dyDescent="0.3">
      <c r="AW275" s="1">
        <v>7.1</v>
      </c>
      <c r="AX275" s="1">
        <v>7.1</v>
      </c>
      <c r="AY275" t="str">
        <v>R080_HI782-0_0.0_LOT0504_PWW11.1_QC.xlsx</v>
      </c>
      <c r="AZ275" t="str">
        <v>LOT0504</v>
      </c>
      <c r="BA275" s="3">
        <v>7</v>
      </c>
      <c r="BB275" t="str">
        <v>P/Final</v>
      </c>
      <c r="BC275">
        <v>35</v>
      </c>
      <c r="BD275" s="10">
        <v>36.299999999999997</v>
      </c>
      <c r="BE275" s="10">
        <v>0</v>
      </c>
      <c r="BF275" s="10">
        <v>0</v>
      </c>
      <c r="BG275" s="13">
        <v>45371</v>
      </c>
    </row>
    <row r="276" spans="49:59" x14ac:dyDescent="0.3">
      <c r="AW276" s="1">
        <v>7.1</v>
      </c>
      <c r="AX276" s="1">
        <v>7.1</v>
      </c>
      <c r="AY276" t="str">
        <v>R080_HI782-0_0.0_LOT0504_PWW11.1_QC.xlsx</v>
      </c>
      <c r="AZ276" t="str">
        <v>LOT0504</v>
      </c>
      <c r="BA276" s="3">
        <v>7</v>
      </c>
      <c r="BB276" t="str">
        <v>P/Final</v>
      </c>
      <c r="BC276">
        <v>35</v>
      </c>
      <c r="BD276" s="10">
        <v>38.5</v>
      </c>
      <c r="BE276" s="10">
        <v>0</v>
      </c>
      <c r="BF276" s="10">
        <v>0</v>
      </c>
      <c r="BG276" s="13">
        <v>45371</v>
      </c>
    </row>
    <row r="277" spans="49:59" x14ac:dyDescent="0.3">
      <c r="AW277" s="1">
        <v>7.1</v>
      </c>
      <c r="AX277" s="1">
        <v>7.1</v>
      </c>
      <c r="AY277" t="str">
        <v>R080_HI782-0_0.0_LOT0504_PWW11.1_QC.xlsx</v>
      </c>
      <c r="AZ277" t="str">
        <v>LOT0504</v>
      </c>
      <c r="BA277" s="3">
        <v>7</v>
      </c>
      <c r="BB277" t="str">
        <v>P/Final</v>
      </c>
      <c r="BC277">
        <v>35</v>
      </c>
      <c r="BD277" s="10">
        <v>38.299999999999997</v>
      </c>
      <c r="BE277" s="10">
        <v>0</v>
      </c>
      <c r="BF277" s="10">
        <v>0</v>
      </c>
      <c r="BG277" s="13">
        <v>45371</v>
      </c>
    </row>
    <row r="278" spans="49:59" x14ac:dyDescent="0.3">
      <c r="AW278" s="1">
        <v>7.1</v>
      </c>
      <c r="AX278" s="1">
        <v>7.1</v>
      </c>
      <c r="AY278" t="str">
        <v>R080_HI782-0_0.0_LOT0504_PWW11.1_QC.xlsx</v>
      </c>
      <c r="AZ278" t="str">
        <v>LOT0504</v>
      </c>
      <c r="BA278" s="3">
        <v>7</v>
      </c>
      <c r="BB278" t="str">
        <v>P/Final</v>
      </c>
      <c r="BC278">
        <v>35</v>
      </c>
      <c r="BD278" s="10">
        <v>38.1</v>
      </c>
      <c r="BE278" s="10">
        <v>0</v>
      </c>
      <c r="BF278" s="10">
        <v>0</v>
      </c>
      <c r="BG278" s="13">
        <v>45371</v>
      </c>
    </row>
    <row r="279" spans="49:59" x14ac:dyDescent="0.3">
      <c r="AW279" s="1">
        <v>7.1</v>
      </c>
      <c r="AX279" s="1">
        <v>7.1</v>
      </c>
      <c r="AY279" t="str">
        <v>R080_HI782-0_0.0_LOT0504_PWW11.1_QC.xlsx</v>
      </c>
      <c r="AZ279" t="str">
        <v>LOT0504</v>
      </c>
      <c r="BA279" s="3">
        <v>7</v>
      </c>
      <c r="BB279" t="str">
        <v>P/Final</v>
      </c>
      <c r="BC279">
        <v>35</v>
      </c>
      <c r="BD279" s="10">
        <v>38.200000000000003</v>
      </c>
      <c r="BE279" s="10">
        <v>0</v>
      </c>
      <c r="BF279" s="10">
        <v>0</v>
      </c>
      <c r="BG279" s="13">
        <v>45371</v>
      </c>
    </row>
    <row r="280" spans="49:59" x14ac:dyDescent="0.3">
      <c r="AW280" s="1">
        <v>7.1</v>
      </c>
      <c r="AX280" s="1">
        <v>7.1</v>
      </c>
      <c r="AY280" t="str">
        <v>R080_HI782-0_0.0_LOT0504_PWW11.1_QC.xlsx</v>
      </c>
      <c r="AZ280" t="str">
        <v>LOT0504</v>
      </c>
      <c r="BA280" s="3">
        <v>7</v>
      </c>
      <c r="BB280" t="str">
        <v>P/Final</v>
      </c>
      <c r="BC280">
        <v>35</v>
      </c>
      <c r="BD280" s="10">
        <v>38.6</v>
      </c>
      <c r="BE280" s="10">
        <v>0</v>
      </c>
      <c r="BF280" s="10">
        <v>0</v>
      </c>
      <c r="BG280" s="13">
        <v>45371</v>
      </c>
    </row>
    <row r="281" spans="49:59" x14ac:dyDescent="0.3">
      <c r="AW281" s="1">
        <v>7.1</v>
      </c>
      <c r="AX281" s="1">
        <v>7.1</v>
      </c>
      <c r="AY281" t="str">
        <v>R080_HI782-0_0.0_LOT0504_PWW11.1_QC.xlsx</v>
      </c>
      <c r="AZ281" t="str">
        <v>LOT0504</v>
      </c>
      <c r="BA281" s="3">
        <v>7</v>
      </c>
      <c r="BB281" t="str">
        <v>P/Final</v>
      </c>
      <c r="BC281">
        <v>35</v>
      </c>
      <c r="BD281" s="10">
        <v>38.299999999999997</v>
      </c>
      <c r="BE281" s="10">
        <v>0</v>
      </c>
      <c r="BF281" s="10">
        <v>0</v>
      </c>
      <c r="BG281" s="13">
        <v>45371</v>
      </c>
    </row>
    <row r="282" spans="49:59" x14ac:dyDescent="0.3">
      <c r="AW282" s="1">
        <v>7.1</v>
      </c>
      <c r="AX282" s="1">
        <v>7.1</v>
      </c>
      <c r="AY282" t="str">
        <v>R080_HI782-0_0.0_LOT0504_PWW11.1_QC.xlsx</v>
      </c>
      <c r="AZ282" t="str">
        <v>LOT0504</v>
      </c>
      <c r="BA282" s="3">
        <v>7</v>
      </c>
      <c r="BB282" t="str">
        <v>P/Final</v>
      </c>
      <c r="BC282">
        <v>35</v>
      </c>
      <c r="BD282" s="10">
        <v>37</v>
      </c>
      <c r="BE282" s="10">
        <v>0</v>
      </c>
      <c r="BF282" s="10">
        <v>0</v>
      </c>
      <c r="BG282" s="13">
        <v>45371</v>
      </c>
    </row>
    <row r="283" spans="49:59" x14ac:dyDescent="0.3">
      <c r="AW283" s="1">
        <v>7.1</v>
      </c>
      <c r="AX283" s="1">
        <v>7.1</v>
      </c>
      <c r="AY283" t="str">
        <v>R080_HI782-0_0.0_LOT0504_PWW11.1_QC.xlsx</v>
      </c>
      <c r="AZ283" t="str">
        <v>LOT0504</v>
      </c>
      <c r="BA283" s="3">
        <v>7</v>
      </c>
      <c r="BB283" t="str">
        <v>P/Final</v>
      </c>
      <c r="BC283">
        <v>35</v>
      </c>
      <c r="BD283" s="10">
        <v>38.200000000000003</v>
      </c>
      <c r="BE283" s="10">
        <v>0</v>
      </c>
      <c r="BF283" s="10">
        <v>0</v>
      </c>
      <c r="BG283" s="13">
        <v>45371</v>
      </c>
    </row>
    <row r="284" spans="49:59" x14ac:dyDescent="0.3">
      <c r="AW284" s="1">
        <v>7.1</v>
      </c>
      <c r="AX284" s="1">
        <v>7.1</v>
      </c>
      <c r="AY284" t="str">
        <v>R080_HI782-0_0.0_LOT0504_PWW11.1_QC.xlsx</v>
      </c>
      <c r="AZ284" t="str">
        <v>LOT0504</v>
      </c>
      <c r="BA284" s="3">
        <v>7</v>
      </c>
      <c r="BB284" t="str">
        <v>P/Final</v>
      </c>
      <c r="BC284">
        <v>35</v>
      </c>
      <c r="BD284" s="10">
        <v>38.700000000000003</v>
      </c>
      <c r="BE284" s="10">
        <v>0</v>
      </c>
      <c r="BF284" s="10">
        <v>0</v>
      </c>
      <c r="BG284" s="13">
        <v>45371</v>
      </c>
    </row>
    <row r="285" spans="49:59" x14ac:dyDescent="0.3">
      <c r="AW285" s="1">
        <v>7.1</v>
      </c>
      <c r="AX285" s="1">
        <v>7.1</v>
      </c>
      <c r="AY285" t="str">
        <v>R080_HI782-0_0.0_LOT0504_PWW11.1_QC.xlsx</v>
      </c>
      <c r="AZ285" t="str">
        <v>LOT0504</v>
      </c>
      <c r="BA285" s="3">
        <v>7</v>
      </c>
      <c r="BB285" t="str">
        <v>P/Final</v>
      </c>
      <c r="BC285">
        <v>35</v>
      </c>
      <c r="BD285" s="10">
        <v>38.6</v>
      </c>
      <c r="BE285" s="10">
        <v>0</v>
      </c>
      <c r="BF285" s="10">
        <v>0</v>
      </c>
      <c r="BG285" s="13">
        <v>45371</v>
      </c>
    </row>
    <row r="286" spans="49:59" x14ac:dyDescent="0.3">
      <c r="AW286" s="1">
        <v>7.1</v>
      </c>
      <c r="AX286" s="1">
        <v>7.1</v>
      </c>
      <c r="AY286" t="str">
        <v>R080_HI782-0_0.0_LOT0504_PWW11.1_QC.xlsx</v>
      </c>
      <c r="AZ286" t="str">
        <v>LOT0504</v>
      </c>
      <c r="BA286" s="3">
        <v>7</v>
      </c>
      <c r="BB286" t="str">
        <v>P/Final</v>
      </c>
      <c r="BC286">
        <v>35</v>
      </c>
      <c r="BD286" s="10">
        <v>37</v>
      </c>
      <c r="BE286" s="10">
        <v>0</v>
      </c>
      <c r="BF286" s="10">
        <v>0</v>
      </c>
      <c r="BG286" s="13">
        <v>45371</v>
      </c>
    </row>
    <row r="287" spans="49:59" x14ac:dyDescent="0.3">
      <c r="AW287" s="1">
        <v>7.1</v>
      </c>
      <c r="AX287" s="1">
        <v>7.1</v>
      </c>
      <c r="AY287" t="str">
        <v>R080_HI782-0_0.0_LOT0504_PWW11.1_QC.xlsx</v>
      </c>
      <c r="AZ287" t="str">
        <v>LOT0504</v>
      </c>
      <c r="BA287" s="3">
        <v>7</v>
      </c>
      <c r="BB287" t="str">
        <v>P/Final</v>
      </c>
      <c r="BC287">
        <v>35</v>
      </c>
      <c r="BD287" s="10">
        <v>37.299999999999997</v>
      </c>
      <c r="BE287" s="10">
        <v>0</v>
      </c>
      <c r="BF287" s="10">
        <v>0</v>
      </c>
      <c r="BG287" s="13">
        <v>45371</v>
      </c>
    </row>
    <row r="288" spans="49:59" x14ac:dyDescent="0.3">
      <c r="AW288" s="1">
        <v>7.1</v>
      </c>
      <c r="AX288" s="1">
        <v>7.1</v>
      </c>
      <c r="AY288" t="str">
        <v>R080_HI782-0_0.0_LOT0504_PWW11.1_QC.xlsx</v>
      </c>
      <c r="AZ288" t="str">
        <v>LOT0504</v>
      </c>
      <c r="BA288" s="3">
        <v>7</v>
      </c>
      <c r="BB288" t="str">
        <v>P/Final</v>
      </c>
      <c r="BC288">
        <v>35</v>
      </c>
      <c r="BD288" s="10">
        <v>40.299999999999997</v>
      </c>
      <c r="BE288" s="10">
        <v>0</v>
      </c>
      <c r="BF288" s="10">
        <v>0</v>
      </c>
      <c r="BG288" s="13">
        <v>45371</v>
      </c>
    </row>
    <row r="289" spans="49:59" x14ac:dyDescent="0.3">
      <c r="AW289" s="1">
        <v>7.1</v>
      </c>
      <c r="AX289" s="1">
        <v>7.1</v>
      </c>
      <c r="AY289" t="str">
        <v>R080_HI782-0_0.0_LOT0504_PWW11.1_QC.xlsx</v>
      </c>
      <c r="AZ289" t="str">
        <v>LOT0504</v>
      </c>
      <c r="BA289" s="3">
        <v>7</v>
      </c>
      <c r="BB289" t="str">
        <v>P/Final</v>
      </c>
      <c r="BC289">
        <v>60</v>
      </c>
      <c r="BD289" s="10">
        <v>60.7</v>
      </c>
      <c r="BE289" s="10">
        <v>0</v>
      </c>
      <c r="BF289" s="10">
        <v>0</v>
      </c>
      <c r="BG289" s="13">
        <v>45371</v>
      </c>
    </row>
    <row r="290" spans="49:59" x14ac:dyDescent="0.3">
      <c r="AW290" s="1">
        <v>7.1</v>
      </c>
      <c r="AX290" s="1">
        <v>7.1</v>
      </c>
      <c r="AY290" t="str">
        <v>R080_HI782-0_0.0_LOT0504_PWW11.1_QC.xlsx</v>
      </c>
      <c r="AZ290" t="str">
        <v>LOT0504</v>
      </c>
      <c r="BA290" s="3">
        <v>7</v>
      </c>
      <c r="BB290" t="str">
        <v>P/Final</v>
      </c>
      <c r="BC290">
        <v>60</v>
      </c>
      <c r="BD290" s="10">
        <v>64.8</v>
      </c>
      <c r="BE290" s="10">
        <v>0</v>
      </c>
      <c r="BF290" s="10">
        <v>0</v>
      </c>
      <c r="BG290" s="13">
        <v>45371</v>
      </c>
    </row>
    <row r="291" spans="49:59" x14ac:dyDescent="0.3">
      <c r="AW291" s="1">
        <v>7.1</v>
      </c>
      <c r="AX291" s="1">
        <v>7.1</v>
      </c>
      <c r="AY291" t="str">
        <v>R080_HI782-0_0.0_LOT0504_PWW11.1_QC.xlsx</v>
      </c>
      <c r="AZ291" t="str">
        <v>LOT0504</v>
      </c>
      <c r="BA291" s="3">
        <v>7</v>
      </c>
      <c r="BB291" t="str">
        <v>P/Final</v>
      </c>
      <c r="BC291">
        <v>60</v>
      </c>
      <c r="BD291" s="10">
        <v>62.4</v>
      </c>
      <c r="BE291" s="10">
        <v>0</v>
      </c>
      <c r="BF291" s="10">
        <v>0</v>
      </c>
      <c r="BG291" s="13">
        <v>45371</v>
      </c>
    </row>
    <row r="292" spans="49:59" x14ac:dyDescent="0.3">
      <c r="AW292" s="1">
        <v>7.1</v>
      </c>
      <c r="AX292" s="1">
        <v>7.1</v>
      </c>
      <c r="AY292" t="str">
        <v>R080_HI782-0_0.0_LOT0504_PWW11.1_QC.xlsx</v>
      </c>
      <c r="AZ292" t="str">
        <v>LOT0504</v>
      </c>
      <c r="BA292" s="3">
        <v>7</v>
      </c>
      <c r="BB292" t="str">
        <v>P/Final</v>
      </c>
      <c r="BC292">
        <v>60</v>
      </c>
      <c r="BD292" s="10">
        <v>57.8</v>
      </c>
      <c r="BE292" s="10">
        <v>0</v>
      </c>
      <c r="BF292" s="10">
        <v>0</v>
      </c>
      <c r="BG292" s="13">
        <v>45371</v>
      </c>
    </row>
    <row r="293" spans="49:59" x14ac:dyDescent="0.3">
      <c r="AW293" s="1">
        <v>7.1</v>
      </c>
      <c r="AX293" s="1">
        <v>7.1</v>
      </c>
      <c r="AY293" t="str">
        <v>R080_HI782-0_0.0_LOT0504_PWW11.1_QC.xlsx</v>
      </c>
      <c r="AZ293" t="str">
        <v>LOT0504</v>
      </c>
      <c r="BA293" s="3">
        <v>7</v>
      </c>
      <c r="BB293" t="str">
        <v>P/Final</v>
      </c>
      <c r="BC293">
        <v>60</v>
      </c>
      <c r="BD293" s="10">
        <v>64.5</v>
      </c>
      <c r="BE293" s="10">
        <v>0</v>
      </c>
      <c r="BF293" s="10">
        <v>0</v>
      </c>
      <c r="BG293" s="13">
        <v>45371</v>
      </c>
    </row>
    <row r="294" spans="49:59" x14ac:dyDescent="0.3">
      <c r="AW294" s="1">
        <v>7.1</v>
      </c>
      <c r="AX294" s="1">
        <v>7.1</v>
      </c>
      <c r="AY294" t="str">
        <v>R080_HI782-0_0.0_LOT0504_PWW11.1_QC.xlsx</v>
      </c>
      <c r="AZ294" t="str">
        <v>LOT0504</v>
      </c>
      <c r="BA294" s="3">
        <v>7</v>
      </c>
      <c r="BB294" t="str">
        <v>P/Final</v>
      </c>
      <c r="BC294">
        <v>60</v>
      </c>
      <c r="BD294" s="10">
        <v>62.3</v>
      </c>
      <c r="BE294" s="10">
        <v>0</v>
      </c>
      <c r="BF294" s="10">
        <v>0</v>
      </c>
      <c r="BG294" s="13">
        <v>45371</v>
      </c>
    </row>
    <row r="295" spans="49:59" x14ac:dyDescent="0.3">
      <c r="AW295" s="1">
        <v>7.1</v>
      </c>
      <c r="AX295" s="1">
        <v>7.1</v>
      </c>
      <c r="AY295" t="str">
        <v>R080_HI782-0_0.0_LOT0504_PWW11.1_QC.xlsx</v>
      </c>
      <c r="AZ295" t="str">
        <v>LOT0504</v>
      </c>
      <c r="BA295" s="3">
        <v>7</v>
      </c>
      <c r="BB295" t="str">
        <v>P/Final</v>
      </c>
      <c r="BC295">
        <v>60</v>
      </c>
      <c r="BD295" s="10">
        <v>62.4</v>
      </c>
      <c r="BE295" s="10">
        <v>0</v>
      </c>
      <c r="BF295" s="10">
        <v>0</v>
      </c>
      <c r="BG295" s="13">
        <v>45371</v>
      </c>
    </row>
    <row r="296" spans="49:59" x14ac:dyDescent="0.3">
      <c r="AW296" s="1">
        <v>7.1</v>
      </c>
      <c r="AX296" s="1">
        <v>7.1</v>
      </c>
      <c r="AY296" t="str">
        <v>R080_HI782-0_0.0_LOT0504_PWW11.1_QC.xlsx</v>
      </c>
      <c r="AZ296" t="str">
        <v>LOT0504</v>
      </c>
      <c r="BA296" s="3">
        <v>7</v>
      </c>
      <c r="BB296" t="str">
        <v>P/Final</v>
      </c>
      <c r="BC296">
        <v>60</v>
      </c>
      <c r="BD296" s="10">
        <v>62.1</v>
      </c>
      <c r="BE296" s="10">
        <v>0</v>
      </c>
      <c r="BF296" s="10">
        <v>0</v>
      </c>
      <c r="BG296" s="13">
        <v>45371</v>
      </c>
    </row>
    <row r="297" spans="49:59" x14ac:dyDescent="0.3">
      <c r="AW297" s="1">
        <v>7.1</v>
      </c>
      <c r="AX297" s="1">
        <v>7.1</v>
      </c>
      <c r="AY297" t="str">
        <v>R080_HI782-0_0.0_LOT0504_PWW11.1_QC.xlsx</v>
      </c>
      <c r="AZ297" t="str">
        <v>LOT0504</v>
      </c>
      <c r="BA297" s="3">
        <v>7</v>
      </c>
      <c r="BB297" t="str">
        <v>P/Final</v>
      </c>
      <c r="BC297">
        <v>60</v>
      </c>
      <c r="BD297" s="10">
        <v>63.2</v>
      </c>
      <c r="BE297" s="10">
        <v>0</v>
      </c>
      <c r="BF297" s="10">
        <v>0</v>
      </c>
      <c r="BG297" s="13">
        <v>45371</v>
      </c>
    </row>
    <row r="298" spans="49:59" x14ac:dyDescent="0.3">
      <c r="AW298" s="1">
        <v>7.1</v>
      </c>
      <c r="AX298" s="1">
        <v>7.1</v>
      </c>
      <c r="AY298" t="str">
        <v>R080_HI782-0_0.0_LOT0504_PWW11.1_QC.xlsx</v>
      </c>
      <c r="AZ298" t="str">
        <v>LOT0504</v>
      </c>
      <c r="BA298" s="3">
        <v>7</v>
      </c>
      <c r="BB298" t="str">
        <v>P/Final</v>
      </c>
      <c r="BC298">
        <v>60</v>
      </c>
      <c r="BD298" s="10">
        <v>62.7</v>
      </c>
      <c r="BE298" s="10">
        <v>0</v>
      </c>
      <c r="BF298" s="10">
        <v>0</v>
      </c>
      <c r="BG298" s="13">
        <v>45371</v>
      </c>
    </row>
    <row r="299" spans="49:59" x14ac:dyDescent="0.3">
      <c r="AW299" s="1">
        <v>7.1</v>
      </c>
      <c r="AX299" s="1">
        <v>7.1</v>
      </c>
      <c r="AY299" t="str">
        <v>R080_HI782-0_0.0_LOT0504_PWW11.1_QC.xlsx</v>
      </c>
      <c r="AZ299" t="str">
        <v>LOT0504</v>
      </c>
      <c r="BA299" s="3">
        <v>7</v>
      </c>
      <c r="BB299" t="str">
        <v>P/Final</v>
      </c>
      <c r="BC299">
        <v>60</v>
      </c>
      <c r="BD299" s="10">
        <v>62.8</v>
      </c>
      <c r="BE299" s="10">
        <v>0</v>
      </c>
      <c r="BF299" s="10">
        <v>0</v>
      </c>
      <c r="BG299" s="13">
        <v>45371</v>
      </c>
    </row>
    <row r="300" spans="49:59" x14ac:dyDescent="0.3">
      <c r="AW300" s="1">
        <v>7.1</v>
      </c>
      <c r="AX300" s="1">
        <v>7.1</v>
      </c>
      <c r="AY300" t="str">
        <v>R080_HI782-0_0.0_LOT0504_PWW11.1_QC.xlsx</v>
      </c>
      <c r="AZ300" t="str">
        <v>LOT0504</v>
      </c>
      <c r="BA300" s="3">
        <v>7</v>
      </c>
      <c r="BB300" t="str">
        <v>P/Final</v>
      </c>
      <c r="BC300">
        <v>60</v>
      </c>
      <c r="BD300" s="10">
        <v>61.1</v>
      </c>
      <c r="BE300" s="10">
        <v>0</v>
      </c>
      <c r="BF300" s="10">
        <v>0</v>
      </c>
      <c r="BG300" s="13">
        <v>45371</v>
      </c>
    </row>
    <row r="301" spans="49:59" x14ac:dyDescent="0.3">
      <c r="AW301" s="1">
        <v>7.1</v>
      </c>
      <c r="AX301" s="1">
        <v>7.1</v>
      </c>
      <c r="AY301" t="str">
        <v>R080_HI782-0_0.0_LOT0504_PWW11.1_QC.xlsx</v>
      </c>
      <c r="AZ301" t="str">
        <v>LOT0504</v>
      </c>
      <c r="BA301" s="3">
        <v>7</v>
      </c>
      <c r="BB301" t="str">
        <v>P/Final</v>
      </c>
      <c r="BC301">
        <v>60</v>
      </c>
      <c r="BD301" s="10">
        <v>62.1</v>
      </c>
      <c r="BE301" s="10">
        <v>0</v>
      </c>
      <c r="BF301" s="10">
        <v>0</v>
      </c>
      <c r="BG301" s="13">
        <v>45371</v>
      </c>
    </row>
    <row r="302" spans="49:59" x14ac:dyDescent="0.3">
      <c r="AW302" s="1">
        <v>7.1</v>
      </c>
      <c r="AX302" s="1">
        <v>7.1</v>
      </c>
      <c r="AY302" t="str">
        <v>R080_HI782-0_0.0_LOT0504_PWW11.1_QC.xlsx</v>
      </c>
      <c r="AZ302" t="str">
        <v>LOT0504</v>
      </c>
      <c r="BA302" s="3">
        <v>7</v>
      </c>
      <c r="BB302" t="str">
        <v>P/Final</v>
      </c>
      <c r="BC302">
        <v>60</v>
      </c>
      <c r="BD302" s="10">
        <v>60.2</v>
      </c>
      <c r="BE302" s="10">
        <v>0</v>
      </c>
      <c r="BF302" s="10">
        <v>0</v>
      </c>
      <c r="BG302" s="13">
        <v>45371</v>
      </c>
    </row>
    <row r="303" spans="49:59" x14ac:dyDescent="0.3">
      <c r="AW303" s="1">
        <v>7.1</v>
      </c>
      <c r="AX303" s="1">
        <v>7.1</v>
      </c>
      <c r="AY303" t="str">
        <v>R080_HI782-0_0.0_LOT0504_PWW11.1_QC.xlsx</v>
      </c>
      <c r="AZ303" t="str">
        <v>LOT0504</v>
      </c>
      <c r="BA303" s="3">
        <v>7</v>
      </c>
      <c r="BB303" t="str">
        <v>P/Final</v>
      </c>
      <c r="BC303">
        <v>60</v>
      </c>
      <c r="BD303" s="10">
        <v>64</v>
      </c>
      <c r="BE303" s="10">
        <v>0</v>
      </c>
      <c r="BF303" s="10">
        <v>0</v>
      </c>
      <c r="BG303" s="13">
        <v>45371</v>
      </c>
    </row>
    <row r="304" spans="49:59" x14ac:dyDescent="0.3">
      <c r="AW304" s="1">
        <v>7.1</v>
      </c>
      <c r="AX304" s="1">
        <v>7.1</v>
      </c>
      <c r="AY304" t="str">
        <v>R080_HI782-0_0.0_LOT0504_PWW11.1_QC.xlsx</v>
      </c>
      <c r="AZ304" t="str">
        <v>LOT0504</v>
      </c>
      <c r="BA304" s="3">
        <v>7</v>
      </c>
      <c r="BB304" t="str">
        <v>P/Final</v>
      </c>
      <c r="BC304">
        <v>60</v>
      </c>
      <c r="BD304" s="10">
        <v>62.9</v>
      </c>
      <c r="BE304" s="10">
        <v>0</v>
      </c>
      <c r="BF304" s="10">
        <v>0</v>
      </c>
      <c r="BG304" s="13">
        <v>45371</v>
      </c>
    </row>
    <row r="305" spans="49:59" x14ac:dyDescent="0.3">
      <c r="AW305" s="1">
        <v>7.1</v>
      </c>
      <c r="AX305" s="1">
        <v>7.1</v>
      </c>
      <c r="AY305" t="str">
        <v>R080_HI782-0_0.0_LOT0504_PWW11.1_QC.xlsx</v>
      </c>
      <c r="AZ305" t="str">
        <v>LOT0504</v>
      </c>
      <c r="BA305" s="3">
        <v>7</v>
      </c>
      <c r="BB305" t="str">
        <v>P/Final</v>
      </c>
      <c r="BC305">
        <v>15</v>
      </c>
      <c r="BD305" s="10">
        <v>17.5</v>
      </c>
      <c r="BE305" s="10">
        <v>0</v>
      </c>
      <c r="BF305" s="10">
        <v>0</v>
      </c>
      <c r="BG305" s="13">
        <v>45372</v>
      </c>
    </row>
    <row r="306" spans="49:59" x14ac:dyDescent="0.3">
      <c r="AW306" s="1">
        <v>7.1</v>
      </c>
      <c r="AX306" s="1">
        <v>7.1</v>
      </c>
      <c r="AY306" t="str">
        <v>R080_HI782-0_0.0_LOT0504_PWW11.1_QC.xlsx</v>
      </c>
      <c r="AZ306" t="str">
        <v>LOT0504</v>
      </c>
      <c r="BA306" s="3">
        <v>7</v>
      </c>
      <c r="BB306" t="str">
        <v>P/Final</v>
      </c>
      <c r="BC306">
        <v>15</v>
      </c>
      <c r="BD306" s="10">
        <v>17.100000000000001</v>
      </c>
      <c r="BE306" s="10">
        <v>0</v>
      </c>
      <c r="BF306" s="10">
        <v>0</v>
      </c>
      <c r="BG306" s="13">
        <v>45372</v>
      </c>
    </row>
    <row r="307" spans="49:59" x14ac:dyDescent="0.3">
      <c r="AW307" s="1">
        <v>7.1</v>
      </c>
      <c r="AX307" s="1">
        <v>7.1</v>
      </c>
      <c r="AY307" t="str">
        <v>R080_HI782-0_0.0_LOT0504_PWW11.1_QC.xlsx</v>
      </c>
      <c r="AZ307" t="str">
        <v>LOT0504</v>
      </c>
      <c r="BA307" s="3">
        <v>7</v>
      </c>
      <c r="BB307" t="str">
        <v>P/Final</v>
      </c>
      <c r="BC307">
        <v>15</v>
      </c>
      <c r="BD307" s="10">
        <v>17.100000000000001</v>
      </c>
      <c r="BE307" s="10">
        <v>0</v>
      </c>
      <c r="BF307" s="10">
        <v>0</v>
      </c>
      <c r="BG307" s="13">
        <v>45372</v>
      </c>
    </row>
    <row r="308" spans="49:59" x14ac:dyDescent="0.3">
      <c r="AW308" s="1">
        <v>7.1</v>
      </c>
      <c r="AX308" s="1">
        <v>7.1</v>
      </c>
      <c r="AY308" t="str">
        <v>R080_HI782-0_0.0_LOT0504_PWW11.1_QC.xlsx</v>
      </c>
      <c r="AZ308" t="str">
        <v>LOT0504</v>
      </c>
      <c r="BA308" s="3">
        <v>7</v>
      </c>
      <c r="BB308" t="str">
        <v>P/Final</v>
      </c>
      <c r="BC308">
        <v>15</v>
      </c>
      <c r="BD308" s="10">
        <v>17.100000000000001</v>
      </c>
      <c r="BE308" s="10">
        <v>0</v>
      </c>
      <c r="BF308" s="10">
        <v>0</v>
      </c>
      <c r="BG308" s="13">
        <v>45372</v>
      </c>
    </row>
    <row r="309" spans="49:59" x14ac:dyDescent="0.3">
      <c r="AW309" s="1">
        <v>7.1</v>
      </c>
      <c r="AX309" s="1">
        <v>7.1</v>
      </c>
      <c r="AY309" t="str">
        <v>R080_HI782-0_0.0_LOT0504_PWW11.1_QC.xlsx</v>
      </c>
      <c r="AZ309" t="str">
        <v>LOT0504</v>
      </c>
      <c r="BA309" s="3">
        <v>7</v>
      </c>
      <c r="BB309" t="str">
        <v>P/Final</v>
      </c>
      <c r="BC309">
        <v>35</v>
      </c>
      <c r="BD309" s="10">
        <v>38.200000000000003</v>
      </c>
      <c r="BE309" s="10">
        <v>0</v>
      </c>
      <c r="BF309" s="10">
        <v>0</v>
      </c>
      <c r="BG309" s="13">
        <v>45372</v>
      </c>
    </row>
    <row r="310" spans="49:59" x14ac:dyDescent="0.3">
      <c r="AW310" s="1">
        <v>7.1</v>
      </c>
      <c r="AX310" s="1">
        <v>7.1</v>
      </c>
      <c r="AY310" t="str">
        <v>R080_HI782-0_0.0_LOT0504_PWW11.1_QC.xlsx</v>
      </c>
      <c r="AZ310" t="str">
        <v>LOT0504</v>
      </c>
      <c r="BA310" s="3">
        <v>7</v>
      </c>
      <c r="BB310" t="str">
        <v>P/Final</v>
      </c>
      <c r="BC310">
        <v>35</v>
      </c>
      <c r="BD310" s="10">
        <v>38.700000000000003</v>
      </c>
      <c r="BE310" s="10">
        <v>0</v>
      </c>
      <c r="BF310" s="10">
        <v>0</v>
      </c>
      <c r="BG310" s="13">
        <v>45372</v>
      </c>
    </row>
    <row r="311" spans="49:59" x14ac:dyDescent="0.3">
      <c r="AW311" s="1">
        <v>7.1</v>
      </c>
      <c r="AX311" s="1">
        <v>7.1</v>
      </c>
      <c r="AY311" t="str">
        <v>R080_HI782-0_0.0_LOT0504_PWW11.1_QC.xlsx</v>
      </c>
      <c r="AZ311" t="str">
        <v>LOT0504</v>
      </c>
      <c r="BA311" s="3">
        <v>7</v>
      </c>
      <c r="BB311" t="str">
        <v>P/Final</v>
      </c>
      <c r="BC311">
        <v>35</v>
      </c>
      <c r="BD311" s="10">
        <v>37</v>
      </c>
      <c r="BE311" s="10">
        <v>0</v>
      </c>
      <c r="BF311" s="10">
        <v>0</v>
      </c>
      <c r="BG311" s="13">
        <v>45372</v>
      </c>
    </row>
    <row r="312" spans="49:59" x14ac:dyDescent="0.3">
      <c r="AW312" s="1">
        <v>8.1</v>
      </c>
      <c r="AX312" s="1">
        <v>8.1</v>
      </c>
      <c r="AY312" t="str">
        <v>R080_HI782-0_0.0_LOT0512_PWW12.1_QC.xlsx</v>
      </c>
      <c r="AZ312" t="str">
        <v>LOT0512</v>
      </c>
      <c r="BA312" s="3">
        <v>8</v>
      </c>
      <c r="BB312" t="str">
        <v>P/Final</v>
      </c>
      <c r="BC312">
        <v>35</v>
      </c>
      <c r="BD312" s="10">
        <v>38.5</v>
      </c>
      <c r="BE312" s="10">
        <v>0</v>
      </c>
      <c r="BF312" s="10">
        <v>0</v>
      </c>
      <c r="BG312" s="13">
        <v>45372</v>
      </c>
    </row>
    <row r="313" spans="49:59" x14ac:dyDescent="0.3">
      <c r="AW313" s="1">
        <v>7.1</v>
      </c>
      <c r="AX313" s="1">
        <v>7.1</v>
      </c>
      <c r="AY313" t="str">
        <v>R080_HI782-0_0.0_LOT0504_PWW11.1_QC.xlsx</v>
      </c>
      <c r="AZ313" t="str">
        <v>LOT0504</v>
      </c>
      <c r="BA313" s="3">
        <v>7</v>
      </c>
      <c r="BB313" t="str">
        <v>P/Final</v>
      </c>
      <c r="BC313">
        <v>35</v>
      </c>
      <c r="BD313" s="10">
        <v>37.1</v>
      </c>
      <c r="BE313" s="10">
        <v>0</v>
      </c>
      <c r="BF313" s="10">
        <v>0</v>
      </c>
      <c r="BG313" s="13">
        <v>45372</v>
      </c>
    </row>
    <row r="314" spans="49:59" x14ac:dyDescent="0.3">
      <c r="AW314" s="1">
        <v>7.1</v>
      </c>
      <c r="AX314" s="1">
        <v>7.1</v>
      </c>
      <c r="AY314" t="str">
        <v>R080_HI782-0_0.0_LOT0504_PWW11.1_QC.xlsx</v>
      </c>
      <c r="AZ314" t="str">
        <v>LOT0504</v>
      </c>
      <c r="BA314" s="3">
        <v>7</v>
      </c>
      <c r="BB314" t="str">
        <v>P/Final</v>
      </c>
      <c r="BC314">
        <v>60</v>
      </c>
      <c r="BD314" s="10">
        <v>63.3</v>
      </c>
      <c r="BE314" s="10">
        <v>0</v>
      </c>
      <c r="BF314" s="10">
        <v>0</v>
      </c>
      <c r="BG314" s="13">
        <v>45372</v>
      </c>
    </row>
    <row r="315" spans="49:59" x14ac:dyDescent="0.3">
      <c r="AW315" s="1">
        <v>7.1</v>
      </c>
      <c r="AX315" s="1">
        <v>7.1</v>
      </c>
      <c r="AY315" t="str">
        <v>R080_HI782-0_0.0_LOT0504_PWW11.1_QC.xlsx</v>
      </c>
      <c r="AZ315" t="str">
        <v>LOT0504</v>
      </c>
      <c r="BA315" s="3">
        <v>7</v>
      </c>
      <c r="BB315" t="str">
        <v>P/Final</v>
      </c>
      <c r="BC315">
        <v>60</v>
      </c>
      <c r="BD315" s="10">
        <v>62.5</v>
      </c>
      <c r="BE315" s="10">
        <v>0</v>
      </c>
      <c r="BF315" s="10">
        <v>0</v>
      </c>
      <c r="BG315" s="13">
        <v>45372</v>
      </c>
    </row>
    <row r="316" spans="49:59" x14ac:dyDescent="0.3">
      <c r="AW316" s="1">
        <v>7.1</v>
      </c>
      <c r="AX316" s="1">
        <v>7.1</v>
      </c>
      <c r="AY316" t="str">
        <v>R080_HI782-0_0.0_LOT0504_PWW11.1_QC.xlsx</v>
      </c>
      <c r="AZ316" t="str">
        <v>LOT0504</v>
      </c>
      <c r="BA316" s="3">
        <v>7</v>
      </c>
      <c r="BB316" t="str">
        <v>P/Final</v>
      </c>
      <c r="BC316">
        <v>60</v>
      </c>
      <c r="BD316" s="10">
        <v>61.6</v>
      </c>
      <c r="BE316" s="10">
        <v>0</v>
      </c>
      <c r="BF316" s="10">
        <v>0</v>
      </c>
      <c r="BG316" s="13">
        <v>45372</v>
      </c>
    </row>
    <row r="317" spans="49:59" x14ac:dyDescent="0.3">
      <c r="AW317" s="1">
        <v>8.1</v>
      </c>
      <c r="AX317" s="1">
        <v>8.1</v>
      </c>
      <c r="AY317" t="str">
        <v>R080_HI782-0_0.0_LOT0512_PWW12.1_QC.xlsx</v>
      </c>
      <c r="AZ317" t="str">
        <v>LOT0512</v>
      </c>
      <c r="BA317" s="3">
        <v>8</v>
      </c>
      <c r="BB317" t="str">
        <v>P/Final</v>
      </c>
      <c r="BC317">
        <v>0</v>
      </c>
      <c r="BD317" s="10">
        <v>0</v>
      </c>
      <c r="BE317" s="10">
        <v>0</v>
      </c>
      <c r="BF317" s="10">
        <v>0</v>
      </c>
      <c r="BG317" s="13">
        <v>45376</v>
      </c>
    </row>
    <row r="318" spans="49:59" x14ac:dyDescent="0.3">
      <c r="AW318" s="1">
        <v>8.1</v>
      </c>
      <c r="AX318" s="1">
        <v>8.1</v>
      </c>
      <c r="AY318" t="str">
        <v>R080_HI782-0_0.0_LOT0512_PWW12.1_QC.xlsx</v>
      </c>
      <c r="AZ318" t="str">
        <v>LOT0512</v>
      </c>
      <c r="BA318" s="3">
        <v>8</v>
      </c>
      <c r="BB318" t="str">
        <v>P/Final</v>
      </c>
      <c r="BC318">
        <v>0</v>
      </c>
      <c r="BD318" s="10">
        <v>0.2</v>
      </c>
      <c r="BE318" s="10">
        <v>0</v>
      </c>
      <c r="BF318" s="10">
        <v>0</v>
      </c>
      <c r="BG318" s="13">
        <v>45376</v>
      </c>
    </row>
    <row r="319" spans="49:59" x14ac:dyDescent="0.3">
      <c r="AW319" s="1">
        <v>8.1</v>
      </c>
      <c r="AX319" s="1">
        <v>8.1</v>
      </c>
      <c r="AY319" t="str">
        <v>R080_HI782-0_0.0_LOT0512_PWW12.1_QC.xlsx</v>
      </c>
      <c r="AZ319" t="str">
        <v>LOT0512</v>
      </c>
      <c r="BA319" s="3">
        <v>8</v>
      </c>
      <c r="BB319" t="str">
        <v>P/Final</v>
      </c>
      <c r="BC319">
        <v>15</v>
      </c>
      <c r="BD319" s="10">
        <v>16.100000000000001</v>
      </c>
      <c r="BE319" s="10">
        <v>0</v>
      </c>
      <c r="BF319" s="10">
        <v>0</v>
      </c>
      <c r="BG319" s="13">
        <v>45376</v>
      </c>
    </row>
    <row r="320" spans="49:59" x14ac:dyDescent="0.3">
      <c r="AW320" s="1">
        <v>8.1</v>
      </c>
      <c r="AX320" s="1">
        <v>8.1</v>
      </c>
      <c r="AY320" t="str">
        <v>R080_HI782-0_0.0_LOT0512_PWW12.1_QC.xlsx</v>
      </c>
      <c r="AZ320" t="str">
        <v>LOT0512</v>
      </c>
      <c r="BA320" s="3">
        <v>8</v>
      </c>
      <c r="BB320" t="str">
        <v>P/Final</v>
      </c>
      <c r="BC320">
        <v>15</v>
      </c>
      <c r="BD320" s="10">
        <v>16.100000000000001</v>
      </c>
      <c r="BE320" s="10">
        <v>0</v>
      </c>
      <c r="BF320" s="10">
        <v>0</v>
      </c>
      <c r="BG320" s="13">
        <v>45376</v>
      </c>
    </row>
    <row r="321" spans="49:59" x14ac:dyDescent="0.3">
      <c r="AW321" s="1">
        <v>8.1</v>
      </c>
      <c r="AX321" s="1">
        <v>8.1</v>
      </c>
      <c r="AY321" t="str">
        <v>R080_HI782-0_0.0_LOT0512_PWW12.1_QC.xlsx</v>
      </c>
      <c r="AZ321" t="str">
        <v>LOT0512</v>
      </c>
      <c r="BA321" s="3">
        <v>8</v>
      </c>
      <c r="BB321" t="str">
        <v>P/Final</v>
      </c>
      <c r="BC321">
        <v>15</v>
      </c>
      <c r="BD321" s="10">
        <v>17</v>
      </c>
      <c r="BE321" s="10">
        <v>0</v>
      </c>
      <c r="BF321" s="10">
        <v>0</v>
      </c>
      <c r="BG321" s="13">
        <v>45376</v>
      </c>
    </row>
    <row r="322" spans="49:59" x14ac:dyDescent="0.3">
      <c r="AW322" s="1">
        <v>8.1</v>
      </c>
      <c r="AX322" s="1">
        <v>8.1</v>
      </c>
      <c r="AY322" t="str">
        <v>R080_HI782-0_0.0_LOT0512_PWW12.1_QC.xlsx</v>
      </c>
      <c r="AZ322" t="str">
        <v>LOT0512</v>
      </c>
      <c r="BA322" s="3">
        <v>8</v>
      </c>
      <c r="BB322" t="str">
        <v>P/Final</v>
      </c>
      <c r="BC322">
        <v>15</v>
      </c>
      <c r="BD322" s="10">
        <v>17</v>
      </c>
      <c r="BE322" s="10">
        <v>0</v>
      </c>
      <c r="BF322" s="10">
        <v>0</v>
      </c>
      <c r="BG322" s="13">
        <v>45376</v>
      </c>
    </row>
    <row r="323" spans="49:59" x14ac:dyDescent="0.3">
      <c r="AW323" s="1">
        <v>8.1</v>
      </c>
      <c r="AX323" s="1">
        <v>8.1</v>
      </c>
      <c r="AY323" t="str">
        <v>R080_HI782-0_0.0_LOT0512_PWW12.1_QC.xlsx</v>
      </c>
      <c r="AZ323" t="str">
        <v>LOT0512</v>
      </c>
      <c r="BA323" s="3">
        <v>8</v>
      </c>
      <c r="BB323" t="str">
        <v>P/Final</v>
      </c>
      <c r="BC323">
        <v>15</v>
      </c>
      <c r="BD323" s="10">
        <v>17.600000000000001</v>
      </c>
      <c r="BE323" s="10">
        <v>0</v>
      </c>
      <c r="BF323" s="10">
        <v>0</v>
      </c>
      <c r="BG323" s="13">
        <v>45376</v>
      </c>
    </row>
    <row r="324" spans="49:59" x14ac:dyDescent="0.3">
      <c r="AW324" s="1">
        <v>8.1</v>
      </c>
      <c r="AX324" s="1">
        <v>8.1</v>
      </c>
      <c r="AY324" t="str">
        <v>R080_HI782-0_0.0_LOT0512_PWW12.1_QC.xlsx</v>
      </c>
      <c r="AZ324" t="str">
        <v>LOT0512</v>
      </c>
      <c r="BA324" s="3">
        <v>8</v>
      </c>
      <c r="BB324" t="str">
        <v>P/Final</v>
      </c>
      <c r="BC324">
        <v>15</v>
      </c>
      <c r="BD324" s="10">
        <v>16.100000000000001</v>
      </c>
      <c r="BE324" s="10">
        <v>0</v>
      </c>
      <c r="BF324" s="10">
        <v>0</v>
      </c>
      <c r="BG324" s="13">
        <v>45376</v>
      </c>
    </row>
    <row r="325" spans="49:59" x14ac:dyDescent="0.3">
      <c r="AW325" s="1">
        <v>8.1</v>
      </c>
      <c r="AX325" s="1">
        <v>8.1</v>
      </c>
      <c r="AY325" t="str">
        <v>R080_HI782-0_0.0_LOT0512_PWW12.1_QC.xlsx</v>
      </c>
      <c r="AZ325" t="str">
        <v>LOT0512</v>
      </c>
      <c r="BA325" s="3">
        <v>8</v>
      </c>
      <c r="BB325" t="str">
        <v>P/Final</v>
      </c>
      <c r="BC325">
        <v>15</v>
      </c>
      <c r="BD325" s="10">
        <v>15.4</v>
      </c>
      <c r="BE325" s="10">
        <v>0</v>
      </c>
      <c r="BF325" s="10">
        <v>0</v>
      </c>
      <c r="BG325" s="13">
        <v>45376</v>
      </c>
    </row>
    <row r="326" spans="49:59" x14ac:dyDescent="0.3">
      <c r="AW326" s="1">
        <v>8.1</v>
      </c>
      <c r="AX326" s="1">
        <v>8.1</v>
      </c>
      <c r="AY326" t="str">
        <v>R080_HI782-0_0.0_LOT0512_PWW12.1_QC.xlsx</v>
      </c>
      <c r="AZ326" t="str">
        <v>LOT0512</v>
      </c>
      <c r="BA326" s="3">
        <v>8</v>
      </c>
      <c r="BB326" t="str">
        <v>P/Final</v>
      </c>
      <c r="BC326">
        <v>15</v>
      </c>
      <c r="BD326" s="10">
        <v>16.5</v>
      </c>
      <c r="BE326" s="10">
        <v>0</v>
      </c>
      <c r="BF326" s="10">
        <v>0</v>
      </c>
      <c r="BG326" s="13">
        <v>45376</v>
      </c>
    </row>
    <row r="327" spans="49:59" x14ac:dyDescent="0.3">
      <c r="AW327" s="1">
        <v>8.1</v>
      </c>
      <c r="AX327" s="1">
        <v>8.1</v>
      </c>
      <c r="AY327" t="str">
        <v>R080_HI782-0_0.0_LOT0512_PWW12.1_QC.xlsx</v>
      </c>
      <c r="AZ327" t="str">
        <v>LOT0512</v>
      </c>
      <c r="BA327" s="3">
        <v>8</v>
      </c>
      <c r="BB327" t="str">
        <v>P/Final</v>
      </c>
      <c r="BC327">
        <v>15</v>
      </c>
      <c r="BD327" s="10">
        <v>16.2</v>
      </c>
      <c r="BE327" s="10">
        <v>0</v>
      </c>
      <c r="BF327" s="10">
        <v>0</v>
      </c>
      <c r="BG327" s="13">
        <v>45376</v>
      </c>
    </row>
    <row r="328" spans="49:59" x14ac:dyDescent="0.3">
      <c r="AW328" s="1">
        <v>8.1</v>
      </c>
      <c r="AX328" s="1">
        <v>8.1</v>
      </c>
      <c r="AY328" t="str">
        <v>R080_HI782-0_0.0_LOT0512_PWW12.1_QC.xlsx</v>
      </c>
      <c r="AZ328" t="str">
        <v>LOT0512</v>
      </c>
      <c r="BA328" s="3">
        <v>8</v>
      </c>
      <c r="BB328" t="str">
        <v>P/Final</v>
      </c>
      <c r="BC328">
        <v>15</v>
      </c>
      <c r="BD328" s="10">
        <v>15.6</v>
      </c>
      <c r="BE328" s="10">
        <v>0</v>
      </c>
      <c r="BF328" s="10">
        <v>0</v>
      </c>
      <c r="BG328" s="13">
        <v>45376</v>
      </c>
    </row>
    <row r="329" spans="49:59" x14ac:dyDescent="0.3">
      <c r="AW329" s="1">
        <v>8.1</v>
      </c>
      <c r="AX329" s="1">
        <v>8.1</v>
      </c>
      <c r="AY329" t="str">
        <v>R080_HI782-0_0.0_LOT0512_PWW12.1_QC.xlsx</v>
      </c>
      <c r="AZ329" t="str">
        <v>LOT0512</v>
      </c>
      <c r="BA329" s="3">
        <v>8</v>
      </c>
      <c r="BB329" t="str">
        <v>P/Final</v>
      </c>
      <c r="BC329">
        <v>35</v>
      </c>
      <c r="BD329" s="10">
        <v>38.700000000000003</v>
      </c>
      <c r="BE329" s="10">
        <v>0</v>
      </c>
      <c r="BF329" s="10">
        <v>0</v>
      </c>
      <c r="BG329" s="13">
        <v>45376</v>
      </c>
    </row>
    <row r="330" spans="49:59" x14ac:dyDescent="0.3">
      <c r="AW330" s="1">
        <v>8.1</v>
      </c>
      <c r="AX330" s="1">
        <v>8.1</v>
      </c>
      <c r="AY330" t="str">
        <v>R080_HI782-0_0.0_LOT0512_PWW12.1_QC.xlsx</v>
      </c>
      <c r="AZ330" t="str">
        <v>LOT0512</v>
      </c>
      <c r="BA330" s="3">
        <v>8</v>
      </c>
      <c r="BB330" t="str">
        <v>P/Final</v>
      </c>
      <c r="BC330">
        <v>35</v>
      </c>
      <c r="BD330" s="10">
        <v>38</v>
      </c>
      <c r="BE330" s="10">
        <v>0</v>
      </c>
      <c r="BF330" s="10">
        <v>0</v>
      </c>
      <c r="BG330" s="13">
        <v>45376</v>
      </c>
    </row>
    <row r="331" spans="49:59" x14ac:dyDescent="0.3">
      <c r="AW331" s="1">
        <v>8.1</v>
      </c>
      <c r="AX331" s="1">
        <v>8.1</v>
      </c>
      <c r="AY331" t="str">
        <v>R080_HI782-0_0.0_LOT0512_PWW12.1_QC.xlsx</v>
      </c>
      <c r="AZ331" t="str">
        <v>LOT0512</v>
      </c>
      <c r="BA331" s="3">
        <v>8</v>
      </c>
      <c r="BB331" t="str">
        <v>P/Final</v>
      </c>
      <c r="BC331">
        <v>35</v>
      </c>
      <c r="BD331" s="10">
        <v>37.5</v>
      </c>
      <c r="BE331" s="10">
        <v>0</v>
      </c>
      <c r="BF331" s="10">
        <v>0</v>
      </c>
      <c r="BG331" s="13">
        <v>45376</v>
      </c>
    </row>
    <row r="332" spans="49:59" x14ac:dyDescent="0.3">
      <c r="AW332" s="1">
        <v>8.1</v>
      </c>
      <c r="AX332" s="1">
        <v>8.1</v>
      </c>
      <c r="AY332" t="str">
        <v>R080_HI782-0_0.0_LOT0512_PWW12.1_QC.xlsx</v>
      </c>
      <c r="AZ332" t="str">
        <v>LOT0512</v>
      </c>
      <c r="BA332" s="3">
        <v>8</v>
      </c>
      <c r="BB332" t="str">
        <v>P/Final</v>
      </c>
      <c r="BC332">
        <v>35</v>
      </c>
      <c r="BD332" s="10">
        <v>37.799999999999997</v>
      </c>
      <c r="BE332" s="10">
        <v>0</v>
      </c>
      <c r="BF332" s="10">
        <v>0</v>
      </c>
      <c r="BG332" s="13">
        <v>45376</v>
      </c>
    </row>
    <row r="333" spans="49:59" x14ac:dyDescent="0.3">
      <c r="AW333" s="1">
        <v>8.1</v>
      </c>
      <c r="AX333" s="1">
        <v>8.1</v>
      </c>
      <c r="AY333" t="str">
        <v>R080_HI782-0_0.0_LOT0512_PWW12.1_QC.xlsx</v>
      </c>
      <c r="AZ333" t="str">
        <v>LOT0512</v>
      </c>
      <c r="BA333" s="3">
        <v>8</v>
      </c>
      <c r="BB333" t="str">
        <v>P/Final</v>
      </c>
      <c r="BC333">
        <v>35</v>
      </c>
      <c r="BD333" s="10">
        <v>37.799999999999997</v>
      </c>
      <c r="BE333" s="10">
        <v>0</v>
      </c>
      <c r="BF333" s="10">
        <v>0</v>
      </c>
      <c r="BG333" s="13">
        <v>45376</v>
      </c>
    </row>
    <row r="334" spans="49:59" x14ac:dyDescent="0.3">
      <c r="AW334" s="1">
        <v>8.1</v>
      </c>
      <c r="AX334" s="1">
        <v>8.1</v>
      </c>
      <c r="AY334" t="str">
        <v>R080_HI782-0_0.0_LOT0512_PWW12.1_QC.xlsx</v>
      </c>
      <c r="AZ334" t="str">
        <v>LOT0512</v>
      </c>
      <c r="BA334" s="3">
        <v>8</v>
      </c>
      <c r="BB334" t="str">
        <v>P/Final</v>
      </c>
      <c r="BC334">
        <v>35</v>
      </c>
      <c r="BD334" s="10">
        <v>38</v>
      </c>
      <c r="BE334" s="10">
        <v>0</v>
      </c>
      <c r="BF334" s="10">
        <v>0</v>
      </c>
      <c r="BG334" s="13">
        <v>45376</v>
      </c>
    </row>
    <row r="335" spans="49:59" x14ac:dyDescent="0.3">
      <c r="AW335" s="1">
        <v>8.1</v>
      </c>
      <c r="AX335" s="1">
        <v>8.1</v>
      </c>
      <c r="AY335" t="str">
        <v>R080_HI782-0_0.0_LOT0512_PWW12.1_QC.xlsx</v>
      </c>
      <c r="AZ335" t="str">
        <v>LOT0512</v>
      </c>
      <c r="BA335" s="3">
        <v>8</v>
      </c>
      <c r="BB335" t="str">
        <v>P/Final</v>
      </c>
      <c r="BC335">
        <v>35</v>
      </c>
      <c r="BD335" s="10">
        <v>37.6</v>
      </c>
      <c r="BE335" s="10">
        <v>0</v>
      </c>
      <c r="BF335" s="10">
        <v>0</v>
      </c>
      <c r="BG335" s="13">
        <v>45376</v>
      </c>
    </row>
    <row r="336" spans="49:59" x14ac:dyDescent="0.3">
      <c r="AW336" s="1">
        <v>8.1</v>
      </c>
      <c r="AX336" s="1">
        <v>8.1</v>
      </c>
      <c r="AY336" t="str">
        <v>R080_HI782-0_0.0_LOT0512_PWW12.1_QC.xlsx</v>
      </c>
      <c r="AZ336" t="str">
        <v>LOT0512</v>
      </c>
      <c r="BA336" s="3">
        <v>8</v>
      </c>
      <c r="BB336" t="str">
        <v>P/Final</v>
      </c>
      <c r="BC336">
        <v>35</v>
      </c>
      <c r="BD336" s="10">
        <v>38.200000000000003</v>
      </c>
      <c r="BE336" s="10">
        <v>0</v>
      </c>
      <c r="BF336" s="10">
        <v>0</v>
      </c>
      <c r="BG336" s="13">
        <v>45376</v>
      </c>
    </row>
    <row r="337" spans="49:59" x14ac:dyDescent="0.3">
      <c r="AW337" s="1">
        <v>8.1</v>
      </c>
      <c r="AX337" s="1">
        <v>8.1</v>
      </c>
      <c r="AY337" t="str">
        <v>R080_HI782-0_0.0_LOT0512_PWW12.1_QC.xlsx</v>
      </c>
      <c r="AZ337" t="str">
        <v>LOT0512</v>
      </c>
      <c r="BA337" s="3">
        <v>8</v>
      </c>
      <c r="BB337" t="str">
        <v>P/Final</v>
      </c>
      <c r="BC337">
        <v>35</v>
      </c>
      <c r="BD337" s="10">
        <v>37.9</v>
      </c>
      <c r="BE337" s="10">
        <v>0</v>
      </c>
      <c r="BF337" s="10">
        <v>0</v>
      </c>
      <c r="BG337" s="13">
        <v>45376</v>
      </c>
    </row>
    <row r="338" spans="49:59" x14ac:dyDescent="0.3">
      <c r="AW338" s="1">
        <v>8.1</v>
      </c>
      <c r="AX338" s="1">
        <v>8.1</v>
      </c>
      <c r="AY338" t="str">
        <v>R080_HI782-0_0.0_LOT0512_PWW12.1_QC.xlsx</v>
      </c>
      <c r="AZ338" t="str">
        <v>LOT0512</v>
      </c>
      <c r="BA338" s="3">
        <v>8</v>
      </c>
      <c r="BB338" t="str">
        <v>P/Final</v>
      </c>
      <c r="BC338">
        <v>60</v>
      </c>
      <c r="BD338" s="10">
        <v>62.8</v>
      </c>
      <c r="BE338" s="10">
        <v>0</v>
      </c>
      <c r="BF338" s="10">
        <v>0</v>
      </c>
      <c r="BG338" s="13">
        <v>45376</v>
      </c>
    </row>
    <row r="339" spans="49:59" x14ac:dyDescent="0.3">
      <c r="AW339" s="1">
        <v>8.1</v>
      </c>
      <c r="AX339" s="1">
        <v>8.1</v>
      </c>
      <c r="AY339" t="str">
        <v>R080_HI782-0_0.0_LOT0512_PWW12.1_QC.xlsx</v>
      </c>
      <c r="AZ339" t="str">
        <v>LOT0512</v>
      </c>
      <c r="BA339" s="3">
        <v>8</v>
      </c>
      <c r="BB339" t="str">
        <v>P/Final</v>
      </c>
      <c r="BC339">
        <v>60</v>
      </c>
      <c r="BD339" s="10">
        <v>63.7</v>
      </c>
      <c r="BE339" s="10">
        <v>0</v>
      </c>
      <c r="BF339" s="10">
        <v>0</v>
      </c>
      <c r="BG339" s="13">
        <v>45376</v>
      </c>
    </row>
    <row r="340" spans="49:59" x14ac:dyDescent="0.3">
      <c r="AW340" s="1">
        <v>8.1</v>
      </c>
      <c r="AX340" s="1">
        <v>8.1</v>
      </c>
      <c r="AY340" t="str">
        <v>R080_HI782-0_0.0_LOT0512_PWW12.1_QC.xlsx</v>
      </c>
      <c r="AZ340" t="str">
        <v>LOT0512</v>
      </c>
      <c r="BA340" s="3">
        <v>8</v>
      </c>
      <c r="BB340" t="str">
        <v>P/Final</v>
      </c>
      <c r="BC340">
        <v>60</v>
      </c>
      <c r="BD340" s="10">
        <v>62.1</v>
      </c>
      <c r="BE340" s="10">
        <v>0</v>
      </c>
      <c r="BF340" s="10">
        <v>0</v>
      </c>
      <c r="BG340" s="13">
        <v>45376</v>
      </c>
    </row>
    <row r="341" spans="49:59" x14ac:dyDescent="0.3">
      <c r="AW341" s="1">
        <v>8.1</v>
      </c>
      <c r="AX341" s="1">
        <v>8.1</v>
      </c>
      <c r="AY341" t="str">
        <v>R080_HI782-0_0.0_LOT0512_PWW12.1_QC.xlsx</v>
      </c>
      <c r="AZ341" t="str">
        <v>LOT0512</v>
      </c>
      <c r="BA341" s="3">
        <v>8</v>
      </c>
      <c r="BB341" t="str">
        <v>P/Final</v>
      </c>
      <c r="BC341">
        <v>60</v>
      </c>
      <c r="BD341" s="10">
        <v>63.5</v>
      </c>
      <c r="BE341" s="10">
        <v>0</v>
      </c>
      <c r="BF341" s="10">
        <v>0</v>
      </c>
      <c r="BG341" s="13">
        <v>45376</v>
      </c>
    </row>
    <row r="342" spans="49:59" x14ac:dyDescent="0.3">
      <c r="AW342" s="1">
        <v>8.1</v>
      </c>
      <c r="AX342" s="1">
        <v>8.1</v>
      </c>
      <c r="AY342" t="str">
        <v>R080_HI782-0_0.0_LOT0512_PWW12.1_QC.xlsx</v>
      </c>
      <c r="AZ342" t="str">
        <v>LOT0512</v>
      </c>
      <c r="BA342" s="3">
        <v>8</v>
      </c>
      <c r="BB342" t="str">
        <v>P/Final</v>
      </c>
      <c r="BC342">
        <v>60</v>
      </c>
      <c r="BD342" s="10">
        <v>62.5</v>
      </c>
      <c r="BE342" s="10">
        <v>0</v>
      </c>
      <c r="BF342" s="10">
        <v>0</v>
      </c>
      <c r="BG342" s="13">
        <v>45376</v>
      </c>
    </row>
    <row r="343" spans="49:59" x14ac:dyDescent="0.3">
      <c r="AW343" s="1">
        <v>8.1</v>
      </c>
      <c r="AX343" s="1">
        <v>8.1</v>
      </c>
      <c r="AY343" t="str">
        <v>R080_HI782-0_0.0_LOT0512_PWW12.1_QC.xlsx</v>
      </c>
      <c r="AZ343" t="str">
        <v>LOT0512</v>
      </c>
      <c r="BA343" s="3">
        <v>8</v>
      </c>
      <c r="BB343" t="str">
        <v>P/Final</v>
      </c>
      <c r="BC343">
        <v>60</v>
      </c>
      <c r="BD343" s="10">
        <v>63.5</v>
      </c>
      <c r="BE343" s="10">
        <v>0</v>
      </c>
      <c r="BF343" s="10">
        <v>0</v>
      </c>
      <c r="BG343" s="13">
        <v>45376</v>
      </c>
    </row>
    <row r="344" spans="49:59" x14ac:dyDescent="0.3">
      <c r="AW344" s="1">
        <v>8.1</v>
      </c>
      <c r="AX344" s="1">
        <v>8.1</v>
      </c>
      <c r="AY344" t="str">
        <v>R080_HI782-0_0.0_LOT0512_PWW12.1_QC.xlsx</v>
      </c>
      <c r="AZ344" t="str">
        <v>LOT0512</v>
      </c>
      <c r="BA344" s="3">
        <v>8</v>
      </c>
      <c r="BB344" t="str">
        <v>P/Final</v>
      </c>
      <c r="BC344">
        <v>60</v>
      </c>
      <c r="BD344" s="10">
        <v>64.599999999999994</v>
      </c>
      <c r="BE344" s="10">
        <v>0</v>
      </c>
      <c r="BF344" s="10">
        <v>0</v>
      </c>
      <c r="BG344" s="13">
        <v>45376</v>
      </c>
    </row>
    <row r="345" spans="49:59" x14ac:dyDescent="0.3">
      <c r="AW345" s="1">
        <v>8.1</v>
      </c>
      <c r="AX345" s="1">
        <v>8.1</v>
      </c>
      <c r="AY345" t="str">
        <v>R080_HI782-0_0.0_LOT0512_PWW12.1_QC.xlsx</v>
      </c>
      <c r="AZ345" t="str">
        <v>LOT0512</v>
      </c>
      <c r="BA345" s="3">
        <v>8</v>
      </c>
      <c r="BB345" t="str">
        <v>P/Final</v>
      </c>
      <c r="BC345">
        <v>60</v>
      </c>
      <c r="BD345" s="10">
        <v>62.2</v>
      </c>
      <c r="BE345" s="10">
        <v>0</v>
      </c>
      <c r="BF345" s="10">
        <v>0</v>
      </c>
      <c r="BG345" s="13">
        <v>45376</v>
      </c>
    </row>
    <row r="346" spans="49:59" x14ac:dyDescent="0.3">
      <c r="AW346" s="1">
        <v>8.1</v>
      </c>
      <c r="AX346" s="1">
        <v>8.1</v>
      </c>
      <c r="AY346" t="str">
        <v>R080_HI782-0_0.0_LOT0512_PWW12.1_QC.xlsx</v>
      </c>
      <c r="AZ346" t="str">
        <v>LOT0512</v>
      </c>
      <c r="BA346" s="3">
        <v>8</v>
      </c>
      <c r="BB346" t="str">
        <v>P/Final</v>
      </c>
      <c r="BC346">
        <v>60</v>
      </c>
      <c r="BD346" s="10">
        <v>64.2</v>
      </c>
      <c r="BE346" s="10">
        <v>0</v>
      </c>
      <c r="BF346" s="10">
        <v>0</v>
      </c>
      <c r="BG346" s="13">
        <v>45376</v>
      </c>
    </row>
    <row r="347" spans="49:59" x14ac:dyDescent="0.3">
      <c r="AW347" s="1">
        <v>8.1</v>
      </c>
      <c r="AX347" s="1">
        <v>8.1</v>
      </c>
      <c r="AY347" t="str">
        <v>R080_HI782-0_0.0_LOT0512_PWW12.1_QC.xlsx</v>
      </c>
      <c r="AZ347" t="str">
        <v>LOT0512</v>
      </c>
      <c r="BA347" s="3">
        <v>8</v>
      </c>
      <c r="BB347" t="str">
        <v>P/Final</v>
      </c>
      <c r="BC347">
        <v>60</v>
      </c>
      <c r="BD347" s="10">
        <v>62.3</v>
      </c>
      <c r="BE347" s="10">
        <v>0</v>
      </c>
      <c r="BF347" s="10">
        <v>0</v>
      </c>
      <c r="BG347" s="13">
        <v>45376</v>
      </c>
    </row>
    <row r="348" spans="49:59" x14ac:dyDescent="0.3">
      <c r="AW348" s="1">
        <v>9.1</v>
      </c>
      <c r="AX348" s="1">
        <v>9.1</v>
      </c>
      <c r="AY348" t="str">
        <v>R080_HI782-0_0.0_LOT0548_PWW16.1_QC.xlsx</v>
      </c>
      <c r="AZ348" t="str">
        <v>LOT0548</v>
      </c>
      <c r="BA348" s="3">
        <v>9</v>
      </c>
      <c r="BB348" t="str">
        <v>P/Final</v>
      </c>
      <c r="BC348">
        <v>0</v>
      </c>
      <c r="BD348" s="10">
        <v>0</v>
      </c>
      <c r="BE348" s="10">
        <v>0</v>
      </c>
      <c r="BF348" s="10">
        <v>0</v>
      </c>
      <c r="BG348" s="13">
        <v>45400</v>
      </c>
    </row>
    <row r="349" spans="49:59" x14ac:dyDescent="0.3">
      <c r="AW349" s="1">
        <v>9.1</v>
      </c>
      <c r="AX349" s="1">
        <v>9.1</v>
      </c>
      <c r="AY349" t="str">
        <v>R080_HI782-0_0.0_LOT0548_PWW16.1_QC.xlsx</v>
      </c>
      <c r="AZ349" t="str">
        <v>LOT0548</v>
      </c>
      <c r="BA349" s="3">
        <v>9</v>
      </c>
      <c r="BB349" t="str">
        <v>P/Final</v>
      </c>
      <c r="BC349">
        <v>0</v>
      </c>
      <c r="BD349" s="10">
        <v>0</v>
      </c>
      <c r="BE349" s="10">
        <v>0</v>
      </c>
      <c r="BF349" s="10">
        <v>0</v>
      </c>
      <c r="BG349" s="13">
        <v>45400</v>
      </c>
    </row>
    <row r="350" spans="49:59" x14ac:dyDescent="0.3">
      <c r="AW350" s="1">
        <v>9.1</v>
      </c>
      <c r="AX350" s="1">
        <v>9.1</v>
      </c>
      <c r="AY350" t="str">
        <v>R080_HI782-0_0.0_LOT0548_PWW16.1_QC.xlsx</v>
      </c>
      <c r="AZ350" t="str">
        <v>LOT0548</v>
      </c>
      <c r="BA350" s="3">
        <v>9</v>
      </c>
      <c r="BB350" t="str">
        <v>P/Final</v>
      </c>
      <c r="BC350">
        <v>15</v>
      </c>
      <c r="BD350" s="10">
        <v>15.2</v>
      </c>
      <c r="BE350" s="10">
        <v>0</v>
      </c>
      <c r="BF350" s="10">
        <v>0</v>
      </c>
      <c r="BG350" s="13">
        <v>45400</v>
      </c>
    </row>
    <row r="351" spans="49:59" x14ac:dyDescent="0.3">
      <c r="AW351" s="1">
        <v>9.1</v>
      </c>
      <c r="AX351" s="1">
        <v>9.1</v>
      </c>
      <c r="AY351" t="str">
        <v>R080_HI782-0_0.0_LOT0548_PWW16.1_QC.xlsx</v>
      </c>
      <c r="AZ351" t="str">
        <v>LOT0548</v>
      </c>
      <c r="BA351" s="3">
        <v>9</v>
      </c>
      <c r="BB351" t="str">
        <v>P/Final</v>
      </c>
      <c r="BC351">
        <v>15</v>
      </c>
      <c r="BD351" s="10">
        <v>17.2</v>
      </c>
      <c r="BE351" s="10">
        <v>0</v>
      </c>
      <c r="BF351" s="10">
        <v>0</v>
      </c>
      <c r="BG351" s="13">
        <v>45400</v>
      </c>
    </row>
    <row r="352" spans="49:59" x14ac:dyDescent="0.3">
      <c r="AW352" s="1">
        <v>9.1</v>
      </c>
      <c r="AX352" s="1">
        <v>9.1</v>
      </c>
      <c r="AY352" t="str">
        <v>R080_HI782-0_0.0_LOT0548_PWW16.1_QC.xlsx</v>
      </c>
      <c r="AZ352" t="str">
        <v>LOT0548</v>
      </c>
      <c r="BA352" s="3">
        <v>9</v>
      </c>
      <c r="BB352" t="str">
        <v>P/Final</v>
      </c>
      <c r="BC352">
        <v>15</v>
      </c>
      <c r="BD352" s="10">
        <v>17.399999999999999</v>
      </c>
      <c r="BE352" s="10">
        <v>0</v>
      </c>
      <c r="BF352" s="10">
        <v>0</v>
      </c>
      <c r="BG352" s="13">
        <v>45400</v>
      </c>
    </row>
    <row r="353" spans="49:59" x14ac:dyDescent="0.3">
      <c r="AW353" s="1">
        <v>9.1</v>
      </c>
      <c r="AX353" s="1">
        <v>9.1</v>
      </c>
      <c r="AY353" t="str">
        <v>R080_HI782-0_0.0_LOT0548_PWW16.1_QC.xlsx</v>
      </c>
      <c r="AZ353" t="str">
        <v>LOT0548</v>
      </c>
      <c r="BA353" s="3">
        <v>9</v>
      </c>
      <c r="BB353" t="str">
        <v>P/Final</v>
      </c>
      <c r="BC353">
        <v>15</v>
      </c>
      <c r="BD353" s="10">
        <v>17</v>
      </c>
      <c r="BE353" s="10">
        <v>0</v>
      </c>
      <c r="BF353" s="10">
        <v>0</v>
      </c>
      <c r="BG353" s="13">
        <v>45400</v>
      </c>
    </row>
    <row r="354" spans="49:59" x14ac:dyDescent="0.3">
      <c r="AW354" s="1">
        <v>9.1</v>
      </c>
      <c r="AX354" s="1">
        <v>9.1</v>
      </c>
      <c r="AY354" t="str">
        <v>R080_HI782-0_0.0_LOT0548_PWW16.1_QC.xlsx</v>
      </c>
      <c r="AZ354" t="str">
        <v>LOT0548</v>
      </c>
      <c r="BA354" s="3">
        <v>9</v>
      </c>
      <c r="BB354" t="str">
        <v>P/Final</v>
      </c>
      <c r="BC354">
        <v>15</v>
      </c>
      <c r="BD354" s="10">
        <v>17.5</v>
      </c>
      <c r="BE354" s="10">
        <v>0</v>
      </c>
      <c r="BF354" s="10">
        <v>0</v>
      </c>
      <c r="BG354" s="13">
        <v>45400</v>
      </c>
    </row>
    <row r="355" spans="49:59" x14ac:dyDescent="0.3">
      <c r="AW355" s="1">
        <v>9.1</v>
      </c>
      <c r="AX355" s="1">
        <v>9.1</v>
      </c>
      <c r="AY355" t="str">
        <v>R080_HI782-0_0.0_LOT0548_PWW16.1_QC.xlsx</v>
      </c>
      <c r="AZ355" t="str">
        <v>LOT0548</v>
      </c>
      <c r="BA355" s="3">
        <v>9</v>
      </c>
      <c r="BB355" t="str">
        <v>P/Final</v>
      </c>
      <c r="BC355">
        <v>15</v>
      </c>
      <c r="BD355" s="10">
        <v>16.100000000000001</v>
      </c>
      <c r="BE355" s="10">
        <v>0</v>
      </c>
      <c r="BF355" s="10">
        <v>0</v>
      </c>
      <c r="BG355" s="13">
        <v>45400</v>
      </c>
    </row>
    <row r="356" spans="49:59" x14ac:dyDescent="0.3">
      <c r="AW356" s="1">
        <v>9.1</v>
      </c>
      <c r="AX356" s="1">
        <v>9.1</v>
      </c>
      <c r="AY356" t="str">
        <v>R080_HI782-0_0.0_LOT0548_PWW16.1_QC.xlsx</v>
      </c>
      <c r="AZ356" t="str">
        <v>LOT0548</v>
      </c>
      <c r="BA356" s="3">
        <v>9</v>
      </c>
      <c r="BB356" t="str">
        <v>P/Final</v>
      </c>
      <c r="BC356">
        <v>15</v>
      </c>
      <c r="BD356" s="10">
        <v>16.2</v>
      </c>
      <c r="BE356" s="10">
        <v>0</v>
      </c>
      <c r="BF356" s="10">
        <v>0</v>
      </c>
      <c r="BG356" s="13">
        <v>45400</v>
      </c>
    </row>
    <row r="357" spans="49:59" x14ac:dyDescent="0.3">
      <c r="AW357" s="1">
        <v>9.1</v>
      </c>
      <c r="AX357" s="1">
        <v>9.1</v>
      </c>
      <c r="AY357" t="str">
        <v>R080_HI782-0_0.0_LOT0548_PWW16.1_QC.xlsx</v>
      </c>
      <c r="AZ357" t="str">
        <v>LOT0548</v>
      </c>
      <c r="BA357" s="3">
        <v>9</v>
      </c>
      <c r="BB357" t="str">
        <v>P/Final</v>
      </c>
      <c r="BC357">
        <v>15</v>
      </c>
      <c r="BD357" s="10">
        <v>17.2</v>
      </c>
      <c r="BE357" s="10">
        <v>0</v>
      </c>
      <c r="BF357" s="10">
        <v>0</v>
      </c>
      <c r="BG357" s="13">
        <v>45400</v>
      </c>
    </row>
    <row r="358" spans="49:59" x14ac:dyDescent="0.3">
      <c r="AW358" s="1">
        <v>9.1</v>
      </c>
      <c r="AX358" s="1">
        <v>9.1</v>
      </c>
      <c r="AY358" t="str">
        <v>R080_HI782-0_0.0_LOT0548_PWW16.1_QC.xlsx</v>
      </c>
      <c r="AZ358" t="str">
        <v>LOT0548</v>
      </c>
      <c r="BA358" s="3">
        <v>9</v>
      </c>
      <c r="BB358" t="str">
        <v>P/Final</v>
      </c>
      <c r="BC358">
        <v>15</v>
      </c>
      <c r="BD358" s="10">
        <v>16.2</v>
      </c>
      <c r="BE358" s="10">
        <v>0</v>
      </c>
      <c r="BF358" s="10">
        <v>0</v>
      </c>
      <c r="BG358" s="13">
        <v>45400</v>
      </c>
    </row>
    <row r="359" spans="49:59" x14ac:dyDescent="0.3">
      <c r="AW359" s="1">
        <v>9.1</v>
      </c>
      <c r="AX359" s="1">
        <v>9.1</v>
      </c>
      <c r="AY359" t="str">
        <v>R080_HI782-0_0.0_LOT0548_PWW16.1_QC.xlsx</v>
      </c>
      <c r="AZ359" t="str">
        <v>LOT0548</v>
      </c>
      <c r="BA359" s="3">
        <v>9</v>
      </c>
      <c r="BB359" t="str">
        <v>P/Final</v>
      </c>
      <c r="BC359">
        <v>15</v>
      </c>
      <c r="BD359" s="10">
        <v>16.3</v>
      </c>
      <c r="BE359" s="10">
        <v>0</v>
      </c>
      <c r="BF359" s="10">
        <v>0</v>
      </c>
      <c r="BG359" s="13">
        <v>45400</v>
      </c>
    </row>
    <row r="360" spans="49:59" x14ac:dyDescent="0.3">
      <c r="AW360" s="1">
        <v>9.1</v>
      </c>
      <c r="AX360" s="1">
        <v>9.1</v>
      </c>
      <c r="AY360" t="str">
        <v>R080_HI782-0_0.0_LOT0548_PWW16.1_QC.xlsx</v>
      </c>
      <c r="AZ360" t="str">
        <v>LOT0548</v>
      </c>
      <c r="BA360" s="3">
        <v>9</v>
      </c>
      <c r="BB360" t="str">
        <v>P/Final</v>
      </c>
      <c r="BC360">
        <v>15</v>
      </c>
      <c r="BD360" s="10">
        <v>15.9</v>
      </c>
      <c r="BE360" s="10">
        <v>0</v>
      </c>
      <c r="BF360" s="10">
        <v>0</v>
      </c>
      <c r="BG360" s="13">
        <v>45400</v>
      </c>
    </row>
    <row r="361" spans="49:59" x14ac:dyDescent="0.3">
      <c r="AW361" s="1">
        <v>9.1</v>
      </c>
      <c r="AX361" s="1">
        <v>9.1</v>
      </c>
      <c r="AY361" t="str">
        <v>R080_HI782-0_0.0_LOT0548_PWW16.1_QC.xlsx</v>
      </c>
      <c r="AZ361" t="str">
        <v>LOT0548</v>
      </c>
      <c r="BA361" s="3">
        <v>9</v>
      </c>
      <c r="BB361" t="str">
        <v>P/Final</v>
      </c>
      <c r="BC361">
        <v>15</v>
      </c>
      <c r="BD361" s="10">
        <v>18</v>
      </c>
      <c r="BE361" s="10">
        <v>0</v>
      </c>
      <c r="BF361" s="10">
        <v>0</v>
      </c>
      <c r="BG361" s="13">
        <v>45400</v>
      </c>
    </row>
    <row r="362" spans="49:59" x14ac:dyDescent="0.3">
      <c r="AW362" s="1">
        <v>9.1</v>
      </c>
      <c r="AX362" s="1">
        <v>9.1</v>
      </c>
      <c r="AY362" t="str">
        <v>R080_HI782-0_0.0_LOT0548_PWW16.1_QC.xlsx</v>
      </c>
      <c r="AZ362" t="str">
        <v>LOT0548</v>
      </c>
      <c r="BA362" s="3">
        <v>9</v>
      </c>
      <c r="BB362" t="str">
        <v>P/Final</v>
      </c>
      <c r="BC362">
        <v>15</v>
      </c>
      <c r="BD362" s="10">
        <v>17</v>
      </c>
      <c r="BE362" s="10">
        <v>0</v>
      </c>
      <c r="BF362" s="10">
        <v>0</v>
      </c>
      <c r="BG362" s="13">
        <v>45400</v>
      </c>
    </row>
    <row r="363" spans="49:59" x14ac:dyDescent="0.3">
      <c r="AW363" s="1">
        <v>9.1</v>
      </c>
      <c r="AX363" s="1">
        <v>9.1</v>
      </c>
      <c r="AY363" t="str">
        <v>R080_HI782-0_0.0_LOT0548_PWW16.1_QC.xlsx</v>
      </c>
      <c r="AZ363" t="str">
        <v>LOT0548</v>
      </c>
      <c r="BA363" s="3">
        <v>9</v>
      </c>
      <c r="BB363" t="str">
        <v>P/Final</v>
      </c>
      <c r="BC363">
        <v>35</v>
      </c>
      <c r="BD363" s="10">
        <v>38.700000000000003</v>
      </c>
      <c r="BE363" s="10">
        <v>0</v>
      </c>
      <c r="BF363" s="10">
        <v>0</v>
      </c>
      <c r="BG363" s="13">
        <v>45400</v>
      </c>
    </row>
    <row r="364" spans="49:59" x14ac:dyDescent="0.3">
      <c r="AW364" s="1">
        <v>9.1</v>
      </c>
      <c r="AX364" s="1">
        <v>9.1</v>
      </c>
      <c r="AY364" t="str">
        <v>R080_HI782-0_0.0_LOT0548_PWW16.1_QC.xlsx</v>
      </c>
      <c r="AZ364" t="str">
        <v>LOT0548</v>
      </c>
      <c r="BA364" s="3">
        <v>9</v>
      </c>
      <c r="BB364" t="str">
        <v>P/Final</v>
      </c>
      <c r="BC364">
        <v>35</v>
      </c>
      <c r="BD364" s="10">
        <v>36.4</v>
      </c>
      <c r="BE364" s="10">
        <v>0</v>
      </c>
      <c r="BF364" s="10">
        <v>0</v>
      </c>
      <c r="BG364" s="13">
        <v>45400</v>
      </c>
    </row>
    <row r="365" spans="49:59" x14ac:dyDescent="0.3">
      <c r="AW365" s="1">
        <v>9.1</v>
      </c>
      <c r="AX365" s="1">
        <v>9.1</v>
      </c>
      <c r="AY365" t="str">
        <v>R080_HI782-0_0.0_LOT0548_PWW16.1_QC.xlsx</v>
      </c>
      <c r="AZ365" t="str">
        <v>LOT0548</v>
      </c>
      <c r="BA365" s="3">
        <v>9</v>
      </c>
      <c r="BB365" t="str">
        <v>P/Final</v>
      </c>
      <c r="BC365">
        <v>35</v>
      </c>
      <c r="BD365" s="10">
        <v>36.5</v>
      </c>
      <c r="BE365" s="10">
        <v>0</v>
      </c>
      <c r="BF365" s="10">
        <v>0</v>
      </c>
      <c r="BG365" s="13">
        <v>45400</v>
      </c>
    </row>
    <row r="366" spans="49:59" x14ac:dyDescent="0.3">
      <c r="AW366" s="1">
        <v>9.1</v>
      </c>
      <c r="AX366" s="1">
        <v>9.1</v>
      </c>
      <c r="AY366" t="str">
        <v>R080_HI782-0_0.0_LOT0548_PWW16.1_QC.xlsx</v>
      </c>
      <c r="AZ366" t="str">
        <v>LOT0548</v>
      </c>
      <c r="BA366" s="3">
        <v>9</v>
      </c>
      <c r="BB366" t="str">
        <v>P/Final</v>
      </c>
      <c r="BC366">
        <v>35</v>
      </c>
      <c r="BD366" s="10">
        <v>38</v>
      </c>
      <c r="BE366" s="10">
        <v>0</v>
      </c>
      <c r="BF366" s="10">
        <v>0</v>
      </c>
      <c r="BG366" s="13">
        <v>45400</v>
      </c>
    </row>
    <row r="367" spans="49:59" x14ac:dyDescent="0.3">
      <c r="AW367" s="1">
        <v>9.1</v>
      </c>
      <c r="AX367" s="1">
        <v>9.1</v>
      </c>
      <c r="AY367" t="str">
        <v>R080_HI782-0_0.0_LOT0548_PWW16.1_QC.xlsx</v>
      </c>
      <c r="AZ367" t="str">
        <v>LOT0548</v>
      </c>
      <c r="BA367" s="3">
        <v>9</v>
      </c>
      <c r="BB367" t="str">
        <v>P/Final</v>
      </c>
      <c r="BC367">
        <v>35</v>
      </c>
      <c r="BD367" s="10">
        <v>37.6</v>
      </c>
      <c r="BE367" s="10">
        <v>0</v>
      </c>
      <c r="BF367" s="10">
        <v>0</v>
      </c>
      <c r="BG367" s="13">
        <v>45400</v>
      </c>
    </row>
    <row r="368" spans="49:59" x14ac:dyDescent="0.3">
      <c r="AW368" s="1">
        <v>9.1</v>
      </c>
      <c r="AX368" s="1">
        <v>9.1</v>
      </c>
      <c r="AY368" t="str">
        <v>R080_HI782-0_0.0_LOT0548_PWW16.1_QC.xlsx</v>
      </c>
      <c r="AZ368" t="str">
        <v>LOT0548</v>
      </c>
      <c r="BA368" s="3">
        <v>9</v>
      </c>
      <c r="BB368" t="str">
        <v>P/Final</v>
      </c>
      <c r="BC368">
        <v>35</v>
      </c>
      <c r="BD368" s="10">
        <v>38.6</v>
      </c>
      <c r="BE368" s="10">
        <v>0</v>
      </c>
      <c r="BF368" s="10">
        <v>0</v>
      </c>
      <c r="BG368" s="13">
        <v>45400</v>
      </c>
    </row>
    <row r="369" spans="49:59" x14ac:dyDescent="0.3">
      <c r="AW369" s="1">
        <v>9.1</v>
      </c>
      <c r="AX369" s="1">
        <v>9.1</v>
      </c>
      <c r="AY369" t="str">
        <v>R080_HI782-0_0.0_LOT0548_PWW16.1_QC.xlsx</v>
      </c>
      <c r="AZ369" t="str">
        <v>LOT0548</v>
      </c>
      <c r="BA369" s="3">
        <v>9</v>
      </c>
      <c r="BB369" t="str">
        <v>P/Final</v>
      </c>
      <c r="BC369">
        <v>35</v>
      </c>
      <c r="BD369" s="10">
        <v>38.6</v>
      </c>
      <c r="BE369" s="10">
        <v>0</v>
      </c>
      <c r="BF369" s="10">
        <v>0</v>
      </c>
      <c r="BG369" s="13">
        <v>45400</v>
      </c>
    </row>
    <row r="370" spans="49:59" x14ac:dyDescent="0.3">
      <c r="AW370" s="1">
        <v>9.1</v>
      </c>
      <c r="AX370" s="1">
        <v>9.1</v>
      </c>
      <c r="AY370" t="str">
        <v>R080_HI782-0_0.0_LOT0548_PWW16.1_QC.xlsx</v>
      </c>
      <c r="AZ370" t="str">
        <v>LOT0548</v>
      </c>
      <c r="BA370" s="3">
        <v>9</v>
      </c>
      <c r="BB370" t="str">
        <v>P/Final</v>
      </c>
      <c r="BC370">
        <v>35</v>
      </c>
      <c r="BD370" s="10">
        <v>35.5</v>
      </c>
      <c r="BE370" s="10">
        <v>0</v>
      </c>
      <c r="BF370" s="10">
        <v>0</v>
      </c>
      <c r="BG370" s="13">
        <v>45400</v>
      </c>
    </row>
    <row r="371" spans="49:59" x14ac:dyDescent="0.3">
      <c r="AW371" s="1">
        <v>9.1</v>
      </c>
      <c r="AX371" s="1">
        <v>9.1</v>
      </c>
      <c r="AY371" t="str">
        <v>R080_HI782-0_0.0_LOT0548_PWW16.1_QC.xlsx</v>
      </c>
      <c r="AZ371" t="str">
        <v>LOT0548</v>
      </c>
      <c r="BA371" s="3">
        <v>9</v>
      </c>
      <c r="BB371" t="str">
        <v>P/Final</v>
      </c>
      <c r="BC371">
        <v>35</v>
      </c>
      <c r="BD371" s="10">
        <v>37.799999999999997</v>
      </c>
      <c r="BE371" s="10">
        <v>0</v>
      </c>
      <c r="BF371" s="10">
        <v>0</v>
      </c>
      <c r="BG371" s="13">
        <v>45400</v>
      </c>
    </row>
    <row r="372" spans="49:59" x14ac:dyDescent="0.3">
      <c r="AW372" s="1">
        <v>9.1</v>
      </c>
      <c r="AX372" s="1">
        <v>9.1</v>
      </c>
      <c r="AY372" t="str">
        <v>R080_HI782-0_0.0_LOT0548_PWW16.1_QC.xlsx</v>
      </c>
      <c r="AZ372" t="str">
        <v>LOT0548</v>
      </c>
      <c r="BA372" s="3">
        <v>9</v>
      </c>
      <c r="BB372" t="str">
        <v>P/Final</v>
      </c>
      <c r="BC372">
        <v>35</v>
      </c>
      <c r="BD372" s="10">
        <v>36</v>
      </c>
      <c r="BE372" s="10">
        <v>0</v>
      </c>
      <c r="BF372" s="10">
        <v>0</v>
      </c>
      <c r="BG372" s="13">
        <v>45400</v>
      </c>
    </row>
    <row r="373" spans="49:59" x14ac:dyDescent="0.3">
      <c r="AW373" s="1">
        <v>9.1</v>
      </c>
      <c r="AX373" s="1">
        <v>9.1</v>
      </c>
      <c r="AY373" t="str">
        <v>R080_HI782-0_0.0_LOT0548_PWW16.1_QC.xlsx</v>
      </c>
      <c r="AZ373" t="str">
        <v>LOT0548</v>
      </c>
      <c r="BA373" s="3">
        <v>9</v>
      </c>
      <c r="BB373" t="str">
        <v>P/Final</v>
      </c>
      <c r="BC373">
        <v>35</v>
      </c>
      <c r="BD373" s="10">
        <v>37</v>
      </c>
      <c r="BE373" s="10">
        <v>0</v>
      </c>
      <c r="BF373" s="10">
        <v>0</v>
      </c>
      <c r="BG373" s="13">
        <v>45400</v>
      </c>
    </row>
    <row r="374" spans="49:59" x14ac:dyDescent="0.3">
      <c r="AW374" s="1">
        <v>9.1</v>
      </c>
      <c r="AX374" s="1">
        <v>9.1</v>
      </c>
      <c r="AY374" t="str">
        <v>R080_HI782-0_0.0_LOT0548_PWW16.1_QC.xlsx</v>
      </c>
      <c r="AZ374" t="str">
        <v>LOT0548</v>
      </c>
      <c r="BA374" s="3">
        <v>9</v>
      </c>
      <c r="BB374" t="str">
        <v>P/Final</v>
      </c>
      <c r="BC374">
        <v>35</v>
      </c>
      <c r="BD374" s="10">
        <v>38.5</v>
      </c>
      <c r="BE374" s="10">
        <v>0</v>
      </c>
      <c r="BF374" s="10">
        <v>0</v>
      </c>
      <c r="BG374" s="13">
        <v>45400</v>
      </c>
    </row>
    <row r="375" spans="49:59" x14ac:dyDescent="0.3">
      <c r="AW375" s="1">
        <v>9.1</v>
      </c>
      <c r="AX375" s="1">
        <v>9.1</v>
      </c>
      <c r="AY375" t="str">
        <v>R080_HI782-0_0.0_LOT0548_PWW16.1_QC.xlsx</v>
      </c>
      <c r="AZ375" t="str">
        <v>LOT0548</v>
      </c>
      <c r="BA375" s="3">
        <v>9</v>
      </c>
      <c r="BB375" t="str">
        <v>P/Final</v>
      </c>
      <c r="BC375">
        <v>35</v>
      </c>
      <c r="BD375" s="10">
        <v>38.1</v>
      </c>
      <c r="BE375" s="10">
        <v>0</v>
      </c>
      <c r="BF375" s="10">
        <v>0</v>
      </c>
      <c r="BG375" s="13">
        <v>45400</v>
      </c>
    </row>
    <row r="376" spans="49:59" x14ac:dyDescent="0.3">
      <c r="AW376" s="1">
        <v>9.1</v>
      </c>
      <c r="AX376" s="1">
        <v>9.1</v>
      </c>
      <c r="AY376" t="str">
        <v>R080_HI782-0_0.0_LOT0548_PWW16.1_QC.xlsx</v>
      </c>
      <c r="AZ376" t="str">
        <v>LOT0548</v>
      </c>
      <c r="BA376" s="3">
        <v>9</v>
      </c>
      <c r="BB376" t="str">
        <v>P/Final</v>
      </c>
      <c r="BC376">
        <v>35</v>
      </c>
      <c r="BD376" s="10">
        <v>37.200000000000003</v>
      </c>
      <c r="BE376" s="10">
        <v>0</v>
      </c>
      <c r="BF376" s="10">
        <v>0</v>
      </c>
      <c r="BG376" s="13">
        <v>45400</v>
      </c>
    </row>
    <row r="377" spans="49:59" x14ac:dyDescent="0.3">
      <c r="AW377" s="1">
        <v>9.1</v>
      </c>
      <c r="AX377" s="1">
        <v>9.1</v>
      </c>
      <c r="AY377" t="str">
        <v>R080_HI782-0_0.0_LOT0548_PWW16.1_QC.xlsx</v>
      </c>
      <c r="AZ377" t="str">
        <v>LOT0548</v>
      </c>
      <c r="BA377" s="3">
        <v>9</v>
      </c>
      <c r="BB377" t="str">
        <v>P/Final</v>
      </c>
      <c r="BC377">
        <v>35</v>
      </c>
      <c r="BD377" s="10">
        <v>37.9</v>
      </c>
      <c r="BE377" s="10">
        <v>0</v>
      </c>
      <c r="BF377" s="10">
        <v>0</v>
      </c>
      <c r="BG377" s="13">
        <v>45400</v>
      </c>
    </row>
    <row r="378" spans="49:59" x14ac:dyDescent="0.3">
      <c r="AW378" s="1">
        <v>9.1</v>
      </c>
      <c r="AX378" s="1">
        <v>9.1</v>
      </c>
      <c r="AY378" t="str">
        <v>R080_HI782-0_0.0_LOT0548_PWW16.1_QC.xlsx</v>
      </c>
      <c r="AZ378" t="str">
        <v>LOT0548</v>
      </c>
      <c r="BA378" s="3">
        <v>9</v>
      </c>
      <c r="BB378" t="str">
        <v>P/Final</v>
      </c>
      <c r="BC378">
        <v>35</v>
      </c>
      <c r="BD378" s="10">
        <v>38</v>
      </c>
      <c r="BE378" s="10">
        <v>0</v>
      </c>
      <c r="BF378" s="10">
        <v>0</v>
      </c>
      <c r="BG378" s="13">
        <v>45400</v>
      </c>
    </row>
    <row r="379" spans="49:59" x14ac:dyDescent="0.3">
      <c r="AW379" s="1">
        <v>9.1</v>
      </c>
      <c r="AX379" s="1">
        <v>9.1</v>
      </c>
      <c r="AY379" t="str">
        <v>R080_HI782-0_0.0_LOT0548_PWW16.1_QC.xlsx</v>
      </c>
      <c r="AZ379" t="str">
        <v>LOT0548</v>
      </c>
      <c r="BA379" s="3">
        <v>9</v>
      </c>
      <c r="BB379" t="str">
        <v>P/Final</v>
      </c>
      <c r="BC379">
        <v>35</v>
      </c>
      <c r="BD379" s="10">
        <v>38.700000000000003</v>
      </c>
      <c r="BE379" s="10">
        <v>0</v>
      </c>
      <c r="BF379" s="10">
        <v>0</v>
      </c>
      <c r="BG379" s="13">
        <v>45400</v>
      </c>
    </row>
    <row r="380" spans="49:59" x14ac:dyDescent="0.3">
      <c r="AW380" s="1">
        <v>9.1</v>
      </c>
      <c r="AX380" s="1">
        <v>9.1</v>
      </c>
      <c r="AY380" t="str">
        <v>R080_HI782-0_0.0_LOT0548_PWW16.1_QC.xlsx</v>
      </c>
      <c r="AZ380" t="str">
        <v>LOT0548</v>
      </c>
      <c r="BA380" s="3">
        <v>9</v>
      </c>
      <c r="BB380" t="str">
        <v>P/Final</v>
      </c>
      <c r="BC380">
        <v>35</v>
      </c>
      <c r="BD380" s="10">
        <v>38.700000000000003</v>
      </c>
      <c r="BE380" s="10">
        <v>0</v>
      </c>
      <c r="BF380" s="10">
        <v>0</v>
      </c>
      <c r="BG380" s="13">
        <v>45400</v>
      </c>
    </row>
    <row r="381" spans="49:59" x14ac:dyDescent="0.3">
      <c r="AW381" s="1">
        <v>9.1</v>
      </c>
      <c r="AX381" s="1">
        <v>9.1</v>
      </c>
      <c r="AY381" t="str">
        <v>R080_HI782-0_0.0_LOT0548_PWW16.1_QC.xlsx</v>
      </c>
      <c r="AZ381" t="str">
        <v>LOT0548</v>
      </c>
      <c r="BA381" s="3">
        <v>9</v>
      </c>
      <c r="BB381" t="str">
        <v>P/Final</v>
      </c>
      <c r="BC381">
        <v>60</v>
      </c>
      <c r="BD381" s="10">
        <v>62.6</v>
      </c>
      <c r="BE381" s="10">
        <v>0</v>
      </c>
      <c r="BF381" s="10">
        <v>0</v>
      </c>
      <c r="BG381" s="13">
        <v>45400</v>
      </c>
    </row>
    <row r="382" spans="49:59" x14ac:dyDescent="0.3">
      <c r="AW382" s="1">
        <v>9.1</v>
      </c>
      <c r="AX382" s="1">
        <v>9.1</v>
      </c>
      <c r="AY382" t="str">
        <v>R080_HI782-0_0.0_LOT0548_PWW16.1_QC.xlsx</v>
      </c>
      <c r="AZ382" t="str">
        <v>LOT0548</v>
      </c>
      <c r="BA382" s="3">
        <v>9</v>
      </c>
      <c r="BB382" t="str">
        <v>P/Final</v>
      </c>
      <c r="BC382">
        <v>60</v>
      </c>
      <c r="BD382" s="10">
        <v>60.3</v>
      </c>
      <c r="BE382" s="10">
        <v>0</v>
      </c>
      <c r="BF382" s="10">
        <v>0</v>
      </c>
      <c r="BG382" s="13">
        <v>45400</v>
      </c>
    </row>
    <row r="383" spans="49:59" x14ac:dyDescent="0.3">
      <c r="AW383" s="1">
        <v>9.1</v>
      </c>
      <c r="AX383" s="1">
        <v>9.1</v>
      </c>
      <c r="AY383" t="str">
        <v>R080_HI782-0_0.0_LOT0548_PWW16.1_QC.xlsx</v>
      </c>
      <c r="AZ383" t="str">
        <v>LOT0548</v>
      </c>
      <c r="BA383" s="3">
        <v>9</v>
      </c>
      <c r="BB383" t="str">
        <v>P/Final</v>
      </c>
      <c r="BC383">
        <v>60</v>
      </c>
      <c r="BD383" s="10">
        <v>62.8</v>
      </c>
      <c r="BE383" s="10">
        <v>0</v>
      </c>
      <c r="BF383" s="10">
        <v>0</v>
      </c>
      <c r="BG383" s="13">
        <v>45400</v>
      </c>
    </row>
    <row r="384" spans="49:59" x14ac:dyDescent="0.3">
      <c r="AW384" s="1">
        <v>9.1</v>
      </c>
      <c r="AX384" s="1">
        <v>9.1</v>
      </c>
      <c r="AY384" t="str">
        <v>R080_HI782-0_0.0_LOT0548_PWW16.1_QC.xlsx</v>
      </c>
      <c r="AZ384" t="str">
        <v>LOT0548</v>
      </c>
      <c r="BA384" s="3">
        <v>9</v>
      </c>
      <c r="BB384" t="str">
        <v>P/Final</v>
      </c>
      <c r="BC384">
        <v>60</v>
      </c>
      <c r="BD384" s="10">
        <v>59.8</v>
      </c>
      <c r="BE384" s="10">
        <v>0</v>
      </c>
      <c r="BF384" s="10">
        <v>0</v>
      </c>
      <c r="BG384" s="13">
        <v>45400</v>
      </c>
    </row>
    <row r="385" spans="49:59" x14ac:dyDescent="0.3">
      <c r="AW385" s="1">
        <v>9.1</v>
      </c>
      <c r="AX385" s="1">
        <v>9.1</v>
      </c>
      <c r="AY385" t="str">
        <v>R080_HI782-0_0.0_LOT0548_PWW16.1_QC.xlsx</v>
      </c>
      <c r="AZ385" t="str">
        <v>LOT0548</v>
      </c>
      <c r="BA385" s="3">
        <v>9</v>
      </c>
      <c r="BB385" t="str">
        <v>P/Final</v>
      </c>
      <c r="BC385">
        <v>60</v>
      </c>
      <c r="BD385" s="10">
        <v>62.3</v>
      </c>
      <c r="BE385" s="10">
        <v>0</v>
      </c>
      <c r="BF385" s="10">
        <v>0</v>
      </c>
      <c r="BG385" s="13">
        <v>45400</v>
      </c>
    </row>
    <row r="386" spans="49:59" x14ac:dyDescent="0.3">
      <c r="AW386" s="1">
        <v>9.1</v>
      </c>
      <c r="AX386" s="1">
        <v>9.1</v>
      </c>
      <c r="AY386" t="str">
        <v>R080_HI782-0_0.0_LOT0548_PWW16.1_QC.xlsx</v>
      </c>
      <c r="AZ386" t="str">
        <v>LOT0548</v>
      </c>
      <c r="BA386" s="3">
        <v>9</v>
      </c>
      <c r="BB386" t="str">
        <v>P/Final</v>
      </c>
      <c r="BC386">
        <v>60</v>
      </c>
      <c r="BD386" s="10">
        <v>62.4</v>
      </c>
      <c r="BE386" s="10">
        <v>0</v>
      </c>
      <c r="BF386" s="10">
        <v>0</v>
      </c>
      <c r="BG386" s="13">
        <v>45400</v>
      </c>
    </row>
    <row r="387" spans="49:59" x14ac:dyDescent="0.3">
      <c r="AW387" s="1">
        <v>9.1</v>
      </c>
      <c r="AX387" s="1">
        <v>9.1</v>
      </c>
      <c r="AY387" t="str">
        <v>R080_HI782-0_0.0_LOT0548_PWW16.1_QC.xlsx</v>
      </c>
      <c r="AZ387" t="str">
        <v>LOT0548</v>
      </c>
      <c r="BA387" s="3">
        <v>9</v>
      </c>
      <c r="BB387" t="str">
        <v>P/Final</v>
      </c>
      <c r="BC387">
        <v>60</v>
      </c>
      <c r="BD387" s="10">
        <v>61.5</v>
      </c>
      <c r="BE387" s="10">
        <v>0</v>
      </c>
      <c r="BF387" s="10">
        <v>0</v>
      </c>
      <c r="BG387" s="13">
        <v>45400</v>
      </c>
    </row>
    <row r="388" spans="49:59" x14ac:dyDescent="0.3">
      <c r="AW388" s="1">
        <v>9.1</v>
      </c>
      <c r="AX388" s="1">
        <v>9.1</v>
      </c>
      <c r="AY388" t="str">
        <v>R080_HI782-0_0.0_LOT0548_PWW16.1_QC.xlsx</v>
      </c>
      <c r="AZ388" t="str">
        <v>LOT0548</v>
      </c>
      <c r="BA388" s="3">
        <v>9</v>
      </c>
      <c r="BB388" t="str">
        <v>P/Final</v>
      </c>
      <c r="BC388">
        <v>60</v>
      </c>
      <c r="BD388" s="10">
        <v>61.4</v>
      </c>
      <c r="BE388" s="10">
        <v>0</v>
      </c>
      <c r="BF388" s="10">
        <v>0</v>
      </c>
      <c r="BG388" s="13">
        <v>45400</v>
      </c>
    </row>
    <row r="389" spans="49:59" x14ac:dyDescent="0.3">
      <c r="AW389" s="1">
        <v>9.1</v>
      </c>
      <c r="AX389" s="1">
        <v>9.1</v>
      </c>
      <c r="AY389" t="str">
        <v>R080_HI782-0_0.0_LOT0548_PWW16.1_QC.xlsx</v>
      </c>
      <c r="AZ389" t="str">
        <v>LOT0548</v>
      </c>
      <c r="BA389" s="3">
        <v>9</v>
      </c>
      <c r="BB389" t="str">
        <v>P/Final</v>
      </c>
      <c r="BC389">
        <v>60</v>
      </c>
      <c r="BD389" s="10">
        <v>62.2</v>
      </c>
      <c r="BE389" s="10">
        <v>0</v>
      </c>
      <c r="BF389" s="10">
        <v>0</v>
      </c>
      <c r="BG389" s="13">
        <v>45400</v>
      </c>
    </row>
    <row r="390" spans="49:59" x14ac:dyDescent="0.3">
      <c r="AW390" s="1">
        <v>9.1</v>
      </c>
      <c r="AX390" s="1">
        <v>9.1</v>
      </c>
      <c r="AY390" t="str">
        <v>R080_HI782-0_0.0_LOT0548_PWW16.1_QC.xlsx</v>
      </c>
      <c r="AZ390" t="str">
        <v>LOT0548</v>
      </c>
      <c r="BA390" s="3">
        <v>9</v>
      </c>
      <c r="BB390" t="str">
        <v>P/Final</v>
      </c>
      <c r="BC390">
        <v>60</v>
      </c>
      <c r="BD390" s="10">
        <v>56.8</v>
      </c>
      <c r="BE390" s="10">
        <v>0</v>
      </c>
      <c r="BF390" s="10">
        <v>0</v>
      </c>
      <c r="BG390" s="13">
        <v>45400</v>
      </c>
    </row>
    <row r="391" spans="49:59" x14ac:dyDescent="0.3">
      <c r="AW391" s="1">
        <v>9.1</v>
      </c>
      <c r="AX391" s="1">
        <v>9.1</v>
      </c>
      <c r="AY391" t="str">
        <v>R080_HI782-0_0.0_LOT0548_PWW16.1_QC.xlsx</v>
      </c>
      <c r="AZ391" t="str">
        <v>LOT0548</v>
      </c>
      <c r="BA391" s="3">
        <v>9</v>
      </c>
      <c r="BB391" t="str">
        <v>P/Final</v>
      </c>
      <c r="BC391">
        <v>60</v>
      </c>
      <c r="BD391" s="10">
        <v>61.4</v>
      </c>
      <c r="BE391" s="10">
        <v>0</v>
      </c>
      <c r="BF391" s="10">
        <v>0</v>
      </c>
      <c r="BG391" s="13">
        <v>45400</v>
      </c>
    </row>
    <row r="392" spans="49:59" x14ac:dyDescent="0.3">
      <c r="AW392" s="1">
        <v>9.1</v>
      </c>
      <c r="AX392" s="1">
        <v>9.1</v>
      </c>
      <c r="AY392" t="str">
        <v>R080_HI782-0_0.0_LOT0548_PWW16.1_QC.xlsx</v>
      </c>
      <c r="AZ392" t="str">
        <v>LOT0548</v>
      </c>
      <c r="BA392" s="3">
        <v>9</v>
      </c>
      <c r="BB392" t="str">
        <v>P/Final</v>
      </c>
      <c r="BC392">
        <v>60</v>
      </c>
      <c r="BD392" s="10">
        <v>59.9</v>
      </c>
      <c r="BE392" s="10">
        <v>0</v>
      </c>
      <c r="BF392" s="10">
        <v>0</v>
      </c>
      <c r="BG392" s="13">
        <v>45400</v>
      </c>
    </row>
    <row r="393" spans="49:59" x14ac:dyDescent="0.3">
      <c r="AW393" s="1">
        <v>9.1</v>
      </c>
      <c r="AX393" s="1">
        <v>9.1</v>
      </c>
      <c r="AY393" t="str">
        <v>R080_HI782-0_0.0_LOT0548_PWW16.1_QC.xlsx</v>
      </c>
      <c r="AZ393" t="str">
        <v>LOT0548</v>
      </c>
      <c r="BA393" s="3">
        <v>9</v>
      </c>
      <c r="BB393" t="str">
        <v>P/Final</v>
      </c>
      <c r="BC393">
        <v>0</v>
      </c>
      <c r="BD393" s="10">
        <v>0</v>
      </c>
      <c r="BE393" s="10">
        <v>0</v>
      </c>
      <c r="BF393" s="10">
        <v>0</v>
      </c>
      <c r="BG393" s="13">
        <v>45401</v>
      </c>
    </row>
    <row r="394" spans="49:59" x14ac:dyDescent="0.3">
      <c r="AW394" s="1">
        <v>9.1</v>
      </c>
      <c r="AX394" s="1">
        <v>9.1</v>
      </c>
      <c r="AY394" t="str">
        <v>R080_HI782-0_0.0_LOT0548_PWW16.1_QC.xlsx</v>
      </c>
      <c r="AZ394" t="str">
        <v>LOT0548</v>
      </c>
      <c r="BA394" s="3">
        <v>9</v>
      </c>
      <c r="BB394" t="str">
        <v>P/Final</v>
      </c>
      <c r="BC394">
        <v>0</v>
      </c>
      <c r="BD394" s="10">
        <v>0</v>
      </c>
      <c r="BE394" s="10">
        <v>0</v>
      </c>
      <c r="BF394" s="10">
        <v>0</v>
      </c>
      <c r="BG394" s="13">
        <v>45401</v>
      </c>
    </row>
    <row r="395" spans="49:59" x14ac:dyDescent="0.3">
      <c r="AW395" s="1">
        <v>9.1</v>
      </c>
      <c r="AX395" s="1">
        <v>9.1</v>
      </c>
      <c r="AY395" t="str">
        <v>R080_HI782-0_0.0_LOT0548_PWW16.1_QC.xlsx</v>
      </c>
      <c r="AZ395" t="str">
        <v>LOT0548</v>
      </c>
      <c r="BA395" s="3">
        <v>9</v>
      </c>
      <c r="BB395" t="str">
        <v>P/Final</v>
      </c>
      <c r="BC395">
        <v>0</v>
      </c>
      <c r="BD395" s="10">
        <v>0</v>
      </c>
      <c r="BE395" s="10">
        <v>0</v>
      </c>
      <c r="BF395" s="10">
        <v>0</v>
      </c>
      <c r="BG395" s="13">
        <v>45401</v>
      </c>
    </row>
    <row r="396" spans="49:59" x14ac:dyDescent="0.3">
      <c r="AW396" s="1">
        <v>9.1</v>
      </c>
      <c r="AX396" s="1">
        <v>9.1</v>
      </c>
      <c r="AY396" t="str">
        <v>R080_HI782-0_0.0_LOT0548_PWW16.1_QC.xlsx</v>
      </c>
      <c r="AZ396" t="str">
        <v>LOT0548</v>
      </c>
      <c r="BA396" s="3">
        <v>9</v>
      </c>
      <c r="BB396" t="str">
        <v>P/Final</v>
      </c>
      <c r="BC396">
        <v>0</v>
      </c>
      <c r="BD396" s="10">
        <v>0</v>
      </c>
      <c r="BE396" s="10">
        <v>0</v>
      </c>
      <c r="BF396" s="10">
        <v>0</v>
      </c>
      <c r="BG396" s="13">
        <v>45401</v>
      </c>
    </row>
    <row r="397" spans="49:59" x14ac:dyDescent="0.3">
      <c r="AW397" s="1">
        <v>9.1</v>
      </c>
      <c r="AX397" s="1">
        <v>9.1</v>
      </c>
      <c r="AY397" t="str">
        <v>R080_HI782-0_0.0_LOT0548_PWW16.1_QC.xlsx</v>
      </c>
      <c r="AZ397" t="str">
        <v>LOT0548</v>
      </c>
      <c r="BA397" s="3">
        <v>9</v>
      </c>
      <c r="BB397" t="str">
        <v>P/Final</v>
      </c>
      <c r="BC397">
        <v>15</v>
      </c>
      <c r="BD397" s="10">
        <v>16.5</v>
      </c>
      <c r="BE397" s="10">
        <v>0</v>
      </c>
      <c r="BF397" s="10">
        <v>0</v>
      </c>
      <c r="BG397" s="13">
        <v>45401</v>
      </c>
    </row>
    <row r="398" spans="49:59" x14ac:dyDescent="0.3">
      <c r="AW398" s="1">
        <v>9.1</v>
      </c>
      <c r="AX398" s="1">
        <v>9.1</v>
      </c>
      <c r="AY398" t="str">
        <v>R080_HI782-0_0.0_LOT0548_PWW16.1_QC.xlsx</v>
      </c>
      <c r="AZ398" t="str">
        <v>LOT0548</v>
      </c>
      <c r="BA398" s="3">
        <v>9</v>
      </c>
      <c r="BB398" t="str">
        <v>P/Final</v>
      </c>
      <c r="BC398">
        <v>15</v>
      </c>
      <c r="BD398" s="10">
        <v>15.5</v>
      </c>
      <c r="BE398" s="10">
        <v>0</v>
      </c>
      <c r="BF398" s="10">
        <v>0</v>
      </c>
      <c r="BG398" s="13">
        <v>45401</v>
      </c>
    </row>
    <row r="399" spans="49:59" x14ac:dyDescent="0.3">
      <c r="AW399" s="1">
        <v>9.1</v>
      </c>
      <c r="AX399" s="1">
        <v>9.1</v>
      </c>
      <c r="AY399" t="str">
        <v>R080_HI782-0_0.0_LOT0548_PWW16.1_QC.xlsx</v>
      </c>
      <c r="AZ399" t="str">
        <v>LOT0548</v>
      </c>
      <c r="BA399" s="3">
        <v>9</v>
      </c>
      <c r="BB399" t="str">
        <v>P/Final</v>
      </c>
      <c r="BC399">
        <v>15</v>
      </c>
      <c r="BD399" s="10">
        <v>16.2</v>
      </c>
      <c r="BE399" s="10">
        <v>0</v>
      </c>
      <c r="BF399" s="10">
        <v>0</v>
      </c>
      <c r="BG399" s="13">
        <v>45401</v>
      </c>
    </row>
    <row r="400" spans="49:59" x14ac:dyDescent="0.3">
      <c r="AW400" s="1">
        <v>9.1</v>
      </c>
      <c r="AX400" s="1">
        <v>9.1</v>
      </c>
      <c r="AY400" t="str">
        <v>R080_HI782-0_0.0_LOT0548_PWW16.1_QC.xlsx</v>
      </c>
      <c r="AZ400" t="str">
        <v>LOT0548</v>
      </c>
      <c r="BA400" s="3">
        <v>9</v>
      </c>
      <c r="BB400" t="str">
        <v>P/Final</v>
      </c>
      <c r="BC400">
        <v>15</v>
      </c>
      <c r="BD400" s="10">
        <v>16.600000000000001</v>
      </c>
      <c r="BE400" s="10">
        <v>0</v>
      </c>
      <c r="BF400" s="10">
        <v>0</v>
      </c>
      <c r="BG400" s="13">
        <v>45401</v>
      </c>
    </row>
    <row r="401" spans="49:59" x14ac:dyDescent="0.3">
      <c r="AW401" s="1">
        <v>9.1</v>
      </c>
      <c r="AX401" s="1">
        <v>9.1</v>
      </c>
      <c r="AY401" t="str">
        <v>R080_HI782-0_0.0_LOT0548_PWW16.1_QC.xlsx</v>
      </c>
      <c r="AZ401" t="str">
        <v>LOT0548</v>
      </c>
      <c r="BA401" s="3">
        <v>9</v>
      </c>
      <c r="BB401" t="str">
        <v>P/Final</v>
      </c>
      <c r="BC401">
        <v>15</v>
      </c>
      <c r="BD401" s="10">
        <v>15.4</v>
      </c>
      <c r="BE401" s="10">
        <v>0</v>
      </c>
      <c r="BF401" s="10">
        <v>0</v>
      </c>
      <c r="BG401" s="13">
        <v>45401</v>
      </c>
    </row>
    <row r="402" spans="49:59" x14ac:dyDescent="0.3">
      <c r="AW402" s="1">
        <v>9.1</v>
      </c>
      <c r="AX402" s="1">
        <v>9.1</v>
      </c>
      <c r="AY402" t="str">
        <v>R080_HI782-0_0.0_LOT0548_PWW16.1_QC.xlsx</v>
      </c>
      <c r="AZ402" t="str">
        <v>LOT0548</v>
      </c>
      <c r="BA402" s="3">
        <v>9</v>
      </c>
      <c r="BB402" t="str">
        <v>P/Final</v>
      </c>
      <c r="BC402">
        <v>15</v>
      </c>
      <c r="BD402" s="10">
        <v>15.2</v>
      </c>
      <c r="BE402" s="10">
        <v>0</v>
      </c>
      <c r="BF402" s="10">
        <v>0</v>
      </c>
      <c r="BG402" s="13">
        <v>45401</v>
      </c>
    </row>
    <row r="403" spans="49:59" x14ac:dyDescent="0.3">
      <c r="AW403" s="1">
        <v>9.1</v>
      </c>
      <c r="AX403" s="1">
        <v>9.1</v>
      </c>
      <c r="AY403" t="str">
        <v>R080_HI782-0_0.0_LOT0548_PWW16.1_QC.xlsx</v>
      </c>
      <c r="AZ403" t="str">
        <v>LOT0548</v>
      </c>
      <c r="BA403" s="3">
        <v>9</v>
      </c>
      <c r="BB403" t="str">
        <v>P/Final</v>
      </c>
      <c r="BC403">
        <v>35</v>
      </c>
      <c r="BD403" s="10">
        <v>36</v>
      </c>
      <c r="BE403" s="10">
        <v>0</v>
      </c>
      <c r="BF403" s="10">
        <v>0</v>
      </c>
      <c r="BG403" s="13">
        <v>45401</v>
      </c>
    </row>
    <row r="404" spans="49:59" x14ac:dyDescent="0.3">
      <c r="AW404" s="1">
        <v>9.1</v>
      </c>
      <c r="AX404" s="1">
        <v>9.1</v>
      </c>
      <c r="AY404" t="str">
        <v>R080_HI782-0_0.0_LOT0548_PWW16.1_QC.xlsx</v>
      </c>
      <c r="AZ404" t="str">
        <v>LOT0548</v>
      </c>
      <c r="BA404" s="3">
        <v>9</v>
      </c>
      <c r="BB404" t="str">
        <v>P/Final</v>
      </c>
      <c r="BC404">
        <v>35</v>
      </c>
      <c r="BD404" s="10">
        <v>37.1</v>
      </c>
      <c r="BE404" s="10">
        <v>0</v>
      </c>
      <c r="BF404" s="10">
        <v>0</v>
      </c>
      <c r="BG404" s="13">
        <v>45401</v>
      </c>
    </row>
    <row r="405" spans="49:59" x14ac:dyDescent="0.3">
      <c r="AW405" s="1">
        <v>9.1</v>
      </c>
      <c r="AX405" s="1">
        <v>9.1</v>
      </c>
      <c r="AY405" t="str">
        <v>R080_HI782-0_0.0_LOT0548_PWW16.1_QC.xlsx</v>
      </c>
      <c r="AZ405" t="str">
        <v>LOT0548</v>
      </c>
      <c r="BA405" s="3">
        <v>9</v>
      </c>
      <c r="BB405" t="str">
        <v>P/Final</v>
      </c>
      <c r="BC405">
        <v>35</v>
      </c>
      <c r="BD405" s="10">
        <v>35.700000000000003</v>
      </c>
      <c r="BE405" s="10">
        <v>0</v>
      </c>
      <c r="BF405" s="10">
        <v>0</v>
      </c>
      <c r="BG405" s="13">
        <v>45401</v>
      </c>
    </row>
    <row r="406" spans="49:59" x14ac:dyDescent="0.3">
      <c r="AW406" s="1">
        <v>9.1</v>
      </c>
      <c r="AX406" s="1">
        <v>9.1</v>
      </c>
      <c r="AY406" t="str">
        <v>R080_HI782-0_0.0_LOT0548_PWW16.1_QC.xlsx</v>
      </c>
      <c r="AZ406" t="str">
        <v>LOT0548</v>
      </c>
      <c r="BA406" s="3">
        <v>9</v>
      </c>
      <c r="BB406" t="str">
        <v>P/Final</v>
      </c>
      <c r="BC406">
        <v>35</v>
      </c>
      <c r="BD406" s="10">
        <v>36.200000000000003</v>
      </c>
      <c r="BE406" s="10">
        <v>0</v>
      </c>
      <c r="BF406" s="10">
        <v>0</v>
      </c>
      <c r="BG406" s="13">
        <v>45401</v>
      </c>
    </row>
    <row r="407" spans="49:59" x14ac:dyDescent="0.3">
      <c r="AW407" s="1">
        <v>9.1</v>
      </c>
      <c r="AX407" s="1">
        <v>9.1</v>
      </c>
      <c r="AY407" t="str">
        <v>R080_HI782-0_0.0_LOT0548_PWW16.1_QC.xlsx</v>
      </c>
      <c r="AZ407" t="str">
        <v>LOT0548</v>
      </c>
      <c r="BA407" s="3">
        <v>9</v>
      </c>
      <c r="BB407" t="str">
        <v>P/Final</v>
      </c>
      <c r="BC407">
        <v>35</v>
      </c>
      <c r="BD407" s="10">
        <v>35.299999999999997</v>
      </c>
      <c r="BE407" s="10">
        <v>0</v>
      </c>
      <c r="BF407" s="10">
        <v>0</v>
      </c>
      <c r="BG407" s="13">
        <v>45401</v>
      </c>
    </row>
    <row r="408" spans="49:59" x14ac:dyDescent="0.3">
      <c r="AW408" s="1">
        <v>9.1</v>
      </c>
      <c r="AX408" s="1">
        <v>9.1</v>
      </c>
      <c r="AY408" t="str">
        <v>R080_HI782-0_0.0_LOT0548_PWW16.1_QC.xlsx</v>
      </c>
      <c r="AZ408" t="str">
        <v>LOT0548</v>
      </c>
      <c r="BA408" s="3">
        <v>9</v>
      </c>
      <c r="BB408" t="str">
        <v>P/Final</v>
      </c>
      <c r="BC408">
        <v>35</v>
      </c>
      <c r="BD408" s="10">
        <v>35.9</v>
      </c>
      <c r="BE408" s="10">
        <v>0</v>
      </c>
      <c r="BF408" s="10">
        <v>0</v>
      </c>
      <c r="BG408" s="13">
        <v>45401</v>
      </c>
    </row>
    <row r="409" spans="49:59" x14ac:dyDescent="0.3">
      <c r="AW409" s="1">
        <v>9.1</v>
      </c>
      <c r="AX409" s="1">
        <v>9.1</v>
      </c>
      <c r="AY409" t="str">
        <v>R080_HI782-0_0.0_LOT0548_PWW16.1_QC.xlsx</v>
      </c>
      <c r="AZ409" t="str">
        <v>LOT0548</v>
      </c>
      <c r="BA409" s="3">
        <v>9</v>
      </c>
      <c r="BB409" t="str">
        <v>P/Final</v>
      </c>
      <c r="BC409">
        <v>35</v>
      </c>
      <c r="BD409" s="10">
        <v>35.1</v>
      </c>
      <c r="BE409" s="10">
        <v>0</v>
      </c>
      <c r="BF409" s="10">
        <v>0</v>
      </c>
      <c r="BG409" s="13">
        <v>45401</v>
      </c>
    </row>
    <row r="410" spans="49:59" x14ac:dyDescent="0.3">
      <c r="AW410" s="1">
        <v>9.1</v>
      </c>
      <c r="AX410" s="1">
        <v>9.1</v>
      </c>
      <c r="AY410" t="str">
        <v>R080_HI782-0_0.0_LOT0548_PWW16.1_QC.xlsx</v>
      </c>
      <c r="AZ410" t="str">
        <v>LOT0548</v>
      </c>
      <c r="BA410" s="3">
        <v>9</v>
      </c>
      <c r="BB410" t="str">
        <v>P/Final</v>
      </c>
      <c r="BC410">
        <v>35</v>
      </c>
      <c r="BD410" s="10">
        <v>36.9</v>
      </c>
      <c r="BE410" s="10">
        <v>0</v>
      </c>
      <c r="BF410" s="10">
        <v>0</v>
      </c>
      <c r="BG410" s="13">
        <v>45401</v>
      </c>
    </row>
    <row r="411" spans="49:59" x14ac:dyDescent="0.3">
      <c r="AW411" s="1">
        <v>9.1</v>
      </c>
      <c r="AX411" s="1">
        <v>9.1</v>
      </c>
      <c r="AY411" t="str">
        <v>R080_HI782-0_0.0_LOT0548_PWW16.1_QC.xlsx</v>
      </c>
      <c r="AZ411" t="str">
        <v>LOT0548</v>
      </c>
      <c r="BA411" s="3">
        <v>9</v>
      </c>
      <c r="BB411" t="str">
        <v>P/Final</v>
      </c>
      <c r="BC411">
        <v>35</v>
      </c>
      <c r="BD411" s="10">
        <v>36.1</v>
      </c>
      <c r="BE411" s="10">
        <v>0</v>
      </c>
      <c r="BF411" s="10">
        <v>0</v>
      </c>
      <c r="BG411" s="13">
        <v>45401</v>
      </c>
    </row>
    <row r="412" spans="49:59" x14ac:dyDescent="0.3">
      <c r="AW412" s="1">
        <v>9.1</v>
      </c>
      <c r="AX412" s="1">
        <v>9.1</v>
      </c>
      <c r="AY412" t="str">
        <v>R080_HI782-0_0.0_LOT0548_PWW16.1_QC.xlsx</v>
      </c>
      <c r="AZ412" t="str">
        <v>LOT0548</v>
      </c>
      <c r="BA412" s="3">
        <v>9</v>
      </c>
      <c r="BB412" t="str">
        <v>P/Final</v>
      </c>
      <c r="BC412">
        <v>35</v>
      </c>
      <c r="BD412" s="10">
        <v>36.700000000000003</v>
      </c>
      <c r="BE412" s="10">
        <v>0</v>
      </c>
      <c r="BF412" s="10">
        <v>0</v>
      </c>
      <c r="BG412" s="13">
        <v>45401</v>
      </c>
    </row>
    <row r="413" spans="49:59" x14ac:dyDescent="0.3">
      <c r="AW413" s="1">
        <v>9.1</v>
      </c>
      <c r="AX413" s="1">
        <v>9.1</v>
      </c>
      <c r="AY413" t="str">
        <v>R080_HI782-0_0.0_LOT0548_PWW16.1_QC.xlsx</v>
      </c>
      <c r="AZ413" t="str">
        <v>LOT0548</v>
      </c>
      <c r="BA413" s="3">
        <v>9</v>
      </c>
      <c r="BB413" t="str">
        <v>P/Final</v>
      </c>
      <c r="BC413">
        <v>60</v>
      </c>
      <c r="BD413" s="10">
        <v>55.8</v>
      </c>
      <c r="BE413" s="10">
        <v>0</v>
      </c>
      <c r="BF413" s="10">
        <v>0</v>
      </c>
      <c r="BG413" s="13">
        <v>45401</v>
      </c>
    </row>
    <row r="414" spans="49:59" x14ac:dyDescent="0.3">
      <c r="AW414" s="1">
        <v>9.1</v>
      </c>
      <c r="AX414" s="1">
        <v>9.1</v>
      </c>
      <c r="AY414" t="str">
        <v>R080_HI782-0_0.0_LOT0548_PWW16.1_QC.xlsx</v>
      </c>
      <c r="AZ414" t="str">
        <v>LOT0548</v>
      </c>
      <c r="BA414" s="3">
        <v>9</v>
      </c>
      <c r="BB414" t="str">
        <v>P/Final</v>
      </c>
      <c r="BC414">
        <v>60</v>
      </c>
      <c r="BD414" s="10">
        <v>62.1</v>
      </c>
      <c r="BE414" s="10">
        <v>0</v>
      </c>
      <c r="BF414" s="10">
        <v>0</v>
      </c>
      <c r="BG414" s="13">
        <v>45401</v>
      </c>
    </row>
    <row r="415" spans="49:59" x14ac:dyDescent="0.3">
      <c r="AW415" s="1">
        <v>9.1</v>
      </c>
      <c r="AX415" s="1">
        <v>9.1</v>
      </c>
      <c r="AY415" t="str">
        <v>R080_HI782-0_0.0_LOT0548_PWW16.1_QC.xlsx</v>
      </c>
      <c r="AZ415" t="str">
        <v>LOT0548</v>
      </c>
      <c r="BA415" s="3">
        <v>9</v>
      </c>
      <c r="BB415" t="str">
        <v>P/Final</v>
      </c>
      <c r="BC415">
        <v>60</v>
      </c>
      <c r="BD415" s="10">
        <v>57.9</v>
      </c>
      <c r="BE415" s="10">
        <v>0</v>
      </c>
      <c r="BF415" s="10">
        <v>0</v>
      </c>
      <c r="BG415" s="13">
        <v>45401</v>
      </c>
    </row>
    <row r="416" spans="49:59" x14ac:dyDescent="0.3">
      <c r="AW416" s="1">
        <v>9.1</v>
      </c>
      <c r="AX416" s="1">
        <v>9.1</v>
      </c>
      <c r="AY416" t="str">
        <v>R080_HI782-0_0.0_LOT0548_PWW16.1_QC.xlsx</v>
      </c>
      <c r="AZ416" t="str">
        <v>LOT0548</v>
      </c>
      <c r="BA416" s="3">
        <v>9</v>
      </c>
      <c r="BB416" t="str">
        <v>P/Final</v>
      </c>
      <c r="BC416">
        <v>60</v>
      </c>
      <c r="BD416" s="10">
        <v>60.3</v>
      </c>
      <c r="BE416" s="10">
        <v>0</v>
      </c>
      <c r="BF416" s="10">
        <v>0</v>
      </c>
      <c r="BG416" s="13">
        <v>45401</v>
      </c>
    </row>
    <row r="417" spans="49:59" x14ac:dyDescent="0.3">
      <c r="AW417" s="1">
        <v>9.1</v>
      </c>
      <c r="AX417" s="1">
        <v>9.1</v>
      </c>
      <c r="AY417" t="str">
        <v>R080_HI782-0_0.0_LOT0548_PWW16.1_QC.xlsx</v>
      </c>
      <c r="AZ417" t="str">
        <v>LOT0548</v>
      </c>
      <c r="BA417" s="3">
        <v>9</v>
      </c>
      <c r="BB417" t="str">
        <v>P/Final</v>
      </c>
      <c r="BC417">
        <v>60</v>
      </c>
      <c r="BD417" s="10">
        <v>60.8</v>
      </c>
      <c r="BE417" s="10">
        <v>0</v>
      </c>
      <c r="BF417" s="10">
        <v>0</v>
      </c>
      <c r="BG417" s="13">
        <v>45401</v>
      </c>
    </row>
    <row r="418" spans="49:59" x14ac:dyDescent="0.3">
      <c r="AW418" s="1">
        <v>9.1</v>
      </c>
      <c r="AX418" s="1">
        <v>9.1</v>
      </c>
      <c r="AY418" t="str">
        <v>R080_HI782-0_0.0_LOT0548_PWW16.1_QC.xlsx</v>
      </c>
      <c r="AZ418" t="str">
        <v>LOT0548</v>
      </c>
      <c r="BA418" s="3">
        <v>9</v>
      </c>
      <c r="BB418" t="str">
        <v>P/Final</v>
      </c>
      <c r="BC418">
        <v>60</v>
      </c>
      <c r="BD418" s="10">
        <v>63.2</v>
      </c>
      <c r="BE418" s="10">
        <v>0</v>
      </c>
      <c r="BF418" s="10">
        <v>0</v>
      </c>
      <c r="BG418" s="13">
        <v>45401</v>
      </c>
    </row>
    <row r="419" spans="49:59" x14ac:dyDescent="0.3">
      <c r="AW419" s="1">
        <v>9.1</v>
      </c>
      <c r="AX419" s="1">
        <v>9.1</v>
      </c>
      <c r="AY419" t="str">
        <v>R080_HI782-0_0.0_LOT0548_PWW16.1_QC.xlsx</v>
      </c>
      <c r="AZ419" t="str">
        <v>LOT0548</v>
      </c>
      <c r="BA419" s="3">
        <v>9</v>
      </c>
      <c r="BB419" t="str">
        <v>P/Final</v>
      </c>
      <c r="BC419">
        <v>60</v>
      </c>
      <c r="BD419" s="10">
        <v>58.7</v>
      </c>
      <c r="BE419" s="10">
        <v>0</v>
      </c>
      <c r="BF419" s="10">
        <v>0</v>
      </c>
      <c r="BG419" s="13">
        <v>45401</v>
      </c>
    </row>
    <row r="420" spans="49:59" x14ac:dyDescent="0.3">
      <c r="AW420" s="1">
        <v>10.1</v>
      </c>
      <c r="AX420" s="1">
        <v>10.1</v>
      </c>
      <c r="AY420" t="str">
        <v>R080_HI782-0_0.0_LOT0550_PWW16.2_QC.xlsx</v>
      </c>
      <c r="AZ420" t="str">
        <v>LOT0550</v>
      </c>
      <c r="BA420" s="3">
        <v>10</v>
      </c>
      <c r="BB420" t="str">
        <v>P/Final</v>
      </c>
      <c r="BC420">
        <v>0</v>
      </c>
      <c r="BD420" s="10">
        <v>0</v>
      </c>
      <c r="BE420" s="10">
        <v>0</v>
      </c>
      <c r="BF420" s="10">
        <v>0</v>
      </c>
      <c r="BG420" s="13">
        <v>45406</v>
      </c>
    </row>
    <row r="421" spans="49:59" x14ac:dyDescent="0.3">
      <c r="AW421" s="1">
        <v>10.1</v>
      </c>
      <c r="AX421" s="1">
        <v>10.1</v>
      </c>
      <c r="AY421" t="str">
        <v>R080_HI782-0_0.0_LOT0550_PWW16.2_QC.xlsx</v>
      </c>
      <c r="AZ421" t="str">
        <v>LOT0550</v>
      </c>
      <c r="BA421" s="3">
        <v>10</v>
      </c>
      <c r="BB421" t="str">
        <v>P/Final</v>
      </c>
      <c r="BC421">
        <v>0</v>
      </c>
      <c r="BD421" s="10">
        <v>0</v>
      </c>
      <c r="BE421" s="10">
        <v>0</v>
      </c>
      <c r="BF421" s="10">
        <v>0</v>
      </c>
      <c r="BG421" s="13">
        <v>45406</v>
      </c>
    </row>
    <row r="422" spans="49:59" x14ac:dyDescent="0.3">
      <c r="AW422" s="1">
        <v>10.1</v>
      </c>
      <c r="AX422" s="1">
        <v>10.1</v>
      </c>
      <c r="AY422" t="str">
        <v>R080_HI782-0_0.0_LOT0550_PWW16.2_QC.xlsx</v>
      </c>
      <c r="AZ422" t="str">
        <v>LOT0550</v>
      </c>
      <c r="BA422" s="3">
        <v>10</v>
      </c>
      <c r="BB422" t="str">
        <v>P/Final</v>
      </c>
      <c r="BC422">
        <v>0</v>
      </c>
      <c r="BD422" s="10">
        <v>0</v>
      </c>
      <c r="BE422" s="10">
        <v>0</v>
      </c>
      <c r="BF422" s="10">
        <v>0</v>
      </c>
      <c r="BG422" s="13">
        <v>45406</v>
      </c>
    </row>
    <row r="423" spans="49:59" x14ac:dyDescent="0.3">
      <c r="AW423" s="1">
        <v>10.1</v>
      </c>
      <c r="AX423" s="1">
        <v>10.1</v>
      </c>
      <c r="AY423" t="str">
        <v>R080_HI782-0_0.0_LOT0550_PWW16.2_QC.xlsx</v>
      </c>
      <c r="AZ423" t="str">
        <v>LOT0550</v>
      </c>
      <c r="BA423" s="3">
        <v>10</v>
      </c>
      <c r="BB423" t="str">
        <v>P/Final</v>
      </c>
      <c r="BC423">
        <v>0</v>
      </c>
      <c r="BD423" s="10">
        <v>0</v>
      </c>
      <c r="BE423" s="10">
        <v>0</v>
      </c>
      <c r="BF423" s="10">
        <v>0</v>
      </c>
      <c r="BG423" s="13">
        <v>45406</v>
      </c>
    </row>
    <row r="424" spans="49:59" x14ac:dyDescent="0.3">
      <c r="AW424" s="1">
        <v>10.1</v>
      </c>
      <c r="AX424" s="1">
        <v>10.1</v>
      </c>
      <c r="AY424" t="str">
        <v>R080_HI782-0_0.0_LOT0550_PWW16.2_QC.xlsx</v>
      </c>
      <c r="AZ424" t="str">
        <v>LOT0550</v>
      </c>
      <c r="BA424" s="3">
        <v>10</v>
      </c>
      <c r="BB424" t="str">
        <v>P/Final</v>
      </c>
      <c r="BC424">
        <v>0</v>
      </c>
      <c r="BD424" s="10">
        <v>0</v>
      </c>
      <c r="BE424" s="10">
        <v>0</v>
      </c>
      <c r="BF424" s="10">
        <v>0</v>
      </c>
      <c r="BG424" s="13">
        <v>45406</v>
      </c>
    </row>
    <row r="425" spans="49:59" x14ac:dyDescent="0.3">
      <c r="AW425" s="1">
        <v>10.1</v>
      </c>
      <c r="AX425" s="1">
        <v>10.1</v>
      </c>
      <c r="AY425" t="str">
        <v>R080_HI782-0_0.0_LOT0550_PWW16.2_QC.xlsx</v>
      </c>
      <c r="AZ425" t="str">
        <v>LOT0550</v>
      </c>
      <c r="BA425" s="3">
        <v>10</v>
      </c>
      <c r="BB425" t="str">
        <v>P/Final</v>
      </c>
      <c r="BC425">
        <v>15</v>
      </c>
      <c r="BD425" s="10">
        <v>16.5</v>
      </c>
      <c r="BE425" s="10">
        <v>0</v>
      </c>
      <c r="BF425" s="10">
        <v>0</v>
      </c>
      <c r="BG425" s="13">
        <v>45406</v>
      </c>
    </row>
    <row r="426" spans="49:59" x14ac:dyDescent="0.3">
      <c r="AW426" s="1">
        <v>10.1</v>
      </c>
      <c r="AX426" s="1">
        <v>10.1</v>
      </c>
      <c r="AY426" t="str">
        <v>R080_HI782-0_0.0_LOT0550_PWW16.2_QC.xlsx</v>
      </c>
      <c r="AZ426" t="str">
        <v>LOT0550</v>
      </c>
      <c r="BA426" s="3">
        <v>10</v>
      </c>
      <c r="BB426" t="str">
        <v>P/Final</v>
      </c>
      <c r="BC426">
        <v>15</v>
      </c>
      <c r="BD426" s="10">
        <v>16.399999999999999</v>
      </c>
      <c r="BE426" s="10">
        <v>0</v>
      </c>
      <c r="BF426" s="10">
        <v>0</v>
      </c>
      <c r="BG426" s="13">
        <v>45406</v>
      </c>
    </row>
    <row r="427" spans="49:59" x14ac:dyDescent="0.3">
      <c r="AW427" s="1">
        <v>10.1</v>
      </c>
      <c r="AX427" s="1">
        <v>10.1</v>
      </c>
      <c r="AY427" t="str">
        <v>R080_HI782-0_0.0_LOT0550_PWW16.2_QC.xlsx</v>
      </c>
      <c r="AZ427" t="str">
        <v>LOT0550</v>
      </c>
      <c r="BA427" s="3">
        <v>10</v>
      </c>
      <c r="BB427" t="str">
        <v>P/Final</v>
      </c>
      <c r="BC427">
        <v>15</v>
      </c>
      <c r="BD427" s="10">
        <v>15.8</v>
      </c>
      <c r="BE427" s="10">
        <v>0</v>
      </c>
      <c r="BF427" s="10">
        <v>0</v>
      </c>
      <c r="BG427" s="13">
        <v>45406</v>
      </c>
    </row>
    <row r="428" spans="49:59" x14ac:dyDescent="0.3">
      <c r="AW428" s="1">
        <v>10.1</v>
      </c>
      <c r="AX428" s="1">
        <v>10.1</v>
      </c>
      <c r="AY428" t="str">
        <v>R080_HI782-0_0.0_LOT0550_PWW16.2_QC.xlsx</v>
      </c>
      <c r="AZ428" t="str">
        <v>LOT0550</v>
      </c>
      <c r="BA428" s="3">
        <v>10</v>
      </c>
      <c r="BB428" t="str">
        <v>P/Final</v>
      </c>
      <c r="BC428">
        <v>15</v>
      </c>
      <c r="BD428" s="10">
        <v>16</v>
      </c>
      <c r="BE428" s="10">
        <v>0</v>
      </c>
      <c r="BF428" s="10">
        <v>0</v>
      </c>
      <c r="BG428" s="13">
        <v>45406</v>
      </c>
    </row>
    <row r="429" spans="49:59" x14ac:dyDescent="0.3">
      <c r="AW429" s="1">
        <v>10.1</v>
      </c>
      <c r="AX429" s="1">
        <v>10.1</v>
      </c>
      <c r="AY429" t="str">
        <v>R080_HI782-0_0.0_LOT0550_PWW16.2_QC.xlsx</v>
      </c>
      <c r="AZ429" t="str">
        <v>LOT0550</v>
      </c>
      <c r="BA429" s="3">
        <v>10</v>
      </c>
      <c r="BB429" t="str">
        <v>P/Final</v>
      </c>
      <c r="BC429">
        <v>15</v>
      </c>
      <c r="BD429" s="10">
        <v>16.8</v>
      </c>
      <c r="BE429" s="10">
        <v>0</v>
      </c>
      <c r="BF429" s="10">
        <v>0</v>
      </c>
      <c r="BG429" s="13">
        <v>45406</v>
      </c>
    </row>
    <row r="430" spans="49:59" x14ac:dyDescent="0.3">
      <c r="AW430" s="1">
        <v>10.1</v>
      </c>
      <c r="AX430" s="1">
        <v>10.1</v>
      </c>
      <c r="AY430" t="str">
        <v>R080_HI782-0_0.0_LOT0550_PWW16.2_QC.xlsx</v>
      </c>
      <c r="AZ430" t="str">
        <v>LOT0550</v>
      </c>
      <c r="BA430" s="3">
        <v>10</v>
      </c>
      <c r="BB430" t="str">
        <v>P/Final</v>
      </c>
      <c r="BC430">
        <v>15</v>
      </c>
      <c r="BD430" s="10">
        <v>15.9</v>
      </c>
      <c r="BE430" s="10">
        <v>0</v>
      </c>
      <c r="BF430" s="10">
        <v>0</v>
      </c>
      <c r="BG430" s="13">
        <v>45406</v>
      </c>
    </row>
    <row r="431" spans="49:59" x14ac:dyDescent="0.3">
      <c r="AW431" s="1">
        <v>10.1</v>
      </c>
      <c r="AX431" s="1">
        <v>10.1</v>
      </c>
      <c r="AY431" t="str">
        <v>R080_HI782-0_0.0_LOT0550_PWW16.2_QC.xlsx</v>
      </c>
      <c r="AZ431" t="str">
        <v>LOT0550</v>
      </c>
      <c r="BA431" s="3">
        <v>10</v>
      </c>
      <c r="BB431" t="str">
        <v>P/Final</v>
      </c>
      <c r="BC431">
        <v>15</v>
      </c>
      <c r="BD431" s="10">
        <v>16.399999999999999</v>
      </c>
      <c r="BE431" s="10">
        <v>0</v>
      </c>
      <c r="BF431" s="10">
        <v>0</v>
      </c>
      <c r="BG431" s="13">
        <v>45406</v>
      </c>
    </row>
    <row r="432" spans="49:59" x14ac:dyDescent="0.3">
      <c r="AW432" s="1">
        <v>10.1</v>
      </c>
      <c r="AX432" s="1">
        <v>10.1</v>
      </c>
      <c r="AY432" t="str">
        <v>R080_HI782-0_0.0_LOT0550_PWW16.2_QC.xlsx</v>
      </c>
      <c r="AZ432" t="str">
        <v>LOT0550</v>
      </c>
      <c r="BA432" s="3">
        <v>10</v>
      </c>
      <c r="BB432" t="str">
        <v>P/Final</v>
      </c>
      <c r="BC432">
        <v>15</v>
      </c>
      <c r="BD432" s="10">
        <v>17.399999999999999</v>
      </c>
      <c r="BE432" s="10">
        <v>0</v>
      </c>
      <c r="BF432" s="10">
        <v>0</v>
      </c>
      <c r="BG432" s="13">
        <v>45406</v>
      </c>
    </row>
    <row r="433" spans="49:59" x14ac:dyDescent="0.3">
      <c r="AW433" s="1">
        <v>10.1</v>
      </c>
      <c r="AX433" s="1">
        <v>10.1</v>
      </c>
      <c r="AY433" t="str">
        <v>R080_HI782-0_0.0_LOT0550_PWW16.2_QC.xlsx</v>
      </c>
      <c r="AZ433" t="str">
        <v>LOT0550</v>
      </c>
      <c r="BA433" s="3">
        <v>10</v>
      </c>
      <c r="BB433" t="str">
        <v>P/Final</v>
      </c>
      <c r="BC433">
        <v>15</v>
      </c>
      <c r="BD433" s="10">
        <v>16.2</v>
      </c>
      <c r="BE433" s="10">
        <v>0</v>
      </c>
      <c r="BF433" s="10">
        <v>0</v>
      </c>
      <c r="BG433" s="13">
        <v>45406</v>
      </c>
    </row>
    <row r="434" spans="49:59" x14ac:dyDescent="0.3">
      <c r="AW434" s="1">
        <v>10.1</v>
      </c>
      <c r="AX434" s="1">
        <v>10.1</v>
      </c>
      <c r="AY434" t="str">
        <v>R080_HI782-0_0.0_LOT0550_PWW16.2_QC.xlsx</v>
      </c>
      <c r="AZ434" t="str">
        <v>LOT0550</v>
      </c>
      <c r="BA434" s="3">
        <v>10</v>
      </c>
      <c r="BB434" t="str">
        <v>P/Final</v>
      </c>
      <c r="BC434">
        <v>15</v>
      </c>
      <c r="BD434" s="10">
        <v>17.399999999999999</v>
      </c>
      <c r="BE434" s="10">
        <v>0</v>
      </c>
      <c r="BF434" s="10">
        <v>0</v>
      </c>
      <c r="BG434" s="13">
        <v>45406</v>
      </c>
    </row>
    <row r="435" spans="49:59" x14ac:dyDescent="0.3">
      <c r="AW435" s="1">
        <v>10.1</v>
      </c>
      <c r="AX435" s="1">
        <v>10.1</v>
      </c>
      <c r="AY435" t="str">
        <v>R080_HI782-0_0.0_LOT0550_PWW16.2_QC.xlsx</v>
      </c>
      <c r="AZ435" t="str">
        <v>LOT0550</v>
      </c>
      <c r="BA435" s="3">
        <v>10</v>
      </c>
      <c r="BB435" t="str">
        <v>P/Final</v>
      </c>
      <c r="BC435">
        <v>15</v>
      </c>
      <c r="BD435" s="10">
        <v>16.7</v>
      </c>
      <c r="BE435" s="10">
        <v>0</v>
      </c>
      <c r="BF435" s="10">
        <v>0</v>
      </c>
      <c r="BG435" s="13">
        <v>45406</v>
      </c>
    </row>
    <row r="436" spans="49:59" x14ac:dyDescent="0.3">
      <c r="AW436" s="1">
        <v>10.1</v>
      </c>
      <c r="AX436" s="1">
        <v>10.1</v>
      </c>
      <c r="AY436" t="str">
        <v>R080_HI782-0_0.0_LOT0550_PWW16.2_QC.xlsx</v>
      </c>
      <c r="AZ436" t="str">
        <v>LOT0550</v>
      </c>
      <c r="BA436" s="3">
        <v>10</v>
      </c>
      <c r="BB436" t="str">
        <v>P/Final</v>
      </c>
      <c r="BC436">
        <v>15</v>
      </c>
      <c r="BD436" s="10">
        <v>17.2</v>
      </c>
      <c r="BE436" s="10">
        <v>0</v>
      </c>
      <c r="BF436" s="10">
        <v>0</v>
      </c>
      <c r="BG436" s="13">
        <v>45406</v>
      </c>
    </row>
    <row r="437" spans="49:59" x14ac:dyDescent="0.3">
      <c r="AW437" s="1">
        <v>10.1</v>
      </c>
      <c r="AX437" s="1">
        <v>10.1</v>
      </c>
      <c r="AY437" t="str">
        <v>R080_HI782-0_0.0_LOT0550_PWW16.2_QC.xlsx</v>
      </c>
      <c r="AZ437" t="str">
        <v>LOT0550</v>
      </c>
      <c r="BA437" s="3">
        <v>10</v>
      </c>
      <c r="BB437" t="str">
        <v>P/Final</v>
      </c>
      <c r="BC437">
        <v>15</v>
      </c>
      <c r="BD437" s="10">
        <v>17.399999999999999</v>
      </c>
      <c r="BE437" s="10">
        <v>0</v>
      </c>
      <c r="BF437" s="10">
        <v>0</v>
      </c>
      <c r="BG437" s="13">
        <v>45406</v>
      </c>
    </row>
    <row r="438" spans="49:59" x14ac:dyDescent="0.3">
      <c r="AW438" s="1">
        <v>10.1</v>
      </c>
      <c r="AX438" s="1">
        <v>10.1</v>
      </c>
      <c r="AY438" t="str">
        <v>R080_HI782-0_0.0_LOT0550_PWW16.2_QC.xlsx</v>
      </c>
      <c r="AZ438" t="str">
        <v>LOT0550</v>
      </c>
      <c r="BA438" s="3">
        <v>10</v>
      </c>
      <c r="BB438" t="str">
        <v>P/Final</v>
      </c>
      <c r="BC438">
        <v>15</v>
      </c>
      <c r="BD438" s="10">
        <v>14.7</v>
      </c>
      <c r="BE438" s="10">
        <v>0</v>
      </c>
      <c r="BF438" s="10">
        <v>0</v>
      </c>
      <c r="BG438" s="13">
        <v>45406</v>
      </c>
    </row>
    <row r="439" spans="49:59" x14ac:dyDescent="0.3">
      <c r="AW439" s="1">
        <v>10.1</v>
      </c>
      <c r="AX439" s="1">
        <v>10.1</v>
      </c>
      <c r="AY439" t="str">
        <v>R080_HI782-0_0.0_LOT0550_PWW16.2_QC.xlsx</v>
      </c>
      <c r="AZ439" t="str">
        <v>LOT0550</v>
      </c>
      <c r="BA439" s="3">
        <v>10</v>
      </c>
      <c r="BB439" t="str">
        <v>P/Final</v>
      </c>
      <c r="BC439">
        <v>35</v>
      </c>
      <c r="BD439" s="10">
        <v>36.6</v>
      </c>
      <c r="BE439" s="10">
        <v>0</v>
      </c>
      <c r="BF439" s="10">
        <v>0</v>
      </c>
      <c r="BG439" s="13">
        <v>45406</v>
      </c>
    </row>
    <row r="440" spans="49:59" x14ac:dyDescent="0.3">
      <c r="AW440" s="1">
        <v>10.1</v>
      </c>
      <c r="AX440" s="1">
        <v>10.1</v>
      </c>
      <c r="AY440" t="str">
        <v>R080_HI782-0_0.0_LOT0550_PWW16.2_QC.xlsx</v>
      </c>
      <c r="AZ440" t="str">
        <v>LOT0550</v>
      </c>
      <c r="BA440" s="3">
        <v>10</v>
      </c>
      <c r="BB440" t="str">
        <v>P/Final</v>
      </c>
      <c r="BC440">
        <v>35</v>
      </c>
      <c r="BD440" s="10">
        <v>34.4</v>
      </c>
      <c r="BE440" s="10">
        <v>0</v>
      </c>
      <c r="BF440" s="10">
        <v>0</v>
      </c>
      <c r="BG440" s="13">
        <v>45406</v>
      </c>
    </row>
    <row r="441" spans="49:59" x14ac:dyDescent="0.3">
      <c r="AW441" s="1">
        <v>10.1</v>
      </c>
      <c r="AX441" s="1">
        <v>10.1</v>
      </c>
      <c r="AY441" t="str">
        <v>R080_HI782-0_0.0_LOT0550_PWW16.2_QC.xlsx</v>
      </c>
      <c r="AZ441" t="str">
        <v>LOT0550</v>
      </c>
      <c r="BA441" s="3">
        <v>10</v>
      </c>
      <c r="BB441" t="str">
        <v>P/Final</v>
      </c>
      <c r="BC441">
        <v>35</v>
      </c>
      <c r="BD441" s="10">
        <v>33</v>
      </c>
      <c r="BE441" s="10">
        <v>0</v>
      </c>
      <c r="BF441" s="10">
        <v>0</v>
      </c>
      <c r="BG441" s="13">
        <v>45406</v>
      </c>
    </row>
    <row r="442" spans="49:59" x14ac:dyDescent="0.3">
      <c r="AW442" s="1">
        <v>10.1</v>
      </c>
      <c r="AX442" s="1">
        <v>10.1</v>
      </c>
      <c r="AY442" t="str">
        <v>R080_HI782-0_0.0_LOT0550_PWW16.2_QC.xlsx</v>
      </c>
      <c r="AZ442" t="str">
        <v>LOT0550</v>
      </c>
      <c r="BA442" s="3">
        <v>10</v>
      </c>
      <c r="BB442" t="str">
        <v>P/Final</v>
      </c>
      <c r="BC442">
        <v>35</v>
      </c>
      <c r="BD442" s="10">
        <v>37.4</v>
      </c>
      <c r="BE442" s="10">
        <v>0</v>
      </c>
      <c r="BF442" s="10">
        <v>0</v>
      </c>
      <c r="BG442" s="13">
        <v>45406</v>
      </c>
    </row>
    <row r="443" spans="49:59" x14ac:dyDescent="0.3">
      <c r="AW443" s="1">
        <v>10.1</v>
      </c>
      <c r="AX443" s="1">
        <v>10.1</v>
      </c>
      <c r="AY443" t="str">
        <v>R080_HI782-0_0.0_LOT0550_PWW16.2_QC.xlsx</v>
      </c>
      <c r="AZ443" t="str">
        <v>LOT0550</v>
      </c>
      <c r="BA443" s="3">
        <v>10</v>
      </c>
      <c r="BB443" t="str">
        <v>P/Final</v>
      </c>
      <c r="BC443">
        <v>35</v>
      </c>
      <c r="BD443" s="10">
        <v>33.6</v>
      </c>
      <c r="BE443" s="10">
        <v>0</v>
      </c>
      <c r="BF443" s="10">
        <v>0</v>
      </c>
      <c r="BG443" s="13">
        <v>45406</v>
      </c>
    </row>
    <row r="444" spans="49:59" x14ac:dyDescent="0.3">
      <c r="AW444" s="1">
        <v>10.1</v>
      </c>
      <c r="AX444" s="1">
        <v>10.1</v>
      </c>
      <c r="AY444" t="str">
        <v>R080_HI782-0_0.0_LOT0550_PWW16.2_QC.xlsx</v>
      </c>
      <c r="AZ444" t="str">
        <v>LOT0550</v>
      </c>
      <c r="BA444" s="3">
        <v>10</v>
      </c>
      <c r="BB444" t="str">
        <v>P/Final</v>
      </c>
      <c r="BC444">
        <v>35</v>
      </c>
      <c r="BD444" s="10">
        <v>34.1</v>
      </c>
      <c r="BE444" s="10">
        <v>0</v>
      </c>
      <c r="BF444" s="10">
        <v>0</v>
      </c>
      <c r="BG444" s="13">
        <v>45406</v>
      </c>
    </row>
    <row r="445" spans="49:59" x14ac:dyDescent="0.3">
      <c r="AW445" s="1">
        <v>10.1</v>
      </c>
      <c r="AX445" s="1">
        <v>10.1</v>
      </c>
      <c r="AY445" t="str">
        <v>R080_HI782-0_0.0_LOT0550_PWW16.2_QC.xlsx</v>
      </c>
      <c r="AZ445" t="str">
        <v>LOT0550</v>
      </c>
      <c r="BA445" s="3">
        <v>10</v>
      </c>
      <c r="BB445" t="str">
        <v>P/Final</v>
      </c>
      <c r="BC445">
        <v>35</v>
      </c>
      <c r="BD445" s="10">
        <v>34.9</v>
      </c>
      <c r="BE445" s="10">
        <v>0</v>
      </c>
      <c r="BF445" s="10">
        <v>0</v>
      </c>
      <c r="BG445" s="13">
        <v>45406</v>
      </c>
    </row>
    <row r="446" spans="49:59" x14ac:dyDescent="0.3">
      <c r="AW446" s="1">
        <v>10.1</v>
      </c>
      <c r="AX446" s="1">
        <v>10.1</v>
      </c>
      <c r="AY446" t="str">
        <v>R080_HI782-0_0.0_LOT0550_PWW16.2_QC.xlsx</v>
      </c>
      <c r="AZ446" t="str">
        <v>LOT0550</v>
      </c>
      <c r="BA446" s="3">
        <v>10</v>
      </c>
      <c r="BB446" t="str">
        <v>P/Final</v>
      </c>
      <c r="BC446">
        <v>35</v>
      </c>
      <c r="BD446" s="10">
        <v>35.299999999999997</v>
      </c>
      <c r="BE446" s="10">
        <v>0</v>
      </c>
      <c r="BF446" s="10">
        <v>0</v>
      </c>
      <c r="BG446" s="13">
        <v>45406</v>
      </c>
    </row>
    <row r="447" spans="49:59" x14ac:dyDescent="0.3">
      <c r="AW447" s="1">
        <v>10.1</v>
      </c>
      <c r="AX447" s="1">
        <v>10.1</v>
      </c>
      <c r="AY447" t="str">
        <v>R080_HI782-0_0.0_LOT0550_PWW16.2_QC.xlsx</v>
      </c>
      <c r="AZ447" t="str">
        <v>LOT0550</v>
      </c>
      <c r="BA447" s="3">
        <v>10</v>
      </c>
      <c r="BB447" t="str">
        <v>P/Final</v>
      </c>
      <c r="BC447">
        <v>35</v>
      </c>
      <c r="BD447" s="10">
        <v>36.5</v>
      </c>
      <c r="BE447" s="10">
        <v>0</v>
      </c>
      <c r="BF447" s="10">
        <v>0</v>
      </c>
      <c r="BG447" s="13">
        <v>45406</v>
      </c>
    </row>
    <row r="448" spans="49:59" x14ac:dyDescent="0.3">
      <c r="AW448" s="1">
        <v>10.1</v>
      </c>
      <c r="AX448" s="1">
        <v>10.1</v>
      </c>
      <c r="AY448" t="str">
        <v>R080_HI782-0_0.0_LOT0550_PWW16.2_QC.xlsx</v>
      </c>
      <c r="AZ448" t="str">
        <v>LOT0550</v>
      </c>
      <c r="BA448" s="3">
        <v>10</v>
      </c>
      <c r="BB448" t="str">
        <v>P/Final</v>
      </c>
      <c r="BC448">
        <v>35</v>
      </c>
      <c r="BD448" s="10">
        <v>35</v>
      </c>
      <c r="BE448" s="10">
        <v>0</v>
      </c>
      <c r="BF448" s="10">
        <v>0</v>
      </c>
      <c r="BG448" s="13">
        <v>45406</v>
      </c>
    </row>
    <row r="449" spans="49:59" x14ac:dyDescent="0.3">
      <c r="AW449" s="1">
        <v>10.1</v>
      </c>
      <c r="AX449" s="1">
        <v>10.1</v>
      </c>
      <c r="AY449" t="str">
        <v>R080_HI782-0_0.0_LOT0550_PWW16.2_QC.xlsx</v>
      </c>
      <c r="AZ449" t="str">
        <v>LOT0550</v>
      </c>
      <c r="BA449" s="3">
        <v>10</v>
      </c>
      <c r="BB449" t="str">
        <v>P/Final</v>
      </c>
      <c r="BC449">
        <v>35</v>
      </c>
      <c r="BD449" s="10">
        <v>35.200000000000003</v>
      </c>
      <c r="BE449" s="10">
        <v>0</v>
      </c>
      <c r="BF449" s="10">
        <v>0</v>
      </c>
      <c r="BG449" s="13">
        <v>45406</v>
      </c>
    </row>
    <row r="450" spans="49:59" x14ac:dyDescent="0.3">
      <c r="AW450" s="1">
        <v>10.1</v>
      </c>
      <c r="AX450" s="1">
        <v>10.1</v>
      </c>
      <c r="AY450" t="str">
        <v>R080_HI782-0_0.0_LOT0550_PWW16.2_QC.xlsx</v>
      </c>
      <c r="AZ450" t="str">
        <v>LOT0550</v>
      </c>
      <c r="BA450" s="3">
        <v>10</v>
      </c>
      <c r="BB450" t="str">
        <v>P/Final</v>
      </c>
      <c r="BC450">
        <v>35</v>
      </c>
      <c r="BD450" s="10">
        <v>38.200000000000003</v>
      </c>
      <c r="BE450" s="10">
        <v>0</v>
      </c>
      <c r="BF450" s="10">
        <v>0</v>
      </c>
      <c r="BG450" s="13">
        <v>45406</v>
      </c>
    </row>
    <row r="451" spans="49:59" x14ac:dyDescent="0.3">
      <c r="AW451" s="1">
        <v>10.1</v>
      </c>
      <c r="AX451" s="1">
        <v>10.1</v>
      </c>
      <c r="AY451" t="str">
        <v>R080_HI782-0_0.0_LOT0550_PWW16.2_QC.xlsx</v>
      </c>
      <c r="AZ451" t="str">
        <v>LOT0550</v>
      </c>
      <c r="BA451" s="3">
        <v>10</v>
      </c>
      <c r="BB451" t="str">
        <v>P/Final</v>
      </c>
      <c r="BC451">
        <v>35</v>
      </c>
      <c r="BD451" s="10">
        <v>34</v>
      </c>
      <c r="BE451" s="10">
        <v>0</v>
      </c>
      <c r="BF451" s="10">
        <v>0</v>
      </c>
      <c r="BG451" s="13">
        <v>45406</v>
      </c>
    </row>
    <row r="452" spans="49:59" x14ac:dyDescent="0.3">
      <c r="AW452" s="1">
        <v>10.1</v>
      </c>
      <c r="AX452" s="1">
        <v>10.1</v>
      </c>
      <c r="AY452" t="str">
        <v>R080_HI782-0_0.0_LOT0550_PWW16.2_QC.xlsx</v>
      </c>
      <c r="AZ452" t="str">
        <v>LOT0550</v>
      </c>
      <c r="BA452" s="3">
        <v>10</v>
      </c>
      <c r="BB452" t="str">
        <v>P/Final</v>
      </c>
      <c r="BC452">
        <v>35</v>
      </c>
      <c r="BD452" s="10">
        <v>36.6</v>
      </c>
      <c r="BE452" s="10">
        <v>0</v>
      </c>
      <c r="BF452" s="10">
        <v>0</v>
      </c>
      <c r="BG452" s="13">
        <v>45406</v>
      </c>
    </row>
    <row r="453" spans="49:59" x14ac:dyDescent="0.3">
      <c r="AW453" s="1">
        <v>10.1</v>
      </c>
      <c r="AX453" s="1">
        <v>10.1</v>
      </c>
      <c r="AY453" t="str">
        <v>R080_HI782-0_0.0_LOT0550_PWW16.2_QC.xlsx</v>
      </c>
      <c r="AZ453" t="str">
        <v>LOT0550</v>
      </c>
      <c r="BA453" s="3">
        <v>10</v>
      </c>
      <c r="BB453" t="str">
        <v>P/Final</v>
      </c>
      <c r="BC453">
        <v>60</v>
      </c>
      <c r="BD453" s="10">
        <v>62.2</v>
      </c>
      <c r="BE453" s="10">
        <v>0</v>
      </c>
      <c r="BF453" s="10">
        <v>0</v>
      </c>
      <c r="BG453" s="13">
        <v>45406</v>
      </c>
    </row>
    <row r="454" spans="49:59" x14ac:dyDescent="0.3">
      <c r="AW454" s="1">
        <v>10.1</v>
      </c>
      <c r="AX454" s="1">
        <v>10.1</v>
      </c>
      <c r="AY454" t="str">
        <v>R080_HI782-0_0.0_LOT0550_PWW16.2_QC.xlsx</v>
      </c>
      <c r="AZ454" t="str">
        <v>LOT0550</v>
      </c>
      <c r="BA454" s="3">
        <v>10</v>
      </c>
      <c r="BB454" t="str">
        <v>P/Final</v>
      </c>
      <c r="BC454">
        <v>60</v>
      </c>
      <c r="BD454" s="10">
        <v>60.8</v>
      </c>
      <c r="BE454" s="10">
        <v>0</v>
      </c>
      <c r="BF454" s="10">
        <v>0</v>
      </c>
      <c r="BG454" s="13">
        <v>45406</v>
      </c>
    </row>
    <row r="455" spans="49:59" x14ac:dyDescent="0.3">
      <c r="AW455" s="1">
        <v>10.1</v>
      </c>
      <c r="AX455" s="1">
        <v>10.1</v>
      </c>
      <c r="AY455" t="str">
        <v>R080_HI782-0_0.0_LOT0550_PWW16.2_QC.xlsx</v>
      </c>
      <c r="AZ455" t="str">
        <v>LOT0550</v>
      </c>
      <c r="BA455" s="3">
        <v>10</v>
      </c>
      <c r="BB455" t="str">
        <v>P/Final</v>
      </c>
      <c r="BC455">
        <v>60</v>
      </c>
      <c r="BD455" s="10">
        <v>60.1</v>
      </c>
      <c r="BE455" s="10">
        <v>0</v>
      </c>
      <c r="BF455" s="10">
        <v>0</v>
      </c>
      <c r="BG455" s="13">
        <v>45406</v>
      </c>
    </row>
    <row r="456" spans="49:59" x14ac:dyDescent="0.3">
      <c r="AW456" s="1">
        <v>10.1</v>
      </c>
      <c r="AX456" s="1">
        <v>10.1</v>
      </c>
      <c r="AY456" t="str">
        <v>R080_HI782-0_0.0_LOT0550_PWW16.2_QC.xlsx</v>
      </c>
      <c r="AZ456" t="str">
        <v>LOT0550</v>
      </c>
      <c r="BA456" s="3">
        <v>10</v>
      </c>
      <c r="BB456" t="str">
        <v>P/Final</v>
      </c>
      <c r="BC456">
        <v>60</v>
      </c>
      <c r="BD456" s="10">
        <v>59.7</v>
      </c>
      <c r="BE456" s="10">
        <v>0</v>
      </c>
      <c r="BF456" s="10">
        <v>0</v>
      </c>
      <c r="BG456" s="13">
        <v>45406</v>
      </c>
    </row>
    <row r="457" spans="49:59" x14ac:dyDescent="0.3">
      <c r="AW457" s="1">
        <v>10.1</v>
      </c>
      <c r="AX457" s="1">
        <v>10.1</v>
      </c>
      <c r="AY457" t="str">
        <v>R080_HI782-0_0.0_LOT0550_PWW16.2_QC.xlsx</v>
      </c>
      <c r="AZ457" t="str">
        <v>LOT0550</v>
      </c>
      <c r="BA457" s="3">
        <v>10</v>
      </c>
      <c r="BB457" t="str">
        <v>P/Final</v>
      </c>
      <c r="BC457">
        <v>60</v>
      </c>
      <c r="BD457" s="10">
        <v>62.5</v>
      </c>
      <c r="BE457" s="10">
        <v>0</v>
      </c>
      <c r="BF457" s="10">
        <v>0</v>
      </c>
      <c r="BG457" s="13">
        <v>45406</v>
      </c>
    </row>
    <row r="458" spans="49:59" x14ac:dyDescent="0.3">
      <c r="AW458" s="1">
        <v>10.1</v>
      </c>
      <c r="AX458" s="1">
        <v>10.1</v>
      </c>
      <c r="AY458" t="str">
        <v>R080_HI782-0_0.0_LOT0550_PWW16.2_QC.xlsx</v>
      </c>
      <c r="AZ458" t="str">
        <v>LOT0550</v>
      </c>
      <c r="BA458" s="3">
        <v>10</v>
      </c>
      <c r="BB458" t="str">
        <v>P/Final</v>
      </c>
      <c r="BC458">
        <v>60</v>
      </c>
      <c r="BD458" s="10">
        <v>62</v>
      </c>
      <c r="BE458" s="10">
        <v>0</v>
      </c>
      <c r="BF458" s="10">
        <v>0</v>
      </c>
      <c r="BG458" s="13">
        <v>45406</v>
      </c>
    </row>
    <row r="459" spans="49:59" x14ac:dyDescent="0.3">
      <c r="AW459" s="1">
        <v>10.1</v>
      </c>
      <c r="AX459" s="1">
        <v>10.1</v>
      </c>
      <c r="AY459" t="str">
        <v>R080_HI782-0_0.0_LOT0550_PWW16.2_QC.xlsx</v>
      </c>
      <c r="AZ459" t="str">
        <v>LOT0550</v>
      </c>
      <c r="BA459" s="3">
        <v>10</v>
      </c>
      <c r="BB459" t="str">
        <v>P/Final</v>
      </c>
      <c r="BC459">
        <v>60</v>
      </c>
      <c r="BD459" s="10">
        <v>59.6</v>
      </c>
      <c r="BE459" s="10">
        <v>0</v>
      </c>
      <c r="BF459" s="10">
        <v>0</v>
      </c>
      <c r="BG459" s="13">
        <v>45406</v>
      </c>
    </row>
    <row r="460" spans="49:59" x14ac:dyDescent="0.3">
      <c r="AW460" s="1">
        <v>10.1</v>
      </c>
      <c r="AX460" s="1">
        <v>10.1</v>
      </c>
      <c r="AY460" t="str">
        <v>R080_HI782-0_0.0_LOT0550_PWW16.2_QC.xlsx</v>
      </c>
      <c r="AZ460" t="str">
        <v>LOT0550</v>
      </c>
      <c r="BA460" s="3">
        <v>10</v>
      </c>
      <c r="BB460" t="str">
        <v>P/Final</v>
      </c>
      <c r="BC460">
        <v>60</v>
      </c>
      <c r="BD460" s="10">
        <v>62.2</v>
      </c>
      <c r="BE460" s="10">
        <v>0</v>
      </c>
      <c r="BF460" s="10">
        <v>0</v>
      </c>
      <c r="BG460" s="13">
        <v>45406</v>
      </c>
    </row>
    <row r="461" spans="49:59" x14ac:dyDescent="0.3">
      <c r="AW461" s="1">
        <v>10.1</v>
      </c>
      <c r="AX461" s="1">
        <v>10.1</v>
      </c>
      <c r="AY461" t="str">
        <v>R080_HI782-0_0.0_LOT0550_PWW16.2_QC.xlsx</v>
      </c>
      <c r="AZ461" t="str">
        <v>LOT0550</v>
      </c>
      <c r="BA461" s="3">
        <v>10</v>
      </c>
      <c r="BB461" t="str">
        <v>P/Final</v>
      </c>
      <c r="BC461">
        <v>60</v>
      </c>
      <c r="BD461" s="10">
        <v>63.8</v>
      </c>
      <c r="BE461" s="10">
        <v>0</v>
      </c>
      <c r="BF461" s="10">
        <v>0</v>
      </c>
      <c r="BG461" s="13">
        <v>45406</v>
      </c>
    </row>
    <row r="462" spans="49:59" x14ac:dyDescent="0.3">
      <c r="AW462" s="1">
        <v>10.1</v>
      </c>
      <c r="AX462" s="1">
        <v>10.1</v>
      </c>
      <c r="AY462" t="str">
        <v>R080_HI782-0_0.0_LOT0550_PWW16.2_QC.xlsx</v>
      </c>
      <c r="AZ462" t="str">
        <v>LOT0550</v>
      </c>
      <c r="BA462" s="3">
        <v>10</v>
      </c>
      <c r="BB462" t="str">
        <v>P/Final</v>
      </c>
      <c r="BC462">
        <v>60</v>
      </c>
      <c r="BD462" s="10">
        <v>63.3</v>
      </c>
      <c r="BE462" s="10">
        <v>0</v>
      </c>
      <c r="BF462" s="10">
        <v>0</v>
      </c>
      <c r="BG462" s="13">
        <v>45406</v>
      </c>
    </row>
    <row r="463" spans="49:59" x14ac:dyDescent="0.3">
      <c r="AW463" s="1">
        <v>10.1</v>
      </c>
      <c r="AX463" s="1">
        <v>10.1</v>
      </c>
      <c r="AY463" t="str">
        <v>R080_HI782-0_0.0_LOT0550_PWW16.2_QC.xlsx</v>
      </c>
      <c r="AZ463" t="str">
        <v>LOT0550</v>
      </c>
      <c r="BA463" s="3">
        <v>10</v>
      </c>
      <c r="BB463" t="str">
        <v>P/Final</v>
      </c>
      <c r="BC463">
        <v>60</v>
      </c>
      <c r="BD463" s="10">
        <v>58</v>
      </c>
      <c r="BE463" s="10">
        <v>0</v>
      </c>
      <c r="BF463" s="10">
        <v>0</v>
      </c>
      <c r="BG463" s="13">
        <v>45406</v>
      </c>
    </row>
    <row r="464" spans="49:59" x14ac:dyDescent="0.3">
      <c r="AW464" s="1">
        <v>10.1</v>
      </c>
      <c r="AX464" s="1">
        <v>10.1</v>
      </c>
      <c r="AY464" t="str">
        <v>R080_HI782-0_0.0_LOT0550_PWW16.2_QC.xlsx</v>
      </c>
      <c r="AZ464" t="str">
        <v>LOT0550</v>
      </c>
      <c r="BA464" s="3">
        <v>10</v>
      </c>
      <c r="BB464" t="str">
        <v>P/Final</v>
      </c>
      <c r="BC464">
        <v>60</v>
      </c>
      <c r="BD464" s="10">
        <v>58.2</v>
      </c>
      <c r="BE464" s="10">
        <v>0</v>
      </c>
      <c r="BF464" s="10">
        <v>0</v>
      </c>
      <c r="BG464" s="13">
        <v>45406</v>
      </c>
    </row>
    <row r="465" spans="49:59" x14ac:dyDescent="0.3">
      <c r="AW465" s="1">
        <v>10.1</v>
      </c>
      <c r="AX465" s="1">
        <v>10.1</v>
      </c>
      <c r="AY465" t="str">
        <v>R080_HI782-0_0.0_LOT0550_PWW16.2_QC.xlsx</v>
      </c>
      <c r="AZ465" t="str">
        <v>LOT0550</v>
      </c>
      <c r="BA465" s="3">
        <v>10</v>
      </c>
      <c r="BB465" t="str">
        <v>P/Final</v>
      </c>
      <c r="BC465">
        <v>60</v>
      </c>
      <c r="BD465" s="10">
        <v>57.6</v>
      </c>
      <c r="BE465" s="10">
        <v>0</v>
      </c>
      <c r="BF465" s="10">
        <v>0</v>
      </c>
      <c r="BG465" s="13">
        <v>45406</v>
      </c>
    </row>
    <row r="466" spans="49:59" x14ac:dyDescent="0.3">
      <c r="AW466" s="1">
        <v>10.1</v>
      </c>
      <c r="AX466" s="1">
        <v>10.1</v>
      </c>
      <c r="AY466" t="str">
        <v>R080_HI782-0_0.0_LOT0550_PWW16.2_QC.xlsx</v>
      </c>
      <c r="AZ466" t="str">
        <v>LOT0550</v>
      </c>
      <c r="BA466" s="3">
        <v>10</v>
      </c>
      <c r="BB466" t="str">
        <v>P/Final</v>
      </c>
      <c r="BC466">
        <v>60</v>
      </c>
      <c r="BD466" s="10">
        <v>62.6</v>
      </c>
      <c r="BE466" s="10">
        <v>0</v>
      </c>
      <c r="BF466" s="10">
        <v>0</v>
      </c>
      <c r="BG466" s="13">
        <v>45406</v>
      </c>
    </row>
    <row r="467" spans="49:59" x14ac:dyDescent="0.3">
      <c r="AW467" s="1">
        <v>10.1</v>
      </c>
      <c r="AX467" s="1">
        <v>10.1</v>
      </c>
      <c r="AY467" t="str">
        <v>R080_HI782-0_0.0_LOT0550_PWW16.2_QC.xlsx</v>
      </c>
      <c r="AZ467" t="str">
        <v>LOT0550</v>
      </c>
      <c r="BA467" s="3">
        <v>10</v>
      </c>
      <c r="BB467" t="str">
        <v>P/Final</v>
      </c>
      <c r="BC467">
        <v>15</v>
      </c>
      <c r="BD467" s="10">
        <v>15</v>
      </c>
      <c r="BE467" s="10">
        <v>0</v>
      </c>
      <c r="BF467" s="10">
        <v>0</v>
      </c>
      <c r="BG467" s="13">
        <v>45407</v>
      </c>
    </row>
    <row r="468" spans="49:59" x14ac:dyDescent="0.3">
      <c r="AW468" s="1">
        <v>10.1</v>
      </c>
      <c r="AX468" s="1">
        <v>10.1</v>
      </c>
      <c r="AY468" t="str">
        <v>R080_HI782-0_0.0_LOT0550_PWW16.2_QC.xlsx</v>
      </c>
      <c r="AZ468" t="str">
        <v>LOT0550</v>
      </c>
      <c r="BA468" s="3">
        <v>10</v>
      </c>
      <c r="BB468" t="str">
        <v>P/Final</v>
      </c>
      <c r="BC468">
        <v>15</v>
      </c>
      <c r="BD468" s="10">
        <v>16.600000000000001</v>
      </c>
      <c r="BE468" s="10">
        <v>0</v>
      </c>
      <c r="BF468" s="10">
        <v>0</v>
      </c>
      <c r="BG468" s="13">
        <v>45407</v>
      </c>
    </row>
    <row r="469" spans="49:59" x14ac:dyDescent="0.3">
      <c r="AW469" s="1">
        <v>10.1</v>
      </c>
      <c r="AX469" s="1">
        <v>10.1</v>
      </c>
      <c r="AY469" t="str">
        <v>R080_HI782-0_0.0_LOT0550_PWW16.2_QC.xlsx</v>
      </c>
      <c r="AZ469" t="str">
        <v>LOT0550</v>
      </c>
      <c r="BA469" s="3">
        <v>10</v>
      </c>
      <c r="BB469" t="str">
        <v>P/Final</v>
      </c>
      <c r="BC469">
        <v>15</v>
      </c>
      <c r="BD469" s="10">
        <v>16</v>
      </c>
      <c r="BE469" s="10">
        <v>0</v>
      </c>
      <c r="BF469" s="10">
        <v>0</v>
      </c>
      <c r="BG469" s="13">
        <v>45407</v>
      </c>
    </row>
    <row r="470" spans="49:59" x14ac:dyDescent="0.3">
      <c r="AW470" s="1">
        <v>10.1</v>
      </c>
      <c r="AX470" s="1">
        <v>10.1</v>
      </c>
      <c r="AY470" t="str">
        <v>R080_HI782-0_0.0_LOT0550_PWW16.2_QC.xlsx</v>
      </c>
      <c r="AZ470" t="str">
        <v>LOT0550</v>
      </c>
      <c r="BA470" s="3">
        <v>10</v>
      </c>
      <c r="BB470" t="str">
        <v>P/Final</v>
      </c>
      <c r="BC470">
        <v>15</v>
      </c>
      <c r="BD470" s="10">
        <v>16.7</v>
      </c>
      <c r="BE470" s="10">
        <v>0</v>
      </c>
      <c r="BF470" s="10">
        <v>0</v>
      </c>
      <c r="BG470" s="13">
        <v>45407</v>
      </c>
    </row>
    <row r="471" spans="49:59" x14ac:dyDescent="0.3">
      <c r="AW471" s="1">
        <v>10.1</v>
      </c>
      <c r="AX471" s="1">
        <v>10.1</v>
      </c>
      <c r="AY471" t="str">
        <v>R080_HI782-0_0.0_LOT0550_PWW16.2_QC.xlsx</v>
      </c>
      <c r="AZ471" t="str">
        <v>LOT0550</v>
      </c>
      <c r="BA471" s="3">
        <v>10</v>
      </c>
      <c r="BB471" t="str">
        <v>P/Final</v>
      </c>
      <c r="BC471">
        <v>35</v>
      </c>
      <c r="BD471" s="10">
        <v>38.6</v>
      </c>
      <c r="BE471" s="10">
        <v>0</v>
      </c>
      <c r="BF471" s="10">
        <v>0</v>
      </c>
      <c r="BG471" s="13">
        <v>45407</v>
      </c>
    </row>
    <row r="472" spans="49:59" x14ac:dyDescent="0.3">
      <c r="AW472" s="1">
        <v>10.1</v>
      </c>
      <c r="AX472" s="1">
        <v>10.1</v>
      </c>
      <c r="AY472" t="str">
        <v>R080_HI782-0_0.0_LOT0550_PWW16.2_QC.xlsx</v>
      </c>
      <c r="AZ472" t="str">
        <v>LOT0550</v>
      </c>
      <c r="BA472" s="3">
        <v>10</v>
      </c>
      <c r="BB472" t="str">
        <v>P/Final</v>
      </c>
      <c r="BC472">
        <v>35</v>
      </c>
      <c r="BD472" s="10">
        <v>37.5</v>
      </c>
      <c r="BE472" s="10">
        <v>0</v>
      </c>
      <c r="BF472" s="10">
        <v>0</v>
      </c>
      <c r="BG472" s="13">
        <v>45407</v>
      </c>
    </row>
    <row r="473" spans="49:59" x14ac:dyDescent="0.3">
      <c r="AW473" s="1">
        <v>10.1</v>
      </c>
      <c r="AX473" s="1">
        <v>10.1</v>
      </c>
      <c r="AY473" t="str">
        <v>R080_HI782-0_0.0_LOT0550_PWW16.2_QC.xlsx</v>
      </c>
      <c r="AZ473" t="str">
        <v>LOT0550</v>
      </c>
      <c r="BA473" s="3">
        <v>10</v>
      </c>
      <c r="BB473" t="str">
        <v>P/Final</v>
      </c>
      <c r="BC473">
        <v>35</v>
      </c>
      <c r="BD473" s="10">
        <v>37.4</v>
      </c>
      <c r="BE473" s="10">
        <v>0</v>
      </c>
      <c r="BF473" s="10">
        <v>0</v>
      </c>
      <c r="BG473" s="13">
        <v>45407</v>
      </c>
    </row>
    <row r="474" spans="49:59" x14ac:dyDescent="0.3">
      <c r="AW474" s="1">
        <v>10.1</v>
      </c>
      <c r="AX474" s="1">
        <v>10.1</v>
      </c>
      <c r="AY474" t="str">
        <v>R080_HI782-0_0.0_LOT0550_PWW16.2_QC.xlsx</v>
      </c>
      <c r="AZ474" t="str">
        <v>LOT0550</v>
      </c>
      <c r="BA474" s="3">
        <v>10</v>
      </c>
      <c r="BB474" t="str">
        <v>P/Final</v>
      </c>
      <c r="BC474">
        <v>35</v>
      </c>
      <c r="BD474" s="10">
        <v>38.200000000000003</v>
      </c>
      <c r="BE474" s="10">
        <v>0</v>
      </c>
      <c r="BF474" s="10">
        <v>0</v>
      </c>
      <c r="BG474" s="13">
        <v>45407</v>
      </c>
    </row>
    <row r="475" spans="49:59" x14ac:dyDescent="0.3">
      <c r="AW475" s="1">
        <v>10.1</v>
      </c>
      <c r="AX475" s="1">
        <v>10.1</v>
      </c>
      <c r="AY475" t="str">
        <v>R080_HI782-0_0.0_LOT0550_PWW16.2_QC.xlsx</v>
      </c>
      <c r="AZ475" t="str">
        <v>LOT0550</v>
      </c>
      <c r="BA475" s="3">
        <v>10</v>
      </c>
      <c r="BB475" t="str">
        <v>P/Final</v>
      </c>
      <c r="BC475">
        <v>60</v>
      </c>
      <c r="BD475" s="10">
        <v>61.1</v>
      </c>
      <c r="BE475" s="10">
        <v>0</v>
      </c>
      <c r="BF475" s="10">
        <v>0</v>
      </c>
      <c r="BG475" s="13">
        <v>45407</v>
      </c>
    </row>
    <row r="476" spans="49:59" x14ac:dyDescent="0.3">
      <c r="AW476" s="1">
        <v>10.1</v>
      </c>
      <c r="AX476" s="1">
        <v>10.1</v>
      </c>
      <c r="AY476" t="str">
        <v>R080_HI782-0_0.0_LOT0550_PWW16.2_QC.xlsx</v>
      </c>
      <c r="AZ476" t="str">
        <v>LOT0550</v>
      </c>
      <c r="BA476" s="3">
        <v>10</v>
      </c>
      <c r="BB476" t="str">
        <v>P/Final</v>
      </c>
      <c r="BC476">
        <v>60</v>
      </c>
      <c r="BD476" s="10">
        <v>59.1</v>
      </c>
      <c r="BE476" s="10">
        <v>0</v>
      </c>
      <c r="BF476" s="10">
        <v>0</v>
      </c>
      <c r="BG476" s="13">
        <v>45407</v>
      </c>
    </row>
    <row r="477" spans="49:59" x14ac:dyDescent="0.3">
      <c r="AW477" s="1">
        <v>10.1</v>
      </c>
      <c r="AX477" s="1">
        <v>10.1</v>
      </c>
      <c r="AY477" t="str">
        <v>R080_HI782-0_0.0_LOT0550_PWW16.2_QC.xlsx</v>
      </c>
      <c r="AZ477" t="str">
        <v>LOT0550</v>
      </c>
      <c r="BA477" s="3">
        <v>10</v>
      </c>
      <c r="BB477" t="str">
        <v>P/Final</v>
      </c>
      <c r="BC477">
        <v>60</v>
      </c>
      <c r="BD477" s="10">
        <v>62.3</v>
      </c>
      <c r="BE477" s="10">
        <v>0</v>
      </c>
      <c r="BF477" s="10">
        <v>0</v>
      </c>
      <c r="BG477" s="13">
        <v>45407</v>
      </c>
    </row>
    <row r="478" spans="49:59" x14ac:dyDescent="0.3">
      <c r="AW478" s="1">
        <v>10.1</v>
      </c>
      <c r="AX478" s="1">
        <v>10.1</v>
      </c>
      <c r="AY478" t="str">
        <v>R080_HI782-0_0.0_LOT0550_PWW16.2_QC.xlsx</v>
      </c>
      <c r="AZ478" t="str">
        <v>LOT0550</v>
      </c>
      <c r="BA478" s="3">
        <v>10</v>
      </c>
      <c r="BB478" t="str">
        <v>P/Final</v>
      </c>
      <c r="BC478">
        <v>60</v>
      </c>
      <c r="BD478" s="10">
        <v>61.1</v>
      </c>
      <c r="BE478" s="10">
        <v>0</v>
      </c>
      <c r="BF478" s="10">
        <v>0</v>
      </c>
      <c r="BG478" s="13">
        <v>45407</v>
      </c>
    </row>
    <row r="479" spans="49:59" x14ac:dyDescent="0.3">
      <c r="AW479" s="1">
        <v>11.1</v>
      </c>
      <c r="AX479" s="1">
        <v>11.1</v>
      </c>
      <c r="AY479" t="str">
        <v>R080_HI782-0_0.0_LOT0568_PWW19.1_QC.xlsx</v>
      </c>
      <c r="AZ479" t="str">
        <v>LOT0568</v>
      </c>
      <c r="BA479" s="3">
        <v>11</v>
      </c>
      <c r="BB479" t="str">
        <v>P/Final</v>
      </c>
      <c r="BC479">
        <v>0</v>
      </c>
      <c r="BD479" s="10">
        <v>0</v>
      </c>
      <c r="BE479" s="10">
        <v>0</v>
      </c>
      <c r="BF479" s="10">
        <v>0</v>
      </c>
      <c r="BG479" s="13">
        <v>45426</v>
      </c>
    </row>
    <row r="480" spans="49:59" x14ac:dyDescent="0.3">
      <c r="AW480" s="1">
        <v>11.1</v>
      </c>
      <c r="AX480" s="1">
        <v>11.1</v>
      </c>
      <c r="AY480" t="str">
        <v>R080_HI782-0_0.0_LOT0568_PWW19.1_QC.xlsx</v>
      </c>
      <c r="AZ480" t="str">
        <v>LOT0568</v>
      </c>
      <c r="BA480" s="3">
        <v>11</v>
      </c>
      <c r="BB480" t="str">
        <v>P/Final</v>
      </c>
      <c r="BC480">
        <v>0</v>
      </c>
      <c r="BD480" s="10">
        <v>0</v>
      </c>
      <c r="BE480" s="10">
        <v>0</v>
      </c>
      <c r="BF480" s="10">
        <v>0</v>
      </c>
      <c r="BG480" s="13">
        <v>45426</v>
      </c>
    </row>
    <row r="481" spans="49:59" x14ac:dyDescent="0.3">
      <c r="AW481" s="1">
        <v>11.1</v>
      </c>
      <c r="AX481" s="1">
        <v>11.1</v>
      </c>
      <c r="AY481" t="str">
        <v>R080_HI782-0_0.0_LOT0568_PWW19.1_QC.xlsx</v>
      </c>
      <c r="AZ481" t="str">
        <v>LOT0568</v>
      </c>
      <c r="BA481" s="3">
        <v>11</v>
      </c>
      <c r="BB481" t="str">
        <v>P/Final</v>
      </c>
      <c r="BC481">
        <v>15</v>
      </c>
      <c r="BD481" s="10">
        <v>16.5</v>
      </c>
      <c r="BE481" s="10">
        <v>0</v>
      </c>
      <c r="BF481" s="10">
        <v>0</v>
      </c>
      <c r="BG481" s="13">
        <v>45426</v>
      </c>
    </row>
    <row r="482" spans="49:59" x14ac:dyDescent="0.3">
      <c r="AW482" s="1">
        <v>11.1</v>
      </c>
      <c r="AX482" s="1">
        <v>11.1</v>
      </c>
      <c r="AY482" t="str">
        <v>R080_HI782-0_0.0_LOT0568_PWW19.1_QC.xlsx</v>
      </c>
      <c r="AZ482" t="str">
        <v>LOT0568</v>
      </c>
      <c r="BA482" s="3">
        <v>11</v>
      </c>
      <c r="BB482" t="str">
        <v>P/Final</v>
      </c>
      <c r="BC482">
        <v>15</v>
      </c>
      <c r="BD482" s="10">
        <v>16.8</v>
      </c>
      <c r="BE482" s="10">
        <v>0</v>
      </c>
      <c r="BF482" s="10">
        <v>0</v>
      </c>
      <c r="BG482" s="13">
        <v>45426</v>
      </c>
    </row>
    <row r="483" spans="49:59" x14ac:dyDescent="0.3">
      <c r="AW483" s="1">
        <v>11.1</v>
      </c>
      <c r="AX483" s="1">
        <v>11.1</v>
      </c>
      <c r="AY483" t="str">
        <v>R080_HI782-0_0.0_LOT0568_PWW19.1_QC.xlsx</v>
      </c>
      <c r="AZ483" t="str">
        <v>LOT0568</v>
      </c>
      <c r="BA483" s="3">
        <v>11</v>
      </c>
      <c r="BB483" t="str">
        <v>P/Final</v>
      </c>
      <c r="BC483">
        <v>35</v>
      </c>
      <c r="BD483" s="10">
        <v>36.799999999999997</v>
      </c>
      <c r="BE483" s="10">
        <v>0</v>
      </c>
      <c r="BF483" s="10">
        <v>0</v>
      </c>
      <c r="BG483" s="13">
        <v>45426</v>
      </c>
    </row>
    <row r="484" spans="49:59" x14ac:dyDescent="0.3">
      <c r="AW484" s="1">
        <v>11.1</v>
      </c>
      <c r="AX484" s="1">
        <v>11.1</v>
      </c>
      <c r="AY484" t="str">
        <v>R080_HI782-0_0.0_LOT0568_PWW19.1_QC.xlsx</v>
      </c>
      <c r="AZ484" t="str">
        <v>LOT0568</v>
      </c>
      <c r="BA484" s="3">
        <v>11</v>
      </c>
      <c r="BB484" t="str">
        <v>P/Final</v>
      </c>
      <c r="BC484">
        <v>35</v>
      </c>
      <c r="BD484" s="10">
        <v>38.200000000000003</v>
      </c>
      <c r="BE484" s="10">
        <v>0</v>
      </c>
      <c r="BF484" s="10">
        <v>0</v>
      </c>
      <c r="BG484" s="13">
        <v>45426</v>
      </c>
    </row>
    <row r="485" spans="49:59" x14ac:dyDescent="0.3">
      <c r="AW485" s="1">
        <v>11.1</v>
      </c>
      <c r="AX485" s="1">
        <v>11.1</v>
      </c>
      <c r="AY485" t="str">
        <v>R080_HI782-0_0.0_LOT0568_PWW19.1_QC.xlsx</v>
      </c>
      <c r="AZ485" t="str">
        <v>LOT0568</v>
      </c>
      <c r="BA485" s="3">
        <v>11</v>
      </c>
      <c r="BB485" t="str">
        <v>P/Final</v>
      </c>
      <c r="BC485">
        <v>60</v>
      </c>
      <c r="BD485" s="10">
        <v>62.1</v>
      </c>
      <c r="BE485" s="10">
        <v>0</v>
      </c>
      <c r="BF485" s="10">
        <v>0</v>
      </c>
      <c r="BG485" s="13">
        <v>45426</v>
      </c>
    </row>
    <row r="486" spans="49:59" x14ac:dyDescent="0.3">
      <c r="AW486" s="1">
        <v>11.1</v>
      </c>
      <c r="AX486" s="1">
        <v>11.1</v>
      </c>
      <c r="AY486" t="str">
        <v>R080_HI782-0_0.0_LOT0568_PWW19.1_QC.xlsx</v>
      </c>
      <c r="AZ486" t="str">
        <v>LOT0568</v>
      </c>
      <c r="BA486" s="3">
        <v>11</v>
      </c>
      <c r="BB486" t="str">
        <v>P/Final</v>
      </c>
      <c r="BC486">
        <v>60</v>
      </c>
      <c r="BD486" s="10">
        <v>61.3</v>
      </c>
      <c r="BE486" s="10">
        <v>0</v>
      </c>
      <c r="BF486" s="10">
        <v>0</v>
      </c>
      <c r="BG486" s="13">
        <v>45426</v>
      </c>
    </row>
    <row r="487" spans="49:59" x14ac:dyDescent="0.3">
      <c r="AW487" s="1">
        <v>11.1</v>
      </c>
      <c r="AX487" s="1">
        <v>11.1</v>
      </c>
      <c r="AY487" t="str">
        <v>R080_HI782-0_0.0_LOT0568_PWW19.1_QC.xlsx</v>
      </c>
      <c r="AZ487" t="str">
        <v>LOT0568</v>
      </c>
      <c r="BA487" s="3">
        <v>11</v>
      </c>
      <c r="BB487" t="str">
        <v>P/Final</v>
      </c>
      <c r="BC487">
        <v>0</v>
      </c>
      <c r="BD487" s="10">
        <v>0</v>
      </c>
      <c r="BE487" s="10">
        <v>0</v>
      </c>
      <c r="BF487" s="10">
        <v>0</v>
      </c>
      <c r="BG487" s="13">
        <v>45427</v>
      </c>
    </row>
    <row r="488" spans="49:59" x14ac:dyDescent="0.3">
      <c r="AW488" s="1">
        <v>11.1</v>
      </c>
      <c r="AX488" s="1">
        <v>11.1</v>
      </c>
      <c r="AY488" t="str">
        <v>R080_HI782-0_0.0_LOT0568_PWW19.1_QC.xlsx</v>
      </c>
      <c r="AZ488" t="str">
        <v>LOT0568</v>
      </c>
      <c r="BA488" s="3">
        <v>11</v>
      </c>
      <c r="BB488" t="str">
        <v>P/Final</v>
      </c>
      <c r="BC488">
        <v>0</v>
      </c>
      <c r="BD488" s="10">
        <v>0</v>
      </c>
      <c r="BE488" s="10">
        <v>0</v>
      </c>
      <c r="BF488" s="10">
        <v>0</v>
      </c>
      <c r="BG488" s="13">
        <v>45427</v>
      </c>
    </row>
    <row r="489" spans="49:59" x14ac:dyDescent="0.3">
      <c r="AW489" s="1">
        <v>11.1</v>
      </c>
      <c r="AX489" s="1">
        <v>11.1</v>
      </c>
      <c r="AY489" t="str">
        <v>R080_HI782-0_0.0_LOT0568_PWW19.1_QC.xlsx</v>
      </c>
      <c r="AZ489" t="str">
        <v>LOT0568</v>
      </c>
      <c r="BA489" s="3">
        <v>11</v>
      </c>
      <c r="BB489" t="str">
        <v>P/Final</v>
      </c>
      <c r="BC489">
        <v>15</v>
      </c>
      <c r="BD489" s="10">
        <v>17.7</v>
      </c>
      <c r="BE489" s="10">
        <v>0</v>
      </c>
      <c r="BF489" s="10">
        <v>0</v>
      </c>
      <c r="BG489" s="13">
        <v>45427</v>
      </c>
    </row>
    <row r="490" spans="49:59" x14ac:dyDescent="0.3">
      <c r="AW490" s="1">
        <v>11.1</v>
      </c>
      <c r="AX490" s="1">
        <v>11.1</v>
      </c>
      <c r="AY490" t="str">
        <v>R080_HI782-0_0.0_LOT0568_PWW19.1_QC.xlsx</v>
      </c>
      <c r="AZ490" t="str">
        <v>LOT0568</v>
      </c>
      <c r="BA490" s="3">
        <v>11</v>
      </c>
      <c r="BB490" t="str">
        <v>P/Final</v>
      </c>
      <c r="BC490">
        <v>15</v>
      </c>
      <c r="BD490" s="10">
        <v>17.899999999999999</v>
      </c>
      <c r="BE490" s="10">
        <v>0</v>
      </c>
      <c r="BF490" s="10">
        <v>0</v>
      </c>
      <c r="BG490" s="13">
        <v>45427</v>
      </c>
    </row>
    <row r="491" spans="49:59" x14ac:dyDescent="0.3">
      <c r="AW491" s="1">
        <v>11.1</v>
      </c>
      <c r="AX491" s="1">
        <v>11.1</v>
      </c>
      <c r="AY491" t="str">
        <v>R080_HI782-0_0.0_LOT0568_PWW19.1_QC.xlsx</v>
      </c>
      <c r="AZ491" t="str">
        <v>LOT0568</v>
      </c>
      <c r="BA491" s="3">
        <v>11</v>
      </c>
      <c r="BB491" t="str">
        <v>P/Final</v>
      </c>
      <c r="BC491">
        <v>15</v>
      </c>
      <c r="BD491" s="10">
        <v>16.600000000000001</v>
      </c>
      <c r="BE491" s="10">
        <v>0</v>
      </c>
      <c r="BF491" s="10">
        <v>0</v>
      </c>
      <c r="BG491" s="13">
        <v>45427</v>
      </c>
    </row>
    <row r="492" spans="49:59" x14ac:dyDescent="0.3">
      <c r="AW492" s="1">
        <v>11.1</v>
      </c>
      <c r="AX492" s="1">
        <v>11.1</v>
      </c>
      <c r="AY492" t="str">
        <v>R080_HI782-0_0.0_LOT0568_PWW19.1_QC.xlsx</v>
      </c>
      <c r="AZ492" t="str">
        <v>LOT0568</v>
      </c>
      <c r="BA492" s="3">
        <v>11</v>
      </c>
      <c r="BB492" t="str">
        <v>P/Final</v>
      </c>
      <c r="BC492">
        <v>15</v>
      </c>
      <c r="BD492" s="10">
        <v>16.899999999999999</v>
      </c>
      <c r="BE492" s="10">
        <v>0</v>
      </c>
      <c r="BF492" s="10">
        <v>0</v>
      </c>
      <c r="BG492" s="13">
        <v>45427</v>
      </c>
    </row>
    <row r="493" spans="49:59" x14ac:dyDescent="0.3">
      <c r="AW493" s="1">
        <v>11.1</v>
      </c>
      <c r="AX493" s="1">
        <v>11.1</v>
      </c>
      <c r="AY493" t="str">
        <v>R080_HI782-0_0.0_LOT0568_PWW19.1_QC.xlsx</v>
      </c>
      <c r="AZ493" t="str">
        <v>LOT0568</v>
      </c>
      <c r="BA493" s="3">
        <v>11</v>
      </c>
      <c r="BB493" t="str">
        <v>P/Final</v>
      </c>
      <c r="BC493">
        <v>15</v>
      </c>
      <c r="BD493" s="10">
        <v>17.7</v>
      </c>
      <c r="BE493" s="10">
        <v>0</v>
      </c>
      <c r="BF493" s="10">
        <v>0</v>
      </c>
      <c r="BG493" s="13">
        <v>45427</v>
      </c>
    </row>
    <row r="494" spans="49:59" x14ac:dyDescent="0.3">
      <c r="AW494" s="1">
        <v>11.1</v>
      </c>
      <c r="AX494" s="1">
        <v>11.1</v>
      </c>
      <c r="AY494" t="str">
        <v>R080_HI782-0_0.0_LOT0568_PWW19.1_QC.xlsx</v>
      </c>
      <c r="AZ494" t="str">
        <v>LOT0568</v>
      </c>
      <c r="BA494" s="3">
        <v>11</v>
      </c>
      <c r="BB494" t="str">
        <v>P/Final</v>
      </c>
      <c r="BC494">
        <v>15</v>
      </c>
      <c r="BD494" s="10">
        <v>15.9</v>
      </c>
      <c r="BE494" s="10">
        <v>0</v>
      </c>
      <c r="BF494" s="10">
        <v>0</v>
      </c>
      <c r="BG494" s="13">
        <v>45427</v>
      </c>
    </row>
    <row r="495" spans="49:59" x14ac:dyDescent="0.3">
      <c r="AW495" s="1">
        <v>11.1</v>
      </c>
      <c r="AX495" s="1">
        <v>11.1</v>
      </c>
      <c r="AY495" t="str">
        <v>R080_HI782-0_0.0_LOT0568_PWW19.1_QC.xlsx</v>
      </c>
      <c r="AZ495" t="str">
        <v>LOT0568</v>
      </c>
      <c r="BA495" s="3">
        <v>11</v>
      </c>
      <c r="BB495" t="str">
        <v>P/Final</v>
      </c>
      <c r="BC495">
        <v>15</v>
      </c>
      <c r="BD495" s="10">
        <v>16</v>
      </c>
      <c r="BE495" s="10">
        <v>0</v>
      </c>
      <c r="BF495" s="10">
        <v>0</v>
      </c>
      <c r="BG495" s="13">
        <v>45427</v>
      </c>
    </row>
    <row r="496" spans="49:59" x14ac:dyDescent="0.3">
      <c r="AW496" s="1">
        <v>11.1</v>
      </c>
      <c r="AX496" s="1">
        <v>11.1</v>
      </c>
      <c r="AY496" t="str">
        <v>R080_HI782-0_0.0_LOT0568_PWW19.1_QC.xlsx</v>
      </c>
      <c r="AZ496" t="str">
        <v>LOT0568</v>
      </c>
      <c r="BA496" s="3">
        <v>11</v>
      </c>
      <c r="BB496" t="str">
        <v>P/Final</v>
      </c>
      <c r="BC496">
        <v>15</v>
      </c>
      <c r="BD496" s="10">
        <v>17.100000000000001</v>
      </c>
      <c r="BE496" s="10">
        <v>0</v>
      </c>
      <c r="BF496" s="10">
        <v>0</v>
      </c>
      <c r="BG496" s="13">
        <v>45427</v>
      </c>
    </row>
    <row r="497" spans="49:59" x14ac:dyDescent="0.3">
      <c r="AW497" s="1">
        <v>11.1</v>
      </c>
      <c r="AX497" s="1">
        <v>11.1</v>
      </c>
      <c r="AY497" t="str">
        <v>R080_HI782-0_0.0_LOT0568_PWW19.1_QC.xlsx</v>
      </c>
      <c r="AZ497" t="str">
        <v>LOT0568</v>
      </c>
      <c r="BA497" s="3">
        <v>11</v>
      </c>
      <c r="BB497" t="str">
        <v>P/Final</v>
      </c>
      <c r="BC497">
        <v>15</v>
      </c>
      <c r="BD497" s="10">
        <v>16.3</v>
      </c>
      <c r="BE497" s="10">
        <v>0</v>
      </c>
      <c r="BF497" s="10">
        <v>0</v>
      </c>
      <c r="BG497" s="13">
        <v>45427</v>
      </c>
    </row>
    <row r="498" spans="49:59" x14ac:dyDescent="0.3">
      <c r="AW498" s="1">
        <v>11.1</v>
      </c>
      <c r="AX498" s="1">
        <v>11.1</v>
      </c>
      <c r="AY498" t="str">
        <v>R080_HI782-0_0.0_LOT0568_PWW19.1_QC.xlsx</v>
      </c>
      <c r="AZ498" t="str">
        <v>LOT0568</v>
      </c>
      <c r="BA498" s="3">
        <v>11</v>
      </c>
      <c r="BB498" t="str">
        <v>P/Final</v>
      </c>
      <c r="BC498">
        <v>15</v>
      </c>
      <c r="BD498" s="10">
        <v>17.2</v>
      </c>
      <c r="BE498" s="10">
        <v>0</v>
      </c>
      <c r="BF498" s="10">
        <v>0</v>
      </c>
      <c r="BG498" s="13">
        <v>45427</v>
      </c>
    </row>
    <row r="499" spans="49:59" x14ac:dyDescent="0.3">
      <c r="AW499" s="1">
        <v>11.1</v>
      </c>
      <c r="AX499" s="1">
        <v>11.1</v>
      </c>
      <c r="AY499" t="str">
        <v>R080_HI782-0_0.0_LOT0568_PWW19.1_QC.xlsx</v>
      </c>
      <c r="AZ499" t="str">
        <v>LOT0568</v>
      </c>
      <c r="BA499" s="3">
        <v>11</v>
      </c>
      <c r="BB499" t="str">
        <v>P/Final</v>
      </c>
      <c r="BC499">
        <v>15</v>
      </c>
      <c r="BD499" s="10">
        <v>17.7</v>
      </c>
      <c r="BE499" s="10">
        <v>0</v>
      </c>
      <c r="BF499" s="10">
        <v>0</v>
      </c>
      <c r="BG499" s="13">
        <v>45427</v>
      </c>
    </row>
    <row r="500" spans="49:59" x14ac:dyDescent="0.3">
      <c r="AW500" s="1">
        <v>11.1</v>
      </c>
      <c r="AX500" s="1">
        <v>11.1</v>
      </c>
      <c r="AY500" t="str">
        <v>R080_HI782-0_0.0_LOT0568_PWW19.1_QC.xlsx</v>
      </c>
      <c r="AZ500" t="str">
        <v>LOT0568</v>
      </c>
      <c r="BA500" s="3">
        <v>11</v>
      </c>
      <c r="BB500" t="str">
        <v>P/Final</v>
      </c>
      <c r="BC500">
        <v>15</v>
      </c>
      <c r="BD500" s="10">
        <v>15.8</v>
      </c>
      <c r="BE500" s="10">
        <v>0</v>
      </c>
      <c r="BF500" s="10">
        <v>0</v>
      </c>
      <c r="BG500" s="13">
        <v>45427</v>
      </c>
    </row>
    <row r="501" spans="49:59" x14ac:dyDescent="0.3">
      <c r="AW501" s="1">
        <v>11.1</v>
      </c>
      <c r="AX501" s="1">
        <v>11.1</v>
      </c>
      <c r="AY501" t="str">
        <v>R080_HI782-0_0.0_LOT0568_PWW19.1_QC.xlsx</v>
      </c>
      <c r="AZ501" t="str">
        <v>LOT0568</v>
      </c>
      <c r="BA501" s="3">
        <v>11</v>
      </c>
      <c r="BB501" t="str">
        <v>P/Final</v>
      </c>
      <c r="BC501">
        <v>15</v>
      </c>
      <c r="BD501" s="10">
        <v>15.8</v>
      </c>
      <c r="BE501" s="10">
        <v>0</v>
      </c>
      <c r="BF501" s="10">
        <v>0</v>
      </c>
      <c r="BG501" s="13">
        <v>45427</v>
      </c>
    </row>
    <row r="502" spans="49:59" x14ac:dyDescent="0.3">
      <c r="AW502" s="1">
        <v>11.1</v>
      </c>
      <c r="AX502" s="1">
        <v>11.1</v>
      </c>
      <c r="AY502" t="str">
        <v>R080_HI782-0_0.0_LOT0568_PWW19.1_QC.xlsx</v>
      </c>
      <c r="AZ502" t="str">
        <v>LOT0568</v>
      </c>
      <c r="BA502" s="3">
        <v>11</v>
      </c>
      <c r="BB502" t="str">
        <v>P/Final</v>
      </c>
      <c r="BC502">
        <v>15</v>
      </c>
      <c r="BD502" s="10">
        <v>17.2</v>
      </c>
      <c r="BE502" s="10">
        <v>0</v>
      </c>
      <c r="BF502" s="10">
        <v>0</v>
      </c>
      <c r="BG502" s="13">
        <v>45427</v>
      </c>
    </row>
    <row r="503" spans="49:59" x14ac:dyDescent="0.3">
      <c r="AW503" s="1">
        <v>11.1</v>
      </c>
      <c r="AX503" s="1">
        <v>11.1</v>
      </c>
      <c r="AY503" t="str">
        <v>R080_HI782-0_0.0_LOT0568_PWW19.1_QC.xlsx</v>
      </c>
      <c r="AZ503" t="str">
        <v>LOT0568</v>
      </c>
      <c r="BA503" s="3">
        <v>11</v>
      </c>
      <c r="BB503" t="str">
        <v>P/Final</v>
      </c>
      <c r="BC503">
        <v>35</v>
      </c>
      <c r="BD503" s="10">
        <v>35.9</v>
      </c>
      <c r="BE503" s="10">
        <v>0</v>
      </c>
      <c r="BF503" s="10">
        <v>0</v>
      </c>
      <c r="BG503" s="13">
        <v>45427</v>
      </c>
    </row>
    <row r="504" spans="49:59" x14ac:dyDescent="0.3">
      <c r="AW504" s="1">
        <v>11.1</v>
      </c>
      <c r="AX504" s="1">
        <v>11.1</v>
      </c>
      <c r="AY504" t="str">
        <v>R080_HI782-0_0.0_LOT0568_PWW19.1_QC.xlsx</v>
      </c>
      <c r="AZ504" t="str">
        <v>LOT0568</v>
      </c>
      <c r="BA504" s="3">
        <v>11</v>
      </c>
      <c r="BB504" t="str">
        <v>P/Final</v>
      </c>
      <c r="BC504">
        <v>35</v>
      </c>
      <c r="BD504" s="10">
        <v>33.299999999999997</v>
      </c>
      <c r="BE504" s="10">
        <v>0</v>
      </c>
      <c r="BF504" s="10">
        <v>0</v>
      </c>
      <c r="BG504" s="13">
        <v>45427</v>
      </c>
    </row>
    <row r="505" spans="49:59" x14ac:dyDescent="0.3">
      <c r="AW505" s="1">
        <v>11.1</v>
      </c>
      <c r="AX505" s="1">
        <v>11.1</v>
      </c>
      <c r="AY505" t="str">
        <v>R080_HI782-0_0.0_LOT0568_PWW19.1_QC.xlsx</v>
      </c>
      <c r="AZ505" t="str">
        <v>LOT0568</v>
      </c>
      <c r="BA505" s="3">
        <v>11</v>
      </c>
      <c r="BB505" t="str">
        <v>P/Final</v>
      </c>
      <c r="BC505">
        <v>35</v>
      </c>
      <c r="BD505" s="10">
        <v>34.799999999999997</v>
      </c>
      <c r="BE505" s="10">
        <v>0</v>
      </c>
      <c r="BF505" s="10">
        <v>0</v>
      </c>
      <c r="BG505" s="13">
        <v>45427</v>
      </c>
    </row>
    <row r="506" spans="49:59" x14ac:dyDescent="0.3">
      <c r="AW506" s="1">
        <v>11.1</v>
      </c>
      <c r="AX506" s="1">
        <v>11.1</v>
      </c>
      <c r="AY506" t="str">
        <v>R080_HI782-0_0.0_LOT0568_PWW19.1_QC.xlsx</v>
      </c>
      <c r="AZ506" t="str">
        <v>LOT0568</v>
      </c>
      <c r="BA506" s="3">
        <v>11</v>
      </c>
      <c r="BB506" t="str">
        <v>P/Final</v>
      </c>
      <c r="BC506">
        <v>35</v>
      </c>
      <c r="BD506" s="10">
        <v>36.6</v>
      </c>
      <c r="BE506" s="10">
        <v>0</v>
      </c>
      <c r="BF506" s="10">
        <v>0</v>
      </c>
      <c r="BG506" s="13">
        <v>45427</v>
      </c>
    </row>
    <row r="507" spans="49:59" x14ac:dyDescent="0.3">
      <c r="AW507" s="1">
        <v>11.1</v>
      </c>
      <c r="AX507" s="1">
        <v>11.1</v>
      </c>
      <c r="AY507" t="str">
        <v>R080_HI782-0_0.0_LOT0568_PWW19.1_QC.xlsx</v>
      </c>
      <c r="AZ507" t="str">
        <v>LOT0568</v>
      </c>
      <c r="BA507" s="3">
        <v>11</v>
      </c>
      <c r="BB507" t="str">
        <v>P/Final</v>
      </c>
      <c r="BC507">
        <v>35</v>
      </c>
      <c r="BD507" s="10">
        <v>38</v>
      </c>
      <c r="BE507" s="10">
        <v>0</v>
      </c>
      <c r="BF507" s="10">
        <v>0</v>
      </c>
      <c r="BG507" s="13">
        <v>45427</v>
      </c>
    </row>
    <row r="508" spans="49:59" x14ac:dyDescent="0.3">
      <c r="AW508" s="1">
        <v>11.1</v>
      </c>
      <c r="AX508" s="1">
        <v>11.1</v>
      </c>
      <c r="AY508" t="str">
        <v>R080_HI782-0_0.0_LOT0568_PWW19.1_QC.xlsx</v>
      </c>
      <c r="AZ508" t="str">
        <v>LOT0568</v>
      </c>
      <c r="BA508" s="3">
        <v>11</v>
      </c>
      <c r="BB508" t="str">
        <v>P/Final</v>
      </c>
      <c r="BC508">
        <v>35</v>
      </c>
      <c r="BD508" s="10">
        <v>35.9</v>
      </c>
      <c r="BE508" s="10">
        <v>0</v>
      </c>
      <c r="BF508" s="10">
        <v>0</v>
      </c>
      <c r="BG508" s="13">
        <v>45427</v>
      </c>
    </row>
    <row r="509" spans="49:59" x14ac:dyDescent="0.3">
      <c r="AW509" s="1">
        <v>11.1</v>
      </c>
      <c r="AX509" s="1">
        <v>11.1</v>
      </c>
      <c r="AY509" t="str">
        <v>R080_HI782-0_0.0_LOT0568_PWW19.1_QC.xlsx</v>
      </c>
      <c r="AZ509" t="str">
        <v>LOT0568</v>
      </c>
      <c r="BA509" s="3">
        <v>11</v>
      </c>
      <c r="BB509" t="str">
        <v>P/Final</v>
      </c>
      <c r="BC509">
        <v>35</v>
      </c>
      <c r="BD509" s="10">
        <v>35</v>
      </c>
      <c r="BE509" s="10">
        <v>0</v>
      </c>
      <c r="BF509" s="10">
        <v>0</v>
      </c>
      <c r="BG509" s="13">
        <v>45427</v>
      </c>
    </row>
    <row r="510" spans="49:59" x14ac:dyDescent="0.3">
      <c r="AW510" s="1">
        <v>11.1</v>
      </c>
      <c r="AX510" s="1">
        <v>11.1</v>
      </c>
      <c r="AY510" t="str">
        <v>R080_HI782-0_0.0_LOT0568_PWW19.1_QC.xlsx</v>
      </c>
      <c r="AZ510" t="str">
        <v>LOT0568</v>
      </c>
      <c r="BA510" s="3">
        <v>11</v>
      </c>
      <c r="BB510" t="str">
        <v>P/Final</v>
      </c>
      <c r="BC510">
        <v>35</v>
      </c>
      <c r="BD510" s="10">
        <v>37.799999999999997</v>
      </c>
      <c r="BE510" s="10">
        <v>0</v>
      </c>
      <c r="BF510" s="10">
        <v>0</v>
      </c>
      <c r="BG510" s="13">
        <v>45427</v>
      </c>
    </row>
    <row r="511" spans="49:59" x14ac:dyDescent="0.3">
      <c r="AW511" s="1">
        <v>11.1</v>
      </c>
      <c r="AX511" s="1">
        <v>11.1</v>
      </c>
      <c r="AY511" t="str">
        <v>R080_HI782-0_0.0_LOT0568_PWW19.1_QC.xlsx</v>
      </c>
      <c r="AZ511" t="str">
        <v>LOT0568</v>
      </c>
      <c r="BA511" s="3">
        <v>11</v>
      </c>
      <c r="BB511" t="str">
        <v>P/Final</v>
      </c>
      <c r="BC511">
        <v>35</v>
      </c>
      <c r="BD511" s="10">
        <v>37.6</v>
      </c>
      <c r="BE511" s="10">
        <v>0</v>
      </c>
      <c r="BF511" s="10">
        <v>0</v>
      </c>
      <c r="BG511" s="13">
        <v>45427</v>
      </c>
    </row>
    <row r="512" spans="49:59" x14ac:dyDescent="0.3">
      <c r="AW512" s="1">
        <v>11.1</v>
      </c>
      <c r="AX512" s="1">
        <v>11.1</v>
      </c>
      <c r="AY512" t="str">
        <v>R080_HI782-0_0.0_LOT0568_PWW19.1_QC.xlsx</v>
      </c>
      <c r="AZ512" t="str">
        <v>LOT0568</v>
      </c>
      <c r="BA512" s="3">
        <v>11</v>
      </c>
      <c r="BB512" t="str">
        <v>P/Final</v>
      </c>
      <c r="BC512">
        <v>35</v>
      </c>
      <c r="BD512" s="10">
        <v>35</v>
      </c>
      <c r="BE512" s="10">
        <v>0</v>
      </c>
      <c r="BF512" s="10">
        <v>0</v>
      </c>
      <c r="BG512" s="13">
        <v>45427</v>
      </c>
    </row>
    <row r="513" spans="49:59" x14ac:dyDescent="0.3">
      <c r="AW513" s="1">
        <v>11.1</v>
      </c>
      <c r="AX513" s="1">
        <v>11.1</v>
      </c>
      <c r="AY513" t="str">
        <v>R080_HI782-0_0.0_LOT0568_PWW19.1_QC.xlsx</v>
      </c>
      <c r="AZ513" t="str">
        <v>LOT0568</v>
      </c>
      <c r="BA513" s="3">
        <v>11</v>
      </c>
      <c r="BB513" t="str">
        <v>P/Final</v>
      </c>
      <c r="BC513">
        <v>35</v>
      </c>
      <c r="BD513" s="10">
        <v>37.5</v>
      </c>
      <c r="BE513" s="10">
        <v>0</v>
      </c>
      <c r="BF513" s="10">
        <v>0</v>
      </c>
      <c r="BG513" s="13">
        <v>45427</v>
      </c>
    </row>
    <row r="514" spans="49:59" x14ac:dyDescent="0.3">
      <c r="AW514" s="1">
        <v>11.1</v>
      </c>
      <c r="AX514" s="1">
        <v>11.1</v>
      </c>
      <c r="AY514" t="str">
        <v>R080_HI782-0_0.0_LOT0568_PWW19.1_QC.xlsx</v>
      </c>
      <c r="AZ514" t="str">
        <v>LOT0568</v>
      </c>
      <c r="BA514" s="3">
        <v>11</v>
      </c>
      <c r="BB514" t="str">
        <v>P/Final</v>
      </c>
      <c r="BC514">
        <v>35</v>
      </c>
      <c r="BD514" s="10">
        <v>37.299999999999997</v>
      </c>
      <c r="BE514" s="10">
        <v>0</v>
      </c>
      <c r="BF514" s="10">
        <v>0</v>
      </c>
      <c r="BG514" s="13">
        <v>45427</v>
      </c>
    </row>
    <row r="515" spans="49:59" x14ac:dyDescent="0.3">
      <c r="AW515" s="1">
        <v>11.1</v>
      </c>
      <c r="AX515" s="1">
        <v>11.1</v>
      </c>
      <c r="AY515" t="str">
        <v>R080_HI782-0_0.0_LOT0568_PWW19.1_QC.xlsx</v>
      </c>
      <c r="AZ515" t="str">
        <v>LOT0568</v>
      </c>
      <c r="BA515" s="3">
        <v>11</v>
      </c>
      <c r="BB515" t="str">
        <v>P/Final</v>
      </c>
      <c r="BC515">
        <v>35</v>
      </c>
      <c r="BD515" s="10">
        <v>39.200000000000003</v>
      </c>
      <c r="BE515" s="10">
        <v>0</v>
      </c>
      <c r="BF515" s="10">
        <v>0</v>
      </c>
      <c r="BG515" s="13">
        <v>45427</v>
      </c>
    </row>
    <row r="516" spans="49:59" x14ac:dyDescent="0.3">
      <c r="AW516" s="1">
        <v>11.1</v>
      </c>
      <c r="AX516" s="1">
        <v>11.1</v>
      </c>
      <c r="AY516" t="str">
        <v>R080_HI782-0_0.0_LOT0568_PWW19.1_QC.xlsx</v>
      </c>
      <c r="AZ516" t="str">
        <v>LOT0568</v>
      </c>
      <c r="BA516" s="3">
        <v>11</v>
      </c>
      <c r="BB516" t="str">
        <v>P/Final</v>
      </c>
      <c r="BC516">
        <v>35</v>
      </c>
      <c r="BD516" s="10">
        <v>37.700000000000003</v>
      </c>
      <c r="BE516" s="10">
        <v>0</v>
      </c>
      <c r="BF516" s="10">
        <v>0</v>
      </c>
      <c r="BG516" s="13">
        <v>45427</v>
      </c>
    </row>
    <row r="517" spans="49:59" x14ac:dyDescent="0.3">
      <c r="AW517" s="1">
        <v>11.1</v>
      </c>
      <c r="AX517" s="1">
        <v>11.1</v>
      </c>
      <c r="AY517" t="str">
        <v>R080_HI782-0_0.0_LOT0568_PWW19.1_QC.xlsx</v>
      </c>
      <c r="AZ517" t="str">
        <v>LOT0568</v>
      </c>
      <c r="BA517" s="3">
        <v>11</v>
      </c>
      <c r="BB517" t="str">
        <v>P/Final</v>
      </c>
      <c r="BC517">
        <v>35</v>
      </c>
      <c r="BD517" s="10">
        <v>37.299999999999997</v>
      </c>
      <c r="BE517" s="10">
        <v>0</v>
      </c>
      <c r="BF517" s="10">
        <v>0</v>
      </c>
      <c r="BG517" s="13">
        <v>45427</v>
      </c>
    </row>
    <row r="518" spans="49:59" x14ac:dyDescent="0.3">
      <c r="AW518" s="1">
        <v>11.1</v>
      </c>
      <c r="AX518" s="1">
        <v>11.1</v>
      </c>
      <c r="AY518" t="str">
        <v>R080_HI782-0_0.0_LOT0568_PWW19.1_QC.xlsx</v>
      </c>
      <c r="AZ518" t="str">
        <v>LOT0568</v>
      </c>
      <c r="BA518" s="3">
        <v>11</v>
      </c>
      <c r="BB518" t="str">
        <v>P/Final</v>
      </c>
      <c r="BC518">
        <v>60</v>
      </c>
      <c r="BD518" s="10">
        <v>59</v>
      </c>
      <c r="BE518" s="10">
        <v>0</v>
      </c>
      <c r="BF518" s="10">
        <v>0</v>
      </c>
      <c r="BG518" s="13">
        <v>45427</v>
      </c>
    </row>
    <row r="519" spans="49:59" x14ac:dyDescent="0.3">
      <c r="AW519" s="1">
        <v>11.1</v>
      </c>
      <c r="AX519" s="1">
        <v>11.1</v>
      </c>
      <c r="AY519" t="str">
        <v>R080_HI782-0_0.0_LOT0568_PWW19.1_QC.xlsx</v>
      </c>
      <c r="AZ519" t="str">
        <v>LOT0568</v>
      </c>
      <c r="BA519" s="3">
        <v>11</v>
      </c>
      <c r="BB519" t="str">
        <v>P/Final</v>
      </c>
      <c r="BC519">
        <v>60</v>
      </c>
      <c r="BD519" s="10">
        <v>60</v>
      </c>
      <c r="BE519" s="10">
        <v>0</v>
      </c>
      <c r="BF519" s="10">
        <v>0</v>
      </c>
      <c r="BG519" s="13">
        <v>45427</v>
      </c>
    </row>
    <row r="520" spans="49:59" x14ac:dyDescent="0.3">
      <c r="AW520" s="1">
        <v>11.1</v>
      </c>
      <c r="AX520" s="1">
        <v>11.1</v>
      </c>
      <c r="AY520" t="str">
        <v>R080_HI782-0_0.0_LOT0568_PWW19.1_QC.xlsx</v>
      </c>
      <c r="AZ520" t="str">
        <v>LOT0568</v>
      </c>
      <c r="BA520" s="3">
        <v>11</v>
      </c>
      <c r="BB520" t="str">
        <v>P/Final</v>
      </c>
      <c r="BC520">
        <v>60</v>
      </c>
      <c r="BD520" s="10">
        <v>61</v>
      </c>
      <c r="BE520" s="10">
        <v>0</v>
      </c>
      <c r="BF520" s="10">
        <v>0</v>
      </c>
      <c r="BG520" s="13">
        <v>45427</v>
      </c>
    </row>
    <row r="521" spans="49:59" x14ac:dyDescent="0.3">
      <c r="AW521" s="1">
        <v>11.1</v>
      </c>
      <c r="AX521" s="1">
        <v>11.1</v>
      </c>
      <c r="AY521" t="str">
        <v>R080_HI782-0_0.0_LOT0568_PWW19.1_QC.xlsx</v>
      </c>
      <c r="AZ521" t="str">
        <v>LOT0568</v>
      </c>
      <c r="BA521" s="3">
        <v>11</v>
      </c>
      <c r="BB521" t="str">
        <v>P/Final</v>
      </c>
      <c r="BC521">
        <v>60</v>
      </c>
      <c r="BD521" s="10">
        <v>58.5</v>
      </c>
      <c r="BE521" s="10">
        <v>0</v>
      </c>
      <c r="BF521" s="10">
        <v>0</v>
      </c>
      <c r="BG521" s="13">
        <v>45427</v>
      </c>
    </row>
    <row r="522" spans="49:59" x14ac:dyDescent="0.3">
      <c r="AW522" s="1">
        <v>11.1</v>
      </c>
      <c r="AX522" s="1">
        <v>11.1</v>
      </c>
      <c r="AY522" t="str">
        <v>R080_HI782-0_0.0_LOT0568_PWW19.1_QC.xlsx</v>
      </c>
      <c r="AZ522" t="str">
        <v>LOT0568</v>
      </c>
      <c r="BA522" s="3">
        <v>11</v>
      </c>
      <c r="BB522" t="str">
        <v>P/Final</v>
      </c>
      <c r="BC522">
        <v>60</v>
      </c>
      <c r="BD522" s="10">
        <v>61.6</v>
      </c>
      <c r="BE522" s="10">
        <v>0</v>
      </c>
      <c r="BF522" s="10">
        <v>0</v>
      </c>
      <c r="BG522" s="13">
        <v>45427</v>
      </c>
    </row>
    <row r="523" spans="49:59" x14ac:dyDescent="0.3">
      <c r="AW523" s="1">
        <v>11.1</v>
      </c>
      <c r="AX523" s="1">
        <v>11.1</v>
      </c>
      <c r="AY523" t="str">
        <v>R080_HI782-0_0.0_LOT0568_PWW19.1_QC.xlsx</v>
      </c>
      <c r="AZ523" t="str">
        <v>LOT0568</v>
      </c>
      <c r="BA523" s="3">
        <v>11</v>
      </c>
      <c r="BB523" t="str">
        <v>P/Final</v>
      </c>
      <c r="BC523">
        <v>60</v>
      </c>
      <c r="BD523" s="10">
        <v>62</v>
      </c>
      <c r="BE523" s="10">
        <v>0</v>
      </c>
      <c r="BF523" s="10">
        <v>0</v>
      </c>
      <c r="BG523" s="13">
        <v>45427</v>
      </c>
    </row>
    <row r="524" spans="49:59" x14ac:dyDescent="0.3">
      <c r="AW524" s="1">
        <v>11.1</v>
      </c>
      <c r="AX524" s="1">
        <v>11.1</v>
      </c>
      <c r="AY524" t="str">
        <v>R080_HI782-0_0.0_LOT0568_PWW19.1_QC.xlsx</v>
      </c>
      <c r="AZ524" t="str">
        <v>LOT0568</v>
      </c>
      <c r="BA524" s="3">
        <v>11</v>
      </c>
      <c r="BB524" t="str">
        <v>P/Final</v>
      </c>
      <c r="BC524">
        <v>60</v>
      </c>
      <c r="BD524" s="10">
        <v>57.3</v>
      </c>
      <c r="BE524" s="10">
        <v>0</v>
      </c>
      <c r="BF524" s="10">
        <v>0</v>
      </c>
      <c r="BG524" s="13">
        <v>45427</v>
      </c>
    </row>
    <row r="525" spans="49:59" x14ac:dyDescent="0.3">
      <c r="AW525" s="1">
        <v>11.1</v>
      </c>
      <c r="AX525" s="1">
        <v>11.1</v>
      </c>
      <c r="AY525" t="str">
        <v>R080_HI782-0_0.0_LOT0568_PWW19.1_QC.xlsx</v>
      </c>
      <c r="AZ525" t="str">
        <v>LOT0568</v>
      </c>
      <c r="BA525" s="3">
        <v>11</v>
      </c>
      <c r="BB525" t="str">
        <v>P/Final</v>
      </c>
      <c r="BC525">
        <v>60</v>
      </c>
      <c r="BD525" s="10">
        <v>61.7</v>
      </c>
      <c r="BE525" s="10">
        <v>0</v>
      </c>
      <c r="BF525" s="10">
        <v>0</v>
      </c>
      <c r="BG525" s="13">
        <v>45427</v>
      </c>
    </row>
    <row r="526" spans="49:59" x14ac:dyDescent="0.3">
      <c r="AW526" s="1">
        <v>11.1</v>
      </c>
      <c r="AX526" s="1">
        <v>11.1</v>
      </c>
      <c r="AY526" t="str">
        <v>R080_HI782-0_0.0_LOT0568_PWW19.1_QC.xlsx</v>
      </c>
      <c r="AZ526" t="str">
        <v>LOT0568</v>
      </c>
      <c r="BA526" s="3">
        <v>11</v>
      </c>
      <c r="BB526" t="str">
        <v>P/Final</v>
      </c>
      <c r="BC526">
        <v>60</v>
      </c>
      <c r="BD526" s="10">
        <v>62.5</v>
      </c>
      <c r="BE526" s="10">
        <v>0</v>
      </c>
      <c r="BF526" s="10">
        <v>0</v>
      </c>
      <c r="BG526" s="13">
        <v>45427</v>
      </c>
    </row>
    <row r="527" spans="49:59" x14ac:dyDescent="0.3">
      <c r="AW527" s="1">
        <v>11.1</v>
      </c>
      <c r="AX527" s="1">
        <v>11.1</v>
      </c>
      <c r="AY527" t="str">
        <v>R080_HI782-0_0.0_LOT0568_PWW19.1_QC.xlsx</v>
      </c>
      <c r="AZ527" t="str">
        <v>LOT0568</v>
      </c>
      <c r="BA527" s="3">
        <v>11</v>
      </c>
      <c r="BB527" t="str">
        <v>P/Final</v>
      </c>
      <c r="BC527">
        <v>60</v>
      </c>
      <c r="BD527" s="10">
        <v>61.2</v>
      </c>
      <c r="BE527" s="10">
        <v>0</v>
      </c>
      <c r="BF527" s="10">
        <v>0</v>
      </c>
      <c r="BG527" s="13">
        <v>45427</v>
      </c>
    </row>
    <row r="528" spans="49:59" x14ac:dyDescent="0.3">
      <c r="AW528" s="1">
        <v>11.1</v>
      </c>
      <c r="AX528" s="1">
        <v>11.1</v>
      </c>
      <c r="AY528" t="str">
        <v>R080_HI782-0_0.0_LOT0568_PWW19.1_QC.xlsx</v>
      </c>
      <c r="AZ528" t="str">
        <v>LOT0568</v>
      </c>
      <c r="BA528" s="3">
        <v>11</v>
      </c>
      <c r="BB528" t="str">
        <v>P/Final</v>
      </c>
      <c r="BC528">
        <v>60</v>
      </c>
      <c r="BD528" s="10">
        <v>63.6</v>
      </c>
      <c r="BE528" s="10">
        <v>0</v>
      </c>
      <c r="BF528" s="10">
        <v>0</v>
      </c>
      <c r="BG528" s="13">
        <v>45427</v>
      </c>
    </row>
    <row r="529" spans="49:59" x14ac:dyDescent="0.3">
      <c r="AW529" s="1">
        <v>11.1</v>
      </c>
      <c r="AX529" s="1">
        <v>11.1</v>
      </c>
      <c r="AY529" t="str">
        <v>R080_HI782-0_0.0_LOT0568_PWW19.1_QC.xlsx</v>
      </c>
      <c r="AZ529" t="str">
        <v>LOT0568</v>
      </c>
      <c r="BA529" s="3">
        <v>11</v>
      </c>
      <c r="BB529" t="str">
        <v>P/Final</v>
      </c>
      <c r="BC529">
        <v>60</v>
      </c>
      <c r="BD529" s="10">
        <v>61.2</v>
      </c>
      <c r="BE529" s="10">
        <v>0</v>
      </c>
      <c r="BF529" s="10">
        <v>0</v>
      </c>
      <c r="BG529" s="13">
        <v>45427</v>
      </c>
    </row>
    <row r="530" spans="49:59" x14ac:dyDescent="0.3">
      <c r="AW530" s="1">
        <v>11.1</v>
      </c>
      <c r="AX530" s="1">
        <v>11.1</v>
      </c>
      <c r="AY530" t="str">
        <v>R080_HI782-0_0.0_LOT0568_PWW19.1_QC.xlsx</v>
      </c>
      <c r="AZ530" t="str">
        <v>LOT0568</v>
      </c>
      <c r="BA530" s="3">
        <v>11</v>
      </c>
      <c r="BB530" t="str">
        <v>P/Final</v>
      </c>
      <c r="BC530">
        <v>60</v>
      </c>
      <c r="BD530" s="10">
        <v>63.1</v>
      </c>
      <c r="BE530" s="10">
        <v>0</v>
      </c>
      <c r="BF530" s="10">
        <v>0</v>
      </c>
      <c r="BG530" s="13">
        <v>45427</v>
      </c>
    </row>
    <row r="531" spans="49:59" x14ac:dyDescent="0.3">
      <c r="AW531" s="1">
        <v>11.1</v>
      </c>
      <c r="AX531" s="1">
        <v>11.1</v>
      </c>
      <c r="AY531" t="str">
        <v>R080_HI782-0_0.0_LOT0568_PWW19.1_QC.xlsx</v>
      </c>
      <c r="AZ531" t="str">
        <v>LOT0568</v>
      </c>
      <c r="BA531" s="3">
        <v>11</v>
      </c>
      <c r="BB531" t="str">
        <v>P/Final</v>
      </c>
      <c r="BC531">
        <v>60</v>
      </c>
      <c r="BD531" s="10">
        <v>64.2</v>
      </c>
      <c r="BE531" s="10">
        <v>0</v>
      </c>
      <c r="BF531" s="10">
        <v>0</v>
      </c>
      <c r="BG531" s="13">
        <v>45427</v>
      </c>
    </row>
    <row r="532" spans="49:59" x14ac:dyDescent="0.3">
      <c r="AW532" s="1">
        <v>11.1</v>
      </c>
      <c r="AX532" s="1">
        <v>11.1</v>
      </c>
      <c r="AY532" t="str">
        <v>R080_HI782-0_0.0_LOT0568_PWW19.1_QC.xlsx</v>
      </c>
      <c r="AZ532" t="str">
        <v>LOT0568</v>
      </c>
      <c r="BA532" s="3">
        <v>11</v>
      </c>
      <c r="BB532" t="str">
        <v>P/Final</v>
      </c>
      <c r="BC532">
        <v>0</v>
      </c>
      <c r="BD532" s="10">
        <v>0</v>
      </c>
      <c r="BE532" s="10">
        <v>0</v>
      </c>
      <c r="BF532" s="10">
        <v>0</v>
      </c>
      <c r="BG532" s="13">
        <v>45428</v>
      </c>
    </row>
    <row r="533" spans="49:59" x14ac:dyDescent="0.3">
      <c r="AW533" s="1">
        <v>11.1</v>
      </c>
      <c r="AX533" s="1">
        <v>11.1</v>
      </c>
      <c r="AY533" t="str">
        <v>R080_HI782-0_0.0_LOT0568_PWW19.1_QC.xlsx</v>
      </c>
      <c r="AZ533" t="str">
        <v>LOT0568</v>
      </c>
      <c r="BA533" s="3">
        <v>11</v>
      </c>
      <c r="BB533" t="str">
        <v>P/Final</v>
      </c>
      <c r="BC533">
        <v>0</v>
      </c>
      <c r="BD533" s="10">
        <v>0</v>
      </c>
      <c r="BE533" s="10">
        <v>0</v>
      </c>
      <c r="BF533" s="10">
        <v>0</v>
      </c>
      <c r="BG533" s="13">
        <v>45428</v>
      </c>
    </row>
    <row r="534" spans="49:59" x14ac:dyDescent="0.3">
      <c r="AW534" s="1">
        <v>11.1</v>
      </c>
      <c r="AX534" s="1">
        <v>11.1</v>
      </c>
      <c r="AY534" t="str">
        <v>R080_HI782-0_0.0_LOT0568_PWW19.1_QC.xlsx</v>
      </c>
      <c r="AZ534" t="str">
        <v>LOT0568</v>
      </c>
      <c r="BA534" s="3">
        <v>11</v>
      </c>
      <c r="BB534" t="str">
        <v>P/Final</v>
      </c>
      <c r="BC534">
        <v>15</v>
      </c>
      <c r="BD534" s="10">
        <v>17.5</v>
      </c>
      <c r="BE534" s="10">
        <v>0</v>
      </c>
      <c r="BF534" s="10">
        <v>0</v>
      </c>
      <c r="BG534" s="13">
        <v>45428</v>
      </c>
    </row>
    <row r="535" spans="49:59" x14ac:dyDescent="0.3">
      <c r="AW535" s="1">
        <v>11.1</v>
      </c>
      <c r="AX535" s="1">
        <v>11.1</v>
      </c>
      <c r="AY535" t="str">
        <v>R080_HI782-0_0.0_LOT0568_PWW19.1_QC.xlsx</v>
      </c>
      <c r="AZ535" t="str">
        <v>LOT0568</v>
      </c>
      <c r="BA535" s="3">
        <v>11</v>
      </c>
      <c r="BB535" t="str">
        <v>P/Final</v>
      </c>
      <c r="BC535">
        <v>15</v>
      </c>
      <c r="BD535" s="10">
        <v>15.6</v>
      </c>
      <c r="BE535" s="10">
        <v>0</v>
      </c>
      <c r="BF535" s="10">
        <v>0</v>
      </c>
      <c r="BG535" s="13">
        <v>45428</v>
      </c>
    </row>
    <row r="536" spans="49:59" x14ac:dyDescent="0.3">
      <c r="AW536" s="1">
        <v>11.1</v>
      </c>
      <c r="AX536" s="1">
        <v>11.1</v>
      </c>
      <c r="AY536" t="str">
        <v>R080_HI782-0_0.0_LOT0568_PWW19.1_QC.xlsx</v>
      </c>
      <c r="AZ536" t="str">
        <v>LOT0568</v>
      </c>
      <c r="BA536" s="3">
        <v>11</v>
      </c>
      <c r="BB536" t="str">
        <v>P/Final</v>
      </c>
      <c r="BC536">
        <v>15</v>
      </c>
      <c r="BD536" s="10">
        <v>15.7</v>
      </c>
      <c r="BE536" s="10">
        <v>0</v>
      </c>
      <c r="BF536" s="10">
        <v>0</v>
      </c>
      <c r="BG536" s="13">
        <v>45428</v>
      </c>
    </row>
    <row r="537" spans="49:59" x14ac:dyDescent="0.3">
      <c r="AW537" s="1">
        <v>11.1</v>
      </c>
      <c r="AX537" s="1">
        <v>11.1</v>
      </c>
      <c r="AY537" t="str">
        <v>R080_HI782-0_0.0_LOT0568_PWW19.1_QC.xlsx</v>
      </c>
      <c r="AZ537" t="str">
        <v>LOT0568</v>
      </c>
      <c r="BA537" s="3">
        <v>11</v>
      </c>
      <c r="BB537" t="str">
        <v>P/Final</v>
      </c>
      <c r="BC537">
        <v>15</v>
      </c>
      <c r="BD537" s="10">
        <v>15.9</v>
      </c>
      <c r="BE537" s="10">
        <v>0</v>
      </c>
      <c r="BF537" s="10">
        <v>0</v>
      </c>
      <c r="BG537" s="13">
        <v>45428</v>
      </c>
    </row>
    <row r="538" spans="49:59" x14ac:dyDescent="0.3">
      <c r="AW538" s="1">
        <v>11.1</v>
      </c>
      <c r="AX538" s="1">
        <v>11.1</v>
      </c>
      <c r="AY538" t="str">
        <v>R080_HI782-0_0.0_LOT0568_PWW19.1_QC.xlsx</v>
      </c>
      <c r="AZ538" t="str">
        <v>LOT0568</v>
      </c>
      <c r="BA538" s="3">
        <v>11</v>
      </c>
      <c r="BB538" t="str">
        <v>P/Final</v>
      </c>
      <c r="BC538">
        <v>15</v>
      </c>
      <c r="BD538" s="10">
        <v>15.6</v>
      </c>
      <c r="BE538" s="10">
        <v>0</v>
      </c>
      <c r="BF538" s="10">
        <v>0</v>
      </c>
      <c r="BG538" s="13">
        <v>45428</v>
      </c>
    </row>
    <row r="539" spans="49:59" x14ac:dyDescent="0.3">
      <c r="AW539" s="1">
        <v>11.1</v>
      </c>
      <c r="AX539" s="1">
        <v>11.1</v>
      </c>
      <c r="AY539" t="str">
        <v>R080_HI782-0_0.0_LOT0568_PWW19.1_QC.xlsx</v>
      </c>
      <c r="AZ539" t="str">
        <v>LOT0568</v>
      </c>
      <c r="BA539" s="3">
        <v>11</v>
      </c>
      <c r="BB539" t="str">
        <v>P/Final</v>
      </c>
      <c r="BC539">
        <v>15</v>
      </c>
      <c r="BD539" s="10">
        <v>15.7</v>
      </c>
      <c r="BE539" s="10">
        <v>0</v>
      </c>
      <c r="BF539" s="10">
        <v>0</v>
      </c>
      <c r="BG539" s="13">
        <v>45428</v>
      </c>
    </row>
    <row r="540" spans="49:59" x14ac:dyDescent="0.3">
      <c r="AW540" s="1">
        <v>11.1</v>
      </c>
      <c r="AX540" s="1">
        <v>11.1</v>
      </c>
      <c r="AY540" t="str">
        <v>R080_HI782-0_0.0_LOT0568_PWW19.1_QC.xlsx</v>
      </c>
      <c r="AZ540" t="str">
        <v>LOT0568</v>
      </c>
      <c r="BA540" s="3">
        <v>11</v>
      </c>
      <c r="BB540" t="str">
        <v>P/Final</v>
      </c>
      <c r="BC540">
        <v>15</v>
      </c>
      <c r="BD540" s="10">
        <v>17.2</v>
      </c>
      <c r="BE540" s="10">
        <v>0</v>
      </c>
      <c r="BF540" s="10">
        <v>0</v>
      </c>
      <c r="BG540" s="13">
        <v>45428</v>
      </c>
    </row>
    <row r="541" spans="49:59" x14ac:dyDescent="0.3">
      <c r="AW541" s="1">
        <v>11.1</v>
      </c>
      <c r="AX541" s="1">
        <v>11.1</v>
      </c>
      <c r="AY541" t="str">
        <v>R080_HI782-0_0.0_LOT0568_PWW19.1_QC.xlsx</v>
      </c>
      <c r="AZ541" t="str">
        <v>LOT0568</v>
      </c>
      <c r="BA541" s="3">
        <v>11</v>
      </c>
      <c r="BB541" t="str">
        <v>P/Final</v>
      </c>
      <c r="BC541">
        <v>15</v>
      </c>
      <c r="BD541" s="10">
        <v>17.2</v>
      </c>
      <c r="BE541" s="10">
        <v>0</v>
      </c>
      <c r="BF541" s="10">
        <v>0</v>
      </c>
      <c r="BG541" s="13">
        <v>45428</v>
      </c>
    </row>
    <row r="542" spans="49:59" x14ac:dyDescent="0.3">
      <c r="AW542" s="1">
        <v>11.1</v>
      </c>
      <c r="AX542" s="1">
        <v>11.1</v>
      </c>
      <c r="AY542" t="str">
        <v>R080_HI782-0_0.0_LOT0568_PWW19.1_QC.xlsx</v>
      </c>
      <c r="AZ542" t="str">
        <v>LOT0568</v>
      </c>
      <c r="BA542" s="3">
        <v>11</v>
      </c>
      <c r="BB542" t="str">
        <v>P/Final</v>
      </c>
      <c r="BC542">
        <v>15</v>
      </c>
      <c r="BD542" s="10">
        <v>15.7</v>
      </c>
      <c r="BE542" s="10">
        <v>0</v>
      </c>
      <c r="BF542" s="10">
        <v>0</v>
      </c>
      <c r="BG542" s="13">
        <v>45428</v>
      </c>
    </row>
    <row r="543" spans="49:59" x14ac:dyDescent="0.3">
      <c r="AW543" s="1">
        <v>11.1</v>
      </c>
      <c r="AX543" s="1">
        <v>11.1</v>
      </c>
      <c r="AY543" t="str">
        <v>R080_HI782-0_0.0_LOT0568_PWW19.1_QC.xlsx</v>
      </c>
      <c r="AZ543" t="str">
        <v>LOT0568</v>
      </c>
      <c r="BA543" s="3">
        <v>11</v>
      </c>
      <c r="BB543" t="str">
        <v>P/Final</v>
      </c>
      <c r="BC543">
        <v>15</v>
      </c>
      <c r="BD543" s="10">
        <v>15.6</v>
      </c>
      <c r="BE543" s="10">
        <v>0</v>
      </c>
      <c r="BF543" s="10">
        <v>0</v>
      </c>
      <c r="BG543" s="13">
        <v>45428</v>
      </c>
    </row>
    <row r="544" spans="49:59" x14ac:dyDescent="0.3">
      <c r="AW544" s="1">
        <v>11.1</v>
      </c>
      <c r="AX544" s="1">
        <v>11.1</v>
      </c>
      <c r="AY544" t="str">
        <v>R080_HI782-0_0.0_LOT0568_PWW19.1_QC.xlsx</v>
      </c>
      <c r="AZ544" t="str">
        <v>LOT0568</v>
      </c>
      <c r="BA544" s="3">
        <v>11</v>
      </c>
      <c r="BB544" t="str">
        <v>P/Final</v>
      </c>
      <c r="BC544">
        <v>15</v>
      </c>
      <c r="BD544" s="10">
        <v>17.7</v>
      </c>
      <c r="BE544" s="10">
        <v>0</v>
      </c>
      <c r="BF544" s="10">
        <v>0</v>
      </c>
      <c r="BG544" s="13">
        <v>45428</v>
      </c>
    </row>
    <row r="545" spans="49:59" x14ac:dyDescent="0.3">
      <c r="AW545" s="1">
        <v>11.1</v>
      </c>
      <c r="AX545" s="1">
        <v>11.1</v>
      </c>
      <c r="AY545" t="str">
        <v>R080_HI782-0_0.0_LOT0568_PWW19.1_QC.xlsx</v>
      </c>
      <c r="AZ545" t="str">
        <v>LOT0568</v>
      </c>
      <c r="BA545" s="3">
        <v>11</v>
      </c>
      <c r="BB545" t="str">
        <v>P/Final</v>
      </c>
      <c r="BC545">
        <v>15</v>
      </c>
      <c r="BD545" s="10">
        <v>16.7</v>
      </c>
      <c r="BE545" s="10">
        <v>0</v>
      </c>
      <c r="BF545" s="10">
        <v>0</v>
      </c>
      <c r="BG545" s="13">
        <v>45428</v>
      </c>
    </row>
    <row r="546" spans="49:59" x14ac:dyDescent="0.3">
      <c r="AW546" s="1">
        <v>11.1</v>
      </c>
      <c r="AX546" s="1">
        <v>11.1</v>
      </c>
      <c r="AY546" t="str">
        <v>R080_HI782-0_0.0_LOT0568_PWW19.1_QC.xlsx</v>
      </c>
      <c r="AZ546" t="str">
        <v>LOT0568</v>
      </c>
      <c r="BA546" s="3">
        <v>11</v>
      </c>
      <c r="BB546" t="str">
        <v>P/Final</v>
      </c>
      <c r="BC546">
        <v>15</v>
      </c>
      <c r="BD546" s="10">
        <v>15.4</v>
      </c>
      <c r="BE546" s="10">
        <v>0</v>
      </c>
      <c r="BF546" s="10">
        <v>0</v>
      </c>
      <c r="BG546" s="13">
        <v>45428</v>
      </c>
    </row>
    <row r="547" spans="49:59" x14ac:dyDescent="0.3">
      <c r="AW547" s="1">
        <v>11.1</v>
      </c>
      <c r="AX547" s="1">
        <v>11.1</v>
      </c>
      <c r="AY547" t="str">
        <v>R080_HI782-0_0.0_LOT0568_PWW19.1_QC.xlsx</v>
      </c>
      <c r="AZ547" t="str">
        <v>LOT0568</v>
      </c>
      <c r="BA547" s="3">
        <v>11</v>
      </c>
      <c r="BB547" t="str">
        <v>P/Final</v>
      </c>
      <c r="BC547">
        <v>15</v>
      </c>
      <c r="BD547" s="10">
        <v>15.9</v>
      </c>
      <c r="BE547" s="10">
        <v>0</v>
      </c>
      <c r="BF547" s="10">
        <v>0</v>
      </c>
      <c r="BG547" s="13">
        <v>45428</v>
      </c>
    </row>
    <row r="548" spans="49:59" x14ac:dyDescent="0.3">
      <c r="AW548" s="1">
        <v>11.1</v>
      </c>
      <c r="AX548" s="1">
        <v>11.1</v>
      </c>
      <c r="AY548" t="str">
        <v>R080_HI782-0_0.0_LOT0568_PWW19.1_QC.xlsx</v>
      </c>
      <c r="AZ548" t="str">
        <v>LOT0568</v>
      </c>
      <c r="BA548" s="3">
        <v>11</v>
      </c>
      <c r="BB548" t="str">
        <v>P/Final</v>
      </c>
      <c r="BC548">
        <v>35</v>
      </c>
      <c r="BD548" s="10">
        <v>36.1</v>
      </c>
      <c r="BE548" s="10">
        <v>0</v>
      </c>
      <c r="BF548" s="10">
        <v>0</v>
      </c>
      <c r="BG548" s="13">
        <v>45428</v>
      </c>
    </row>
    <row r="549" spans="49:59" x14ac:dyDescent="0.3">
      <c r="AW549" s="1">
        <v>11.1</v>
      </c>
      <c r="AX549" s="1">
        <v>11.1</v>
      </c>
      <c r="AY549" t="str">
        <v>R080_HI782-0_0.0_LOT0568_PWW19.1_QC.xlsx</v>
      </c>
      <c r="AZ549" t="str">
        <v>LOT0568</v>
      </c>
      <c r="BA549" s="3">
        <v>11</v>
      </c>
      <c r="BB549" t="str">
        <v>P/Final</v>
      </c>
      <c r="BC549">
        <v>35</v>
      </c>
      <c r="BD549" s="10">
        <v>36.700000000000003</v>
      </c>
      <c r="BE549" s="10">
        <v>0</v>
      </c>
      <c r="BF549" s="10">
        <v>0</v>
      </c>
      <c r="BG549" s="13">
        <v>45428</v>
      </c>
    </row>
    <row r="550" spans="49:59" x14ac:dyDescent="0.3">
      <c r="AW550" s="1">
        <v>11.1</v>
      </c>
      <c r="AX550" s="1">
        <v>11.1</v>
      </c>
      <c r="AY550" t="str">
        <v>R080_HI782-0_0.0_LOT0568_PWW19.1_QC.xlsx</v>
      </c>
      <c r="AZ550" t="str">
        <v>LOT0568</v>
      </c>
      <c r="BA550" s="3">
        <v>11</v>
      </c>
      <c r="BB550" t="str">
        <v>P/Final</v>
      </c>
      <c r="BC550">
        <v>35</v>
      </c>
      <c r="BD550" s="10">
        <v>36.1</v>
      </c>
      <c r="BE550" s="10">
        <v>0</v>
      </c>
      <c r="BF550" s="10">
        <v>0</v>
      </c>
      <c r="BG550" s="13">
        <v>45428</v>
      </c>
    </row>
    <row r="551" spans="49:59" x14ac:dyDescent="0.3">
      <c r="AW551" s="1">
        <v>11.1</v>
      </c>
      <c r="AX551" s="1">
        <v>11.1</v>
      </c>
      <c r="AY551" t="str">
        <v>R080_HI782-0_0.0_LOT0568_PWW19.1_QC.xlsx</v>
      </c>
      <c r="AZ551" t="str">
        <v>LOT0568</v>
      </c>
      <c r="BA551" s="3">
        <v>11</v>
      </c>
      <c r="BB551" t="str">
        <v>P/Final</v>
      </c>
      <c r="BC551">
        <v>35</v>
      </c>
      <c r="BD551" s="10">
        <v>35.6</v>
      </c>
      <c r="BE551" s="10">
        <v>0</v>
      </c>
      <c r="BF551" s="10">
        <v>0</v>
      </c>
      <c r="BG551" s="13">
        <v>45428</v>
      </c>
    </row>
    <row r="552" spans="49:59" x14ac:dyDescent="0.3">
      <c r="AW552" s="1">
        <v>11.1</v>
      </c>
      <c r="AX552" s="1">
        <v>11.1</v>
      </c>
      <c r="AY552" t="str">
        <v>R080_HI782-0_0.0_LOT0568_PWW19.1_QC.xlsx</v>
      </c>
      <c r="AZ552" t="str">
        <v>LOT0568</v>
      </c>
      <c r="BA552" s="3">
        <v>11</v>
      </c>
      <c r="BB552" t="str">
        <v>P/Final</v>
      </c>
      <c r="BC552">
        <v>35</v>
      </c>
      <c r="BD552" s="10">
        <v>36.700000000000003</v>
      </c>
      <c r="BE552" s="10">
        <v>0</v>
      </c>
      <c r="BF552" s="10">
        <v>0</v>
      </c>
      <c r="BG552" s="13">
        <v>45428</v>
      </c>
    </row>
    <row r="553" spans="49:59" x14ac:dyDescent="0.3">
      <c r="AW553" s="1">
        <v>11.1</v>
      </c>
      <c r="AX553" s="1">
        <v>11.1</v>
      </c>
      <c r="AY553" t="str">
        <v>R080_HI782-0_0.0_LOT0568_PWW19.1_QC.xlsx</v>
      </c>
      <c r="AZ553" t="str">
        <v>LOT0568</v>
      </c>
      <c r="BA553" s="3">
        <v>11</v>
      </c>
      <c r="BB553" t="str">
        <v>P/Final</v>
      </c>
      <c r="BC553">
        <v>35</v>
      </c>
      <c r="BD553" s="10">
        <v>36.5</v>
      </c>
      <c r="BE553" s="10">
        <v>0</v>
      </c>
      <c r="BF553" s="10">
        <v>0</v>
      </c>
      <c r="BG553" s="13">
        <v>45428</v>
      </c>
    </row>
    <row r="554" spans="49:59" x14ac:dyDescent="0.3">
      <c r="AW554" s="1">
        <v>11.1</v>
      </c>
      <c r="AX554" s="1">
        <v>11.1</v>
      </c>
      <c r="AY554" t="str">
        <v>R080_HI782-0_0.0_LOT0568_PWW19.1_QC.xlsx</v>
      </c>
      <c r="AZ554" t="str">
        <v>LOT0568</v>
      </c>
      <c r="BA554" s="3">
        <v>11</v>
      </c>
      <c r="BB554" t="str">
        <v>P/Final</v>
      </c>
      <c r="BC554">
        <v>35</v>
      </c>
      <c r="BD554" s="10">
        <v>36.200000000000003</v>
      </c>
      <c r="BE554" s="10">
        <v>0</v>
      </c>
      <c r="BF554" s="10">
        <v>0</v>
      </c>
      <c r="BG554" s="13">
        <v>45428</v>
      </c>
    </row>
    <row r="555" spans="49:59" x14ac:dyDescent="0.3">
      <c r="AW555" s="1">
        <v>11.1</v>
      </c>
      <c r="AX555" s="1">
        <v>11.1</v>
      </c>
      <c r="AY555" t="str">
        <v>R080_HI782-0_0.0_LOT0568_PWW19.1_QC.xlsx</v>
      </c>
      <c r="AZ555" t="str">
        <v>LOT0568</v>
      </c>
      <c r="BA555" s="3">
        <v>11</v>
      </c>
      <c r="BB555" t="str">
        <v>P/Final</v>
      </c>
      <c r="BC555">
        <v>35</v>
      </c>
      <c r="BD555" s="10">
        <v>36.700000000000003</v>
      </c>
      <c r="BE555" s="10">
        <v>0</v>
      </c>
      <c r="BF555" s="10">
        <v>0</v>
      </c>
      <c r="BG555" s="13">
        <v>45428</v>
      </c>
    </row>
    <row r="556" spans="49:59" x14ac:dyDescent="0.3">
      <c r="AW556" s="1">
        <v>11.1</v>
      </c>
      <c r="AX556" s="1">
        <v>11.1</v>
      </c>
      <c r="AY556" t="str">
        <v>R080_HI782-0_0.0_LOT0568_PWW19.1_QC.xlsx</v>
      </c>
      <c r="AZ556" t="str">
        <v>LOT0568</v>
      </c>
      <c r="BA556" s="3">
        <v>11</v>
      </c>
      <c r="BB556" t="str">
        <v>P/Final</v>
      </c>
      <c r="BC556">
        <v>35</v>
      </c>
      <c r="BD556" s="10">
        <v>36.700000000000003</v>
      </c>
      <c r="BE556" s="10">
        <v>0</v>
      </c>
      <c r="BF556" s="10">
        <v>0</v>
      </c>
      <c r="BG556" s="13">
        <v>45428</v>
      </c>
    </row>
    <row r="557" spans="49:59" x14ac:dyDescent="0.3">
      <c r="AW557" s="1">
        <v>11.1</v>
      </c>
      <c r="AX557" s="1">
        <v>11.1</v>
      </c>
      <c r="AY557" t="str">
        <v>R080_HI782-0_0.0_LOT0568_PWW19.1_QC.xlsx</v>
      </c>
      <c r="AZ557" t="str">
        <v>LOT0568</v>
      </c>
      <c r="BA557" s="3">
        <v>11</v>
      </c>
      <c r="BB557" t="str">
        <v>P/Final</v>
      </c>
      <c r="BC557">
        <v>35</v>
      </c>
      <c r="BD557" s="10">
        <v>36.5</v>
      </c>
      <c r="BE557" s="10">
        <v>0</v>
      </c>
      <c r="BF557" s="10">
        <v>0</v>
      </c>
      <c r="BG557" s="13">
        <v>45428</v>
      </c>
    </row>
    <row r="558" spans="49:59" x14ac:dyDescent="0.3">
      <c r="AW558" s="1">
        <v>11.1</v>
      </c>
      <c r="AX558" s="1">
        <v>11.1</v>
      </c>
      <c r="AY558" t="str">
        <v>R080_HI782-0_0.0_LOT0568_PWW19.1_QC.xlsx</v>
      </c>
      <c r="AZ558" t="str">
        <v>LOT0568</v>
      </c>
      <c r="BA558" s="3">
        <v>11</v>
      </c>
      <c r="BB558" t="str">
        <v>P/Final</v>
      </c>
      <c r="BC558">
        <v>35</v>
      </c>
      <c r="BD558" s="10">
        <v>36.4</v>
      </c>
      <c r="BE558" s="10">
        <v>0</v>
      </c>
      <c r="BF558" s="10">
        <v>0</v>
      </c>
      <c r="BG558" s="13">
        <v>45428</v>
      </c>
    </row>
    <row r="559" spans="49:59" x14ac:dyDescent="0.3">
      <c r="AW559" s="1">
        <v>11.1</v>
      </c>
      <c r="AX559" s="1">
        <v>11.1</v>
      </c>
      <c r="AY559" t="str">
        <v>R080_HI782-0_0.0_LOT0568_PWW19.1_QC.xlsx</v>
      </c>
      <c r="AZ559" t="str">
        <v>LOT0568</v>
      </c>
      <c r="BA559" s="3">
        <v>11</v>
      </c>
      <c r="BB559" t="str">
        <v>P/Final</v>
      </c>
      <c r="BC559">
        <v>35</v>
      </c>
      <c r="BD559" s="10">
        <v>37</v>
      </c>
      <c r="BE559" s="10">
        <v>0</v>
      </c>
      <c r="BF559" s="10">
        <v>0</v>
      </c>
      <c r="BG559" s="13">
        <v>45428</v>
      </c>
    </row>
    <row r="560" spans="49:59" x14ac:dyDescent="0.3">
      <c r="AW560" s="1">
        <v>11.1</v>
      </c>
      <c r="AX560" s="1">
        <v>11.1</v>
      </c>
      <c r="AY560" t="str">
        <v>R080_HI782-0_0.0_LOT0568_PWW19.1_QC.xlsx</v>
      </c>
      <c r="AZ560" t="str">
        <v>LOT0568</v>
      </c>
      <c r="BA560" s="3">
        <v>11</v>
      </c>
      <c r="BB560" t="str">
        <v>P/Final</v>
      </c>
      <c r="BC560">
        <v>35</v>
      </c>
      <c r="BD560" s="10">
        <v>36.1</v>
      </c>
      <c r="BE560" s="10">
        <v>0</v>
      </c>
      <c r="BF560" s="10">
        <v>0</v>
      </c>
      <c r="BG560" s="13">
        <v>45428</v>
      </c>
    </row>
    <row r="561" spans="49:59" x14ac:dyDescent="0.3">
      <c r="AW561" s="1">
        <v>11.1</v>
      </c>
      <c r="AX561" s="1">
        <v>11.1</v>
      </c>
      <c r="AY561" t="str">
        <v>R080_HI782-0_0.0_LOT0568_PWW19.1_QC.xlsx</v>
      </c>
      <c r="AZ561" t="str">
        <v>LOT0568</v>
      </c>
      <c r="BA561" s="3">
        <v>11</v>
      </c>
      <c r="BB561" t="str">
        <v>P/Final</v>
      </c>
      <c r="BC561">
        <v>35</v>
      </c>
      <c r="BD561" s="10">
        <v>36.799999999999997</v>
      </c>
      <c r="BE561" s="10">
        <v>0</v>
      </c>
      <c r="BF561" s="10">
        <v>0</v>
      </c>
      <c r="BG561" s="13">
        <v>45428</v>
      </c>
    </row>
    <row r="562" spans="49:59" x14ac:dyDescent="0.3">
      <c r="AW562" s="1">
        <v>11.1</v>
      </c>
      <c r="AX562" s="1">
        <v>11.1</v>
      </c>
      <c r="AY562" t="str">
        <v>R080_HI782-0_0.0_LOT0568_PWW19.1_QC.xlsx</v>
      </c>
      <c r="AZ562" t="str">
        <v>LOT0568</v>
      </c>
      <c r="BA562" s="3">
        <v>11</v>
      </c>
      <c r="BB562" t="str">
        <v>P/Final</v>
      </c>
      <c r="BC562">
        <v>60</v>
      </c>
      <c r="BD562" s="10">
        <v>62.9</v>
      </c>
      <c r="BE562" s="10">
        <v>0</v>
      </c>
      <c r="BF562" s="10">
        <v>0</v>
      </c>
      <c r="BG562" s="13">
        <v>45428</v>
      </c>
    </row>
    <row r="563" spans="49:59" x14ac:dyDescent="0.3">
      <c r="AW563" s="1">
        <v>11.1</v>
      </c>
      <c r="AX563" s="1">
        <v>11.1</v>
      </c>
      <c r="AY563" t="str">
        <v>R080_HI782-0_0.0_LOT0568_PWW19.1_QC.xlsx</v>
      </c>
      <c r="AZ563" t="str">
        <v>LOT0568</v>
      </c>
      <c r="BA563" s="3">
        <v>11</v>
      </c>
      <c r="BB563" t="str">
        <v>P/Final</v>
      </c>
      <c r="BC563">
        <v>60</v>
      </c>
      <c r="BD563" s="10">
        <v>60.2</v>
      </c>
      <c r="BE563" s="10">
        <v>0</v>
      </c>
      <c r="BF563" s="10">
        <v>0</v>
      </c>
      <c r="BG563" s="13">
        <v>45428</v>
      </c>
    </row>
    <row r="564" spans="49:59" x14ac:dyDescent="0.3">
      <c r="AW564" s="1">
        <v>11.1</v>
      </c>
      <c r="AX564" s="1">
        <v>11.1</v>
      </c>
      <c r="AY564" t="str">
        <v>R080_HI782-0_0.0_LOT0568_PWW19.1_QC.xlsx</v>
      </c>
      <c r="AZ564" t="str">
        <v>LOT0568</v>
      </c>
      <c r="BA564" s="3">
        <v>11</v>
      </c>
      <c r="BB564" t="str">
        <v>P/Final</v>
      </c>
      <c r="BC564">
        <v>60</v>
      </c>
      <c r="BD564" s="10">
        <v>58.4</v>
      </c>
      <c r="BE564" s="10">
        <v>0</v>
      </c>
      <c r="BF564" s="10">
        <v>0</v>
      </c>
      <c r="BG564" s="13">
        <v>45428</v>
      </c>
    </row>
    <row r="565" spans="49:59" x14ac:dyDescent="0.3">
      <c r="AW565" s="1">
        <v>11.1</v>
      </c>
      <c r="AX565" s="1">
        <v>11.1</v>
      </c>
      <c r="AY565" t="str">
        <v>R080_HI782-0_0.0_LOT0568_PWW19.1_QC.xlsx</v>
      </c>
      <c r="AZ565" t="str">
        <v>LOT0568</v>
      </c>
      <c r="BA565" s="3">
        <v>11</v>
      </c>
      <c r="BB565" t="str">
        <v>P/Final</v>
      </c>
      <c r="BC565">
        <v>60</v>
      </c>
      <c r="BD565" s="10">
        <v>60.6</v>
      </c>
      <c r="BE565" s="10">
        <v>0</v>
      </c>
      <c r="BF565" s="10">
        <v>0</v>
      </c>
      <c r="BG565" s="13">
        <v>45428</v>
      </c>
    </row>
    <row r="566" spans="49:59" x14ac:dyDescent="0.3">
      <c r="AW566" s="1">
        <v>11.1</v>
      </c>
      <c r="AX566" s="1">
        <v>11.1</v>
      </c>
      <c r="AY566" t="str">
        <v>R080_HI782-0_0.0_LOT0568_PWW19.1_QC.xlsx</v>
      </c>
      <c r="AZ566" t="str">
        <v>LOT0568</v>
      </c>
      <c r="BA566" s="3">
        <v>11</v>
      </c>
      <c r="BB566" t="str">
        <v>P/Final</v>
      </c>
      <c r="BC566">
        <v>60</v>
      </c>
      <c r="BD566" s="10">
        <v>61.2</v>
      </c>
      <c r="BE566" s="10">
        <v>0</v>
      </c>
      <c r="BF566" s="10">
        <v>0</v>
      </c>
      <c r="BG566" s="13">
        <v>45428</v>
      </c>
    </row>
    <row r="567" spans="49:59" x14ac:dyDescent="0.3">
      <c r="AW567" s="1">
        <v>11.1</v>
      </c>
      <c r="AX567" s="1">
        <v>11.1</v>
      </c>
      <c r="AY567" t="str">
        <v>R080_HI782-0_0.0_LOT0568_PWW19.1_QC.xlsx</v>
      </c>
      <c r="AZ567" t="str">
        <v>LOT0568</v>
      </c>
      <c r="BA567" s="3">
        <v>11</v>
      </c>
      <c r="BB567" t="str">
        <v>P/Final</v>
      </c>
      <c r="BC567">
        <v>60</v>
      </c>
      <c r="BD567" s="10">
        <v>61.9</v>
      </c>
      <c r="BE567" s="10">
        <v>0</v>
      </c>
      <c r="BF567" s="10">
        <v>0</v>
      </c>
      <c r="BG567" s="13">
        <v>45428</v>
      </c>
    </row>
    <row r="568" spans="49:59" x14ac:dyDescent="0.3">
      <c r="AW568" s="1">
        <v>11.1</v>
      </c>
      <c r="AX568" s="1">
        <v>11.1</v>
      </c>
      <c r="AY568" t="str">
        <v>R080_HI782-0_0.0_LOT0568_PWW19.1_QC.xlsx</v>
      </c>
      <c r="AZ568" t="str">
        <v>LOT0568</v>
      </c>
      <c r="BA568" s="3">
        <v>11</v>
      </c>
      <c r="BB568" t="str">
        <v>P/Final</v>
      </c>
      <c r="BC568">
        <v>60</v>
      </c>
      <c r="BD568" s="10">
        <v>61.3</v>
      </c>
      <c r="BE568" s="10">
        <v>0</v>
      </c>
      <c r="BF568" s="10">
        <v>0</v>
      </c>
      <c r="BG568" s="13">
        <v>45428</v>
      </c>
    </row>
    <row r="569" spans="49:59" x14ac:dyDescent="0.3">
      <c r="AW569" s="1">
        <v>11.1</v>
      </c>
      <c r="AX569" s="1">
        <v>11.1</v>
      </c>
      <c r="AY569" t="str">
        <v>R080_HI782-0_0.0_LOT0568_PWW19.1_QC.xlsx</v>
      </c>
      <c r="AZ569" t="str">
        <v>LOT0568</v>
      </c>
      <c r="BA569" s="3">
        <v>11</v>
      </c>
      <c r="BB569" t="str">
        <v>P/Final</v>
      </c>
      <c r="BC569">
        <v>60</v>
      </c>
      <c r="BD569" s="10">
        <v>61.4</v>
      </c>
      <c r="BE569" s="10">
        <v>0</v>
      </c>
      <c r="BF569" s="10">
        <v>0</v>
      </c>
      <c r="BG569" s="13">
        <v>45428</v>
      </c>
    </row>
    <row r="570" spans="49:59" x14ac:dyDescent="0.3">
      <c r="AW570" s="1">
        <v>11.1</v>
      </c>
      <c r="AX570" s="1">
        <v>11.1</v>
      </c>
      <c r="AY570" t="str">
        <v>R080_HI782-0_0.0_LOT0568_PWW19.1_QC.xlsx</v>
      </c>
      <c r="AZ570" t="str">
        <v>LOT0568</v>
      </c>
      <c r="BA570" s="3">
        <v>11</v>
      </c>
      <c r="BB570" t="str">
        <v>P/Final</v>
      </c>
      <c r="BC570">
        <v>60</v>
      </c>
      <c r="BD570" s="10">
        <v>60.9</v>
      </c>
      <c r="BE570" s="10">
        <v>0</v>
      </c>
      <c r="BF570" s="10">
        <v>0</v>
      </c>
      <c r="BG570" s="13">
        <v>45428</v>
      </c>
    </row>
    <row r="571" spans="49:59" x14ac:dyDescent="0.3">
      <c r="AW571" s="1">
        <v>11.1</v>
      </c>
      <c r="AX571" s="1">
        <v>11.1</v>
      </c>
      <c r="AY571" t="str">
        <v>R080_HI782-0_0.0_LOT0568_PWW19.1_QC.xlsx</v>
      </c>
      <c r="AZ571" t="str">
        <v>LOT0568</v>
      </c>
      <c r="BA571" s="3">
        <v>11</v>
      </c>
      <c r="BB571" t="str">
        <v>P/Final</v>
      </c>
      <c r="BC571">
        <v>60</v>
      </c>
      <c r="BD571" s="10">
        <v>61</v>
      </c>
      <c r="BE571" s="10">
        <v>0</v>
      </c>
      <c r="BF571" s="10">
        <v>0</v>
      </c>
      <c r="BG571" s="13">
        <v>45428</v>
      </c>
    </row>
    <row r="572" spans="49:59" x14ac:dyDescent="0.3">
      <c r="AW572" s="1">
        <v>11.1</v>
      </c>
      <c r="AX572" s="1">
        <v>11.1</v>
      </c>
      <c r="AY572" t="str">
        <v>R080_HI782-0_0.0_LOT0568_PWW19.1_QC.xlsx</v>
      </c>
      <c r="AZ572" t="str">
        <v>LOT0568</v>
      </c>
      <c r="BA572" s="3">
        <v>11</v>
      </c>
      <c r="BB572" t="str">
        <v>P/Final</v>
      </c>
      <c r="BC572">
        <v>60</v>
      </c>
      <c r="BD572" s="10">
        <v>60.1</v>
      </c>
      <c r="BE572" s="10">
        <v>0</v>
      </c>
      <c r="BF572" s="10">
        <v>0</v>
      </c>
      <c r="BG572" s="13">
        <v>45428</v>
      </c>
    </row>
    <row r="573" spans="49:59" x14ac:dyDescent="0.3">
      <c r="AW573" s="1">
        <v>11.1</v>
      </c>
      <c r="AX573" s="1">
        <v>11.1</v>
      </c>
      <c r="AY573" t="str">
        <v>R080_HI782-0_0.0_LOT0568_PWW19.1_QC.xlsx</v>
      </c>
      <c r="AZ573" t="str">
        <v>LOT0568</v>
      </c>
      <c r="BA573" s="3">
        <v>11</v>
      </c>
      <c r="BB573" t="str">
        <v>P/Final</v>
      </c>
      <c r="BC573">
        <v>60</v>
      </c>
      <c r="BD573" s="10">
        <v>59.2</v>
      </c>
      <c r="BE573" s="10">
        <v>0</v>
      </c>
      <c r="BF573" s="10">
        <v>0</v>
      </c>
      <c r="BG573" s="13">
        <v>45428</v>
      </c>
    </row>
    <row r="574" spans="49:59" x14ac:dyDescent="0.3">
      <c r="AW574" s="1">
        <v>11.1</v>
      </c>
      <c r="AX574" s="1">
        <v>11.1</v>
      </c>
      <c r="AY574" t="str">
        <v>R080_HI782-0_0.0_LOT0568_PWW19.1_QC.xlsx</v>
      </c>
      <c r="AZ574" t="str">
        <v>LOT0568</v>
      </c>
      <c r="BA574" s="3">
        <v>11</v>
      </c>
      <c r="BB574" t="str">
        <v>P/Final</v>
      </c>
      <c r="BC574">
        <v>60</v>
      </c>
      <c r="BD574" s="10">
        <v>60.9</v>
      </c>
      <c r="BE574" s="10">
        <v>0</v>
      </c>
      <c r="BF574" s="10">
        <v>0</v>
      </c>
      <c r="BG574" s="13">
        <v>45428</v>
      </c>
    </row>
    <row r="575" spans="49:59" x14ac:dyDescent="0.3">
      <c r="AW575" s="1">
        <v>11.1</v>
      </c>
      <c r="AX575" s="1">
        <v>11.1</v>
      </c>
      <c r="AY575" t="str">
        <v>R080_HI782-0_0.0_LOT0568_PWW19.1_QC.xlsx</v>
      </c>
      <c r="AZ575" t="str">
        <v>LOT0568</v>
      </c>
      <c r="BA575" s="3">
        <v>11</v>
      </c>
      <c r="BB575" t="str">
        <v>P/Final</v>
      </c>
      <c r="BC575">
        <v>60</v>
      </c>
      <c r="BD575" s="10">
        <v>59.2</v>
      </c>
      <c r="BE575" s="10">
        <v>0</v>
      </c>
      <c r="BF575" s="10">
        <v>0</v>
      </c>
      <c r="BG575" s="13">
        <v>45428</v>
      </c>
    </row>
    <row r="576" spans="49:59" x14ac:dyDescent="0.3">
      <c r="AW576" s="1">
        <v>11.1</v>
      </c>
      <c r="AX576" s="1">
        <v>11.1</v>
      </c>
      <c r="AY576" t="str">
        <v>R080_HI782-0_0.0_LOT0568_PWW19.1_QC.xlsx</v>
      </c>
      <c r="AZ576" t="str">
        <v>LOT0568</v>
      </c>
      <c r="BA576" s="3">
        <v>11</v>
      </c>
      <c r="BB576" t="str">
        <v>P/Final</v>
      </c>
      <c r="BC576">
        <v>0</v>
      </c>
      <c r="BD576" s="10">
        <v>0</v>
      </c>
      <c r="BE576" s="10">
        <v>0</v>
      </c>
      <c r="BF576" s="10">
        <v>0</v>
      </c>
      <c r="BG576" s="13">
        <v>45429</v>
      </c>
    </row>
    <row r="577" spans="49:59" x14ac:dyDescent="0.3">
      <c r="AW577" s="1">
        <v>11.1</v>
      </c>
      <c r="AX577" s="1">
        <v>11.1</v>
      </c>
      <c r="AY577" t="str">
        <v>R080_HI782-0_0.0_LOT0568_PWW19.1_QC.xlsx</v>
      </c>
      <c r="AZ577" t="str">
        <v>LOT0568</v>
      </c>
      <c r="BA577" s="3">
        <v>11</v>
      </c>
      <c r="BB577" t="str">
        <v>P/Final</v>
      </c>
      <c r="BC577">
        <v>0</v>
      </c>
      <c r="BD577" s="10">
        <v>0</v>
      </c>
      <c r="BE577" s="10">
        <v>0</v>
      </c>
      <c r="BF577" s="10">
        <v>0</v>
      </c>
      <c r="BG577" s="13">
        <v>45429</v>
      </c>
    </row>
    <row r="578" spans="49:59" x14ac:dyDescent="0.3">
      <c r="AW578" s="1">
        <v>11.1</v>
      </c>
      <c r="AX578" s="1">
        <v>11.1</v>
      </c>
      <c r="AY578" t="str">
        <v>R080_HI782-0_0.0_LOT0568_PWW19.1_QC.xlsx</v>
      </c>
      <c r="AZ578" t="str">
        <v>LOT0568</v>
      </c>
      <c r="BA578" s="3">
        <v>11</v>
      </c>
      <c r="BB578" t="str">
        <v>P/Final</v>
      </c>
      <c r="BC578">
        <v>0</v>
      </c>
      <c r="BD578" s="10">
        <v>0</v>
      </c>
      <c r="BE578" s="10">
        <v>0</v>
      </c>
      <c r="BF578" s="10">
        <v>0</v>
      </c>
      <c r="BG578" s="13">
        <v>45429</v>
      </c>
    </row>
    <row r="579" spans="49:59" x14ac:dyDescent="0.3">
      <c r="AW579" s="1">
        <v>11.1</v>
      </c>
      <c r="AX579" s="1">
        <v>11.1</v>
      </c>
      <c r="AY579" t="str">
        <v>R080_HI782-0_0.0_LOT0568_PWW19.1_QC.xlsx</v>
      </c>
      <c r="AZ579" t="str">
        <v>LOT0568</v>
      </c>
      <c r="BA579" s="3">
        <v>11</v>
      </c>
      <c r="BB579" t="str">
        <v>P/Final</v>
      </c>
      <c r="BC579">
        <v>15</v>
      </c>
      <c r="BD579" s="10">
        <v>15.3</v>
      </c>
      <c r="BE579" s="10">
        <v>0</v>
      </c>
      <c r="BF579" s="10">
        <v>0</v>
      </c>
      <c r="BG579" s="13">
        <v>45429</v>
      </c>
    </row>
    <row r="580" spans="49:59" x14ac:dyDescent="0.3">
      <c r="AW580" s="1">
        <v>11.1</v>
      </c>
      <c r="AX580" s="1">
        <v>11.1</v>
      </c>
      <c r="AY580" t="str">
        <v>R080_HI782-0_0.0_LOT0568_PWW19.1_QC.xlsx</v>
      </c>
      <c r="AZ580" t="str">
        <v>LOT0568</v>
      </c>
      <c r="BA580" s="3">
        <v>11</v>
      </c>
      <c r="BB580" t="str">
        <v>P/Final</v>
      </c>
      <c r="BC580">
        <v>15</v>
      </c>
      <c r="BD580" s="10">
        <v>15.7</v>
      </c>
      <c r="BE580" s="10">
        <v>0</v>
      </c>
      <c r="BF580" s="10">
        <v>0</v>
      </c>
      <c r="BG580" s="13">
        <v>45429</v>
      </c>
    </row>
    <row r="581" spans="49:59" x14ac:dyDescent="0.3">
      <c r="AW581" s="1">
        <v>11.1</v>
      </c>
      <c r="AX581" s="1">
        <v>11.1</v>
      </c>
      <c r="AY581" t="str">
        <v>R080_HI782-0_0.0_LOT0568_PWW19.1_QC.xlsx</v>
      </c>
      <c r="AZ581" t="str">
        <v>LOT0568</v>
      </c>
      <c r="BA581" s="3">
        <v>11</v>
      </c>
      <c r="BB581" t="str">
        <v>P/Final</v>
      </c>
      <c r="BC581">
        <v>15</v>
      </c>
      <c r="BD581" s="10">
        <v>17.5</v>
      </c>
      <c r="BE581" s="10">
        <v>0</v>
      </c>
      <c r="BF581" s="10">
        <v>0</v>
      </c>
      <c r="BG581" s="13">
        <v>45429</v>
      </c>
    </row>
    <row r="582" spans="49:59" x14ac:dyDescent="0.3">
      <c r="AW582" s="1">
        <v>11.1</v>
      </c>
      <c r="AX582" s="1">
        <v>11.1</v>
      </c>
      <c r="AY582" t="str">
        <v>R080_HI782-0_0.0_LOT0568_PWW19.1_QC.xlsx</v>
      </c>
      <c r="AZ582" t="str">
        <v>LOT0568</v>
      </c>
      <c r="BA582" s="3">
        <v>11</v>
      </c>
      <c r="BB582" t="str">
        <v>P/Final</v>
      </c>
      <c r="BC582">
        <v>15</v>
      </c>
      <c r="BD582" s="10">
        <v>17.100000000000001</v>
      </c>
      <c r="BE582" s="10">
        <v>0</v>
      </c>
      <c r="BF582" s="10">
        <v>0</v>
      </c>
      <c r="BG582" s="13">
        <v>45429</v>
      </c>
    </row>
    <row r="583" spans="49:59" x14ac:dyDescent="0.3">
      <c r="AW583" s="1">
        <v>11.1</v>
      </c>
      <c r="AX583" s="1">
        <v>11.1</v>
      </c>
      <c r="AY583" t="str">
        <v>R080_HI782-0_0.0_LOT0568_PWW19.1_QC.xlsx</v>
      </c>
      <c r="AZ583" t="str">
        <v>LOT0568</v>
      </c>
      <c r="BA583" s="3">
        <v>11</v>
      </c>
      <c r="BB583" t="str">
        <v>P/Final</v>
      </c>
      <c r="BC583">
        <v>15</v>
      </c>
      <c r="BD583" s="10">
        <v>17.7</v>
      </c>
      <c r="BE583" s="10">
        <v>0</v>
      </c>
      <c r="BF583" s="10">
        <v>0</v>
      </c>
      <c r="BG583" s="13">
        <v>45429</v>
      </c>
    </row>
    <row r="584" spans="49:59" x14ac:dyDescent="0.3">
      <c r="AW584" s="1">
        <v>11.1</v>
      </c>
      <c r="AX584" s="1">
        <v>11.1</v>
      </c>
      <c r="AY584" t="str">
        <v>R080_HI782-0_0.0_LOT0568_PWW19.1_QC.xlsx</v>
      </c>
      <c r="AZ584" t="str">
        <v>LOT0568</v>
      </c>
      <c r="BA584" s="3">
        <v>11</v>
      </c>
      <c r="BB584" t="str">
        <v>P/Final</v>
      </c>
      <c r="BC584">
        <v>15</v>
      </c>
      <c r="BD584" s="10">
        <v>17.600000000000001</v>
      </c>
      <c r="BE584" s="10">
        <v>0</v>
      </c>
      <c r="BF584" s="10">
        <v>0</v>
      </c>
      <c r="BG584" s="13">
        <v>45429</v>
      </c>
    </row>
    <row r="585" spans="49:59" x14ac:dyDescent="0.3">
      <c r="AW585" s="1">
        <v>11.1</v>
      </c>
      <c r="AX585" s="1">
        <v>11.1</v>
      </c>
      <c r="AY585" t="str">
        <v>R080_HI782-0_0.0_LOT0568_PWW19.1_QC.xlsx</v>
      </c>
      <c r="AZ585" t="str">
        <v>LOT0568</v>
      </c>
      <c r="BA585" s="3">
        <v>11</v>
      </c>
      <c r="BB585" t="str">
        <v>P/Final</v>
      </c>
      <c r="BC585">
        <v>15</v>
      </c>
      <c r="BD585" s="10">
        <v>15.2</v>
      </c>
      <c r="BE585" s="10">
        <v>0</v>
      </c>
      <c r="BF585" s="10">
        <v>0</v>
      </c>
      <c r="BG585" s="13">
        <v>45429</v>
      </c>
    </row>
    <row r="586" spans="49:59" x14ac:dyDescent="0.3">
      <c r="AW586" s="1">
        <v>11.1</v>
      </c>
      <c r="AX586" s="1">
        <v>11.1</v>
      </c>
      <c r="AY586" t="str">
        <v>R080_HI782-0_0.0_LOT0568_PWW19.1_QC.xlsx</v>
      </c>
      <c r="AZ586" t="str">
        <v>LOT0568</v>
      </c>
      <c r="BA586" s="3">
        <v>11</v>
      </c>
      <c r="BB586" t="str">
        <v>P/Final</v>
      </c>
      <c r="BC586">
        <v>15</v>
      </c>
      <c r="BD586" s="10">
        <v>14.7</v>
      </c>
      <c r="BE586" s="10">
        <v>0</v>
      </c>
      <c r="BF586" s="10">
        <v>0</v>
      </c>
      <c r="BG586" s="13">
        <v>45429</v>
      </c>
    </row>
    <row r="587" spans="49:59" x14ac:dyDescent="0.3">
      <c r="AW587" s="1">
        <v>11.1</v>
      </c>
      <c r="AX587" s="1">
        <v>11.1</v>
      </c>
      <c r="AY587" t="str">
        <v>R080_HI782-0_0.0_LOT0568_PWW19.1_QC.xlsx</v>
      </c>
      <c r="AZ587" t="str">
        <v>LOT0568</v>
      </c>
      <c r="BA587" s="3">
        <v>11</v>
      </c>
      <c r="BB587" t="str">
        <v>P/Final</v>
      </c>
      <c r="BC587">
        <v>15</v>
      </c>
      <c r="BD587" s="10">
        <v>18.100000000000001</v>
      </c>
      <c r="BE587" s="10">
        <v>0</v>
      </c>
      <c r="BF587" s="10">
        <v>0</v>
      </c>
      <c r="BG587" s="13">
        <v>45429</v>
      </c>
    </row>
    <row r="588" spans="49:59" x14ac:dyDescent="0.3">
      <c r="AW588" s="1">
        <v>11.1</v>
      </c>
      <c r="AX588" s="1">
        <v>11.1</v>
      </c>
      <c r="AY588" t="str">
        <v>R080_HI782-0_0.0_LOT0568_PWW19.1_QC.xlsx</v>
      </c>
      <c r="AZ588" t="str">
        <v>LOT0568</v>
      </c>
      <c r="BA588" s="3">
        <v>11</v>
      </c>
      <c r="BB588" t="str">
        <v>P/Final</v>
      </c>
      <c r="BC588">
        <v>15</v>
      </c>
      <c r="BD588" s="10">
        <v>17.5</v>
      </c>
      <c r="BE588" s="10">
        <v>0</v>
      </c>
      <c r="BF588" s="10">
        <v>0</v>
      </c>
      <c r="BG588" s="13">
        <v>45429</v>
      </c>
    </row>
    <row r="589" spans="49:59" x14ac:dyDescent="0.3">
      <c r="AW589" s="1">
        <v>11.1</v>
      </c>
      <c r="AX589" s="1">
        <v>11.1</v>
      </c>
      <c r="AY589" t="str">
        <v>R080_HI782-0_0.0_LOT0568_PWW19.1_QC.xlsx</v>
      </c>
      <c r="AZ589" t="str">
        <v>LOT0568</v>
      </c>
      <c r="BA589" s="3">
        <v>11</v>
      </c>
      <c r="BB589" t="str">
        <v>P/Final</v>
      </c>
      <c r="BC589">
        <v>15</v>
      </c>
      <c r="BD589" s="10">
        <v>14.8</v>
      </c>
      <c r="BE589" s="10">
        <v>0</v>
      </c>
      <c r="BF589" s="10">
        <v>0</v>
      </c>
      <c r="BG589" s="13">
        <v>45429</v>
      </c>
    </row>
    <row r="590" spans="49:59" x14ac:dyDescent="0.3">
      <c r="AW590" s="1">
        <v>11.1</v>
      </c>
      <c r="AX590" s="1">
        <v>11.1</v>
      </c>
      <c r="AY590" t="str">
        <v>R080_HI782-0_0.0_LOT0568_PWW19.1_QC.xlsx</v>
      </c>
      <c r="AZ590" t="str">
        <v>LOT0568</v>
      </c>
      <c r="BA590" s="3">
        <v>11</v>
      </c>
      <c r="BB590" t="str">
        <v>P/Final</v>
      </c>
      <c r="BC590">
        <v>15</v>
      </c>
      <c r="BD590" s="10">
        <v>14.1</v>
      </c>
      <c r="BE590" s="10">
        <v>0</v>
      </c>
      <c r="BF590" s="10">
        <v>0</v>
      </c>
      <c r="BG590" s="13">
        <v>45429</v>
      </c>
    </row>
    <row r="591" spans="49:59" x14ac:dyDescent="0.3">
      <c r="AW591" s="1">
        <v>11.1</v>
      </c>
      <c r="AX591" s="1">
        <v>11.1</v>
      </c>
      <c r="AY591" t="str">
        <v>R080_HI782-0_0.0_LOT0568_PWW19.1_QC.xlsx</v>
      </c>
      <c r="AZ591" t="str">
        <v>LOT0568</v>
      </c>
      <c r="BA591" s="3">
        <v>11</v>
      </c>
      <c r="BB591" t="str">
        <v>P/Final</v>
      </c>
      <c r="BC591">
        <v>35</v>
      </c>
      <c r="BD591" s="10">
        <v>38.700000000000003</v>
      </c>
      <c r="BE591" s="10">
        <v>0</v>
      </c>
      <c r="BF591" s="10">
        <v>0</v>
      </c>
      <c r="BG591" s="13">
        <v>45429</v>
      </c>
    </row>
    <row r="592" spans="49:59" x14ac:dyDescent="0.3">
      <c r="AW592" s="1">
        <v>11.1</v>
      </c>
      <c r="AX592" s="1">
        <v>11.1</v>
      </c>
      <c r="AY592" t="str">
        <v>R080_HI782-0_0.0_LOT0568_PWW19.1_QC.xlsx</v>
      </c>
      <c r="AZ592" t="str">
        <v>LOT0568</v>
      </c>
      <c r="BA592" s="3">
        <v>11</v>
      </c>
      <c r="BB592" t="str">
        <v>P/Final</v>
      </c>
      <c r="BC592">
        <v>35</v>
      </c>
      <c r="BD592" s="10">
        <v>36.1</v>
      </c>
      <c r="BE592" s="10">
        <v>0</v>
      </c>
      <c r="BF592" s="10">
        <v>0</v>
      </c>
      <c r="BG592" s="13">
        <v>45429</v>
      </c>
    </row>
    <row r="593" spans="49:59" x14ac:dyDescent="0.3">
      <c r="AW593" s="1">
        <v>11.1</v>
      </c>
      <c r="AX593" s="1">
        <v>11.1</v>
      </c>
      <c r="AY593" t="str">
        <v>R080_HI782-0_0.0_LOT0568_PWW19.1_QC.xlsx</v>
      </c>
      <c r="AZ593" t="str">
        <v>LOT0568</v>
      </c>
      <c r="BA593" s="3">
        <v>11</v>
      </c>
      <c r="BB593" t="str">
        <v>P/Final</v>
      </c>
      <c r="BC593">
        <v>35</v>
      </c>
      <c r="BD593" s="10">
        <v>38.700000000000003</v>
      </c>
      <c r="BE593" s="10">
        <v>0</v>
      </c>
      <c r="BF593" s="10">
        <v>0</v>
      </c>
      <c r="BG593" s="13">
        <v>45429</v>
      </c>
    </row>
    <row r="594" spans="49:59" x14ac:dyDescent="0.3">
      <c r="AW594" s="1">
        <v>11.1</v>
      </c>
      <c r="AX594" s="1">
        <v>11.1</v>
      </c>
      <c r="AY594" t="str">
        <v>R080_HI782-0_0.0_LOT0568_PWW19.1_QC.xlsx</v>
      </c>
      <c r="AZ594" t="str">
        <v>LOT0568</v>
      </c>
      <c r="BA594" s="3">
        <v>11</v>
      </c>
      <c r="BB594" t="str">
        <v>P/Final</v>
      </c>
      <c r="BC594">
        <v>35</v>
      </c>
      <c r="BD594" s="10">
        <v>38.6</v>
      </c>
      <c r="BE594" s="10">
        <v>0</v>
      </c>
      <c r="BF594" s="10">
        <v>0</v>
      </c>
      <c r="BG594" s="13">
        <v>45429</v>
      </c>
    </row>
    <row r="595" spans="49:59" x14ac:dyDescent="0.3">
      <c r="AW595" s="1">
        <v>11.1</v>
      </c>
      <c r="AX595" s="1">
        <v>11.1</v>
      </c>
      <c r="AY595" t="str">
        <v>R080_HI782-0_0.0_LOT0568_PWW19.1_QC.xlsx</v>
      </c>
      <c r="AZ595" t="str">
        <v>LOT0568</v>
      </c>
      <c r="BA595" s="3">
        <v>11</v>
      </c>
      <c r="BB595" t="str">
        <v>P/Final</v>
      </c>
      <c r="BC595">
        <v>35</v>
      </c>
      <c r="BD595" s="10">
        <v>35.700000000000003</v>
      </c>
      <c r="BE595" s="10">
        <v>0</v>
      </c>
      <c r="BF595" s="10">
        <v>0</v>
      </c>
      <c r="BG595" s="13">
        <v>45429</v>
      </c>
    </row>
    <row r="596" spans="49:59" x14ac:dyDescent="0.3">
      <c r="AW596" s="1">
        <v>11.1</v>
      </c>
      <c r="AX596" s="1">
        <v>11.1</v>
      </c>
      <c r="AY596" t="str">
        <v>R080_HI782-0_0.0_LOT0568_PWW19.1_QC.xlsx</v>
      </c>
      <c r="AZ596" t="str">
        <v>LOT0568</v>
      </c>
      <c r="BA596" s="3">
        <v>11</v>
      </c>
      <c r="BB596" t="str">
        <v>P/Final</v>
      </c>
      <c r="BC596">
        <v>35</v>
      </c>
      <c r="BD596" s="10">
        <v>38.299999999999997</v>
      </c>
      <c r="BE596" s="10">
        <v>0</v>
      </c>
      <c r="BF596" s="10">
        <v>0</v>
      </c>
      <c r="BG596" s="13">
        <v>45429</v>
      </c>
    </row>
    <row r="597" spans="49:59" x14ac:dyDescent="0.3">
      <c r="AW597" s="1">
        <v>11.1</v>
      </c>
      <c r="AX597" s="1">
        <v>11.1</v>
      </c>
      <c r="AY597" t="str">
        <v>R080_HI782-0_0.0_LOT0568_PWW19.1_QC.xlsx</v>
      </c>
      <c r="AZ597" t="str">
        <v>LOT0568</v>
      </c>
      <c r="BA597" s="3">
        <v>11</v>
      </c>
      <c r="BB597" t="str">
        <v>P/Final</v>
      </c>
      <c r="BC597">
        <v>35</v>
      </c>
      <c r="BD597" s="10">
        <v>36.9</v>
      </c>
      <c r="BE597" s="10">
        <v>0</v>
      </c>
      <c r="BF597" s="10">
        <v>0</v>
      </c>
      <c r="BG597" s="13">
        <v>45429</v>
      </c>
    </row>
    <row r="598" spans="49:59" x14ac:dyDescent="0.3">
      <c r="AW598" s="1">
        <v>11.1</v>
      </c>
      <c r="AX598" s="1">
        <v>11.1</v>
      </c>
      <c r="AY598" t="str">
        <v>R080_HI782-0_0.0_LOT0568_PWW19.1_QC.xlsx</v>
      </c>
      <c r="AZ598" t="str">
        <v>LOT0568</v>
      </c>
      <c r="BA598" s="3">
        <v>11</v>
      </c>
      <c r="BB598" t="str">
        <v>P/Final</v>
      </c>
      <c r="BC598">
        <v>35</v>
      </c>
      <c r="BD598" s="10">
        <v>39.299999999999997</v>
      </c>
      <c r="BE598" s="10">
        <v>0</v>
      </c>
      <c r="BF598" s="10">
        <v>0</v>
      </c>
      <c r="BG598" s="13">
        <v>45429</v>
      </c>
    </row>
    <row r="599" spans="49:59" x14ac:dyDescent="0.3">
      <c r="AW599" s="1">
        <v>11.1</v>
      </c>
      <c r="AX599" s="1">
        <v>11.1</v>
      </c>
      <c r="AY599" t="str">
        <v>R080_HI782-0_0.0_LOT0568_PWW19.1_QC.xlsx</v>
      </c>
      <c r="AZ599" t="str">
        <v>LOT0568</v>
      </c>
      <c r="BA599" s="3">
        <v>11</v>
      </c>
      <c r="BB599" t="str">
        <v>P/Final</v>
      </c>
      <c r="BC599">
        <v>35</v>
      </c>
      <c r="BD599" s="10">
        <v>38.200000000000003</v>
      </c>
      <c r="BE599" s="10">
        <v>0</v>
      </c>
      <c r="BF599" s="10">
        <v>0</v>
      </c>
      <c r="BG599" s="13">
        <v>45429</v>
      </c>
    </row>
    <row r="600" spans="49:59" x14ac:dyDescent="0.3">
      <c r="AW600" s="1">
        <v>11.1</v>
      </c>
      <c r="AX600" s="1">
        <v>11.1</v>
      </c>
      <c r="AY600" t="str">
        <v>R080_HI782-0_0.0_LOT0568_PWW19.1_QC.xlsx</v>
      </c>
      <c r="AZ600" t="str">
        <v>LOT0568</v>
      </c>
      <c r="BA600" s="3">
        <v>11</v>
      </c>
      <c r="BB600" t="str">
        <v>P/Final</v>
      </c>
      <c r="BC600">
        <v>35</v>
      </c>
      <c r="BD600" s="10">
        <v>38.200000000000003</v>
      </c>
      <c r="BE600" s="10">
        <v>0</v>
      </c>
      <c r="BF600" s="10">
        <v>0</v>
      </c>
      <c r="BG600" s="13">
        <v>45429</v>
      </c>
    </row>
    <row r="601" spans="49:59" x14ac:dyDescent="0.3">
      <c r="AW601" s="1">
        <v>11.1</v>
      </c>
      <c r="AX601" s="1">
        <v>11.1</v>
      </c>
      <c r="AY601" t="str">
        <v>R080_HI782-0_0.0_LOT0568_PWW19.1_QC.xlsx</v>
      </c>
      <c r="AZ601" t="str">
        <v>LOT0568</v>
      </c>
      <c r="BA601" s="3">
        <v>11</v>
      </c>
      <c r="BB601" t="str">
        <v>P/Final</v>
      </c>
      <c r="BC601">
        <v>35</v>
      </c>
      <c r="BD601" s="10">
        <v>36.799999999999997</v>
      </c>
      <c r="BE601" s="10">
        <v>0</v>
      </c>
      <c r="BF601" s="10">
        <v>0</v>
      </c>
      <c r="BG601" s="13">
        <v>45429</v>
      </c>
    </row>
    <row r="602" spans="49:59" x14ac:dyDescent="0.3">
      <c r="AW602" s="1">
        <v>11.1</v>
      </c>
      <c r="AX602" s="1">
        <v>11.1</v>
      </c>
      <c r="AY602" t="str">
        <v>R080_HI782-0_0.0_LOT0568_PWW19.1_QC.xlsx</v>
      </c>
      <c r="AZ602" t="str">
        <v>LOT0568</v>
      </c>
      <c r="BA602" s="3">
        <v>11</v>
      </c>
      <c r="BB602" t="str">
        <v>P/Final</v>
      </c>
      <c r="BC602">
        <v>35</v>
      </c>
      <c r="BD602" s="10">
        <v>38.6</v>
      </c>
      <c r="BE602" s="10">
        <v>0</v>
      </c>
      <c r="BF602" s="10">
        <v>0</v>
      </c>
      <c r="BG602" s="13">
        <v>45429</v>
      </c>
    </row>
    <row r="603" spans="49:59" x14ac:dyDescent="0.3">
      <c r="AW603" s="1">
        <v>11.1</v>
      </c>
      <c r="AX603" s="1">
        <v>11.1</v>
      </c>
      <c r="AY603" t="str">
        <v>R080_HI782-0_0.0_LOT0568_PWW19.1_QC.xlsx</v>
      </c>
      <c r="AZ603" t="str">
        <v>LOT0568</v>
      </c>
      <c r="BA603" s="3">
        <v>11</v>
      </c>
      <c r="BB603" t="str">
        <v>P/Final</v>
      </c>
      <c r="BC603">
        <v>60</v>
      </c>
      <c r="BD603" s="10">
        <v>63.9</v>
      </c>
      <c r="BE603" s="10">
        <v>0</v>
      </c>
      <c r="BF603" s="10">
        <v>0</v>
      </c>
      <c r="BG603" s="13">
        <v>45429</v>
      </c>
    </row>
    <row r="604" spans="49:59" x14ac:dyDescent="0.3">
      <c r="AW604" s="1">
        <v>11.1</v>
      </c>
      <c r="AX604" s="1">
        <v>11.1</v>
      </c>
      <c r="AY604" t="str">
        <v>R080_HI782-0_0.0_LOT0568_PWW19.1_QC.xlsx</v>
      </c>
      <c r="AZ604" t="str">
        <v>LOT0568</v>
      </c>
      <c r="BA604" s="3">
        <v>11</v>
      </c>
      <c r="BB604" t="str">
        <v>P/Final</v>
      </c>
      <c r="BC604">
        <v>60</v>
      </c>
      <c r="BD604" s="10">
        <v>62.1</v>
      </c>
      <c r="BE604" s="10">
        <v>0</v>
      </c>
      <c r="BF604" s="10">
        <v>0</v>
      </c>
      <c r="BG604" s="13">
        <v>45429</v>
      </c>
    </row>
    <row r="605" spans="49:59" x14ac:dyDescent="0.3">
      <c r="AW605" s="1">
        <v>11.1</v>
      </c>
      <c r="AX605" s="1">
        <v>11.1</v>
      </c>
      <c r="AY605" t="str">
        <v>R080_HI782-0_0.0_LOT0568_PWW19.1_QC.xlsx</v>
      </c>
      <c r="AZ605" t="str">
        <v>LOT0568</v>
      </c>
      <c r="BA605" s="3">
        <v>11</v>
      </c>
      <c r="BB605" t="str">
        <v>P/Final</v>
      </c>
      <c r="BC605">
        <v>60</v>
      </c>
      <c r="BD605" s="10">
        <v>63.1</v>
      </c>
      <c r="BE605" s="10">
        <v>0</v>
      </c>
      <c r="BF605" s="10">
        <v>0</v>
      </c>
      <c r="BG605" s="13">
        <v>45429</v>
      </c>
    </row>
    <row r="606" spans="49:59" x14ac:dyDescent="0.3">
      <c r="AW606" s="1">
        <v>11.1</v>
      </c>
      <c r="AX606" s="1">
        <v>11.1</v>
      </c>
      <c r="AY606" t="str">
        <v>R080_HI782-0_0.0_LOT0568_PWW19.1_QC.xlsx</v>
      </c>
      <c r="AZ606" t="str">
        <v>LOT0568</v>
      </c>
      <c r="BA606" s="3">
        <v>11</v>
      </c>
      <c r="BB606" t="str">
        <v>P/Final</v>
      </c>
      <c r="BC606">
        <v>60</v>
      </c>
      <c r="BD606" s="10">
        <v>60.1</v>
      </c>
      <c r="BE606" s="10">
        <v>0</v>
      </c>
      <c r="BF606" s="10">
        <v>0</v>
      </c>
      <c r="BG606" s="13">
        <v>45429</v>
      </c>
    </row>
    <row r="607" spans="49:59" x14ac:dyDescent="0.3">
      <c r="AW607" s="1">
        <v>11.1</v>
      </c>
      <c r="AX607" s="1">
        <v>11.1</v>
      </c>
      <c r="AY607" t="str">
        <v>R080_HI782-0_0.0_LOT0568_PWW19.1_QC.xlsx</v>
      </c>
      <c r="AZ607" t="str">
        <v>LOT0568</v>
      </c>
      <c r="BA607" s="3">
        <v>11</v>
      </c>
      <c r="BB607" t="str">
        <v>P/Final</v>
      </c>
      <c r="BC607">
        <v>60</v>
      </c>
      <c r="BD607" s="10">
        <v>59.6</v>
      </c>
      <c r="BE607" s="10">
        <v>0</v>
      </c>
      <c r="BF607" s="10">
        <v>0</v>
      </c>
      <c r="BG607" s="13">
        <v>45429</v>
      </c>
    </row>
    <row r="608" spans="49:59" x14ac:dyDescent="0.3">
      <c r="AW608" s="1">
        <v>11.1</v>
      </c>
      <c r="AX608" s="1">
        <v>11.1</v>
      </c>
      <c r="AY608" t="str">
        <v>R080_HI782-0_0.0_LOT0568_PWW19.1_QC.xlsx</v>
      </c>
      <c r="AZ608" t="str">
        <v>LOT0568</v>
      </c>
      <c r="BA608" s="3">
        <v>11</v>
      </c>
      <c r="BB608" t="str">
        <v>P/Final</v>
      </c>
      <c r="BC608">
        <v>60</v>
      </c>
      <c r="BD608" s="10">
        <v>62</v>
      </c>
      <c r="BE608" s="10">
        <v>0</v>
      </c>
      <c r="BF608" s="10">
        <v>0</v>
      </c>
      <c r="BG608" s="13">
        <v>45429</v>
      </c>
    </row>
    <row r="609" spans="49:59" x14ac:dyDescent="0.3">
      <c r="AW609" s="1">
        <v>11.1</v>
      </c>
      <c r="AX609" s="1">
        <v>11.1</v>
      </c>
      <c r="AY609" t="str">
        <v>R080_HI782-0_0.0_LOT0568_PWW19.1_QC.xlsx</v>
      </c>
      <c r="AZ609" t="str">
        <v>LOT0568</v>
      </c>
      <c r="BA609" s="3">
        <v>11</v>
      </c>
      <c r="BB609" t="str">
        <v>P/Final</v>
      </c>
      <c r="BC609">
        <v>60</v>
      </c>
      <c r="BD609" s="10">
        <v>64.400000000000006</v>
      </c>
      <c r="BE609" s="10">
        <v>0</v>
      </c>
      <c r="BF609" s="10">
        <v>0</v>
      </c>
      <c r="BG609" s="13">
        <v>45429</v>
      </c>
    </row>
    <row r="610" spans="49:59" x14ac:dyDescent="0.3">
      <c r="AW610" s="1">
        <v>11.1</v>
      </c>
      <c r="AX610" s="1">
        <v>11.1</v>
      </c>
      <c r="AY610" t="str">
        <v>R080_HI782-0_0.0_LOT0568_PWW19.1_QC.xlsx</v>
      </c>
      <c r="AZ610" t="str">
        <v>LOT0568</v>
      </c>
      <c r="BA610" s="3">
        <v>11</v>
      </c>
      <c r="BB610" t="str">
        <v>P/Final</v>
      </c>
      <c r="BC610">
        <v>60</v>
      </c>
      <c r="BD610" s="10">
        <v>62</v>
      </c>
      <c r="BE610" s="10">
        <v>0</v>
      </c>
      <c r="BF610" s="10">
        <v>0</v>
      </c>
      <c r="BG610" s="13">
        <v>45429</v>
      </c>
    </row>
    <row r="611" spans="49:59" x14ac:dyDescent="0.3">
      <c r="AW611" s="1">
        <v>11.1</v>
      </c>
      <c r="AX611" s="1">
        <v>11.1</v>
      </c>
      <c r="AY611" t="str">
        <v>R080_HI782-0_0.0_LOT0568_PWW19.1_QC.xlsx</v>
      </c>
      <c r="AZ611" t="str">
        <v>LOT0568</v>
      </c>
      <c r="BA611" s="3">
        <v>11</v>
      </c>
      <c r="BB611" t="str">
        <v>P/Final</v>
      </c>
      <c r="BC611">
        <v>60</v>
      </c>
      <c r="BD611" s="10">
        <v>61.4</v>
      </c>
      <c r="BE611" s="10">
        <v>0</v>
      </c>
      <c r="BF611" s="10">
        <v>0</v>
      </c>
      <c r="BG611" s="13">
        <v>45429</v>
      </c>
    </row>
    <row r="612" spans="49:59" x14ac:dyDescent="0.3">
      <c r="AW612" s="1">
        <v>11.1</v>
      </c>
      <c r="AX612" s="1">
        <v>11.1</v>
      </c>
      <c r="AY612" t="str">
        <v>R080_HI782-0_0.0_LOT0568_PWW19.1_QC.xlsx</v>
      </c>
      <c r="AZ612" t="str">
        <v>LOT0568</v>
      </c>
      <c r="BA612" s="3">
        <v>11</v>
      </c>
      <c r="BB612" t="str">
        <v>P/Final</v>
      </c>
      <c r="BC612">
        <v>60</v>
      </c>
      <c r="BD612" s="10">
        <v>59.8</v>
      </c>
      <c r="BE612" s="10">
        <v>0</v>
      </c>
      <c r="BF612" s="10">
        <v>0</v>
      </c>
      <c r="BG612" s="13">
        <v>45429</v>
      </c>
    </row>
    <row r="613" spans="49:59" x14ac:dyDescent="0.3">
      <c r="AW613" s="1">
        <v>11.1</v>
      </c>
      <c r="AX613" s="1">
        <v>11.1</v>
      </c>
      <c r="AY613" t="str">
        <v>R080_HI782-0_0.0_LOT0568_PWW19.1_QC.xlsx</v>
      </c>
      <c r="AZ613" t="str">
        <v>LOT0568</v>
      </c>
      <c r="BA613" s="3">
        <v>11</v>
      </c>
      <c r="BB613" t="str">
        <v>P/Final</v>
      </c>
      <c r="BC613">
        <v>60</v>
      </c>
      <c r="BD613" s="10">
        <v>63.1</v>
      </c>
      <c r="BE613" s="10">
        <v>0</v>
      </c>
      <c r="BF613" s="10">
        <v>0</v>
      </c>
      <c r="BG613" s="13">
        <v>45429</v>
      </c>
    </row>
    <row r="614" spans="49:59" x14ac:dyDescent="0.3">
      <c r="AW614" s="1">
        <v>11.1</v>
      </c>
      <c r="AX614" s="1">
        <v>11.1</v>
      </c>
      <c r="AY614" t="str">
        <v>R080_HI782-0_0.0_LOT0568_PWW19.1_QC.xlsx</v>
      </c>
      <c r="AZ614" t="str">
        <v>LOT0568</v>
      </c>
      <c r="BA614" s="3">
        <v>11</v>
      </c>
      <c r="BB614" t="str">
        <v>P/Final</v>
      </c>
      <c r="BC614">
        <v>60</v>
      </c>
      <c r="BD614" s="10">
        <v>60.1</v>
      </c>
      <c r="BE614" s="10">
        <v>0</v>
      </c>
      <c r="BF614" s="10">
        <v>0</v>
      </c>
      <c r="BG614" s="13">
        <v>45429</v>
      </c>
    </row>
    <row r="615" spans="49:59" x14ac:dyDescent="0.3">
      <c r="AW615" s="1">
        <v>11.1</v>
      </c>
      <c r="AX615" s="1">
        <v>11.1</v>
      </c>
      <c r="AY615" t="str">
        <v>R080_HI782-0_0.0_LOT0568_PWW19.1_QC.xlsx</v>
      </c>
      <c r="AZ615" t="str">
        <v>LOT0568</v>
      </c>
      <c r="BA615" s="3">
        <v>11</v>
      </c>
      <c r="BB615" t="str">
        <v>P/Final</v>
      </c>
      <c r="BC615">
        <v>15</v>
      </c>
      <c r="BD615" s="10">
        <v>17.100000000000001</v>
      </c>
      <c r="BE615" s="10">
        <v>0</v>
      </c>
      <c r="BF615" s="10">
        <v>0</v>
      </c>
      <c r="BG615" s="13">
        <v>45432</v>
      </c>
    </row>
    <row r="616" spans="49:59" x14ac:dyDescent="0.3">
      <c r="AW616" s="1">
        <v>11.1</v>
      </c>
      <c r="AX616" s="1">
        <v>11.1</v>
      </c>
      <c r="AY616" t="str">
        <v>R080_HI782-0_0.0_LOT0568_PWW19.1_QC.xlsx</v>
      </c>
      <c r="AZ616" t="str">
        <v>LOT0568</v>
      </c>
      <c r="BA616" s="3">
        <v>11</v>
      </c>
      <c r="BB616" t="str">
        <v>P/Final</v>
      </c>
      <c r="BC616">
        <v>15</v>
      </c>
      <c r="BD616" s="10">
        <v>17.2</v>
      </c>
      <c r="BE616" s="10">
        <v>0</v>
      </c>
      <c r="BF616" s="10">
        <v>0</v>
      </c>
      <c r="BG616" s="13">
        <v>45432</v>
      </c>
    </row>
    <row r="617" spans="49:59" x14ac:dyDescent="0.3">
      <c r="AW617" s="1">
        <v>11.1</v>
      </c>
      <c r="AX617" s="1">
        <v>11.1</v>
      </c>
      <c r="AY617" t="str">
        <v>R080_HI782-0_0.0_LOT0568_PWW19.1_QC.xlsx</v>
      </c>
      <c r="AZ617" t="str">
        <v>LOT0568</v>
      </c>
      <c r="BA617" s="3">
        <v>11</v>
      </c>
      <c r="BB617" t="str">
        <v>P/Final</v>
      </c>
      <c r="BC617">
        <v>15</v>
      </c>
      <c r="BD617" s="10">
        <v>16.600000000000001</v>
      </c>
      <c r="BE617" s="10">
        <v>0</v>
      </c>
      <c r="BF617" s="10">
        <v>0</v>
      </c>
      <c r="BG617" s="13">
        <v>45432</v>
      </c>
    </row>
    <row r="618" spans="49:59" x14ac:dyDescent="0.3">
      <c r="AW618" s="1">
        <v>11.1</v>
      </c>
      <c r="AX618" s="1">
        <v>11.1</v>
      </c>
      <c r="AY618" t="str">
        <v>R080_HI782-0_0.0_LOT0568_PWW19.1_QC.xlsx</v>
      </c>
      <c r="AZ618" t="str">
        <v>LOT0568</v>
      </c>
      <c r="BA618" s="3">
        <v>11</v>
      </c>
      <c r="BB618" t="str">
        <v>P/Final</v>
      </c>
      <c r="BC618">
        <v>15</v>
      </c>
      <c r="BD618" s="10">
        <v>16.3</v>
      </c>
      <c r="BE618" s="10">
        <v>0</v>
      </c>
      <c r="BF618" s="10">
        <v>0</v>
      </c>
      <c r="BG618" s="13">
        <v>45432</v>
      </c>
    </row>
    <row r="619" spans="49:59" x14ac:dyDescent="0.3">
      <c r="AW619" s="1">
        <v>11.1</v>
      </c>
      <c r="AX619" s="1">
        <v>11.1</v>
      </c>
      <c r="AY619" t="str">
        <v>R080_HI782-0_0.0_LOT0568_PWW19.1_QC.xlsx</v>
      </c>
      <c r="AZ619" t="str">
        <v>LOT0568</v>
      </c>
      <c r="BA619" s="3">
        <v>11</v>
      </c>
      <c r="BB619" t="str">
        <v>P/Final</v>
      </c>
      <c r="BC619">
        <v>35</v>
      </c>
      <c r="BD619" s="10">
        <v>36.799999999999997</v>
      </c>
      <c r="BE619" s="10">
        <v>0</v>
      </c>
      <c r="BF619" s="10">
        <v>0</v>
      </c>
      <c r="BG619" s="13">
        <v>45432</v>
      </c>
    </row>
    <row r="620" spans="49:59" x14ac:dyDescent="0.3">
      <c r="AW620" s="1">
        <v>11.1</v>
      </c>
      <c r="AX620" s="1">
        <v>11.1</v>
      </c>
      <c r="AY620" t="str">
        <v>R080_HI782-0_0.0_LOT0568_PWW19.1_QC.xlsx</v>
      </c>
      <c r="AZ620" t="str">
        <v>LOT0568</v>
      </c>
      <c r="BA620" s="3">
        <v>11</v>
      </c>
      <c r="BB620" t="str">
        <v>P/Final</v>
      </c>
      <c r="BC620">
        <v>35</v>
      </c>
      <c r="BD620" s="10">
        <v>38.1</v>
      </c>
      <c r="BE620" s="10">
        <v>0</v>
      </c>
      <c r="BF620" s="10">
        <v>0</v>
      </c>
      <c r="BG620" s="13">
        <v>45432</v>
      </c>
    </row>
    <row r="621" spans="49:59" x14ac:dyDescent="0.3">
      <c r="AW621" s="1">
        <v>11.1</v>
      </c>
      <c r="AX621" s="1">
        <v>11.1</v>
      </c>
      <c r="AY621" t="str">
        <v>R080_HI782-0_0.0_LOT0568_PWW19.1_QC.xlsx</v>
      </c>
      <c r="AZ621" t="str">
        <v>LOT0568</v>
      </c>
      <c r="BA621" s="3">
        <v>11</v>
      </c>
      <c r="BB621" t="str">
        <v>P/Final</v>
      </c>
      <c r="BC621">
        <v>35</v>
      </c>
      <c r="BD621" s="10">
        <v>36.700000000000003</v>
      </c>
      <c r="BE621" s="10">
        <v>0</v>
      </c>
      <c r="BF621" s="10">
        <v>0</v>
      </c>
      <c r="BG621" s="13">
        <v>45432</v>
      </c>
    </row>
    <row r="622" spans="49:59" x14ac:dyDescent="0.3">
      <c r="AW622" s="1">
        <v>11.1</v>
      </c>
      <c r="AX622" s="1">
        <v>11.1</v>
      </c>
      <c r="AY622" t="str">
        <v>R080_HI782-0_0.0_LOT0568_PWW19.1_QC.xlsx</v>
      </c>
      <c r="AZ622" t="str">
        <v>LOT0568</v>
      </c>
      <c r="BA622" s="3">
        <v>11</v>
      </c>
      <c r="BB622" t="str">
        <v>P/Final</v>
      </c>
      <c r="BC622">
        <v>35</v>
      </c>
      <c r="BD622" s="10">
        <v>37.5</v>
      </c>
      <c r="BE622" s="10">
        <v>0</v>
      </c>
      <c r="BF622" s="10">
        <v>0</v>
      </c>
      <c r="BG622" s="13">
        <v>45432</v>
      </c>
    </row>
    <row r="623" spans="49:59" x14ac:dyDescent="0.3">
      <c r="AW623" s="1">
        <v>11.1</v>
      </c>
      <c r="AX623" s="1">
        <v>11.1</v>
      </c>
      <c r="AY623" t="str">
        <v>R080_HI782-0_0.0_LOT0568_PWW19.1_QC.xlsx</v>
      </c>
      <c r="AZ623" t="str">
        <v>LOT0568</v>
      </c>
      <c r="BA623" s="3">
        <v>11</v>
      </c>
      <c r="BB623" t="str">
        <v>P/Final</v>
      </c>
      <c r="BC623">
        <v>60</v>
      </c>
      <c r="BD623" s="10">
        <v>61.9</v>
      </c>
      <c r="BE623" s="10">
        <v>0</v>
      </c>
      <c r="BF623" s="10">
        <v>0</v>
      </c>
      <c r="BG623" s="13">
        <v>45432</v>
      </c>
    </row>
    <row r="624" spans="49:59" x14ac:dyDescent="0.3">
      <c r="AW624" s="1">
        <v>11.1</v>
      </c>
      <c r="AX624" s="1">
        <v>11.1</v>
      </c>
      <c r="AY624" t="str">
        <v>R080_HI782-0_0.0_LOT0568_PWW19.1_QC.xlsx</v>
      </c>
      <c r="AZ624" t="str">
        <v>LOT0568</v>
      </c>
      <c r="BA624" s="3">
        <v>11</v>
      </c>
      <c r="BB624" t="str">
        <v>P/Final</v>
      </c>
      <c r="BC624">
        <v>60</v>
      </c>
      <c r="BD624" s="10">
        <v>60.5</v>
      </c>
      <c r="BE624" s="10">
        <v>0</v>
      </c>
      <c r="BF624" s="10">
        <v>0</v>
      </c>
      <c r="BG624" s="13">
        <v>45432</v>
      </c>
    </row>
    <row r="625" spans="49:59" x14ac:dyDescent="0.3">
      <c r="AW625" s="1">
        <v>11.1</v>
      </c>
      <c r="AX625" s="1">
        <v>11.1</v>
      </c>
      <c r="AY625" t="str">
        <v>R080_HI782-0_0.0_LOT0568_PWW19.1_QC.xlsx</v>
      </c>
      <c r="AZ625" t="str">
        <v>LOT0568</v>
      </c>
      <c r="BA625" s="3">
        <v>11</v>
      </c>
      <c r="BB625" t="str">
        <v>P/Final</v>
      </c>
      <c r="BC625">
        <v>60</v>
      </c>
      <c r="BD625" s="10">
        <v>59.6</v>
      </c>
      <c r="BE625" s="10">
        <v>0</v>
      </c>
      <c r="BF625" s="10">
        <v>0</v>
      </c>
      <c r="BG625" s="13">
        <v>45432</v>
      </c>
    </row>
    <row r="626" spans="49:59" x14ac:dyDescent="0.3">
      <c r="AW626" s="1">
        <v>12.1</v>
      </c>
      <c r="AX626" s="1">
        <v>12.1</v>
      </c>
      <c r="AY626" t="str">
        <v>CP-R80_HI782-0_0.0_LOT0632_PW28.1_QC.xlsx</v>
      </c>
      <c r="AZ626" t="str">
        <v>LOT0632</v>
      </c>
      <c r="BA626" s="3">
        <v>12</v>
      </c>
      <c r="BB626" t="str">
        <v>P/Final</v>
      </c>
      <c r="BC626">
        <v>0</v>
      </c>
      <c r="BD626" s="10">
        <v>0</v>
      </c>
      <c r="BE626" s="10">
        <v>0</v>
      </c>
      <c r="BF626" s="10">
        <v>0</v>
      </c>
      <c r="BG626" s="13">
        <v>45484</v>
      </c>
    </row>
    <row r="627" spans="49:59" x14ac:dyDescent="0.3">
      <c r="AW627" s="1">
        <v>12.1</v>
      </c>
      <c r="AX627" s="1">
        <v>12.1</v>
      </c>
      <c r="AY627" t="str">
        <v>CP-R80_HI782-0_0.0_LOT0632_PW28.1_QC.xlsx</v>
      </c>
      <c r="AZ627" t="str">
        <v>LOT0632</v>
      </c>
      <c r="BA627" s="3">
        <v>12</v>
      </c>
      <c r="BB627" t="str">
        <v>P/Final</v>
      </c>
      <c r="BC627">
        <v>0</v>
      </c>
      <c r="BD627" s="10">
        <v>0</v>
      </c>
      <c r="BE627" s="10">
        <v>0</v>
      </c>
      <c r="BF627" s="10">
        <v>0</v>
      </c>
      <c r="BG627" s="13">
        <v>45484</v>
      </c>
    </row>
    <row r="628" spans="49:59" x14ac:dyDescent="0.3">
      <c r="AW628" s="1">
        <v>12.1</v>
      </c>
      <c r="AX628" s="1">
        <v>12.1</v>
      </c>
      <c r="AY628" t="str">
        <v>CP-R80_HI782-0_0.0_LOT0632_PW28.1_QC.xlsx</v>
      </c>
      <c r="AZ628" t="str">
        <v>LOT0632</v>
      </c>
      <c r="BA628" s="3">
        <v>12</v>
      </c>
      <c r="BB628" t="str">
        <v>P/Final</v>
      </c>
      <c r="BC628">
        <v>15</v>
      </c>
      <c r="BD628" s="10">
        <v>13.4</v>
      </c>
      <c r="BE628" s="10">
        <v>0</v>
      </c>
      <c r="BF628" s="10">
        <v>0</v>
      </c>
      <c r="BG628" s="13">
        <v>45484</v>
      </c>
    </row>
    <row r="629" spans="49:59" x14ac:dyDescent="0.3">
      <c r="AW629" s="1">
        <v>12.1</v>
      </c>
      <c r="AX629" s="1">
        <v>12.1</v>
      </c>
      <c r="AY629" t="str">
        <v>CP-R80_HI782-0_0.0_LOT0632_PW28.1_QC.xlsx</v>
      </c>
      <c r="AZ629" t="str">
        <v>LOT0632</v>
      </c>
      <c r="BA629" s="3">
        <v>12</v>
      </c>
      <c r="BB629" t="str">
        <v>P/Final</v>
      </c>
      <c r="BC629">
        <v>15</v>
      </c>
      <c r="BD629" s="10">
        <v>14.6</v>
      </c>
      <c r="BE629" s="10">
        <v>0</v>
      </c>
      <c r="BF629" s="10">
        <v>0</v>
      </c>
      <c r="BG629" s="13">
        <v>45484</v>
      </c>
    </row>
    <row r="630" spans="49:59" x14ac:dyDescent="0.3">
      <c r="AW630" s="1">
        <v>12.1</v>
      </c>
      <c r="AX630" s="1">
        <v>12.1</v>
      </c>
      <c r="AY630" t="str">
        <v>CP-R80_HI782-0_0.0_LOT0632_PW28.1_QC.xlsx</v>
      </c>
      <c r="AZ630" t="str">
        <v>LOT0632</v>
      </c>
      <c r="BA630" s="3">
        <v>12</v>
      </c>
      <c r="BB630" t="str">
        <v>P/Final</v>
      </c>
      <c r="BC630">
        <v>15</v>
      </c>
      <c r="BD630" s="10">
        <v>14.4</v>
      </c>
      <c r="BE630" s="10">
        <v>0</v>
      </c>
      <c r="BF630" s="10">
        <v>0</v>
      </c>
      <c r="BG630" s="13">
        <v>45484</v>
      </c>
    </row>
    <row r="631" spans="49:59" x14ac:dyDescent="0.3">
      <c r="AW631" s="1">
        <v>12.1</v>
      </c>
      <c r="AX631" s="1">
        <v>12.1</v>
      </c>
      <c r="AY631" t="str">
        <v>CP-R80_HI782-0_0.0_LOT0632_PW28.1_QC.xlsx</v>
      </c>
      <c r="AZ631" t="str">
        <v>LOT0632</v>
      </c>
      <c r="BA631" s="3">
        <v>12</v>
      </c>
      <c r="BB631" t="str">
        <v>P/Final</v>
      </c>
      <c r="BC631">
        <v>15</v>
      </c>
      <c r="BD631" s="10">
        <v>14.1</v>
      </c>
      <c r="BE631" s="10">
        <v>0</v>
      </c>
      <c r="BF631" s="10">
        <v>0</v>
      </c>
      <c r="BG631" s="13">
        <v>45484</v>
      </c>
    </row>
    <row r="632" spans="49:59" x14ac:dyDescent="0.3">
      <c r="AW632" s="1">
        <v>12.1</v>
      </c>
      <c r="AX632" s="1">
        <v>12.1</v>
      </c>
      <c r="AY632" t="str">
        <v>CP-R80_HI782-0_0.0_LOT0632_PW28.1_QC.xlsx</v>
      </c>
      <c r="AZ632" t="str">
        <v>LOT0632</v>
      </c>
      <c r="BA632" s="3">
        <v>12</v>
      </c>
      <c r="BB632" t="str">
        <v>P/Final</v>
      </c>
      <c r="BC632">
        <v>35</v>
      </c>
      <c r="BD632" s="10">
        <v>31.4</v>
      </c>
      <c r="BE632" s="10">
        <v>0</v>
      </c>
      <c r="BF632" s="10">
        <v>0</v>
      </c>
      <c r="BG632" s="13">
        <v>45484</v>
      </c>
    </row>
    <row r="633" spans="49:59" x14ac:dyDescent="0.3">
      <c r="AW633" s="1">
        <v>12.1</v>
      </c>
      <c r="AX633" s="1">
        <v>12.1</v>
      </c>
      <c r="AY633" t="str">
        <v>CP-R80_HI782-0_0.0_LOT0632_PW28.1_QC.xlsx</v>
      </c>
      <c r="AZ633" t="str">
        <v>LOT0632</v>
      </c>
      <c r="BA633" s="3">
        <v>12</v>
      </c>
      <c r="BB633" t="str">
        <v>P/Final</v>
      </c>
      <c r="BC633">
        <v>35</v>
      </c>
      <c r="BD633" s="10">
        <v>36.200000000000003</v>
      </c>
      <c r="BE633" s="10">
        <v>0</v>
      </c>
      <c r="BF633" s="10">
        <v>0</v>
      </c>
      <c r="BG633" s="13">
        <v>45484</v>
      </c>
    </row>
    <row r="634" spans="49:59" x14ac:dyDescent="0.3">
      <c r="AW634" s="1">
        <v>12.1</v>
      </c>
      <c r="AX634" s="1">
        <v>12.1</v>
      </c>
      <c r="AY634" t="str">
        <v>CP-R80_HI782-0_0.0_LOT0632_PW28.1_QC.xlsx</v>
      </c>
      <c r="AZ634" t="str">
        <v>LOT0632</v>
      </c>
      <c r="BA634" s="3">
        <v>12</v>
      </c>
      <c r="BB634" t="str">
        <v>P/Final</v>
      </c>
      <c r="BC634">
        <v>35</v>
      </c>
      <c r="BD634" s="10">
        <v>29.3</v>
      </c>
      <c r="BE634" s="10">
        <v>0</v>
      </c>
      <c r="BF634" s="10">
        <v>0</v>
      </c>
      <c r="BG634" s="13">
        <v>45484</v>
      </c>
    </row>
    <row r="635" spans="49:59" x14ac:dyDescent="0.3">
      <c r="AW635" s="1">
        <v>12.1</v>
      </c>
      <c r="AX635" s="1">
        <v>12.1</v>
      </c>
      <c r="AY635" t="str">
        <v>CP-R80_HI782-0_0.0_LOT0632_PW28.1_QC.xlsx</v>
      </c>
      <c r="AZ635" t="str">
        <v>LOT0632</v>
      </c>
      <c r="BA635" s="3">
        <v>12</v>
      </c>
      <c r="BB635" t="str">
        <v>P/Final</v>
      </c>
      <c r="BC635">
        <v>35</v>
      </c>
      <c r="BD635" s="10">
        <v>35.4</v>
      </c>
      <c r="BE635" s="10">
        <v>0</v>
      </c>
      <c r="BF635" s="10">
        <v>0</v>
      </c>
      <c r="BG635" s="13">
        <v>45484</v>
      </c>
    </row>
    <row r="636" spans="49:59" x14ac:dyDescent="0.3">
      <c r="AW636" s="1">
        <v>12.1</v>
      </c>
      <c r="AX636" s="1">
        <v>12.1</v>
      </c>
      <c r="AY636" t="str">
        <v>CP-R80_HI782-0_0.0_LOT0632_PW28.1_QC.xlsx</v>
      </c>
      <c r="AZ636" t="str">
        <v>LOT0632</v>
      </c>
      <c r="BA636" s="3">
        <v>12</v>
      </c>
      <c r="BB636" t="str">
        <v>P/Final</v>
      </c>
      <c r="BC636">
        <v>35</v>
      </c>
      <c r="BD636" s="10">
        <v>34.700000000000003</v>
      </c>
      <c r="BE636" s="10">
        <v>0</v>
      </c>
      <c r="BF636" s="10">
        <v>0</v>
      </c>
      <c r="BG636" s="13">
        <v>45484</v>
      </c>
    </row>
    <row r="637" spans="49:59" x14ac:dyDescent="0.3">
      <c r="AW637" s="1">
        <v>12.1</v>
      </c>
      <c r="AX637" s="1">
        <v>12.1</v>
      </c>
      <c r="AY637" t="str">
        <v>CP-R80_HI782-0_0.0_LOT0632_PW28.1_QC.xlsx</v>
      </c>
      <c r="AZ637" t="str">
        <v>LOT0632</v>
      </c>
      <c r="BA637" s="3">
        <v>12</v>
      </c>
      <c r="BB637" t="str">
        <v>P/Final</v>
      </c>
      <c r="BC637">
        <v>35</v>
      </c>
      <c r="BD637" s="10">
        <v>35.9</v>
      </c>
      <c r="BE637" s="10">
        <v>0</v>
      </c>
      <c r="BF637" s="10">
        <v>0</v>
      </c>
      <c r="BG637" s="13">
        <v>45484</v>
      </c>
    </row>
    <row r="638" spans="49:59" x14ac:dyDescent="0.3">
      <c r="AW638" s="1">
        <v>12.1</v>
      </c>
      <c r="AX638" s="1">
        <v>12.1</v>
      </c>
      <c r="AY638" t="str">
        <v>CP-R80_HI782-0_0.0_LOT0632_PW28.1_QC.xlsx</v>
      </c>
      <c r="AZ638" t="str">
        <v>LOT0632</v>
      </c>
      <c r="BA638" s="3">
        <v>12</v>
      </c>
      <c r="BB638" t="str">
        <v>P/Final</v>
      </c>
      <c r="BC638">
        <v>60</v>
      </c>
      <c r="BD638" s="10">
        <v>59.3</v>
      </c>
      <c r="BE638" s="10">
        <v>0</v>
      </c>
      <c r="BF638" s="10">
        <v>0</v>
      </c>
      <c r="BG638" s="13">
        <v>45484</v>
      </c>
    </row>
    <row r="639" spans="49:59" x14ac:dyDescent="0.3">
      <c r="AW639" s="1">
        <v>12.1</v>
      </c>
      <c r="AX639" s="1">
        <v>12.1</v>
      </c>
      <c r="AY639" t="str">
        <v>CP-R80_HI782-0_0.0_LOT0632_PW28.1_QC.xlsx</v>
      </c>
      <c r="AZ639" t="str">
        <v>LOT0632</v>
      </c>
      <c r="BA639" s="3">
        <v>12</v>
      </c>
      <c r="BB639" t="str">
        <v>P/Final</v>
      </c>
      <c r="BC639">
        <v>60</v>
      </c>
      <c r="BD639" s="10">
        <v>58.4</v>
      </c>
      <c r="BE639" s="10">
        <v>0</v>
      </c>
      <c r="BF639" s="10">
        <v>0</v>
      </c>
      <c r="BG639" s="13">
        <v>45484</v>
      </c>
    </row>
    <row r="640" spans="49:59" x14ac:dyDescent="0.3">
      <c r="AW640" s="1">
        <v>12.1</v>
      </c>
      <c r="AX640" s="1">
        <v>12.1</v>
      </c>
      <c r="AY640" t="str">
        <v>CP-R80_HI782-0_0.0_LOT0632_PW28.1_QC.xlsx</v>
      </c>
      <c r="AZ640" t="str">
        <v>LOT0632</v>
      </c>
      <c r="BA640" s="3">
        <v>12</v>
      </c>
      <c r="BB640" t="str">
        <v>P/Final</v>
      </c>
      <c r="BC640">
        <v>60</v>
      </c>
      <c r="BD640" s="10">
        <v>56.7</v>
      </c>
      <c r="BE640" s="10">
        <v>0</v>
      </c>
      <c r="BF640" s="10">
        <v>0</v>
      </c>
      <c r="BG640" s="13">
        <v>45484</v>
      </c>
    </row>
    <row r="641" spans="49:59" x14ac:dyDescent="0.3">
      <c r="AW641" s="1">
        <v>12.1</v>
      </c>
      <c r="AX641" s="1">
        <v>12.1</v>
      </c>
      <c r="AY641" t="str">
        <v>CP-R80_HI782-0_0.0_LOT0632_PW28.1_QC.xlsx</v>
      </c>
      <c r="AZ641" t="str">
        <v>LOT0632</v>
      </c>
      <c r="BA641" s="3">
        <v>12</v>
      </c>
      <c r="BB641" t="str">
        <v>P/Final</v>
      </c>
      <c r="BC641">
        <v>60</v>
      </c>
      <c r="BD641" s="10">
        <v>55.6</v>
      </c>
      <c r="BE641" s="10">
        <v>0</v>
      </c>
      <c r="BF641" s="10">
        <v>0</v>
      </c>
      <c r="BG641" s="13">
        <v>45484</v>
      </c>
    </row>
    <row r="642" spans="49:59" x14ac:dyDescent="0.3">
      <c r="AW642" s="1">
        <v>12.1</v>
      </c>
      <c r="AX642" s="1">
        <v>12.1</v>
      </c>
      <c r="AY642" t="str">
        <v>CP-R80_HI782-0_0.0_LOT0632_PW28.1_QC.xlsx</v>
      </c>
      <c r="AZ642" t="str">
        <v>LOT0632</v>
      </c>
      <c r="BA642" s="3">
        <v>12</v>
      </c>
      <c r="BB642" t="str">
        <v>P/Final</v>
      </c>
      <c r="BC642">
        <v>0</v>
      </c>
      <c r="BD642" s="10">
        <v>0</v>
      </c>
      <c r="BE642" s="10">
        <v>0</v>
      </c>
      <c r="BF642" s="10">
        <v>0</v>
      </c>
      <c r="BG642" s="13">
        <v>45485</v>
      </c>
    </row>
    <row r="643" spans="49:59" x14ac:dyDescent="0.3">
      <c r="AW643" s="1">
        <v>12.1</v>
      </c>
      <c r="AX643" s="1">
        <v>12.1</v>
      </c>
      <c r="AY643" t="str">
        <v>CP-R80_HI782-0_0.0_LOT0632_PW28.1_QC.xlsx</v>
      </c>
      <c r="AZ643" t="str">
        <v>LOT0632</v>
      </c>
      <c r="BA643" s="3">
        <v>12</v>
      </c>
      <c r="BB643" t="str">
        <v>P/Final</v>
      </c>
      <c r="BC643">
        <v>0</v>
      </c>
      <c r="BD643" s="10">
        <v>0</v>
      </c>
      <c r="BE643" s="10">
        <v>0</v>
      </c>
      <c r="BF643" s="10">
        <v>0</v>
      </c>
      <c r="BG643" s="13">
        <v>45485</v>
      </c>
    </row>
    <row r="644" spans="49:59" x14ac:dyDescent="0.3">
      <c r="AW644" s="1">
        <v>12.1</v>
      </c>
      <c r="AX644" s="1">
        <v>12.1</v>
      </c>
      <c r="AY644" t="str">
        <v>CP-R80_HI782-0_0.0_LOT0632_PW28.1_QC.xlsx</v>
      </c>
      <c r="AZ644" t="str">
        <v>LOT0632</v>
      </c>
      <c r="BA644" s="3">
        <v>12</v>
      </c>
      <c r="BB644" t="str">
        <v>P/Final</v>
      </c>
      <c r="BC644">
        <v>15</v>
      </c>
      <c r="BD644" s="10">
        <v>15.7</v>
      </c>
      <c r="BE644" s="10">
        <v>0</v>
      </c>
      <c r="BF644" s="10">
        <v>0</v>
      </c>
      <c r="BG644" s="13">
        <v>45485</v>
      </c>
    </row>
    <row r="645" spans="49:59" x14ac:dyDescent="0.3">
      <c r="AW645" s="1">
        <v>12.1</v>
      </c>
      <c r="AX645" s="1">
        <v>12.1</v>
      </c>
      <c r="AY645" t="str">
        <v>CP-R80_HI782-0_0.0_LOT0632_PW28.1_QC.xlsx</v>
      </c>
      <c r="AZ645" t="str">
        <v>LOT0632</v>
      </c>
      <c r="BA645" s="3">
        <v>12</v>
      </c>
      <c r="BB645" t="str">
        <v>P/Final</v>
      </c>
      <c r="BC645">
        <v>15</v>
      </c>
      <c r="BD645" s="10">
        <v>15.7</v>
      </c>
      <c r="BE645" s="10">
        <v>0</v>
      </c>
      <c r="BF645" s="10">
        <v>0</v>
      </c>
      <c r="BG645" s="13">
        <v>45485</v>
      </c>
    </row>
    <row r="646" spans="49:59" x14ac:dyDescent="0.3">
      <c r="AW646" s="1">
        <v>12.1</v>
      </c>
      <c r="AX646" s="1">
        <v>12.1</v>
      </c>
      <c r="AY646" t="str">
        <v>CP-R80_HI782-0_0.0_LOT0632_PW28.1_QC.xlsx</v>
      </c>
      <c r="AZ646" t="str">
        <v>LOT0632</v>
      </c>
      <c r="BA646" s="3">
        <v>12</v>
      </c>
      <c r="BB646" t="str">
        <v>P/Final</v>
      </c>
      <c r="BC646">
        <v>15</v>
      </c>
      <c r="BD646" s="10">
        <v>14</v>
      </c>
      <c r="BE646" s="10">
        <v>0</v>
      </c>
      <c r="BF646" s="10">
        <v>0</v>
      </c>
      <c r="BG646" s="13">
        <v>45485</v>
      </c>
    </row>
    <row r="647" spans="49:59" x14ac:dyDescent="0.3">
      <c r="AW647" s="1">
        <v>12.1</v>
      </c>
      <c r="AX647" s="1">
        <v>12.1</v>
      </c>
      <c r="AY647" t="str">
        <v>CP-R80_HI782-0_0.0_LOT0632_PW28.1_QC.xlsx</v>
      </c>
      <c r="AZ647" t="str">
        <v>LOT0632</v>
      </c>
      <c r="BA647" s="3">
        <v>12</v>
      </c>
      <c r="BB647" t="str">
        <v>P/Final</v>
      </c>
      <c r="BC647">
        <v>15</v>
      </c>
      <c r="BD647" s="10">
        <v>16.8</v>
      </c>
      <c r="BE647" s="10">
        <v>0</v>
      </c>
      <c r="BF647" s="10">
        <v>0</v>
      </c>
      <c r="BG647" s="13">
        <v>45485</v>
      </c>
    </row>
    <row r="648" spans="49:59" x14ac:dyDescent="0.3">
      <c r="AW648" s="1">
        <v>12.1</v>
      </c>
      <c r="AX648" s="1">
        <v>12.1</v>
      </c>
      <c r="AY648" t="str">
        <v>CP-R80_HI782-0_0.0_LOT0632_PW28.1_QC.xlsx</v>
      </c>
      <c r="AZ648" t="str">
        <v>LOT0632</v>
      </c>
      <c r="BA648" s="3">
        <v>12</v>
      </c>
      <c r="BB648" t="str">
        <v>P/Final</v>
      </c>
      <c r="BC648">
        <v>35</v>
      </c>
      <c r="BD648" s="10">
        <v>36.5</v>
      </c>
      <c r="BE648" s="10">
        <v>0</v>
      </c>
      <c r="BF648" s="10">
        <v>0</v>
      </c>
      <c r="BG648" s="13">
        <v>45485</v>
      </c>
    </row>
    <row r="649" spans="49:59" x14ac:dyDescent="0.3">
      <c r="AW649" s="1">
        <v>12.1</v>
      </c>
      <c r="AX649" s="1">
        <v>12.1</v>
      </c>
      <c r="AY649" t="str">
        <v>CP-R80_HI782-0_0.0_LOT0632_PW28.1_QC.xlsx</v>
      </c>
      <c r="AZ649" t="str">
        <v>LOT0632</v>
      </c>
      <c r="BA649" s="3">
        <v>12</v>
      </c>
      <c r="BB649" t="str">
        <v>P/Final</v>
      </c>
      <c r="BC649">
        <v>35</v>
      </c>
      <c r="BD649" s="10">
        <v>35.799999999999997</v>
      </c>
      <c r="BE649" s="10">
        <v>0</v>
      </c>
      <c r="BF649" s="10">
        <v>0</v>
      </c>
      <c r="BG649" s="13">
        <v>45485</v>
      </c>
    </row>
    <row r="650" spans="49:59" x14ac:dyDescent="0.3">
      <c r="AW650" s="1">
        <v>12.1</v>
      </c>
      <c r="AX650" s="1">
        <v>12.1</v>
      </c>
      <c r="AY650" t="str">
        <v>CP-R80_HI782-0_0.0_LOT0632_PW28.1_QC.xlsx</v>
      </c>
      <c r="AZ650" t="str">
        <v>LOT0632</v>
      </c>
      <c r="BA650" s="3">
        <v>12</v>
      </c>
      <c r="BB650" t="str">
        <v>P/Final</v>
      </c>
      <c r="BC650">
        <v>35</v>
      </c>
      <c r="BD650" s="10">
        <v>35.5</v>
      </c>
      <c r="BE650" s="10">
        <v>0</v>
      </c>
      <c r="BF650" s="10">
        <v>0</v>
      </c>
      <c r="BG650" s="13">
        <v>45485</v>
      </c>
    </row>
    <row r="651" spans="49:59" x14ac:dyDescent="0.3">
      <c r="AW651" s="1">
        <v>12.1</v>
      </c>
      <c r="AX651" s="1">
        <v>12.1</v>
      </c>
      <c r="AY651" t="str">
        <v>CP-R80_HI782-0_0.0_LOT0632_PW28.1_QC.xlsx</v>
      </c>
      <c r="AZ651" t="str">
        <v>LOT0632</v>
      </c>
      <c r="BA651" s="3">
        <v>12</v>
      </c>
      <c r="BB651" t="str">
        <v>P/Final</v>
      </c>
      <c r="BC651">
        <v>35</v>
      </c>
      <c r="BD651" s="10">
        <v>35.5</v>
      </c>
      <c r="BE651" s="10">
        <v>0</v>
      </c>
      <c r="BF651" s="10">
        <v>0</v>
      </c>
      <c r="BG651" s="13">
        <v>45485</v>
      </c>
    </row>
    <row r="652" spans="49:59" x14ac:dyDescent="0.3">
      <c r="AW652" s="1">
        <v>12.1</v>
      </c>
      <c r="AX652" s="1">
        <v>12.1</v>
      </c>
      <c r="AY652" t="str">
        <v>CP-R80_HI782-0_0.0_LOT0632_PW28.1_QC.xlsx</v>
      </c>
      <c r="AZ652" t="str">
        <v>LOT0632</v>
      </c>
      <c r="BA652" s="3">
        <v>12</v>
      </c>
      <c r="BB652" t="str">
        <v>P/Final</v>
      </c>
      <c r="BC652">
        <v>35</v>
      </c>
      <c r="BD652" s="10">
        <v>35.9</v>
      </c>
      <c r="BE652" s="10">
        <v>0</v>
      </c>
      <c r="BF652" s="10">
        <v>0</v>
      </c>
      <c r="BG652" s="13">
        <v>45485</v>
      </c>
    </row>
    <row r="653" spans="49:59" x14ac:dyDescent="0.3">
      <c r="AW653" s="1">
        <v>12.1</v>
      </c>
      <c r="AX653" s="1">
        <v>12.1</v>
      </c>
      <c r="AY653" t="str">
        <v>CP-R80_HI782-0_0.0_LOT0632_PW28.1_QC.xlsx</v>
      </c>
      <c r="AZ653" t="str">
        <v>LOT0632</v>
      </c>
      <c r="BA653" s="3">
        <v>12</v>
      </c>
      <c r="BB653" t="str">
        <v>P/Final</v>
      </c>
      <c r="BC653">
        <v>60</v>
      </c>
      <c r="BD653" s="10">
        <v>63.3</v>
      </c>
      <c r="BE653" s="10">
        <v>0</v>
      </c>
      <c r="BF653" s="10">
        <v>0</v>
      </c>
      <c r="BG653" s="13">
        <v>45485</v>
      </c>
    </row>
    <row r="654" spans="49:59" x14ac:dyDescent="0.3">
      <c r="AW654" s="1">
        <v>12.1</v>
      </c>
      <c r="AX654" s="1">
        <v>12.1</v>
      </c>
      <c r="AY654" t="str">
        <v>CP-R80_HI782-0_0.0_LOT0632_PW28.1_QC.xlsx</v>
      </c>
      <c r="AZ654" t="str">
        <v>LOT0632</v>
      </c>
      <c r="BA654" s="3">
        <v>12</v>
      </c>
      <c r="BB654" t="str">
        <v>P/Final</v>
      </c>
      <c r="BC654">
        <v>60</v>
      </c>
      <c r="BD654" s="10">
        <v>61.9</v>
      </c>
      <c r="BE654" s="10">
        <v>0</v>
      </c>
      <c r="BF654" s="10">
        <v>0</v>
      </c>
      <c r="BG654" s="13">
        <v>45485</v>
      </c>
    </row>
    <row r="655" spans="49:59" x14ac:dyDescent="0.3">
      <c r="AW655" s="1">
        <v>12.1</v>
      </c>
      <c r="AX655" s="1">
        <v>12.1</v>
      </c>
      <c r="AY655" t="str">
        <v>CP-R80_HI782-0_0.0_LOT0632_PW28.1_QC.xlsx</v>
      </c>
      <c r="AZ655" t="str">
        <v>LOT0632</v>
      </c>
      <c r="BA655" s="3">
        <v>12</v>
      </c>
      <c r="BB655" t="str">
        <v>P/Final</v>
      </c>
      <c r="BC655">
        <v>60</v>
      </c>
      <c r="BD655" s="10">
        <v>62.6</v>
      </c>
      <c r="BE655" s="10">
        <v>0</v>
      </c>
      <c r="BF655" s="10">
        <v>0</v>
      </c>
      <c r="BG655" s="13">
        <v>45485</v>
      </c>
    </row>
    <row r="656" spans="49:59" x14ac:dyDescent="0.3">
      <c r="AW656" s="1">
        <v>12.1</v>
      </c>
      <c r="AX656" s="1">
        <v>12.1</v>
      </c>
      <c r="AY656" t="str">
        <v>CP-R80_HI782-0_0.0_LOT0632_PW28.1_QC.xlsx</v>
      </c>
      <c r="AZ656" t="str">
        <v>LOT0632</v>
      </c>
      <c r="BA656" s="3">
        <v>12</v>
      </c>
      <c r="BB656" t="str">
        <v>P/Final</v>
      </c>
      <c r="BC656">
        <v>60</v>
      </c>
      <c r="BD656" s="10">
        <v>57</v>
      </c>
      <c r="BE656" s="10">
        <v>0</v>
      </c>
      <c r="BF656" s="10">
        <v>0</v>
      </c>
      <c r="BG656" s="13">
        <v>45485</v>
      </c>
    </row>
    <row r="657" spans="49:59" x14ac:dyDescent="0.3">
      <c r="AW657" s="1">
        <v>13.1</v>
      </c>
      <c r="AX657" s="1">
        <v>13.1</v>
      </c>
      <c r="AY657" t="str">
        <v>CP-R80_HI782-0_0.0_LOT0634_PWW28.2_QC.xlsx</v>
      </c>
      <c r="AZ657" t="str">
        <v>LOT0634</v>
      </c>
      <c r="BA657" s="3">
        <v>13</v>
      </c>
      <c r="BB657" t="str">
        <v>P/Final</v>
      </c>
      <c r="BC657">
        <v>15</v>
      </c>
      <c r="BD657" s="10">
        <v>15.4</v>
      </c>
      <c r="BE657" s="10">
        <v>0</v>
      </c>
      <c r="BF657" s="10">
        <v>0</v>
      </c>
      <c r="BG657" s="13">
        <v>45491</v>
      </c>
    </row>
    <row r="658" spans="49:59" x14ac:dyDescent="0.3">
      <c r="AW658" s="1">
        <v>13.1</v>
      </c>
      <c r="AX658" s="1">
        <v>13.1</v>
      </c>
      <c r="AY658" t="str">
        <v>CP-R80_HI782-0_0.0_LOT0634_PWW28.2_QC.xlsx</v>
      </c>
      <c r="AZ658" t="str">
        <v>LOT0634</v>
      </c>
      <c r="BA658" s="3">
        <v>13</v>
      </c>
      <c r="BB658" t="str">
        <v>P/Final</v>
      </c>
      <c r="BC658">
        <v>15</v>
      </c>
      <c r="BD658" s="10">
        <v>16.100000000000001</v>
      </c>
      <c r="BE658" s="10">
        <v>0</v>
      </c>
      <c r="BF658" s="10">
        <v>0</v>
      </c>
      <c r="BG658" s="13">
        <v>45491</v>
      </c>
    </row>
    <row r="659" spans="49:59" x14ac:dyDescent="0.3">
      <c r="AW659" s="1">
        <v>13.1</v>
      </c>
      <c r="AX659" s="1">
        <v>13.1</v>
      </c>
      <c r="AY659" t="str">
        <v>CP-R80_HI782-0_0.0_LOT0634_PWW28.2_QC.xlsx</v>
      </c>
      <c r="AZ659" t="str">
        <v>LOT0634</v>
      </c>
      <c r="BA659" s="3">
        <v>13</v>
      </c>
      <c r="BB659" t="str">
        <v>P/Final</v>
      </c>
      <c r="BC659">
        <v>15</v>
      </c>
      <c r="BD659" s="10">
        <v>14.4</v>
      </c>
      <c r="BE659" s="10">
        <v>0</v>
      </c>
      <c r="BF659" s="10">
        <v>0</v>
      </c>
      <c r="BG659" s="13">
        <v>45491</v>
      </c>
    </row>
    <row r="660" spans="49:59" x14ac:dyDescent="0.3">
      <c r="AW660" s="1">
        <v>13.1</v>
      </c>
      <c r="AX660" s="1">
        <v>13.1</v>
      </c>
      <c r="AY660" t="str">
        <v>CP-R80_HI782-0_0.0_LOT0634_PWW28.2_QC.xlsx</v>
      </c>
      <c r="AZ660" t="str">
        <v>LOT0634</v>
      </c>
      <c r="BA660" s="3">
        <v>13</v>
      </c>
      <c r="BB660" t="str">
        <v>P/Final</v>
      </c>
      <c r="BC660">
        <v>15</v>
      </c>
      <c r="BD660" s="10">
        <v>16.3</v>
      </c>
      <c r="BE660" s="10">
        <v>0</v>
      </c>
      <c r="BF660" s="10">
        <v>0</v>
      </c>
      <c r="BG660" s="13">
        <v>45491</v>
      </c>
    </row>
    <row r="661" spans="49:59" x14ac:dyDescent="0.3">
      <c r="AW661" s="1">
        <v>13.1</v>
      </c>
      <c r="AX661" s="1">
        <v>13.1</v>
      </c>
      <c r="AY661" t="str">
        <v>CP-R80_HI782-0_0.0_LOT0634_PWW28.2_QC.xlsx</v>
      </c>
      <c r="AZ661" t="str">
        <v>LOT0634</v>
      </c>
      <c r="BA661" s="3">
        <v>13</v>
      </c>
      <c r="BB661" t="str">
        <v>P/Final</v>
      </c>
      <c r="BC661">
        <v>35</v>
      </c>
      <c r="BD661" s="10">
        <v>37.4</v>
      </c>
      <c r="BE661" s="10">
        <v>0</v>
      </c>
      <c r="BF661" s="10">
        <v>0</v>
      </c>
      <c r="BG661" s="13">
        <v>45491</v>
      </c>
    </row>
    <row r="662" spans="49:59" x14ac:dyDescent="0.3">
      <c r="AW662" s="1">
        <v>13.1</v>
      </c>
      <c r="AX662" s="1">
        <v>13.1</v>
      </c>
      <c r="AY662" t="str">
        <v>CP-R80_HI782-0_0.0_LOT0634_PWW28.2_QC.xlsx</v>
      </c>
      <c r="AZ662" t="str">
        <v>LOT0634</v>
      </c>
      <c r="BA662" s="3">
        <v>13</v>
      </c>
      <c r="BB662" t="str">
        <v>P/Final</v>
      </c>
      <c r="BC662">
        <v>35</v>
      </c>
      <c r="BD662" s="10">
        <v>38.1</v>
      </c>
      <c r="BE662" s="10">
        <v>0</v>
      </c>
      <c r="BF662" s="10">
        <v>0</v>
      </c>
      <c r="BG662" s="13">
        <v>45491</v>
      </c>
    </row>
    <row r="663" spans="49:59" x14ac:dyDescent="0.3">
      <c r="AW663" s="1">
        <v>13.1</v>
      </c>
      <c r="AX663" s="1">
        <v>13.1</v>
      </c>
      <c r="AY663" t="str">
        <v>CP-R80_HI782-0_0.0_LOT0634_PWW28.2_QC.xlsx</v>
      </c>
      <c r="AZ663" t="str">
        <v>LOT0634</v>
      </c>
      <c r="BA663" s="3">
        <v>13</v>
      </c>
      <c r="BB663" t="str">
        <v>P/Final</v>
      </c>
      <c r="BC663">
        <v>35</v>
      </c>
      <c r="BD663" s="10">
        <v>36.299999999999997</v>
      </c>
      <c r="BE663" s="10">
        <v>0</v>
      </c>
      <c r="BF663" s="10">
        <v>0</v>
      </c>
      <c r="BG663" s="13">
        <v>45491</v>
      </c>
    </row>
    <row r="664" spans="49:59" x14ac:dyDescent="0.3">
      <c r="AW664" s="1">
        <v>13.1</v>
      </c>
      <c r="AX664" s="1">
        <v>13.1</v>
      </c>
      <c r="AY664" t="str">
        <v>CP-R80_HI782-0_0.0_LOT0634_PWW28.2_QC.xlsx</v>
      </c>
      <c r="AZ664" t="str">
        <v>LOT0634</v>
      </c>
      <c r="BA664" s="3">
        <v>13</v>
      </c>
      <c r="BB664" t="str">
        <v>P/Final</v>
      </c>
      <c r="BC664">
        <v>35</v>
      </c>
      <c r="BD664" s="10">
        <v>35.1</v>
      </c>
      <c r="BE664" s="10">
        <v>0</v>
      </c>
      <c r="BF664" s="10">
        <v>0</v>
      </c>
      <c r="BG664" s="13">
        <v>45491</v>
      </c>
    </row>
    <row r="665" spans="49:59" x14ac:dyDescent="0.3">
      <c r="AW665" s="1">
        <v>13.1</v>
      </c>
      <c r="AX665" s="1">
        <v>13.1</v>
      </c>
      <c r="AY665" t="str">
        <v>CP-R80_HI782-0_0.0_LOT0634_PWW28.2_QC.xlsx</v>
      </c>
      <c r="AZ665" t="str">
        <v>LOT0634</v>
      </c>
      <c r="BA665" s="3">
        <v>13</v>
      </c>
      <c r="BB665" t="str">
        <v>P/Final</v>
      </c>
      <c r="BC665">
        <v>35</v>
      </c>
      <c r="BD665" s="10">
        <v>38.299999999999997</v>
      </c>
      <c r="BE665" s="10">
        <v>0</v>
      </c>
      <c r="BF665" s="10">
        <v>0</v>
      </c>
      <c r="BG665" s="13">
        <v>45491</v>
      </c>
    </row>
    <row r="666" spans="49:59" x14ac:dyDescent="0.3">
      <c r="AW666" s="1">
        <v>13.1</v>
      </c>
      <c r="AX666" s="1">
        <v>13.1</v>
      </c>
      <c r="AY666" t="str">
        <v>CP-R80_HI782-0_0.0_LOT0634_PWW28.2_QC.xlsx</v>
      </c>
      <c r="AZ666" t="str">
        <v>LOT0634</v>
      </c>
      <c r="BA666" s="3">
        <v>13</v>
      </c>
      <c r="BB666" t="str">
        <v>P/Final</v>
      </c>
      <c r="BC666">
        <v>60</v>
      </c>
      <c r="BD666" s="10">
        <v>62.7</v>
      </c>
      <c r="BE666" s="10">
        <v>0</v>
      </c>
      <c r="BF666" s="10">
        <v>0</v>
      </c>
      <c r="BG666" s="13">
        <v>45491</v>
      </c>
    </row>
    <row r="667" spans="49:59" x14ac:dyDescent="0.3">
      <c r="AW667" s="1">
        <v>13.1</v>
      </c>
      <c r="AX667" s="1">
        <v>13.1</v>
      </c>
      <c r="AY667" t="str">
        <v>CP-R80_HI782-0_0.0_LOT0634_PWW28.2_QC.xlsx</v>
      </c>
      <c r="AZ667" t="str">
        <v>LOT0634</v>
      </c>
      <c r="BA667" s="3">
        <v>13</v>
      </c>
      <c r="BB667" t="str">
        <v>P/Final</v>
      </c>
      <c r="BC667">
        <v>60</v>
      </c>
      <c r="BD667" s="10">
        <v>63.5</v>
      </c>
      <c r="BE667" s="10">
        <v>0</v>
      </c>
      <c r="BF667" s="10">
        <v>0</v>
      </c>
      <c r="BG667" s="13">
        <v>45491</v>
      </c>
    </row>
    <row r="668" spans="49:59" x14ac:dyDescent="0.3">
      <c r="AW668" s="1">
        <v>13.1</v>
      </c>
      <c r="AX668" s="1">
        <v>13.1</v>
      </c>
      <c r="AY668" t="str">
        <v>CP-R80_HI782-0_0.0_LOT0634_PWW28.2_QC.xlsx</v>
      </c>
      <c r="AZ668" t="str">
        <v>LOT0634</v>
      </c>
      <c r="BA668" s="3">
        <v>13</v>
      </c>
      <c r="BB668" t="str">
        <v>P/Final</v>
      </c>
      <c r="BC668">
        <v>60</v>
      </c>
      <c r="BD668" s="10">
        <v>64.599999999999994</v>
      </c>
      <c r="BE668" s="10">
        <v>0</v>
      </c>
      <c r="BF668" s="10">
        <v>0</v>
      </c>
      <c r="BG668" s="13">
        <v>45491</v>
      </c>
    </row>
    <row r="669" spans="49:59" x14ac:dyDescent="0.3">
      <c r="AW669" s="1">
        <v>13.1</v>
      </c>
      <c r="AX669" s="1">
        <v>13.1</v>
      </c>
      <c r="AY669" t="str">
        <v>CP-R80_HI782-0_0.0_LOT0634_PWW28.2_QC.xlsx</v>
      </c>
      <c r="AZ669" t="str">
        <v>LOT0634</v>
      </c>
      <c r="BA669" s="3">
        <v>13</v>
      </c>
      <c r="BB669" t="str">
        <v>P/Final</v>
      </c>
      <c r="BC669">
        <v>60</v>
      </c>
      <c r="BD669" s="10">
        <v>61.1</v>
      </c>
      <c r="BE669" s="10">
        <v>0</v>
      </c>
      <c r="BF669" s="10">
        <v>0</v>
      </c>
      <c r="BG669" s="13">
        <v>45491</v>
      </c>
    </row>
    <row r="670" spans="49:59" x14ac:dyDescent="0.3">
      <c r="AW670" s="1">
        <v>13.1</v>
      </c>
      <c r="AX670" s="1">
        <v>13.1</v>
      </c>
      <c r="AY670" t="str">
        <v>CP-R80_HI782-0_0.0_LOT0634_PWW28.2_QC.xlsx</v>
      </c>
      <c r="AZ670" t="str">
        <v>LOT0634</v>
      </c>
      <c r="BA670" s="3">
        <v>13</v>
      </c>
      <c r="BB670" t="str">
        <v>P/Final</v>
      </c>
      <c r="BC670">
        <v>60</v>
      </c>
      <c r="BD670" s="10">
        <v>59.3</v>
      </c>
      <c r="BE670" s="10">
        <v>0</v>
      </c>
      <c r="BF670" s="10">
        <v>0</v>
      </c>
      <c r="BG670" s="13">
        <v>45491</v>
      </c>
    </row>
    <row r="671" spans="49:59" x14ac:dyDescent="0.3">
      <c r="AW671" s="1">
        <v>13.1</v>
      </c>
      <c r="AX671" s="1">
        <v>13.1</v>
      </c>
      <c r="AY671" t="str">
        <v>CP-R80_HI782-0_0.0_LOT0634_PWW28.2_QC.xlsx</v>
      </c>
      <c r="AZ671" t="str">
        <v>LOT0634</v>
      </c>
      <c r="BA671" s="3">
        <v>13</v>
      </c>
      <c r="BB671" t="str">
        <v>P/Final</v>
      </c>
      <c r="BC671">
        <v>0</v>
      </c>
      <c r="BD671" s="10">
        <v>0</v>
      </c>
      <c r="BE671" s="10">
        <v>0</v>
      </c>
      <c r="BF671" s="10">
        <v>0</v>
      </c>
      <c r="BG671" s="13">
        <v>45492</v>
      </c>
    </row>
    <row r="672" spans="49:59" x14ac:dyDescent="0.3">
      <c r="AW672" s="1">
        <v>13.1</v>
      </c>
      <c r="AX672" s="1">
        <v>13.1</v>
      </c>
      <c r="AY672" t="str">
        <v>CP-R80_HI782-0_0.0_LOT0634_PWW28.2_QC.xlsx</v>
      </c>
      <c r="AZ672" t="str">
        <v>LOT0634</v>
      </c>
      <c r="BA672" s="3">
        <v>13</v>
      </c>
      <c r="BB672" t="str">
        <v>P/Final</v>
      </c>
      <c r="BC672">
        <v>0</v>
      </c>
      <c r="BD672" s="10">
        <v>0</v>
      </c>
      <c r="BE672" s="10">
        <v>0</v>
      </c>
      <c r="BF672" s="10">
        <v>0</v>
      </c>
      <c r="BG672" s="13">
        <v>45492</v>
      </c>
    </row>
    <row r="673" spans="49:59" x14ac:dyDescent="0.3">
      <c r="AW673" s="1">
        <v>13.1</v>
      </c>
      <c r="AX673" s="1">
        <v>13.1</v>
      </c>
      <c r="AY673" t="str">
        <v>CP-R80_HI782-0_0.0_LOT0634_PWW28.2_QC.xlsx</v>
      </c>
      <c r="AZ673" t="str">
        <v>LOT0634</v>
      </c>
      <c r="BA673" s="3">
        <v>13</v>
      </c>
      <c r="BB673" t="str">
        <v>P/Final</v>
      </c>
      <c r="BC673">
        <v>15</v>
      </c>
      <c r="BD673" s="10">
        <v>15.5</v>
      </c>
      <c r="BE673" s="10">
        <v>0</v>
      </c>
      <c r="BF673" s="10">
        <v>0</v>
      </c>
      <c r="BG673" s="13">
        <v>45492</v>
      </c>
    </row>
    <row r="674" spans="49:59" x14ac:dyDescent="0.3">
      <c r="AW674" s="1">
        <v>13.1</v>
      </c>
      <c r="AX674" s="1">
        <v>13.1</v>
      </c>
      <c r="AY674" t="str">
        <v>CP-R80_HI782-0_0.0_LOT0634_PWW28.2_QC.xlsx</v>
      </c>
      <c r="AZ674" t="str">
        <v>LOT0634</v>
      </c>
      <c r="BA674" s="3">
        <v>13</v>
      </c>
      <c r="BB674" t="str">
        <v>P/Final</v>
      </c>
      <c r="BC674">
        <v>15</v>
      </c>
      <c r="BD674" s="10">
        <v>15.3</v>
      </c>
      <c r="BE674" s="10">
        <v>0</v>
      </c>
      <c r="BF674" s="10">
        <v>0</v>
      </c>
      <c r="BG674" s="13">
        <v>45492</v>
      </c>
    </row>
    <row r="675" spans="49:59" x14ac:dyDescent="0.3">
      <c r="AW675" s="1">
        <v>13.1</v>
      </c>
      <c r="AX675" s="1">
        <v>13.1</v>
      </c>
      <c r="AY675" t="str">
        <v>CP-R80_HI782-0_0.0_LOT0634_PWW28.2_QC.xlsx</v>
      </c>
      <c r="AZ675" t="str">
        <v>LOT0634</v>
      </c>
      <c r="BA675" s="3">
        <v>13</v>
      </c>
      <c r="BB675" t="str">
        <v>P/Final</v>
      </c>
      <c r="BC675">
        <v>15</v>
      </c>
      <c r="BD675" s="10">
        <v>15.6</v>
      </c>
      <c r="BE675" s="10">
        <v>0</v>
      </c>
      <c r="BF675" s="10">
        <v>0</v>
      </c>
      <c r="BG675" s="13">
        <v>45492</v>
      </c>
    </row>
    <row r="676" spans="49:59" x14ac:dyDescent="0.3">
      <c r="AW676" s="1">
        <v>13.1</v>
      </c>
      <c r="AX676" s="1">
        <v>13.1</v>
      </c>
      <c r="AY676" t="str">
        <v>CP-R80_HI782-0_0.0_LOT0634_PWW28.2_QC.xlsx</v>
      </c>
      <c r="AZ676" t="str">
        <v>LOT0634</v>
      </c>
      <c r="BA676" s="3">
        <v>13</v>
      </c>
      <c r="BB676" t="str">
        <v>P/Final</v>
      </c>
      <c r="BC676">
        <v>15</v>
      </c>
      <c r="BD676" s="10">
        <v>15.6</v>
      </c>
      <c r="BE676" s="10">
        <v>0</v>
      </c>
      <c r="BF676" s="10">
        <v>0</v>
      </c>
      <c r="BG676" s="13">
        <v>45492</v>
      </c>
    </row>
    <row r="677" spans="49:59" x14ac:dyDescent="0.3">
      <c r="AW677" s="1">
        <v>13.1</v>
      </c>
      <c r="AX677" s="1">
        <v>13.1</v>
      </c>
      <c r="AY677" t="str">
        <v>CP-R80_HI782-0_0.0_LOT0634_PWW28.2_QC.xlsx</v>
      </c>
      <c r="AZ677" t="str">
        <v>LOT0634</v>
      </c>
      <c r="BA677" s="3">
        <v>13</v>
      </c>
      <c r="BB677" t="str">
        <v>P/Final</v>
      </c>
      <c r="BC677">
        <v>15</v>
      </c>
      <c r="BD677" s="10">
        <v>15</v>
      </c>
      <c r="BE677" s="10">
        <v>0</v>
      </c>
      <c r="BF677" s="10">
        <v>0</v>
      </c>
      <c r="BG677" s="13">
        <v>45492</v>
      </c>
    </row>
    <row r="678" spans="49:59" x14ac:dyDescent="0.3">
      <c r="AW678" s="1">
        <v>13.1</v>
      </c>
      <c r="AX678" s="1">
        <v>13.1</v>
      </c>
      <c r="AY678" t="str">
        <v>CP-R80_HI782-0_0.0_LOT0634_PWW28.2_QC.xlsx</v>
      </c>
      <c r="AZ678" t="str">
        <v>LOT0634</v>
      </c>
      <c r="BA678" s="3">
        <v>13</v>
      </c>
      <c r="BB678" t="str">
        <v>P/Final</v>
      </c>
      <c r="BC678">
        <v>15</v>
      </c>
      <c r="BD678" s="10">
        <v>15.9</v>
      </c>
      <c r="BE678" s="10">
        <v>0</v>
      </c>
      <c r="BF678" s="10">
        <v>0</v>
      </c>
      <c r="BG678" s="13">
        <v>45492</v>
      </c>
    </row>
    <row r="679" spans="49:59" x14ac:dyDescent="0.3">
      <c r="AW679" s="1">
        <v>13.1</v>
      </c>
      <c r="AX679" s="1">
        <v>13.1</v>
      </c>
      <c r="AY679" t="str">
        <v>CP-R80_HI782-0_0.0_LOT0634_PWW28.2_QC.xlsx</v>
      </c>
      <c r="AZ679" t="str">
        <v>LOT0634</v>
      </c>
      <c r="BA679" s="3">
        <v>13</v>
      </c>
      <c r="BB679" t="str">
        <v>P/Final</v>
      </c>
      <c r="BC679">
        <v>35</v>
      </c>
      <c r="BD679" s="10">
        <v>37.4</v>
      </c>
      <c r="BE679" s="10">
        <v>0</v>
      </c>
      <c r="BF679" s="10">
        <v>0</v>
      </c>
      <c r="BG679" s="13">
        <v>45492</v>
      </c>
    </row>
    <row r="680" spans="49:59" x14ac:dyDescent="0.3">
      <c r="AW680" s="1">
        <v>13.1</v>
      </c>
      <c r="AX680" s="1">
        <v>13.1</v>
      </c>
      <c r="AY680" t="str">
        <v>CP-R80_HI782-0_0.0_LOT0634_PWW28.2_QC.xlsx</v>
      </c>
      <c r="AZ680" t="str">
        <v>LOT0634</v>
      </c>
      <c r="BA680" s="3">
        <v>13</v>
      </c>
      <c r="BB680" t="str">
        <v>P/Final</v>
      </c>
      <c r="BC680">
        <v>35</v>
      </c>
      <c r="BD680" s="10">
        <v>37.200000000000003</v>
      </c>
      <c r="BE680" s="10">
        <v>0</v>
      </c>
      <c r="BF680" s="10">
        <v>0</v>
      </c>
      <c r="BG680" s="13">
        <v>45492</v>
      </c>
    </row>
    <row r="681" spans="49:59" x14ac:dyDescent="0.3">
      <c r="AW681" s="1">
        <v>13.1</v>
      </c>
      <c r="AX681" s="1">
        <v>13.1</v>
      </c>
      <c r="AY681" t="str">
        <v>CP-R80_HI782-0_0.0_LOT0634_PWW28.2_QC.xlsx</v>
      </c>
      <c r="AZ681" t="str">
        <v>LOT0634</v>
      </c>
      <c r="BA681" s="3">
        <v>13</v>
      </c>
      <c r="BB681" t="str">
        <v>P/Final</v>
      </c>
      <c r="BC681">
        <v>35</v>
      </c>
      <c r="BD681" s="10">
        <v>36.6</v>
      </c>
      <c r="BE681" s="10">
        <v>0</v>
      </c>
      <c r="BF681" s="10">
        <v>0</v>
      </c>
      <c r="BG681" s="13">
        <v>45492</v>
      </c>
    </row>
    <row r="682" spans="49:59" x14ac:dyDescent="0.3">
      <c r="AW682" s="1">
        <v>13.1</v>
      </c>
      <c r="AX682" s="1">
        <v>13.1</v>
      </c>
      <c r="AY682" t="str">
        <v>CP-R80_HI782-0_0.0_LOT0634_PWW28.2_QC.xlsx</v>
      </c>
      <c r="AZ682" t="str">
        <v>LOT0634</v>
      </c>
      <c r="BA682" s="3">
        <v>13</v>
      </c>
      <c r="BB682" t="str">
        <v>P/Final</v>
      </c>
      <c r="BC682">
        <v>35</v>
      </c>
      <c r="BD682" s="10">
        <v>36.5</v>
      </c>
      <c r="BE682" s="10">
        <v>0</v>
      </c>
      <c r="BF682" s="10">
        <v>0</v>
      </c>
      <c r="BG682" s="13">
        <v>45492</v>
      </c>
    </row>
    <row r="683" spans="49:59" x14ac:dyDescent="0.3">
      <c r="AW683" s="1">
        <v>13.1</v>
      </c>
      <c r="AX683" s="1">
        <v>13.1</v>
      </c>
      <c r="AY683" t="str">
        <v>CP-R80_HI782-0_0.0_LOT0634_PWW28.2_QC.xlsx</v>
      </c>
      <c r="AZ683" t="str">
        <v>LOT0634</v>
      </c>
      <c r="BA683" s="3">
        <v>13</v>
      </c>
      <c r="BB683" t="str">
        <v>P/Final</v>
      </c>
      <c r="BC683">
        <v>35</v>
      </c>
      <c r="BD683" s="10">
        <v>38.1</v>
      </c>
      <c r="BE683" s="10">
        <v>0</v>
      </c>
      <c r="BF683" s="10">
        <v>0</v>
      </c>
      <c r="BG683" s="13">
        <v>45492</v>
      </c>
    </row>
    <row r="684" spans="49:59" x14ac:dyDescent="0.3">
      <c r="AW684" s="1">
        <v>13.1</v>
      </c>
      <c r="AX684" s="1">
        <v>13.1</v>
      </c>
      <c r="AY684" t="str">
        <v>CP-R80_HI782-0_0.0_LOT0634_PWW28.2_QC.xlsx</v>
      </c>
      <c r="AZ684" t="str">
        <v>LOT0634</v>
      </c>
      <c r="BA684" s="3">
        <v>13</v>
      </c>
      <c r="BB684" t="str">
        <v>P/Final</v>
      </c>
      <c r="BC684">
        <v>35</v>
      </c>
      <c r="BD684" s="10">
        <v>37.4</v>
      </c>
      <c r="BE684" s="10">
        <v>0</v>
      </c>
      <c r="BF684" s="10">
        <v>0</v>
      </c>
      <c r="BG684" s="13">
        <v>45492</v>
      </c>
    </row>
    <row r="685" spans="49:59" x14ac:dyDescent="0.3">
      <c r="AW685" s="1">
        <v>13.1</v>
      </c>
      <c r="AX685" s="1">
        <v>13.1</v>
      </c>
      <c r="AY685" t="str">
        <v>CP-R80_HI782-0_0.0_LOT0634_PWW28.2_QC.xlsx</v>
      </c>
      <c r="AZ685" t="str">
        <v>LOT0634</v>
      </c>
      <c r="BA685" s="3">
        <v>13</v>
      </c>
      <c r="BB685" t="str">
        <v>P/Final</v>
      </c>
      <c r="BC685">
        <v>60</v>
      </c>
      <c r="BD685" s="10">
        <v>62</v>
      </c>
      <c r="BE685" s="10">
        <v>0</v>
      </c>
      <c r="BF685" s="10">
        <v>0</v>
      </c>
      <c r="BG685" s="13">
        <v>45492</v>
      </c>
    </row>
    <row r="686" spans="49:59" x14ac:dyDescent="0.3">
      <c r="AW686" s="1">
        <v>13.1</v>
      </c>
      <c r="AX686" s="1">
        <v>13.1</v>
      </c>
      <c r="AY686" t="str">
        <v>CP-R80_HI782-0_0.0_LOT0634_PWW28.2_QC.xlsx</v>
      </c>
      <c r="AZ686" t="str">
        <v>LOT0634</v>
      </c>
      <c r="BA686" s="3">
        <v>13</v>
      </c>
      <c r="BB686" t="str">
        <v>P/Final</v>
      </c>
      <c r="BC686">
        <v>60</v>
      </c>
      <c r="BD686" s="10">
        <v>63.3</v>
      </c>
      <c r="BE686" s="10">
        <v>0</v>
      </c>
      <c r="BF686" s="10">
        <v>0</v>
      </c>
      <c r="BG686" s="13">
        <v>45492</v>
      </c>
    </row>
    <row r="687" spans="49:59" x14ac:dyDescent="0.3">
      <c r="AW687" s="1">
        <v>13.1</v>
      </c>
      <c r="AX687" s="1">
        <v>13.1</v>
      </c>
      <c r="AY687" t="str">
        <v>CP-R80_HI782-0_0.0_LOT0634_PWW28.2_QC.xlsx</v>
      </c>
      <c r="AZ687" t="str">
        <v>LOT0634</v>
      </c>
      <c r="BA687" s="3">
        <v>13</v>
      </c>
      <c r="BB687" t="str">
        <v>P/Final</v>
      </c>
      <c r="BC687">
        <v>60</v>
      </c>
      <c r="BD687" s="10">
        <v>57.9</v>
      </c>
      <c r="BE687" s="10">
        <v>0</v>
      </c>
      <c r="BF687" s="10">
        <v>0</v>
      </c>
      <c r="BG687" s="13">
        <v>45492</v>
      </c>
    </row>
    <row r="688" spans="49:59" x14ac:dyDescent="0.3">
      <c r="AW688" s="1">
        <v>13.1</v>
      </c>
      <c r="AX688" s="1">
        <v>13.1</v>
      </c>
      <c r="AY688" t="str">
        <v>CP-R80_HI782-0_0.0_LOT0634_PWW28.2_QC.xlsx</v>
      </c>
      <c r="AZ688" t="str">
        <v>LOT0634</v>
      </c>
      <c r="BA688" s="3">
        <v>13</v>
      </c>
      <c r="BB688" t="str">
        <v>P/Final</v>
      </c>
      <c r="BC688">
        <v>60</v>
      </c>
      <c r="BD688" s="10">
        <v>59.6</v>
      </c>
      <c r="BE688" s="10">
        <v>0</v>
      </c>
      <c r="BF688" s="10">
        <v>0</v>
      </c>
      <c r="BG688" s="13">
        <v>45492</v>
      </c>
    </row>
    <row r="689" spans="49:59" x14ac:dyDescent="0.3">
      <c r="AW689" s="1">
        <v>13.1</v>
      </c>
      <c r="AX689" s="1">
        <v>13.1</v>
      </c>
      <c r="AY689" t="str">
        <v>CP-R80_HI782-0_0.0_LOT0634_PWW28.2_QC.xlsx</v>
      </c>
      <c r="AZ689" t="str">
        <v>LOT0634</v>
      </c>
      <c r="BA689" s="3">
        <v>13</v>
      </c>
      <c r="BB689" t="str">
        <v>P/Final</v>
      </c>
      <c r="BC689">
        <v>60</v>
      </c>
      <c r="BD689" s="10">
        <v>61.5</v>
      </c>
      <c r="BE689" s="10">
        <v>0</v>
      </c>
      <c r="BF689" s="10">
        <v>0</v>
      </c>
      <c r="BG689" s="13">
        <v>45492</v>
      </c>
    </row>
    <row r="690" spans="49:59" x14ac:dyDescent="0.3">
      <c r="AW690" s="1">
        <v>13.1</v>
      </c>
      <c r="AX690" s="1">
        <v>13.1</v>
      </c>
      <c r="AY690" t="str">
        <v>CP-R80_HI782-0_0.0_LOT0634_PWW28.2_QC.xlsx</v>
      </c>
      <c r="AZ690" t="str">
        <v>LOT0634</v>
      </c>
      <c r="BA690" s="3">
        <v>13</v>
      </c>
      <c r="BB690" t="str">
        <v>P/Final</v>
      </c>
      <c r="BC690">
        <v>60</v>
      </c>
      <c r="BD690" s="10">
        <v>60.7</v>
      </c>
      <c r="BE690" s="10">
        <v>0</v>
      </c>
      <c r="BF690" s="10">
        <v>0</v>
      </c>
      <c r="BG690" s="13">
        <v>45492</v>
      </c>
    </row>
    <row r="691" spans="49:59" x14ac:dyDescent="0.3">
      <c r="AW691" s="1">
        <v>14.1</v>
      </c>
      <c r="AX691" s="1">
        <v>14.1</v>
      </c>
      <c r="AY691" t="str">
        <v>CP-R80_HI782-0_0.0_LOT0652_PWW31.1_QC-Copy(1).xlsx</v>
      </c>
      <c r="AZ691" t="str">
        <v>LOT0652</v>
      </c>
      <c r="BA691" s="3">
        <v>14</v>
      </c>
      <c r="BB691" t="str">
        <v>P/Final</v>
      </c>
      <c r="BC691">
        <v>15</v>
      </c>
      <c r="BD691" s="10">
        <v>14.2</v>
      </c>
      <c r="BE691" s="10">
        <v>0</v>
      </c>
      <c r="BF691" s="10">
        <v>0</v>
      </c>
      <c r="BG691" s="13">
        <v>45505</v>
      </c>
    </row>
    <row r="692" spans="49:59" x14ac:dyDescent="0.3">
      <c r="AW692" s="1">
        <v>14.1</v>
      </c>
      <c r="AX692" s="1">
        <v>14.1</v>
      </c>
      <c r="AY692" t="str">
        <v>CP-R80_HI782-0_0.0_LOT0652_PWW31.1_QC.xlsx</v>
      </c>
      <c r="AZ692" t="str">
        <v>LOT0652</v>
      </c>
      <c r="BA692" s="3">
        <v>14</v>
      </c>
      <c r="BB692" t="str">
        <v>P/Final</v>
      </c>
      <c r="BC692">
        <v>15</v>
      </c>
      <c r="BD692" s="10">
        <v>15</v>
      </c>
      <c r="BE692" s="10">
        <v>0</v>
      </c>
      <c r="BF692" s="10">
        <v>0</v>
      </c>
      <c r="BG692" s="13">
        <v>45505</v>
      </c>
    </row>
    <row r="693" spans="49:59" x14ac:dyDescent="0.3">
      <c r="AW693" s="1">
        <v>14.1</v>
      </c>
      <c r="AX693" s="1">
        <v>14.1</v>
      </c>
      <c r="AY693" t="str">
        <v>CP-R80_HI782-0_0.0_LOT0652_PWW31.1_QC.xlsx</v>
      </c>
      <c r="AZ693" t="str">
        <v>LOT0652</v>
      </c>
      <c r="BA693" s="3">
        <v>14</v>
      </c>
      <c r="BB693" t="str">
        <v>P/Final</v>
      </c>
      <c r="BC693">
        <v>15</v>
      </c>
      <c r="BD693" s="10">
        <v>14.2</v>
      </c>
      <c r="BE693" s="10">
        <v>0</v>
      </c>
      <c r="BF693" s="10">
        <v>0</v>
      </c>
      <c r="BG693" s="13">
        <v>45505</v>
      </c>
    </row>
    <row r="694" spans="49:59" x14ac:dyDescent="0.3">
      <c r="AW694" s="1">
        <v>14.1</v>
      </c>
      <c r="AX694" s="1">
        <v>14.1</v>
      </c>
      <c r="AY694" t="str">
        <v>CP-R80_HI782-0_0.0_LOT0652_PWW31.1_QC.xlsx</v>
      </c>
      <c r="AZ694" t="str">
        <v>LOT0652</v>
      </c>
      <c r="BA694" s="3">
        <v>14</v>
      </c>
      <c r="BB694" t="str">
        <v>P/Final</v>
      </c>
      <c r="BC694">
        <v>15</v>
      </c>
      <c r="BD694" s="10">
        <v>16.399999999999999</v>
      </c>
      <c r="BE694" s="10">
        <v>0</v>
      </c>
      <c r="BF694" s="10">
        <v>0</v>
      </c>
      <c r="BG694" s="13">
        <v>45505</v>
      </c>
    </row>
    <row r="695" spans="49:59" x14ac:dyDescent="0.3">
      <c r="AW695" s="1">
        <v>14.1</v>
      </c>
      <c r="AX695" s="1">
        <v>14.1</v>
      </c>
      <c r="AY695" t="str">
        <v>CP-R80_HI782-0_0.0_LOT0652_PWW31.1_QC-Copy(1).xlsx</v>
      </c>
      <c r="AZ695" t="str">
        <v>LOT0652</v>
      </c>
      <c r="BA695" s="3">
        <v>14</v>
      </c>
      <c r="BB695" t="str">
        <v>P/Final</v>
      </c>
      <c r="BC695">
        <v>15</v>
      </c>
      <c r="BD695" s="10">
        <v>15.2</v>
      </c>
      <c r="BE695" s="10">
        <v>0</v>
      </c>
      <c r="BF695" s="10">
        <v>0</v>
      </c>
      <c r="BG695" s="13">
        <v>45505</v>
      </c>
    </row>
    <row r="696" spans="49:59" x14ac:dyDescent="0.3">
      <c r="AW696" s="1">
        <v>14.1</v>
      </c>
      <c r="AX696" s="1">
        <v>14.1</v>
      </c>
      <c r="AY696" t="str">
        <v>CP-R80_HI782-0_0.0_LOT0652_PWW31.1_QC.xlsx</v>
      </c>
      <c r="AZ696" t="str">
        <v>LOT0652</v>
      </c>
      <c r="BA696" s="3">
        <v>14</v>
      </c>
      <c r="BB696" t="str">
        <v>P/Final</v>
      </c>
      <c r="BC696">
        <v>15</v>
      </c>
      <c r="BD696" s="10">
        <v>16</v>
      </c>
      <c r="BE696" s="10">
        <v>0</v>
      </c>
      <c r="BF696" s="10">
        <v>0</v>
      </c>
      <c r="BG696" s="13">
        <v>45505</v>
      </c>
    </row>
    <row r="697" spans="49:59" x14ac:dyDescent="0.3">
      <c r="AW697" s="1">
        <v>14.1</v>
      </c>
      <c r="AX697" s="1">
        <v>14.1</v>
      </c>
      <c r="AY697" t="str">
        <v>CP-R80_HI782-0_0.0_LOT0652_PWW31.1_QC-Copy(1).xlsx</v>
      </c>
      <c r="AZ697" t="str">
        <v>LOT0652</v>
      </c>
      <c r="BA697" s="3">
        <v>14</v>
      </c>
      <c r="BB697" t="str">
        <v>P/Final</v>
      </c>
      <c r="BC697">
        <v>15</v>
      </c>
      <c r="BD697" s="10">
        <v>16</v>
      </c>
      <c r="BE697" s="10">
        <v>0</v>
      </c>
      <c r="BF697" s="10">
        <v>0</v>
      </c>
      <c r="BG697" s="13">
        <v>45505</v>
      </c>
    </row>
    <row r="698" spans="49:59" x14ac:dyDescent="0.3">
      <c r="AW698" s="1">
        <v>14.1</v>
      </c>
      <c r="AX698" s="1">
        <v>14.1</v>
      </c>
      <c r="AY698" t="str">
        <v>CP-R80_HI782-0_0.0_LOT0652_PWW31.1_QC-Copy(1).xlsx</v>
      </c>
      <c r="AZ698" t="str">
        <v>LOT0652</v>
      </c>
      <c r="BA698" s="3">
        <v>14</v>
      </c>
      <c r="BB698" t="str">
        <v>P/Final</v>
      </c>
      <c r="BC698">
        <v>15</v>
      </c>
      <c r="BD698" s="10">
        <v>16.399999999999999</v>
      </c>
      <c r="BE698" s="10">
        <v>0</v>
      </c>
      <c r="BF698" s="10">
        <v>0</v>
      </c>
      <c r="BG698" s="13">
        <v>45505</v>
      </c>
    </row>
    <row r="699" spans="49:59" x14ac:dyDescent="0.3">
      <c r="AW699" s="1">
        <v>14.1</v>
      </c>
      <c r="AX699" s="1">
        <v>14.1</v>
      </c>
      <c r="AY699" t="str">
        <v>CP-R80_HI782-0_0.0_LOT0652_PWW31.1_QC.xlsx</v>
      </c>
      <c r="AZ699" t="str">
        <v>LOT0652</v>
      </c>
      <c r="BA699" s="3">
        <v>14</v>
      </c>
      <c r="BB699" t="str">
        <v>P/Final</v>
      </c>
      <c r="BC699">
        <v>15</v>
      </c>
      <c r="BD699" s="10">
        <v>15.2</v>
      </c>
      <c r="BE699" s="10">
        <v>0</v>
      </c>
      <c r="BF699" s="10">
        <v>0</v>
      </c>
      <c r="BG699" s="13">
        <v>45505</v>
      </c>
    </row>
    <row r="700" spans="49:59" x14ac:dyDescent="0.3">
      <c r="AW700" s="1">
        <v>14.1</v>
      </c>
      <c r="AX700" s="1">
        <v>14.1</v>
      </c>
      <c r="AY700" t="str">
        <v>CP-R80_HI782-0_0.0_LOT0652_PWW31.1_QC.xlsx</v>
      </c>
      <c r="AZ700" t="str">
        <v>LOT0652</v>
      </c>
      <c r="BA700" s="3">
        <v>14</v>
      </c>
      <c r="BB700" t="str">
        <v>P/Final</v>
      </c>
      <c r="BC700">
        <v>15</v>
      </c>
      <c r="BD700" s="10">
        <v>16</v>
      </c>
      <c r="BE700" s="10">
        <v>0</v>
      </c>
      <c r="BF700" s="10">
        <v>0</v>
      </c>
      <c r="BG700" s="13">
        <v>45505</v>
      </c>
    </row>
    <row r="701" spans="49:59" x14ac:dyDescent="0.3">
      <c r="AW701" s="1">
        <v>14.1</v>
      </c>
      <c r="AX701" s="1">
        <v>14.1</v>
      </c>
      <c r="AY701" t="str">
        <v>CP-R80_HI782-0_0.0_LOT0652_PWW31.1_QC-Copy(1).xlsx</v>
      </c>
      <c r="AZ701" t="str">
        <v>LOT0652</v>
      </c>
      <c r="BA701" s="3">
        <v>14</v>
      </c>
      <c r="BB701" t="str">
        <v>P/Final</v>
      </c>
      <c r="BC701">
        <v>15</v>
      </c>
      <c r="BD701" s="10">
        <v>16</v>
      </c>
      <c r="BE701" s="10">
        <v>0</v>
      </c>
      <c r="BF701" s="10">
        <v>0</v>
      </c>
      <c r="BG701" s="13">
        <v>45505</v>
      </c>
    </row>
    <row r="702" spans="49:59" x14ac:dyDescent="0.3">
      <c r="AW702" s="1">
        <v>14.1</v>
      </c>
      <c r="AX702" s="1">
        <v>14.1</v>
      </c>
      <c r="AY702" t="str">
        <v>CP-R80_HI782-0_0.0_LOT0652_PWW31.1_QC-Copy(1).xlsx</v>
      </c>
      <c r="AZ702" t="str">
        <v>LOT0652</v>
      </c>
      <c r="BA702" s="3">
        <v>14</v>
      </c>
      <c r="BB702" t="str">
        <v>P/Final</v>
      </c>
      <c r="BC702">
        <v>15</v>
      </c>
      <c r="BD702" s="10">
        <v>15</v>
      </c>
      <c r="BE702" s="10">
        <v>0</v>
      </c>
      <c r="BF702" s="10">
        <v>0</v>
      </c>
      <c r="BG702" s="13">
        <v>45505</v>
      </c>
    </row>
    <row r="703" spans="49:59" x14ac:dyDescent="0.3">
      <c r="AW703" s="1">
        <v>14.1</v>
      </c>
      <c r="AX703" s="1">
        <v>14.1</v>
      </c>
      <c r="AY703" t="str">
        <v>CP-R80_HI782-0_0.0_LOT0652_PWW31.1_QC.xlsx</v>
      </c>
      <c r="AZ703" t="str">
        <v>LOT0652</v>
      </c>
      <c r="BA703" s="3">
        <v>14</v>
      </c>
      <c r="BB703" t="str">
        <v>P/Final</v>
      </c>
      <c r="BC703">
        <v>35</v>
      </c>
      <c r="BD703" s="10">
        <v>34.299999999999997</v>
      </c>
      <c r="BE703" s="10">
        <v>0</v>
      </c>
      <c r="BF703" s="10">
        <v>0</v>
      </c>
      <c r="BG703" s="13">
        <v>45505</v>
      </c>
    </row>
    <row r="704" spans="49:59" x14ac:dyDescent="0.3">
      <c r="AW704" s="1">
        <v>14.1</v>
      </c>
      <c r="AX704" s="1">
        <v>14.1</v>
      </c>
      <c r="AY704" t="str">
        <v>CP-R80_HI782-0_0.0_LOT0652_PWW31.1_QC.xlsx</v>
      </c>
      <c r="AZ704" t="str">
        <v>LOT0652</v>
      </c>
      <c r="BA704" s="3">
        <v>14</v>
      </c>
      <c r="BB704" t="str">
        <v>P/Final</v>
      </c>
      <c r="BC704">
        <v>35</v>
      </c>
      <c r="BD704" s="10">
        <v>34.6</v>
      </c>
      <c r="BE704" s="10">
        <v>0</v>
      </c>
      <c r="BF704" s="10">
        <v>0</v>
      </c>
      <c r="BG704" s="13">
        <v>45505</v>
      </c>
    </row>
    <row r="705" spans="49:59" x14ac:dyDescent="0.3">
      <c r="AW705" s="1">
        <v>14.1</v>
      </c>
      <c r="AX705" s="1">
        <v>14.1</v>
      </c>
      <c r="AY705" t="str">
        <v>CP-R80_HI782-0_0.0_LOT0652_PWW31.1_QC-Copy(1).xlsx</v>
      </c>
      <c r="AZ705" t="str">
        <v>LOT0652</v>
      </c>
      <c r="BA705" s="3">
        <v>14</v>
      </c>
      <c r="BB705" t="str">
        <v>P/Final</v>
      </c>
      <c r="BC705">
        <v>35</v>
      </c>
      <c r="BD705" s="10">
        <v>37.299999999999997</v>
      </c>
      <c r="BE705" s="10">
        <v>0</v>
      </c>
      <c r="BF705" s="10">
        <v>0</v>
      </c>
      <c r="BG705" s="13">
        <v>45505</v>
      </c>
    </row>
    <row r="706" spans="49:59" x14ac:dyDescent="0.3">
      <c r="AW706" s="1">
        <v>14.1</v>
      </c>
      <c r="AX706" s="1">
        <v>14.1</v>
      </c>
      <c r="AY706" t="str">
        <v>CP-R80_HI782-0_0.0_LOT0652_PWW31.1_QC-Copy(1).xlsx</v>
      </c>
      <c r="AZ706" t="str">
        <v>LOT0652</v>
      </c>
      <c r="BA706" s="3">
        <v>14</v>
      </c>
      <c r="BB706" t="str">
        <v>P/Final</v>
      </c>
      <c r="BC706">
        <v>35</v>
      </c>
      <c r="BD706" s="10">
        <v>35.5</v>
      </c>
      <c r="BE706" s="10">
        <v>0</v>
      </c>
      <c r="BF706" s="10">
        <v>0</v>
      </c>
      <c r="BG706" s="13">
        <v>45505</v>
      </c>
    </row>
    <row r="707" spans="49:59" x14ac:dyDescent="0.3">
      <c r="AW707" s="1">
        <v>14.1</v>
      </c>
      <c r="AX707" s="1">
        <v>14.1</v>
      </c>
      <c r="AY707" t="str">
        <v>CP-R80_HI782-0_0.0_LOT0652_PWW31.1_QC-Copy(1).xlsx</v>
      </c>
      <c r="AZ707" t="str">
        <v>LOT0652</v>
      </c>
      <c r="BA707" s="3">
        <v>14</v>
      </c>
      <c r="BB707" t="str">
        <v>P/Final</v>
      </c>
      <c r="BC707">
        <v>35</v>
      </c>
      <c r="BD707" s="10">
        <v>38.5</v>
      </c>
      <c r="BE707" s="10">
        <v>0</v>
      </c>
      <c r="BF707" s="10">
        <v>0</v>
      </c>
      <c r="BG707" s="13">
        <v>45505</v>
      </c>
    </row>
    <row r="708" spans="49:59" x14ac:dyDescent="0.3">
      <c r="AW708" s="1">
        <v>14.1</v>
      </c>
      <c r="AX708" s="1">
        <v>14.1</v>
      </c>
      <c r="AY708" t="str">
        <v>CP-R80_HI782-0_0.0_LOT0652_PWW31.1_QC.xlsx</v>
      </c>
      <c r="AZ708" t="str">
        <v>LOT0652</v>
      </c>
      <c r="BA708" s="3">
        <v>14</v>
      </c>
      <c r="BB708" t="str">
        <v>P/Final</v>
      </c>
      <c r="BC708">
        <v>35</v>
      </c>
      <c r="BD708" s="10">
        <v>35.5</v>
      </c>
      <c r="BE708" s="10">
        <v>0</v>
      </c>
      <c r="BF708" s="10">
        <v>0</v>
      </c>
      <c r="BG708" s="13">
        <v>45505</v>
      </c>
    </row>
    <row r="709" spans="49:59" x14ac:dyDescent="0.3">
      <c r="AW709" s="1">
        <v>14.1</v>
      </c>
      <c r="AX709" s="1">
        <v>14.1</v>
      </c>
      <c r="AY709" t="str">
        <v>CP-R80_HI782-0_0.0_LOT0652_PWW31.1_QC-Copy(1).xlsx</v>
      </c>
      <c r="AZ709" t="str">
        <v>LOT0652</v>
      </c>
      <c r="BA709" s="3">
        <v>14</v>
      </c>
      <c r="BB709" t="str">
        <v>P/Final</v>
      </c>
      <c r="BC709">
        <v>35</v>
      </c>
      <c r="BD709" s="10">
        <v>34.299999999999997</v>
      </c>
      <c r="BE709" s="10">
        <v>0</v>
      </c>
      <c r="BF709" s="10">
        <v>0</v>
      </c>
      <c r="BG709" s="13">
        <v>45505</v>
      </c>
    </row>
    <row r="710" spans="49:59" x14ac:dyDescent="0.3">
      <c r="AW710" s="1">
        <v>14.1</v>
      </c>
      <c r="AX710" s="1">
        <v>14.1</v>
      </c>
      <c r="AY710" t="str">
        <v>CP-R80_HI782-0_0.0_LOT0652_PWW31.1_QC.xlsx</v>
      </c>
      <c r="AZ710" t="str">
        <v>LOT0652</v>
      </c>
      <c r="BA710" s="3">
        <v>14</v>
      </c>
      <c r="BB710" t="str">
        <v>P/Final</v>
      </c>
      <c r="BC710">
        <v>35</v>
      </c>
      <c r="BD710" s="10">
        <v>36.200000000000003</v>
      </c>
      <c r="BE710" s="10">
        <v>0</v>
      </c>
      <c r="BF710" s="10">
        <v>0</v>
      </c>
      <c r="BG710" s="13">
        <v>45505</v>
      </c>
    </row>
    <row r="711" spans="49:59" x14ac:dyDescent="0.3">
      <c r="AW711" s="1">
        <v>14.1</v>
      </c>
      <c r="AX711" s="1">
        <v>14.1</v>
      </c>
      <c r="AY711" t="str">
        <v>CP-R80_HI782-0_0.0_LOT0652_PWW31.1_QC.xlsx</v>
      </c>
      <c r="AZ711" t="str">
        <v>LOT0652</v>
      </c>
      <c r="BA711" s="3">
        <v>14</v>
      </c>
      <c r="BB711" t="str">
        <v>P/Final</v>
      </c>
      <c r="BC711">
        <v>35</v>
      </c>
      <c r="BD711" s="10">
        <v>37.299999999999997</v>
      </c>
      <c r="BE711" s="10">
        <v>0</v>
      </c>
      <c r="BF711" s="10">
        <v>0</v>
      </c>
      <c r="BG711" s="13">
        <v>45505</v>
      </c>
    </row>
    <row r="712" spans="49:59" x14ac:dyDescent="0.3">
      <c r="AW712" s="1">
        <v>14.1</v>
      </c>
      <c r="AX712" s="1">
        <v>14.1</v>
      </c>
      <c r="AY712" t="str">
        <v>CP-R80_HI782-0_0.0_LOT0652_PWW31.1_QC-Copy(1).xlsx</v>
      </c>
      <c r="AZ712" t="str">
        <v>LOT0652</v>
      </c>
      <c r="BA712" s="3">
        <v>14</v>
      </c>
      <c r="BB712" t="str">
        <v>P/Final</v>
      </c>
      <c r="BC712">
        <v>35</v>
      </c>
      <c r="BD712" s="10">
        <v>34.6</v>
      </c>
      <c r="BE712" s="10">
        <v>0</v>
      </c>
      <c r="BF712" s="10">
        <v>0</v>
      </c>
      <c r="BG712" s="13">
        <v>45505</v>
      </c>
    </row>
    <row r="713" spans="49:59" x14ac:dyDescent="0.3">
      <c r="AW713" s="1">
        <v>14.1</v>
      </c>
      <c r="AX713" s="1">
        <v>14.1</v>
      </c>
      <c r="AY713" t="str">
        <v>CP-R80_HI782-0_0.0_LOT0652_PWW31.1_QC.xlsx</v>
      </c>
      <c r="AZ713" t="str">
        <v>LOT0652</v>
      </c>
      <c r="BA713" s="3">
        <v>14</v>
      </c>
      <c r="BB713" t="str">
        <v>P/Final</v>
      </c>
      <c r="BC713">
        <v>35</v>
      </c>
      <c r="BD713" s="10">
        <v>38.5</v>
      </c>
      <c r="BE713" s="10">
        <v>0</v>
      </c>
      <c r="BF713" s="10">
        <v>0</v>
      </c>
      <c r="BG713" s="13">
        <v>45505</v>
      </c>
    </row>
    <row r="714" spans="49:59" x14ac:dyDescent="0.3">
      <c r="AW714" s="1">
        <v>14.1</v>
      </c>
      <c r="AX714" s="1">
        <v>14.1</v>
      </c>
      <c r="AY714" t="str">
        <v>CP-R80_HI782-0_0.0_LOT0652_PWW31.1_QC-Copy(1).xlsx</v>
      </c>
      <c r="AZ714" t="str">
        <v>LOT0652</v>
      </c>
      <c r="BA714" s="3">
        <v>14</v>
      </c>
      <c r="BB714" t="str">
        <v>P/Final</v>
      </c>
      <c r="BC714">
        <v>35</v>
      </c>
      <c r="BD714" s="10">
        <v>36.200000000000003</v>
      </c>
      <c r="BE714" s="10">
        <v>0</v>
      </c>
      <c r="BF714" s="10">
        <v>0</v>
      </c>
      <c r="BG714" s="13">
        <v>45505</v>
      </c>
    </row>
    <row r="715" spans="49:59" x14ac:dyDescent="0.3">
      <c r="AW715" s="1">
        <v>14.1</v>
      </c>
      <c r="AX715" s="1">
        <v>14.1</v>
      </c>
      <c r="AY715" t="str">
        <v>CP-R80_HI782-0_0.0_LOT0652_PWW31.1_QC-Copy(1).xlsx</v>
      </c>
      <c r="AZ715" t="str">
        <v>LOT0652</v>
      </c>
      <c r="BA715" s="3">
        <v>14</v>
      </c>
      <c r="BB715" t="str">
        <v>P/Final</v>
      </c>
      <c r="BC715">
        <v>60</v>
      </c>
      <c r="BD715" s="10">
        <v>58</v>
      </c>
      <c r="BE715" s="10">
        <v>0</v>
      </c>
      <c r="BF715" s="10">
        <v>0</v>
      </c>
      <c r="BG715" s="13">
        <v>45505</v>
      </c>
    </row>
    <row r="716" spans="49:59" x14ac:dyDescent="0.3">
      <c r="AW716" s="1">
        <v>14.1</v>
      </c>
      <c r="AX716" s="1">
        <v>14.1</v>
      </c>
      <c r="AY716" t="str">
        <v>CP-R80_HI782-0_0.0_LOT0652_PWW31.1_QC.xlsx</v>
      </c>
      <c r="AZ716" t="str">
        <v>LOT0652</v>
      </c>
      <c r="BA716" s="3">
        <v>14</v>
      </c>
      <c r="BB716" t="str">
        <v>P/Final</v>
      </c>
      <c r="BC716">
        <v>60</v>
      </c>
      <c r="BD716" s="10">
        <v>58</v>
      </c>
      <c r="BE716" s="10">
        <v>0</v>
      </c>
      <c r="BF716" s="10">
        <v>0</v>
      </c>
      <c r="BG716" s="13">
        <v>45505</v>
      </c>
    </row>
    <row r="717" spans="49:59" x14ac:dyDescent="0.3">
      <c r="AW717" s="1">
        <v>14.1</v>
      </c>
      <c r="AX717" s="1">
        <v>14.1</v>
      </c>
      <c r="AY717" t="str">
        <v>CP-R80_HI782-0_0.0_LOT0652_PWW31.1_QC.xlsx</v>
      </c>
      <c r="AZ717" t="str">
        <v>LOT0652</v>
      </c>
      <c r="BA717" s="3">
        <v>14</v>
      </c>
      <c r="BB717" t="str">
        <v>P/Final</v>
      </c>
      <c r="BC717">
        <v>60</v>
      </c>
      <c r="BD717" s="10">
        <v>59.1</v>
      </c>
      <c r="BE717" s="10">
        <v>0</v>
      </c>
      <c r="BF717" s="10">
        <v>0</v>
      </c>
      <c r="BG717" s="13">
        <v>45505</v>
      </c>
    </row>
    <row r="718" spans="49:59" x14ac:dyDescent="0.3">
      <c r="AW718" s="1">
        <v>14.1</v>
      </c>
      <c r="AX718" s="1">
        <v>14.1</v>
      </c>
      <c r="AY718" t="str">
        <v>CP-R80_HI782-0_0.0_LOT0652_PWW31.1_QC.xlsx</v>
      </c>
      <c r="AZ718" t="str">
        <v>LOT0652</v>
      </c>
      <c r="BA718" s="3">
        <v>14</v>
      </c>
      <c r="BB718" t="str">
        <v>P/Final</v>
      </c>
      <c r="BC718">
        <v>60</v>
      </c>
      <c r="BD718" s="10">
        <v>60</v>
      </c>
      <c r="BE718" s="10">
        <v>0</v>
      </c>
      <c r="BF718" s="10">
        <v>0</v>
      </c>
      <c r="BG718" s="13">
        <v>45505</v>
      </c>
    </row>
    <row r="719" spans="49:59" x14ac:dyDescent="0.3">
      <c r="AW719" s="1">
        <v>14.1</v>
      </c>
      <c r="AX719" s="1">
        <v>14.1</v>
      </c>
      <c r="AY719" t="str">
        <v>CP-R80_HI782-0_0.0_LOT0652_PWW31.1_QC.xlsx</v>
      </c>
      <c r="AZ719" t="str">
        <v>LOT0652</v>
      </c>
      <c r="BA719" s="3">
        <v>14</v>
      </c>
      <c r="BB719" t="str">
        <v>P/Final</v>
      </c>
      <c r="BC719">
        <v>60</v>
      </c>
      <c r="BD719" s="10">
        <v>57.5</v>
      </c>
      <c r="BE719" s="10">
        <v>0</v>
      </c>
      <c r="BF719" s="10">
        <v>0</v>
      </c>
      <c r="BG719" s="13">
        <v>45505</v>
      </c>
    </row>
    <row r="720" spans="49:59" x14ac:dyDescent="0.3">
      <c r="AW720" s="1">
        <v>14.1</v>
      </c>
      <c r="AX720" s="1">
        <v>14.1</v>
      </c>
      <c r="AY720" t="str">
        <v>CP-R80_HI782-0_0.0_LOT0652_PWW31.1_QC.xlsx</v>
      </c>
      <c r="AZ720" t="str">
        <v>LOT0652</v>
      </c>
      <c r="BA720" s="3">
        <v>14</v>
      </c>
      <c r="BB720" t="str">
        <v>P/Final</v>
      </c>
      <c r="BC720">
        <v>60</v>
      </c>
      <c r="BD720" s="10">
        <v>62</v>
      </c>
      <c r="BE720" s="10">
        <v>0</v>
      </c>
      <c r="BF720" s="10">
        <v>0</v>
      </c>
      <c r="BG720" s="13">
        <v>45505</v>
      </c>
    </row>
    <row r="721" spans="49:59" x14ac:dyDescent="0.3">
      <c r="AW721" s="1">
        <v>14.1</v>
      </c>
      <c r="AX721" s="1">
        <v>14.1</v>
      </c>
      <c r="AY721" t="str">
        <v>CP-R80_HI782-0_0.0_LOT0652_PWW31.1_QC-Copy(1).xlsx</v>
      </c>
      <c r="AZ721" t="str">
        <v>LOT0652</v>
      </c>
      <c r="BA721" s="3">
        <v>14</v>
      </c>
      <c r="BB721" t="str">
        <v>P/Final</v>
      </c>
      <c r="BC721">
        <v>60</v>
      </c>
      <c r="BD721" s="10">
        <v>60</v>
      </c>
      <c r="BE721" s="10">
        <v>0</v>
      </c>
      <c r="BF721" s="10">
        <v>0</v>
      </c>
      <c r="BG721" s="13">
        <v>45505</v>
      </c>
    </row>
    <row r="722" spans="49:59" x14ac:dyDescent="0.3">
      <c r="AW722" s="1">
        <v>14.1</v>
      </c>
      <c r="AX722" s="1">
        <v>14.1</v>
      </c>
      <c r="AY722" t="str">
        <v>CP-R80_HI782-0_0.0_LOT0652_PWW31.1_QC-Copy(1).xlsx</v>
      </c>
      <c r="AZ722" t="str">
        <v>LOT0652</v>
      </c>
      <c r="BA722" s="3">
        <v>14</v>
      </c>
      <c r="BB722" t="str">
        <v>P/Final</v>
      </c>
      <c r="BC722">
        <v>60</v>
      </c>
      <c r="BD722" s="10">
        <v>57.5</v>
      </c>
      <c r="BE722" s="10">
        <v>0</v>
      </c>
      <c r="BF722" s="10">
        <v>0</v>
      </c>
      <c r="BG722" s="13">
        <v>45505</v>
      </c>
    </row>
    <row r="723" spans="49:59" x14ac:dyDescent="0.3">
      <c r="AW723" s="1">
        <v>14.1</v>
      </c>
      <c r="AX723" s="1">
        <v>14.1</v>
      </c>
      <c r="AY723" t="str">
        <v>CP-R80_HI782-0_0.0_LOT0652_PWW31.1_QC-Copy(1).xlsx</v>
      </c>
      <c r="AZ723" t="str">
        <v>LOT0652</v>
      </c>
      <c r="BA723" s="3">
        <v>14</v>
      </c>
      <c r="BB723" t="str">
        <v>P/Final</v>
      </c>
      <c r="BC723">
        <v>60</v>
      </c>
      <c r="BD723" s="10">
        <v>60.9</v>
      </c>
      <c r="BE723" s="10">
        <v>0</v>
      </c>
      <c r="BF723" s="10">
        <v>0</v>
      </c>
      <c r="BG723" s="13">
        <v>45505</v>
      </c>
    </row>
    <row r="724" spans="49:59" x14ac:dyDescent="0.3">
      <c r="AW724" s="1">
        <v>14.1</v>
      </c>
      <c r="AX724" s="1">
        <v>14.1</v>
      </c>
      <c r="AY724" t="str">
        <v>CP-R80_HI782-0_0.0_LOT0652_PWW31.1_QC.xlsx</v>
      </c>
      <c r="AZ724" t="str">
        <v>LOT0652</v>
      </c>
      <c r="BA724" s="3">
        <v>14</v>
      </c>
      <c r="BB724" t="str">
        <v>P/Final</v>
      </c>
      <c r="BC724">
        <v>60</v>
      </c>
      <c r="BD724" s="10">
        <v>60.9</v>
      </c>
      <c r="BE724" s="10">
        <v>0</v>
      </c>
      <c r="BF724" s="10">
        <v>0</v>
      </c>
      <c r="BG724" s="13">
        <v>45505</v>
      </c>
    </row>
    <row r="725" spans="49:59" x14ac:dyDescent="0.3">
      <c r="AW725" s="1">
        <v>14.1</v>
      </c>
      <c r="AX725" s="1">
        <v>14.1</v>
      </c>
      <c r="AY725" t="str">
        <v>CP-R80_HI782-0_0.0_LOT0652_PWW31.1_QC-Copy(1).xlsx</v>
      </c>
      <c r="AZ725" t="str">
        <v>LOT0652</v>
      </c>
      <c r="BA725" s="3">
        <v>14</v>
      </c>
      <c r="BB725" t="str">
        <v>P/Final</v>
      </c>
      <c r="BC725">
        <v>60</v>
      </c>
      <c r="BD725" s="10">
        <v>62</v>
      </c>
      <c r="BE725" s="10">
        <v>0</v>
      </c>
      <c r="BF725" s="10">
        <v>0</v>
      </c>
      <c r="BG725" s="13">
        <v>45505</v>
      </c>
    </row>
    <row r="726" spans="49:59" x14ac:dyDescent="0.3">
      <c r="AW726" s="1">
        <v>14.1</v>
      </c>
      <c r="AX726" s="1">
        <v>14.1</v>
      </c>
      <c r="AY726" t="str">
        <v>CP-R80_HI782-0_0.0_LOT0652_PWW31.1_QC-Copy(1).xlsx</v>
      </c>
      <c r="AZ726" t="str">
        <v>LOT0652</v>
      </c>
      <c r="BA726" s="3">
        <v>14</v>
      </c>
      <c r="BB726" t="str">
        <v>P/Final</v>
      </c>
      <c r="BC726">
        <v>60</v>
      </c>
      <c r="BD726" s="10">
        <v>59.1</v>
      </c>
      <c r="BE726" s="10">
        <v>0</v>
      </c>
      <c r="BF726" s="10">
        <v>0</v>
      </c>
      <c r="BG726" s="13">
        <v>45505</v>
      </c>
    </row>
    <row r="727" spans="49:59" x14ac:dyDescent="0.3">
      <c r="AW727" s="1">
        <v>14.1</v>
      </c>
      <c r="AX727" s="1">
        <v>14.1</v>
      </c>
      <c r="AY727" t="str">
        <v>CP-R80_HI782-0_0.0_LOT0652_PWW31.1_QC-Copy(1).xlsx</v>
      </c>
      <c r="AZ727" t="str">
        <v>LOT0652</v>
      </c>
      <c r="BA727" s="3">
        <v>14</v>
      </c>
      <c r="BB727" t="str">
        <v>P/Final</v>
      </c>
      <c r="BC727">
        <v>0</v>
      </c>
      <c r="BD727" s="10">
        <v>0</v>
      </c>
      <c r="BE727" s="10">
        <v>0</v>
      </c>
      <c r="BF727" s="10">
        <v>0</v>
      </c>
      <c r="BG727" s="13">
        <v>45506</v>
      </c>
    </row>
    <row r="728" spans="49:59" x14ac:dyDescent="0.3">
      <c r="AW728" s="1">
        <v>14.1</v>
      </c>
      <c r="AX728" s="1">
        <v>14.1</v>
      </c>
      <c r="AY728" t="str">
        <v>CP-R80_HI782-0_0.0_LOT0652_PWW31.1_QC.xlsx</v>
      </c>
      <c r="AZ728" t="str">
        <v>LOT0652</v>
      </c>
      <c r="BA728" s="3">
        <v>14</v>
      </c>
      <c r="BB728" t="str">
        <v>P/Final</v>
      </c>
      <c r="BC728">
        <v>0</v>
      </c>
      <c r="BD728" s="10">
        <v>0</v>
      </c>
      <c r="BE728" s="10">
        <v>0</v>
      </c>
      <c r="BF728" s="10">
        <v>0</v>
      </c>
      <c r="BG728" s="13">
        <v>45506</v>
      </c>
    </row>
    <row r="729" spans="49:59" x14ac:dyDescent="0.3">
      <c r="AW729" s="1">
        <v>14.1</v>
      </c>
      <c r="AX729" s="1">
        <v>14.1</v>
      </c>
      <c r="AY729" t="str">
        <v>CP-R80_HI782-0_0.0_LOT0652_PWW31.1_QC-Copy(1).xlsx</v>
      </c>
      <c r="AZ729" t="str">
        <v>LOT0652</v>
      </c>
      <c r="BA729" s="3">
        <v>14</v>
      </c>
      <c r="BB729" t="str">
        <v>P/Final</v>
      </c>
      <c r="BC729">
        <v>0</v>
      </c>
      <c r="BD729" s="10">
        <v>0</v>
      </c>
      <c r="BE729" s="10">
        <v>0</v>
      </c>
      <c r="BF729" s="10">
        <v>0</v>
      </c>
      <c r="BG729" s="13">
        <v>45506</v>
      </c>
    </row>
    <row r="730" spans="49:59" x14ac:dyDescent="0.3">
      <c r="AW730" s="1">
        <v>14.1</v>
      </c>
      <c r="AX730" s="1">
        <v>14.1</v>
      </c>
      <c r="AY730" t="str">
        <v>CP-R80_HI782-0_0.0_LOT0652_PWW31.1_QC.xlsx</v>
      </c>
      <c r="AZ730" t="str">
        <v>LOT0652</v>
      </c>
      <c r="BA730" s="3">
        <v>14</v>
      </c>
      <c r="BB730" t="str">
        <v>P/Final</v>
      </c>
      <c r="BC730">
        <v>0</v>
      </c>
      <c r="BD730" s="10">
        <v>0</v>
      </c>
      <c r="BE730" s="10">
        <v>0</v>
      </c>
      <c r="BF730" s="10">
        <v>0</v>
      </c>
      <c r="BG730" s="13">
        <v>45506</v>
      </c>
    </row>
    <row r="731" spans="49:59" x14ac:dyDescent="0.3">
      <c r="AW731" s="1">
        <v>14.1</v>
      </c>
      <c r="AX731" s="1">
        <v>14.1</v>
      </c>
      <c r="AY731" t="str">
        <v>CP-R80_HI782-0_0.0_LOT0652_PWW31.1_QC-Copy(1).xlsx</v>
      </c>
      <c r="AZ731" t="str">
        <v>LOT0652</v>
      </c>
      <c r="BA731" s="3">
        <v>14</v>
      </c>
      <c r="BB731" t="str">
        <v>P/Final</v>
      </c>
      <c r="BC731">
        <v>15</v>
      </c>
      <c r="BD731" s="10">
        <v>14.6</v>
      </c>
      <c r="BE731" s="10">
        <v>0</v>
      </c>
      <c r="BF731" s="10">
        <v>0</v>
      </c>
      <c r="BG731" s="13">
        <v>45506</v>
      </c>
    </row>
    <row r="732" spans="49:59" x14ac:dyDescent="0.3">
      <c r="AW732" s="1">
        <v>14.1</v>
      </c>
      <c r="AX732" s="1">
        <v>14.1</v>
      </c>
      <c r="AY732" t="str">
        <v>CP-R80_HI782-0_0.0_LOT0652_PWW31.1_QC-Copy(1).xlsx</v>
      </c>
      <c r="AZ732" t="str">
        <v>LOT0652</v>
      </c>
      <c r="BA732" s="3">
        <v>14</v>
      </c>
      <c r="BB732" t="str">
        <v>P/Final</v>
      </c>
      <c r="BC732">
        <v>15</v>
      </c>
      <c r="BD732" s="10">
        <v>14.3</v>
      </c>
      <c r="BE732" s="10">
        <v>0</v>
      </c>
      <c r="BF732" s="10">
        <v>0</v>
      </c>
      <c r="BG732" s="13">
        <v>45506</v>
      </c>
    </row>
    <row r="733" spans="49:59" x14ac:dyDescent="0.3">
      <c r="AW733" s="1">
        <v>14.1</v>
      </c>
      <c r="AX733" s="1">
        <v>14.1</v>
      </c>
      <c r="AY733" t="str">
        <v>CP-R80_HI782-0_0.0_LOT0652_PWW31.1_QC.xlsx</v>
      </c>
      <c r="AZ733" t="str">
        <v>LOT0652</v>
      </c>
      <c r="BA733" s="3">
        <v>14</v>
      </c>
      <c r="BB733" t="str">
        <v>P/Final</v>
      </c>
      <c r="BC733">
        <v>15</v>
      </c>
      <c r="BD733" s="10">
        <v>13.3</v>
      </c>
      <c r="BE733" s="10">
        <v>0</v>
      </c>
      <c r="BF733" s="10">
        <v>0</v>
      </c>
      <c r="BG733" s="13">
        <v>45506</v>
      </c>
    </row>
    <row r="734" spans="49:59" x14ac:dyDescent="0.3">
      <c r="AW734" s="1">
        <v>14.1</v>
      </c>
      <c r="AX734" s="1">
        <v>14.1</v>
      </c>
      <c r="AY734" t="str">
        <v>CP-R80_HI782-0_0.0_LOT0652_PWW31.1_QC-Copy(1).xlsx</v>
      </c>
      <c r="AZ734" t="str">
        <v>LOT0652</v>
      </c>
      <c r="BA734" s="3">
        <v>14</v>
      </c>
      <c r="BB734" t="str">
        <v>P/Final</v>
      </c>
      <c r="BC734">
        <v>15</v>
      </c>
      <c r="BD734" s="10">
        <v>14.7</v>
      </c>
      <c r="BE734" s="10">
        <v>0</v>
      </c>
      <c r="BF734" s="10">
        <v>0</v>
      </c>
      <c r="BG734" s="13">
        <v>45506</v>
      </c>
    </row>
    <row r="735" spans="49:59" x14ac:dyDescent="0.3">
      <c r="AW735" s="1">
        <v>14.1</v>
      </c>
      <c r="AX735" s="1">
        <v>14.1</v>
      </c>
      <c r="AY735" t="str">
        <v>CP-R80_HI782-0_0.0_LOT0652_PWW31.1_QC-Copy(1).xlsx</v>
      </c>
      <c r="AZ735" t="str">
        <v>LOT0652</v>
      </c>
      <c r="BA735" s="3">
        <v>14</v>
      </c>
      <c r="BB735" t="str">
        <v>P/Final</v>
      </c>
      <c r="BC735">
        <v>15</v>
      </c>
      <c r="BD735" s="10">
        <v>13.3</v>
      </c>
      <c r="BE735" s="10">
        <v>0</v>
      </c>
      <c r="BF735" s="10">
        <v>0</v>
      </c>
      <c r="BG735" s="13">
        <v>45506</v>
      </c>
    </row>
    <row r="736" spans="49:59" x14ac:dyDescent="0.3">
      <c r="AW736" s="1">
        <v>14.1</v>
      </c>
      <c r="AX736" s="1">
        <v>14.1</v>
      </c>
      <c r="AY736" t="str">
        <v>CP-R80_HI782-0_0.0_LOT0652_PWW31.1_QC.xlsx</v>
      </c>
      <c r="AZ736" t="str">
        <v>LOT0652</v>
      </c>
      <c r="BA736" s="3">
        <v>14</v>
      </c>
      <c r="BB736" t="str">
        <v>P/Final</v>
      </c>
      <c r="BC736">
        <v>15</v>
      </c>
      <c r="BD736" s="10">
        <v>14.7</v>
      </c>
      <c r="BE736" s="10">
        <v>0</v>
      </c>
      <c r="BF736" s="10">
        <v>0</v>
      </c>
      <c r="BG736" s="13">
        <v>45506</v>
      </c>
    </row>
    <row r="737" spans="49:59" x14ac:dyDescent="0.3">
      <c r="AW737" s="1">
        <v>14.1</v>
      </c>
      <c r="AX737" s="1">
        <v>14.1</v>
      </c>
      <c r="AY737" t="str">
        <v>CP-R80_HI782-0_0.0_LOT0652_PWW31.1_QC.xlsx</v>
      </c>
      <c r="AZ737" t="str">
        <v>LOT0652</v>
      </c>
      <c r="BA737" s="3">
        <v>14</v>
      </c>
      <c r="BB737" t="str">
        <v>P/Final</v>
      </c>
      <c r="BC737">
        <v>15</v>
      </c>
      <c r="BD737" s="10">
        <v>14.6</v>
      </c>
      <c r="BE737" s="10">
        <v>0</v>
      </c>
      <c r="BF737" s="10">
        <v>0</v>
      </c>
      <c r="BG737" s="13">
        <v>45506</v>
      </c>
    </row>
    <row r="738" spans="49:59" x14ac:dyDescent="0.3">
      <c r="AW738" s="1">
        <v>14.1</v>
      </c>
      <c r="AX738" s="1">
        <v>14.1</v>
      </c>
      <c r="AY738" t="str">
        <v>CP-R80_HI782-0_0.0_LOT0652_PWW31.1_QC.xlsx</v>
      </c>
      <c r="AZ738" t="str">
        <v>LOT0652</v>
      </c>
      <c r="BA738" s="3">
        <v>14</v>
      </c>
      <c r="BB738" t="str">
        <v>P/Final</v>
      </c>
      <c r="BC738">
        <v>15</v>
      </c>
      <c r="BD738" s="10">
        <v>14.3</v>
      </c>
      <c r="BE738" s="10">
        <v>0</v>
      </c>
      <c r="BF738" s="10">
        <v>0</v>
      </c>
      <c r="BG738" s="13">
        <v>45506</v>
      </c>
    </row>
    <row r="739" spans="49:59" x14ac:dyDescent="0.3">
      <c r="AW739" s="1">
        <v>14.1</v>
      </c>
      <c r="AX739" s="1">
        <v>14.1</v>
      </c>
      <c r="AY739" t="str">
        <v>CP-R80_HI782-0_0.0_LOT0652_PWW31.1_QC.xlsx</v>
      </c>
      <c r="AZ739" t="str">
        <v>LOT0652</v>
      </c>
      <c r="BA739" s="3">
        <v>14</v>
      </c>
      <c r="BB739" t="str">
        <v>P/Final</v>
      </c>
      <c r="BC739">
        <v>35</v>
      </c>
      <c r="BD739" s="10">
        <v>31.1</v>
      </c>
      <c r="BE739" s="10">
        <v>0</v>
      </c>
      <c r="BF739" s="10">
        <v>0</v>
      </c>
      <c r="BG739" s="13">
        <v>45506</v>
      </c>
    </row>
    <row r="740" spans="49:59" x14ac:dyDescent="0.3">
      <c r="AW740" s="1">
        <v>14.1</v>
      </c>
      <c r="AX740" s="1">
        <v>14.1</v>
      </c>
      <c r="AY740" t="str">
        <v>CP-R80_HI782-0_0.0_LOT0652_PWW31.1_QC.xlsx</v>
      </c>
      <c r="AZ740" t="str">
        <v>LOT0652</v>
      </c>
      <c r="BA740" s="3">
        <v>14</v>
      </c>
      <c r="BB740" t="str">
        <v>P/Final</v>
      </c>
      <c r="BC740">
        <v>35</v>
      </c>
      <c r="BD740" s="10">
        <v>34.4</v>
      </c>
      <c r="BE740" s="10">
        <v>0</v>
      </c>
      <c r="BF740" s="10">
        <v>0</v>
      </c>
      <c r="BG740" s="13">
        <v>45506</v>
      </c>
    </row>
    <row r="741" spans="49:59" x14ac:dyDescent="0.3">
      <c r="AW741" s="1">
        <v>14.1</v>
      </c>
      <c r="AX741" s="1">
        <v>14.1</v>
      </c>
      <c r="AY741" t="str">
        <v>CP-R80_HI782-0_0.0_LOT0652_PWW31.1_QC.xlsx</v>
      </c>
      <c r="AZ741" t="str">
        <v>LOT0652</v>
      </c>
      <c r="BA741" s="3">
        <v>14</v>
      </c>
      <c r="BB741" t="str">
        <v>P/Final</v>
      </c>
      <c r="BC741">
        <v>35</v>
      </c>
      <c r="BD741" s="10">
        <v>35.4</v>
      </c>
      <c r="BE741" s="10">
        <v>0</v>
      </c>
      <c r="BF741" s="10">
        <v>0</v>
      </c>
      <c r="BG741" s="13">
        <v>45506</v>
      </c>
    </row>
    <row r="742" spans="49:59" x14ac:dyDescent="0.3">
      <c r="AW742" s="1">
        <v>14.1</v>
      </c>
      <c r="AX742" s="1">
        <v>14.1</v>
      </c>
      <c r="AY742" t="str">
        <v>CP-R80_HI782-0_0.0_LOT0652_PWW31.1_QC.xlsx</v>
      </c>
      <c r="AZ742" t="str">
        <v>LOT0652</v>
      </c>
      <c r="BA742" s="3">
        <v>14</v>
      </c>
      <c r="BB742" t="str">
        <v>P/Final</v>
      </c>
      <c r="BC742">
        <v>35</v>
      </c>
      <c r="BD742" s="10">
        <v>35.200000000000003</v>
      </c>
      <c r="BE742" s="10">
        <v>0</v>
      </c>
      <c r="BF742" s="10">
        <v>0</v>
      </c>
      <c r="BG742" s="13">
        <v>45506</v>
      </c>
    </row>
    <row r="743" spans="49:59" x14ac:dyDescent="0.3">
      <c r="AW743" s="1">
        <v>14.1</v>
      </c>
      <c r="AX743" s="1">
        <v>14.1</v>
      </c>
      <c r="AY743" t="str">
        <v>CP-R80_HI782-0_0.0_LOT0652_PWW31.1_QC-Copy(1).xlsx</v>
      </c>
      <c r="AZ743" t="str">
        <v>LOT0652</v>
      </c>
      <c r="BA743" s="3">
        <v>14</v>
      </c>
      <c r="BB743" t="str">
        <v>P/Final</v>
      </c>
      <c r="BC743">
        <v>35</v>
      </c>
      <c r="BD743" s="10">
        <v>35.4</v>
      </c>
      <c r="BE743" s="10">
        <v>0</v>
      </c>
      <c r="BF743" s="10">
        <v>0</v>
      </c>
      <c r="BG743" s="13">
        <v>45506</v>
      </c>
    </row>
    <row r="744" spans="49:59" x14ac:dyDescent="0.3">
      <c r="AW744" s="1">
        <v>14.1</v>
      </c>
      <c r="AX744" s="1">
        <v>14.1</v>
      </c>
      <c r="AY744" t="str">
        <v>CP-R80_HI782-0_0.0_LOT0652_PWW31.1_QC-Copy(1).xlsx</v>
      </c>
      <c r="AZ744" t="str">
        <v>LOT0652</v>
      </c>
      <c r="BA744" s="3">
        <v>14</v>
      </c>
      <c r="BB744" t="str">
        <v>P/Final</v>
      </c>
      <c r="BC744">
        <v>35</v>
      </c>
      <c r="BD744" s="10">
        <v>34.4</v>
      </c>
      <c r="BE744" s="10">
        <v>0</v>
      </c>
      <c r="BF744" s="10">
        <v>0</v>
      </c>
      <c r="BG744" s="13">
        <v>45506</v>
      </c>
    </row>
    <row r="745" spans="49:59" x14ac:dyDescent="0.3">
      <c r="AW745" s="1">
        <v>14.1</v>
      </c>
      <c r="AX745" s="1">
        <v>14.1</v>
      </c>
      <c r="AY745" t="str">
        <v>CP-R80_HI782-0_0.0_LOT0652_PWW31.1_QC-Copy(1).xlsx</v>
      </c>
      <c r="AZ745" t="str">
        <v>LOT0652</v>
      </c>
      <c r="BA745" s="3">
        <v>14</v>
      </c>
      <c r="BB745" t="str">
        <v>P/Final</v>
      </c>
      <c r="BC745">
        <v>35</v>
      </c>
      <c r="BD745" s="10">
        <v>35.200000000000003</v>
      </c>
      <c r="BE745" s="10">
        <v>0</v>
      </c>
      <c r="BF745" s="10">
        <v>0</v>
      </c>
      <c r="BG745" s="13">
        <v>45506</v>
      </c>
    </row>
    <row r="746" spans="49:59" x14ac:dyDescent="0.3">
      <c r="AW746" s="1">
        <v>14.1</v>
      </c>
      <c r="AX746" s="1">
        <v>14.1</v>
      </c>
      <c r="AY746" t="str">
        <v>CP-R80_HI782-0_0.0_LOT0652_PWW31.1_QC-Copy(1).xlsx</v>
      </c>
      <c r="AZ746" t="str">
        <v>LOT0652</v>
      </c>
      <c r="BA746" s="3">
        <v>14</v>
      </c>
      <c r="BB746" t="str">
        <v>P/Final</v>
      </c>
      <c r="BC746">
        <v>35</v>
      </c>
      <c r="BD746" s="10">
        <v>31.1</v>
      </c>
      <c r="BE746" s="10">
        <v>0</v>
      </c>
      <c r="BF746" s="10">
        <v>0</v>
      </c>
      <c r="BG746" s="13">
        <v>45506</v>
      </c>
    </row>
    <row r="747" spans="49:59" x14ac:dyDescent="0.3">
      <c r="AW747" s="1">
        <v>14.1</v>
      </c>
      <c r="AX747" s="1">
        <v>14.1</v>
      </c>
      <c r="AY747" t="str">
        <v>CP-R80_HI782-0_0.0_LOT0652_PWW31.1_QC.xlsx</v>
      </c>
      <c r="AZ747" t="str">
        <v>LOT0652</v>
      </c>
      <c r="BA747" s="3">
        <v>14</v>
      </c>
      <c r="BB747" t="str">
        <v>P/Final</v>
      </c>
      <c r="BC747">
        <v>60</v>
      </c>
      <c r="BD747" s="10">
        <v>55.3</v>
      </c>
      <c r="BE747" s="10">
        <v>0</v>
      </c>
      <c r="BF747" s="10">
        <v>0</v>
      </c>
      <c r="BG747" s="13">
        <v>45506</v>
      </c>
    </row>
    <row r="748" spans="49:59" x14ac:dyDescent="0.3">
      <c r="AW748" s="1">
        <v>14.1</v>
      </c>
      <c r="AX748" s="1">
        <v>14.1</v>
      </c>
      <c r="AY748" t="str">
        <v>CP-R80_HI782-0_0.0_LOT0652_PWW31.1_QC.xlsx</v>
      </c>
      <c r="AZ748" t="str">
        <v>LOT0652</v>
      </c>
      <c r="BA748" s="3">
        <v>14</v>
      </c>
      <c r="BB748" t="str">
        <v>P/Final</v>
      </c>
      <c r="BC748">
        <v>60</v>
      </c>
      <c r="BD748" s="10">
        <v>55.7</v>
      </c>
      <c r="BE748" s="10">
        <v>0</v>
      </c>
      <c r="BF748" s="10">
        <v>0</v>
      </c>
      <c r="BG748" s="13">
        <v>45506</v>
      </c>
    </row>
    <row r="749" spans="49:59" x14ac:dyDescent="0.3">
      <c r="AW749" s="1">
        <v>14.1</v>
      </c>
      <c r="AX749" s="1">
        <v>14.1</v>
      </c>
      <c r="AY749" t="str">
        <v>CP-R80_HI782-0_0.0_LOT0652_PWW31.1_QC.xlsx</v>
      </c>
      <c r="AZ749" t="str">
        <v>LOT0652</v>
      </c>
      <c r="BA749" s="3">
        <v>14</v>
      </c>
      <c r="BB749" t="str">
        <v>P/Final</v>
      </c>
      <c r="BC749">
        <v>60</v>
      </c>
      <c r="BD749" s="10">
        <v>55.6</v>
      </c>
      <c r="BE749" s="10">
        <v>0</v>
      </c>
      <c r="BF749" s="10">
        <v>0</v>
      </c>
      <c r="BG749" s="13">
        <v>45506</v>
      </c>
    </row>
    <row r="750" spans="49:59" x14ac:dyDescent="0.3">
      <c r="AW750" s="1">
        <v>14.1</v>
      </c>
      <c r="AX750" s="1">
        <v>14.1</v>
      </c>
      <c r="AY750" t="str">
        <v>CP-R80_HI782-0_0.0_LOT0652_PWW31.1_QC.xlsx</v>
      </c>
      <c r="AZ750" t="str">
        <v>LOT0652</v>
      </c>
      <c r="BA750" s="3">
        <v>14</v>
      </c>
      <c r="BB750" t="str">
        <v>P/Final</v>
      </c>
      <c r="BC750">
        <v>60</v>
      </c>
      <c r="BD750" s="10">
        <v>58.3</v>
      </c>
      <c r="BE750" s="10">
        <v>0</v>
      </c>
      <c r="BF750" s="10">
        <v>0</v>
      </c>
      <c r="BG750" s="13">
        <v>45506</v>
      </c>
    </row>
    <row r="751" spans="49:59" x14ac:dyDescent="0.3">
      <c r="AW751" s="1">
        <v>14.1</v>
      </c>
      <c r="AX751" s="1">
        <v>14.1</v>
      </c>
      <c r="AY751" t="str">
        <v>CP-R80_HI782-0_0.0_LOT0652_PWW31.1_QC-Copy(1).xlsx</v>
      </c>
      <c r="AZ751" t="str">
        <v>LOT0652</v>
      </c>
      <c r="BA751" s="3">
        <v>14</v>
      </c>
      <c r="BB751" t="str">
        <v>P/Final</v>
      </c>
      <c r="BC751">
        <v>60</v>
      </c>
      <c r="BD751" s="10">
        <v>55.3</v>
      </c>
      <c r="BE751" s="10">
        <v>0</v>
      </c>
      <c r="BF751" s="10">
        <v>0</v>
      </c>
      <c r="BG751" s="13">
        <v>45506</v>
      </c>
    </row>
    <row r="752" spans="49:59" x14ac:dyDescent="0.3">
      <c r="AW752" s="1">
        <v>14.1</v>
      </c>
      <c r="AX752" s="1">
        <v>14.1</v>
      </c>
      <c r="AY752" t="str">
        <v>CP-R80_HI782-0_0.0_LOT0652_PWW31.1_QC-Copy(1).xlsx</v>
      </c>
      <c r="AZ752" t="str">
        <v>LOT0652</v>
      </c>
      <c r="BA752" s="3">
        <v>14</v>
      </c>
      <c r="BB752" t="str">
        <v>P/Final</v>
      </c>
      <c r="BC752">
        <v>60</v>
      </c>
      <c r="BD752" s="10">
        <v>58.3</v>
      </c>
      <c r="BE752" s="10">
        <v>0</v>
      </c>
      <c r="BF752" s="10">
        <v>0</v>
      </c>
      <c r="BG752" s="13">
        <v>45506</v>
      </c>
    </row>
    <row r="753" spans="49:59" x14ac:dyDescent="0.3">
      <c r="AW753" s="1">
        <v>14.1</v>
      </c>
      <c r="AX753" s="1">
        <v>14.1</v>
      </c>
      <c r="AY753" t="str">
        <v>CP-R80_HI782-0_0.0_LOT0652_PWW31.1_QC-Copy(1).xlsx</v>
      </c>
      <c r="AZ753" t="str">
        <v>LOT0652</v>
      </c>
      <c r="BA753" s="3">
        <v>14</v>
      </c>
      <c r="BB753" t="str">
        <v>P/Final</v>
      </c>
      <c r="BC753">
        <v>60</v>
      </c>
      <c r="BD753" s="10">
        <v>55.7</v>
      </c>
      <c r="BE753" s="10">
        <v>0</v>
      </c>
      <c r="BF753" s="10">
        <v>0</v>
      </c>
      <c r="BG753" s="13">
        <v>45506</v>
      </c>
    </row>
    <row r="754" spans="49:59" x14ac:dyDescent="0.3">
      <c r="AW754" s="1">
        <v>14.1</v>
      </c>
      <c r="AX754" s="1">
        <v>14.1</v>
      </c>
      <c r="AY754" t="str">
        <v>CP-R80_HI782-0_0.0_LOT0652_PWW31.1_QC-Copy(1).xlsx</v>
      </c>
      <c r="AZ754" t="str">
        <v>LOT0652</v>
      </c>
      <c r="BA754" s="3">
        <v>14</v>
      </c>
      <c r="BB754" t="str">
        <v>P/Final</v>
      </c>
      <c r="BC754">
        <v>60</v>
      </c>
      <c r="BD754" s="10">
        <v>55.6</v>
      </c>
      <c r="BE754" s="10">
        <v>0</v>
      </c>
      <c r="BF754" s="10">
        <v>0</v>
      </c>
      <c r="BG754" s="13">
        <v>45506</v>
      </c>
    </row>
    <row r="755" spans="49:59" x14ac:dyDescent="0.3">
      <c r="AW755" s="1">
        <v>14.1</v>
      </c>
      <c r="AX755" s="1">
        <v>14.1</v>
      </c>
      <c r="AY755" t="str">
        <v>CP-R80_HI782-0_0.0_LOT0652_PWW31.1_QC-Copy(1).xlsx</v>
      </c>
      <c r="AZ755" t="str">
        <v>LOT0652</v>
      </c>
      <c r="BA755" s="3">
        <v>14</v>
      </c>
      <c r="BB755" t="str">
        <v>P/Final</v>
      </c>
      <c r="BC755">
        <v>15</v>
      </c>
      <c r="BD755" s="10">
        <v>12.8</v>
      </c>
      <c r="BE755" s="10">
        <v>0</v>
      </c>
      <c r="BF755" s="10">
        <v>0</v>
      </c>
      <c r="BG755" s="13">
        <v>45509</v>
      </c>
    </row>
    <row r="756" spans="49:59" x14ac:dyDescent="0.3">
      <c r="AW756" s="1">
        <v>14.1</v>
      </c>
      <c r="AX756" s="1">
        <v>14.1</v>
      </c>
      <c r="AY756" t="str">
        <v>CP-R80_HI782-0_0.0_LOT0652_PWW31.1_QC-Copy(1).xlsx</v>
      </c>
      <c r="AZ756" t="str">
        <v>LOT0652</v>
      </c>
      <c r="BA756" s="3">
        <v>14</v>
      </c>
      <c r="BB756" t="str">
        <v>P/Final</v>
      </c>
      <c r="BC756">
        <v>15</v>
      </c>
      <c r="BD756" s="10">
        <v>15.3</v>
      </c>
      <c r="BE756" s="10">
        <v>0</v>
      </c>
      <c r="BF756" s="10">
        <v>0</v>
      </c>
      <c r="BG756" s="13">
        <v>45509</v>
      </c>
    </row>
    <row r="757" spans="49:59" x14ac:dyDescent="0.3">
      <c r="AW757" s="1">
        <v>14.1</v>
      </c>
      <c r="AX757" s="1">
        <v>14.1</v>
      </c>
      <c r="AY757" t="str">
        <v>CP-R80_HI782-0_0.0_LOT0652_PWW31.1_QC-Copy(1).xlsx</v>
      </c>
      <c r="AZ757" t="str">
        <v>LOT0652</v>
      </c>
      <c r="BA757" s="3">
        <v>14</v>
      </c>
      <c r="BB757" t="str">
        <v>P/Final</v>
      </c>
      <c r="BC757">
        <v>15</v>
      </c>
      <c r="BD757" s="10">
        <v>14.7</v>
      </c>
      <c r="BE757" s="10">
        <v>0</v>
      </c>
      <c r="BF757" s="10">
        <v>0</v>
      </c>
      <c r="BG757" s="13">
        <v>45509</v>
      </c>
    </row>
    <row r="758" spans="49:59" x14ac:dyDescent="0.3">
      <c r="AW758" s="1">
        <v>14.1</v>
      </c>
      <c r="AX758" s="1">
        <v>14.1</v>
      </c>
      <c r="AY758" t="str">
        <v>CP-R80_HI782-0_0.0_LOT0652_PWW31.1_QC-Copy(1).xlsx</v>
      </c>
      <c r="AZ758" t="str">
        <v>LOT0652</v>
      </c>
      <c r="BA758" s="3">
        <v>14</v>
      </c>
      <c r="BB758" t="str">
        <v>P/Final</v>
      </c>
      <c r="BC758">
        <v>15</v>
      </c>
      <c r="BD758" s="10">
        <v>14.6</v>
      </c>
      <c r="BE758" s="10">
        <v>0</v>
      </c>
      <c r="BF758" s="10">
        <v>0</v>
      </c>
      <c r="BG758" s="13">
        <v>45509</v>
      </c>
    </row>
    <row r="759" spans="49:59" x14ac:dyDescent="0.3">
      <c r="AW759" s="1">
        <v>14.1</v>
      </c>
      <c r="AX759" s="1">
        <v>14.1</v>
      </c>
      <c r="AY759" t="str">
        <v>CP-R80_HI782-0_0.0_LOT0652_PWW31.1_QC-Copy(1).xlsx</v>
      </c>
      <c r="AZ759" t="str">
        <v>LOT0652</v>
      </c>
      <c r="BA759" s="3">
        <v>14</v>
      </c>
      <c r="BB759" t="str">
        <v>P/Final</v>
      </c>
      <c r="BC759">
        <v>15</v>
      </c>
      <c r="BD759" s="10">
        <v>13</v>
      </c>
      <c r="BE759" s="10">
        <v>0</v>
      </c>
      <c r="BF759" s="10">
        <v>0</v>
      </c>
      <c r="BG759" s="13">
        <v>45509</v>
      </c>
    </row>
    <row r="760" spans="49:59" x14ac:dyDescent="0.3">
      <c r="AW760" s="1">
        <v>14.1</v>
      </c>
      <c r="AX760" s="1">
        <v>14.1</v>
      </c>
      <c r="AY760" t="str">
        <v>CP-R80_HI782-0_0.0_LOT0652_PWW31.1_QC-Copy(1).xlsx</v>
      </c>
      <c r="AZ760" t="str">
        <v>LOT0652</v>
      </c>
      <c r="BA760" s="3">
        <v>14</v>
      </c>
      <c r="BB760" t="str">
        <v>P/Final</v>
      </c>
      <c r="BC760">
        <v>15</v>
      </c>
      <c r="BD760" s="10">
        <v>14.6</v>
      </c>
      <c r="BE760" s="10">
        <v>0</v>
      </c>
      <c r="BF760" s="10">
        <v>0</v>
      </c>
      <c r="BG760" s="13">
        <v>45509</v>
      </c>
    </row>
    <row r="761" spans="49:59" x14ac:dyDescent="0.3">
      <c r="AW761" s="1">
        <v>14.1</v>
      </c>
      <c r="AX761" s="1">
        <v>14.1</v>
      </c>
      <c r="AY761" t="str">
        <v>CP-R80_HI782-0_0.0_LOT0652_PWW31.1_QC-Copy(1).xlsx</v>
      </c>
      <c r="AZ761" t="str">
        <v>LOT0652</v>
      </c>
      <c r="BA761" s="3">
        <v>14</v>
      </c>
      <c r="BB761" t="str">
        <v>P/Final</v>
      </c>
      <c r="BC761">
        <v>15</v>
      </c>
      <c r="BD761" s="10">
        <v>16.2</v>
      </c>
      <c r="BE761" s="10">
        <v>0</v>
      </c>
      <c r="BF761" s="10">
        <v>0</v>
      </c>
      <c r="BG761" s="13">
        <v>45509</v>
      </c>
    </row>
    <row r="762" spans="49:59" x14ac:dyDescent="0.3">
      <c r="AW762" s="1">
        <v>14.1</v>
      </c>
      <c r="AX762" s="1">
        <v>14.1</v>
      </c>
      <c r="AY762" t="str">
        <v>CP-R80_HI782-0_0.0_LOT0652_PWW31.1_QC-Copy(1).xlsx</v>
      </c>
      <c r="AZ762" t="str">
        <v>LOT0652</v>
      </c>
      <c r="BA762" s="3">
        <v>14</v>
      </c>
      <c r="BB762" t="str">
        <v>P/Final</v>
      </c>
      <c r="BC762">
        <v>15</v>
      </c>
      <c r="BD762" s="10">
        <v>13.5</v>
      </c>
      <c r="BE762" s="10">
        <v>0</v>
      </c>
      <c r="BF762" s="10">
        <v>0</v>
      </c>
      <c r="BG762" s="13">
        <v>45509</v>
      </c>
    </row>
    <row r="763" spans="49:59" x14ac:dyDescent="0.3">
      <c r="AW763" s="1">
        <v>14.1</v>
      </c>
      <c r="AX763" s="1">
        <v>14.1</v>
      </c>
      <c r="AY763" t="str">
        <v>CP-R80_HI782-0_0.0_LOT0652_PWW31.1_QC-Copy(1).xlsx</v>
      </c>
      <c r="AZ763" t="str">
        <v>LOT0652</v>
      </c>
      <c r="BA763" s="3">
        <v>14</v>
      </c>
      <c r="BB763" t="str">
        <v>P/Final</v>
      </c>
      <c r="BC763">
        <v>15</v>
      </c>
      <c r="BD763" s="10">
        <v>14.9</v>
      </c>
      <c r="BE763" s="10">
        <v>0</v>
      </c>
      <c r="BF763" s="10">
        <v>0</v>
      </c>
      <c r="BG763" s="13">
        <v>45509</v>
      </c>
    </row>
    <row r="764" spans="49:59" x14ac:dyDescent="0.3">
      <c r="AW764" s="1">
        <v>14.1</v>
      </c>
      <c r="AX764" s="1">
        <v>14.1</v>
      </c>
      <c r="AY764" t="str">
        <v>CP-R80_HI782-0_0.0_LOT0652_PWW31.1_QC-Copy(1).xlsx</v>
      </c>
      <c r="AZ764" t="str">
        <v>LOT0652</v>
      </c>
      <c r="BA764" s="3">
        <v>14</v>
      </c>
      <c r="BB764" t="str">
        <v>P/Final</v>
      </c>
      <c r="BC764">
        <v>15</v>
      </c>
      <c r="BD764" s="10">
        <v>12.7</v>
      </c>
      <c r="BE764" s="10">
        <v>0</v>
      </c>
      <c r="BF764" s="10">
        <v>0</v>
      </c>
      <c r="BG764" s="13">
        <v>45509</v>
      </c>
    </row>
    <row r="765" spans="49:59" x14ac:dyDescent="0.3">
      <c r="AW765" s="1">
        <v>14.1</v>
      </c>
      <c r="AX765" s="1">
        <v>14.1</v>
      </c>
      <c r="AY765" t="str">
        <v>CP-R80_HI782-0_0.0_LOT0652_PWW31.1_QC-Copy(1).xlsx</v>
      </c>
      <c r="AZ765" t="str">
        <v>LOT0652</v>
      </c>
      <c r="BA765" s="3">
        <v>14</v>
      </c>
      <c r="BB765" t="str">
        <v>P/Final</v>
      </c>
      <c r="BC765">
        <v>15</v>
      </c>
      <c r="BD765" s="10">
        <v>15.3</v>
      </c>
      <c r="BE765" s="10">
        <v>0</v>
      </c>
      <c r="BF765" s="10">
        <v>0</v>
      </c>
      <c r="BG765" s="13">
        <v>45509</v>
      </c>
    </row>
    <row r="766" spans="49:59" x14ac:dyDescent="0.3">
      <c r="AW766" s="1">
        <v>14.1</v>
      </c>
      <c r="AX766" s="1">
        <v>14.1</v>
      </c>
      <c r="AY766" t="str">
        <v>CP-R80_HI782-0_0.0_LOT0652_PWW31.1_QC-Copy(1).xlsx</v>
      </c>
      <c r="AZ766" t="str">
        <v>LOT0652</v>
      </c>
      <c r="BA766" s="3">
        <v>14</v>
      </c>
      <c r="BB766" t="str">
        <v>P/Final</v>
      </c>
      <c r="BC766">
        <v>15</v>
      </c>
      <c r="BD766" s="10">
        <v>14.6</v>
      </c>
      <c r="BE766" s="10">
        <v>0</v>
      </c>
      <c r="BF766" s="10">
        <v>0</v>
      </c>
      <c r="BG766" s="13">
        <v>45509</v>
      </c>
    </row>
    <row r="767" spans="49:59" x14ac:dyDescent="0.3">
      <c r="AW767" s="1">
        <v>14.1</v>
      </c>
      <c r="AX767" s="1">
        <v>14.1</v>
      </c>
      <c r="AY767" t="str">
        <v>CP-R80_HI782-0_0.0_LOT0652_PWW31.1_QC-Copy(1).xlsx</v>
      </c>
      <c r="AZ767" t="str">
        <v>LOT0652</v>
      </c>
      <c r="BA767" s="3">
        <v>14</v>
      </c>
      <c r="BB767" t="str">
        <v>P/Final</v>
      </c>
      <c r="BC767">
        <v>15</v>
      </c>
      <c r="BD767" s="10">
        <v>12.9</v>
      </c>
      <c r="BE767" s="10">
        <v>0</v>
      </c>
      <c r="BF767" s="10">
        <v>0</v>
      </c>
      <c r="BG767" s="13">
        <v>45509</v>
      </c>
    </row>
    <row r="768" spans="49:59" x14ac:dyDescent="0.3">
      <c r="AW768" s="1">
        <v>14.1</v>
      </c>
      <c r="AX768" s="1">
        <v>14.1</v>
      </c>
      <c r="AY768" t="str">
        <v>CP-R80_HI782-0_0.0_LOT0652_PWW31.1_QC-Copy(1).xlsx</v>
      </c>
      <c r="AZ768" t="str">
        <v>LOT0652</v>
      </c>
      <c r="BA768" s="3">
        <v>14</v>
      </c>
      <c r="BB768" t="str">
        <v>P/Final</v>
      </c>
      <c r="BC768">
        <v>35</v>
      </c>
      <c r="BD768" s="10">
        <v>33.1</v>
      </c>
      <c r="BE768" s="10">
        <v>0</v>
      </c>
      <c r="BF768" s="10">
        <v>0</v>
      </c>
      <c r="BG768" s="13">
        <v>45509</v>
      </c>
    </row>
    <row r="769" spans="49:59" x14ac:dyDescent="0.3">
      <c r="AW769" s="1">
        <v>14.1</v>
      </c>
      <c r="AX769" s="1">
        <v>14.1</v>
      </c>
      <c r="AY769" t="str">
        <v>CP-R80_HI782-0_0.0_LOT0652_PWW31.1_QC-Copy(1).xlsx</v>
      </c>
      <c r="AZ769" t="str">
        <v>LOT0652</v>
      </c>
      <c r="BA769" s="3">
        <v>14</v>
      </c>
      <c r="BB769" t="str">
        <v>P/Final</v>
      </c>
      <c r="BC769">
        <v>35</v>
      </c>
      <c r="BD769" s="10">
        <v>37.5</v>
      </c>
      <c r="BE769" s="10">
        <v>0</v>
      </c>
      <c r="BF769" s="10">
        <v>0</v>
      </c>
      <c r="BG769" s="13">
        <v>45509</v>
      </c>
    </row>
    <row r="770" spans="49:59" x14ac:dyDescent="0.3">
      <c r="AW770" s="1">
        <v>14.1</v>
      </c>
      <c r="AX770" s="1">
        <v>14.1</v>
      </c>
      <c r="AY770" t="str">
        <v>CP-R80_HI782-0_0.0_LOT0652_PWW31.1_QC-Copy(1).xlsx</v>
      </c>
      <c r="AZ770" t="str">
        <v>LOT0652</v>
      </c>
      <c r="BA770" s="3">
        <v>14</v>
      </c>
      <c r="BB770" t="str">
        <v>P/Final</v>
      </c>
      <c r="BC770">
        <v>35</v>
      </c>
      <c r="BD770" s="10">
        <v>37.4</v>
      </c>
      <c r="BE770" s="10">
        <v>0</v>
      </c>
      <c r="BF770" s="10">
        <v>0</v>
      </c>
      <c r="BG770" s="13">
        <v>45509</v>
      </c>
    </row>
    <row r="771" spans="49:59" x14ac:dyDescent="0.3">
      <c r="AW771" s="1">
        <v>14.1</v>
      </c>
      <c r="AX771" s="1">
        <v>14.1</v>
      </c>
      <c r="AY771" t="str">
        <v>CP-R80_HI782-0_0.0_LOT0652_PWW31.1_QC-Copy(1).xlsx</v>
      </c>
      <c r="AZ771" t="str">
        <v>LOT0652</v>
      </c>
      <c r="BA771" s="3">
        <v>14</v>
      </c>
      <c r="BB771" t="str">
        <v>P/Final</v>
      </c>
      <c r="BC771">
        <v>35</v>
      </c>
      <c r="BD771" s="10">
        <v>38.6</v>
      </c>
      <c r="BE771" s="10">
        <v>0</v>
      </c>
      <c r="BF771" s="10">
        <v>0</v>
      </c>
      <c r="BG771" s="13">
        <v>45509</v>
      </c>
    </row>
    <row r="772" spans="49:59" x14ac:dyDescent="0.3">
      <c r="AW772" s="1">
        <v>14.1</v>
      </c>
      <c r="AX772" s="1">
        <v>14.1</v>
      </c>
      <c r="AY772" t="str">
        <v>CP-R80_HI782-0_0.0_LOT0652_PWW31.1_QC-Copy(1).xlsx</v>
      </c>
      <c r="AZ772" t="str">
        <v>LOT0652</v>
      </c>
      <c r="BA772" s="3">
        <v>14</v>
      </c>
      <c r="BB772" t="str">
        <v>P/Final</v>
      </c>
      <c r="BC772">
        <v>35</v>
      </c>
      <c r="BD772" s="10">
        <v>35.299999999999997</v>
      </c>
      <c r="BE772" s="10">
        <v>0</v>
      </c>
      <c r="BF772" s="10">
        <v>0</v>
      </c>
      <c r="BG772" s="13">
        <v>45509</v>
      </c>
    </row>
    <row r="773" spans="49:59" x14ac:dyDescent="0.3">
      <c r="AW773" s="1">
        <v>14.1</v>
      </c>
      <c r="AX773" s="1">
        <v>14.1</v>
      </c>
      <c r="AY773" t="str">
        <v>CP-R80_HI782-0_0.0_LOT0652_PWW31.1_QC-Copy(1).xlsx</v>
      </c>
      <c r="AZ773" t="str">
        <v>LOT0652</v>
      </c>
      <c r="BA773" s="3">
        <v>14</v>
      </c>
      <c r="BB773" t="str">
        <v>P/Final</v>
      </c>
      <c r="BC773">
        <v>35</v>
      </c>
      <c r="BD773" s="10">
        <v>32.1</v>
      </c>
      <c r="BE773" s="10">
        <v>0</v>
      </c>
      <c r="BF773" s="10">
        <v>0</v>
      </c>
      <c r="BG773" s="13">
        <v>45509</v>
      </c>
    </row>
    <row r="774" spans="49:59" x14ac:dyDescent="0.3">
      <c r="AW774" s="1">
        <v>14.1</v>
      </c>
      <c r="AX774" s="1">
        <v>14.1</v>
      </c>
      <c r="AY774" t="str">
        <v>CP-R80_HI782-0_0.0_LOT0652_PWW31.1_QC-Copy(1).xlsx</v>
      </c>
      <c r="AZ774" t="str">
        <v>LOT0652</v>
      </c>
      <c r="BA774" s="3">
        <v>14</v>
      </c>
      <c r="BB774" t="str">
        <v>P/Final</v>
      </c>
      <c r="BC774">
        <v>35</v>
      </c>
      <c r="BD774" s="10">
        <v>38</v>
      </c>
      <c r="BE774" s="10">
        <v>0</v>
      </c>
      <c r="BF774" s="10">
        <v>0</v>
      </c>
      <c r="BG774" s="13">
        <v>45509</v>
      </c>
    </row>
    <row r="775" spans="49:59" x14ac:dyDescent="0.3">
      <c r="AW775" s="1">
        <v>14.1</v>
      </c>
      <c r="AX775" s="1">
        <v>14.1</v>
      </c>
      <c r="AY775" t="str">
        <v>CP-R80_HI782-0_0.0_LOT0652_PWW31.1_QC-Copy(1).xlsx</v>
      </c>
      <c r="AZ775" t="str">
        <v>LOT0652</v>
      </c>
      <c r="BA775" s="3">
        <v>14</v>
      </c>
      <c r="BB775" t="str">
        <v>P/Final</v>
      </c>
      <c r="BC775">
        <v>35</v>
      </c>
      <c r="BD775" s="10">
        <v>38</v>
      </c>
      <c r="BE775" s="10">
        <v>0</v>
      </c>
      <c r="BF775" s="10">
        <v>0</v>
      </c>
      <c r="BG775" s="13">
        <v>45509</v>
      </c>
    </row>
    <row r="776" spans="49:59" x14ac:dyDescent="0.3">
      <c r="AW776" s="1">
        <v>14.1</v>
      </c>
      <c r="AX776" s="1">
        <v>14.1</v>
      </c>
      <c r="AY776" t="str">
        <v>CP-R80_HI782-0_0.0_LOT0652_PWW31.1_QC-Copy(1).xlsx</v>
      </c>
      <c r="AZ776" t="str">
        <v>LOT0652</v>
      </c>
      <c r="BA776" s="3">
        <v>14</v>
      </c>
      <c r="BB776" t="str">
        <v>P/Final</v>
      </c>
      <c r="BC776">
        <v>35</v>
      </c>
      <c r="BD776" s="10">
        <v>38.299999999999997</v>
      </c>
      <c r="BE776" s="10">
        <v>0</v>
      </c>
      <c r="BF776" s="10">
        <v>0</v>
      </c>
      <c r="BG776" s="13">
        <v>45509</v>
      </c>
    </row>
    <row r="777" spans="49:59" x14ac:dyDescent="0.3">
      <c r="AW777" s="1">
        <v>14.1</v>
      </c>
      <c r="AX777" s="1">
        <v>14.1</v>
      </c>
      <c r="AY777" t="str">
        <v>CP-R80_HI782-0_0.0_LOT0652_PWW31.1_QC-Copy(1).xlsx</v>
      </c>
      <c r="AZ777" t="str">
        <v>LOT0652</v>
      </c>
      <c r="BA777" s="3">
        <v>14</v>
      </c>
      <c r="BB777" t="str">
        <v>P/Final</v>
      </c>
      <c r="BC777">
        <v>35</v>
      </c>
      <c r="BD777" s="10">
        <v>38.5</v>
      </c>
      <c r="BE777" s="10">
        <v>0</v>
      </c>
      <c r="BF777" s="10">
        <v>0</v>
      </c>
      <c r="BG777" s="13">
        <v>45509</v>
      </c>
    </row>
    <row r="778" spans="49:59" x14ac:dyDescent="0.3">
      <c r="AW778" s="1">
        <v>14.1</v>
      </c>
      <c r="AX778" s="1">
        <v>14.1</v>
      </c>
      <c r="AY778" t="str">
        <v>CP-R80_HI782-0_0.0_LOT0652_PWW31.1_QC-Copy(1).xlsx</v>
      </c>
      <c r="AZ778" t="str">
        <v>LOT0652</v>
      </c>
      <c r="BA778" s="3">
        <v>14</v>
      </c>
      <c r="BB778" t="str">
        <v>P/Final</v>
      </c>
      <c r="BC778">
        <v>35</v>
      </c>
      <c r="BD778" s="10">
        <v>34.799999999999997</v>
      </c>
      <c r="BE778" s="10">
        <v>0</v>
      </c>
      <c r="BF778" s="10">
        <v>0</v>
      </c>
      <c r="BG778" s="13">
        <v>45509</v>
      </c>
    </row>
    <row r="779" spans="49:59" x14ac:dyDescent="0.3">
      <c r="AW779" s="1">
        <v>14.1</v>
      </c>
      <c r="AX779" s="1">
        <v>14.1</v>
      </c>
      <c r="AY779" t="str">
        <v>CP-R80_HI782-0_0.0_LOT0652_PWW31.1_QC-Copy(1).xlsx</v>
      </c>
      <c r="AZ779" t="str">
        <v>LOT0652</v>
      </c>
      <c r="BA779" s="3">
        <v>14</v>
      </c>
      <c r="BB779" t="str">
        <v>P/Final</v>
      </c>
      <c r="BC779">
        <v>35</v>
      </c>
      <c r="BD779" s="10">
        <v>29.6</v>
      </c>
      <c r="BE779" s="10">
        <v>0</v>
      </c>
      <c r="BF779" s="10">
        <v>0</v>
      </c>
      <c r="BG779" s="13">
        <v>45509</v>
      </c>
    </row>
    <row r="780" spans="49:59" x14ac:dyDescent="0.3">
      <c r="AW780" s="1">
        <v>14.1</v>
      </c>
      <c r="AX780" s="1">
        <v>14.1</v>
      </c>
      <c r="AY780" t="str">
        <v>CP-R80_HI782-0_0.0_LOT0652_PWW31.1_QC-Copy(1).xlsx</v>
      </c>
      <c r="AZ780" t="str">
        <v>LOT0652</v>
      </c>
      <c r="BA780" s="3">
        <v>14</v>
      </c>
      <c r="BB780" t="str">
        <v>P/Final</v>
      </c>
      <c r="BC780">
        <v>35</v>
      </c>
      <c r="BD780" s="10">
        <v>36.4</v>
      </c>
      <c r="BE780" s="10">
        <v>0</v>
      </c>
      <c r="BF780" s="10">
        <v>0</v>
      </c>
      <c r="BG780" s="13">
        <v>45509</v>
      </c>
    </row>
    <row r="781" spans="49:59" x14ac:dyDescent="0.3">
      <c r="AW781" s="1">
        <v>14.1</v>
      </c>
      <c r="AX781" s="1">
        <v>14.1</v>
      </c>
      <c r="AY781" t="str">
        <v>CP-R80_HI782-0_0.0_LOT0652_PWW31.1_QC-Copy(1).xlsx</v>
      </c>
      <c r="AZ781" t="str">
        <v>LOT0652</v>
      </c>
      <c r="BA781" s="3">
        <v>14</v>
      </c>
      <c r="BB781" t="str">
        <v>P/Final</v>
      </c>
      <c r="BC781">
        <v>35</v>
      </c>
      <c r="BD781" s="10">
        <v>33.9</v>
      </c>
      <c r="BE781" s="10">
        <v>0</v>
      </c>
      <c r="BF781" s="10">
        <v>0</v>
      </c>
      <c r="BG781" s="13">
        <v>45509</v>
      </c>
    </row>
    <row r="782" spans="49:59" x14ac:dyDescent="0.3">
      <c r="AW782" s="1">
        <v>14.1</v>
      </c>
      <c r="AX782" s="1">
        <v>14.1</v>
      </c>
      <c r="AY782" t="str">
        <v>CP-R80_HI782-0_0.0_LOT0652_PWW31.1_QC-Copy(1).xlsx</v>
      </c>
      <c r="AZ782" t="str">
        <v>LOT0652</v>
      </c>
      <c r="BA782" s="3">
        <v>14</v>
      </c>
      <c r="BB782" t="str">
        <v>P/Final</v>
      </c>
      <c r="BC782">
        <v>35</v>
      </c>
      <c r="BD782" s="10">
        <v>32</v>
      </c>
      <c r="BE782" s="10">
        <v>0</v>
      </c>
      <c r="BF782" s="10">
        <v>0</v>
      </c>
      <c r="BG782" s="13">
        <v>45509</v>
      </c>
    </row>
    <row r="783" spans="49:59" x14ac:dyDescent="0.3">
      <c r="AW783" s="1">
        <v>14.1</v>
      </c>
      <c r="AX783" s="1">
        <v>14.1</v>
      </c>
      <c r="AY783" t="str">
        <v>CP-R80_HI782-0_0.0_LOT0652_PWW31.1_QC-Copy(1).xlsx</v>
      </c>
      <c r="AZ783" t="str">
        <v>LOT0652</v>
      </c>
      <c r="BA783" s="3">
        <v>14</v>
      </c>
      <c r="BB783" t="str">
        <v>P/Final</v>
      </c>
      <c r="BC783">
        <v>35</v>
      </c>
      <c r="BD783" s="10">
        <v>36.700000000000003</v>
      </c>
      <c r="BE783" s="10">
        <v>0</v>
      </c>
      <c r="BF783" s="10">
        <v>0</v>
      </c>
      <c r="BG783" s="13">
        <v>45509</v>
      </c>
    </row>
    <row r="784" spans="49:59" x14ac:dyDescent="0.3">
      <c r="AW784" s="1">
        <v>14.1</v>
      </c>
      <c r="AX784" s="1">
        <v>14.1</v>
      </c>
      <c r="AY784" t="str">
        <v>CP-R80_HI782-0_0.0_LOT0652_PWW31.1_QC-Copy(1).xlsx</v>
      </c>
      <c r="AZ784" t="str">
        <v>LOT0652</v>
      </c>
      <c r="BA784" s="3">
        <v>14</v>
      </c>
      <c r="BB784" t="str">
        <v>P/Final</v>
      </c>
      <c r="BC784">
        <v>60</v>
      </c>
      <c r="BD784" s="10">
        <v>55.1</v>
      </c>
      <c r="BE784" s="10">
        <v>0</v>
      </c>
      <c r="BF784" s="10">
        <v>0</v>
      </c>
      <c r="BG784" s="13">
        <v>45509</v>
      </c>
    </row>
    <row r="785" spans="49:59" x14ac:dyDescent="0.3">
      <c r="AW785" s="1">
        <v>14.1</v>
      </c>
      <c r="AX785" s="1">
        <v>14.1</v>
      </c>
      <c r="AY785" t="str">
        <v>CP-R80_HI782-0_0.0_LOT0652_PWW31.1_QC-Copy(1).xlsx</v>
      </c>
      <c r="AZ785" t="str">
        <v>LOT0652</v>
      </c>
      <c r="BA785" s="3">
        <v>14</v>
      </c>
      <c r="BB785" t="str">
        <v>P/Final</v>
      </c>
      <c r="BC785">
        <v>60</v>
      </c>
      <c r="BD785" s="10">
        <v>54.1</v>
      </c>
      <c r="BE785" s="10">
        <v>0</v>
      </c>
      <c r="BF785" s="10">
        <v>0</v>
      </c>
      <c r="BG785" s="13">
        <v>45509</v>
      </c>
    </row>
    <row r="786" spans="49:59" x14ac:dyDescent="0.3">
      <c r="AW786" s="1">
        <v>14.1</v>
      </c>
      <c r="AX786" s="1">
        <v>14.1</v>
      </c>
      <c r="AY786" t="str">
        <v>CP-R80_HI782-0_0.0_LOT0652_PWW31.1_QC-Copy(1).xlsx</v>
      </c>
      <c r="AZ786" t="str">
        <v>LOT0652</v>
      </c>
      <c r="BA786" s="3">
        <v>14</v>
      </c>
      <c r="BB786" t="str">
        <v>P/Final</v>
      </c>
      <c r="BC786">
        <v>60</v>
      </c>
      <c r="BD786" s="10">
        <v>54.2</v>
      </c>
      <c r="BE786" s="10">
        <v>0</v>
      </c>
      <c r="BF786" s="10">
        <v>0</v>
      </c>
      <c r="BG786" s="13">
        <v>45509</v>
      </c>
    </row>
    <row r="787" spans="49:59" x14ac:dyDescent="0.3">
      <c r="AW787" s="1">
        <v>14.1</v>
      </c>
      <c r="AX787" s="1">
        <v>14.1</v>
      </c>
      <c r="AY787" t="str">
        <v>CP-R80_HI782-0_0.0_LOT0652_PWW31.1_QC-Copy(1).xlsx</v>
      </c>
      <c r="AZ787" t="str">
        <v>LOT0652</v>
      </c>
      <c r="BA787" s="3">
        <v>14</v>
      </c>
      <c r="BB787" t="str">
        <v>P/Final</v>
      </c>
      <c r="BC787">
        <v>60</v>
      </c>
      <c r="BD787" s="10">
        <v>59.9</v>
      </c>
      <c r="BE787" s="10">
        <v>0</v>
      </c>
      <c r="BF787" s="10">
        <v>0</v>
      </c>
      <c r="BG787" s="13">
        <v>45509</v>
      </c>
    </row>
    <row r="788" spans="49:59" x14ac:dyDescent="0.3">
      <c r="AW788" s="1">
        <v>14.1</v>
      </c>
      <c r="AX788" s="1">
        <v>14.1</v>
      </c>
      <c r="AY788" t="str">
        <v>CP-R80_HI782-0_0.0_LOT0652_PWW31.1_QC-Copy(1).xlsx</v>
      </c>
      <c r="AZ788" t="str">
        <v>LOT0652</v>
      </c>
      <c r="BA788" s="3">
        <v>14</v>
      </c>
      <c r="BB788" t="str">
        <v>P/Final</v>
      </c>
      <c r="BC788">
        <v>60</v>
      </c>
      <c r="BD788" s="10">
        <v>58.6</v>
      </c>
      <c r="BE788" s="10">
        <v>0</v>
      </c>
      <c r="BF788" s="10">
        <v>0</v>
      </c>
      <c r="BG788" s="13">
        <v>45509</v>
      </c>
    </row>
    <row r="789" spans="49:59" x14ac:dyDescent="0.3">
      <c r="AW789" s="1">
        <v>14.1</v>
      </c>
      <c r="AX789" s="1">
        <v>14.1</v>
      </c>
      <c r="AY789" t="str">
        <v>CP-R80_HI782-0_0.0_LOT0652_PWW31.1_QC-Copy(1).xlsx</v>
      </c>
      <c r="AZ789" t="str">
        <v>LOT0652</v>
      </c>
      <c r="BA789" s="3">
        <v>14</v>
      </c>
      <c r="BB789" t="str">
        <v>P/Final</v>
      </c>
      <c r="BC789">
        <v>60</v>
      </c>
      <c r="BD789" s="10">
        <v>59.4</v>
      </c>
      <c r="BE789" s="10">
        <v>0</v>
      </c>
      <c r="BF789" s="10">
        <v>0</v>
      </c>
      <c r="BG789" s="13">
        <v>45509</v>
      </c>
    </row>
    <row r="790" spans="49:59" x14ac:dyDescent="0.3">
      <c r="AW790" s="1">
        <v>14.1</v>
      </c>
      <c r="AX790" s="1">
        <v>14.1</v>
      </c>
      <c r="AY790" t="str">
        <v>CP-R80_HI782-0_0.0_LOT0652_PWW31.1_QC-Copy(1).xlsx</v>
      </c>
      <c r="AZ790" t="str">
        <v>LOT0652</v>
      </c>
      <c r="BA790" s="3">
        <v>14</v>
      </c>
      <c r="BB790" t="str">
        <v>P/Final</v>
      </c>
      <c r="BC790">
        <v>60</v>
      </c>
      <c r="BD790" s="10">
        <v>62</v>
      </c>
      <c r="BE790" s="10">
        <v>0</v>
      </c>
      <c r="BF790" s="10">
        <v>0</v>
      </c>
      <c r="BG790" s="13">
        <v>45509</v>
      </c>
    </row>
    <row r="791" spans="49:59" x14ac:dyDescent="0.3">
      <c r="AW791" s="1">
        <v>14.1</v>
      </c>
      <c r="AX791" s="1">
        <v>14.1</v>
      </c>
      <c r="AY791" t="str">
        <v>CP-R80_HI782-0_0.0_LOT0652_PWW31.1_QC-Copy(1).xlsx</v>
      </c>
      <c r="AZ791" t="str">
        <v>LOT0652</v>
      </c>
      <c r="BA791" s="3">
        <v>14</v>
      </c>
      <c r="BB791" t="str">
        <v>P/Final</v>
      </c>
      <c r="BC791">
        <v>60</v>
      </c>
      <c r="BD791" s="10">
        <v>61.1</v>
      </c>
      <c r="BE791" s="10">
        <v>0</v>
      </c>
      <c r="BF791" s="10">
        <v>0</v>
      </c>
      <c r="BG791" s="13">
        <v>45509</v>
      </c>
    </row>
    <row r="792" spans="49:59" x14ac:dyDescent="0.3">
      <c r="AW792" s="1">
        <v>14.1</v>
      </c>
      <c r="AX792" s="1">
        <v>14.1</v>
      </c>
      <c r="AY792" t="str">
        <v>CP-R80_HI782-0_0.0_LOT0652_PWW31.1_QC-Copy(1).xlsx</v>
      </c>
      <c r="AZ792" t="str">
        <v>LOT0652</v>
      </c>
      <c r="BA792" s="3">
        <v>14</v>
      </c>
      <c r="BB792" t="str">
        <v>P/Final</v>
      </c>
      <c r="BC792">
        <v>60</v>
      </c>
      <c r="BD792" s="10">
        <v>60.2</v>
      </c>
      <c r="BE792" s="10">
        <v>0</v>
      </c>
      <c r="BF792" s="10">
        <v>0</v>
      </c>
      <c r="BG792" s="13">
        <v>45509</v>
      </c>
    </row>
    <row r="793" spans="49:59" x14ac:dyDescent="0.3">
      <c r="AW793" s="1">
        <v>14.1</v>
      </c>
      <c r="AX793" s="1">
        <v>14.1</v>
      </c>
      <c r="AY793" t="str">
        <v>CP-R80_HI782-0_0.0_LOT0652_PWW31.1_QC-Copy(1).xlsx</v>
      </c>
      <c r="AZ793" t="str">
        <v>LOT0652</v>
      </c>
      <c r="BA793" s="3">
        <v>14</v>
      </c>
      <c r="BB793" t="str">
        <v>P/Final</v>
      </c>
      <c r="BC793">
        <v>60</v>
      </c>
      <c r="BD793" s="10">
        <v>59</v>
      </c>
      <c r="BE793" s="10">
        <v>0</v>
      </c>
      <c r="BF793" s="10">
        <v>0</v>
      </c>
      <c r="BG793" s="13">
        <v>45509</v>
      </c>
    </row>
    <row r="794" spans="49:59" x14ac:dyDescent="0.3">
      <c r="AW794" s="1">
        <v>14.1</v>
      </c>
      <c r="AX794" s="1">
        <v>14.1</v>
      </c>
      <c r="AY794" t="str">
        <v>CP-R80_HI782-0_0.0_LOT0652_PWW31.1_QC-Copy(1).xlsx</v>
      </c>
      <c r="AZ794" t="str">
        <v>LOT0652</v>
      </c>
      <c r="BA794" s="3">
        <v>14</v>
      </c>
      <c r="BB794" t="str">
        <v>P/Final</v>
      </c>
      <c r="BC794">
        <v>60</v>
      </c>
      <c r="BD794" s="10">
        <v>58.1</v>
      </c>
      <c r="BE794" s="10">
        <v>0</v>
      </c>
      <c r="BF794" s="10">
        <v>0</v>
      </c>
      <c r="BG794" s="13">
        <v>45509</v>
      </c>
    </row>
    <row r="795" spans="49:59" x14ac:dyDescent="0.3">
      <c r="AW795" s="1">
        <v>14.1</v>
      </c>
      <c r="AX795" s="1">
        <v>14.1</v>
      </c>
      <c r="AY795" t="str">
        <v>CP-R80_HI782-0_0.0_LOT0652_PWW31.1_QC-Copy(1).xlsx</v>
      </c>
      <c r="AZ795" t="str">
        <v>LOT0652</v>
      </c>
      <c r="BA795" s="3">
        <v>14</v>
      </c>
      <c r="BB795" t="str">
        <v>P/Final</v>
      </c>
      <c r="BC795">
        <v>60</v>
      </c>
      <c r="BD795" s="10">
        <v>54.6</v>
      </c>
      <c r="BE795" s="10">
        <v>0</v>
      </c>
      <c r="BF795" s="10">
        <v>0</v>
      </c>
      <c r="BG795" s="13">
        <v>45509</v>
      </c>
    </row>
    <row r="796" spans="49:59" x14ac:dyDescent="0.3">
      <c r="AW796" s="1">
        <v>14.1</v>
      </c>
      <c r="AX796" s="1">
        <v>14.1</v>
      </c>
      <c r="AY796" t="str">
        <v>CP-R80_HI782-0_0.0_LOT0652_PWW31.1_QC-Copy(1).xlsx</v>
      </c>
      <c r="AZ796" t="str">
        <v>LOT0652</v>
      </c>
      <c r="BA796" s="3">
        <v>14</v>
      </c>
      <c r="BB796" t="str">
        <v>P/Final</v>
      </c>
      <c r="BC796">
        <v>60</v>
      </c>
      <c r="BD796" s="10">
        <v>58.9</v>
      </c>
      <c r="BE796" s="10">
        <v>0</v>
      </c>
      <c r="BF796" s="10">
        <v>0</v>
      </c>
      <c r="BG796" s="13">
        <v>45509</v>
      </c>
    </row>
    <row r="797" spans="49:59" x14ac:dyDescent="0.3">
      <c r="AW797" s="1">
        <v>14.1</v>
      </c>
      <c r="AX797" s="1">
        <v>14.1</v>
      </c>
      <c r="AY797" t="str">
        <v>CP-R80_HI782-0_0.0_LOT0652_PWW31.1_QC-Copy(1).xlsx</v>
      </c>
      <c r="AZ797" t="str">
        <v>LOT0652</v>
      </c>
      <c r="BA797" s="3">
        <v>14</v>
      </c>
      <c r="BB797" t="str">
        <v>P/Final</v>
      </c>
      <c r="BC797">
        <v>60</v>
      </c>
      <c r="BD797" s="10">
        <v>59.2</v>
      </c>
      <c r="BE797" s="10">
        <v>0</v>
      </c>
      <c r="BF797" s="10">
        <v>0</v>
      </c>
      <c r="BG797" s="13">
        <v>45509</v>
      </c>
    </row>
    <row r="798" spans="49:59" x14ac:dyDescent="0.3">
      <c r="AW798" s="1">
        <v>14.1</v>
      </c>
      <c r="AX798" s="1">
        <v>14.1</v>
      </c>
      <c r="AY798" t="str">
        <v>CP-R80_HI782-0_0.0_LOT0652_PWW31.1_QC-Copy(1).xlsx</v>
      </c>
      <c r="AZ798" t="str">
        <v>LOT0652</v>
      </c>
      <c r="BA798" s="3">
        <v>14</v>
      </c>
      <c r="BB798" t="str">
        <v>P/Final</v>
      </c>
      <c r="BC798">
        <v>60</v>
      </c>
      <c r="BD798" s="10">
        <v>55.6</v>
      </c>
      <c r="BE798" s="10">
        <v>0</v>
      </c>
      <c r="BF798" s="10">
        <v>0</v>
      </c>
      <c r="BG798" s="13">
        <v>45509</v>
      </c>
    </row>
    <row r="799" spans="49:59" x14ac:dyDescent="0.3">
      <c r="AW799" s="1">
        <v>14.1</v>
      </c>
      <c r="AX799" s="1">
        <v>14.1</v>
      </c>
      <c r="AY799" t="str">
        <v>CP-R80_HI782-0_0.0_LOT0652_PWW31.1_QC-Copy(1).xlsx</v>
      </c>
      <c r="AZ799" t="str">
        <v>LOT0652</v>
      </c>
      <c r="BA799" s="3">
        <v>14</v>
      </c>
      <c r="BB799" t="str">
        <v>P/Final</v>
      </c>
      <c r="BC799">
        <v>15</v>
      </c>
      <c r="BD799" s="10">
        <v>14.3</v>
      </c>
      <c r="BE799" s="10">
        <v>0</v>
      </c>
      <c r="BF799" s="10">
        <v>0</v>
      </c>
      <c r="BG799" s="13">
        <v>45510</v>
      </c>
    </row>
    <row r="800" spans="49:59" x14ac:dyDescent="0.3">
      <c r="AW800" s="1">
        <v>14.1</v>
      </c>
      <c r="AX800" s="1">
        <v>14.1</v>
      </c>
      <c r="AY800" t="str">
        <v>CP-R80_HI782-0_0.0_LOT0652_PWW31.1_QC-Copy(1).xlsx</v>
      </c>
      <c r="AZ800" t="str">
        <v>LOT0652</v>
      </c>
      <c r="BA800" s="3">
        <v>14</v>
      </c>
      <c r="BB800" t="str">
        <v>P/Final</v>
      </c>
      <c r="BC800">
        <v>15</v>
      </c>
      <c r="BD800" s="10">
        <v>13.6</v>
      </c>
      <c r="BE800" s="10">
        <v>0</v>
      </c>
      <c r="BF800" s="10">
        <v>0</v>
      </c>
      <c r="BG800" s="13">
        <v>45510</v>
      </c>
    </row>
    <row r="801" spans="49:59" x14ac:dyDescent="0.3">
      <c r="AW801" s="1">
        <v>14.1</v>
      </c>
      <c r="AX801" s="1">
        <v>14.1</v>
      </c>
      <c r="AY801" t="str">
        <v>CP-R80_HI782-0_0.0_LOT0652_PWW31.1_QC-Copy(1).xlsx</v>
      </c>
      <c r="AZ801" t="str">
        <v>LOT0652</v>
      </c>
      <c r="BA801" s="3">
        <v>14</v>
      </c>
      <c r="BB801" t="str">
        <v>P/Final</v>
      </c>
      <c r="BC801">
        <v>35</v>
      </c>
      <c r="BD801" s="10">
        <v>36.6</v>
      </c>
      <c r="BE801" s="10">
        <v>0</v>
      </c>
      <c r="BF801" s="10">
        <v>0</v>
      </c>
      <c r="BG801" s="13">
        <v>45510</v>
      </c>
    </row>
    <row r="802" spans="49:59" x14ac:dyDescent="0.3">
      <c r="AW802" s="1">
        <v>14.1</v>
      </c>
      <c r="AX802" s="1">
        <v>14.1</v>
      </c>
      <c r="AY802" t="str">
        <v>CP-R80_HI782-0_0.0_LOT0652_PWW31.1_QC-Copy(1).xlsx</v>
      </c>
      <c r="AZ802" t="str">
        <v>LOT0652</v>
      </c>
      <c r="BA802" s="3">
        <v>14</v>
      </c>
      <c r="BB802" t="str">
        <v>P/Final</v>
      </c>
      <c r="BC802">
        <v>35</v>
      </c>
      <c r="BD802" s="10">
        <v>32.5</v>
      </c>
      <c r="BE802" s="10">
        <v>0</v>
      </c>
      <c r="BF802" s="10">
        <v>0</v>
      </c>
      <c r="BG802" s="13">
        <v>45510</v>
      </c>
    </row>
    <row r="803" spans="49:59" x14ac:dyDescent="0.3">
      <c r="AW803" s="1">
        <v>14.1</v>
      </c>
      <c r="AX803" s="1">
        <v>14.1</v>
      </c>
      <c r="AY803" t="str">
        <v>CP-R80_HI782-0_0.0_LOT0652_PWW31.1_QC-Copy(1).xlsx</v>
      </c>
      <c r="AZ803" t="str">
        <v>LOT0652</v>
      </c>
      <c r="BA803" s="3">
        <v>14</v>
      </c>
      <c r="BB803" t="str">
        <v>P/Final</v>
      </c>
      <c r="BC803">
        <v>60</v>
      </c>
      <c r="BD803" s="10">
        <v>55.5</v>
      </c>
      <c r="BE803" s="10">
        <v>0</v>
      </c>
      <c r="BF803" s="10">
        <v>0</v>
      </c>
      <c r="BG803" s="13">
        <v>45510</v>
      </c>
    </row>
    <row r="804" spans="49:59" x14ac:dyDescent="0.3">
      <c r="AW804" s="1">
        <v>14.1</v>
      </c>
      <c r="AX804" s="1">
        <v>14.1</v>
      </c>
      <c r="AY804" t="str">
        <v>CP-R80_HI782-0_0.0_LOT0652_PWW31.1_QC-Copy(1).xlsx</v>
      </c>
      <c r="AZ804" t="str">
        <v>LOT0652</v>
      </c>
      <c r="BA804" s="3">
        <v>14</v>
      </c>
      <c r="BB804" t="str">
        <v>P/Final</v>
      </c>
      <c r="BC804">
        <v>60</v>
      </c>
      <c r="BD804" s="10">
        <v>55.1</v>
      </c>
      <c r="BE804" s="10">
        <v>0</v>
      </c>
      <c r="BF804" s="10">
        <v>0</v>
      </c>
      <c r="BG804" s="13">
        <v>45510</v>
      </c>
    </row>
    <row r="805" spans="49:59" x14ac:dyDescent="0.3">
      <c r="AW805" s="1">
        <v>15.1</v>
      </c>
      <c r="AX805" s="1">
        <v>15.1</v>
      </c>
      <c r="AY805" t="str">
        <v>CP-R80_HI782-0_0.0_LOT0654_PWW31.2_QC.xlsx</v>
      </c>
      <c r="AZ805" t="str">
        <v>LOT0654</v>
      </c>
      <c r="BA805" s="3">
        <v>15</v>
      </c>
      <c r="BB805" t="str">
        <v>P/Final</v>
      </c>
      <c r="BC805">
        <v>0</v>
      </c>
      <c r="BD805" s="10">
        <v>0</v>
      </c>
      <c r="BE805" s="10">
        <v>0</v>
      </c>
      <c r="BF805" s="10">
        <v>0</v>
      </c>
      <c r="BG805" s="13">
        <v>45511</v>
      </c>
    </row>
    <row r="806" spans="49:59" x14ac:dyDescent="0.3">
      <c r="AW806" s="1">
        <v>15.1</v>
      </c>
      <c r="AX806" s="1">
        <v>15.1</v>
      </c>
      <c r="AY806" t="str">
        <v>CP-R80_HI782-0_0.0_LOT0654_PWW31.2_QC.xlsx</v>
      </c>
      <c r="AZ806" t="str">
        <v>LOT0654</v>
      </c>
      <c r="BA806" s="3">
        <v>15</v>
      </c>
      <c r="BB806" t="str">
        <v>P/Final</v>
      </c>
      <c r="BC806">
        <v>0</v>
      </c>
      <c r="BD806" s="10">
        <v>0</v>
      </c>
      <c r="BE806" s="10">
        <v>0</v>
      </c>
      <c r="BF806" s="10">
        <v>0</v>
      </c>
      <c r="BG806" s="13">
        <v>45511</v>
      </c>
    </row>
    <row r="807" spans="49:59" x14ac:dyDescent="0.3">
      <c r="AW807" s="1">
        <v>15.1</v>
      </c>
      <c r="AX807" s="1">
        <v>15.1</v>
      </c>
      <c r="AY807" t="str">
        <v>CP-R80_HI782-0_0.0_LOT0654_PWW31.2_QC.xlsx</v>
      </c>
      <c r="AZ807" t="str">
        <v>LOT0654</v>
      </c>
      <c r="BA807" s="3">
        <v>15</v>
      </c>
      <c r="BB807" t="str">
        <v>P/Final</v>
      </c>
      <c r="BC807">
        <v>15</v>
      </c>
      <c r="BD807" s="10">
        <v>14.2</v>
      </c>
      <c r="BE807" s="10">
        <v>0</v>
      </c>
      <c r="BF807" s="10">
        <v>0</v>
      </c>
      <c r="BG807" s="13">
        <v>45511</v>
      </c>
    </row>
    <row r="808" spans="49:59" x14ac:dyDescent="0.3">
      <c r="AW808" s="1">
        <v>15.1</v>
      </c>
      <c r="AX808" s="1">
        <v>15.1</v>
      </c>
      <c r="AY808" t="str">
        <v>CP-R80_HI782-0_0.0_LOT0654_PWW31.2_QC.xlsx</v>
      </c>
      <c r="AZ808" t="str">
        <v>LOT0654</v>
      </c>
      <c r="BA808" s="3">
        <v>15</v>
      </c>
      <c r="BB808" t="str">
        <v>P/Final</v>
      </c>
      <c r="BC808">
        <v>15</v>
      </c>
      <c r="BD808" s="10">
        <v>14.9</v>
      </c>
      <c r="BE808" s="10">
        <v>0</v>
      </c>
      <c r="BF808" s="10">
        <v>0</v>
      </c>
      <c r="BG808" s="13">
        <v>45511</v>
      </c>
    </row>
    <row r="809" spans="49:59" x14ac:dyDescent="0.3">
      <c r="AW809" s="1">
        <v>15.1</v>
      </c>
      <c r="AX809" s="1">
        <v>15.1</v>
      </c>
      <c r="AY809" t="str">
        <v>CP-R80_HI782-0_0.0_LOT0654_PWW31.2_QC.xlsx</v>
      </c>
      <c r="AZ809" t="str">
        <v>LOT0654</v>
      </c>
      <c r="BA809" s="3">
        <v>15</v>
      </c>
      <c r="BB809" t="str">
        <v>P/Final</v>
      </c>
      <c r="BC809">
        <v>15</v>
      </c>
      <c r="BD809" s="10">
        <v>13.1</v>
      </c>
      <c r="BE809" s="10">
        <v>0</v>
      </c>
      <c r="BF809" s="10">
        <v>0</v>
      </c>
      <c r="BG809" s="13">
        <v>45511</v>
      </c>
    </row>
    <row r="810" spans="49:59" x14ac:dyDescent="0.3">
      <c r="AW810" s="1">
        <v>15.1</v>
      </c>
      <c r="AX810" s="1">
        <v>15.1</v>
      </c>
      <c r="AY810" t="str">
        <v>CP-R80_HI782-0_0.0_LOT0654_PWW31.2_QC.xlsx</v>
      </c>
      <c r="AZ810" t="str">
        <v>LOT0654</v>
      </c>
      <c r="BA810" s="3">
        <v>15</v>
      </c>
      <c r="BB810" t="str">
        <v>P/Final</v>
      </c>
      <c r="BC810">
        <v>15</v>
      </c>
      <c r="BD810" s="10">
        <v>13.8</v>
      </c>
      <c r="BE810" s="10">
        <v>0</v>
      </c>
      <c r="BF810" s="10">
        <v>0</v>
      </c>
      <c r="BG810" s="13">
        <v>45511</v>
      </c>
    </row>
    <row r="811" spans="49:59" x14ac:dyDescent="0.3">
      <c r="AW811" s="1">
        <v>15.1</v>
      </c>
      <c r="AX811" s="1">
        <v>15.1</v>
      </c>
      <c r="AY811" t="str">
        <v>CP-R80_HI782-0_0.0_LOT0654_PWW31.2_QC.xlsx</v>
      </c>
      <c r="AZ811" t="str">
        <v>LOT0654</v>
      </c>
      <c r="BA811" s="3">
        <v>15</v>
      </c>
      <c r="BB811" t="str">
        <v>P/Final</v>
      </c>
      <c r="BC811">
        <v>15</v>
      </c>
      <c r="BD811" s="10">
        <v>13.2</v>
      </c>
      <c r="BE811" s="10">
        <v>0</v>
      </c>
      <c r="BF811" s="10">
        <v>0</v>
      </c>
      <c r="BG811" s="13">
        <v>45511</v>
      </c>
    </row>
    <row r="812" spans="49:59" x14ac:dyDescent="0.3">
      <c r="AW812" s="1">
        <v>15.1</v>
      </c>
      <c r="AX812" s="1">
        <v>15.1</v>
      </c>
      <c r="AY812" t="str">
        <v>CP-R80_HI782-0_0.0_LOT0654_PWW31.2_QC.xlsx</v>
      </c>
      <c r="AZ812" t="str">
        <v>LOT0654</v>
      </c>
      <c r="BA812" s="3">
        <v>15</v>
      </c>
      <c r="BB812" t="str">
        <v>P/Final</v>
      </c>
      <c r="BC812">
        <v>15</v>
      </c>
      <c r="BD812" s="10">
        <v>14.1</v>
      </c>
      <c r="BE812" s="10">
        <v>0</v>
      </c>
      <c r="BF812" s="10">
        <v>0</v>
      </c>
      <c r="BG812" s="13">
        <v>45511</v>
      </c>
    </row>
    <row r="813" spans="49:59" x14ac:dyDescent="0.3">
      <c r="AW813" s="1">
        <v>15.1</v>
      </c>
      <c r="AX813" s="1">
        <v>15.1</v>
      </c>
      <c r="AY813" t="str">
        <v>CP-R80_HI782-0_0.0_LOT0654_PWW31.2_QC.xlsx</v>
      </c>
      <c r="AZ813" t="str">
        <v>LOT0654</v>
      </c>
      <c r="BA813" s="3">
        <v>15</v>
      </c>
      <c r="BB813" t="str">
        <v>P/Final</v>
      </c>
      <c r="BC813">
        <v>15</v>
      </c>
      <c r="BD813" s="10">
        <v>12.5</v>
      </c>
      <c r="BE813" s="10">
        <v>0</v>
      </c>
      <c r="BF813" s="10">
        <v>0</v>
      </c>
      <c r="BG813" s="13">
        <v>45511</v>
      </c>
    </row>
    <row r="814" spans="49:59" x14ac:dyDescent="0.3">
      <c r="AW814" s="1">
        <v>15.1</v>
      </c>
      <c r="AX814" s="1">
        <v>15.1</v>
      </c>
      <c r="AY814" t="str">
        <v>CP-R80_HI782-0_0.0_LOT0654_PWW31.2_QC.xlsx</v>
      </c>
      <c r="AZ814" t="str">
        <v>LOT0654</v>
      </c>
      <c r="BA814" s="3">
        <v>15</v>
      </c>
      <c r="BB814" t="str">
        <v>P/Final</v>
      </c>
      <c r="BC814">
        <v>15</v>
      </c>
      <c r="BD814" s="10">
        <v>14.5</v>
      </c>
      <c r="BE814" s="10">
        <v>0</v>
      </c>
      <c r="BF814" s="10">
        <v>0</v>
      </c>
      <c r="BG814" s="13">
        <v>45511</v>
      </c>
    </row>
    <row r="815" spans="49:59" x14ac:dyDescent="0.3">
      <c r="AW815" s="1">
        <v>15.1</v>
      </c>
      <c r="AX815" s="1">
        <v>15.1</v>
      </c>
      <c r="AY815" t="str">
        <v>CP-R80_HI782-0_0.0_LOT0654_PWW31.2_QC.xlsx</v>
      </c>
      <c r="AZ815" t="str">
        <v>LOT0654</v>
      </c>
      <c r="BA815" s="3">
        <v>15</v>
      </c>
      <c r="BB815" t="str">
        <v>P/Final</v>
      </c>
      <c r="BC815">
        <v>15</v>
      </c>
      <c r="BD815" s="10">
        <v>15</v>
      </c>
      <c r="BE815" s="10">
        <v>0</v>
      </c>
      <c r="BF815" s="10">
        <v>0</v>
      </c>
      <c r="BG815" s="13">
        <v>45511</v>
      </c>
    </row>
    <row r="816" spans="49:59" x14ac:dyDescent="0.3">
      <c r="AW816" s="1">
        <v>15.1</v>
      </c>
      <c r="AX816" s="1">
        <v>15.1</v>
      </c>
      <c r="AY816" t="str">
        <v>CP-R80_HI782-0_0.0_LOT0654_PWW31.2_QC.xlsx</v>
      </c>
      <c r="AZ816" t="str">
        <v>LOT0654</v>
      </c>
      <c r="BA816" s="3">
        <v>15</v>
      </c>
      <c r="BB816" t="str">
        <v>P/Final</v>
      </c>
      <c r="BC816">
        <v>15</v>
      </c>
      <c r="BD816" s="10">
        <v>14.4</v>
      </c>
      <c r="BE816" s="10">
        <v>0</v>
      </c>
      <c r="BF816" s="10">
        <v>0</v>
      </c>
      <c r="BG816" s="13">
        <v>45511</v>
      </c>
    </row>
    <row r="817" spans="49:59" x14ac:dyDescent="0.3">
      <c r="AW817" s="1">
        <v>15.1</v>
      </c>
      <c r="AX817" s="1">
        <v>15.1</v>
      </c>
      <c r="AY817" t="str">
        <v>CP-R80_HI782-0_0.0_LOT0654_PWW31.2_QC.xlsx</v>
      </c>
      <c r="AZ817" t="str">
        <v>LOT0654</v>
      </c>
      <c r="BA817" s="3">
        <v>15</v>
      </c>
      <c r="BB817" t="str">
        <v>P/Final</v>
      </c>
      <c r="BC817">
        <v>15</v>
      </c>
      <c r="BD817" s="10">
        <v>15.2</v>
      </c>
      <c r="BE817" s="10">
        <v>0</v>
      </c>
      <c r="BF817" s="10">
        <v>0</v>
      </c>
      <c r="BG817" s="13">
        <v>45511</v>
      </c>
    </row>
    <row r="818" spans="49:59" x14ac:dyDescent="0.3">
      <c r="AW818" s="1">
        <v>15.1</v>
      </c>
      <c r="AX818" s="1">
        <v>15.1</v>
      </c>
      <c r="AY818" t="str">
        <v>CP-R80_HI782-0_0.0_LOT0654_PWW31.2_QC.xlsx</v>
      </c>
      <c r="AZ818" t="str">
        <v>LOT0654</v>
      </c>
      <c r="BA818" s="3">
        <v>15</v>
      </c>
      <c r="BB818" t="str">
        <v>P/Final</v>
      </c>
      <c r="BC818">
        <v>15</v>
      </c>
      <c r="BD818" s="10">
        <v>13.3</v>
      </c>
      <c r="BE818" s="10">
        <v>0</v>
      </c>
      <c r="BF818" s="10">
        <v>0</v>
      </c>
      <c r="BG818" s="13">
        <v>45511</v>
      </c>
    </row>
    <row r="819" spans="49:59" x14ac:dyDescent="0.3">
      <c r="AW819" s="1">
        <v>15.1</v>
      </c>
      <c r="AX819" s="1">
        <v>15.1</v>
      </c>
      <c r="AY819" t="str">
        <v>CP-R80_HI782-0_0.0_LOT0654_PWW31.2_QC.xlsx</v>
      </c>
      <c r="AZ819" t="str">
        <v>LOT0654</v>
      </c>
      <c r="BA819" s="3">
        <v>15</v>
      </c>
      <c r="BB819" t="str">
        <v>P/Final</v>
      </c>
      <c r="BC819">
        <v>15</v>
      </c>
      <c r="BD819" s="10">
        <v>13.8</v>
      </c>
      <c r="BE819" s="10">
        <v>0</v>
      </c>
      <c r="BF819" s="10">
        <v>0</v>
      </c>
      <c r="BG819" s="13">
        <v>45511</v>
      </c>
    </row>
    <row r="820" spans="49:59" x14ac:dyDescent="0.3">
      <c r="AW820" s="1">
        <v>15.1</v>
      </c>
      <c r="AX820" s="1">
        <v>15.1</v>
      </c>
      <c r="AY820" t="str">
        <v>CP-R80_HI782-0_0.0_LOT0654_PWW31.2_QC.xlsx</v>
      </c>
      <c r="AZ820" t="str">
        <v>LOT0654</v>
      </c>
      <c r="BA820" s="3">
        <v>15</v>
      </c>
      <c r="BB820" t="str">
        <v>P/Final</v>
      </c>
      <c r="BC820">
        <v>15</v>
      </c>
      <c r="BD820" s="10">
        <v>12.3</v>
      </c>
      <c r="BE820" s="10">
        <v>0</v>
      </c>
      <c r="BF820" s="10">
        <v>0</v>
      </c>
      <c r="BG820" s="13">
        <v>45511</v>
      </c>
    </row>
    <row r="821" spans="49:59" x14ac:dyDescent="0.3">
      <c r="AW821" s="1">
        <v>15.1</v>
      </c>
      <c r="AX821" s="1">
        <v>15.1</v>
      </c>
      <c r="AY821" t="str">
        <v>CP-R80_HI782-0_0.0_LOT0654_PWW31.2_QC.xlsx</v>
      </c>
      <c r="AZ821" t="str">
        <v>LOT0654</v>
      </c>
      <c r="BA821" s="3">
        <v>15</v>
      </c>
      <c r="BB821" t="str">
        <v>P/Final</v>
      </c>
      <c r="BC821">
        <v>35</v>
      </c>
      <c r="BD821" s="10">
        <v>33.4</v>
      </c>
      <c r="BE821" s="10">
        <v>0</v>
      </c>
      <c r="BF821" s="10">
        <v>0</v>
      </c>
      <c r="BG821" s="13">
        <v>45511</v>
      </c>
    </row>
    <row r="822" spans="49:59" x14ac:dyDescent="0.3">
      <c r="AW822" s="1">
        <v>15.1</v>
      </c>
      <c r="AX822" s="1">
        <v>15.1</v>
      </c>
      <c r="AY822" t="str">
        <v>CP-R80_HI782-0_0.0_LOT0654_PWW31.2_QC.xlsx</v>
      </c>
      <c r="AZ822" t="str">
        <v>LOT0654</v>
      </c>
      <c r="BA822" s="3">
        <v>15</v>
      </c>
      <c r="BB822" t="str">
        <v>P/Final</v>
      </c>
      <c r="BC822">
        <v>35</v>
      </c>
      <c r="BD822" s="10">
        <v>36.1</v>
      </c>
      <c r="BE822" s="10">
        <v>0</v>
      </c>
      <c r="BF822" s="10">
        <v>0</v>
      </c>
      <c r="BG822" s="13">
        <v>45511</v>
      </c>
    </row>
    <row r="823" spans="49:59" x14ac:dyDescent="0.3">
      <c r="AW823" s="1">
        <v>15.1</v>
      </c>
      <c r="AX823" s="1">
        <v>15.1</v>
      </c>
      <c r="AY823" t="str">
        <v>CP-R80_HI782-0_0.0_LOT0654_PWW31.2_QC.xlsx</v>
      </c>
      <c r="AZ823" t="str">
        <v>LOT0654</v>
      </c>
      <c r="BA823" s="3">
        <v>15</v>
      </c>
      <c r="BB823" t="str">
        <v>P/Final</v>
      </c>
      <c r="BC823">
        <v>35</v>
      </c>
      <c r="BD823" s="10">
        <v>33.700000000000003</v>
      </c>
      <c r="BE823" s="10">
        <v>0</v>
      </c>
      <c r="BF823" s="10">
        <v>0</v>
      </c>
      <c r="BG823" s="13">
        <v>45511</v>
      </c>
    </row>
    <row r="824" spans="49:59" x14ac:dyDescent="0.3">
      <c r="AW824" s="1">
        <v>15.1</v>
      </c>
      <c r="AX824" s="1">
        <v>15.1</v>
      </c>
      <c r="AY824" t="str">
        <v>CP-R80_HI782-0_0.0_LOT0654_PWW31.2_QC.xlsx</v>
      </c>
      <c r="AZ824" t="str">
        <v>LOT0654</v>
      </c>
      <c r="BA824" s="3">
        <v>15</v>
      </c>
      <c r="BB824" t="str">
        <v>P/Final</v>
      </c>
      <c r="BC824">
        <v>35</v>
      </c>
      <c r="BD824" s="10">
        <v>32</v>
      </c>
      <c r="BE824" s="10">
        <v>0</v>
      </c>
      <c r="BF824" s="10">
        <v>0</v>
      </c>
      <c r="BG824" s="13">
        <v>45511</v>
      </c>
    </row>
    <row r="825" spans="49:59" x14ac:dyDescent="0.3">
      <c r="AW825" s="1">
        <v>15.1</v>
      </c>
      <c r="AX825" s="1">
        <v>15.1</v>
      </c>
      <c r="AY825" t="str">
        <v>CP-R80_HI782-0_0.0_LOT0654_PWW31.2_QC.xlsx</v>
      </c>
      <c r="AZ825" t="str">
        <v>LOT0654</v>
      </c>
      <c r="BA825" s="3">
        <v>15</v>
      </c>
      <c r="BB825" t="str">
        <v>P/Final</v>
      </c>
      <c r="BC825">
        <v>35</v>
      </c>
      <c r="BD825" s="10">
        <v>31.5</v>
      </c>
      <c r="BE825" s="10">
        <v>0</v>
      </c>
      <c r="BF825" s="10">
        <v>0</v>
      </c>
      <c r="BG825" s="13">
        <v>45511</v>
      </c>
    </row>
    <row r="826" spans="49:59" x14ac:dyDescent="0.3">
      <c r="AW826" s="1">
        <v>15.1</v>
      </c>
      <c r="AX826" s="1">
        <v>15.1</v>
      </c>
      <c r="AY826" t="str">
        <v>CP-R80_HI782-0_0.0_LOT0654_PWW31.2_QC.xlsx</v>
      </c>
      <c r="AZ826" t="str">
        <v>LOT0654</v>
      </c>
      <c r="BA826" s="3">
        <v>15</v>
      </c>
      <c r="BB826" t="str">
        <v>P/Final</v>
      </c>
      <c r="BC826">
        <v>35</v>
      </c>
      <c r="BD826" s="10">
        <v>35.4</v>
      </c>
      <c r="BE826" s="10">
        <v>0</v>
      </c>
      <c r="BF826" s="10">
        <v>0</v>
      </c>
      <c r="BG826" s="13">
        <v>45511</v>
      </c>
    </row>
    <row r="827" spans="49:59" x14ac:dyDescent="0.3">
      <c r="AW827" s="1">
        <v>15.1</v>
      </c>
      <c r="AX827" s="1">
        <v>15.1</v>
      </c>
      <c r="AY827" t="str">
        <v>CP-R80_HI782-0_0.0_LOT0654_PWW31.2_QC.xlsx</v>
      </c>
      <c r="AZ827" t="str">
        <v>LOT0654</v>
      </c>
      <c r="BA827" s="3">
        <v>15</v>
      </c>
      <c r="BB827" t="str">
        <v>P/Final</v>
      </c>
      <c r="BC827">
        <v>35</v>
      </c>
      <c r="BD827" s="10">
        <v>34.5</v>
      </c>
      <c r="BE827" s="10">
        <v>0</v>
      </c>
      <c r="BF827" s="10">
        <v>0</v>
      </c>
      <c r="BG827" s="13">
        <v>45511</v>
      </c>
    </row>
    <row r="828" spans="49:59" x14ac:dyDescent="0.3">
      <c r="AW828" s="1">
        <v>15.1</v>
      </c>
      <c r="AX828" s="1">
        <v>15.1</v>
      </c>
      <c r="AY828" t="str">
        <v>CP-R80_HI782-0_0.0_LOT0654_PWW31.2_QC.xlsx</v>
      </c>
      <c r="AZ828" t="str">
        <v>LOT0654</v>
      </c>
      <c r="BA828" s="3">
        <v>15</v>
      </c>
      <c r="BB828" t="str">
        <v>P/Final</v>
      </c>
      <c r="BC828">
        <v>35</v>
      </c>
      <c r="BD828" s="10">
        <v>32</v>
      </c>
      <c r="BE828" s="10">
        <v>0</v>
      </c>
      <c r="BF828" s="10">
        <v>0</v>
      </c>
      <c r="BG828" s="13">
        <v>45511</v>
      </c>
    </row>
    <row r="829" spans="49:59" x14ac:dyDescent="0.3">
      <c r="AW829" s="1">
        <v>15.1</v>
      </c>
      <c r="AX829" s="1">
        <v>15.1</v>
      </c>
      <c r="AY829" t="str">
        <v>CP-R80_HI782-0_0.0_LOT0654_PWW31.2_QC.xlsx</v>
      </c>
      <c r="AZ829" t="str">
        <v>LOT0654</v>
      </c>
      <c r="BA829" s="3">
        <v>15</v>
      </c>
      <c r="BB829" t="str">
        <v>P/Final</v>
      </c>
      <c r="BC829">
        <v>35</v>
      </c>
      <c r="BD829" s="10">
        <v>33.6</v>
      </c>
      <c r="BE829" s="10">
        <v>0</v>
      </c>
      <c r="BF829" s="10">
        <v>0</v>
      </c>
      <c r="BG829" s="13">
        <v>45511</v>
      </c>
    </row>
    <row r="830" spans="49:59" x14ac:dyDescent="0.3">
      <c r="AW830" s="1">
        <v>15.1</v>
      </c>
      <c r="AX830" s="1">
        <v>15.1</v>
      </c>
      <c r="AY830" t="str">
        <v>CP-R80_HI782-0_0.0_LOT0654_PWW31.2_QC.xlsx</v>
      </c>
      <c r="AZ830" t="str">
        <v>LOT0654</v>
      </c>
      <c r="BA830" s="3">
        <v>15</v>
      </c>
      <c r="BB830" t="str">
        <v>P/Final</v>
      </c>
      <c r="BC830">
        <v>35</v>
      </c>
      <c r="BD830" s="10">
        <v>35.799999999999997</v>
      </c>
      <c r="BE830" s="10">
        <v>0</v>
      </c>
      <c r="BF830" s="10">
        <v>0</v>
      </c>
      <c r="BG830" s="13">
        <v>45511</v>
      </c>
    </row>
    <row r="831" spans="49:59" x14ac:dyDescent="0.3">
      <c r="AW831" s="1">
        <v>15.1</v>
      </c>
      <c r="AX831" s="1">
        <v>15.1</v>
      </c>
      <c r="AY831" t="str">
        <v>CP-R80_HI782-0_0.0_LOT0654_PWW31.2_QC.xlsx</v>
      </c>
      <c r="AZ831" t="str">
        <v>LOT0654</v>
      </c>
      <c r="BA831" s="3">
        <v>15</v>
      </c>
      <c r="BB831" t="str">
        <v>P/Final</v>
      </c>
      <c r="BC831">
        <v>35</v>
      </c>
      <c r="BD831" s="10">
        <v>32</v>
      </c>
      <c r="BE831" s="10">
        <v>0</v>
      </c>
      <c r="BF831" s="10">
        <v>0</v>
      </c>
      <c r="BG831" s="13">
        <v>45511</v>
      </c>
    </row>
    <row r="832" spans="49:59" x14ac:dyDescent="0.3">
      <c r="AW832" s="1">
        <v>15.1</v>
      </c>
      <c r="AX832" s="1">
        <v>15.1</v>
      </c>
      <c r="AY832" t="str">
        <v>CP-R80_HI782-0_0.0_LOT0654_PWW31.2_QC.xlsx</v>
      </c>
      <c r="AZ832" t="str">
        <v>LOT0654</v>
      </c>
      <c r="BA832" s="3">
        <v>15</v>
      </c>
      <c r="BB832" t="str">
        <v>P/Final</v>
      </c>
      <c r="BC832">
        <v>35</v>
      </c>
      <c r="BD832" s="10">
        <v>33.4</v>
      </c>
      <c r="BE832" s="10">
        <v>0</v>
      </c>
      <c r="BF832" s="10">
        <v>0</v>
      </c>
      <c r="BG832" s="13">
        <v>45511</v>
      </c>
    </row>
    <row r="833" spans="49:59" x14ac:dyDescent="0.3">
      <c r="AW833" s="1">
        <v>15.1</v>
      </c>
      <c r="AX833" s="1">
        <v>15.1</v>
      </c>
      <c r="AY833" t="str">
        <v>CP-R80_HI782-0_0.0_LOT0654_PWW31.2_QC.xlsx</v>
      </c>
      <c r="AZ833" t="str">
        <v>LOT0654</v>
      </c>
      <c r="BA833" s="3">
        <v>15</v>
      </c>
      <c r="BB833" t="str">
        <v>P/Final</v>
      </c>
      <c r="BC833">
        <v>35</v>
      </c>
      <c r="BD833" s="10">
        <v>34.5</v>
      </c>
      <c r="BE833" s="10">
        <v>0</v>
      </c>
      <c r="BF833" s="10">
        <v>0</v>
      </c>
      <c r="BG833" s="13">
        <v>45511</v>
      </c>
    </row>
    <row r="834" spans="49:59" x14ac:dyDescent="0.3">
      <c r="AW834" s="1">
        <v>15.1</v>
      </c>
      <c r="AX834" s="1">
        <v>15.1</v>
      </c>
      <c r="AY834" t="str">
        <v>CP-R80_HI782-0_0.0_LOT0654_PWW31.2_QC.xlsx</v>
      </c>
      <c r="AZ834" t="str">
        <v>LOT0654</v>
      </c>
      <c r="BA834" s="3">
        <v>15</v>
      </c>
      <c r="BB834" t="str">
        <v>P/Final</v>
      </c>
      <c r="BC834">
        <v>35</v>
      </c>
      <c r="BD834" s="10">
        <v>32.700000000000003</v>
      </c>
      <c r="BE834" s="10">
        <v>0</v>
      </c>
      <c r="BF834" s="10">
        <v>0</v>
      </c>
      <c r="BG834" s="13">
        <v>45511</v>
      </c>
    </row>
    <row r="835" spans="49:59" x14ac:dyDescent="0.3">
      <c r="AW835" s="1">
        <v>15.1</v>
      </c>
      <c r="AX835" s="1">
        <v>15.1</v>
      </c>
      <c r="AY835" t="str">
        <v>CP-R80_HI782-0_0.0_LOT0654_PWW31.2_QC.xlsx</v>
      </c>
      <c r="AZ835" t="str">
        <v>LOT0654</v>
      </c>
      <c r="BA835" s="3">
        <v>15</v>
      </c>
      <c r="BB835" t="str">
        <v>P/Final</v>
      </c>
      <c r="BC835">
        <v>35</v>
      </c>
      <c r="BD835" s="10">
        <v>32.700000000000003</v>
      </c>
      <c r="BE835" s="10">
        <v>0</v>
      </c>
      <c r="BF835" s="10">
        <v>0</v>
      </c>
      <c r="BG835" s="13">
        <v>45511</v>
      </c>
    </row>
    <row r="836" spans="49:59" x14ac:dyDescent="0.3">
      <c r="AW836" s="1">
        <v>15.1</v>
      </c>
      <c r="AX836" s="1">
        <v>15.1</v>
      </c>
      <c r="AY836" t="str">
        <v>CP-R80_HI782-0_0.0_LOT0654_PWW31.2_QC.xlsx</v>
      </c>
      <c r="AZ836" t="str">
        <v>LOT0654</v>
      </c>
      <c r="BA836" s="3">
        <v>15</v>
      </c>
      <c r="BB836" t="str">
        <v>P/Final</v>
      </c>
      <c r="BC836">
        <v>60</v>
      </c>
      <c r="BD836" s="10">
        <v>56.5</v>
      </c>
      <c r="BE836" s="10">
        <v>0</v>
      </c>
      <c r="BF836" s="10">
        <v>0</v>
      </c>
      <c r="BG836" s="13">
        <v>45511</v>
      </c>
    </row>
    <row r="837" spans="49:59" x14ac:dyDescent="0.3">
      <c r="AW837" s="1">
        <v>15.1</v>
      </c>
      <c r="AX837" s="1">
        <v>15.1</v>
      </c>
      <c r="AY837" t="str">
        <v>CP-R80_HI782-0_0.0_LOT0654_PWW31.2_QC.xlsx</v>
      </c>
      <c r="AZ837" t="str">
        <v>LOT0654</v>
      </c>
      <c r="BA837" s="3">
        <v>15</v>
      </c>
      <c r="BB837" t="str">
        <v>P/Final</v>
      </c>
      <c r="BC837">
        <v>60</v>
      </c>
      <c r="BD837" s="10">
        <v>54.9</v>
      </c>
      <c r="BE837" s="10">
        <v>0</v>
      </c>
      <c r="BF837" s="10">
        <v>0</v>
      </c>
      <c r="BG837" s="13">
        <v>45511</v>
      </c>
    </row>
    <row r="838" spans="49:59" x14ac:dyDescent="0.3">
      <c r="AW838" s="1">
        <v>15.1</v>
      </c>
      <c r="AX838" s="1">
        <v>15.1</v>
      </c>
      <c r="AY838" t="str">
        <v>CP-R80_HI782-0_0.0_LOT0654_PWW31.2_QC.xlsx</v>
      </c>
      <c r="AZ838" t="str">
        <v>LOT0654</v>
      </c>
      <c r="BA838" s="3">
        <v>15</v>
      </c>
      <c r="BB838" t="str">
        <v>P/Final</v>
      </c>
      <c r="BC838">
        <v>60</v>
      </c>
      <c r="BD838" s="10">
        <v>61.4</v>
      </c>
      <c r="BE838" s="10">
        <v>0</v>
      </c>
      <c r="BF838" s="10">
        <v>0</v>
      </c>
      <c r="BG838" s="13">
        <v>45511</v>
      </c>
    </row>
    <row r="839" spans="49:59" x14ac:dyDescent="0.3">
      <c r="AW839" s="1">
        <v>15.1</v>
      </c>
      <c r="AX839" s="1">
        <v>15.1</v>
      </c>
      <c r="AY839" t="str">
        <v>CP-R80_HI782-0_0.0_LOT0654_PWW31.2_QC.xlsx</v>
      </c>
      <c r="AZ839" t="str">
        <v>LOT0654</v>
      </c>
      <c r="BA839" s="3">
        <v>15</v>
      </c>
      <c r="BB839" t="str">
        <v>P/Final</v>
      </c>
      <c r="BC839">
        <v>60</v>
      </c>
      <c r="BD839" s="10">
        <v>58.4</v>
      </c>
      <c r="BE839" s="10">
        <v>0</v>
      </c>
      <c r="BF839" s="10">
        <v>0</v>
      </c>
      <c r="BG839" s="13">
        <v>45511</v>
      </c>
    </row>
    <row r="840" spans="49:59" x14ac:dyDescent="0.3">
      <c r="AW840" s="1">
        <v>15.1</v>
      </c>
      <c r="AX840" s="1">
        <v>15.1</v>
      </c>
      <c r="AY840" t="str">
        <v>CP-R80_HI782-0_0.0_LOT0654_PWW31.2_QC.xlsx</v>
      </c>
      <c r="AZ840" t="str">
        <v>LOT0654</v>
      </c>
      <c r="BA840" s="3">
        <v>15</v>
      </c>
      <c r="BB840" t="str">
        <v>P/Final</v>
      </c>
      <c r="BC840">
        <v>60</v>
      </c>
      <c r="BD840" s="10">
        <v>61</v>
      </c>
      <c r="BE840" s="10">
        <v>0</v>
      </c>
      <c r="BF840" s="10">
        <v>0</v>
      </c>
      <c r="BG840" s="13">
        <v>45511</v>
      </c>
    </row>
    <row r="841" spans="49:59" x14ac:dyDescent="0.3">
      <c r="AW841" s="1">
        <v>15.1</v>
      </c>
      <c r="AX841" s="1">
        <v>15.1</v>
      </c>
      <c r="AY841" t="str">
        <v>CP-R80_HI782-0_0.0_LOT0654_PWW31.2_QC.xlsx</v>
      </c>
      <c r="AZ841" t="str">
        <v>LOT0654</v>
      </c>
      <c r="BA841" s="3">
        <v>15</v>
      </c>
      <c r="BB841" t="str">
        <v>P/Final</v>
      </c>
      <c r="BC841">
        <v>60</v>
      </c>
      <c r="BD841" s="10">
        <v>57.9</v>
      </c>
      <c r="BE841" s="10">
        <v>0</v>
      </c>
      <c r="BF841" s="10">
        <v>0</v>
      </c>
      <c r="BG841" s="13">
        <v>45511</v>
      </c>
    </row>
    <row r="842" spans="49:59" x14ac:dyDescent="0.3">
      <c r="AW842" s="1">
        <v>15.1</v>
      </c>
      <c r="AX842" s="1">
        <v>15.1</v>
      </c>
      <c r="AY842" t="str">
        <v>CP-R80_HI782-0_0.0_LOT0654_PWW31.2_QC.xlsx</v>
      </c>
      <c r="AZ842" t="str">
        <v>LOT0654</v>
      </c>
      <c r="BA842" s="3">
        <v>15</v>
      </c>
      <c r="BB842" t="str">
        <v>P/Final</v>
      </c>
      <c r="BC842">
        <v>60</v>
      </c>
      <c r="BD842" s="10">
        <v>56.8</v>
      </c>
      <c r="BE842" s="10">
        <v>0</v>
      </c>
      <c r="BF842" s="10">
        <v>0</v>
      </c>
      <c r="BG842" s="13">
        <v>45511</v>
      </c>
    </row>
    <row r="843" spans="49:59" x14ac:dyDescent="0.3">
      <c r="AW843" s="1">
        <v>15.1</v>
      </c>
      <c r="AX843" s="1">
        <v>15.1</v>
      </c>
      <c r="AY843" t="str">
        <v>CP-R80_HI782-0_0.0_LOT0654_PWW31.2_QC.xlsx</v>
      </c>
      <c r="AZ843" t="str">
        <v>LOT0654</v>
      </c>
      <c r="BA843" s="3">
        <v>15</v>
      </c>
      <c r="BB843" t="str">
        <v>P/Final</v>
      </c>
      <c r="BC843">
        <v>60</v>
      </c>
      <c r="BD843" s="10">
        <v>59.1</v>
      </c>
      <c r="BE843" s="10">
        <v>0</v>
      </c>
      <c r="BF843" s="10">
        <v>0</v>
      </c>
      <c r="BG843" s="13">
        <v>45511</v>
      </c>
    </row>
    <row r="844" spans="49:59" x14ac:dyDescent="0.3">
      <c r="AW844" s="1">
        <v>15.1</v>
      </c>
      <c r="AX844" s="1">
        <v>15.1</v>
      </c>
      <c r="AY844" t="str">
        <v>CP-R80_HI782-0_0.0_LOT0654_PWW31.2_QC.xlsx</v>
      </c>
      <c r="AZ844" t="str">
        <v>LOT0654</v>
      </c>
      <c r="BA844" s="3">
        <v>15</v>
      </c>
      <c r="BB844" t="str">
        <v>P/Final</v>
      </c>
      <c r="BC844">
        <v>60</v>
      </c>
      <c r="BD844" s="10">
        <v>61.2</v>
      </c>
      <c r="BE844" s="10">
        <v>0</v>
      </c>
      <c r="BF844" s="10">
        <v>0</v>
      </c>
      <c r="BG844" s="13">
        <v>45511</v>
      </c>
    </row>
    <row r="845" spans="49:59" x14ac:dyDescent="0.3">
      <c r="AW845" s="1">
        <v>15.1</v>
      </c>
      <c r="AX845" s="1">
        <v>15.1</v>
      </c>
      <c r="AY845" t="str">
        <v>CP-R80_HI782-0_0.0_LOT0654_PWW31.2_QC.xlsx</v>
      </c>
      <c r="AZ845" t="str">
        <v>LOT0654</v>
      </c>
      <c r="BA845" s="3">
        <v>15</v>
      </c>
      <c r="BB845" t="str">
        <v>P/Final</v>
      </c>
      <c r="BC845">
        <v>60</v>
      </c>
      <c r="BD845" s="10">
        <v>55.8</v>
      </c>
      <c r="BE845" s="10">
        <v>0</v>
      </c>
      <c r="BF845" s="10">
        <v>0</v>
      </c>
      <c r="BG845" s="13">
        <v>45511</v>
      </c>
    </row>
    <row r="846" spans="49:59" x14ac:dyDescent="0.3">
      <c r="AW846" s="1">
        <v>15.1</v>
      </c>
      <c r="AX846" s="1">
        <v>15.1</v>
      </c>
      <c r="AY846" t="str">
        <v>CP-R80_HI782-0_0.0_LOT0654_PWW31.2_QC.xlsx</v>
      </c>
      <c r="AZ846" t="str">
        <v>LOT0654</v>
      </c>
      <c r="BA846" s="3">
        <v>15</v>
      </c>
      <c r="BB846" t="str">
        <v>P/Final</v>
      </c>
      <c r="BC846">
        <v>60</v>
      </c>
      <c r="BD846" s="10">
        <v>55.1</v>
      </c>
      <c r="BE846" s="10">
        <v>0</v>
      </c>
      <c r="BF846" s="10">
        <v>0</v>
      </c>
      <c r="BG846" s="13">
        <v>45511</v>
      </c>
    </row>
    <row r="847" spans="49:59" x14ac:dyDescent="0.3">
      <c r="AW847" s="1">
        <v>15.1</v>
      </c>
      <c r="AX847" s="1">
        <v>15.1</v>
      </c>
      <c r="AY847" t="str">
        <v>CP-R80_HI782-0_0.0_LOT0654_PWW31.2_QC.xlsx</v>
      </c>
      <c r="AZ847" t="str">
        <v>LOT0654</v>
      </c>
      <c r="BA847" s="3">
        <v>15</v>
      </c>
      <c r="BB847" t="str">
        <v>P/Final</v>
      </c>
      <c r="BC847">
        <v>60</v>
      </c>
      <c r="BD847" s="10">
        <v>54.2</v>
      </c>
      <c r="BE847" s="10">
        <v>0</v>
      </c>
      <c r="BF847" s="10">
        <v>0</v>
      </c>
      <c r="BG847" s="13">
        <v>45511</v>
      </c>
    </row>
    <row r="848" spans="49:59" x14ac:dyDescent="0.3">
      <c r="AW848" s="1">
        <v>15.1</v>
      </c>
      <c r="AX848" s="1">
        <v>15.1</v>
      </c>
      <c r="AY848" t="str">
        <v>CP-R80_HI782-0_0.0_LOT0654_PWW31.2_QC.xlsx</v>
      </c>
      <c r="AZ848" t="str">
        <v>LOT0654</v>
      </c>
      <c r="BA848" s="3">
        <v>15</v>
      </c>
      <c r="BB848" t="str">
        <v>P/Final</v>
      </c>
      <c r="BC848">
        <v>60</v>
      </c>
      <c r="BD848" s="10">
        <v>55.8</v>
      </c>
      <c r="BE848" s="10">
        <v>0</v>
      </c>
      <c r="BF848" s="10">
        <v>0</v>
      </c>
      <c r="BG848" s="13">
        <v>45511</v>
      </c>
    </row>
    <row r="849" spans="49:59" x14ac:dyDescent="0.3">
      <c r="AW849" s="1">
        <v>15.1</v>
      </c>
      <c r="AX849" s="1">
        <v>15.1</v>
      </c>
      <c r="AY849" t="str">
        <v>CP-R80_HI782-0_0.0_LOT0654_PWW31.2_QC.xlsx</v>
      </c>
      <c r="AZ849" t="str">
        <v>LOT0654</v>
      </c>
      <c r="BA849" s="3">
        <v>15</v>
      </c>
      <c r="BB849" t="str">
        <v>P/Final</v>
      </c>
      <c r="BC849">
        <v>60</v>
      </c>
      <c r="BD849" s="10">
        <v>53.7</v>
      </c>
      <c r="BE849" s="10">
        <v>0</v>
      </c>
      <c r="BF849" s="10">
        <v>0</v>
      </c>
      <c r="BG849" s="13">
        <v>45511</v>
      </c>
    </row>
    <row r="850" spans="49:59" x14ac:dyDescent="0.3">
      <c r="AW850" s="1">
        <v>15.1</v>
      </c>
      <c r="AX850" s="1">
        <v>15.1</v>
      </c>
      <c r="AY850" t="str">
        <v>CP-R80_HI782-0_0.0_LOT0654_PWW31.2_QC.xlsx</v>
      </c>
      <c r="AZ850" t="str">
        <v>LOT0654</v>
      </c>
      <c r="BA850" s="3">
        <v>15</v>
      </c>
      <c r="BB850" t="str">
        <v>P/Final</v>
      </c>
      <c r="BC850">
        <v>15</v>
      </c>
      <c r="BD850" s="10">
        <v>12.1</v>
      </c>
      <c r="BE850" s="10">
        <v>0</v>
      </c>
      <c r="BF850" s="10">
        <v>0</v>
      </c>
      <c r="BG850" s="13">
        <v>45512</v>
      </c>
    </row>
    <row r="851" spans="49:59" x14ac:dyDescent="0.3">
      <c r="AW851" s="1">
        <v>15.1</v>
      </c>
      <c r="AX851" s="1">
        <v>15.1</v>
      </c>
      <c r="AY851" t="str">
        <v>CP-R80_HI782-0_0.0_LOT0654_PWW31.2_QC.xlsx</v>
      </c>
      <c r="AZ851" t="str">
        <v>LOT0654</v>
      </c>
      <c r="BA851" s="3">
        <v>15</v>
      </c>
      <c r="BB851" t="str">
        <v>P/Final</v>
      </c>
      <c r="BC851">
        <v>15</v>
      </c>
      <c r="BD851" s="10">
        <v>14.9</v>
      </c>
      <c r="BE851" s="10">
        <v>0</v>
      </c>
      <c r="BF851" s="10">
        <v>0</v>
      </c>
      <c r="BG851" s="13">
        <v>45512</v>
      </c>
    </row>
    <row r="852" spans="49:59" x14ac:dyDescent="0.3">
      <c r="AW852" s="1">
        <v>15.1</v>
      </c>
      <c r="AX852" s="1">
        <v>15.1</v>
      </c>
      <c r="AY852" t="str">
        <v>CP-R80_HI782-0_0.0_LOT0654_PWW31.2_QC.xlsx</v>
      </c>
      <c r="AZ852" t="str">
        <v>LOT0654</v>
      </c>
      <c r="BA852" s="3">
        <v>15</v>
      </c>
      <c r="BB852" t="str">
        <v>P/Final</v>
      </c>
      <c r="BC852">
        <v>15</v>
      </c>
      <c r="BD852" s="10">
        <v>15</v>
      </c>
      <c r="BE852" s="10">
        <v>0</v>
      </c>
      <c r="BF852" s="10">
        <v>0</v>
      </c>
      <c r="BG852" s="13">
        <v>45512</v>
      </c>
    </row>
    <row r="853" spans="49:59" x14ac:dyDescent="0.3">
      <c r="AW853" s="1">
        <v>15.1</v>
      </c>
      <c r="AX853" s="1">
        <v>15.1</v>
      </c>
      <c r="AY853" t="str">
        <v>CP-R80_HI782-0_0.0_LOT0654_PWW31.2_QC.xlsx</v>
      </c>
      <c r="AZ853" t="str">
        <v>LOT0654</v>
      </c>
      <c r="BA853" s="3">
        <v>15</v>
      </c>
      <c r="BB853" t="str">
        <v>P/Final</v>
      </c>
      <c r="BC853">
        <v>35</v>
      </c>
      <c r="BD853" s="10">
        <v>31.9</v>
      </c>
      <c r="BE853" s="10">
        <v>0</v>
      </c>
      <c r="BF853" s="10">
        <v>0</v>
      </c>
      <c r="BG853" s="13">
        <v>45512</v>
      </c>
    </row>
    <row r="854" spans="49:59" x14ac:dyDescent="0.3">
      <c r="AW854" s="1">
        <v>15.1</v>
      </c>
      <c r="AX854" s="1">
        <v>15.1</v>
      </c>
      <c r="AY854" t="str">
        <v>CP-R80_HI782-0_0.0_LOT0654_PWW31.2_QC.xlsx</v>
      </c>
      <c r="AZ854" t="str">
        <v>LOT0654</v>
      </c>
      <c r="BA854" s="3">
        <v>15</v>
      </c>
      <c r="BB854" t="str">
        <v>P/Final</v>
      </c>
      <c r="BC854">
        <v>35</v>
      </c>
      <c r="BD854" s="10">
        <v>35</v>
      </c>
      <c r="BE854" s="10">
        <v>0</v>
      </c>
      <c r="BF854" s="10">
        <v>0</v>
      </c>
      <c r="BG854" s="13">
        <v>45512</v>
      </c>
    </row>
    <row r="855" spans="49:59" x14ac:dyDescent="0.3">
      <c r="AW855" s="1">
        <v>15.1</v>
      </c>
      <c r="AX855" s="1">
        <v>15.1</v>
      </c>
      <c r="AY855" t="str">
        <v>CP-R80_HI782-0_0.0_LOT0654_PWW31.2_QC.xlsx</v>
      </c>
      <c r="AZ855" t="str">
        <v>LOT0654</v>
      </c>
      <c r="BA855" s="3">
        <v>15</v>
      </c>
      <c r="BB855" t="str">
        <v>P/Final</v>
      </c>
      <c r="BC855">
        <v>35</v>
      </c>
      <c r="BD855" s="10">
        <v>34.6</v>
      </c>
      <c r="BE855" s="10">
        <v>0</v>
      </c>
      <c r="BF855" s="10">
        <v>0</v>
      </c>
      <c r="BG855" s="13">
        <v>45512</v>
      </c>
    </row>
    <row r="856" spans="49:59" x14ac:dyDescent="0.3">
      <c r="AW856" s="1">
        <v>15.1</v>
      </c>
      <c r="AX856" s="1">
        <v>15.1</v>
      </c>
      <c r="AY856" t="str">
        <v>CP-R80_HI782-0_0.0_LOT0654_PWW31.2_QC.xlsx</v>
      </c>
      <c r="AZ856" t="str">
        <v>LOT0654</v>
      </c>
      <c r="BA856" s="3">
        <v>15</v>
      </c>
      <c r="BB856" t="str">
        <v>P/Final</v>
      </c>
      <c r="BC856">
        <v>35</v>
      </c>
      <c r="BD856" s="10">
        <v>31.6</v>
      </c>
      <c r="BE856" s="10">
        <v>0</v>
      </c>
      <c r="BF856" s="10">
        <v>0</v>
      </c>
      <c r="BG856" s="13">
        <v>45512</v>
      </c>
    </row>
    <row r="857" spans="49:59" x14ac:dyDescent="0.3">
      <c r="AW857" s="1">
        <v>15.1</v>
      </c>
      <c r="AX857" s="1">
        <v>15.1</v>
      </c>
      <c r="AY857" t="str">
        <v>CP-R80_HI782-0_0.0_LOT0654_PWW31.2_QC.xlsx</v>
      </c>
      <c r="AZ857" t="str">
        <v>LOT0654</v>
      </c>
      <c r="BA857" s="3">
        <v>15</v>
      </c>
      <c r="BB857" t="str">
        <v>P/Final</v>
      </c>
      <c r="BC857">
        <v>60</v>
      </c>
      <c r="BD857" s="10">
        <v>51</v>
      </c>
      <c r="BE857" s="10">
        <v>0</v>
      </c>
      <c r="BF857" s="10">
        <v>0</v>
      </c>
      <c r="BG857" s="13">
        <v>45512</v>
      </c>
    </row>
    <row r="858" spans="49:59" x14ac:dyDescent="0.3">
      <c r="AW858" s="1">
        <v>15.1</v>
      </c>
      <c r="AX858" s="1">
        <v>15.1</v>
      </c>
      <c r="AY858" t="str">
        <v>CP-R80_HI782-0_0.0_LOT0654_PWW31.2_QC.xlsx</v>
      </c>
      <c r="AZ858" t="str">
        <v>LOT0654</v>
      </c>
      <c r="BA858" s="3">
        <v>15</v>
      </c>
      <c r="BB858" t="str">
        <v>P/Final</v>
      </c>
      <c r="BC858">
        <v>60</v>
      </c>
      <c r="BD858" s="10">
        <v>56.3</v>
      </c>
      <c r="BE858" s="10">
        <v>0</v>
      </c>
      <c r="BF858" s="10">
        <v>0</v>
      </c>
      <c r="BG858" s="13">
        <v>45512</v>
      </c>
    </row>
    <row r="859" spans="49:59" x14ac:dyDescent="0.3">
      <c r="AW859" s="1">
        <v>15.1</v>
      </c>
      <c r="AX859" s="1">
        <v>15.1</v>
      </c>
      <c r="AY859" t="str">
        <v>CP-R80_HI782-0_0.0_LOT0654_PWW31.2_QC.xlsx</v>
      </c>
      <c r="AZ859" t="str">
        <v>LOT0654</v>
      </c>
      <c r="BA859" s="3">
        <v>15</v>
      </c>
      <c r="BB859" t="str">
        <v>P/Final</v>
      </c>
      <c r="BC859">
        <v>60</v>
      </c>
      <c r="BD859" s="10">
        <v>56.1</v>
      </c>
      <c r="BE859" s="10">
        <v>0</v>
      </c>
      <c r="BF859" s="10">
        <v>0</v>
      </c>
      <c r="BG859" s="13">
        <v>45512</v>
      </c>
    </row>
    <row r="860" spans="49:59" x14ac:dyDescent="0.3">
      <c r="AW860" s="1">
        <v>16.100000000000001</v>
      </c>
      <c r="AX860" s="1">
        <v>16.100000000000001</v>
      </c>
      <c r="AY860" t="str">
        <v>CP-R80_HI782-0_0.0_LOT0667_PWW35.1_QC.xlsx</v>
      </c>
      <c r="AZ860" t="str">
        <v>LOT0667</v>
      </c>
      <c r="BA860" s="3">
        <v>16</v>
      </c>
      <c r="BB860" t="str">
        <v>P/Final</v>
      </c>
      <c r="BC860">
        <v>15</v>
      </c>
      <c r="BD860" s="10">
        <v>13.8</v>
      </c>
      <c r="BE860" s="10">
        <v>0</v>
      </c>
      <c r="BF860" s="10">
        <v>0</v>
      </c>
      <c r="BG860" s="13">
        <v>45545</v>
      </c>
    </row>
    <row r="861" spans="49:59" x14ac:dyDescent="0.3">
      <c r="AW861" s="1">
        <v>16.100000000000001</v>
      </c>
      <c r="AX861" s="1">
        <v>16.100000000000001</v>
      </c>
      <c r="AY861" t="str">
        <v>CP-R80_HI782-0_0.0_LOT0667_PWW35.1_QC.xlsx</v>
      </c>
      <c r="AZ861" t="str">
        <v>LOT0667</v>
      </c>
      <c r="BA861" s="3">
        <v>16</v>
      </c>
      <c r="BB861" t="str">
        <v>P/Final</v>
      </c>
      <c r="BC861">
        <v>15</v>
      </c>
      <c r="BD861" s="10">
        <v>13.3</v>
      </c>
      <c r="BE861" s="10">
        <v>0</v>
      </c>
      <c r="BF861" s="10">
        <v>0</v>
      </c>
      <c r="BG861" s="13">
        <v>45545</v>
      </c>
    </row>
    <row r="862" spans="49:59" x14ac:dyDescent="0.3">
      <c r="AW862" s="1">
        <v>16.100000000000001</v>
      </c>
      <c r="AX862" s="1">
        <v>16.100000000000001</v>
      </c>
      <c r="AY862" t="str">
        <v>CP-R80_HI782-0_0.0_LOT0667_PWW35.1_QC.xlsx</v>
      </c>
      <c r="AZ862" t="str">
        <v>LOT0667</v>
      </c>
      <c r="BA862" s="3">
        <v>16</v>
      </c>
      <c r="BB862" t="str">
        <v>P/Final</v>
      </c>
      <c r="BC862">
        <v>15</v>
      </c>
      <c r="BD862" s="10">
        <v>0</v>
      </c>
      <c r="BE862" s="10">
        <v>0</v>
      </c>
      <c r="BF862" s="10">
        <v>0</v>
      </c>
      <c r="BG862" s="13">
        <v>45545</v>
      </c>
    </row>
    <row r="863" spans="49:59" x14ac:dyDescent="0.3">
      <c r="AW863" s="1">
        <v>16.100000000000001</v>
      </c>
      <c r="AX863" s="1">
        <v>16.100000000000001</v>
      </c>
      <c r="AY863" t="str">
        <v>CP-R80_HI782-0_0.0_LOT0667_PWW35.1_QC.xlsx</v>
      </c>
      <c r="AZ863" t="str">
        <v>LOT0667</v>
      </c>
      <c r="BA863" s="3">
        <v>16</v>
      </c>
      <c r="BB863" t="str">
        <v>P/Final</v>
      </c>
      <c r="BC863">
        <v>15</v>
      </c>
      <c r="BD863" s="10">
        <v>14.4</v>
      </c>
      <c r="BE863" s="10">
        <v>0</v>
      </c>
      <c r="BF863" s="10">
        <v>0</v>
      </c>
      <c r="BG863" s="13">
        <v>45545</v>
      </c>
    </row>
    <row r="864" spans="49:59" x14ac:dyDescent="0.3">
      <c r="AW864" s="1">
        <v>16.100000000000001</v>
      </c>
      <c r="AX864" s="1">
        <v>16.100000000000001</v>
      </c>
      <c r="AY864" t="str">
        <v>CP-R80_HI782-0_0.0_LOT0667_PWW35.1_QC.xlsx</v>
      </c>
      <c r="AZ864" t="str">
        <v>LOT0667</v>
      </c>
      <c r="BA864" s="3">
        <v>16</v>
      </c>
      <c r="BB864" t="str">
        <v>P/Final</v>
      </c>
      <c r="BC864">
        <v>15</v>
      </c>
      <c r="BD864" s="10">
        <v>14.2</v>
      </c>
      <c r="BE864" s="10">
        <v>0</v>
      </c>
      <c r="BF864" s="10">
        <v>0</v>
      </c>
      <c r="BG864" s="13">
        <v>45545</v>
      </c>
    </row>
    <row r="865" spans="49:59" x14ac:dyDescent="0.3">
      <c r="AW865" s="1">
        <v>16.100000000000001</v>
      </c>
      <c r="AX865" s="1">
        <v>16.100000000000001</v>
      </c>
      <c r="AY865" t="str">
        <v>CP-R80_HI782-0_0.0_LOT0667_PWW35.1_QC.xlsx</v>
      </c>
      <c r="AZ865" t="str">
        <v>LOT0667</v>
      </c>
      <c r="BA865" s="3">
        <v>16</v>
      </c>
      <c r="BB865" t="str">
        <v>P/Final</v>
      </c>
      <c r="BC865">
        <v>15</v>
      </c>
      <c r="BD865" s="10">
        <v>12.5</v>
      </c>
      <c r="BE865" s="10">
        <v>0</v>
      </c>
      <c r="BF865" s="10">
        <v>0</v>
      </c>
      <c r="BG865" s="13">
        <v>45545</v>
      </c>
    </row>
    <row r="866" spans="49:59" x14ac:dyDescent="0.3">
      <c r="AW866" s="1">
        <v>16.100000000000001</v>
      </c>
      <c r="AX866" s="1">
        <v>16.100000000000001</v>
      </c>
      <c r="AY866" t="str">
        <v>CP-R80_HI782-0_0.0_LOT0667_PWW35.1_QC.xlsx</v>
      </c>
      <c r="AZ866" t="str">
        <v>LOT0667</v>
      </c>
      <c r="BA866" s="3">
        <v>16</v>
      </c>
      <c r="BB866" t="str">
        <v>P/Final</v>
      </c>
      <c r="BC866">
        <v>15</v>
      </c>
      <c r="BD866" s="10">
        <v>14</v>
      </c>
      <c r="BE866" s="10">
        <v>0</v>
      </c>
      <c r="BF866" s="10">
        <v>0</v>
      </c>
      <c r="BG866" s="13">
        <v>45545</v>
      </c>
    </row>
    <row r="867" spans="49:59" x14ac:dyDescent="0.3">
      <c r="AW867" s="1">
        <v>16.100000000000001</v>
      </c>
      <c r="AX867" s="1">
        <v>16.100000000000001</v>
      </c>
      <c r="AY867" t="str">
        <v>CP-R80_HI782-0_0.0_LOT0667_PWW35.1_QC.xlsx</v>
      </c>
      <c r="AZ867" t="str">
        <v>LOT0667</v>
      </c>
      <c r="BA867" s="3">
        <v>16</v>
      </c>
      <c r="BB867" t="str">
        <v>P/Final</v>
      </c>
      <c r="BC867">
        <v>15</v>
      </c>
      <c r="BD867" s="10">
        <v>0</v>
      </c>
      <c r="BE867" s="10">
        <v>0</v>
      </c>
      <c r="BF867" s="10">
        <v>0</v>
      </c>
      <c r="BG867" s="13">
        <v>45545</v>
      </c>
    </row>
    <row r="868" spans="49:59" x14ac:dyDescent="0.3">
      <c r="AW868" s="1">
        <v>16.100000000000001</v>
      </c>
      <c r="AX868" s="1">
        <v>16.100000000000001</v>
      </c>
      <c r="AY868" t="str">
        <v>CP-R80_HI782-0_0.0_LOT0667_PWW35.1_QC.xlsx</v>
      </c>
      <c r="AZ868" t="str">
        <v>LOT0667</v>
      </c>
      <c r="BA868" s="3">
        <v>16</v>
      </c>
      <c r="BB868" t="str">
        <v>P/Final</v>
      </c>
      <c r="BC868">
        <v>35</v>
      </c>
      <c r="BD868" s="10">
        <v>32.5</v>
      </c>
      <c r="BE868" s="10">
        <v>0</v>
      </c>
      <c r="BF868" s="10">
        <v>0</v>
      </c>
      <c r="BG868" s="13">
        <v>45545</v>
      </c>
    </row>
    <row r="869" spans="49:59" x14ac:dyDescent="0.3">
      <c r="AW869" s="1">
        <v>16.100000000000001</v>
      </c>
      <c r="AX869" s="1">
        <v>16.100000000000001</v>
      </c>
      <c r="AY869" t="str">
        <v>CP-R80_HI782-0_0.0_LOT0667_PWW35.1_QC.xlsx</v>
      </c>
      <c r="AZ869" t="str">
        <v>LOT0667</v>
      </c>
      <c r="BA869" s="3">
        <v>16</v>
      </c>
      <c r="BB869" t="str">
        <v>P/Final</v>
      </c>
      <c r="BC869">
        <v>35</v>
      </c>
      <c r="BD869" s="10">
        <v>33.200000000000003</v>
      </c>
      <c r="BE869" s="10">
        <v>0</v>
      </c>
      <c r="BF869" s="10">
        <v>0</v>
      </c>
      <c r="BG869" s="13">
        <v>45545</v>
      </c>
    </row>
    <row r="870" spans="49:59" x14ac:dyDescent="0.3">
      <c r="AW870" s="1">
        <v>16.100000000000001</v>
      </c>
      <c r="AX870" s="1">
        <v>16.100000000000001</v>
      </c>
      <c r="AY870" t="str">
        <v>CP-R80_HI782-0_0.0_LOT0667_PWW35.1_QC.xlsx</v>
      </c>
      <c r="AZ870" t="str">
        <v>LOT0667</v>
      </c>
      <c r="BA870" s="3">
        <v>16</v>
      </c>
      <c r="BB870" t="str">
        <v>P/Final</v>
      </c>
      <c r="BC870">
        <v>35</v>
      </c>
      <c r="BD870" s="10">
        <v>34</v>
      </c>
      <c r="BE870" s="10">
        <v>0</v>
      </c>
      <c r="BF870" s="10">
        <v>0</v>
      </c>
      <c r="BG870" s="13">
        <v>45545</v>
      </c>
    </row>
    <row r="871" spans="49:59" x14ac:dyDescent="0.3">
      <c r="AW871" s="1">
        <v>16.100000000000001</v>
      </c>
      <c r="AX871" s="1">
        <v>16.100000000000001</v>
      </c>
      <c r="AY871" t="str">
        <v>CP-R80_HI782-0_0.0_LOT0667_PWW35.1_QC.xlsx</v>
      </c>
      <c r="AZ871" t="str">
        <v>LOT0667</v>
      </c>
      <c r="BA871" s="3">
        <v>16</v>
      </c>
      <c r="BB871" t="str">
        <v>P/Final</v>
      </c>
      <c r="BC871">
        <v>35</v>
      </c>
      <c r="BD871" s="10">
        <v>35.200000000000003</v>
      </c>
      <c r="BE871" s="10">
        <v>0</v>
      </c>
      <c r="BF871" s="10">
        <v>0</v>
      </c>
      <c r="BG871" s="13">
        <v>45545</v>
      </c>
    </row>
    <row r="872" spans="49:59" x14ac:dyDescent="0.3">
      <c r="AW872" s="1">
        <v>16.100000000000001</v>
      </c>
      <c r="AX872" s="1">
        <v>16.100000000000001</v>
      </c>
      <c r="AY872" t="str">
        <v>CP-R80_HI782-0_0.0_LOT0667_PWW35.1_QC.xlsx</v>
      </c>
      <c r="AZ872" t="str">
        <v>LOT0667</v>
      </c>
      <c r="BA872" s="3">
        <v>16</v>
      </c>
      <c r="BB872" t="str">
        <v>P/Final</v>
      </c>
      <c r="BC872">
        <v>35</v>
      </c>
      <c r="BD872" s="10">
        <v>34.299999999999997</v>
      </c>
      <c r="BE872" s="10">
        <v>0</v>
      </c>
      <c r="BF872" s="10">
        <v>0</v>
      </c>
      <c r="BG872" s="13">
        <v>45545</v>
      </c>
    </row>
    <row r="873" spans="49:59" x14ac:dyDescent="0.3">
      <c r="AW873" s="1">
        <v>16.100000000000001</v>
      </c>
      <c r="AX873" s="1">
        <v>16.100000000000001</v>
      </c>
      <c r="AY873" t="str">
        <v>CP-R80_HI782-0_0.0_LOT0667_PWW35.1_QC.xlsx</v>
      </c>
      <c r="AZ873" t="str">
        <v>LOT0667</v>
      </c>
      <c r="BA873" s="3">
        <v>16</v>
      </c>
      <c r="BB873" t="str">
        <v>P/Final</v>
      </c>
      <c r="BC873">
        <v>35</v>
      </c>
      <c r="BD873" s="10">
        <v>32.5</v>
      </c>
      <c r="BE873" s="10">
        <v>0</v>
      </c>
      <c r="BF873" s="10">
        <v>0</v>
      </c>
      <c r="BG873" s="13">
        <v>45545</v>
      </c>
    </row>
    <row r="874" spans="49:59" x14ac:dyDescent="0.3">
      <c r="AW874" s="1">
        <v>16.100000000000001</v>
      </c>
      <c r="AX874" s="1">
        <v>16.100000000000001</v>
      </c>
      <c r="AY874" t="str">
        <v>CP-R80_HI782-0_0.0_LOT0667_PWW35.1_QC.xlsx</v>
      </c>
      <c r="AZ874" t="str">
        <v>LOT0667</v>
      </c>
      <c r="BA874" s="3">
        <v>16</v>
      </c>
      <c r="BB874" t="str">
        <v>P/Final</v>
      </c>
      <c r="BC874">
        <v>35</v>
      </c>
      <c r="BD874" s="10">
        <v>35.200000000000003</v>
      </c>
      <c r="BE874" s="10">
        <v>0</v>
      </c>
      <c r="BF874" s="10">
        <v>0</v>
      </c>
      <c r="BG874" s="13">
        <v>45545</v>
      </c>
    </row>
    <row r="875" spans="49:59" x14ac:dyDescent="0.3">
      <c r="AW875" s="1">
        <v>16.100000000000001</v>
      </c>
      <c r="AX875" s="1">
        <v>16.100000000000001</v>
      </c>
      <c r="AY875" t="str">
        <v>CP-R80_HI782-0_0.0_LOT0667_PWW35.1_QC.xlsx</v>
      </c>
      <c r="AZ875" t="str">
        <v>LOT0667</v>
      </c>
      <c r="BA875" s="3">
        <v>16</v>
      </c>
      <c r="BB875" t="str">
        <v>P/Final</v>
      </c>
      <c r="BC875">
        <v>35</v>
      </c>
      <c r="BD875" s="10">
        <v>31.5</v>
      </c>
      <c r="BE875" s="10">
        <v>0</v>
      </c>
      <c r="BF875" s="10">
        <v>0</v>
      </c>
      <c r="BG875" s="13">
        <v>45545</v>
      </c>
    </row>
    <row r="876" spans="49:59" x14ac:dyDescent="0.3">
      <c r="AW876" s="1">
        <v>16.100000000000001</v>
      </c>
      <c r="AX876" s="1">
        <v>16.100000000000001</v>
      </c>
      <c r="AY876" t="str">
        <v>CP-R80_HI782-0_0.0_LOT0667_PWW35.1_QC.xlsx</v>
      </c>
      <c r="AZ876" t="str">
        <v>LOT0667</v>
      </c>
      <c r="BA876" s="3">
        <v>16</v>
      </c>
      <c r="BB876" t="str">
        <v>P/Final</v>
      </c>
      <c r="BC876">
        <v>60</v>
      </c>
      <c r="BD876" s="10">
        <v>48.4</v>
      </c>
      <c r="BE876" s="10">
        <v>0</v>
      </c>
      <c r="BF876" s="10">
        <v>0</v>
      </c>
      <c r="BG876" s="13">
        <v>45545</v>
      </c>
    </row>
    <row r="877" spans="49:59" x14ac:dyDescent="0.3">
      <c r="AW877" s="1">
        <v>16.100000000000001</v>
      </c>
      <c r="AX877" s="1">
        <v>16.100000000000001</v>
      </c>
      <c r="AY877" t="str">
        <v>CP-R80_HI782-0_0.0_LOT0667_PWW35.1_QC.xlsx</v>
      </c>
      <c r="AZ877" t="str">
        <v>LOT0667</v>
      </c>
      <c r="BA877" s="3">
        <v>16</v>
      </c>
      <c r="BB877" t="str">
        <v>P/Final</v>
      </c>
      <c r="BC877">
        <v>60</v>
      </c>
      <c r="BD877" s="10">
        <v>55.6</v>
      </c>
      <c r="BE877" s="10">
        <v>0</v>
      </c>
      <c r="BF877" s="10">
        <v>0</v>
      </c>
      <c r="BG877" s="13">
        <v>45545</v>
      </c>
    </row>
    <row r="878" spans="49:59" x14ac:dyDescent="0.3">
      <c r="AW878" s="1">
        <v>16.100000000000001</v>
      </c>
      <c r="AX878" s="1">
        <v>16.100000000000001</v>
      </c>
      <c r="AY878" t="str">
        <v>CP-R80_HI782-0_0.0_LOT0667_PWW35.1_QC.xlsx</v>
      </c>
      <c r="AZ878" t="str">
        <v>LOT0667</v>
      </c>
      <c r="BA878" s="3">
        <v>16</v>
      </c>
      <c r="BB878" t="str">
        <v>P/Final</v>
      </c>
      <c r="BC878">
        <v>60</v>
      </c>
      <c r="BD878" s="10">
        <v>57.1</v>
      </c>
      <c r="BE878" s="10">
        <v>0</v>
      </c>
      <c r="BF878" s="10">
        <v>0</v>
      </c>
      <c r="BG878" s="13">
        <v>45545</v>
      </c>
    </row>
    <row r="879" spans="49:59" x14ac:dyDescent="0.3">
      <c r="AW879" s="1">
        <v>16.100000000000001</v>
      </c>
      <c r="AX879" s="1">
        <v>16.100000000000001</v>
      </c>
      <c r="AY879" t="str">
        <v>CP-R80_HI782-0_0.0_LOT0667_PWW35.1_QC.xlsx</v>
      </c>
      <c r="AZ879" t="str">
        <v>LOT0667</v>
      </c>
      <c r="BA879" s="3">
        <v>16</v>
      </c>
      <c r="BB879" t="str">
        <v>P/Final</v>
      </c>
      <c r="BC879">
        <v>60</v>
      </c>
      <c r="BD879" s="10">
        <v>57.3</v>
      </c>
      <c r="BE879" s="10">
        <v>0</v>
      </c>
      <c r="BF879" s="10">
        <v>0</v>
      </c>
      <c r="BG879" s="13">
        <v>45545</v>
      </c>
    </row>
    <row r="880" spans="49:59" x14ac:dyDescent="0.3">
      <c r="AW880" s="1">
        <v>16.100000000000001</v>
      </c>
      <c r="AX880" s="1">
        <v>16.100000000000001</v>
      </c>
      <c r="AY880" t="str">
        <v>CP-R80_HI782-0_0.0_LOT0667_PWW35.1_QC.xlsx</v>
      </c>
      <c r="AZ880" t="str">
        <v>LOT0667</v>
      </c>
      <c r="BA880" s="3">
        <v>16</v>
      </c>
      <c r="BB880" t="str">
        <v>P/Final</v>
      </c>
      <c r="BC880">
        <v>15</v>
      </c>
      <c r="BD880" s="10">
        <v>12.4</v>
      </c>
      <c r="BE880" s="10">
        <v>0</v>
      </c>
      <c r="BF880" s="10">
        <v>0</v>
      </c>
      <c r="BG880" s="13">
        <v>45546</v>
      </c>
    </row>
    <row r="881" spans="49:59" x14ac:dyDescent="0.3">
      <c r="AW881" s="1">
        <v>16.100000000000001</v>
      </c>
      <c r="AX881" s="1">
        <v>16.100000000000001</v>
      </c>
      <c r="AY881" t="str">
        <v>CP-R80_HI782-0_0.0_LOT0667_PWW35.1_QC.xlsx</v>
      </c>
      <c r="AZ881" t="str">
        <v>LOT0667</v>
      </c>
      <c r="BA881" s="3">
        <v>16</v>
      </c>
      <c r="BB881" t="str">
        <v>P/Final</v>
      </c>
      <c r="BC881">
        <v>15</v>
      </c>
      <c r="BD881" s="10">
        <v>12.9</v>
      </c>
      <c r="BE881" s="10">
        <v>0</v>
      </c>
      <c r="BF881" s="10">
        <v>0</v>
      </c>
      <c r="BG881" s="13">
        <v>45546</v>
      </c>
    </row>
    <row r="882" spans="49:59" x14ac:dyDescent="0.3">
      <c r="AW882" s="1">
        <v>16.100000000000001</v>
      </c>
      <c r="AX882" s="1">
        <v>16.100000000000001</v>
      </c>
      <c r="AY882" t="str">
        <v>CP-R80_HI782-0_0.0_LOT0667_PWW35.1_QC.xlsx</v>
      </c>
      <c r="AZ882" t="str">
        <v>LOT0667</v>
      </c>
      <c r="BA882" s="3">
        <v>16</v>
      </c>
      <c r="BB882" t="str">
        <v>P/Final</v>
      </c>
      <c r="BC882">
        <v>15</v>
      </c>
      <c r="BD882" s="10">
        <v>14.5</v>
      </c>
      <c r="BE882" s="10">
        <v>0</v>
      </c>
      <c r="BF882" s="10">
        <v>0</v>
      </c>
      <c r="BG882" s="13">
        <v>45546</v>
      </c>
    </row>
    <row r="883" spans="49:59" x14ac:dyDescent="0.3">
      <c r="AW883" s="1">
        <v>16.100000000000001</v>
      </c>
      <c r="AX883" s="1">
        <v>16.100000000000001</v>
      </c>
      <c r="AY883" t="str">
        <v>CP-R80_HI782-0_0.0_LOT0667_PWW35.1_QC.xlsx</v>
      </c>
      <c r="AZ883" t="str">
        <v>LOT0667</v>
      </c>
      <c r="BA883" s="3">
        <v>16</v>
      </c>
      <c r="BB883" t="str">
        <v>P/Final</v>
      </c>
      <c r="BC883">
        <v>15</v>
      </c>
      <c r="BD883" s="10">
        <v>15</v>
      </c>
      <c r="BE883" s="10">
        <v>0</v>
      </c>
      <c r="BF883" s="10">
        <v>0</v>
      </c>
      <c r="BG883" s="13">
        <v>45546</v>
      </c>
    </row>
    <row r="884" spans="49:59" x14ac:dyDescent="0.3">
      <c r="AW884" s="1">
        <v>16.100000000000001</v>
      </c>
      <c r="AX884" s="1">
        <v>16.100000000000001</v>
      </c>
      <c r="AY884" t="str">
        <v>CP-R80_HI782-0_0.0_LOT0667_PWW35.1_QC.xlsx</v>
      </c>
      <c r="AZ884" t="str">
        <v>LOT0667</v>
      </c>
      <c r="BA884" s="3">
        <v>16</v>
      </c>
      <c r="BB884" t="str">
        <v>P/Final</v>
      </c>
      <c r="BC884">
        <v>15</v>
      </c>
      <c r="BD884" s="10">
        <v>11.8</v>
      </c>
      <c r="BE884" s="10">
        <v>0</v>
      </c>
      <c r="BF884" s="10">
        <v>0</v>
      </c>
      <c r="BG884" s="13">
        <v>45546</v>
      </c>
    </row>
    <row r="885" spans="49:59" x14ac:dyDescent="0.3">
      <c r="AW885" s="1">
        <v>16.100000000000001</v>
      </c>
      <c r="AX885" s="1">
        <v>16.100000000000001</v>
      </c>
      <c r="AY885" t="str">
        <v>CP-R80_HI782-0_0.0_LOT0667_PWW35.1_QC.xlsx</v>
      </c>
      <c r="AZ885" t="str">
        <v>LOT0667</v>
      </c>
      <c r="BA885" s="3">
        <v>16</v>
      </c>
      <c r="BB885" t="str">
        <v>P/Final</v>
      </c>
      <c r="BC885">
        <v>15</v>
      </c>
      <c r="BD885" s="10">
        <v>14</v>
      </c>
      <c r="BE885" s="10">
        <v>0</v>
      </c>
      <c r="BF885" s="10">
        <v>0</v>
      </c>
      <c r="BG885" s="13">
        <v>45546</v>
      </c>
    </row>
    <row r="886" spans="49:59" x14ac:dyDescent="0.3">
      <c r="AW886" s="1">
        <v>16.100000000000001</v>
      </c>
      <c r="AX886" s="1">
        <v>16.100000000000001</v>
      </c>
      <c r="AY886" t="str">
        <v>CP-R80_HI782-0_0.0_LOT0667_PWW35.1_QC.xlsx</v>
      </c>
      <c r="AZ886" t="str">
        <v>LOT0667</v>
      </c>
      <c r="BA886" s="3">
        <v>16</v>
      </c>
      <c r="BB886" t="str">
        <v>P/Final</v>
      </c>
      <c r="BC886">
        <v>15</v>
      </c>
      <c r="BD886" s="10">
        <v>13.2</v>
      </c>
      <c r="BE886" s="10">
        <v>0</v>
      </c>
      <c r="BF886" s="10">
        <v>0</v>
      </c>
      <c r="BG886" s="13">
        <v>45546</v>
      </c>
    </row>
    <row r="887" spans="49:59" x14ac:dyDescent="0.3">
      <c r="AW887" s="1">
        <v>16.100000000000001</v>
      </c>
      <c r="AX887" s="1">
        <v>16.100000000000001</v>
      </c>
      <c r="AY887" t="str">
        <v>CP-R80_HI782-0_0.0_LOT0667_PWW35.1_QC.xlsx</v>
      </c>
      <c r="AZ887" t="str">
        <v>LOT0667</v>
      </c>
      <c r="BA887" s="3">
        <v>16</v>
      </c>
      <c r="BB887" t="str">
        <v>P/Final</v>
      </c>
      <c r="BC887">
        <v>15</v>
      </c>
      <c r="BD887" s="10">
        <v>12.3</v>
      </c>
      <c r="BE887" s="10">
        <v>0</v>
      </c>
      <c r="BF887" s="10">
        <v>0</v>
      </c>
      <c r="BG887" s="13">
        <v>45546</v>
      </c>
    </row>
    <row r="888" spans="49:59" x14ac:dyDescent="0.3">
      <c r="AW888" s="1">
        <v>16.100000000000001</v>
      </c>
      <c r="AX888" s="1">
        <v>16.100000000000001</v>
      </c>
      <c r="AY888" t="str">
        <v>CP-R80_HI782-0_0.0_LOT0667_PWW35.1_QC.xlsx</v>
      </c>
      <c r="AZ888" t="str">
        <v>LOT0667</v>
      </c>
      <c r="BA888" s="3">
        <v>16</v>
      </c>
      <c r="BB888" t="str">
        <v>P/Final</v>
      </c>
      <c r="BC888">
        <v>15</v>
      </c>
      <c r="BD888" s="10">
        <v>15.6</v>
      </c>
      <c r="BE888" s="10">
        <v>0</v>
      </c>
      <c r="BF888" s="10">
        <v>0</v>
      </c>
      <c r="BG888" s="13">
        <v>45546</v>
      </c>
    </row>
    <row r="889" spans="49:59" x14ac:dyDescent="0.3">
      <c r="AW889" s="1">
        <v>16.100000000000001</v>
      </c>
      <c r="AX889" s="1">
        <v>16.100000000000001</v>
      </c>
      <c r="AY889" t="str">
        <v>CP-R80_HI782-0_0.0_LOT0667_PWW35.1_QC.xlsx</v>
      </c>
      <c r="AZ889" t="str">
        <v>LOT0667</v>
      </c>
      <c r="BA889" s="3">
        <v>16</v>
      </c>
      <c r="BB889" t="str">
        <v>P/Final</v>
      </c>
      <c r="BC889">
        <v>15</v>
      </c>
      <c r="BD889" s="10">
        <v>13.8</v>
      </c>
      <c r="BE889" s="10">
        <v>0</v>
      </c>
      <c r="BF889" s="10">
        <v>0</v>
      </c>
      <c r="BG889" s="13">
        <v>45546</v>
      </c>
    </row>
    <row r="890" spans="49:59" x14ac:dyDescent="0.3">
      <c r="AW890" s="1">
        <v>16.100000000000001</v>
      </c>
      <c r="AX890" s="1">
        <v>16.100000000000001</v>
      </c>
      <c r="AY890" t="str">
        <v>CP-R80_HI782-0_0.0_LOT0667_PWW35.1_QC.xlsx</v>
      </c>
      <c r="AZ890" t="str">
        <v>LOT0667</v>
      </c>
      <c r="BA890" s="3">
        <v>16</v>
      </c>
      <c r="BB890" t="str">
        <v>P/Final</v>
      </c>
      <c r="BC890">
        <v>15</v>
      </c>
      <c r="BD890" s="10">
        <v>12.3</v>
      </c>
      <c r="BE890" s="10">
        <v>0</v>
      </c>
      <c r="BF890" s="10">
        <v>0</v>
      </c>
      <c r="BG890" s="13">
        <v>45546</v>
      </c>
    </row>
    <row r="891" spans="49:59" x14ac:dyDescent="0.3">
      <c r="AW891" s="1">
        <v>16.100000000000001</v>
      </c>
      <c r="AX891" s="1">
        <v>16.100000000000001</v>
      </c>
      <c r="AY891" t="str">
        <v>CP-R80_HI782-0_0.0_LOT0667_PWW35.1_QC.xlsx</v>
      </c>
      <c r="AZ891" t="str">
        <v>LOT0667</v>
      </c>
      <c r="BA891" s="3">
        <v>16</v>
      </c>
      <c r="BB891" t="str">
        <v>P/Final</v>
      </c>
      <c r="BC891">
        <v>15</v>
      </c>
      <c r="BD891" s="10">
        <v>13</v>
      </c>
      <c r="BE891" s="10">
        <v>0</v>
      </c>
      <c r="BF891" s="10">
        <v>0</v>
      </c>
      <c r="BG891" s="13">
        <v>45546</v>
      </c>
    </row>
    <row r="892" spans="49:59" x14ac:dyDescent="0.3">
      <c r="AW892" s="1">
        <v>16.100000000000001</v>
      </c>
      <c r="AX892" s="1">
        <v>16.100000000000001</v>
      </c>
      <c r="AY892" t="str">
        <v>CP-R80_HI782-0_0.0_LOT0667_PWW35.1_QC.xlsx</v>
      </c>
      <c r="AZ892" t="str">
        <v>LOT0667</v>
      </c>
      <c r="BA892" s="3">
        <v>16</v>
      </c>
      <c r="BB892" t="str">
        <v>P/Final</v>
      </c>
      <c r="BC892">
        <v>15</v>
      </c>
      <c r="BD892" s="10">
        <v>12.5</v>
      </c>
      <c r="BE892" s="10">
        <v>0</v>
      </c>
      <c r="BF892" s="10">
        <v>0</v>
      </c>
      <c r="BG892" s="13">
        <v>45546</v>
      </c>
    </row>
    <row r="893" spans="49:59" x14ac:dyDescent="0.3">
      <c r="AW893" s="1">
        <v>16.100000000000001</v>
      </c>
      <c r="AX893" s="1">
        <v>16.100000000000001</v>
      </c>
      <c r="AY893" t="str">
        <v>CP-R80_HI782-0_0.0_LOT0667_PWW35.1_QC.xlsx</v>
      </c>
      <c r="AZ893" t="str">
        <v>LOT0667</v>
      </c>
      <c r="BA893" s="3">
        <v>16</v>
      </c>
      <c r="BB893" t="str">
        <v>P/Final</v>
      </c>
      <c r="BC893">
        <v>15</v>
      </c>
      <c r="BD893" s="10">
        <v>13.4</v>
      </c>
      <c r="BE893" s="10">
        <v>0</v>
      </c>
      <c r="BF893" s="10">
        <v>0</v>
      </c>
      <c r="BG893" s="13">
        <v>45546</v>
      </c>
    </row>
    <row r="894" spans="49:59" x14ac:dyDescent="0.3">
      <c r="AW894" s="1">
        <v>16.100000000000001</v>
      </c>
      <c r="AX894" s="1">
        <v>16.100000000000001</v>
      </c>
      <c r="AY894" t="str">
        <v>CP-R80_HI782-0_0.0_LOT0667_PWW35.1_QC.xlsx</v>
      </c>
      <c r="AZ894" t="str">
        <v>LOT0667</v>
      </c>
      <c r="BA894" s="3">
        <v>16</v>
      </c>
      <c r="BB894" t="str">
        <v>P/Final</v>
      </c>
      <c r="BC894">
        <v>15</v>
      </c>
      <c r="BD894" s="10">
        <v>13.1</v>
      </c>
      <c r="BE894" s="10">
        <v>0</v>
      </c>
      <c r="BF894" s="10">
        <v>0</v>
      </c>
      <c r="BG894" s="13">
        <v>45546</v>
      </c>
    </row>
    <row r="895" spans="49:59" x14ac:dyDescent="0.3">
      <c r="AW895" s="1">
        <v>16.100000000000001</v>
      </c>
      <c r="AX895" s="1">
        <v>16.100000000000001</v>
      </c>
      <c r="AY895" t="str">
        <v>CP-R80_HI782-0_0.0_LOT0667_PWW35.1_QC.xlsx</v>
      </c>
      <c r="AZ895" t="str">
        <v>LOT0667</v>
      </c>
      <c r="BA895" s="3">
        <v>16</v>
      </c>
      <c r="BB895" t="str">
        <v>P/Final</v>
      </c>
      <c r="BC895">
        <v>15</v>
      </c>
      <c r="BD895" s="10">
        <v>13.8</v>
      </c>
      <c r="BE895" s="10">
        <v>0</v>
      </c>
      <c r="BF895" s="10">
        <v>0</v>
      </c>
      <c r="BG895" s="13">
        <v>45546</v>
      </c>
    </row>
    <row r="896" spans="49:59" x14ac:dyDescent="0.3">
      <c r="AW896" s="1">
        <v>16.100000000000001</v>
      </c>
      <c r="AX896" s="1">
        <v>16.100000000000001</v>
      </c>
      <c r="AY896" t="str">
        <v>CP-R80_HI782-0_0.0_LOT0667_PWW35.1_QC.xlsx</v>
      </c>
      <c r="AZ896" t="str">
        <v>LOT0667</v>
      </c>
      <c r="BA896" s="3">
        <v>16</v>
      </c>
      <c r="BB896" t="str">
        <v>P/Final</v>
      </c>
      <c r="BC896">
        <v>15</v>
      </c>
      <c r="BD896" s="10">
        <v>12.3</v>
      </c>
      <c r="BE896" s="10">
        <v>0</v>
      </c>
      <c r="BF896" s="10">
        <v>0</v>
      </c>
      <c r="BG896" s="13">
        <v>45546</v>
      </c>
    </row>
    <row r="897" spans="49:59" x14ac:dyDescent="0.3">
      <c r="AW897" s="1">
        <v>16.100000000000001</v>
      </c>
      <c r="AX897" s="1">
        <v>16.100000000000001</v>
      </c>
      <c r="AY897" t="str">
        <v>CP-R80_HI782-0_0.0_LOT0667_PWW35.1_QC.xlsx</v>
      </c>
      <c r="AZ897" t="str">
        <v>LOT0667</v>
      </c>
      <c r="BA897" s="3">
        <v>16</v>
      </c>
      <c r="BB897" t="str">
        <v>P/Final</v>
      </c>
      <c r="BC897">
        <v>35</v>
      </c>
      <c r="BD897" s="10">
        <v>32.799999999999997</v>
      </c>
      <c r="BE897" s="10">
        <v>0</v>
      </c>
      <c r="BF897" s="10">
        <v>0</v>
      </c>
      <c r="BG897" s="13">
        <v>45546</v>
      </c>
    </row>
    <row r="898" spans="49:59" x14ac:dyDescent="0.3">
      <c r="AW898" s="1">
        <v>16.100000000000001</v>
      </c>
      <c r="AX898" s="1">
        <v>16.100000000000001</v>
      </c>
      <c r="AY898" t="str">
        <v>CP-R80_HI782-0_0.0_LOT0667_PWW35.1_QC.xlsx</v>
      </c>
      <c r="AZ898" t="str">
        <v>LOT0667</v>
      </c>
      <c r="BA898" s="3">
        <v>16</v>
      </c>
      <c r="BB898" t="str">
        <v>P/Final</v>
      </c>
      <c r="BC898">
        <v>35</v>
      </c>
      <c r="BD898" s="10">
        <v>32.4</v>
      </c>
      <c r="BE898" s="10">
        <v>0</v>
      </c>
      <c r="BF898" s="10">
        <v>0</v>
      </c>
      <c r="BG898" s="13">
        <v>45546</v>
      </c>
    </row>
    <row r="899" spans="49:59" x14ac:dyDescent="0.3">
      <c r="AW899" s="1">
        <v>16.100000000000001</v>
      </c>
      <c r="AX899" s="1">
        <v>16.100000000000001</v>
      </c>
      <c r="AY899" t="str">
        <v>CP-R80_HI782-0_0.0_LOT0667_PWW35.1_QC.xlsx</v>
      </c>
      <c r="AZ899" t="str">
        <v>LOT0667</v>
      </c>
      <c r="BA899" s="3">
        <v>16</v>
      </c>
      <c r="BB899" t="str">
        <v>P/Final</v>
      </c>
      <c r="BC899">
        <v>35</v>
      </c>
      <c r="BD899" s="10">
        <v>30.6</v>
      </c>
      <c r="BE899" s="10">
        <v>0</v>
      </c>
      <c r="BF899" s="10">
        <v>0</v>
      </c>
      <c r="BG899" s="13">
        <v>45546</v>
      </c>
    </row>
    <row r="900" spans="49:59" x14ac:dyDescent="0.3">
      <c r="AW900" s="1">
        <v>16.100000000000001</v>
      </c>
      <c r="AX900" s="1">
        <v>16.100000000000001</v>
      </c>
      <c r="AY900" t="str">
        <v>CP-R80_HI782-0_0.0_LOT0667_PWW35.1_QC.xlsx</v>
      </c>
      <c r="AZ900" t="str">
        <v>LOT0667</v>
      </c>
      <c r="BA900" s="3">
        <v>16</v>
      </c>
      <c r="BB900" t="str">
        <v>P/Final</v>
      </c>
      <c r="BC900">
        <v>35</v>
      </c>
      <c r="BD900" s="10">
        <v>33.1</v>
      </c>
      <c r="BE900" s="10">
        <v>0</v>
      </c>
      <c r="BF900" s="10">
        <v>0</v>
      </c>
      <c r="BG900" s="13">
        <v>45546</v>
      </c>
    </row>
    <row r="901" spans="49:59" x14ac:dyDescent="0.3">
      <c r="AW901" s="1">
        <v>16.100000000000001</v>
      </c>
      <c r="AX901" s="1">
        <v>16.100000000000001</v>
      </c>
      <c r="AY901" t="str">
        <v>CP-R80_HI782-0_0.0_LOT0667_PWW35.1_QC.xlsx</v>
      </c>
      <c r="AZ901" t="str">
        <v>LOT0667</v>
      </c>
      <c r="BA901" s="3">
        <v>16</v>
      </c>
      <c r="BB901" t="str">
        <v>P/Final</v>
      </c>
      <c r="BC901">
        <v>35</v>
      </c>
      <c r="BD901" s="10">
        <v>31.9</v>
      </c>
      <c r="BE901" s="10">
        <v>0</v>
      </c>
      <c r="BF901" s="10">
        <v>0</v>
      </c>
      <c r="BG901" s="13">
        <v>45546</v>
      </c>
    </row>
    <row r="902" spans="49:59" x14ac:dyDescent="0.3">
      <c r="AW902" s="1">
        <v>16.100000000000001</v>
      </c>
      <c r="AX902" s="1">
        <v>16.100000000000001</v>
      </c>
      <c r="AY902" t="str">
        <v>CP-R80_HI782-0_0.0_LOT0667_PWW35.1_QC.xlsx</v>
      </c>
      <c r="AZ902" t="str">
        <v>LOT0667</v>
      </c>
      <c r="BA902" s="3">
        <v>16</v>
      </c>
      <c r="BB902" t="str">
        <v>P/Final</v>
      </c>
      <c r="BC902">
        <v>35</v>
      </c>
      <c r="BD902" s="10">
        <v>30.3</v>
      </c>
      <c r="BE902" s="10">
        <v>0</v>
      </c>
      <c r="BF902" s="10">
        <v>0</v>
      </c>
      <c r="BG902" s="13">
        <v>45546</v>
      </c>
    </row>
    <row r="903" spans="49:59" x14ac:dyDescent="0.3">
      <c r="AW903" s="1">
        <v>16.100000000000001</v>
      </c>
      <c r="AX903" s="1">
        <v>16.100000000000001</v>
      </c>
      <c r="AY903" t="str">
        <v>CP-R80_HI782-0_0.0_LOT0667_PWW35.1_QC.xlsx</v>
      </c>
      <c r="AZ903" t="str">
        <v>LOT0667</v>
      </c>
      <c r="BA903" s="3">
        <v>16</v>
      </c>
      <c r="BB903" t="str">
        <v>P/Final</v>
      </c>
      <c r="BC903">
        <v>35</v>
      </c>
      <c r="BD903" s="10">
        <v>34.299999999999997</v>
      </c>
      <c r="BE903" s="10">
        <v>0</v>
      </c>
      <c r="BF903" s="10">
        <v>0</v>
      </c>
      <c r="BG903" s="13">
        <v>45546</v>
      </c>
    </row>
    <row r="904" spans="49:59" x14ac:dyDescent="0.3">
      <c r="AW904" s="1">
        <v>16.100000000000001</v>
      </c>
      <c r="AX904" s="1">
        <v>16.100000000000001</v>
      </c>
      <c r="AY904" t="str">
        <v>CP-R80_HI782-0_0.0_LOT0667_PWW35.1_QC.xlsx</v>
      </c>
      <c r="AZ904" t="str">
        <v>LOT0667</v>
      </c>
      <c r="BA904" s="3">
        <v>16</v>
      </c>
      <c r="BB904" t="str">
        <v>P/Final</v>
      </c>
      <c r="BC904">
        <v>35</v>
      </c>
      <c r="BD904" s="10">
        <v>34.299999999999997</v>
      </c>
      <c r="BE904" s="10">
        <v>0</v>
      </c>
      <c r="BF904" s="10">
        <v>0</v>
      </c>
      <c r="BG904" s="13">
        <v>45546</v>
      </c>
    </row>
    <row r="905" spans="49:59" x14ac:dyDescent="0.3">
      <c r="AW905" s="1">
        <v>16.100000000000001</v>
      </c>
      <c r="AX905" s="1">
        <v>16.100000000000001</v>
      </c>
      <c r="AY905" t="str">
        <v>CP-R80_HI782-0_0.0_LOT0667_PWW35.1_QC.xlsx</v>
      </c>
      <c r="AZ905" t="str">
        <v>LOT0667</v>
      </c>
      <c r="BA905" s="3">
        <v>16</v>
      </c>
      <c r="BB905" t="str">
        <v>P/Final</v>
      </c>
      <c r="BC905">
        <v>35</v>
      </c>
      <c r="BD905" s="10">
        <v>35</v>
      </c>
      <c r="BE905" s="10">
        <v>0</v>
      </c>
      <c r="BF905" s="10">
        <v>0</v>
      </c>
      <c r="BG905" s="13">
        <v>45546</v>
      </c>
    </row>
    <row r="906" spans="49:59" x14ac:dyDescent="0.3">
      <c r="AW906" s="1">
        <v>16.100000000000001</v>
      </c>
      <c r="AX906" s="1">
        <v>16.100000000000001</v>
      </c>
      <c r="AY906" t="str">
        <v>CP-R80_HI782-0_0.0_LOT0667_PWW35.1_QC.xlsx</v>
      </c>
      <c r="AZ906" t="str">
        <v>LOT0667</v>
      </c>
      <c r="BA906" s="3">
        <v>16</v>
      </c>
      <c r="BB906" t="str">
        <v>P/Final</v>
      </c>
      <c r="BC906">
        <v>35</v>
      </c>
      <c r="BD906" s="10">
        <v>34.1</v>
      </c>
      <c r="BE906" s="10">
        <v>0</v>
      </c>
      <c r="BF906" s="10">
        <v>0</v>
      </c>
      <c r="BG906" s="13">
        <v>45546</v>
      </c>
    </row>
    <row r="907" spans="49:59" x14ac:dyDescent="0.3">
      <c r="AW907" s="1">
        <v>16.100000000000001</v>
      </c>
      <c r="AX907" s="1">
        <v>16.100000000000001</v>
      </c>
      <c r="AY907" t="str">
        <v>CP-R80_HI782-0_0.0_LOT0667_PWW35.1_QC.xlsx</v>
      </c>
      <c r="AZ907" t="str">
        <v>LOT0667</v>
      </c>
      <c r="BA907" s="3">
        <v>16</v>
      </c>
      <c r="BB907" t="str">
        <v>P/Final</v>
      </c>
      <c r="BC907">
        <v>35</v>
      </c>
      <c r="BD907" s="10">
        <v>32.5</v>
      </c>
      <c r="BE907" s="10">
        <v>0</v>
      </c>
      <c r="BF907" s="10">
        <v>0</v>
      </c>
      <c r="BG907" s="13">
        <v>45546</v>
      </c>
    </row>
    <row r="908" spans="49:59" x14ac:dyDescent="0.3">
      <c r="AW908" s="1">
        <v>16.100000000000001</v>
      </c>
      <c r="AX908" s="1">
        <v>16.100000000000001</v>
      </c>
      <c r="AY908" t="str">
        <v>CP-R80_HI782-0_0.0_LOT0667_PWW35.1_QC.xlsx</v>
      </c>
      <c r="AZ908" t="str">
        <v>LOT0667</v>
      </c>
      <c r="BA908" s="3">
        <v>16</v>
      </c>
      <c r="BB908" t="str">
        <v>P/Final</v>
      </c>
      <c r="BC908">
        <v>35</v>
      </c>
      <c r="BD908" s="10">
        <v>24.8</v>
      </c>
      <c r="BE908" s="10">
        <v>0</v>
      </c>
      <c r="BF908" s="10">
        <v>0</v>
      </c>
      <c r="BG908" s="13">
        <v>45546</v>
      </c>
    </row>
    <row r="909" spans="49:59" x14ac:dyDescent="0.3">
      <c r="AW909" s="1">
        <v>16.100000000000001</v>
      </c>
      <c r="AX909" s="1">
        <v>16.100000000000001</v>
      </c>
      <c r="AY909" t="str">
        <v>CP-R80_HI782-0_0.0_LOT0667_PWW35.1_QC.xlsx</v>
      </c>
      <c r="AZ909" t="str">
        <v>LOT0667</v>
      </c>
      <c r="BA909" s="3">
        <v>16</v>
      </c>
      <c r="BB909" t="str">
        <v>P/Final</v>
      </c>
      <c r="BC909">
        <v>35</v>
      </c>
      <c r="BD909" s="10">
        <v>31.8</v>
      </c>
      <c r="BE909" s="10">
        <v>0</v>
      </c>
      <c r="BF909" s="10">
        <v>0</v>
      </c>
      <c r="BG909" s="13">
        <v>45546</v>
      </c>
    </row>
    <row r="910" spans="49:59" x14ac:dyDescent="0.3">
      <c r="AW910" s="1">
        <v>16.100000000000001</v>
      </c>
      <c r="AX910" s="1">
        <v>16.100000000000001</v>
      </c>
      <c r="AY910" t="str">
        <v>CP-R80_HI782-0_0.0_LOT0667_PWW35.1_QC.xlsx</v>
      </c>
      <c r="AZ910" t="str">
        <v>LOT0667</v>
      </c>
      <c r="BA910" s="3">
        <v>16</v>
      </c>
      <c r="BB910" t="str">
        <v>P/Final</v>
      </c>
      <c r="BC910">
        <v>35</v>
      </c>
      <c r="BD910" s="10">
        <v>33.700000000000003</v>
      </c>
      <c r="BE910" s="10">
        <v>0</v>
      </c>
      <c r="BF910" s="10">
        <v>0</v>
      </c>
      <c r="BG910" s="13">
        <v>45546</v>
      </c>
    </row>
    <row r="911" spans="49:59" x14ac:dyDescent="0.3">
      <c r="AW911" s="1">
        <v>16.100000000000001</v>
      </c>
      <c r="AX911" s="1">
        <v>16.100000000000001</v>
      </c>
      <c r="AY911" t="str">
        <v>CP-R80_HI782-0_0.0_LOT0667_PWW35.1_QC.xlsx</v>
      </c>
      <c r="AZ911" t="str">
        <v>LOT0667</v>
      </c>
      <c r="BA911" s="3">
        <v>16</v>
      </c>
      <c r="BB911" t="str">
        <v>P/Final</v>
      </c>
      <c r="BC911">
        <v>35</v>
      </c>
      <c r="BD911" s="10">
        <v>31.3</v>
      </c>
      <c r="BE911" s="10">
        <v>0</v>
      </c>
      <c r="BF911" s="10">
        <v>0</v>
      </c>
      <c r="BG911" s="13">
        <v>45546</v>
      </c>
    </row>
    <row r="912" spans="49:59" x14ac:dyDescent="0.3">
      <c r="AW912" s="1">
        <v>16.100000000000001</v>
      </c>
      <c r="AX912" s="1">
        <v>16.100000000000001</v>
      </c>
      <c r="AY912" t="str">
        <v>CP-R80_HI782-0_0.0_LOT0667_PWW35.1_QC.xlsx</v>
      </c>
      <c r="AZ912" t="str">
        <v>LOT0667</v>
      </c>
      <c r="BA912" s="3">
        <v>16</v>
      </c>
      <c r="BB912" t="str">
        <v>P/Final</v>
      </c>
      <c r="BC912">
        <v>35</v>
      </c>
      <c r="BD912" s="10">
        <v>31.6</v>
      </c>
      <c r="BE912" s="10">
        <v>0</v>
      </c>
      <c r="BF912" s="10">
        <v>0</v>
      </c>
      <c r="BG912" s="13">
        <v>45546</v>
      </c>
    </row>
    <row r="913" spans="49:59" x14ac:dyDescent="0.3">
      <c r="AW913" s="1">
        <v>16.100000000000001</v>
      </c>
      <c r="AX913" s="1">
        <v>16.100000000000001</v>
      </c>
      <c r="AY913" t="str">
        <v>CP-R80_HI782-0_0.0_LOT0667_PWW35.1_QC.xlsx</v>
      </c>
      <c r="AZ913" t="str">
        <v>LOT0667</v>
      </c>
      <c r="BA913" s="3">
        <v>16</v>
      </c>
      <c r="BB913" t="str">
        <v>P/Final</v>
      </c>
      <c r="BC913">
        <v>35</v>
      </c>
      <c r="BD913" s="10">
        <v>31.3</v>
      </c>
      <c r="BE913" s="10">
        <v>0</v>
      </c>
      <c r="BF913" s="10">
        <v>0</v>
      </c>
      <c r="BG913" s="13">
        <v>45546</v>
      </c>
    </row>
    <row r="914" spans="49:59" x14ac:dyDescent="0.3">
      <c r="AW914" s="1">
        <v>16.100000000000001</v>
      </c>
      <c r="AX914" s="1">
        <v>16.100000000000001</v>
      </c>
      <c r="AY914" t="str">
        <v>CP-R80_HI782-0_0.0_LOT0667_PWW35.1_QC.xlsx</v>
      </c>
      <c r="AZ914" t="str">
        <v>LOT0667</v>
      </c>
      <c r="BA914" s="3">
        <v>16</v>
      </c>
      <c r="BB914" t="str">
        <v>P/Final</v>
      </c>
      <c r="BC914">
        <v>35</v>
      </c>
      <c r="BD914" s="10">
        <v>32.4</v>
      </c>
      <c r="BE914" s="10">
        <v>0</v>
      </c>
      <c r="BF914" s="10">
        <v>0</v>
      </c>
      <c r="BG914" s="13">
        <v>45546</v>
      </c>
    </row>
    <row r="915" spans="49:59" x14ac:dyDescent="0.3">
      <c r="AW915" s="1">
        <v>16.100000000000001</v>
      </c>
      <c r="AX915" s="1">
        <v>16.100000000000001</v>
      </c>
      <c r="AY915" t="str">
        <v>CP-R80_HI782-0_0.0_LOT0667_PWW35.1_QC.xlsx</v>
      </c>
      <c r="AZ915" t="str">
        <v>LOT0667</v>
      </c>
      <c r="BA915" s="3">
        <v>16</v>
      </c>
      <c r="BB915" t="str">
        <v>P/Final</v>
      </c>
      <c r="BC915">
        <v>35</v>
      </c>
      <c r="BD915" s="10">
        <v>34.4</v>
      </c>
      <c r="BE915" s="10">
        <v>0</v>
      </c>
      <c r="BF915" s="10">
        <v>0</v>
      </c>
      <c r="BG915" s="13">
        <v>45546</v>
      </c>
    </row>
    <row r="916" spans="49:59" x14ac:dyDescent="0.3">
      <c r="AW916" s="1">
        <v>16.100000000000001</v>
      </c>
      <c r="AX916" s="1">
        <v>16.100000000000001</v>
      </c>
      <c r="AY916" t="str">
        <v>CP-R80_HI782-0_0.0_LOT0667_PWW35.1_QC.xlsx</v>
      </c>
      <c r="AZ916" t="str">
        <v>LOT0667</v>
      </c>
      <c r="BA916" s="3">
        <v>16</v>
      </c>
      <c r="BB916" t="str">
        <v>P/Final</v>
      </c>
      <c r="BC916">
        <v>35</v>
      </c>
      <c r="BD916" s="10">
        <v>26.6</v>
      </c>
      <c r="BE916" s="10">
        <v>0</v>
      </c>
      <c r="BF916" s="10">
        <v>0</v>
      </c>
      <c r="BG916" s="13">
        <v>45546</v>
      </c>
    </row>
    <row r="917" spans="49:59" x14ac:dyDescent="0.3">
      <c r="AW917" s="1">
        <v>16.100000000000001</v>
      </c>
      <c r="AX917" s="1">
        <v>16.100000000000001</v>
      </c>
      <c r="AY917" t="str">
        <v>CP-R80_HI782-0_0.0_LOT0667_PWW35.1_QC.xlsx</v>
      </c>
      <c r="AZ917" t="str">
        <v>LOT0667</v>
      </c>
      <c r="BA917" s="3">
        <v>16</v>
      </c>
      <c r="BB917" t="str">
        <v>P/Final</v>
      </c>
      <c r="BC917">
        <v>35</v>
      </c>
      <c r="BD917" s="10">
        <v>31.9</v>
      </c>
      <c r="BE917" s="10">
        <v>0</v>
      </c>
      <c r="BF917" s="10">
        <v>0</v>
      </c>
      <c r="BG917" s="13">
        <v>45546</v>
      </c>
    </row>
    <row r="918" spans="49:59" x14ac:dyDescent="0.3">
      <c r="AW918" s="1">
        <v>16.100000000000001</v>
      </c>
      <c r="AX918" s="1">
        <v>16.100000000000001</v>
      </c>
      <c r="AY918" t="str">
        <v>CP-R80_HI782-0_0.0_LOT0667_PWW35.1_QC.xlsx</v>
      </c>
      <c r="AZ918" t="str">
        <v>LOT0667</v>
      </c>
      <c r="BA918" s="3">
        <v>16</v>
      </c>
      <c r="BB918" t="str">
        <v>P/Final</v>
      </c>
      <c r="BC918">
        <v>35</v>
      </c>
      <c r="BD918" s="10">
        <v>29.6</v>
      </c>
      <c r="BE918" s="10">
        <v>0</v>
      </c>
      <c r="BF918" s="10">
        <v>0</v>
      </c>
      <c r="BG918" s="13">
        <v>45546</v>
      </c>
    </row>
    <row r="919" spans="49:59" x14ac:dyDescent="0.3">
      <c r="AW919" s="1">
        <v>16.100000000000001</v>
      </c>
      <c r="AX919" s="1">
        <v>16.100000000000001</v>
      </c>
      <c r="AY919" t="str">
        <v>CP-R80_HI782-0_0.0_LOT0667_PWW35.1_QC.xlsx</v>
      </c>
      <c r="AZ919" t="str">
        <v>LOT0667</v>
      </c>
      <c r="BA919" s="3">
        <v>16</v>
      </c>
      <c r="BB919" t="str">
        <v>P/Final</v>
      </c>
      <c r="BC919">
        <v>35</v>
      </c>
      <c r="BD919" s="10">
        <v>35.1</v>
      </c>
      <c r="BE919" s="10">
        <v>0</v>
      </c>
      <c r="BF919" s="10">
        <v>0</v>
      </c>
      <c r="BG919" s="13">
        <v>45546</v>
      </c>
    </row>
    <row r="920" spans="49:59" x14ac:dyDescent="0.3">
      <c r="AW920" s="1">
        <v>16.100000000000001</v>
      </c>
      <c r="AX920" s="1">
        <v>16.100000000000001</v>
      </c>
      <c r="AY920" t="str">
        <v>CP-R80_HI782-0_0.0_LOT0667_PWW35.1_QC.xlsx</v>
      </c>
      <c r="AZ920" t="str">
        <v>LOT0667</v>
      </c>
      <c r="BA920" s="3">
        <v>16</v>
      </c>
      <c r="BB920" t="str">
        <v>P/Final</v>
      </c>
      <c r="BC920">
        <v>60</v>
      </c>
      <c r="BD920" s="10">
        <v>55.2</v>
      </c>
      <c r="BE920" s="10">
        <v>0</v>
      </c>
      <c r="BF920" s="10">
        <v>0</v>
      </c>
      <c r="BG920" s="13">
        <v>45546</v>
      </c>
    </row>
    <row r="921" spans="49:59" x14ac:dyDescent="0.3">
      <c r="AW921" s="1">
        <v>16.100000000000001</v>
      </c>
      <c r="AX921" s="1">
        <v>16.100000000000001</v>
      </c>
      <c r="AY921" t="str">
        <v>CP-R80_HI782-0_0.0_LOT0667_PWW35.1_QC.xlsx</v>
      </c>
      <c r="AZ921" t="str">
        <v>LOT0667</v>
      </c>
      <c r="BA921" s="3">
        <v>16</v>
      </c>
      <c r="BB921" t="str">
        <v>P/Final</v>
      </c>
      <c r="BC921">
        <v>60</v>
      </c>
      <c r="BD921" s="10">
        <v>53.8</v>
      </c>
      <c r="BE921" s="10">
        <v>0</v>
      </c>
      <c r="BF921" s="10">
        <v>0</v>
      </c>
      <c r="BG921" s="13">
        <v>45546</v>
      </c>
    </row>
    <row r="922" spans="49:59" x14ac:dyDescent="0.3">
      <c r="AW922" s="1">
        <v>16.100000000000001</v>
      </c>
      <c r="AX922" s="1">
        <v>16.100000000000001</v>
      </c>
      <c r="AY922" t="str">
        <v>CP-R80_HI782-0_0.0_LOT0667_PWW35.1_QC.xlsx</v>
      </c>
      <c r="AZ922" t="str">
        <v>LOT0667</v>
      </c>
      <c r="BA922" s="3">
        <v>16</v>
      </c>
      <c r="BB922" t="str">
        <v>P/Final</v>
      </c>
      <c r="BC922">
        <v>60</v>
      </c>
      <c r="BD922" s="10">
        <v>49.7</v>
      </c>
      <c r="BE922" s="10">
        <v>0</v>
      </c>
      <c r="BF922" s="10">
        <v>0</v>
      </c>
      <c r="BG922" s="13">
        <v>45546</v>
      </c>
    </row>
    <row r="923" spans="49:59" x14ac:dyDescent="0.3">
      <c r="AW923" s="1">
        <v>16.100000000000001</v>
      </c>
      <c r="AX923" s="1">
        <v>16.100000000000001</v>
      </c>
      <c r="AY923" t="str">
        <v>CP-R80_HI782-0_0.0_LOT0667_PWW35.1_QC.xlsx</v>
      </c>
      <c r="AZ923" t="str">
        <v>LOT0667</v>
      </c>
      <c r="BA923" s="3">
        <v>16</v>
      </c>
      <c r="BB923" t="str">
        <v>P/Final</v>
      </c>
      <c r="BC923">
        <v>60</v>
      </c>
      <c r="BD923" s="10">
        <v>52.3</v>
      </c>
      <c r="BE923" s="10">
        <v>0</v>
      </c>
      <c r="BF923" s="10">
        <v>0</v>
      </c>
      <c r="BG923" s="13">
        <v>45546</v>
      </c>
    </row>
    <row r="924" spans="49:59" x14ac:dyDescent="0.3">
      <c r="AW924" s="1">
        <v>16.100000000000001</v>
      </c>
      <c r="AX924" s="1">
        <v>16.100000000000001</v>
      </c>
      <c r="AY924" t="str">
        <v>CP-R80_HI782-0_0.0_LOT0667_PWW35.1_QC.xlsx</v>
      </c>
      <c r="AZ924" t="str">
        <v>LOT0667</v>
      </c>
      <c r="BA924" s="3">
        <v>16</v>
      </c>
      <c r="BB924" t="str">
        <v>P/Final</v>
      </c>
      <c r="BC924">
        <v>60</v>
      </c>
      <c r="BD924" s="10">
        <v>43.2</v>
      </c>
      <c r="BE924" s="10">
        <v>0</v>
      </c>
      <c r="BF924" s="10">
        <v>0</v>
      </c>
      <c r="BG924" s="13">
        <v>45546</v>
      </c>
    </row>
    <row r="925" spans="49:59" x14ac:dyDescent="0.3">
      <c r="AW925" s="1">
        <v>16.100000000000001</v>
      </c>
      <c r="AX925" s="1">
        <v>16.100000000000001</v>
      </c>
      <c r="AY925" t="str">
        <v>CP-R80_HI782-0_0.0_LOT0667_PWW35.1_QC.xlsx</v>
      </c>
      <c r="AZ925" t="str">
        <v>LOT0667</v>
      </c>
      <c r="BA925" s="3">
        <v>16</v>
      </c>
      <c r="BB925" t="str">
        <v>P/Final</v>
      </c>
      <c r="BC925">
        <v>60</v>
      </c>
      <c r="BD925" s="10">
        <v>57.1</v>
      </c>
      <c r="BE925" s="10">
        <v>0</v>
      </c>
      <c r="BF925" s="10">
        <v>0</v>
      </c>
      <c r="BG925" s="13">
        <v>45546</v>
      </c>
    </row>
    <row r="926" spans="49:59" x14ac:dyDescent="0.3">
      <c r="AW926" s="1">
        <v>16.100000000000001</v>
      </c>
      <c r="AX926" s="1">
        <v>16.100000000000001</v>
      </c>
      <c r="AY926" t="str">
        <v>CP-R80_HI782-0_0.0_LOT0667_PWW35.1_QC.xlsx</v>
      </c>
      <c r="AZ926" t="str">
        <v>LOT0667</v>
      </c>
      <c r="BA926" s="3">
        <v>16</v>
      </c>
      <c r="BB926" t="str">
        <v>P/Final</v>
      </c>
      <c r="BC926">
        <v>60</v>
      </c>
      <c r="BD926" s="10">
        <v>53.4</v>
      </c>
      <c r="BE926" s="10">
        <v>0</v>
      </c>
      <c r="BF926" s="10">
        <v>0</v>
      </c>
      <c r="BG926" s="13">
        <v>45546</v>
      </c>
    </row>
    <row r="927" spans="49:59" x14ac:dyDescent="0.3">
      <c r="AW927" s="1">
        <v>16.100000000000001</v>
      </c>
      <c r="AX927" s="1">
        <v>16.100000000000001</v>
      </c>
      <c r="AY927" t="str">
        <v>CP-R80_HI782-0_0.0_LOT0667_PWW35.1_QC.xlsx</v>
      </c>
      <c r="AZ927" t="str">
        <v>LOT0667</v>
      </c>
      <c r="BA927" s="3">
        <v>16</v>
      </c>
      <c r="BB927" t="str">
        <v>P/Final</v>
      </c>
      <c r="BC927">
        <v>60</v>
      </c>
      <c r="BD927" s="10">
        <v>55.9</v>
      </c>
      <c r="BE927" s="10">
        <v>0</v>
      </c>
      <c r="BF927" s="10">
        <v>0</v>
      </c>
      <c r="BG927" s="13">
        <v>45546</v>
      </c>
    </row>
    <row r="928" spans="49:59" x14ac:dyDescent="0.3">
      <c r="AW928" s="1">
        <v>16.100000000000001</v>
      </c>
      <c r="AX928" s="1">
        <v>16.100000000000001</v>
      </c>
      <c r="AY928" t="str">
        <v>CP-R80_HI782-0_0.0_LOT0667_PWW35.1_QC.xlsx</v>
      </c>
      <c r="AZ928" t="str">
        <v>LOT0667</v>
      </c>
      <c r="BA928" s="3">
        <v>16</v>
      </c>
      <c r="BB928" t="str">
        <v>P/Final</v>
      </c>
      <c r="BC928">
        <v>60</v>
      </c>
      <c r="BD928" s="10">
        <v>53.9</v>
      </c>
      <c r="BE928" s="10">
        <v>0</v>
      </c>
      <c r="BF928" s="10">
        <v>0</v>
      </c>
      <c r="BG928" s="13">
        <v>45546</v>
      </c>
    </row>
    <row r="929" spans="49:59" x14ac:dyDescent="0.3">
      <c r="AW929" s="1">
        <v>16.100000000000001</v>
      </c>
      <c r="AX929" s="1">
        <v>16.100000000000001</v>
      </c>
      <c r="AY929" t="str">
        <v>CP-R80_HI782-0_0.0_LOT0667_PWW35.1_QC.xlsx</v>
      </c>
      <c r="AZ929" t="str">
        <v>LOT0667</v>
      </c>
      <c r="BA929" s="3">
        <v>16</v>
      </c>
      <c r="BB929" t="str">
        <v>P/Final</v>
      </c>
      <c r="BC929">
        <v>60</v>
      </c>
      <c r="BD929" s="10">
        <v>53.9</v>
      </c>
      <c r="BE929" s="10">
        <v>0</v>
      </c>
      <c r="BF929" s="10">
        <v>0</v>
      </c>
      <c r="BG929" s="13">
        <v>45546</v>
      </c>
    </row>
    <row r="930" spans="49:59" x14ac:dyDescent="0.3">
      <c r="AW930" s="1">
        <v>16.100000000000001</v>
      </c>
      <c r="AX930" s="1">
        <v>16.100000000000001</v>
      </c>
      <c r="AY930" t="str">
        <v>CP-R80_HI782-0_0.0_LOT0667_PWW35.1_QC.xlsx</v>
      </c>
      <c r="AZ930" t="str">
        <v>LOT0667</v>
      </c>
      <c r="BA930" s="3">
        <v>16</v>
      </c>
      <c r="BB930" t="str">
        <v>P/Final</v>
      </c>
      <c r="BC930">
        <v>60</v>
      </c>
      <c r="BD930" s="10">
        <v>49.3</v>
      </c>
      <c r="BE930" s="10">
        <v>0</v>
      </c>
      <c r="BF930" s="10">
        <v>0</v>
      </c>
      <c r="BG930" s="13">
        <v>45546</v>
      </c>
    </row>
    <row r="931" spans="49:59" x14ac:dyDescent="0.3">
      <c r="AW931" s="1">
        <v>16.100000000000001</v>
      </c>
      <c r="AX931" s="1">
        <v>16.100000000000001</v>
      </c>
      <c r="AY931" t="str">
        <v>CP-R80_HI782-0_0.0_LOT0667_PWW35.1_QC.xlsx</v>
      </c>
      <c r="AZ931" t="str">
        <v>LOT0667</v>
      </c>
      <c r="BA931" s="3">
        <v>16</v>
      </c>
      <c r="BB931" t="str">
        <v>P/Final</v>
      </c>
      <c r="BC931">
        <v>60</v>
      </c>
      <c r="BD931" s="10">
        <v>50.4</v>
      </c>
      <c r="BE931" s="10">
        <v>0</v>
      </c>
      <c r="BF931" s="10">
        <v>0</v>
      </c>
      <c r="BG931" s="13">
        <v>45546</v>
      </c>
    </row>
    <row r="932" spans="49:59" x14ac:dyDescent="0.3">
      <c r="AW932" s="1">
        <v>16.100000000000001</v>
      </c>
      <c r="AX932" s="1">
        <v>16.100000000000001</v>
      </c>
      <c r="AY932" t="str">
        <v>CP-R80_HI782-0_0.0_LOT0667_PWW35.1_QC.xlsx</v>
      </c>
      <c r="AZ932" t="str">
        <v>LOT0667</v>
      </c>
      <c r="BA932" s="3">
        <v>16</v>
      </c>
      <c r="BB932" t="str">
        <v>P/Final</v>
      </c>
      <c r="BC932">
        <v>60</v>
      </c>
      <c r="BD932" s="10">
        <v>53.3</v>
      </c>
      <c r="BE932" s="10">
        <v>0</v>
      </c>
      <c r="BF932" s="10">
        <v>0</v>
      </c>
      <c r="BG932" s="13">
        <v>45546</v>
      </c>
    </row>
    <row r="933" spans="49:59" x14ac:dyDescent="0.3">
      <c r="AW933" s="1">
        <v>16.100000000000001</v>
      </c>
      <c r="AX933" s="1">
        <v>16.100000000000001</v>
      </c>
      <c r="AY933" t="str">
        <v>CP-R80_HI782-0_0.0_LOT0667_PWW35.1_QC.xlsx</v>
      </c>
      <c r="AZ933" t="str">
        <v>LOT0667</v>
      </c>
      <c r="BA933" s="3">
        <v>16</v>
      </c>
      <c r="BB933" t="str">
        <v>P/Final</v>
      </c>
      <c r="BC933">
        <v>60</v>
      </c>
      <c r="BD933" s="10">
        <v>56.3</v>
      </c>
      <c r="BE933" s="10">
        <v>0</v>
      </c>
      <c r="BF933" s="10">
        <v>0</v>
      </c>
      <c r="BG933" s="13">
        <v>45546</v>
      </c>
    </row>
    <row r="934" spans="49:59" x14ac:dyDescent="0.3">
      <c r="AW934" s="1">
        <v>16.100000000000001</v>
      </c>
      <c r="AX934" s="1">
        <v>16.100000000000001</v>
      </c>
      <c r="AY934" t="str">
        <v>CP-R80_HI782-0_0.0_LOT0667_PWW35.1_QC.xlsx</v>
      </c>
      <c r="AZ934" t="str">
        <v>LOT0667</v>
      </c>
      <c r="BA934" s="3">
        <v>16</v>
      </c>
      <c r="BB934" t="str">
        <v>P/Final</v>
      </c>
      <c r="BC934">
        <v>60</v>
      </c>
      <c r="BD934" s="10">
        <v>57.2</v>
      </c>
      <c r="BE934" s="10">
        <v>0</v>
      </c>
      <c r="BF934" s="10">
        <v>0</v>
      </c>
      <c r="BG934" s="13">
        <v>45546</v>
      </c>
    </row>
    <row r="935" spans="49:59" x14ac:dyDescent="0.3">
      <c r="AW935" s="1">
        <v>16.100000000000001</v>
      </c>
      <c r="AX935" s="1">
        <v>16.100000000000001</v>
      </c>
      <c r="AY935" t="str">
        <v>CP-R80_HI782-0_0.0_LOT0667_PWW35.1_QC.xlsx</v>
      </c>
      <c r="AZ935" t="str">
        <v>LOT0667</v>
      </c>
      <c r="BA935" s="3">
        <v>16</v>
      </c>
      <c r="BB935" t="str">
        <v>P/Final</v>
      </c>
      <c r="BC935">
        <v>60</v>
      </c>
      <c r="BD935" s="10">
        <v>55.8</v>
      </c>
      <c r="BE935" s="10">
        <v>0</v>
      </c>
      <c r="BF935" s="10">
        <v>0</v>
      </c>
      <c r="BG935" s="13">
        <v>45546</v>
      </c>
    </row>
    <row r="936" spans="49:59" x14ac:dyDescent="0.3">
      <c r="AW936" s="1">
        <v>16.100000000000001</v>
      </c>
      <c r="AX936" s="1">
        <v>16.100000000000001</v>
      </c>
      <c r="AY936" t="str">
        <v>CP-R80_HI782-0_0.0_LOT0667_PWW35.1_QC.xlsx</v>
      </c>
      <c r="AZ936" t="str">
        <v>LOT0667</v>
      </c>
      <c r="BA936" s="3">
        <v>16</v>
      </c>
      <c r="BB936" t="str">
        <v>P/Final</v>
      </c>
      <c r="BC936">
        <v>15</v>
      </c>
      <c r="BD936" s="10">
        <v>13.3</v>
      </c>
      <c r="BE936" s="10">
        <v>0</v>
      </c>
      <c r="BF936" s="10">
        <v>0</v>
      </c>
      <c r="BG936" s="13">
        <v>45547</v>
      </c>
    </row>
    <row r="937" spans="49:59" x14ac:dyDescent="0.3">
      <c r="AW937" s="1">
        <v>16.100000000000001</v>
      </c>
      <c r="AX937" s="1">
        <v>16.100000000000001</v>
      </c>
      <c r="AY937" t="str">
        <v>CP-R80_HI782-0_0.0_LOT0667_PWW35.1_QC.xlsx</v>
      </c>
      <c r="AZ937" t="str">
        <v>LOT0667</v>
      </c>
      <c r="BA937" s="3">
        <v>16</v>
      </c>
      <c r="BB937" t="str">
        <v>P/Final</v>
      </c>
      <c r="BC937">
        <v>15</v>
      </c>
      <c r="BD937" s="10">
        <v>13.4</v>
      </c>
      <c r="BE937" s="10">
        <v>0</v>
      </c>
      <c r="BF937" s="10">
        <v>0</v>
      </c>
      <c r="BG937" s="13">
        <v>45547</v>
      </c>
    </row>
    <row r="938" spans="49:59" x14ac:dyDescent="0.3">
      <c r="AW938" s="1">
        <v>16.100000000000001</v>
      </c>
      <c r="AX938" s="1">
        <v>16.100000000000001</v>
      </c>
      <c r="AY938" t="str">
        <v>CP-R80_HI782-0_0.0_LOT0667_PWW35.1_QC.xlsx</v>
      </c>
      <c r="AZ938" t="str">
        <v>LOT0667</v>
      </c>
      <c r="BA938" s="3">
        <v>16</v>
      </c>
      <c r="BB938" t="str">
        <v>P/Final</v>
      </c>
      <c r="BC938">
        <v>15</v>
      </c>
      <c r="BD938" s="10">
        <v>13.9</v>
      </c>
      <c r="BE938" s="10">
        <v>0</v>
      </c>
      <c r="BF938" s="10">
        <v>0</v>
      </c>
      <c r="BG938" s="13">
        <v>45547</v>
      </c>
    </row>
    <row r="939" spans="49:59" x14ac:dyDescent="0.3">
      <c r="AW939" s="1">
        <v>16.100000000000001</v>
      </c>
      <c r="AX939" s="1">
        <v>16.100000000000001</v>
      </c>
      <c r="AY939" t="str">
        <v>CP-R80_HI782-0_0.0_LOT0667_PWW35.1_QC.xlsx</v>
      </c>
      <c r="AZ939" t="str">
        <v>LOT0667</v>
      </c>
      <c r="BA939" s="3">
        <v>16</v>
      </c>
      <c r="BB939" t="str">
        <v>P/Final</v>
      </c>
      <c r="BC939">
        <v>15</v>
      </c>
      <c r="BD939" s="10">
        <v>13.5</v>
      </c>
      <c r="BE939" s="10">
        <v>0</v>
      </c>
      <c r="BF939" s="10">
        <v>0</v>
      </c>
      <c r="BG939" s="13">
        <v>45547</v>
      </c>
    </row>
    <row r="940" spans="49:59" x14ac:dyDescent="0.3">
      <c r="AW940" s="1">
        <v>16.100000000000001</v>
      </c>
      <c r="AX940" s="1">
        <v>16.100000000000001</v>
      </c>
      <c r="AY940" t="str">
        <v>CP-R80_HI782-0_0.0_LOT0667_PWW35.1_QC.xlsx</v>
      </c>
      <c r="AZ940" t="str">
        <v>LOT0667</v>
      </c>
      <c r="BA940" s="3">
        <v>16</v>
      </c>
      <c r="BB940" t="str">
        <v>P/Final</v>
      </c>
      <c r="BC940">
        <v>15</v>
      </c>
      <c r="BD940" s="10">
        <v>12.6</v>
      </c>
      <c r="BE940" s="10">
        <v>0</v>
      </c>
      <c r="BF940" s="10">
        <v>0</v>
      </c>
      <c r="BG940" s="13">
        <v>45547</v>
      </c>
    </row>
    <row r="941" spans="49:59" x14ac:dyDescent="0.3">
      <c r="AW941" s="1">
        <v>16.100000000000001</v>
      </c>
      <c r="AX941" s="1">
        <v>16.100000000000001</v>
      </c>
      <c r="AY941" t="str">
        <v>CP-R80_HI782-0_0.0_LOT0667_PWW35.1_QC.xlsx</v>
      </c>
      <c r="AZ941" t="str">
        <v>LOT0667</v>
      </c>
      <c r="BA941" s="3">
        <v>16</v>
      </c>
      <c r="BB941" t="str">
        <v>P/Final</v>
      </c>
      <c r="BC941">
        <v>15</v>
      </c>
      <c r="BD941" s="10">
        <v>13.9</v>
      </c>
      <c r="BE941" s="10">
        <v>0</v>
      </c>
      <c r="BF941" s="10">
        <v>0</v>
      </c>
      <c r="BG941" s="13">
        <v>45547</v>
      </c>
    </row>
    <row r="942" spans="49:59" x14ac:dyDescent="0.3">
      <c r="AW942" s="1">
        <v>16.100000000000001</v>
      </c>
      <c r="AX942" s="1">
        <v>16.100000000000001</v>
      </c>
      <c r="AY942" t="str">
        <v>CP-R80_HI782-0_0.0_LOT0667_PWW35.1_QC.xlsx</v>
      </c>
      <c r="AZ942" t="str">
        <v>LOT0667</v>
      </c>
      <c r="BA942" s="3">
        <v>16</v>
      </c>
      <c r="BB942" t="str">
        <v>P/Final</v>
      </c>
      <c r="BC942">
        <v>15</v>
      </c>
      <c r="BD942" s="10">
        <v>13.6</v>
      </c>
      <c r="BE942" s="10">
        <v>0</v>
      </c>
      <c r="BF942" s="10">
        <v>0</v>
      </c>
      <c r="BG942" s="13">
        <v>45547</v>
      </c>
    </row>
    <row r="943" spans="49:59" x14ac:dyDescent="0.3">
      <c r="AW943" s="1">
        <v>16.100000000000001</v>
      </c>
      <c r="AX943" s="1">
        <v>16.100000000000001</v>
      </c>
      <c r="AY943" t="str">
        <v>CP-R80_HI782-0_0.0_LOT0667_PWW35.1_QC.xlsx</v>
      </c>
      <c r="AZ943" t="str">
        <v>LOT0667</v>
      </c>
      <c r="BA943" s="3">
        <v>16</v>
      </c>
      <c r="BB943" t="str">
        <v>P/Final</v>
      </c>
      <c r="BC943">
        <v>15</v>
      </c>
      <c r="BD943" s="10">
        <v>12.8</v>
      </c>
      <c r="BE943" s="10">
        <v>0</v>
      </c>
      <c r="BF943" s="10">
        <v>0</v>
      </c>
      <c r="BG943" s="13">
        <v>45547</v>
      </c>
    </row>
    <row r="944" spans="49:59" x14ac:dyDescent="0.3">
      <c r="AW944" s="1">
        <v>16.100000000000001</v>
      </c>
      <c r="AX944" s="1">
        <v>16.100000000000001</v>
      </c>
      <c r="AY944" t="str">
        <v>CP-R80_HI782-0_0.0_LOT0667_PWW35.1_QC.xlsx</v>
      </c>
      <c r="AZ944" t="str">
        <v>LOT0667</v>
      </c>
      <c r="BA944" s="3">
        <v>16</v>
      </c>
      <c r="BB944" t="str">
        <v>P/Final</v>
      </c>
      <c r="BC944">
        <v>15</v>
      </c>
      <c r="BD944" s="10">
        <v>12.8</v>
      </c>
      <c r="BE944" s="10">
        <v>0</v>
      </c>
      <c r="BF944" s="10">
        <v>0</v>
      </c>
      <c r="BG944" s="13">
        <v>45547</v>
      </c>
    </row>
    <row r="945" spans="49:59" x14ac:dyDescent="0.3">
      <c r="AW945" s="1">
        <v>16.100000000000001</v>
      </c>
      <c r="AX945" s="1">
        <v>16.100000000000001</v>
      </c>
      <c r="AY945" t="str">
        <v>CP-R80_HI782-0_0.0_LOT0667_PWW35.1_QC.xlsx</v>
      </c>
      <c r="AZ945" t="str">
        <v>LOT0667</v>
      </c>
      <c r="BA945" s="3">
        <v>16</v>
      </c>
      <c r="BB945" t="str">
        <v>P/Final</v>
      </c>
      <c r="BC945">
        <v>15</v>
      </c>
      <c r="BD945" s="10">
        <v>13.8</v>
      </c>
      <c r="BE945" s="10">
        <v>0</v>
      </c>
      <c r="BF945" s="10">
        <v>0</v>
      </c>
      <c r="BG945" s="13">
        <v>45547</v>
      </c>
    </row>
    <row r="946" spans="49:59" x14ac:dyDescent="0.3">
      <c r="AW946" s="1">
        <v>16.100000000000001</v>
      </c>
      <c r="AX946" s="1">
        <v>16.100000000000001</v>
      </c>
      <c r="AY946" t="str">
        <v>CP-R80_HI782-0_0.0_LOT0667_PWW35.1_QC.xlsx</v>
      </c>
      <c r="AZ946" t="str">
        <v>LOT0667</v>
      </c>
      <c r="BA946" s="3">
        <v>16</v>
      </c>
      <c r="BB946" t="str">
        <v>P/Final</v>
      </c>
      <c r="BC946">
        <v>15</v>
      </c>
      <c r="BD946" s="10">
        <v>13</v>
      </c>
      <c r="BE946" s="10">
        <v>0</v>
      </c>
      <c r="BF946" s="10">
        <v>0</v>
      </c>
      <c r="BG946" s="13">
        <v>45547</v>
      </c>
    </row>
    <row r="947" spans="49:59" x14ac:dyDescent="0.3">
      <c r="AW947" s="1">
        <v>16.100000000000001</v>
      </c>
      <c r="AX947" s="1">
        <v>16.100000000000001</v>
      </c>
      <c r="AY947" t="str">
        <v>CP-R80_HI782-0_0.0_LOT0667_PWW35.1_QC.xlsx</v>
      </c>
      <c r="AZ947" t="str">
        <v>LOT0667</v>
      </c>
      <c r="BA947" s="3">
        <v>16</v>
      </c>
      <c r="BB947" t="str">
        <v>P/Final</v>
      </c>
      <c r="BC947">
        <v>15</v>
      </c>
      <c r="BD947" s="10">
        <v>13.4</v>
      </c>
      <c r="BE947" s="10">
        <v>0</v>
      </c>
      <c r="BF947" s="10">
        <v>0</v>
      </c>
      <c r="BG947" s="13">
        <v>45547</v>
      </c>
    </row>
    <row r="948" spans="49:59" x14ac:dyDescent="0.3">
      <c r="AW948" s="1">
        <v>16.100000000000001</v>
      </c>
      <c r="AX948" s="1">
        <v>16.100000000000001</v>
      </c>
      <c r="AY948" t="str">
        <v>CP-R80_HI782-0_0.0_LOT0667_PWW35.1_QC.xlsx</v>
      </c>
      <c r="AZ948" t="str">
        <v>LOT0667</v>
      </c>
      <c r="BA948" s="3">
        <v>16</v>
      </c>
      <c r="BB948" t="str">
        <v>P/Final</v>
      </c>
      <c r="BC948">
        <v>15</v>
      </c>
      <c r="BD948" s="10">
        <v>12.8</v>
      </c>
      <c r="BE948" s="10">
        <v>0</v>
      </c>
      <c r="BF948" s="10">
        <v>0</v>
      </c>
      <c r="BG948" s="13">
        <v>45547</v>
      </c>
    </row>
    <row r="949" spans="49:59" x14ac:dyDescent="0.3">
      <c r="AW949" s="1">
        <v>16.100000000000001</v>
      </c>
      <c r="AX949" s="1">
        <v>16.100000000000001</v>
      </c>
      <c r="AY949" t="str">
        <v>CP-R80_HI782-0_0.0_LOT0667_PWW35.1_QC.xlsx</v>
      </c>
      <c r="AZ949" t="str">
        <v>LOT0667</v>
      </c>
      <c r="BA949" s="3">
        <v>16</v>
      </c>
      <c r="BB949" t="str">
        <v>P/Final</v>
      </c>
      <c r="BC949">
        <v>15</v>
      </c>
      <c r="BD949" s="10">
        <v>12.3</v>
      </c>
      <c r="BE949" s="10">
        <v>0</v>
      </c>
      <c r="BF949" s="10">
        <v>0</v>
      </c>
      <c r="BG949" s="13">
        <v>45547</v>
      </c>
    </row>
    <row r="950" spans="49:59" x14ac:dyDescent="0.3">
      <c r="AW950" s="1">
        <v>16.100000000000001</v>
      </c>
      <c r="AX950" s="1">
        <v>16.100000000000001</v>
      </c>
      <c r="AY950" t="str">
        <v>CP-R80_HI782-0_0.0_LOT0667_PWW35.1_QC.xlsx</v>
      </c>
      <c r="AZ950" t="str">
        <v>LOT0667</v>
      </c>
      <c r="BA950" s="3">
        <v>16</v>
      </c>
      <c r="BB950" t="str">
        <v>P/Final</v>
      </c>
      <c r="BC950">
        <v>15</v>
      </c>
      <c r="BD950" s="10">
        <v>12.7</v>
      </c>
      <c r="BE950" s="10">
        <v>0</v>
      </c>
      <c r="BF950" s="10">
        <v>0</v>
      </c>
      <c r="BG950" s="13">
        <v>45547</v>
      </c>
    </row>
    <row r="951" spans="49:59" x14ac:dyDescent="0.3">
      <c r="AW951" s="1">
        <v>16.100000000000001</v>
      </c>
      <c r="AX951" s="1">
        <v>16.100000000000001</v>
      </c>
      <c r="AY951" t="str">
        <v>CP-R80_HI782-0_0.0_LOT0667_PWW35.1_QC.xlsx</v>
      </c>
      <c r="AZ951" t="str">
        <v>LOT0667</v>
      </c>
      <c r="BA951" s="3">
        <v>16</v>
      </c>
      <c r="BB951" t="str">
        <v>P/Final</v>
      </c>
      <c r="BC951">
        <v>15</v>
      </c>
      <c r="BD951" s="10">
        <v>15.5</v>
      </c>
      <c r="BE951" s="10">
        <v>0</v>
      </c>
      <c r="BF951" s="10">
        <v>0</v>
      </c>
      <c r="BG951" s="13">
        <v>45547</v>
      </c>
    </row>
    <row r="952" spans="49:59" x14ac:dyDescent="0.3">
      <c r="AW952" s="1">
        <v>16.100000000000001</v>
      </c>
      <c r="AX952" s="1">
        <v>16.100000000000001</v>
      </c>
      <c r="AY952" t="str">
        <v>CP-R80_HI782-0_0.0_LOT0667_PWW35.1_QC.xlsx</v>
      </c>
      <c r="AZ952" t="str">
        <v>LOT0667</v>
      </c>
      <c r="BA952" s="3">
        <v>16</v>
      </c>
      <c r="BB952" t="str">
        <v>P/Final</v>
      </c>
      <c r="BC952">
        <v>15</v>
      </c>
      <c r="BD952" s="10">
        <v>15</v>
      </c>
      <c r="BE952" s="10">
        <v>0</v>
      </c>
      <c r="BF952" s="10">
        <v>0</v>
      </c>
      <c r="BG952" s="13">
        <v>45547</v>
      </c>
    </row>
    <row r="953" spans="49:59" x14ac:dyDescent="0.3">
      <c r="AW953" s="1">
        <v>16.100000000000001</v>
      </c>
      <c r="AX953" s="1">
        <v>16.100000000000001</v>
      </c>
      <c r="AY953" t="str">
        <v>CP-R80_HI782-0_0.0_LOT0667_PWW35.1_QC.xlsx</v>
      </c>
      <c r="AZ953" t="str">
        <v>LOT0667</v>
      </c>
      <c r="BA953" s="3">
        <v>16</v>
      </c>
      <c r="BB953" t="str">
        <v>P/Final</v>
      </c>
      <c r="BC953">
        <v>15</v>
      </c>
      <c r="BD953" s="10">
        <v>16.8</v>
      </c>
      <c r="BE953" s="10">
        <v>0</v>
      </c>
      <c r="BF953" s="10">
        <v>0</v>
      </c>
      <c r="BG953" s="13">
        <v>45547</v>
      </c>
    </row>
    <row r="954" spans="49:59" x14ac:dyDescent="0.3">
      <c r="AW954" s="1">
        <v>16.100000000000001</v>
      </c>
      <c r="AX954" s="1">
        <v>16.100000000000001</v>
      </c>
      <c r="AY954" t="str">
        <v>CP-R80_HI782-0_0.0_LOT0667_PWW35.1_QC.xlsx</v>
      </c>
      <c r="AZ954" t="str">
        <v>LOT0667</v>
      </c>
      <c r="BA954" s="3">
        <v>16</v>
      </c>
      <c r="BB954" t="str">
        <v>P/Final</v>
      </c>
      <c r="BC954">
        <v>15</v>
      </c>
      <c r="BD954" s="10">
        <v>16.899999999999999</v>
      </c>
      <c r="BE954" s="10">
        <v>0</v>
      </c>
      <c r="BF954" s="10">
        <v>0</v>
      </c>
      <c r="BG954" s="13">
        <v>45547</v>
      </c>
    </row>
    <row r="955" spans="49:59" x14ac:dyDescent="0.3">
      <c r="AW955" s="1">
        <v>16.100000000000001</v>
      </c>
      <c r="AX955" s="1">
        <v>16.100000000000001</v>
      </c>
      <c r="AY955" t="str">
        <v>CP-R80_HI782-0_0.0_LOT0667_PWW35.1_QC.xlsx</v>
      </c>
      <c r="AZ955" t="str">
        <v>LOT0667</v>
      </c>
      <c r="BA955" s="3">
        <v>16</v>
      </c>
      <c r="BB955" t="str">
        <v>P/Final</v>
      </c>
      <c r="BC955">
        <v>15</v>
      </c>
      <c r="BD955" s="10">
        <v>12.3</v>
      </c>
      <c r="BE955" s="10">
        <v>0</v>
      </c>
      <c r="BF955" s="10">
        <v>0</v>
      </c>
      <c r="BG955" s="13">
        <v>45547</v>
      </c>
    </row>
    <row r="956" spans="49:59" x14ac:dyDescent="0.3">
      <c r="AW956" s="1">
        <v>16.100000000000001</v>
      </c>
      <c r="AX956" s="1">
        <v>16.100000000000001</v>
      </c>
      <c r="AY956" t="str">
        <v>CP-R80_HI782-0_0.0_LOT0667_PWW35.1_QC.xlsx</v>
      </c>
      <c r="AZ956" t="str">
        <v>LOT0667</v>
      </c>
      <c r="BA956" s="3">
        <v>16</v>
      </c>
      <c r="BB956" t="str">
        <v>P/Final</v>
      </c>
      <c r="BC956">
        <v>35</v>
      </c>
      <c r="BD956" s="10">
        <v>33.4</v>
      </c>
      <c r="BE956" s="10">
        <v>0</v>
      </c>
      <c r="BF956" s="10">
        <v>0</v>
      </c>
      <c r="BG956" s="13">
        <v>45547</v>
      </c>
    </row>
    <row r="957" spans="49:59" x14ac:dyDescent="0.3">
      <c r="AW957" s="1">
        <v>16.100000000000001</v>
      </c>
      <c r="AX957" s="1">
        <v>16.100000000000001</v>
      </c>
      <c r="AY957" t="str">
        <v>CP-R80_HI782-0_0.0_LOT0667_PWW35.1_QC.xlsx</v>
      </c>
      <c r="AZ957" t="str">
        <v>LOT0667</v>
      </c>
      <c r="BA957" s="3">
        <v>16</v>
      </c>
      <c r="BB957" t="str">
        <v>P/Final</v>
      </c>
      <c r="BC957">
        <v>35</v>
      </c>
      <c r="BD957" s="10">
        <v>34.799999999999997</v>
      </c>
      <c r="BE957" s="10">
        <v>0</v>
      </c>
      <c r="BF957" s="10">
        <v>0</v>
      </c>
      <c r="BG957" s="13">
        <v>45547</v>
      </c>
    </row>
    <row r="958" spans="49:59" x14ac:dyDescent="0.3">
      <c r="AW958" s="1">
        <v>16.100000000000001</v>
      </c>
      <c r="AX958" s="1">
        <v>16.100000000000001</v>
      </c>
      <c r="AY958" t="str">
        <v>CP-R80_HI782-0_0.0_LOT0667_PWW35.1_QC.xlsx</v>
      </c>
      <c r="AZ958" t="str">
        <v>LOT0667</v>
      </c>
      <c r="BA958" s="3">
        <v>16</v>
      </c>
      <c r="BB958" t="str">
        <v>P/Final</v>
      </c>
      <c r="BC958">
        <v>35</v>
      </c>
      <c r="BD958" s="10">
        <v>33.299999999999997</v>
      </c>
      <c r="BE958" s="10">
        <v>0</v>
      </c>
      <c r="BF958" s="10">
        <v>0</v>
      </c>
      <c r="BG958" s="13">
        <v>45547</v>
      </c>
    </row>
    <row r="959" spans="49:59" x14ac:dyDescent="0.3">
      <c r="AW959" s="1">
        <v>16.100000000000001</v>
      </c>
      <c r="AX959" s="1">
        <v>16.100000000000001</v>
      </c>
      <c r="AY959" t="str">
        <v>CP-R80_HI782-0_0.0_LOT0667_PWW35.1_QC.xlsx</v>
      </c>
      <c r="AZ959" t="str">
        <v>LOT0667</v>
      </c>
      <c r="BA959" s="3">
        <v>16</v>
      </c>
      <c r="BB959" t="str">
        <v>P/Final</v>
      </c>
      <c r="BC959">
        <v>35</v>
      </c>
      <c r="BD959" s="10">
        <v>34.4</v>
      </c>
      <c r="BE959" s="10">
        <v>0</v>
      </c>
      <c r="BF959" s="10">
        <v>0</v>
      </c>
      <c r="BG959" s="13">
        <v>45547</v>
      </c>
    </row>
    <row r="960" spans="49:59" x14ac:dyDescent="0.3">
      <c r="AW960" s="1">
        <v>16.100000000000001</v>
      </c>
      <c r="AX960" s="1">
        <v>16.100000000000001</v>
      </c>
      <c r="AY960" t="str">
        <v>CP-R80_HI782-0_0.0_LOT0667_PWW35.1_QC.xlsx</v>
      </c>
      <c r="AZ960" t="str">
        <v>LOT0667</v>
      </c>
      <c r="BA960" s="3">
        <v>16</v>
      </c>
      <c r="BB960" t="str">
        <v>P/Final</v>
      </c>
      <c r="BC960">
        <v>35</v>
      </c>
      <c r="BD960" s="10">
        <v>36.799999999999997</v>
      </c>
      <c r="BE960" s="10">
        <v>0</v>
      </c>
      <c r="BF960" s="10">
        <v>0</v>
      </c>
      <c r="BG960" s="13">
        <v>45547</v>
      </c>
    </row>
    <row r="961" spans="49:59" x14ac:dyDescent="0.3">
      <c r="AW961" s="1">
        <v>16.100000000000001</v>
      </c>
      <c r="AX961" s="1">
        <v>16.100000000000001</v>
      </c>
      <c r="AY961" t="str">
        <v>CP-R80_HI782-0_0.0_LOT0667_PWW35.1_QC.xlsx</v>
      </c>
      <c r="AZ961" t="str">
        <v>LOT0667</v>
      </c>
      <c r="BA961" s="3">
        <v>16</v>
      </c>
      <c r="BB961" t="str">
        <v>P/Final</v>
      </c>
      <c r="BC961">
        <v>35</v>
      </c>
      <c r="BD961" s="10">
        <v>34.5</v>
      </c>
      <c r="BE961" s="10">
        <v>0</v>
      </c>
      <c r="BF961" s="10">
        <v>0</v>
      </c>
      <c r="BG961" s="13">
        <v>45547</v>
      </c>
    </row>
    <row r="962" spans="49:59" x14ac:dyDescent="0.3">
      <c r="AW962" s="1">
        <v>16.100000000000001</v>
      </c>
      <c r="AX962" s="1">
        <v>16.100000000000001</v>
      </c>
      <c r="AY962" t="str">
        <v>CP-R80_HI782-0_0.0_LOT0667_PWW35.1_QC.xlsx</v>
      </c>
      <c r="AZ962" t="str">
        <v>LOT0667</v>
      </c>
      <c r="BA962" s="3">
        <v>16</v>
      </c>
      <c r="BB962" t="str">
        <v>P/Final</v>
      </c>
      <c r="BC962">
        <v>35</v>
      </c>
      <c r="BD962" s="10">
        <v>33.700000000000003</v>
      </c>
      <c r="BE962" s="10">
        <v>0</v>
      </c>
      <c r="BF962" s="10">
        <v>0</v>
      </c>
      <c r="BG962" s="13">
        <v>45547</v>
      </c>
    </row>
    <row r="963" spans="49:59" x14ac:dyDescent="0.3">
      <c r="AW963" s="1">
        <v>16.100000000000001</v>
      </c>
      <c r="AX963" s="1">
        <v>16.100000000000001</v>
      </c>
      <c r="AY963" t="str">
        <v>CP-R80_HI782-0_0.0_LOT0667_PWW35.1_QC.xlsx</v>
      </c>
      <c r="AZ963" t="str">
        <v>LOT0667</v>
      </c>
      <c r="BA963" s="3">
        <v>16</v>
      </c>
      <c r="BB963" t="str">
        <v>P/Final</v>
      </c>
      <c r="BC963">
        <v>35</v>
      </c>
      <c r="BD963" s="10">
        <v>33.200000000000003</v>
      </c>
      <c r="BE963" s="10">
        <v>0</v>
      </c>
      <c r="BF963" s="10">
        <v>0</v>
      </c>
      <c r="BG963" s="13">
        <v>45547</v>
      </c>
    </row>
    <row r="964" spans="49:59" x14ac:dyDescent="0.3">
      <c r="AW964" s="1">
        <v>16.100000000000001</v>
      </c>
      <c r="AX964" s="1">
        <v>16.100000000000001</v>
      </c>
      <c r="AY964" t="str">
        <v>CP-R80_HI782-0_0.0_LOT0667_PWW35.1_QC.xlsx</v>
      </c>
      <c r="AZ964" t="str">
        <v>LOT0667</v>
      </c>
      <c r="BA964" s="3">
        <v>16</v>
      </c>
      <c r="BB964" t="str">
        <v>P/Final</v>
      </c>
      <c r="BC964">
        <v>35</v>
      </c>
      <c r="BD964" s="10">
        <v>33.200000000000003</v>
      </c>
      <c r="BE964" s="10">
        <v>0</v>
      </c>
      <c r="BF964" s="10">
        <v>0</v>
      </c>
      <c r="BG964" s="13">
        <v>45547</v>
      </c>
    </row>
    <row r="965" spans="49:59" x14ac:dyDescent="0.3">
      <c r="AW965" s="1">
        <v>16.100000000000001</v>
      </c>
      <c r="AX965" s="1">
        <v>16.100000000000001</v>
      </c>
      <c r="AY965" t="str">
        <v>CP-R80_HI782-0_0.0_LOT0667_PWW35.1_QC.xlsx</v>
      </c>
      <c r="AZ965" t="str">
        <v>LOT0667</v>
      </c>
      <c r="BA965" s="3">
        <v>16</v>
      </c>
      <c r="BB965" t="str">
        <v>P/Final</v>
      </c>
      <c r="BC965">
        <v>35</v>
      </c>
      <c r="BD965" s="10">
        <v>33.200000000000003</v>
      </c>
      <c r="BE965" s="10">
        <v>0</v>
      </c>
      <c r="BF965" s="10">
        <v>0</v>
      </c>
      <c r="BG965" s="13">
        <v>45547</v>
      </c>
    </row>
    <row r="966" spans="49:59" x14ac:dyDescent="0.3">
      <c r="AW966" s="1">
        <v>16.100000000000001</v>
      </c>
      <c r="AX966" s="1">
        <v>16.100000000000001</v>
      </c>
      <c r="AY966" t="str">
        <v>CP-R80_HI782-0_0.0_LOT0667_PWW35.1_QC.xlsx</v>
      </c>
      <c r="AZ966" t="str">
        <v>LOT0667</v>
      </c>
      <c r="BA966" s="3">
        <v>16</v>
      </c>
      <c r="BB966" t="str">
        <v>P/Final</v>
      </c>
      <c r="BC966">
        <v>35</v>
      </c>
      <c r="BD966" s="10">
        <v>34.200000000000003</v>
      </c>
      <c r="BE966" s="10">
        <v>0</v>
      </c>
      <c r="BF966" s="10">
        <v>0</v>
      </c>
      <c r="BG966" s="13">
        <v>45547</v>
      </c>
    </row>
    <row r="967" spans="49:59" x14ac:dyDescent="0.3">
      <c r="AW967" s="1">
        <v>16.100000000000001</v>
      </c>
      <c r="AX967" s="1">
        <v>16.100000000000001</v>
      </c>
      <c r="AY967" t="str">
        <v>CP-R80_HI782-0_0.0_LOT0667_PWW35.1_QC.xlsx</v>
      </c>
      <c r="AZ967" t="str">
        <v>LOT0667</v>
      </c>
      <c r="BA967" s="3">
        <v>16</v>
      </c>
      <c r="BB967" t="str">
        <v>P/Final</v>
      </c>
      <c r="BC967">
        <v>35</v>
      </c>
      <c r="BD967" s="10">
        <v>31.7</v>
      </c>
      <c r="BE967" s="10">
        <v>0</v>
      </c>
      <c r="BF967" s="10">
        <v>0</v>
      </c>
      <c r="BG967" s="13">
        <v>45547</v>
      </c>
    </row>
    <row r="968" spans="49:59" x14ac:dyDescent="0.3">
      <c r="AW968" s="1">
        <v>16.100000000000001</v>
      </c>
      <c r="AX968" s="1">
        <v>16.100000000000001</v>
      </c>
      <c r="AY968" t="str">
        <v>CP-R80_HI782-0_0.0_LOT0667_PWW35.1_QC.xlsx</v>
      </c>
      <c r="AZ968" t="str">
        <v>LOT0667</v>
      </c>
      <c r="BA968" s="3">
        <v>16</v>
      </c>
      <c r="BB968" t="str">
        <v>P/Final</v>
      </c>
      <c r="BC968">
        <v>35</v>
      </c>
      <c r="BD968" s="10">
        <v>32.200000000000003</v>
      </c>
      <c r="BE968" s="10">
        <v>0</v>
      </c>
      <c r="BF968" s="10">
        <v>0</v>
      </c>
      <c r="BG968" s="13">
        <v>45547</v>
      </c>
    </row>
    <row r="969" spans="49:59" x14ac:dyDescent="0.3">
      <c r="AW969" s="1">
        <v>16.100000000000001</v>
      </c>
      <c r="AX969" s="1">
        <v>16.100000000000001</v>
      </c>
      <c r="AY969" t="str">
        <v>CP-R80_HI782-0_0.0_LOT0667_PWW35.1_QC.xlsx</v>
      </c>
      <c r="AZ969" t="str">
        <v>LOT0667</v>
      </c>
      <c r="BA969" s="3">
        <v>16</v>
      </c>
      <c r="BB969" t="str">
        <v>P/Final</v>
      </c>
      <c r="BC969">
        <v>35</v>
      </c>
      <c r="BD969" s="10">
        <v>35</v>
      </c>
      <c r="BE969" s="10">
        <v>0</v>
      </c>
      <c r="BF969" s="10">
        <v>0</v>
      </c>
      <c r="BG969" s="13">
        <v>45547</v>
      </c>
    </row>
    <row r="970" spans="49:59" x14ac:dyDescent="0.3">
      <c r="AW970" s="1">
        <v>16.100000000000001</v>
      </c>
      <c r="AX970" s="1">
        <v>16.100000000000001</v>
      </c>
      <c r="AY970" t="str">
        <v>CP-R80_HI782-0_0.0_LOT0667_PWW35.1_QC.xlsx</v>
      </c>
      <c r="AZ970" t="str">
        <v>LOT0667</v>
      </c>
      <c r="BA970" s="3">
        <v>16</v>
      </c>
      <c r="BB970" t="str">
        <v>P/Final</v>
      </c>
      <c r="BC970">
        <v>35</v>
      </c>
      <c r="BD970" s="10">
        <v>35.299999999999997</v>
      </c>
      <c r="BE970" s="10">
        <v>0</v>
      </c>
      <c r="BF970" s="10">
        <v>0</v>
      </c>
      <c r="BG970" s="13">
        <v>45547</v>
      </c>
    </row>
    <row r="971" spans="49:59" x14ac:dyDescent="0.3">
      <c r="AW971" s="1">
        <v>16.100000000000001</v>
      </c>
      <c r="AX971" s="1">
        <v>16.100000000000001</v>
      </c>
      <c r="AY971" t="str">
        <v>CP-R80_HI782-0_0.0_LOT0667_PWW35.1_QC.xlsx</v>
      </c>
      <c r="AZ971" t="str">
        <v>LOT0667</v>
      </c>
      <c r="BA971" s="3">
        <v>16</v>
      </c>
      <c r="BB971" t="str">
        <v>P/Final</v>
      </c>
      <c r="BC971">
        <v>35</v>
      </c>
      <c r="BD971" s="10">
        <v>35.700000000000003</v>
      </c>
      <c r="BE971" s="10">
        <v>0</v>
      </c>
      <c r="BF971" s="10">
        <v>0</v>
      </c>
      <c r="BG971" s="13">
        <v>45547</v>
      </c>
    </row>
    <row r="972" spans="49:59" x14ac:dyDescent="0.3">
      <c r="AW972" s="1">
        <v>16.100000000000001</v>
      </c>
      <c r="AX972" s="1">
        <v>16.100000000000001</v>
      </c>
      <c r="AY972" t="str">
        <v>CP-R80_HI782-0_0.0_LOT0667_PWW35.1_QC.xlsx</v>
      </c>
      <c r="AZ972" t="str">
        <v>LOT0667</v>
      </c>
      <c r="BA972" s="3">
        <v>16</v>
      </c>
      <c r="BB972" t="str">
        <v>P/Final</v>
      </c>
      <c r="BC972">
        <v>35</v>
      </c>
      <c r="BD972" s="10">
        <v>34.299999999999997</v>
      </c>
      <c r="BE972" s="10">
        <v>0</v>
      </c>
      <c r="BF972" s="10">
        <v>0</v>
      </c>
      <c r="BG972" s="13">
        <v>45547</v>
      </c>
    </row>
    <row r="973" spans="49:59" x14ac:dyDescent="0.3">
      <c r="AW973" s="1">
        <v>16.100000000000001</v>
      </c>
      <c r="AX973" s="1">
        <v>16.100000000000001</v>
      </c>
      <c r="AY973" t="str">
        <v>CP-R80_HI782-0_0.0_LOT0667_PWW35.1_QC.xlsx</v>
      </c>
      <c r="AZ973" t="str">
        <v>LOT0667</v>
      </c>
      <c r="BA973" s="3">
        <v>16</v>
      </c>
      <c r="BB973" t="str">
        <v>P/Final</v>
      </c>
      <c r="BC973">
        <v>35</v>
      </c>
      <c r="BD973" s="10">
        <v>37.200000000000003</v>
      </c>
      <c r="BE973" s="10">
        <v>0</v>
      </c>
      <c r="BF973" s="10">
        <v>0</v>
      </c>
      <c r="BG973" s="13">
        <v>45547</v>
      </c>
    </row>
    <row r="974" spans="49:59" x14ac:dyDescent="0.3">
      <c r="AW974" s="1">
        <v>16.100000000000001</v>
      </c>
      <c r="AX974" s="1">
        <v>16.100000000000001</v>
      </c>
      <c r="AY974" t="str">
        <v>CP-R80_HI782-0_0.0_LOT0667_PWW35.1_QC.xlsx</v>
      </c>
      <c r="AZ974" t="str">
        <v>LOT0667</v>
      </c>
      <c r="BA974" s="3">
        <v>16</v>
      </c>
      <c r="BB974" t="str">
        <v>P/Final</v>
      </c>
      <c r="BC974">
        <v>35</v>
      </c>
      <c r="BD974" s="10">
        <v>34.200000000000003</v>
      </c>
      <c r="BE974" s="10">
        <v>0</v>
      </c>
      <c r="BF974" s="10">
        <v>0</v>
      </c>
      <c r="BG974" s="13">
        <v>45547</v>
      </c>
    </row>
    <row r="975" spans="49:59" x14ac:dyDescent="0.3">
      <c r="AW975" s="1">
        <v>16.100000000000001</v>
      </c>
      <c r="AX975" s="1">
        <v>16.100000000000001</v>
      </c>
      <c r="AY975" t="str">
        <v>CP-R80_HI782-0_0.0_LOT0667_PWW35.1_QC.xlsx</v>
      </c>
      <c r="AZ975" t="str">
        <v>LOT0667</v>
      </c>
      <c r="BA975" s="3">
        <v>16</v>
      </c>
      <c r="BB975" t="str">
        <v>P/Final</v>
      </c>
      <c r="BC975">
        <v>35</v>
      </c>
      <c r="BD975" s="10">
        <v>32.799999999999997</v>
      </c>
      <c r="BE975" s="10">
        <v>0</v>
      </c>
      <c r="BF975" s="10">
        <v>0</v>
      </c>
      <c r="BG975" s="13">
        <v>45547</v>
      </c>
    </row>
    <row r="976" spans="49:59" x14ac:dyDescent="0.3">
      <c r="AW976" s="1">
        <v>16.100000000000001</v>
      </c>
      <c r="AX976" s="1">
        <v>16.100000000000001</v>
      </c>
      <c r="AY976" t="str">
        <v>CP-R80_HI782-0_0.0_LOT0667_PWW35.1_QC.xlsx</v>
      </c>
      <c r="AZ976" t="str">
        <v>LOT0667</v>
      </c>
      <c r="BA976" s="3">
        <v>16</v>
      </c>
      <c r="BB976" t="str">
        <v>P/Final</v>
      </c>
      <c r="BC976">
        <v>35</v>
      </c>
      <c r="BD976" s="10">
        <v>40.200000000000003</v>
      </c>
      <c r="BE976" s="10">
        <v>0</v>
      </c>
      <c r="BF976" s="10">
        <v>0</v>
      </c>
      <c r="BG976" s="13">
        <v>45547</v>
      </c>
    </row>
    <row r="977" spans="49:59" x14ac:dyDescent="0.3">
      <c r="AW977" s="1">
        <v>16.100000000000001</v>
      </c>
      <c r="AX977" s="1">
        <v>16.100000000000001</v>
      </c>
      <c r="AY977" t="str">
        <v>CP-R80_HI782-0_0.0_LOT0667_PWW35.1_QC.xlsx</v>
      </c>
      <c r="AZ977" t="str">
        <v>LOT0667</v>
      </c>
      <c r="BA977" s="3">
        <v>16</v>
      </c>
      <c r="BB977" t="str">
        <v>P/Final</v>
      </c>
      <c r="BC977">
        <v>35</v>
      </c>
      <c r="BD977" s="10">
        <v>33.6</v>
      </c>
      <c r="BE977" s="10">
        <v>0</v>
      </c>
      <c r="BF977" s="10">
        <v>0</v>
      </c>
      <c r="BG977" s="13">
        <v>45547</v>
      </c>
    </row>
    <row r="978" spans="49:59" x14ac:dyDescent="0.3">
      <c r="AW978" s="1">
        <v>16.100000000000001</v>
      </c>
      <c r="AX978" s="1">
        <v>16.100000000000001</v>
      </c>
      <c r="AY978" t="str">
        <v>CP-R80_HI782-0_0.0_LOT0667_PWW35.1_QC.xlsx</v>
      </c>
      <c r="AZ978" t="str">
        <v>LOT0667</v>
      </c>
      <c r="BA978" s="3">
        <v>16</v>
      </c>
      <c r="BB978" t="str">
        <v>P/Final</v>
      </c>
      <c r="BC978">
        <v>60</v>
      </c>
      <c r="BD978" s="10">
        <v>58.2</v>
      </c>
      <c r="BE978" s="10">
        <v>0</v>
      </c>
      <c r="BF978" s="10">
        <v>0</v>
      </c>
      <c r="BG978" s="13">
        <v>45547</v>
      </c>
    </row>
    <row r="979" spans="49:59" x14ac:dyDescent="0.3">
      <c r="AW979" s="1">
        <v>16.100000000000001</v>
      </c>
      <c r="AX979" s="1">
        <v>16.100000000000001</v>
      </c>
      <c r="AY979" t="str">
        <v>CP-R80_HI782-0_0.0_LOT0667_PWW35.1_QC.xlsx</v>
      </c>
      <c r="AZ979" t="str">
        <v>LOT0667</v>
      </c>
      <c r="BA979" s="3">
        <v>16</v>
      </c>
      <c r="BB979" t="str">
        <v>P/Final</v>
      </c>
      <c r="BC979">
        <v>60</v>
      </c>
      <c r="BD979" s="10">
        <v>56.5</v>
      </c>
      <c r="BE979" s="10">
        <v>0</v>
      </c>
      <c r="BF979" s="10">
        <v>0</v>
      </c>
      <c r="BG979" s="13">
        <v>45547</v>
      </c>
    </row>
    <row r="980" spans="49:59" x14ac:dyDescent="0.3">
      <c r="AW980" s="1">
        <v>16.100000000000001</v>
      </c>
      <c r="AX980" s="1">
        <v>16.100000000000001</v>
      </c>
      <c r="AY980" t="str">
        <v>CP-R80_HI782-0_0.0_LOT0667_PWW35.1_QC.xlsx</v>
      </c>
      <c r="AZ980" t="str">
        <v>LOT0667</v>
      </c>
      <c r="BA980" s="3">
        <v>16</v>
      </c>
      <c r="BB980" t="str">
        <v>P/Final</v>
      </c>
      <c r="BC980">
        <v>60</v>
      </c>
      <c r="BD980" s="10">
        <v>58.2</v>
      </c>
      <c r="BE980" s="10">
        <v>0</v>
      </c>
      <c r="BF980" s="10">
        <v>0</v>
      </c>
      <c r="BG980" s="13">
        <v>45547</v>
      </c>
    </row>
    <row r="981" spans="49:59" x14ac:dyDescent="0.3">
      <c r="AW981" s="1">
        <v>16.100000000000001</v>
      </c>
      <c r="AX981" s="1">
        <v>16.100000000000001</v>
      </c>
      <c r="AY981" t="str">
        <v>CP-R80_HI782-0_0.0_LOT0667_PWW35.1_QC.xlsx</v>
      </c>
      <c r="AZ981" t="str">
        <v>LOT0667</v>
      </c>
      <c r="BA981" s="3">
        <v>16</v>
      </c>
      <c r="BB981" t="str">
        <v>P/Final</v>
      </c>
      <c r="BC981">
        <v>60</v>
      </c>
      <c r="BD981" s="10">
        <v>56.1</v>
      </c>
      <c r="BE981" s="10">
        <v>0</v>
      </c>
      <c r="BF981" s="10">
        <v>0</v>
      </c>
      <c r="BG981" s="13">
        <v>45547</v>
      </c>
    </row>
    <row r="982" spans="49:59" x14ac:dyDescent="0.3">
      <c r="AW982" s="1">
        <v>16.100000000000001</v>
      </c>
      <c r="AX982" s="1">
        <v>16.100000000000001</v>
      </c>
      <c r="AY982" t="str">
        <v>CP-R80_HI782-0_0.0_LOT0667_PWW35.1_QC.xlsx</v>
      </c>
      <c r="AZ982" t="str">
        <v>LOT0667</v>
      </c>
      <c r="BA982" s="3">
        <v>16</v>
      </c>
      <c r="BB982" t="str">
        <v>P/Final</v>
      </c>
      <c r="BC982">
        <v>60</v>
      </c>
      <c r="BD982" s="10">
        <v>57.7</v>
      </c>
      <c r="BE982" s="10">
        <v>0</v>
      </c>
      <c r="BF982" s="10">
        <v>0</v>
      </c>
      <c r="BG982" s="13">
        <v>45547</v>
      </c>
    </row>
    <row r="983" spans="49:59" x14ac:dyDescent="0.3">
      <c r="AW983" s="1">
        <v>16.100000000000001</v>
      </c>
      <c r="AX983" s="1">
        <v>16.100000000000001</v>
      </c>
      <c r="AY983" t="str">
        <v>CP-R80_HI782-0_0.0_LOT0667_PWW35.1_QC.xlsx</v>
      </c>
      <c r="AZ983" t="str">
        <v>LOT0667</v>
      </c>
      <c r="BA983" s="3">
        <v>16</v>
      </c>
      <c r="BB983" t="str">
        <v>P/Final</v>
      </c>
      <c r="BC983">
        <v>60</v>
      </c>
      <c r="BD983" s="10">
        <v>58.1</v>
      </c>
      <c r="BE983" s="10">
        <v>0</v>
      </c>
      <c r="BF983" s="10">
        <v>0</v>
      </c>
      <c r="BG983" s="13">
        <v>45547</v>
      </c>
    </row>
    <row r="984" spans="49:59" x14ac:dyDescent="0.3">
      <c r="AW984" s="1">
        <v>16.100000000000001</v>
      </c>
      <c r="AX984" s="1">
        <v>16.100000000000001</v>
      </c>
      <c r="AY984" t="str">
        <v>CP-R80_HI782-0_0.0_LOT0667_PWW35.1_QC.xlsx</v>
      </c>
      <c r="AZ984" t="str">
        <v>LOT0667</v>
      </c>
      <c r="BA984" s="3">
        <v>16</v>
      </c>
      <c r="BB984" t="str">
        <v>P/Final</v>
      </c>
      <c r="BC984">
        <v>60</v>
      </c>
      <c r="BD984" s="10">
        <v>58.9</v>
      </c>
      <c r="BE984" s="10">
        <v>0</v>
      </c>
      <c r="BF984" s="10">
        <v>0</v>
      </c>
      <c r="BG984" s="13">
        <v>45547</v>
      </c>
    </row>
    <row r="985" spans="49:59" x14ac:dyDescent="0.3">
      <c r="AW985" s="1">
        <v>16.100000000000001</v>
      </c>
      <c r="AX985" s="1">
        <v>16.100000000000001</v>
      </c>
      <c r="AY985" t="str">
        <v>CP-R80_HI782-0_0.0_LOT0667_PWW35.1_QC.xlsx</v>
      </c>
      <c r="AZ985" t="str">
        <v>LOT0667</v>
      </c>
      <c r="BA985" s="3">
        <v>16</v>
      </c>
      <c r="BB985" t="str">
        <v>P/Final</v>
      </c>
      <c r="BC985">
        <v>60</v>
      </c>
      <c r="BD985" s="10">
        <v>57.5</v>
      </c>
      <c r="BE985" s="10">
        <v>0</v>
      </c>
      <c r="BF985" s="10">
        <v>0</v>
      </c>
      <c r="BG985" s="13">
        <v>45547</v>
      </c>
    </row>
    <row r="986" spans="49:59" x14ac:dyDescent="0.3">
      <c r="AW986" s="1">
        <v>16.100000000000001</v>
      </c>
      <c r="AX986" s="1">
        <v>16.100000000000001</v>
      </c>
      <c r="AY986" t="str">
        <v>CP-R80_HI782-0_0.0_LOT0667_PWW35.1_QC.xlsx</v>
      </c>
      <c r="AZ986" t="str">
        <v>LOT0667</v>
      </c>
      <c r="BA986" s="3">
        <v>16</v>
      </c>
      <c r="BB986" t="str">
        <v>P/Final</v>
      </c>
      <c r="BC986">
        <v>60</v>
      </c>
      <c r="BD986" s="10">
        <v>57.5</v>
      </c>
      <c r="BE986" s="10">
        <v>0</v>
      </c>
      <c r="BF986" s="10">
        <v>0</v>
      </c>
      <c r="BG986" s="13">
        <v>45547</v>
      </c>
    </row>
    <row r="987" spans="49:59" x14ac:dyDescent="0.3">
      <c r="AW987" s="1">
        <v>16.100000000000001</v>
      </c>
      <c r="AX987" s="1">
        <v>16.100000000000001</v>
      </c>
      <c r="AY987" t="str">
        <v>CP-R80_HI782-0_0.0_LOT0667_PWW35.1_QC.xlsx</v>
      </c>
      <c r="AZ987" t="str">
        <v>LOT0667</v>
      </c>
      <c r="BA987" s="3">
        <v>16</v>
      </c>
      <c r="BB987" t="str">
        <v>P/Final</v>
      </c>
      <c r="BC987">
        <v>60</v>
      </c>
      <c r="BD987" s="10">
        <v>55.3</v>
      </c>
      <c r="BE987" s="10">
        <v>0</v>
      </c>
      <c r="BF987" s="10">
        <v>0</v>
      </c>
      <c r="BG987" s="13">
        <v>45547</v>
      </c>
    </row>
    <row r="988" spans="49:59" x14ac:dyDescent="0.3">
      <c r="AW988" s="1">
        <v>16.100000000000001</v>
      </c>
      <c r="AX988" s="1">
        <v>16.100000000000001</v>
      </c>
      <c r="AY988" t="str">
        <v>CP-R80_HI782-0_0.0_LOT0667_PWW35.1_QC.xlsx</v>
      </c>
      <c r="AZ988" t="str">
        <v>LOT0667</v>
      </c>
      <c r="BA988" s="3">
        <v>16</v>
      </c>
      <c r="BB988" t="str">
        <v>P/Final</v>
      </c>
      <c r="BC988">
        <v>60</v>
      </c>
      <c r="BD988" s="10">
        <v>54.8</v>
      </c>
      <c r="BE988" s="10">
        <v>0</v>
      </c>
      <c r="BF988" s="10">
        <v>0</v>
      </c>
      <c r="BG988" s="13">
        <v>45547</v>
      </c>
    </row>
    <row r="989" spans="49:59" x14ac:dyDescent="0.3">
      <c r="AW989" s="1">
        <v>16.100000000000001</v>
      </c>
      <c r="AX989" s="1">
        <v>16.100000000000001</v>
      </c>
      <c r="AY989" t="str">
        <v>CP-R80_HI782-0_0.0_LOT0667_PWW35.1_QC.xlsx</v>
      </c>
      <c r="AZ989" t="str">
        <v>LOT0667</v>
      </c>
      <c r="BA989" s="3">
        <v>16</v>
      </c>
      <c r="BB989" t="str">
        <v>P/Final</v>
      </c>
      <c r="BC989">
        <v>60</v>
      </c>
      <c r="BD989" s="10">
        <v>56.8</v>
      </c>
      <c r="BE989" s="10">
        <v>0</v>
      </c>
      <c r="BF989" s="10">
        <v>0</v>
      </c>
      <c r="BG989" s="13">
        <v>45547</v>
      </c>
    </row>
    <row r="990" spans="49:59" x14ac:dyDescent="0.3">
      <c r="AW990" s="1">
        <v>16.100000000000001</v>
      </c>
      <c r="AX990" s="1">
        <v>16.100000000000001</v>
      </c>
      <c r="AY990" t="str">
        <v>CP-R80_HI782-0_0.0_LOT0667_PWW35.1_QC.xlsx</v>
      </c>
      <c r="AZ990" t="str">
        <v>LOT0667</v>
      </c>
      <c r="BA990" s="3">
        <v>16</v>
      </c>
      <c r="BB990" t="str">
        <v>P/Final</v>
      </c>
      <c r="BC990">
        <v>60</v>
      </c>
      <c r="BD990" s="10">
        <v>58.9</v>
      </c>
      <c r="BE990" s="10">
        <v>0</v>
      </c>
      <c r="BF990" s="10">
        <v>0</v>
      </c>
      <c r="BG990" s="13">
        <v>45547</v>
      </c>
    </row>
    <row r="991" spans="49:59" x14ac:dyDescent="0.3">
      <c r="AW991" s="1">
        <v>16.100000000000001</v>
      </c>
      <c r="AX991" s="1">
        <v>16.100000000000001</v>
      </c>
      <c r="AY991" t="str">
        <v>CP-R80_HI782-0_0.0_LOT0667_PWW35.1_QC.xlsx</v>
      </c>
      <c r="AZ991" t="str">
        <v>LOT0667</v>
      </c>
      <c r="BA991" s="3">
        <v>16</v>
      </c>
      <c r="BB991" t="str">
        <v>P/Final</v>
      </c>
      <c r="BC991">
        <v>60</v>
      </c>
      <c r="BD991" s="10">
        <v>57.3</v>
      </c>
      <c r="BE991" s="10">
        <v>0</v>
      </c>
      <c r="BF991" s="10">
        <v>0</v>
      </c>
      <c r="BG991" s="13">
        <v>45547</v>
      </c>
    </row>
    <row r="992" spans="49:59" x14ac:dyDescent="0.3">
      <c r="AW992" s="1">
        <v>16.100000000000001</v>
      </c>
      <c r="AX992" s="1">
        <v>16.100000000000001</v>
      </c>
      <c r="AY992" t="str">
        <v>CP-R80_HI782-0_0.0_LOT0667_PWW35.1_QC.xlsx</v>
      </c>
      <c r="AZ992" t="str">
        <v>LOT0667</v>
      </c>
      <c r="BA992" s="3">
        <v>16</v>
      </c>
      <c r="BB992" t="str">
        <v>P/Final</v>
      </c>
      <c r="BC992">
        <v>60</v>
      </c>
      <c r="BD992" s="10">
        <v>61.3</v>
      </c>
      <c r="BE992" s="10">
        <v>0</v>
      </c>
      <c r="BF992" s="10">
        <v>0</v>
      </c>
      <c r="BG992" s="13">
        <v>45547</v>
      </c>
    </row>
    <row r="993" spans="49:59" x14ac:dyDescent="0.3">
      <c r="AW993" s="1">
        <v>16.100000000000001</v>
      </c>
      <c r="AX993" s="1">
        <v>16.100000000000001</v>
      </c>
      <c r="AY993" t="str">
        <v>CP-R80_HI782-0_0.0_LOT0667_PWW35.1_QC.xlsx</v>
      </c>
      <c r="AZ993" t="str">
        <v>LOT0667</v>
      </c>
      <c r="BA993" s="3">
        <v>16</v>
      </c>
      <c r="BB993" t="str">
        <v>P/Final</v>
      </c>
      <c r="BC993">
        <v>60</v>
      </c>
      <c r="BD993" s="10">
        <v>56.1</v>
      </c>
      <c r="BE993" s="10">
        <v>0</v>
      </c>
      <c r="BF993" s="10">
        <v>0</v>
      </c>
      <c r="BG993" s="13">
        <v>45547</v>
      </c>
    </row>
    <row r="994" spans="49:59" x14ac:dyDescent="0.3">
      <c r="AW994" s="1">
        <v>16.100000000000001</v>
      </c>
      <c r="AX994" s="1">
        <v>16.100000000000001</v>
      </c>
      <c r="AY994" t="str">
        <v>CP-R80_HI782-0_0.0_LOT0667_PWW35.1_QC.xlsx</v>
      </c>
      <c r="AZ994" t="str">
        <v>LOT0667</v>
      </c>
      <c r="BA994" s="3">
        <v>16</v>
      </c>
      <c r="BB994" t="str">
        <v>P/Final</v>
      </c>
      <c r="BC994">
        <v>60</v>
      </c>
      <c r="BD994" s="10">
        <v>54.1</v>
      </c>
      <c r="BE994" s="10">
        <v>0</v>
      </c>
      <c r="BF994" s="10">
        <v>0</v>
      </c>
      <c r="BG994" s="13">
        <v>45547</v>
      </c>
    </row>
    <row r="995" spans="49:59" x14ac:dyDescent="0.3">
      <c r="AW995" s="1">
        <v>16.100000000000001</v>
      </c>
      <c r="AX995" s="1">
        <v>16.100000000000001</v>
      </c>
      <c r="AY995" t="str">
        <v>CP-R80_HI782-0_0.0_LOT0667_PWW35.1_QC.xlsx</v>
      </c>
      <c r="AZ995" t="str">
        <v>LOT0667</v>
      </c>
      <c r="BA995" s="3">
        <v>16</v>
      </c>
      <c r="BB995" t="str">
        <v>P/Final</v>
      </c>
      <c r="BC995">
        <v>60</v>
      </c>
      <c r="BD995" s="10">
        <v>53.5</v>
      </c>
      <c r="BE995" s="10">
        <v>0</v>
      </c>
      <c r="BF995" s="10">
        <v>0</v>
      </c>
      <c r="BG995" s="13">
        <v>45547</v>
      </c>
    </row>
    <row r="996" spans="49:59" x14ac:dyDescent="0.3">
      <c r="AW996" s="1">
        <v>16.100000000000001</v>
      </c>
      <c r="AX996" s="1">
        <v>16.100000000000001</v>
      </c>
      <c r="AY996" t="str">
        <v>CP-R80_HI782-0_0.0_LOT0667_PWW35.1_QC.xlsx</v>
      </c>
      <c r="AZ996" t="str">
        <v>LOT0667</v>
      </c>
      <c r="BA996" s="3">
        <v>16</v>
      </c>
      <c r="BB996" t="str">
        <v>P/Final</v>
      </c>
      <c r="BC996">
        <v>60</v>
      </c>
      <c r="BD996" s="10">
        <v>54.5</v>
      </c>
      <c r="BE996" s="10">
        <v>0</v>
      </c>
      <c r="BF996" s="10">
        <v>0</v>
      </c>
      <c r="BG996" s="13">
        <v>45547</v>
      </c>
    </row>
    <row r="997" spans="49:59" x14ac:dyDescent="0.3">
      <c r="AW997" s="1">
        <v>16.100000000000001</v>
      </c>
      <c r="AX997" s="1">
        <v>16.100000000000001</v>
      </c>
      <c r="AY997" t="str">
        <v>CP-R80_HI782-0_0.0_LOT0667_PWW35.1_QC.xlsx</v>
      </c>
      <c r="AZ997" t="str">
        <v>LOT0667</v>
      </c>
      <c r="BA997" s="3">
        <v>16</v>
      </c>
      <c r="BB997" t="str">
        <v>P/Final</v>
      </c>
      <c r="BC997">
        <v>60</v>
      </c>
      <c r="BD997" s="10">
        <v>55.5</v>
      </c>
      <c r="BE997" s="10">
        <v>0</v>
      </c>
      <c r="BF997" s="10">
        <v>0</v>
      </c>
      <c r="BG997" s="13">
        <v>45547</v>
      </c>
    </row>
    <row r="998" spans="49:59" x14ac:dyDescent="0.3">
      <c r="AW998" s="1">
        <v>16.100000000000001</v>
      </c>
      <c r="AX998" s="1">
        <v>16.100000000000001</v>
      </c>
      <c r="AY998" t="str">
        <v>CP-R80_HI782-0_0.0_LOT0667_PWW35.1_QC.xlsx</v>
      </c>
      <c r="AZ998" t="str">
        <v>LOT0667</v>
      </c>
      <c r="BA998" s="3">
        <v>16</v>
      </c>
      <c r="BB998" t="str">
        <v>P/Final</v>
      </c>
      <c r="BC998">
        <v>15</v>
      </c>
      <c r="BD998" s="10">
        <v>14.6</v>
      </c>
      <c r="BE998" s="10">
        <v>0</v>
      </c>
      <c r="BF998" s="10">
        <v>0</v>
      </c>
      <c r="BG998" s="13">
        <v>45548</v>
      </c>
    </row>
    <row r="999" spans="49:59" x14ac:dyDescent="0.3">
      <c r="AW999" s="1">
        <v>16.100000000000001</v>
      </c>
      <c r="AX999" s="1">
        <v>16.100000000000001</v>
      </c>
      <c r="AY999" t="str">
        <v>CP-R80_HI782-0_0.0_LOT0667_PWW35.1_QC.xlsx</v>
      </c>
      <c r="AZ999" t="str">
        <v>LOT0667</v>
      </c>
      <c r="BA999" s="3">
        <v>16</v>
      </c>
      <c r="BB999" t="str">
        <v>P/Final</v>
      </c>
      <c r="BC999">
        <v>15</v>
      </c>
      <c r="BD999" s="10">
        <v>12.8</v>
      </c>
      <c r="BE999" s="10">
        <v>0</v>
      </c>
      <c r="BF999" s="10">
        <v>0</v>
      </c>
      <c r="BG999" s="13">
        <v>45548</v>
      </c>
    </row>
    <row r="1000" spans="49:59" x14ac:dyDescent="0.3">
      <c r="AW1000" s="1">
        <v>16.100000000000001</v>
      </c>
      <c r="AX1000" s="1">
        <v>16.100000000000001</v>
      </c>
      <c r="AY1000" t="str">
        <v>CP-R80_HI782-0_0.0_LOT0667_PWW35.1_QC.xlsx</v>
      </c>
      <c r="AZ1000" t="str">
        <v>LOT0667</v>
      </c>
      <c r="BA1000" s="3">
        <v>16</v>
      </c>
      <c r="BB1000" t="str">
        <v>P/Final</v>
      </c>
      <c r="BC1000">
        <v>15</v>
      </c>
      <c r="BD1000" s="10">
        <v>13.2</v>
      </c>
      <c r="BE1000" s="10">
        <v>0</v>
      </c>
      <c r="BF1000" s="10">
        <v>0</v>
      </c>
      <c r="BG1000" s="13">
        <v>45548</v>
      </c>
    </row>
    <row r="1001" spans="49:59" x14ac:dyDescent="0.3">
      <c r="AW1001" s="1">
        <v>16.100000000000001</v>
      </c>
      <c r="AX1001" s="1">
        <v>16.100000000000001</v>
      </c>
      <c r="AY1001" t="str">
        <v>CP-R80_HI782-0_0.0_LOT0667_PWW35.1_QC.xlsx</v>
      </c>
      <c r="AZ1001" t="str">
        <v>LOT0667</v>
      </c>
      <c r="BA1001" s="3">
        <v>16</v>
      </c>
      <c r="BB1001" t="str">
        <v>P/Final</v>
      </c>
      <c r="BC1001">
        <v>15</v>
      </c>
      <c r="BD1001" s="10">
        <v>12.9</v>
      </c>
      <c r="BE1001" s="10">
        <v>0</v>
      </c>
      <c r="BF1001" s="10">
        <v>0</v>
      </c>
      <c r="BG1001" s="13">
        <v>45548</v>
      </c>
    </row>
    <row r="1002" spans="49:59" x14ac:dyDescent="0.3">
      <c r="AW1002" s="1">
        <v>16.100000000000001</v>
      </c>
      <c r="AX1002" s="1">
        <v>16.100000000000001</v>
      </c>
      <c r="AY1002" t="str">
        <v>CP-R80_HI782-0_0.0_LOT0667_PWW35.1_QC.xlsx</v>
      </c>
      <c r="AZ1002" t="str">
        <v>LOT0667</v>
      </c>
      <c r="BA1002" s="3">
        <v>16</v>
      </c>
      <c r="BB1002" t="str">
        <v>P/Final</v>
      </c>
      <c r="BC1002">
        <v>15</v>
      </c>
      <c r="BD1002" s="10">
        <v>14</v>
      </c>
      <c r="BE1002" s="10">
        <v>0</v>
      </c>
      <c r="BF1002" s="10">
        <v>0</v>
      </c>
      <c r="BG1002" s="13">
        <v>45548</v>
      </c>
    </row>
    <row r="1003" spans="49:59" x14ac:dyDescent="0.3">
      <c r="AW1003" s="1">
        <v>16.100000000000001</v>
      </c>
      <c r="AX1003" s="1">
        <v>16.100000000000001</v>
      </c>
      <c r="AY1003" t="str">
        <v>CP-R80_HI782-0_0.0_LOT0667_PWW35.1_QC.xlsx</v>
      </c>
      <c r="AZ1003" t="str">
        <v>LOT0667</v>
      </c>
      <c r="BA1003" s="3">
        <v>16</v>
      </c>
      <c r="BB1003" t="str">
        <v>P/Final</v>
      </c>
      <c r="BC1003">
        <v>15</v>
      </c>
      <c r="BD1003" s="10">
        <v>14.8</v>
      </c>
      <c r="BE1003" s="10">
        <v>0</v>
      </c>
      <c r="BF1003" s="10">
        <v>0</v>
      </c>
      <c r="BG1003" s="13">
        <v>45548</v>
      </c>
    </row>
    <row r="1004" spans="49:59" x14ac:dyDescent="0.3">
      <c r="AW1004" s="1">
        <v>16.100000000000001</v>
      </c>
      <c r="AX1004" s="1">
        <v>16.100000000000001</v>
      </c>
      <c r="AY1004" t="str">
        <v>CP-R80_HI782-0_0.0_LOT0667_PWW35.1_QC.xlsx</v>
      </c>
      <c r="AZ1004" t="str">
        <v>LOT0667</v>
      </c>
      <c r="BA1004" s="3">
        <v>16</v>
      </c>
      <c r="BB1004" t="str">
        <v>P/Final</v>
      </c>
      <c r="BC1004">
        <v>15</v>
      </c>
      <c r="BD1004" s="10">
        <v>12.3</v>
      </c>
      <c r="BE1004" s="10">
        <v>0</v>
      </c>
      <c r="BF1004" s="10">
        <v>0</v>
      </c>
      <c r="BG1004" s="13">
        <v>45548</v>
      </c>
    </row>
    <row r="1005" spans="49:59" x14ac:dyDescent="0.3">
      <c r="AW1005" s="1">
        <v>16.100000000000001</v>
      </c>
      <c r="AX1005" s="1">
        <v>16.100000000000001</v>
      </c>
      <c r="AY1005" t="str">
        <v>CP-R80_HI782-0_0.0_LOT0667_PWW35.1_QC.xlsx</v>
      </c>
      <c r="AZ1005" t="str">
        <v>LOT0667</v>
      </c>
      <c r="BA1005" s="3">
        <v>16</v>
      </c>
      <c r="BB1005" t="str">
        <v>P/Final</v>
      </c>
      <c r="BC1005">
        <v>15</v>
      </c>
      <c r="BD1005" s="10">
        <v>12.8</v>
      </c>
      <c r="BE1005" s="10">
        <v>0</v>
      </c>
      <c r="BF1005" s="10">
        <v>0</v>
      </c>
      <c r="BG1005" s="13">
        <v>45548</v>
      </c>
    </row>
    <row r="1006" spans="49:59" x14ac:dyDescent="0.3">
      <c r="AW1006" s="1">
        <v>16.100000000000001</v>
      </c>
      <c r="AX1006" s="1">
        <v>16.100000000000001</v>
      </c>
      <c r="AY1006" t="str">
        <v>CP-R80_HI782-0_0.0_LOT0667_PWW35.1_QC.xlsx</v>
      </c>
      <c r="AZ1006" t="str">
        <v>LOT0667</v>
      </c>
      <c r="BA1006" s="3">
        <v>16</v>
      </c>
      <c r="BB1006" t="str">
        <v>P/Final</v>
      </c>
      <c r="BC1006">
        <v>15</v>
      </c>
      <c r="BD1006" s="10">
        <v>12.8</v>
      </c>
      <c r="BE1006" s="10">
        <v>0</v>
      </c>
      <c r="BF1006" s="10">
        <v>0</v>
      </c>
      <c r="BG1006" s="13">
        <v>45548</v>
      </c>
    </row>
    <row r="1007" spans="49:59" x14ac:dyDescent="0.3">
      <c r="AW1007" s="1">
        <v>16.100000000000001</v>
      </c>
      <c r="AX1007" s="1">
        <v>16.100000000000001</v>
      </c>
      <c r="AY1007" t="str">
        <v>CP-R80_HI782-0_0.0_LOT0667_PWW35.1_QC.xlsx</v>
      </c>
      <c r="AZ1007" t="str">
        <v>LOT0667</v>
      </c>
      <c r="BA1007" s="3">
        <v>16</v>
      </c>
      <c r="BB1007" t="str">
        <v>P/Final</v>
      </c>
      <c r="BC1007">
        <v>15</v>
      </c>
      <c r="BD1007" s="10">
        <v>13.6</v>
      </c>
      <c r="BE1007" s="10">
        <v>0</v>
      </c>
      <c r="BF1007" s="10">
        <v>0</v>
      </c>
      <c r="BG1007" s="13">
        <v>45548</v>
      </c>
    </row>
    <row r="1008" spans="49:59" x14ac:dyDescent="0.3">
      <c r="AW1008" s="1">
        <v>16.100000000000001</v>
      </c>
      <c r="AX1008" s="1">
        <v>16.100000000000001</v>
      </c>
      <c r="AY1008" t="str">
        <v>CP-R80_HI782-0_0.0_LOT0667_PWW35.1_QC.xlsx</v>
      </c>
      <c r="AZ1008" t="str">
        <v>LOT0667</v>
      </c>
      <c r="BA1008" s="3">
        <v>16</v>
      </c>
      <c r="BB1008" t="str">
        <v>P/Final</v>
      </c>
      <c r="BC1008">
        <v>15</v>
      </c>
      <c r="BD1008" s="10">
        <v>13.1</v>
      </c>
      <c r="BE1008" s="10">
        <v>0</v>
      </c>
      <c r="BF1008" s="10">
        <v>0</v>
      </c>
      <c r="BG1008" s="13">
        <v>45548</v>
      </c>
    </row>
    <row r="1009" spans="49:59" x14ac:dyDescent="0.3">
      <c r="AW1009" s="1">
        <v>16.100000000000001</v>
      </c>
      <c r="AX1009" s="1">
        <v>16.100000000000001</v>
      </c>
      <c r="AY1009" t="str">
        <v>CP-R80_HI782-0_0.0_LOT0667_PWW35.1_QC.xlsx</v>
      </c>
      <c r="AZ1009" t="str">
        <v>LOT0667</v>
      </c>
      <c r="BA1009" s="3">
        <v>16</v>
      </c>
      <c r="BB1009" t="str">
        <v>P/Final</v>
      </c>
      <c r="BC1009">
        <v>35</v>
      </c>
      <c r="BD1009" s="10">
        <v>34.799999999999997</v>
      </c>
      <c r="BE1009" s="10">
        <v>0</v>
      </c>
      <c r="BF1009" s="10">
        <v>0</v>
      </c>
      <c r="BG1009" s="13">
        <v>45548</v>
      </c>
    </row>
    <row r="1010" spans="49:59" x14ac:dyDescent="0.3">
      <c r="AW1010" s="1">
        <v>16.100000000000001</v>
      </c>
      <c r="AX1010" s="1">
        <v>16.100000000000001</v>
      </c>
      <c r="AY1010" t="str">
        <v>CP-R80_HI782-0_0.0_LOT0667_PWW35.1_QC.xlsx</v>
      </c>
      <c r="AZ1010" t="str">
        <v>LOT0667</v>
      </c>
      <c r="BA1010" s="3">
        <v>16</v>
      </c>
      <c r="BB1010" t="str">
        <v>P/Final</v>
      </c>
      <c r="BC1010">
        <v>35</v>
      </c>
      <c r="BD1010" s="10">
        <v>33.700000000000003</v>
      </c>
      <c r="BE1010" s="10">
        <v>0</v>
      </c>
      <c r="BF1010" s="10">
        <v>0</v>
      </c>
      <c r="BG1010" s="13">
        <v>45548</v>
      </c>
    </row>
    <row r="1011" spans="49:59" x14ac:dyDescent="0.3">
      <c r="AW1011" s="1">
        <v>16.100000000000001</v>
      </c>
      <c r="AX1011" s="1">
        <v>16.100000000000001</v>
      </c>
      <c r="AY1011" t="str">
        <v>CP-R80_HI782-0_0.0_LOT0667_PWW35.1_QC.xlsx</v>
      </c>
      <c r="AZ1011" t="str">
        <v>LOT0667</v>
      </c>
      <c r="BA1011" s="3">
        <v>16</v>
      </c>
      <c r="BB1011" t="str">
        <v>P/Final</v>
      </c>
      <c r="BC1011">
        <v>35</v>
      </c>
      <c r="BD1011" s="10">
        <v>33.700000000000003</v>
      </c>
      <c r="BE1011" s="10">
        <v>0</v>
      </c>
      <c r="BF1011" s="10">
        <v>0</v>
      </c>
      <c r="BG1011" s="13">
        <v>45548</v>
      </c>
    </row>
    <row r="1012" spans="49:59" x14ac:dyDescent="0.3">
      <c r="AW1012" s="1">
        <v>16.100000000000001</v>
      </c>
      <c r="AX1012" s="1">
        <v>16.100000000000001</v>
      </c>
      <c r="AY1012" t="str">
        <v>CP-R80_HI782-0_0.0_LOT0667_PWW35.1_QC.xlsx</v>
      </c>
      <c r="AZ1012" t="str">
        <v>LOT0667</v>
      </c>
      <c r="BA1012" s="3">
        <v>16</v>
      </c>
      <c r="BB1012" t="str">
        <v>P/Final</v>
      </c>
      <c r="BC1012">
        <v>35</v>
      </c>
      <c r="BD1012" s="10">
        <v>34</v>
      </c>
      <c r="BE1012" s="10">
        <v>0</v>
      </c>
      <c r="BF1012" s="10">
        <v>0</v>
      </c>
      <c r="BG1012" s="13">
        <v>45548</v>
      </c>
    </row>
    <row r="1013" spans="49:59" x14ac:dyDescent="0.3">
      <c r="AW1013" s="1">
        <v>16.100000000000001</v>
      </c>
      <c r="AX1013" s="1">
        <v>16.100000000000001</v>
      </c>
      <c r="AY1013" t="str">
        <v>CP-R80_HI782-0_0.0_LOT0667_PWW35.1_QC.xlsx</v>
      </c>
      <c r="AZ1013" t="str">
        <v>LOT0667</v>
      </c>
      <c r="BA1013" s="3">
        <v>16</v>
      </c>
      <c r="BB1013" t="str">
        <v>P/Final</v>
      </c>
      <c r="BC1013">
        <v>35</v>
      </c>
      <c r="BD1013" s="10">
        <v>32.9</v>
      </c>
      <c r="BE1013" s="10">
        <v>0</v>
      </c>
      <c r="BF1013" s="10">
        <v>0</v>
      </c>
      <c r="BG1013" s="13">
        <v>45548</v>
      </c>
    </row>
    <row r="1014" spans="49:59" x14ac:dyDescent="0.3">
      <c r="AW1014" s="1">
        <v>16.100000000000001</v>
      </c>
      <c r="AX1014" s="1">
        <v>16.100000000000001</v>
      </c>
      <c r="AY1014" t="str">
        <v>CP-R80_HI782-0_0.0_LOT0667_PWW35.1_QC.xlsx</v>
      </c>
      <c r="AZ1014" t="str">
        <v>LOT0667</v>
      </c>
      <c r="BA1014" s="3">
        <v>16</v>
      </c>
      <c r="BB1014" t="str">
        <v>P/Final</v>
      </c>
      <c r="BC1014">
        <v>35</v>
      </c>
      <c r="BD1014" s="10">
        <v>33.5</v>
      </c>
      <c r="BE1014" s="10">
        <v>0</v>
      </c>
      <c r="BF1014" s="10">
        <v>0</v>
      </c>
      <c r="BG1014" s="13">
        <v>45548</v>
      </c>
    </row>
    <row r="1015" spans="49:59" x14ac:dyDescent="0.3">
      <c r="AW1015" s="1">
        <v>16.100000000000001</v>
      </c>
      <c r="AX1015" s="1">
        <v>16.100000000000001</v>
      </c>
      <c r="AY1015" t="str">
        <v>CP-R80_HI782-0_0.0_LOT0667_PWW35.1_QC.xlsx</v>
      </c>
      <c r="AZ1015" t="str">
        <v>LOT0667</v>
      </c>
      <c r="BA1015" s="3">
        <v>16</v>
      </c>
      <c r="BB1015" t="str">
        <v>P/Final</v>
      </c>
      <c r="BC1015">
        <v>35</v>
      </c>
      <c r="BD1015" s="10">
        <v>33.799999999999997</v>
      </c>
      <c r="BE1015" s="10">
        <v>0</v>
      </c>
      <c r="BF1015" s="10">
        <v>0</v>
      </c>
      <c r="BG1015" s="13">
        <v>45548</v>
      </c>
    </row>
    <row r="1016" spans="49:59" x14ac:dyDescent="0.3">
      <c r="AW1016" s="1">
        <v>16.100000000000001</v>
      </c>
      <c r="AX1016" s="1">
        <v>16.100000000000001</v>
      </c>
      <c r="AY1016" t="str">
        <v>CP-R80_HI782-0_0.0_LOT0667_PWW35.1_QC.xlsx</v>
      </c>
      <c r="AZ1016" t="str">
        <v>LOT0667</v>
      </c>
      <c r="BA1016" s="3">
        <v>16</v>
      </c>
      <c r="BB1016" t="str">
        <v>P/Final</v>
      </c>
      <c r="BC1016">
        <v>35</v>
      </c>
      <c r="BD1016" s="10">
        <v>34.5</v>
      </c>
      <c r="BE1016" s="10">
        <v>0</v>
      </c>
      <c r="BF1016" s="10">
        <v>0</v>
      </c>
      <c r="BG1016" s="13">
        <v>45548</v>
      </c>
    </row>
    <row r="1017" spans="49:59" x14ac:dyDescent="0.3">
      <c r="AW1017" s="1">
        <v>16.100000000000001</v>
      </c>
      <c r="AX1017" s="1">
        <v>16.100000000000001</v>
      </c>
      <c r="AY1017" t="str">
        <v>CP-R80_HI782-0_0.0_LOT0667_PWW35.1_QC.xlsx</v>
      </c>
      <c r="AZ1017" t="str">
        <v>LOT0667</v>
      </c>
      <c r="BA1017" s="3">
        <v>16</v>
      </c>
      <c r="BB1017" t="str">
        <v>P/Final</v>
      </c>
      <c r="BC1017">
        <v>35</v>
      </c>
      <c r="BD1017" s="10">
        <v>28.9</v>
      </c>
      <c r="BE1017" s="10">
        <v>0</v>
      </c>
      <c r="BF1017" s="10">
        <v>0</v>
      </c>
      <c r="BG1017" s="13">
        <v>45548</v>
      </c>
    </row>
    <row r="1018" spans="49:59" x14ac:dyDescent="0.3">
      <c r="AW1018" s="1">
        <v>16.100000000000001</v>
      </c>
      <c r="AX1018" s="1">
        <v>16.100000000000001</v>
      </c>
      <c r="AY1018" t="str">
        <v>CP-R80_HI782-0_0.0_LOT0667_PWW35.1_QC.xlsx</v>
      </c>
      <c r="AZ1018" t="str">
        <v>LOT0667</v>
      </c>
      <c r="BA1018" s="3">
        <v>16</v>
      </c>
      <c r="BB1018" t="str">
        <v>P/Final</v>
      </c>
      <c r="BC1018">
        <v>35</v>
      </c>
      <c r="BD1018" s="10">
        <v>32.4</v>
      </c>
      <c r="BE1018" s="10">
        <v>0</v>
      </c>
      <c r="BF1018" s="10">
        <v>0</v>
      </c>
      <c r="BG1018" s="13">
        <v>45548</v>
      </c>
    </row>
    <row r="1019" spans="49:59" x14ac:dyDescent="0.3">
      <c r="AW1019" s="1">
        <v>16.100000000000001</v>
      </c>
      <c r="AX1019" s="1">
        <v>16.100000000000001</v>
      </c>
      <c r="AY1019" t="str">
        <v>CP-R80_HI782-0_0.0_LOT0667_PWW35.1_QC.xlsx</v>
      </c>
      <c r="AZ1019" t="str">
        <v>LOT0667</v>
      </c>
      <c r="BA1019" s="3">
        <v>16</v>
      </c>
      <c r="BB1019" t="str">
        <v>P/Final</v>
      </c>
      <c r="BC1019">
        <v>35</v>
      </c>
      <c r="BD1019" s="10">
        <v>30.8</v>
      </c>
      <c r="BE1019" s="10">
        <v>0</v>
      </c>
      <c r="BF1019" s="10">
        <v>0</v>
      </c>
      <c r="BG1019" s="13">
        <v>45548</v>
      </c>
    </row>
    <row r="1020" spans="49:59" x14ac:dyDescent="0.3">
      <c r="AW1020" s="1">
        <v>16.100000000000001</v>
      </c>
      <c r="AX1020" s="1">
        <v>16.100000000000001</v>
      </c>
      <c r="AY1020" t="str">
        <v>CP-R80_HI782-0_0.0_LOT0667_PWW35.1_QC.xlsx</v>
      </c>
      <c r="AZ1020" t="str">
        <v>LOT0667</v>
      </c>
      <c r="BA1020" s="3">
        <v>16</v>
      </c>
      <c r="BB1020" t="str">
        <v>P/Final</v>
      </c>
      <c r="BC1020">
        <v>35</v>
      </c>
      <c r="BD1020" s="10">
        <v>33</v>
      </c>
      <c r="BE1020" s="10">
        <v>0</v>
      </c>
      <c r="BF1020" s="10">
        <v>0</v>
      </c>
      <c r="BG1020" s="13">
        <v>45548</v>
      </c>
    </row>
    <row r="1021" spans="49:59" x14ac:dyDescent="0.3">
      <c r="AW1021" s="1">
        <v>16.100000000000001</v>
      </c>
      <c r="AX1021" s="1">
        <v>16.100000000000001</v>
      </c>
      <c r="AY1021" t="str">
        <v>CP-R80_HI782-0_0.0_LOT0667_PWW35.1_QC.xlsx</v>
      </c>
      <c r="AZ1021" t="str">
        <v>LOT0667</v>
      </c>
      <c r="BA1021" s="3">
        <v>16</v>
      </c>
      <c r="BB1021" t="str">
        <v>P/Final</v>
      </c>
      <c r="BC1021">
        <v>35</v>
      </c>
      <c r="BD1021" s="10">
        <v>33.9</v>
      </c>
      <c r="BE1021" s="10">
        <v>0</v>
      </c>
      <c r="BF1021" s="10">
        <v>0</v>
      </c>
      <c r="BG1021" s="13">
        <v>45548</v>
      </c>
    </row>
    <row r="1022" spans="49:59" x14ac:dyDescent="0.3">
      <c r="AW1022" s="1">
        <v>16.100000000000001</v>
      </c>
      <c r="AX1022" s="1">
        <v>16.100000000000001</v>
      </c>
      <c r="AY1022" t="str">
        <v>CP-R80_HI782-0_0.0_LOT0667_PWW35.1_QC.xlsx</v>
      </c>
      <c r="AZ1022" t="str">
        <v>LOT0667</v>
      </c>
      <c r="BA1022" s="3">
        <v>16</v>
      </c>
      <c r="BB1022" t="str">
        <v>P/Final</v>
      </c>
      <c r="BC1022">
        <v>35</v>
      </c>
      <c r="BD1022" s="10">
        <v>34.799999999999997</v>
      </c>
      <c r="BE1022" s="10">
        <v>0</v>
      </c>
      <c r="BF1022" s="10">
        <v>0</v>
      </c>
      <c r="BG1022" s="13">
        <v>45548</v>
      </c>
    </row>
    <row r="1023" spans="49:59" x14ac:dyDescent="0.3">
      <c r="AW1023" s="1">
        <v>16.100000000000001</v>
      </c>
      <c r="AX1023" s="1">
        <v>16.100000000000001</v>
      </c>
      <c r="AY1023" t="str">
        <v>CP-R80_HI782-0_0.0_LOT0667_PWW35.1_QC.xlsx</v>
      </c>
      <c r="AZ1023" t="str">
        <v>LOT0667</v>
      </c>
      <c r="BA1023" s="3">
        <v>16</v>
      </c>
      <c r="BB1023" t="str">
        <v>P/Final</v>
      </c>
      <c r="BC1023">
        <v>60</v>
      </c>
      <c r="BD1023" s="10">
        <v>54.5</v>
      </c>
      <c r="BE1023" s="10">
        <v>0</v>
      </c>
      <c r="BF1023" s="10">
        <v>0</v>
      </c>
      <c r="BG1023" s="13">
        <v>45548</v>
      </c>
    </row>
    <row r="1024" spans="49:59" x14ac:dyDescent="0.3">
      <c r="AW1024" s="1">
        <v>16.100000000000001</v>
      </c>
      <c r="AX1024" s="1">
        <v>16.100000000000001</v>
      </c>
      <c r="AY1024" t="str">
        <v>CP-R80_HI782-0_0.0_LOT0667_PWW35.1_QC.xlsx</v>
      </c>
      <c r="AZ1024" t="str">
        <v>LOT0667</v>
      </c>
      <c r="BA1024" s="3">
        <v>16</v>
      </c>
      <c r="BB1024" t="str">
        <v>P/Final</v>
      </c>
      <c r="BC1024">
        <v>60</v>
      </c>
      <c r="BD1024" s="10">
        <v>54.4</v>
      </c>
      <c r="BE1024" s="10">
        <v>0</v>
      </c>
      <c r="BF1024" s="10">
        <v>0</v>
      </c>
      <c r="BG1024" s="13">
        <v>45548</v>
      </c>
    </row>
    <row r="1025" spans="49:59" x14ac:dyDescent="0.3">
      <c r="AW1025" s="1">
        <v>16.100000000000001</v>
      </c>
      <c r="AX1025" s="1">
        <v>16.100000000000001</v>
      </c>
      <c r="AY1025" t="str">
        <v>CP-R80_HI782-0_0.0_LOT0667_PWW35.1_QC.xlsx</v>
      </c>
      <c r="AZ1025" t="str">
        <v>LOT0667</v>
      </c>
      <c r="BA1025" s="3">
        <v>16</v>
      </c>
      <c r="BB1025" t="str">
        <v>P/Final</v>
      </c>
      <c r="BC1025">
        <v>60</v>
      </c>
      <c r="BD1025" s="10">
        <v>57.7</v>
      </c>
      <c r="BE1025" s="10">
        <v>0</v>
      </c>
      <c r="BF1025" s="10">
        <v>0</v>
      </c>
      <c r="BG1025" s="13">
        <v>45548</v>
      </c>
    </row>
    <row r="1026" spans="49:59" x14ac:dyDescent="0.3">
      <c r="AW1026" s="1">
        <v>16.100000000000001</v>
      </c>
      <c r="AX1026" s="1">
        <v>16.100000000000001</v>
      </c>
      <c r="AY1026" t="str">
        <v>CP-R80_HI782-0_0.0_LOT0667_PWW35.1_QC.xlsx</v>
      </c>
      <c r="AZ1026" t="str">
        <v>LOT0667</v>
      </c>
      <c r="BA1026" s="3">
        <v>16</v>
      </c>
      <c r="BB1026" t="str">
        <v>P/Final</v>
      </c>
      <c r="BC1026">
        <v>60</v>
      </c>
      <c r="BD1026" s="10">
        <v>54.9</v>
      </c>
      <c r="BE1026" s="10">
        <v>0</v>
      </c>
      <c r="BF1026" s="10">
        <v>0</v>
      </c>
      <c r="BG1026" s="13">
        <v>45548</v>
      </c>
    </row>
    <row r="1027" spans="49:59" x14ac:dyDescent="0.3">
      <c r="AW1027" s="1">
        <v>16.100000000000001</v>
      </c>
      <c r="AX1027" s="1">
        <v>16.100000000000001</v>
      </c>
      <c r="AY1027" t="str">
        <v>CP-R80_HI782-0_0.0_LOT0667_PWW35.1_QC.xlsx</v>
      </c>
      <c r="AZ1027" t="str">
        <v>LOT0667</v>
      </c>
      <c r="BA1027" s="3">
        <v>16</v>
      </c>
      <c r="BB1027" t="str">
        <v>P/Final</v>
      </c>
      <c r="BC1027">
        <v>60</v>
      </c>
      <c r="BD1027" s="10">
        <v>56.3</v>
      </c>
      <c r="BE1027" s="10">
        <v>0</v>
      </c>
      <c r="BF1027" s="10">
        <v>0</v>
      </c>
      <c r="BG1027" s="13">
        <v>45548</v>
      </c>
    </row>
    <row r="1028" spans="49:59" x14ac:dyDescent="0.3">
      <c r="AW1028" s="1">
        <v>16.100000000000001</v>
      </c>
      <c r="AX1028" s="1">
        <v>16.100000000000001</v>
      </c>
      <c r="AY1028" t="str">
        <v>CP-R80_HI782-0_0.0_LOT0667_PWW35.1_QC.xlsx</v>
      </c>
      <c r="AZ1028" t="str">
        <v>LOT0667</v>
      </c>
      <c r="BA1028" s="3">
        <v>16</v>
      </c>
      <c r="BB1028" t="str">
        <v>P/Final</v>
      </c>
      <c r="BC1028">
        <v>60</v>
      </c>
      <c r="BD1028" s="10">
        <v>57</v>
      </c>
      <c r="BE1028" s="10">
        <v>0</v>
      </c>
      <c r="BF1028" s="10">
        <v>0</v>
      </c>
      <c r="BG1028" s="13">
        <v>45548</v>
      </c>
    </row>
    <row r="1029" spans="49:59" x14ac:dyDescent="0.3">
      <c r="AW1029" s="1">
        <v>16.100000000000001</v>
      </c>
      <c r="AX1029" s="1">
        <v>16.100000000000001</v>
      </c>
      <c r="AY1029" t="str">
        <v>CP-R80_HI782-0_0.0_LOT0667_PWW35.1_QC.xlsx</v>
      </c>
      <c r="AZ1029" t="str">
        <v>LOT0667</v>
      </c>
      <c r="BA1029" s="3">
        <v>16</v>
      </c>
      <c r="BB1029" t="str">
        <v>P/Final</v>
      </c>
      <c r="BC1029">
        <v>60</v>
      </c>
      <c r="BD1029" s="10">
        <v>58.9</v>
      </c>
      <c r="BE1029" s="10">
        <v>0</v>
      </c>
      <c r="BF1029" s="10">
        <v>0</v>
      </c>
      <c r="BG1029" s="13">
        <v>45548</v>
      </c>
    </row>
    <row r="1030" spans="49:59" x14ac:dyDescent="0.3">
      <c r="AW1030" s="1">
        <v>16.100000000000001</v>
      </c>
      <c r="AX1030" s="1">
        <v>16.100000000000001</v>
      </c>
      <c r="AY1030" t="str">
        <v>CP-R80_HI782-0_0.0_LOT0667_PWW35.1_QC.xlsx</v>
      </c>
      <c r="AZ1030" t="str">
        <v>LOT0667</v>
      </c>
      <c r="BA1030" s="3">
        <v>16</v>
      </c>
      <c r="BB1030" t="str">
        <v>P/Final</v>
      </c>
      <c r="BC1030">
        <v>60</v>
      </c>
      <c r="BD1030" s="10">
        <v>56.7</v>
      </c>
      <c r="BE1030" s="10">
        <v>0</v>
      </c>
      <c r="BF1030" s="10">
        <v>0</v>
      </c>
      <c r="BG1030" s="13">
        <v>45548</v>
      </c>
    </row>
    <row r="1031" spans="49:59" x14ac:dyDescent="0.3">
      <c r="AW1031" s="1">
        <v>16.100000000000001</v>
      </c>
      <c r="AX1031" s="1">
        <v>16.100000000000001</v>
      </c>
      <c r="AY1031" t="str">
        <v>CP-R80_HI782-0_0.0_LOT0667_PWW35.1_QC.xlsx</v>
      </c>
      <c r="AZ1031" t="str">
        <v>LOT0667</v>
      </c>
      <c r="BA1031" s="3">
        <v>16</v>
      </c>
      <c r="BB1031" t="str">
        <v>P/Final</v>
      </c>
      <c r="BC1031">
        <v>60</v>
      </c>
      <c r="BD1031" s="10">
        <v>58.1</v>
      </c>
      <c r="BE1031" s="10">
        <v>0</v>
      </c>
      <c r="BF1031" s="10">
        <v>0</v>
      </c>
      <c r="BG1031" s="13">
        <v>45548</v>
      </c>
    </row>
    <row r="1032" spans="49:59" x14ac:dyDescent="0.3">
      <c r="AW1032" s="1">
        <v>16.100000000000001</v>
      </c>
      <c r="AX1032" s="1">
        <v>16.100000000000001</v>
      </c>
      <c r="AY1032" t="str">
        <v>CP-R80_HI782-0_0.0_LOT0667_PWW35.1_QC.xlsx</v>
      </c>
      <c r="AZ1032" t="str">
        <v>LOT0667</v>
      </c>
      <c r="BA1032" s="3">
        <v>16</v>
      </c>
      <c r="BB1032" t="str">
        <v>P/Final</v>
      </c>
      <c r="BC1032">
        <v>60</v>
      </c>
      <c r="BD1032" s="10">
        <v>48.5</v>
      </c>
      <c r="BE1032" s="10">
        <v>0</v>
      </c>
      <c r="BF1032" s="10">
        <v>0</v>
      </c>
      <c r="BG1032" s="13">
        <v>45548</v>
      </c>
    </row>
    <row r="1033" spans="49:59" x14ac:dyDescent="0.3">
      <c r="AW1033" s="1">
        <v>16.100000000000001</v>
      </c>
      <c r="AX1033" s="1">
        <v>16.100000000000001</v>
      </c>
      <c r="AY1033" t="str">
        <v>CP-R80_HI782-0_0.0_LOT0667_PWW35.1_QC.xlsx</v>
      </c>
      <c r="AZ1033" t="str">
        <v>LOT0667</v>
      </c>
      <c r="BA1033" s="3">
        <v>16</v>
      </c>
      <c r="BB1033" t="str">
        <v>P/Final</v>
      </c>
      <c r="BC1033">
        <v>60</v>
      </c>
      <c r="BD1033" s="10">
        <v>59.1</v>
      </c>
      <c r="BE1033" s="10">
        <v>0</v>
      </c>
      <c r="BF1033" s="10">
        <v>0</v>
      </c>
      <c r="BG1033" s="13">
        <v>45548</v>
      </c>
    </row>
    <row r="1034" spans="49:59" x14ac:dyDescent="0.3">
      <c r="AW1034" s="1">
        <v>16.100000000000001</v>
      </c>
      <c r="AX1034" s="1">
        <v>16.100000000000001</v>
      </c>
      <c r="AY1034" t="str">
        <v>CP-R80_HI782-0_0.0_LOT0667_PWW35.1_QC.xlsx</v>
      </c>
      <c r="AZ1034" t="str">
        <v>LOT0667</v>
      </c>
      <c r="BA1034" s="3">
        <v>16</v>
      </c>
      <c r="BB1034" t="str">
        <v>P/Final</v>
      </c>
      <c r="BC1034">
        <v>60</v>
      </c>
      <c r="BD1034" s="10">
        <v>57.5</v>
      </c>
      <c r="BE1034" s="10">
        <v>0</v>
      </c>
      <c r="BF1034" s="10">
        <v>0</v>
      </c>
      <c r="BG1034" s="13">
        <v>45548</v>
      </c>
    </row>
    <row r="1035" spans="49:59" x14ac:dyDescent="0.3">
      <c r="AW1035" s="1">
        <v>17.100000000000001</v>
      </c>
      <c r="AX1035" s="1">
        <v>17.100000000000001</v>
      </c>
      <c r="AY1035" t="str">
        <v>CP-R80_HI782-0_0.0_LOT0689_PWW38.1_QC.xlsx</v>
      </c>
      <c r="AZ1035" t="str">
        <v>LOT0689</v>
      </c>
      <c r="BA1035" s="3">
        <v>17</v>
      </c>
      <c r="BB1035" t="str">
        <v>P/Final</v>
      </c>
      <c r="BC1035">
        <v>15</v>
      </c>
      <c r="BD1035" s="10">
        <v>13.2</v>
      </c>
      <c r="BE1035" s="10">
        <v>0</v>
      </c>
      <c r="BF1035" s="10">
        <v>0</v>
      </c>
      <c r="BG1035" s="13">
        <v>45555</v>
      </c>
    </row>
    <row r="1036" spans="49:59" x14ac:dyDescent="0.3">
      <c r="AW1036" s="1">
        <v>17.100000000000001</v>
      </c>
      <c r="AX1036" s="1">
        <v>17.100000000000001</v>
      </c>
      <c r="AY1036" t="str">
        <v>CP-R80_HI782-0_0.0_LOT0689_PWW38.1_QC.xlsx</v>
      </c>
      <c r="AZ1036" t="str">
        <v>LOT0689</v>
      </c>
      <c r="BA1036" s="3">
        <v>17</v>
      </c>
      <c r="BB1036" t="str">
        <v>P/Final</v>
      </c>
      <c r="BC1036">
        <v>15</v>
      </c>
      <c r="BD1036" s="10">
        <v>13.7</v>
      </c>
      <c r="BE1036" s="10">
        <v>0</v>
      </c>
      <c r="BF1036" s="10">
        <v>0</v>
      </c>
      <c r="BG1036" s="13">
        <v>45555</v>
      </c>
    </row>
    <row r="1037" spans="49:59" x14ac:dyDescent="0.3">
      <c r="AW1037" s="1">
        <v>17.100000000000001</v>
      </c>
      <c r="AX1037" s="1">
        <v>17.100000000000001</v>
      </c>
      <c r="AY1037" t="str">
        <v>CP-R80_HI782-0_0.0_LOT0689_PWW38.1_QC.xlsx</v>
      </c>
      <c r="AZ1037" t="str">
        <v>LOT0689</v>
      </c>
      <c r="BA1037" s="3">
        <v>17</v>
      </c>
      <c r="BB1037" t="str">
        <v>P/Final</v>
      </c>
      <c r="BC1037">
        <v>15</v>
      </c>
      <c r="BD1037" s="10">
        <v>14.1</v>
      </c>
      <c r="BE1037" s="10">
        <v>0</v>
      </c>
      <c r="BF1037" s="10">
        <v>0</v>
      </c>
      <c r="BG1037" s="13">
        <v>45555</v>
      </c>
    </row>
    <row r="1038" spans="49:59" x14ac:dyDescent="0.3">
      <c r="AW1038" s="1">
        <v>17.100000000000001</v>
      </c>
      <c r="AX1038" s="1">
        <v>17.100000000000001</v>
      </c>
      <c r="AY1038" t="str">
        <v>CP-R80_HI782-0_0.0_LOT0689_PWW38.1_QC.xlsx</v>
      </c>
      <c r="AZ1038" t="str">
        <v>LOT0689</v>
      </c>
      <c r="BA1038" s="3">
        <v>17</v>
      </c>
      <c r="BB1038" t="str">
        <v>P/Final</v>
      </c>
      <c r="BC1038">
        <v>15</v>
      </c>
      <c r="BD1038" s="10">
        <v>13.8</v>
      </c>
      <c r="BE1038" s="10">
        <v>0</v>
      </c>
      <c r="BF1038" s="10">
        <v>0</v>
      </c>
      <c r="BG1038" s="13">
        <v>45555</v>
      </c>
    </row>
    <row r="1039" spans="49:59" x14ac:dyDescent="0.3">
      <c r="AW1039" s="1">
        <v>17.100000000000001</v>
      </c>
      <c r="AX1039" s="1">
        <v>17.100000000000001</v>
      </c>
      <c r="AY1039" t="str">
        <v>CP-R80_HI782-0_0.0_LOT0689_PWW38.1_QC.xlsx</v>
      </c>
      <c r="AZ1039" t="str">
        <v>LOT0689</v>
      </c>
      <c r="BA1039" s="3">
        <v>17</v>
      </c>
      <c r="BB1039" t="str">
        <v>P/Final</v>
      </c>
      <c r="BC1039">
        <v>15</v>
      </c>
      <c r="BD1039" s="10">
        <v>14.3</v>
      </c>
      <c r="BE1039" s="10">
        <v>0</v>
      </c>
      <c r="BF1039" s="10">
        <v>0</v>
      </c>
      <c r="BG1039" s="13">
        <v>45555</v>
      </c>
    </row>
    <row r="1040" spans="49:59" x14ac:dyDescent="0.3">
      <c r="AW1040" s="1">
        <v>17.100000000000001</v>
      </c>
      <c r="AX1040" s="1">
        <v>17.100000000000001</v>
      </c>
      <c r="AY1040" t="str">
        <v>CP-R80_HI782-0_0.0_LOT0689_PWW38.1_QC.xlsx</v>
      </c>
      <c r="AZ1040" t="str">
        <v>LOT0689</v>
      </c>
      <c r="BA1040" s="3">
        <v>17</v>
      </c>
      <c r="BB1040" t="str">
        <v>P/Final</v>
      </c>
      <c r="BC1040">
        <v>15</v>
      </c>
      <c r="BD1040" s="10">
        <v>13.4</v>
      </c>
      <c r="BE1040" s="10">
        <v>0</v>
      </c>
      <c r="BF1040" s="10">
        <v>0</v>
      </c>
      <c r="BG1040" s="13">
        <v>45555</v>
      </c>
    </row>
    <row r="1041" spans="49:59" x14ac:dyDescent="0.3">
      <c r="AW1041" s="1">
        <v>17.100000000000001</v>
      </c>
      <c r="AX1041" s="1">
        <v>17.100000000000001</v>
      </c>
      <c r="AY1041" t="str">
        <v>CP-R80_HI782-0_0.0_LOT0689_PWW38.1_QC.xlsx</v>
      </c>
      <c r="AZ1041" t="str">
        <v>LOT0689</v>
      </c>
      <c r="BA1041" s="3">
        <v>17</v>
      </c>
      <c r="BB1041" t="str">
        <v>P/Final</v>
      </c>
      <c r="BC1041">
        <v>35</v>
      </c>
      <c r="BD1041" s="10">
        <v>34.1</v>
      </c>
      <c r="BE1041" s="10">
        <v>0</v>
      </c>
      <c r="BF1041" s="10">
        <v>0</v>
      </c>
      <c r="BG1041" s="13">
        <v>45555</v>
      </c>
    </row>
    <row r="1042" spans="49:59" x14ac:dyDescent="0.3">
      <c r="AW1042" s="1">
        <v>17.100000000000001</v>
      </c>
      <c r="AX1042" s="1">
        <v>17.100000000000001</v>
      </c>
      <c r="AY1042" t="str">
        <v>CP-R80_HI782-0_0.0_LOT0689_PWW38.1_QC.xlsx</v>
      </c>
      <c r="AZ1042" t="str">
        <v>LOT0689</v>
      </c>
      <c r="BA1042" s="3">
        <v>17</v>
      </c>
      <c r="BB1042" t="str">
        <v>P/Final</v>
      </c>
      <c r="BC1042">
        <v>35</v>
      </c>
      <c r="BD1042" s="10">
        <v>33.6</v>
      </c>
      <c r="BE1042" s="10">
        <v>0</v>
      </c>
      <c r="BF1042" s="10">
        <v>0</v>
      </c>
      <c r="BG1042" s="13">
        <v>45555</v>
      </c>
    </row>
    <row r="1043" spans="49:59" x14ac:dyDescent="0.3">
      <c r="AW1043" s="1">
        <v>17.100000000000001</v>
      </c>
      <c r="AX1043" s="1">
        <v>17.100000000000001</v>
      </c>
      <c r="AY1043" t="str">
        <v>CP-R80_HI782-0_0.0_LOT0689_PWW38.1_QC.xlsx</v>
      </c>
      <c r="AZ1043" t="str">
        <v>LOT0689</v>
      </c>
      <c r="BA1043" s="3">
        <v>17</v>
      </c>
      <c r="BB1043" t="str">
        <v>P/Final</v>
      </c>
      <c r="BC1043">
        <v>35</v>
      </c>
      <c r="BD1043" s="10">
        <v>32.6</v>
      </c>
      <c r="BE1043" s="10">
        <v>0</v>
      </c>
      <c r="BF1043" s="10">
        <v>0</v>
      </c>
      <c r="BG1043" s="13">
        <v>45555</v>
      </c>
    </row>
    <row r="1044" spans="49:59" x14ac:dyDescent="0.3">
      <c r="AW1044" s="1">
        <v>17.100000000000001</v>
      </c>
      <c r="AX1044" s="1">
        <v>17.100000000000001</v>
      </c>
      <c r="AY1044" t="str">
        <v>CP-R80_HI782-0_0.0_LOT0689_PWW38.1_QC.xlsx</v>
      </c>
      <c r="AZ1044" t="str">
        <v>LOT0689</v>
      </c>
      <c r="BA1044" s="3">
        <v>17</v>
      </c>
      <c r="BB1044" t="str">
        <v>P/Final</v>
      </c>
      <c r="BC1044">
        <v>35</v>
      </c>
      <c r="BD1044" s="10">
        <v>32.299999999999997</v>
      </c>
      <c r="BE1044" s="10">
        <v>0</v>
      </c>
      <c r="BF1044" s="10">
        <v>0</v>
      </c>
      <c r="BG1044" s="13">
        <v>45555</v>
      </c>
    </row>
    <row r="1045" spans="49:59" x14ac:dyDescent="0.3">
      <c r="AW1045" s="1">
        <v>17.100000000000001</v>
      </c>
      <c r="AX1045" s="1">
        <v>17.100000000000001</v>
      </c>
      <c r="AY1045" t="str">
        <v>CP-R80_HI782-0_0.0_LOT0689_PWW38.1_QC.xlsx</v>
      </c>
      <c r="AZ1045" t="str">
        <v>LOT0689</v>
      </c>
      <c r="BA1045" s="3">
        <v>17</v>
      </c>
      <c r="BB1045" t="str">
        <v>P/Final</v>
      </c>
      <c r="BC1045">
        <v>35</v>
      </c>
      <c r="BD1045" s="10">
        <v>33.299999999999997</v>
      </c>
      <c r="BE1045" s="10">
        <v>0</v>
      </c>
      <c r="BF1045" s="10">
        <v>0</v>
      </c>
      <c r="BG1045" s="13">
        <v>45555</v>
      </c>
    </row>
    <row r="1046" spans="49:59" x14ac:dyDescent="0.3">
      <c r="AW1046" s="1">
        <v>17.100000000000001</v>
      </c>
      <c r="AX1046" s="1">
        <v>17.100000000000001</v>
      </c>
      <c r="AY1046" t="str">
        <v>CP-R80_HI782-0_0.0_LOT0689_PWW38.1_QC.xlsx</v>
      </c>
      <c r="AZ1046" t="str">
        <v>LOT0689</v>
      </c>
      <c r="BA1046" s="3">
        <v>17</v>
      </c>
      <c r="BB1046" t="str">
        <v>P/Final</v>
      </c>
      <c r="BC1046">
        <v>35</v>
      </c>
      <c r="BD1046" s="10">
        <v>32.799999999999997</v>
      </c>
      <c r="BE1046" s="10">
        <v>0</v>
      </c>
      <c r="BF1046" s="10">
        <v>0</v>
      </c>
      <c r="BG1046" s="13">
        <v>45555</v>
      </c>
    </row>
    <row r="1047" spans="49:59" x14ac:dyDescent="0.3">
      <c r="AW1047" s="1">
        <v>17.100000000000001</v>
      </c>
      <c r="AX1047" s="1">
        <v>17.100000000000001</v>
      </c>
      <c r="AY1047" t="str">
        <v>CP-R80_HI782-0_0.0_LOT0689_PWW38.1_QC.xlsx</v>
      </c>
      <c r="AZ1047" t="str">
        <v>LOT0689</v>
      </c>
      <c r="BA1047" s="3">
        <v>17</v>
      </c>
      <c r="BB1047" t="str">
        <v>P/Final</v>
      </c>
      <c r="BC1047">
        <v>35</v>
      </c>
      <c r="BD1047" s="10">
        <v>32.9</v>
      </c>
      <c r="BE1047" s="10">
        <v>0</v>
      </c>
      <c r="BF1047" s="10">
        <v>0</v>
      </c>
      <c r="BG1047" s="13">
        <v>45555</v>
      </c>
    </row>
    <row r="1048" spans="49:59" x14ac:dyDescent="0.3">
      <c r="AW1048" s="1">
        <v>17.100000000000001</v>
      </c>
      <c r="AX1048" s="1">
        <v>17.100000000000001</v>
      </c>
      <c r="AY1048" t="str">
        <v>CP-R80_HI782-0_0.0_LOT0689_PWW38.1_QC.xlsx</v>
      </c>
      <c r="AZ1048" t="str">
        <v>LOT0689</v>
      </c>
      <c r="BA1048" s="3">
        <v>17</v>
      </c>
      <c r="BB1048" t="str">
        <v>P/Final</v>
      </c>
      <c r="BC1048">
        <v>35</v>
      </c>
      <c r="BD1048" s="10">
        <v>33.700000000000003</v>
      </c>
      <c r="BE1048" s="10">
        <v>0</v>
      </c>
      <c r="BF1048" s="10">
        <v>0</v>
      </c>
      <c r="BG1048" s="13">
        <v>45555</v>
      </c>
    </row>
    <row r="1049" spans="49:59" x14ac:dyDescent="0.3">
      <c r="AW1049" s="1">
        <v>17.100000000000001</v>
      </c>
      <c r="AX1049" s="1">
        <v>17.100000000000001</v>
      </c>
      <c r="AY1049" t="str">
        <v>CP-R80_HI782-0_0.0_LOT0689_PWW38.1_QC.xlsx</v>
      </c>
      <c r="AZ1049" t="str">
        <v>LOT0689</v>
      </c>
      <c r="BA1049" s="3">
        <v>17</v>
      </c>
      <c r="BB1049" t="str">
        <v>P/Final</v>
      </c>
      <c r="BC1049">
        <v>35</v>
      </c>
      <c r="BD1049" s="10">
        <v>33.799999999999997</v>
      </c>
      <c r="BE1049" s="10">
        <v>0</v>
      </c>
      <c r="BF1049" s="10">
        <v>0</v>
      </c>
      <c r="BG1049" s="13">
        <v>45555</v>
      </c>
    </row>
    <row r="1050" spans="49:59" x14ac:dyDescent="0.3">
      <c r="AW1050" s="1">
        <v>17.100000000000001</v>
      </c>
      <c r="AX1050" s="1">
        <v>17.100000000000001</v>
      </c>
      <c r="AY1050" t="str">
        <v>CP-R80_HI782-0_0.0_LOT0689_PWW38.1_QC.xlsx</v>
      </c>
      <c r="AZ1050" t="str">
        <v>LOT0689</v>
      </c>
      <c r="BA1050" s="3">
        <v>17</v>
      </c>
      <c r="BB1050" t="str">
        <v>P/Final</v>
      </c>
      <c r="BC1050">
        <v>35</v>
      </c>
      <c r="BD1050" s="10">
        <v>32.9</v>
      </c>
      <c r="BE1050" s="10">
        <v>0</v>
      </c>
      <c r="BF1050" s="10">
        <v>0</v>
      </c>
      <c r="BG1050" s="13">
        <v>45555</v>
      </c>
    </row>
    <row r="1051" spans="49:59" x14ac:dyDescent="0.3">
      <c r="AW1051" s="1">
        <v>17.100000000000001</v>
      </c>
      <c r="AX1051" s="1">
        <v>17.100000000000001</v>
      </c>
      <c r="AY1051" t="str">
        <v>CP-R80_HI782-0_0.0_LOT0689_PWW38.1_QC.xlsx</v>
      </c>
      <c r="AZ1051" t="str">
        <v>LOT0689</v>
      </c>
      <c r="BA1051" s="3">
        <v>17</v>
      </c>
      <c r="BB1051" t="str">
        <v>P/Final</v>
      </c>
      <c r="BC1051">
        <v>60</v>
      </c>
      <c r="BD1051" s="10">
        <v>52.1</v>
      </c>
      <c r="BE1051" s="10">
        <v>0</v>
      </c>
      <c r="BF1051" s="10">
        <v>0</v>
      </c>
      <c r="BG1051" s="13">
        <v>45555</v>
      </c>
    </row>
    <row r="1052" spans="49:59" x14ac:dyDescent="0.3">
      <c r="AW1052" s="1">
        <v>17.100000000000001</v>
      </c>
      <c r="AX1052" s="1">
        <v>17.100000000000001</v>
      </c>
      <c r="AY1052" t="str">
        <v>CP-R80_HI782-0_0.0_LOT0689_PWW38.1_QC.xlsx</v>
      </c>
      <c r="AZ1052" t="str">
        <v>LOT0689</v>
      </c>
      <c r="BA1052" s="3">
        <v>17</v>
      </c>
      <c r="BB1052" t="str">
        <v>P/Final</v>
      </c>
      <c r="BC1052">
        <v>60</v>
      </c>
      <c r="BD1052" s="10">
        <v>55.2</v>
      </c>
      <c r="BE1052" s="10">
        <v>0</v>
      </c>
      <c r="BF1052" s="10">
        <v>0</v>
      </c>
      <c r="BG1052" s="13">
        <v>45555</v>
      </c>
    </row>
    <row r="1053" spans="49:59" x14ac:dyDescent="0.3">
      <c r="AW1053" s="1">
        <v>17.100000000000001</v>
      </c>
      <c r="AX1053" s="1">
        <v>17.100000000000001</v>
      </c>
      <c r="AY1053" t="str">
        <v>CP-R80_HI782-0_0.0_LOT0689_PWW38.1_QC.xlsx</v>
      </c>
      <c r="AZ1053" t="str">
        <v>LOT0689</v>
      </c>
      <c r="BA1053" s="3">
        <v>17</v>
      </c>
      <c r="BB1053" t="str">
        <v>P/Final</v>
      </c>
      <c r="BC1053">
        <v>60</v>
      </c>
      <c r="BD1053" s="10">
        <v>55.4</v>
      </c>
      <c r="BE1053" s="10">
        <v>0</v>
      </c>
      <c r="BF1053" s="10">
        <v>0</v>
      </c>
      <c r="BG1053" s="13">
        <v>45555</v>
      </c>
    </row>
    <row r="1054" spans="49:59" x14ac:dyDescent="0.3">
      <c r="AW1054" s="1">
        <v>17.100000000000001</v>
      </c>
      <c r="AX1054" s="1">
        <v>17.100000000000001</v>
      </c>
      <c r="AY1054" t="str">
        <v>CP-R80_HI782-0_0.0_LOT0689_PWW38.1_QC.xlsx</v>
      </c>
      <c r="AZ1054" t="str">
        <v>LOT0689</v>
      </c>
      <c r="BA1054" s="3">
        <v>17</v>
      </c>
      <c r="BB1054" t="str">
        <v>P/Final</v>
      </c>
      <c r="BC1054">
        <v>60</v>
      </c>
      <c r="BD1054" s="10">
        <v>57</v>
      </c>
      <c r="BE1054" s="10">
        <v>0</v>
      </c>
      <c r="BF1054" s="10">
        <v>0</v>
      </c>
      <c r="BG1054" s="13">
        <v>45555</v>
      </c>
    </row>
    <row r="1055" spans="49:59" x14ac:dyDescent="0.3">
      <c r="AW1055" s="1">
        <v>17.100000000000001</v>
      </c>
      <c r="AX1055" s="1">
        <v>17.100000000000001</v>
      </c>
      <c r="AY1055" t="str">
        <v>CP-R80_HI782-0_0.0_LOT0689_PWW38.1_QC.xlsx</v>
      </c>
      <c r="AZ1055" t="str">
        <v>LOT0689</v>
      </c>
      <c r="BA1055" s="3">
        <v>17</v>
      </c>
      <c r="BB1055" t="str">
        <v>P/Final</v>
      </c>
      <c r="BC1055">
        <v>60</v>
      </c>
      <c r="BD1055" s="10">
        <v>57.8</v>
      </c>
      <c r="BE1055" s="10">
        <v>0</v>
      </c>
      <c r="BF1055" s="10">
        <v>0</v>
      </c>
      <c r="BG1055" s="13">
        <v>45555</v>
      </c>
    </row>
    <row r="1056" spans="49:59" x14ac:dyDescent="0.3">
      <c r="AW1056" s="1">
        <v>17.100000000000001</v>
      </c>
      <c r="AX1056" s="1">
        <v>17.100000000000001</v>
      </c>
      <c r="AY1056" t="str">
        <v>CP-R80_HI782-0_0.0_LOT0689_PWW38.1_QC.xlsx</v>
      </c>
      <c r="AZ1056" t="str">
        <v>LOT0689</v>
      </c>
      <c r="BA1056" s="3">
        <v>17</v>
      </c>
      <c r="BB1056" t="str">
        <v>P/Final</v>
      </c>
      <c r="BC1056">
        <v>60</v>
      </c>
      <c r="BD1056" s="10">
        <v>55.8</v>
      </c>
      <c r="BE1056" s="10">
        <v>0</v>
      </c>
      <c r="BF1056" s="10">
        <v>0</v>
      </c>
      <c r="BG1056" s="13">
        <v>45555</v>
      </c>
    </row>
    <row r="1057" spans="49:59" x14ac:dyDescent="0.3">
      <c r="AW1057" s="1">
        <v>17.100000000000001</v>
      </c>
      <c r="AX1057" s="1">
        <v>17.100000000000001</v>
      </c>
      <c r="AY1057" t="str">
        <v>CP-R80_HI782-0_0.0_LOT0689_PWW38.1_QC.xlsx</v>
      </c>
      <c r="AZ1057" t="str">
        <v>LOT0689</v>
      </c>
      <c r="BA1057" s="3">
        <v>17</v>
      </c>
      <c r="BB1057" t="str">
        <v>P/Final</v>
      </c>
      <c r="BC1057">
        <v>60</v>
      </c>
      <c r="BD1057" s="10">
        <v>47.5</v>
      </c>
      <c r="BE1057" s="10">
        <v>0</v>
      </c>
      <c r="BF1057" s="10">
        <v>0</v>
      </c>
      <c r="BG1057" s="13">
        <v>45555</v>
      </c>
    </row>
    <row r="1058" spans="49:59" x14ac:dyDescent="0.3">
      <c r="AW1058" s="1">
        <v>17.100000000000001</v>
      </c>
      <c r="AX1058" s="1">
        <v>17.100000000000001</v>
      </c>
      <c r="AY1058" t="str">
        <v>CP-R80_HI782-0_0.0_LOT0689_PWW38.1_QC.xlsx</v>
      </c>
      <c r="AZ1058" t="str">
        <v>LOT0689</v>
      </c>
      <c r="BA1058" s="3">
        <v>17</v>
      </c>
      <c r="BB1058" t="str">
        <v>P/Final</v>
      </c>
      <c r="BC1058">
        <v>15</v>
      </c>
      <c r="BD1058" s="10">
        <v>15.3</v>
      </c>
      <c r="BE1058" s="10">
        <v>0</v>
      </c>
      <c r="BF1058" s="10">
        <v>0</v>
      </c>
      <c r="BG1058" s="13">
        <v>45558</v>
      </c>
    </row>
    <row r="1059" spans="49:59" x14ac:dyDescent="0.3">
      <c r="AW1059" s="1">
        <v>17.100000000000001</v>
      </c>
      <c r="AX1059" s="1">
        <v>17.100000000000001</v>
      </c>
      <c r="AY1059" t="str">
        <v>CP-R80_HI782-0_0.0_LOT0689_PWW38.1_QC.xlsx</v>
      </c>
      <c r="AZ1059" t="str">
        <v>LOT0689</v>
      </c>
      <c r="BA1059" s="3">
        <v>17</v>
      </c>
      <c r="BB1059" t="str">
        <v>P/Final</v>
      </c>
      <c r="BC1059">
        <v>15</v>
      </c>
      <c r="BD1059" s="10">
        <v>13.9</v>
      </c>
      <c r="BE1059" s="10">
        <v>0</v>
      </c>
      <c r="BF1059" s="10">
        <v>0</v>
      </c>
      <c r="BG1059" s="13">
        <v>45558</v>
      </c>
    </row>
    <row r="1060" spans="49:59" x14ac:dyDescent="0.3">
      <c r="AW1060" s="1">
        <v>17.100000000000001</v>
      </c>
      <c r="AX1060" s="1">
        <v>17.100000000000001</v>
      </c>
      <c r="AY1060" t="str">
        <v>CP-R80_HI782-0_0.0_LOT0689_PWW38.1_QC.xlsx</v>
      </c>
      <c r="AZ1060" t="str">
        <v>LOT0689</v>
      </c>
      <c r="BA1060" s="3">
        <v>17</v>
      </c>
      <c r="BB1060" t="str">
        <v>P/Final</v>
      </c>
      <c r="BC1060">
        <v>15</v>
      </c>
      <c r="BD1060" s="10">
        <v>16</v>
      </c>
      <c r="BE1060" s="10">
        <v>0</v>
      </c>
      <c r="BF1060" s="10">
        <v>0</v>
      </c>
      <c r="BG1060" s="13">
        <v>45558</v>
      </c>
    </row>
    <row r="1061" spans="49:59" x14ac:dyDescent="0.3">
      <c r="AW1061" s="1">
        <v>17.100000000000001</v>
      </c>
      <c r="AX1061" s="1">
        <v>17.100000000000001</v>
      </c>
      <c r="AY1061" t="str">
        <v>CP-R80_HI782-0_0.0_LOT0689_PWW38.1_QC.xlsx</v>
      </c>
      <c r="AZ1061" t="str">
        <v>LOT0689</v>
      </c>
      <c r="BA1061" s="3">
        <v>17</v>
      </c>
      <c r="BB1061" t="str">
        <v>P/Final</v>
      </c>
      <c r="BC1061">
        <v>15</v>
      </c>
      <c r="BD1061" s="10">
        <v>12.5</v>
      </c>
      <c r="BE1061" s="10">
        <v>0</v>
      </c>
      <c r="BF1061" s="10">
        <v>0</v>
      </c>
      <c r="BG1061" s="13">
        <v>45558</v>
      </c>
    </row>
    <row r="1062" spans="49:59" x14ac:dyDescent="0.3">
      <c r="AW1062" s="1">
        <v>17.100000000000001</v>
      </c>
      <c r="AX1062" s="1">
        <v>17.100000000000001</v>
      </c>
      <c r="AY1062" t="str">
        <v>CP-R80_HI782-0_0.0_LOT0689_PWW38.1_QC.xlsx</v>
      </c>
      <c r="AZ1062" t="str">
        <v>LOT0689</v>
      </c>
      <c r="BA1062" s="3">
        <v>17</v>
      </c>
      <c r="BB1062" t="str">
        <v>P/Final</v>
      </c>
      <c r="BC1062">
        <v>15</v>
      </c>
      <c r="BD1062" s="10">
        <v>14.3</v>
      </c>
      <c r="BE1062" s="10">
        <v>0</v>
      </c>
      <c r="BF1062" s="10">
        <v>0</v>
      </c>
      <c r="BG1062" s="13">
        <v>45558</v>
      </c>
    </row>
    <row r="1063" spans="49:59" x14ac:dyDescent="0.3">
      <c r="AW1063" s="1">
        <v>17.100000000000001</v>
      </c>
      <c r="AX1063" s="1">
        <v>17.100000000000001</v>
      </c>
      <c r="AY1063" t="str">
        <v>CP-R80_HI782-0_0.0_LOT0689_PWW38.1_QC.xlsx</v>
      </c>
      <c r="AZ1063" t="str">
        <v>LOT0689</v>
      </c>
      <c r="BA1063" s="3">
        <v>17</v>
      </c>
      <c r="BB1063" t="str">
        <v>P/Final</v>
      </c>
      <c r="BC1063">
        <v>15</v>
      </c>
      <c r="BD1063" s="10">
        <v>13.6</v>
      </c>
      <c r="BE1063" s="10">
        <v>0</v>
      </c>
      <c r="BF1063" s="10">
        <v>0</v>
      </c>
      <c r="BG1063" s="13">
        <v>45558</v>
      </c>
    </row>
    <row r="1064" spans="49:59" x14ac:dyDescent="0.3">
      <c r="AW1064" s="1">
        <v>17.100000000000001</v>
      </c>
      <c r="AX1064" s="1">
        <v>17.100000000000001</v>
      </c>
      <c r="AY1064" t="str">
        <v>CP-R80_HI782-0_0.0_LOT0689_PWW38.1_QC.xlsx</v>
      </c>
      <c r="AZ1064" t="str">
        <v>LOT0689</v>
      </c>
      <c r="BA1064" s="3">
        <v>17</v>
      </c>
      <c r="BB1064" t="str">
        <v>P/Final</v>
      </c>
      <c r="BC1064">
        <v>15</v>
      </c>
      <c r="BD1064" s="10">
        <v>16.3</v>
      </c>
      <c r="BE1064" s="10">
        <v>0</v>
      </c>
      <c r="BF1064" s="10">
        <v>0</v>
      </c>
      <c r="BG1064" s="13">
        <v>45558</v>
      </c>
    </row>
    <row r="1065" spans="49:59" x14ac:dyDescent="0.3">
      <c r="AW1065" s="1">
        <v>17.100000000000001</v>
      </c>
      <c r="AX1065" s="1">
        <v>17.100000000000001</v>
      </c>
      <c r="AY1065" t="str">
        <v>CP-R80_HI782-0_0.0_LOT0689_PWW38.1_QC.xlsx</v>
      </c>
      <c r="AZ1065" t="str">
        <v>LOT0689</v>
      </c>
      <c r="BA1065" s="3">
        <v>17</v>
      </c>
      <c r="BB1065" t="str">
        <v>P/Final</v>
      </c>
      <c r="BC1065">
        <v>15</v>
      </c>
      <c r="BD1065" s="10">
        <v>15.1</v>
      </c>
      <c r="BE1065" s="10">
        <v>0</v>
      </c>
      <c r="BF1065" s="10">
        <v>0</v>
      </c>
      <c r="BG1065" s="13">
        <v>45558</v>
      </c>
    </row>
    <row r="1066" spans="49:59" x14ac:dyDescent="0.3">
      <c r="AW1066" s="1">
        <v>17.100000000000001</v>
      </c>
      <c r="AX1066" s="1">
        <v>17.100000000000001</v>
      </c>
      <c r="AY1066" t="str">
        <v>CP-R80_HI782-0_0.0_LOT0689_PWW38.1_QC.xlsx</v>
      </c>
      <c r="AZ1066" t="str">
        <v>LOT0689</v>
      </c>
      <c r="BA1066" s="3">
        <v>17</v>
      </c>
      <c r="BB1066" t="str">
        <v>P/Final</v>
      </c>
      <c r="BC1066">
        <v>15</v>
      </c>
      <c r="BD1066" s="10">
        <v>16.5</v>
      </c>
      <c r="BE1066" s="10">
        <v>0</v>
      </c>
      <c r="BF1066" s="10">
        <v>0</v>
      </c>
      <c r="BG1066" s="13">
        <v>45558</v>
      </c>
    </row>
    <row r="1067" spans="49:59" x14ac:dyDescent="0.3">
      <c r="AW1067" s="1">
        <v>17.100000000000001</v>
      </c>
      <c r="AX1067" s="1">
        <v>17.100000000000001</v>
      </c>
      <c r="AY1067" t="str">
        <v>CP-R80_HI782-0_0.0_LOT0689_PWW38.1_QC.xlsx</v>
      </c>
      <c r="AZ1067" t="str">
        <v>LOT0689</v>
      </c>
      <c r="BA1067" s="3">
        <v>17</v>
      </c>
      <c r="BB1067" t="str">
        <v>P/Final</v>
      </c>
      <c r="BC1067">
        <v>15</v>
      </c>
      <c r="BD1067" s="10">
        <v>17.2</v>
      </c>
      <c r="BE1067" s="10">
        <v>0</v>
      </c>
      <c r="BF1067" s="10">
        <v>0</v>
      </c>
      <c r="BG1067" s="13">
        <v>45558</v>
      </c>
    </row>
    <row r="1068" spans="49:59" x14ac:dyDescent="0.3">
      <c r="AW1068" s="1">
        <v>17.100000000000001</v>
      </c>
      <c r="AX1068" s="1">
        <v>17.100000000000001</v>
      </c>
      <c r="AY1068" t="str">
        <v>CP-R80_HI782-0_0.0_LOT0689_PWW38.1_QC.xlsx</v>
      </c>
      <c r="AZ1068" t="str">
        <v>LOT0689</v>
      </c>
      <c r="BA1068" s="3">
        <v>17</v>
      </c>
      <c r="BB1068" t="str">
        <v>P/Final</v>
      </c>
      <c r="BC1068">
        <v>15</v>
      </c>
      <c r="BD1068" s="10">
        <v>16.100000000000001</v>
      </c>
      <c r="BE1068" s="10">
        <v>0</v>
      </c>
      <c r="BF1068" s="10">
        <v>0</v>
      </c>
      <c r="BG1068" s="13">
        <v>45558</v>
      </c>
    </row>
    <row r="1069" spans="49:59" x14ac:dyDescent="0.3">
      <c r="AW1069" s="1">
        <v>17.100000000000001</v>
      </c>
      <c r="AX1069" s="1">
        <v>17.100000000000001</v>
      </c>
      <c r="AY1069" t="str">
        <v>CP-R80_HI782-0_0.0_LOT0689_PWW38.1_QC.xlsx</v>
      </c>
      <c r="AZ1069" t="str">
        <v>LOT0689</v>
      </c>
      <c r="BA1069" s="3">
        <v>17</v>
      </c>
      <c r="BB1069" t="str">
        <v>P/Final</v>
      </c>
      <c r="BC1069">
        <v>15</v>
      </c>
      <c r="BD1069" s="10">
        <v>13.9</v>
      </c>
      <c r="BE1069" s="10">
        <v>0</v>
      </c>
      <c r="BF1069" s="10">
        <v>0</v>
      </c>
      <c r="BG1069" s="13">
        <v>45558</v>
      </c>
    </row>
    <row r="1070" spans="49:59" x14ac:dyDescent="0.3">
      <c r="AW1070" s="1">
        <v>17.100000000000001</v>
      </c>
      <c r="AX1070" s="1">
        <v>17.100000000000001</v>
      </c>
      <c r="AY1070" t="str">
        <v>CP-R80_HI782-0_0.0_LOT0689_PWW38.1_QC.xlsx</v>
      </c>
      <c r="AZ1070" t="str">
        <v>LOT0689</v>
      </c>
      <c r="BA1070" s="3">
        <v>17</v>
      </c>
      <c r="BB1070" t="str">
        <v>P/Final</v>
      </c>
      <c r="BC1070">
        <v>15</v>
      </c>
      <c r="BD1070" s="10">
        <v>16.399999999999999</v>
      </c>
      <c r="BE1070" s="10">
        <v>0</v>
      </c>
      <c r="BF1070" s="10">
        <v>0</v>
      </c>
      <c r="BG1070" s="13">
        <v>45558</v>
      </c>
    </row>
    <row r="1071" spans="49:59" x14ac:dyDescent="0.3">
      <c r="AW1071" s="1">
        <v>17.100000000000001</v>
      </c>
      <c r="AX1071" s="1">
        <v>17.100000000000001</v>
      </c>
      <c r="AY1071" t="str">
        <v>CP-R80_HI782-0_0.0_LOT0689_PWW38.1_QC.xlsx</v>
      </c>
      <c r="AZ1071" t="str">
        <v>LOT0689</v>
      </c>
      <c r="BA1071" s="3">
        <v>17</v>
      </c>
      <c r="BB1071" t="str">
        <v>P/Final</v>
      </c>
      <c r="BC1071">
        <v>15</v>
      </c>
      <c r="BD1071" s="10">
        <v>14.5</v>
      </c>
      <c r="BE1071" s="10">
        <v>0</v>
      </c>
      <c r="BF1071" s="10">
        <v>0</v>
      </c>
      <c r="BG1071" s="13">
        <v>45558</v>
      </c>
    </row>
    <row r="1072" spans="49:59" x14ac:dyDescent="0.3">
      <c r="AW1072" s="1">
        <v>17.100000000000001</v>
      </c>
      <c r="AX1072" s="1">
        <v>17.100000000000001</v>
      </c>
      <c r="AY1072" t="str">
        <v>CP-R80_HI782-0_0.0_LOT0689_PWW38.1_QC.xlsx</v>
      </c>
      <c r="AZ1072" t="str">
        <v>LOT0689</v>
      </c>
      <c r="BA1072" s="3">
        <v>17</v>
      </c>
      <c r="BB1072" t="str">
        <v>P/Final</v>
      </c>
      <c r="BC1072">
        <v>15</v>
      </c>
      <c r="BD1072" s="10">
        <v>15.9</v>
      </c>
      <c r="BE1072" s="10">
        <v>0</v>
      </c>
      <c r="BF1072" s="10">
        <v>0</v>
      </c>
      <c r="BG1072" s="13">
        <v>45558</v>
      </c>
    </row>
    <row r="1073" spans="49:59" x14ac:dyDescent="0.3">
      <c r="AW1073" s="1">
        <v>17.100000000000001</v>
      </c>
      <c r="AX1073" s="1">
        <v>17.100000000000001</v>
      </c>
      <c r="AY1073" t="str">
        <v>CP-R80_HI782-0_0.0_LOT0689_PWW38.1_QC.xlsx</v>
      </c>
      <c r="AZ1073" t="str">
        <v>LOT0689</v>
      </c>
      <c r="BA1073" s="3">
        <v>17</v>
      </c>
      <c r="BB1073" t="str">
        <v>P/Final</v>
      </c>
      <c r="BC1073">
        <v>15</v>
      </c>
      <c r="BD1073" s="10">
        <v>15.7</v>
      </c>
      <c r="BE1073" s="10">
        <v>0</v>
      </c>
      <c r="BF1073" s="10">
        <v>0</v>
      </c>
      <c r="BG1073" s="13">
        <v>45558</v>
      </c>
    </row>
    <row r="1074" spans="49:59" x14ac:dyDescent="0.3">
      <c r="AW1074" s="1">
        <v>17.100000000000001</v>
      </c>
      <c r="AX1074" s="1">
        <v>17.100000000000001</v>
      </c>
      <c r="AY1074" t="str">
        <v>CP-R80_HI782-0_0.0_LOT0689_PWW38.1_QC.xlsx</v>
      </c>
      <c r="AZ1074" t="str">
        <v>LOT0689</v>
      </c>
      <c r="BA1074" s="3">
        <v>17</v>
      </c>
      <c r="BB1074" t="str">
        <v>P/Final</v>
      </c>
      <c r="BC1074">
        <v>15</v>
      </c>
      <c r="BD1074" s="10">
        <v>15.5</v>
      </c>
      <c r="BE1074" s="10">
        <v>0</v>
      </c>
      <c r="BF1074" s="10">
        <v>0</v>
      </c>
      <c r="BG1074" s="13">
        <v>45558</v>
      </c>
    </row>
    <row r="1075" spans="49:59" x14ac:dyDescent="0.3">
      <c r="AW1075" s="1">
        <v>17.100000000000001</v>
      </c>
      <c r="AX1075" s="1">
        <v>17.100000000000001</v>
      </c>
      <c r="AY1075" t="str">
        <v>CP-R80_HI782-0_0.0_LOT0689_PWW38.1_QC.xlsx</v>
      </c>
      <c r="AZ1075" t="str">
        <v>LOT0689</v>
      </c>
      <c r="BA1075" s="3">
        <v>17</v>
      </c>
      <c r="BB1075" t="str">
        <v>P/Final</v>
      </c>
      <c r="BC1075">
        <v>15</v>
      </c>
      <c r="BD1075" s="10">
        <v>12.8</v>
      </c>
      <c r="BE1075" s="10">
        <v>0</v>
      </c>
      <c r="BF1075" s="10">
        <v>0</v>
      </c>
      <c r="BG1075" s="13">
        <v>45558</v>
      </c>
    </row>
    <row r="1076" spans="49:59" x14ac:dyDescent="0.3">
      <c r="AW1076" s="1">
        <v>17.100000000000001</v>
      </c>
      <c r="AX1076" s="1">
        <v>17.100000000000001</v>
      </c>
      <c r="AY1076" t="str">
        <v>CP-R80_HI782-0_0.0_LOT0689_PWW38.1_QC.xlsx</v>
      </c>
      <c r="AZ1076" t="str">
        <v>LOT0689</v>
      </c>
      <c r="BA1076" s="3">
        <v>17</v>
      </c>
      <c r="BB1076" t="str">
        <v>P/Final</v>
      </c>
      <c r="BC1076">
        <v>35</v>
      </c>
      <c r="BD1076" s="10">
        <v>35.1</v>
      </c>
      <c r="BE1076" s="10">
        <v>0</v>
      </c>
      <c r="BF1076" s="10">
        <v>0</v>
      </c>
      <c r="BG1076" s="13">
        <v>45558</v>
      </c>
    </row>
    <row r="1077" spans="49:59" x14ac:dyDescent="0.3">
      <c r="AW1077" s="1">
        <v>17.100000000000001</v>
      </c>
      <c r="AX1077" s="1">
        <v>17.100000000000001</v>
      </c>
      <c r="AY1077" t="str">
        <v>CP-R80_HI782-0_0.0_LOT0689_PWW38.1_QC.xlsx</v>
      </c>
      <c r="AZ1077" t="str">
        <v>LOT0689</v>
      </c>
      <c r="BA1077" s="3">
        <v>17</v>
      </c>
      <c r="BB1077" t="str">
        <v>P/Final</v>
      </c>
      <c r="BC1077">
        <v>35</v>
      </c>
      <c r="BD1077" s="10">
        <v>32.700000000000003</v>
      </c>
      <c r="BE1077" s="10">
        <v>0</v>
      </c>
      <c r="BF1077" s="10">
        <v>0</v>
      </c>
      <c r="BG1077" s="13">
        <v>45558</v>
      </c>
    </row>
    <row r="1078" spans="49:59" x14ac:dyDescent="0.3">
      <c r="AW1078" s="1">
        <v>17.100000000000001</v>
      </c>
      <c r="AX1078" s="1">
        <v>17.100000000000001</v>
      </c>
      <c r="AY1078" t="str">
        <v>CP-R80_HI782-0_0.0_LOT0689_PWW38.1_QC.xlsx</v>
      </c>
      <c r="AZ1078" t="str">
        <v>LOT0689</v>
      </c>
      <c r="BA1078" s="3">
        <v>17</v>
      </c>
      <c r="BB1078" t="str">
        <v>P/Final</v>
      </c>
      <c r="BC1078">
        <v>35</v>
      </c>
      <c r="BD1078" s="10">
        <v>35.6</v>
      </c>
      <c r="BE1078" s="10">
        <v>0</v>
      </c>
      <c r="BF1078" s="10">
        <v>0</v>
      </c>
      <c r="BG1078" s="13">
        <v>45558</v>
      </c>
    </row>
    <row r="1079" spans="49:59" x14ac:dyDescent="0.3">
      <c r="AW1079" s="1">
        <v>17.100000000000001</v>
      </c>
      <c r="AX1079" s="1">
        <v>17.100000000000001</v>
      </c>
      <c r="AY1079" t="str">
        <v>CP-R80_HI782-0_0.0_LOT0689_PWW38.1_QC.xlsx</v>
      </c>
      <c r="AZ1079" t="str">
        <v>LOT0689</v>
      </c>
      <c r="BA1079" s="3">
        <v>17</v>
      </c>
      <c r="BB1079" t="str">
        <v>P/Final</v>
      </c>
      <c r="BC1079">
        <v>35</v>
      </c>
      <c r="BD1079" s="10">
        <v>34.700000000000003</v>
      </c>
      <c r="BE1079" s="10">
        <v>0</v>
      </c>
      <c r="BF1079" s="10">
        <v>0</v>
      </c>
      <c r="BG1079" s="13">
        <v>45558</v>
      </c>
    </row>
    <row r="1080" spans="49:59" x14ac:dyDescent="0.3">
      <c r="AW1080" s="1">
        <v>17.100000000000001</v>
      </c>
      <c r="AX1080" s="1">
        <v>17.100000000000001</v>
      </c>
      <c r="AY1080" t="str">
        <v>CP-R80_HI782-0_0.0_LOT0689_PWW38.1_QC.xlsx</v>
      </c>
      <c r="AZ1080" t="str">
        <v>LOT0689</v>
      </c>
      <c r="BA1080" s="3">
        <v>17</v>
      </c>
      <c r="BB1080" t="str">
        <v>P/Final</v>
      </c>
      <c r="BC1080">
        <v>35</v>
      </c>
      <c r="BD1080" s="10">
        <v>34.6</v>
      </c>
      <c r="BE1080" s="10">
        <v>0</v>
      </c>
      <c r="BF1080" s="10">
        <v>0</v>
      </c>
      <c r="BG1080" s="13">
        <v>45558</v>
      </c>
    </row>
    <row r="1081" spans="49:59" x14ac:dyDescent="0.3">
      <c r="AW1081" s="1">
        <v>17.100000000000001</v>
      </c>
      <c r="AX1081" s="1">
        <v>17.100000000000001</v>
      </c>
      <c r="AY1081" t="str">
        <v>CP-R80_HI782-0_0.0_LOT0689_PWW38.1_QC.xlsx</v>
      </c>
      <c r="AZ1081" t="str">
        <v>LOT0689</v>
      </c>
      <c r="BA1081" s="3">
        <v>17</v>
      </c>
      <c r="BB1081" t="str">
        <v>P/Final</v>
      </c>
      <c r="BC1081">
        <v>35</v>
      </c>
      <c r="BD1081" s="10">
        <v>38.4</v>
      </c>
      <c r="BE1081" s="10">
        <v>0</v>
      </c>
      <c r="BF1081" s="10">
        <v>0</v>
      </c>
      <c r="BG1081" s="13">
        <v>45558</v>
      </c>
    </row>
    <row r="1082" spans="49:59" x14ac:dyDescent="0.3">
      <c r="AW1082" s="1">
        <v>17.100000000000001</v>
      </c>
      <c r="AX1082" s="1">
        <v>17.100000000000001</v>
      </c>
      <c r="AY1082" t="str">
        <v>CP-R80_HI782-0_0.0_LOT0689_PWW38.1_QC.xlsx</v>
      </c>
      <c r="AZ1082" t="str">
        <v>LOT0689</v>
      </c>
      <c r="BA1082" s="3">
        <v>17</v>
      </c>
      <c r="BB1082" t="str">
        <v>P/Final</v>
      </c>
      <c r="BC1082">
        <v>35</v>
      </c>
      <c r="BD1082" s="10">
        <v>38</v>
      </c>
      <c r="BE1082" s="10">
        <v>0</v>
      </c>
      <c r="BF1082" s="10">
        <v>0</v>
      </c>
      <c r="BG1082" s="13">
        <v>45558</v>
      </c>
    </row>
    <row r="1083" spans="49:59" x14ac:dyDescent="0.3">
      <c r="AW1083" s="1">
        <v>17.100000000000001</v>
      </c>
      <c r="AX1083" s="1">
        <v>17.100000000000001</v>
      </c>
      <c r="AY1083" t="str">
        <v>CP-R80_HI782-0_0.0_LOT0689_PWW38.1_QC.xlsx</v>
      </c>
      <c r="AZ1083" t="str">
        <v>LOT0689</v>
      </c>
      <c r="BA1083" s="3">
        <v>17</v>
      </c>
      <c r="BB1083" t="str">
        <v>P/Final</v>
      </c>
      <c r="BC1083">
        <v>35</v>
      </c>
      <c r="BD1083" s="10">
        <v>36.4</v>
      </c>
      <c r="BE1083" s="10">
        <v>0</v>
      </c>
      <c r="BF1083" s="10">
        <v>0</v>
      </c>
      <c r="BG1083" s="13">
        <v>45558</v>
      </c>
    </row>
    <row r="1084" spans="49:59" x14ac:dyDescent="0.3">
      <c r="AW1084" s="1">
        <v>17.100000000000001</v>
      </c>
      <c r="AX1084" s="1">
        <v>17.100000000000001</v>
      </c>
      <c r="AY1084" t="str">
        <v>CP-R80_HI782-0_0.0_LOT0689_PWW38.1_QC.xlsx</v>
      </c>
      <c r="AZ1084" t="str">
        <v>LOT0689</v>
      </c>
      <c r="BA1084" s="3">
        <v>17</v>
      </c>
      <c r="BB1084" t="str">
        <v>P/Final</v>
      </c>
      <c r="BC1084">
        <v>35</v>
      </c>
      <c r="BD1084" s="10">
        <v>38.6</v>
      </c>
      <c r="BE1084" s="10">
        <v>0</v>
      </c>
      <c r="BF1084" s="10">
        <v>0</v>
      </c>
      <c r="BG1084" s="13">
        <v>45558</v>
      </c>
    </row>
    <row r="1085" spans="49:59" x14ac:dyDescent="0.3">
      <c r="AW1085" s="1">
        <v>17.100000000000001</v>
      </c>
      <c r="AX1085" s="1">
        <v>17.100000000000001</v>
      </c>
      <c r="AY1085" t="str">
        <v>CP-R80_HI782-0_0.0_LOT0689_PWW38.1_QC.xlsx</v>
      </c>
      <c r="AZ1085" t="str">
        <v>LOT0689</v>
      </c>
      <c r="BA1085" s="3">
        <v>17</v>
      </c>
      <c r="BB1085" t="str">
        <v>P/Final</v>
      </c>
      <c r="BC1085">
        <v>35</v>
      </c>
      <c r="BD1085" s="10">
        <v>36.4</v>
      </c>
      <c r="BE1085" s="10">
        <v>0</v>
      </c>
      <c r="BF1085" s="10">
        <v>0</v>
      </c>
      <c r="BG1085" s="13">
        <v>45558</v>
      </c>
    </row>
    <row r="1086" spans="49:59" x14ac:dyDescent="0.3">
      <c r="AW1086" s="1">
        <v>17.100000000000001</v>
      </c>
      <c r="AX1086" s="1">
        <v>17.100000000000001</v>
      </c>
      <c r="AY1086" t="str">
        <v>CP-R80_HI782-0_0.0_LOT0689_PWW38.1_QC.xlsx</v>
      </c>
      <c r="AZ1086" t="str">
        <v>LOT0689</v>
      </c>
      <c r="BA1086" s="3">
        <v>17</v>
      </c>
      <c r="BB1086" t="str">
        <v>P/Final</v>
      </c>
      <c r="BC1086">
        <v>35</v>
      </c>
      <c r="BD1086" s="10">
        <v>37.299999999999997</v>
      </c>
      <c r="BE1086" s="10">
        <v>0</v>
      </c>
      <c r="BF1086" s="10">
        <v>0</v>
      </c>
      <c r="BG1086" s="13">
        <v>45558</v>
      </c>
    </row>
    <row r="1087" spans="49:59" x14ac:dyDescent="0.3">
      <c r="AW1087" s="1">
        <v>17.100000000000001</v>
      </c>
      <c r="AX1087" s="1">
        <v>17.100000000000001</v>
      </c>
      <c r="AY1087" t="str">
        <v>CP-R80_HI782-0_0.0_LOT0689_PWW38.1_QC.xlsx</v>
      </c>
      <c r="AZ1087" t="str">
        <v>LOT0689</v>
      </c>
      <c r="BA1087" s="3">
        <v>17</v>
      </c>
      <c r="BB1087" t="str">
        <v>P/Final</v>
      </c>
      <c r="BC1087">
        <v>35</v>
      </c>
      <c r="BD1087" s="10">
        <v>35.6</v>
      </c>
      <c r="BE1087" s="10">
        <v>0</v>
      </c>
      <c r="BF1087" s="10">
        <v>0</v>
      </c>
      <c r="BG1087" s="13">
        <v>45558</v>
      </c>
    </row>
    <row r="1088" spans="49:59" x14ac:dyDescent="0.3">
      <c r="AW1088" s="1">
        <v>17.100000000000001</v>
      </c>
      <c r="AX1088" s="1">
        <v>17.100000000000001</v>
      </c>
      <c r="AY1088" t="str">
        <v>CP-R80_HI782-0_0.0_LOT0689_PWW38.1_QC.xlsx</v>
      </c>
      <c r="AZ1088" t="str">
        <v>LOT0689</v>
      </c>
      <c r="BA1088" s="3">
        <v>17</v>
      </c>
      <c r="BB1088" t="str">
        <v>P/Final</v>
      </c>
      <c r="BC1088">
        <v>35</v>
      </c>
      <c r="BD1088" s="10">
        <v>36.299999999999997</v>
      </c>
      <c r="BE1088" s="10">
        <v>0</v>
      </c>
      <c r="BF1088" s="10">
        <v>0</v>
      </c>
      <c r="BG1088" s="13">
        <v>45558</v>
      </c>
    </row>
    <row r="1089" spans="49:59" x14ac:dyDescent="0.3">
      <c r="AW1089" s="1">
        <v>17.100000000000001</v>
      </c>
      <c r="AX1089" s="1">
        <v>17.100000000000001</v>
      </c>
      <c r="AY1089" t="str">
        <v>CP-R80_HI782-0_0.0_LOT0689_PWW38.1_QC.xlsx</v>
      </c>
      <c r="AZ1089" t="str">
        <v>LOT0689</v>
      </c>
      <c r="BA1089" s="3">
        <v>17</v>
      </c>
      <c r="BB1089" t="str">
        <v>P/Final</v>
      </c>
      <c r="BC1089">
        <v>35</v>
      </c>
      <c r="BD1089" s="10">
        <v>36.299999999999997</v>
      </c>
      <c r="BE1089" s="10">
        <v>0</v>
      </c>
      <c r="BF1089" s="10">
        <v>0</v>
      </c>
      <c r="BG1089" s="13">
        <v>45558</v>
      </c>
    </row>
    <row r="1090" spans="49:59" x14ac:dyDescent="0.3">
      <c r="AW1090" s="1">
        <v>17.100000000000001</v>
      </c>
      <c r="AX1090" s="1">
        <v>17.100000000000001</v>
      </c>
      <c r="AY1090" t="str">
        <v>CP-R80_HI782-0_0.0_LOT0689_PWW38.1_QC.xlsx</v>
      </c>
      <c r="AZ1090" t="str">
        <v>LOT0689</v>
      </c>
      <c r="BA1090" s="3">
        <v>17</v>
      </c>
      <c r="BB1090" t="str">
        <v>P/Final</v>
      </c>
      <c r="BC1090">
        <v>35</v>
      </c>
      <c r="BD1090" s="10">
        <v>36</v>
      </c>
      <c r="BE1090" s="10">
        <v>0</v>
      </c>
      <c r="BF1090" s="10">
        <v>0</v>
      </c>
      <c r="BG1090" s="13">
        <v>45558</v>
      </c>
    </row>
    <row r="1091" spans="49:59" x14ac:dyDescent="0.3">
      <c r="AW1091" s="1">
        <v>17.100000000000001</v>
      </c>
      <c r="AX1091" s="1">
        <v>17.100000000000001</v>
      </c>
      <c r="AY1091" t="str">
        <v>CP-R80_HI782-0_0.0_LOT0689_PWW38.1_QC.xlsx</v>
      </c>
      <c r="AZ1091" t="str">
        <v>LOT0689</v>
      </c>
      <c r="BA1091" s="3">
        <v>17</v>
      </c>
      <c r="BB1091" t="str">
        <v>P/Final</v>
      </c>
      <c r="BC1091">
        <v>35</v>
      </c>
      <c r="BD1091" s="10">
        <v>35.299999999999997</v>
      </c>
      <c r="BE1091" s="10">
        <v>0</v>
      </c>
      <c r="BF1091" s="10">
        <v>0</v>
      </c>
      <c r="BG1091" s="13">
        <v>45558</v>
      </c>
    </row>
    <row r="1092" spans="49:59" x14ac:dyDescent="0.3">
      <c r="AW1092" s="1">
        <v>17.100000000000001</v>
      </c>
      <c r="AX1092" s="1">
        <v>17.100000000000001</v>
      </c>
      <c r="AY1092" t="str">
        <v>CP-R80_HI782-0_0.0_LOT0689_PWW38.1_QC.xlsx</v>
      </c>
      <c r="AZ1092" t="str">
        <v>LOT0689</v>
      </c>
      <c r="BA1092" s="3">
        <v>17</v>
      </c>
      <c r="BB1092" t="str">
        <v>P/Final</v>
      </c>
      <c r="BC1092">
        <v>35</v>
      </c>
      <c r="BD1092" s="10">
        <v>37.700000000000003</v>
      </c>
      <c r="BE1092" s="10">
        <v>0</v>
      </c>
      <c r="BF1092" s="10">
        <v>0</v>
      </c>
      <c r="BG1092" s="13">
        <v>45558</v>
      </c>
    </row>
    <row r="1093" spans="49:59" x14ac:dyDescent="0.3">
      <c r="AW1093" s="1">
        <v>17.100000000000001</v>
      </c>
      <c r="AX1093" s="1">
        <v>17.100000000000001</v>
      </c>
      <c r="AY1093" t="str">
        <v>CP-R80_HI782-0_0.0_LOT0689_PWW38.1_QC.xlsx</v>
      </c>
      <c r="AZ1093" t="str">
        <v>LOT0689</v>
      </c>
      <c r="BA1093" s="3">
        <v>17</v>
      </c>
      <c r="BB1093" t="str">
        <v>P/Final</v>
      </c>
      <c r="BC1093">
        <v>35</v>
      </c>
      <c r="BD1093" s="10">
        <v>36.700000000000003</v>
      </c>
      <c r="BE1093" s="10">
        <v>0</v>
      </c>
      <c r="BF1093" s="10">
        <v>0</v>
      </c>
      <c r="BG1093" s="13">
        <v>45558</v>
      </c>
    </row>
    <row r="1094" spans="49:59" x14ac:dyDescent="0.3">
      <c r="AW1094" s="1">
        <v>17.100000000000001</v>
      </c>
      <c r="AX1094" s="1">
        <v>17.100000000000001</v>
      </c>
      <c r="AY1094" t="str">
        <v>CP-R80_HI782-0_0.0_LOT0689_PWW38.1_QC.xlsx</v>
      </c>
      <c r="AZ1094" t="str">
        <v>LOT0689</v>
      </c>
      <c r="BA1094" s="3">
        <v>17</v>
      </c>
      <c r="BB1094" t="str">
        <v>P/Final</v>
      </c>
      <c r="BC1094">
        <v>60</v>
      </c>
      <c r="BD1094" s="10">
        <v>58.5</v>
      </c>
      <c r="BE1094" s="10">
        <v>0</v>
      </c>
      <c r="BF1094" s="10">
        <v>0</v>
      </c>
      <c r="BG1094" s="13">
        <v>45558</v>
      </c>
    </row>
    <row r="1095" spans="49:59" x14ac:dyDescent="0.3">
      <c r="AW1095" s="1">
        <v>17.100000000000001</v>
      </c>
      <c r="AX1095" s="1">
        <v>17.100000000000001</v>
      </c>
      <c r="AY1095" t="str">
        <v>CP-R80_HI782-0_0.0_LOT0689_PWW38.1_QC.xlsx</v>
      </c>
      <c r="AZ1095" t="str">
        <v>LOT0689</v>
      </c>
      <c r="BA1095" s="3">
        <v>17</v>
      </c>
      <c r="BB1095" t="str">
        <v>P/Final</v>
      </c>
      <c r="BC1095">
        <v>60</v>
      </c>
      <c r="BD1095" s="10">
        <v>59</v>
      </c>
      <c r="BE1095" s="10">
        <v>0</v>
      </c>
      <c r="BF1095" s="10">
        <v>0</v>
      </c>
      <c r="BG1095" s="13">
        <v>45558</v>
      </c>
    </row>
    <row r="1096" spans="49:59" x14ac:dyDescent="0.3">
      <c r="AW1096" s="1">
        <v>17.100000000000001</v>
      </c>
      <c r="AX1096" s="1">
        <v>17.100000000000001</v>
      </c>
      <c r="AY1096" t="str">
        <v>CP-R80_HI782-0_0.0_LOT0689_PWW38.1_QC.xlsx</v>
      </c>
      <c r="AZ1096" t="str">
        <v>LOT0689</v>
      </c>
      <c r="BA1096" s="3">
        <v>17</v>
      </c>
      <c r="BB1096" t="str">
        <v>P/Final</v>
      </c>
      <c r="BC1096">
        <v>60</v>
      </c>
      <c r="BD1096" s="10">
        <v>62</v>
      </c>
      <c r="BE1096" s="10">
        <v>0</v>
      </c>
      <c r="BF1096" s="10">
        <v>0</v>
      </c>
      <c r="BG1096" s="13">
        <v>45558</v>
      </c>
    </row>
    <row r="1097" spans="49:59" x14ac:dyDescent="0.3">
      <c r="AW1097" s="1">
        <v>17.100000000000001</v>
      </c>
      <c r="AX1097" s="1">
        <v>17.100000000000001</v>
      </c>
      <c r="AY1097" t="str">
        <v>CP-R80_HI782-0_0.0_LOT0689_PWW38.1_QC.xlsx</v>
      </c>
      <c r="AZ1097" t="str">
        <v>LOT0689</v>
      </c>
      <c r="BA1097" s="3">
        <v>17</v>
      </c>
      <c r="BB1097" t="str">
        <v>P/Final</v>
      </c>
      <c r="BC1097">
        <v>60</v>
      </c>
      <c r="BD1097" s="10">
        <v>61.5</v>
      </c>
      <c r="BE1097" s="10">
        <v>0</v>
      </c>
      <c r="BF1097" s="10">
        <v>0</v>
      </c>
      <c r="BG1097" s="13">
        <v>45558</v>
      </c>
    </row>
    <row r="1098" spans="49:59" x14ac:dyDescent="0.3">
      <c r="AW1098" s="1">
        <v>17.100000000000001</v>
      </c>
      <c r="AX1098" s="1">
        <v>17.100000000000001</v>
      </c>
      <c r="AY1098" t="str">
        <v>CP-R80_HI782-0_0.0_LOT0689_PWW38.1_QC.xlsx</v>
      </c>
      <c r="AZ1098" t="str">
        <v>LOT0689</v>
      </c>
      <c r="BA1098" s="3">
        <v>17</v>
      </c>
      <c r="BB1098" t="str">
        <v>P/Final</v>
      </c>
      <c r="BC1098">
        <v>60</v>
      </c>
      <c r="BD1098" s="10">
        <v>62</v>
      </c>
      <c r="BE1098" s="10">
        <v>0</v>
      </c>
      <c r="BF1098" s="10">
        <v>0</v>
      </c>
      <c r="BG1098" s="13">
        <v>45558</v>
      </c>
    </row>
    <row r="1099" spans="49:59" x14ac:dyDescent="0.3">
      <c r="AW1099" s="1">
        <v>17.100000000000001</v>
      </c>
      <c r="AX1099" s="1">
        <v>17.100000000000001</v>
      </c>
      <c r="AY1099" t="str">
        <v>CP-R80_HI782-0_0.0_LOT0689_PWW38.1_QC.xlsx</v>
      </c>
      <c r="AZ1099" t="str">
        <v>LOT0689</v>
      </c>
      <c r="BA1099" s="3">
        <v>17</v>
      </c>
      <c r="BB1099" t="str">
        <v>P/Final</v>
      </c>
      <c r="BC1099">
        <v>60</v>
      </c>
      <c r="BD1099" s="10">
        <v>58.3</v>
      </c>
      <c r="BE1099" s="10">
        <v>0</v>
      </c>
      <c r="BF1099" s="10">
        <v>0</v>
      </c>
      <c r="BG1099" s="13">
        <v>45558</v>
      </c>
    </row>
    <row r="1100" spans="49:59" x14ac:dyDescent="0.3">
      <c r="AW1100" s="1">
        <v>17.100000000000001</v>
      </c>
      <c r="AX1100" s="1">
        <v>17.100000000000001</v>
      </c>
      <c r="AY1100" t="str">
        <v>CP-R80_HI782-0_0.0_LOT0689_PWW38.1_QC.xlsx</v>
      </c>
      <c r="AZ1100" t="str">
        <v>LOT0689</v>
      </c>
      <c r="BA1100" s="3">
        <v>17</v>
      </c>
      <c r="BB1100" t="str">
        <v>P/Final</v>
      </c>
      <c r="BC1100">
        <v>60</v>
      </c>
      <c r="BD1100" s="10">
        <v>56.2</v>
      </c>
      <c r="BE1100" s="10">
        <v>0</v>
      </c>
      <c r="BF1100" s="10">
        <v>0</v>
      </c>
      <c r="BG1100" s="13">
        <v>45558</v>
      </c>
    </row>
    <row r="1101" spans="49:59" x14ac:dyDescent="0.3">
      <c r="AW1101" s="1">
        <v>17.100000000000001</v>
      </c>
      <c r="AX1101" s="1">
        <v>17.100000000000001</v>
      </c>
      <c r="AY1101" t="str">
        <v>CP-R80_HI782-0_0.0_LOT0689_PWW38.1_QC.xlsx</v>
      </c>
      <c r="AZ1101" t="str">
        <v>LOT0689</v>
      </c>
      <c r="BA1101" s="3">
        <v>17</v>
      </c>
      <c r="BB1101" t="str">
        <v>P/Final</v>
      </c>
      <c r="BC1101">
        <v>60</v>
      </c>
      <c r="BD1101" s="10">
        <v>57.2</v>
      </c>
      <c r="BE1101" s="10">
        <v>0</v>
      </c>
      <c r="BF1101" s="10">
        <v>0</v>
      </c>
      <c r="BG1101" s="13">
        <v>45558</v>
      </c>
    </row>
    <row r="1102" spans="49:59" x14ac:dyDescent="0.3">
      <c r="AW1102" s="1">
        <v>17.100000000000001</v>
      </c>
      <c r="AX1102" s="1">
        <v>17.100000000000001</v>
      </c>
      <c r="AY1102" t="str">
        <v>CP-R80_HI782-0_0.0_LOT0689_PWW38.1_QC.xlsx</v>
      </c>
      <c r="AZ1102" t="str">
        <v>LOT0689</v>
      </c>
      <c r="BA1102" s="3">
        <v>17</v>
      </c>
      <c r="BB1102" t="str">
        <v>P/Final</v>
      </c>
      <c r="BC1102">
        <v>60</v>
      </c>
      <c r="BD1102" s="10">
        <v>56.6</v>
      </c>
      <c r="BE1102" s="10">
        <v>0</v>
      </c>
      <c r="BF1102" s="10">
        <v>0</v>
      </c>
      <c r="BG1102" s="13">
        <v>45558</v>
      </c>
    </row>
    <row r="1103" spans="49:59" x14ac:dyDescent="0.3">
      <c r="AW1103" s="1">
        <v>17.100000000000001</v>
      </c>
      <c r="AX1103" s="1">
        <v>17.100000000000001</v>
      </c>
      <c r="AY1103" t="str">
        <v>CP-R80_HI782-0_0.0_LOT0689_PWW38.1_QC.xlsx</v>
      </c>
      <c r="AZ1103" t="str">
        <v>LOT0689</v>
      </c>
      <c r="BA1103" s="3">
        <v>17</v>
      </c>
      <c r="BB1103" t="str">
        <v>P/Final</v>
      </c>
      <c r="BC1103">
        <v>60</v>
      </c>
      <c r="BD1103" s="10">
        <v>61.1</v>
      </c>
      <c r="BE1103" s="10">
        <v>0</v>
      </c>
      <c r="BF1103" s="10">
        <v>0</v>
      </c>
      <c r="BG1103" s="13">
        <v>45558</v>
      </c>
    </row>
    <row r="1104" spans="49:59" x14ac:dyDescent="0.3">
      <c r="AW1104" s="1">
        <v>17.100000000000001</v>
      </c>
      <c r="AX1104" s="1">
        <v>17.100000000000001</v>
      </c>
      <c r="AY1104" t="str">
        <v>CP-R80_HI782-0_0.0_LOT0689_PWW38.1_QC.xlsx</v>
      </c>
      <c r="AZ1104" t="str">
        <v>LOT0689</v>
      </c>
      <c r="BA1104" s="3">
        <v>17</v>
      </c>
      <c r="BB1104" t="str">
        <v>P/Final</v>
      </c>
      <c r="BC1104">
        <v>60</v>
      </c>
      <c r="BD1104" s="10">
        <v>54.5</v>
      </c>
      <c r="BE1104" s="10">
        <v>0</v>
      </c>
      <c r="BF1104" s="10">
        <v>0</v>
      </c>
      <c r="BG1104" s="13">
        <v>45558</v>
      </c>
    </row>
    <row r="1105" spans="49:59" x14ac:dyDescent="0.3">
      <c r="AW1105" s="1">
        <v>17.100000000000001</v>
      </c>
      <c r="AX1105" s="1">
        <v>17.100000000000001</v>
      </c>
      <c r="AY1105" t="str">
        <v>CP-R80_HI782-0_0.0_LOT0689_PWW38.1_QC.xlsx</v>
      </c>
      <c r="AZ1105" t="str">
        <v>LOT0689</v>
      </c>
      <c r="BA1105" s="3">
        <v>17</v>
      </c>
      <c r="BB1105" t="str">
        <v>P/Final</v>
      </c>
      <c r="BC1105">
        <v>60</v>
      </c>
      <c r="BD1105" s="10">
        <v>60.2</v>
      </c>
      <c r="BE1105" s="10">
        <v>0</v>
      </c>
      <c r="BF1105" s="10">
        <v>0</v>
      </c>
      <c r="BG1105" s="13">
        <v>45558</v>
      </c>
    </row>
    <row r="1106" spans="49:59" x14ac:dyDescent="0.3">
      <c r="AW1106" s="1">
        <v>17.100000000000001</v>
      </c>
      <c r="AX1106" s="1">
        <v>17.100000000000001</v>
      </c>
      <c r="AY1106" t="str">
        <v>CP-R80_HI782-0_0.0_LOT0689_PWW38.1_QC.xlsx</v>
      </c>
      <c r="AZ1106" t="str">
        <v>LOT0689</v>
      </c>
      <c r="BA1106" s="3">
        <v>17</v>
      </c>
      <c r="BB1106" t="str">
        <v>P/Final</v>
      </c>
      <c r="BC1106">
        <v>60</v>
      </c>
      <c r="BD1106" s="10">
        <v>58.3</v>
      </c>
      <c r="BE1106" s="10">
        <v>0</v>
      </c>
      <c r="BF1106" s="10">
        <v>0</v>
      </c>
      <c r="BG1106" s="13">
        <v>45558</v>
      </c>
    </row>
    <row r="1107" spans="49:59" x14ac:dyDescent="0.3">
      <c r="AW1107" s="1">
        <v>17.100000000000001</v>
      </c>
      <c r="AX1107" s="1">
        <v>17.100000000000001</v>
      </c>
      <c r="AY1107" t="str">
        <v>CP-R80_HI782-0_0.0_LOT0689_PWW38.1_QC.xlsx</v>
      </c>
      <c r="AZ1107" t="str">
        <v>LOT0689</v>
      </c>
      <c r="BA1107" s="3">
        <v>17</v>
      </c>
      <c r="BB1107" t="str">
        <v>P/Final</v>
      </c>
      <c r="BC1107">
        <v>60</v>
      </c>
      <c r="BD1107" s="10">
        <v>57.7</v>
      </c>
      <c r="BE1107" s="10">
        <v>0</v>
      </c>
      <c r="BF1107" s="10">
        <v>0</v>
      </c>
      <c r="BG1107" s="13">
        <v>45558</v>
      </c>
    </row>
    <row r="1108" spans="49:59" x14ac:dyDescent="0.3">
      <c r="AW1108" s="1">
        <v>17.100000000000001</v>
      </c>
      <c r="AX1108" s="1">
        <v>17.100000000000001</v>
      </c>
      <c r="AY1108" t="str">
        <v>CP-R80_HI782-0_0.0_LOT0689_PWW38.1_QC.xlsx</v>
      </c>
      <c r="AZ1108" t="str">
        <v>LOT0689</v>
      </c>
      <c r="BA1108" s="3">
        <v>17</v>
      </c>
      <c r="BB1108" t="str">
        <v>P/Final</v>
      </c>
      <c r="BC1108">
        <v>60</v>
      </c>
      <c r="BD1108" s="10">
        <v>57.9</v>
      </c>
      <c r="BE1108" s="10">
        <v>0</v>
      </c>
      <c r="BF1108" s="10">
        <v>0</v>
      </c>
      <c r="BG1108" s="13">
        <v>45558</v>
      </c>
    </row>
    <row r="1109" spans="49:59" x14ac:dyDescent="0.3">
      <c r="AW1109" s="1">
        <v>17.100000000000001</v>
      </c>
      <c r="AX1109" s="1">
        <v>17.100000000000001</v>
      </c>
      <c r="AY1109" t="str">
        <v>CP-R80_HI782-0_0.0_LOT0689_PWW38.1_QC.xlsx</v>
      </c>
      <c r="AZ1109" t="str">
        <v>LOT0689</v>
      </c>
      <c r="BA1109" s="3">
        <v>17</v>
      </c>
      <c r="BB1109" t="str">
        <v>P/Final</v>
      </c>
      <c r="BC1109">
        <v>60</v>
      </c>
      <c r="BD1109" s="10">
        <v>59.4</v>
      </c>
      <c r="BE1109" s="10">
        <v>0</v>
      </c>
      <c r="BF1109" s="10">
        <v>0</v>
      </c>
      <c r="BG1109" s="13">
        <v>45558</v>
      </c>
    </row>
    <row r="1110" spans="49:59" x14ac:dyDescent="0.3">
      <c r="AW1110" s="1">
        <v>17.100000000000001</v>
      </c>
      <c r="AX1110" s="1">
        <v>17.100000000000001</v>
      </c>
      <c r="AY1110" t="str">
        <v>CP-R80_HI782-0_0.0_LOT0689_PWW38.1_QC.xlsx</v>
      </c>
      <c r="AZ1110" t="str">
        <v>LOT0689</v>
      </c>
      <c r="BA1110" s="3">
        <v>17</v>
      </c>
      <c r="BB1110" t="str">
        <v>P/Final</v>
      </c>
      <c r="BC1110">
        <v>60</v>
      </c>
      <c r="BD1110" s="10">
        <v>56.1</v>
      </c>
      <c r="BE1110" s="10">
        <v>0</v>
      </c>
      <c r="BF1110" s="10">
        <v>0</v>
      </c>
      <c r="BG1110" s="13">
        <v>45558</v>
      </c>
    </row>
    <row r="1111" spans="49:59" x14ac:dyDescent="0.3">
      <c r="AW1111" s="1">
        <v>17.100000000000001</v>
      </c>
      <c r="AX1111" s="1">
        <v>17.100000000000001</v>
      </c>
      <c r="AY1111" t="str">
        <v>CP-R80_HI782-0_0.0_LOT0689_PWW38.1_QC.xlsx</v>
      </c>
      <c r="AZ1111" t="str">
        <v>LOT0689</v>
      </c>
      <c r="BA1111" s="3">
        <v>17</v>
      </c>
      <c r="BB1111" t="str">
        <v>P/Final</v>
      </c>
      <c r="BC1111">
        <v>60</v>
      </c>
      <c r="BD1111" s="10">
        <v>59</v>
      </c>
      <c r="BE1111" s="10">
        <v>0</v>
      </c>
      <c r="BF1111" s="10">
        <v>0</v>
      </c>
      <c r="BG1111" s="13">
        <v>45558</v>
      </c>
    </row>
    <row r="1112" spans="49:59" x14ac:dyDescent="0.3">
      <c r="AW1112" s="1">
        <v>17.100000000000001</v>
      </c>
      <c r="AX1112" s="1">
        <v>17.100000000000001</v>
      </c>
      <c r="AY1112" t="str">
        <v>CP-R80_HI782-0_0.0_LOT0689_PWW38.1_QC.xlsx</v>
      </c>
      <c r="AZ1112" t="str">
        <v>LOT0689</v>
      </c>
      <c r="BA1112" s="3">
        <v>17</v>
      </c>
      <c r="BB1112" t="str">
        <v>P/Final</v>
      </c>
      <c r="BC1112">
        <v>0</v>
      </c>
      <c r="BD1112" s="10">
        <v>0</v>
      </c>
      <c r="BE1112" s="10">
        <v>0</v>
      </c>
      <c r="BF1112" s="10">
        <v>0</v>
      </c>
      <c r="BG1112" s="13">
        <v>45559</v>
      </c>
    </row>
    <row r="1113" spans="49:59" x14ac:dyDescent="0.3">
      <c r="AW1113" s="1">
        <v>17.100000000000001</v>
      </c>
      <c r="AX1113" s="1">
        <v>17.100000000000001</v>
      </c>
      <c r="AY1113" t="str">
        <v>CP-R80_HI782-0_0.0_LOT0689_PWW38.1_QC.xlsx</v>
      </c>
      <c r="AZ1113" t="str">
        <v>LOT0689</v>
      </c>
      <c r="BA1113" s="3">
        <v>17</v>
      </c>
      <c r="BB1113" t="str">
        <v>P/Final</v>
      </c>
      <c r="BC1113">
        <v>0</v>
      </c>
      <c r="BD1113" s="10">
        <v>0</v>
      </c>
      <c r="BE1113" s="10">
        <v>0</v>
      </c>
      <c r="BF1113" s="10">
        <v>0</v>
      </c>
      <c r="BG1113" s="13">
        <v>45559</v>
      </c>
    </row>
    <row r="1114" spans="49:59" x14ac:dyDescent="0.3">
      <c r="AW1114" s="1">
        <v>17.100000000000001</v>
      </c>
      <c r="AX1114" s="1">
        <v>17.100000000000001</v>
      </c>
      <c r="AY1114" t="str">
        <v>CP-R80_HI782-0_0.0_LOT0689_PWW38.1_QC.xlsx</v>
      </c>
      <c r="AZ1114" t="str">
        <v>LOT0689</v>
      </c>
      <c r="BA1114" s="3">
        <v>17</v>
      </c>
      <c r="BB1114" t="str">
        <v>P/Final</v>
      </c>
      <c r="BC1114">
        <v>0</v>
      </c>
      <c r="BD1114" s="10">
        <v>0</v>
      </c>
      <c r="BE1114" s="10">
        <v>0</v>
      </c>
      <c r="BF1114" s="10">
        <v>0</v>
      </c>
      <c r="BG1114" s="13">
        <v>45559</v>
      </c>
    </row>
    <row r="1115" spans="49:59" x14ac:dyDescent="0.3">
      <c r="AW1115" s="1">
        <v>17.100000000000001</v>
      </c>
      <c r="AX1115" s="1">
        <v>17.100000000000001</v>
      </c>
      <c r="AY1115" t="str">
        <v>CP-R80_HI782-0_0.0_LOT0689_PWW38.1_QC.xlsx</v>
      </c>
      <c r="AZ1115" t="str">
        <v>LOT0689</v>
      </c>
      <c r="BA1115" s="3">
        <v>17</v>
      </c>
      <c r="BB1115" t="str">
        <v>P/Final</v>
      </c>
      <c r="BC1115">
        <v>0</v>
      </c>
      <c r="BD1115" s="10">
        <v>0</v>
      </c>
      <c r="BE1115" s="10">
        <v>0</v>
      </c>
      <c r="BF1115" s="10">
        <v>0</v>
      </c>
      <c r="BG1115" s="13">
        <v>45559</v>
      </c>
    </row>
    <row r="1116" spans="49:59" x14ac:dyDescent="0.3">
      <c r="AW1116" s="1">
        <v>17.100000000000001</v>
      </c>
      <c r="AX1116" s="1">
        <v>17.100000000000001</v>
      </c>
      <c r="AY1116" t="str">
        <v>CP-R80_HI782-0_0.0_LOT0689_PWW38.1_QC.xlsx</v>
      </c>
      <c r="AZ1116" t="str">
        <v>LOT0689</v>
      </c>
      <c r="BA1116" s="3">
        <v>17</v>
      </c>
      <c r="BB1116" t="str">
        <v>P/Final</v>
      </c>
      <c r="BC1116">
        <v>15</v>
      </c>
      <c r="BD1116" s="10">
        <v>15.6</v>
      </c>
      <c r="BE1116" s="10">
        <v>0</v>
      </c>
      <c r="BF1116" s="10">
        <v>0</v>
      </c>
      <c r="BG1116" s="13">
        <v>45559</v>
      </c>
    </row>
    <row r="1117" spans="49:59" x14ac:dyDescent="0.3">
      <c r="AW1117" s="1">
        <v>18.100000000000001</v>
      </c>
      <c r="AX1117" s="1">
        <v>18.100000000000001</v>
      </c>
      <c r="AY1117" t="str">
        <v>CP-R80_HI782-0_0.0_LOT0696_PWW39.1_QC.xlsx</v>
      </c>
      <c r="AZ1117" t="str">
        <v>LOT0696</v>
      </c>
      <c r="BA1117" s="3">
        <v>18</v>
      </c>
      <c r="BB1117" t="str">
        <v>P/Final</v>
      </c>
      <c r="BC1117">
        <v>15</v>
      </c>
      <c r="BD1117" s="10">
        <v>13.6</v>
      </c>
      <c r="BE1117" s="10">
        <v>0</v>
      </c>
      <c r="BF1117" s="10">
        <v>0</v>
      </c>
      <c r="BG1117" s="13">
        <v>45559</v>
      </c>
    </row>
    <row r="1118" spans="49:59" x14ac:dyDescent="0.3">
      <c r="AW1118" s="1">
        <v>17.100000000000001</v>
      </c>
      <c r="AX1118" s="1">
        <v>17.100000000000001</v>
      </c>
      <c r="AY1118" t="str">
        <v>CP-R80_HI782-0_0.0_LOT0689_PWW38.1_QC.xlsx</v>
      </c>
      <c r="AZ1118" t="str">
        <v>LOT0689</v>
      </c>
      <c r="BA1118" s="3">
        <v>17</v>
      </c>
      <c r="BB1118" t="str">
        <v>P/Final</v>
      </c>
      <c r="BC1118">
        <v>15</v>
      </c>
      <c r="BD1118" s="10">
        <v>15.6</v>
      </c>
      <c r="BE1118" s="10">
        <v>0</v>
      </c>
      <c r="BF1118" s="10">
        <v>0</v>
      </c>
      <c r="BG1118" s="13">
        <v>45559</v>
      </c>
    </row>
    <row r="1119" spans="49:59" x14ac:dyDescent="0.3">
      <c r="AW1119" s="1">
        <v>18.100000000000001</v>
      </c>
      <c r="AX1119" s="1">
        <v>18.100000000000001</v>
      </c>
      <c r="AY1119" t="str">
        <v>CP-R80_HI782-0_0.0_LOT0696_PWW39.1_QC.xlsx</v>
      </c>
      <c r="AZ1119" t="str">
        <v>LOT0696</v>
      </c>
      <c r="BA1119" s="3">
        <v>18</v>
      </c>
      <c r="BB1119" t="str">
        <v>P/Final</v>
      </c>
      <c r="BC1119">
        <v>15</v>
      </c>
      <c r="BD1119" s="10">
        <v>12.7</v>
      </c>
      <c r="BE1119" s="10">
        <v>0</v>
      </c>
      <c r="BF1119" s="10">
        <v>0</v>
      </c>
      <c r="BG1119" s="13">
        <v>45559</v>
      </c>
    </row>
    <row r="1120" spans="49:59" x14ac:dyDescent="0.3">
      <c r="AW1120" s="1">
        <v>18.100000000000001</v>
      </c>
      <c r="AX1120" s="1">
        <v>18.100000000000001</v>
      </c>
      <c r="AY1120" t="str">
        <v>CP-R80_HI782-0_0.0_LOT0696_PWW39.1_QC.xlsx</v>
      </c>
      <c r="AZ1120" t="str">
        <v>LOT0696</v>
      </c>
      <c r="BA1120" s="3">
        <v>18</v>
      </c>
      <c r="BB1120" t="str">
        <v>P/Final</v>
      </c>
      <c r="BC1120">
        <v>15</v>
      </c>
      <c r="BD1120" s="10">
        <v>15.1</v>
      </c>
      <c r="BE1120" s="10">
        <v>0</v>
      </c>
      <c r="BF1120" s="10">
        <v>0</v>
      </c>
      <c r="BG1120" s="13">
        <v>45559</v>
      </c>
    </row>
    <row r="1121" spans="49:59" x14ac:dyDescent="0.3">
      <c r="AW1121" s="1">
        <v>18.100000000000001</v>
      </c>
      <c r="AX1121" s="1">
        <v>18.100000000000001</v>
      </c>
      <c r="AY1121" t="str">
        <v>CP-R80_HI782-0_0.0_LOT0696_PWW39.1_QC.xlsx</v>
      </c>
      <c r="AZ1121" t="str">
        <v>LOT0696</v>
      </c>
      <c r="BA1121" s="3">
        <v>18</v>
      </c>
      <c r="BB1121" t="str">
        <v>P/Final</v>
      </c>
      <c r="BC1121">
        <v>15</v>
      </c>
      <c r="BD1121" s="10">
        <v>13.3</v>
      </c>
      <c r="BE1121" s="10">
        <v>0</v>
      </c>
      <c r="BF1121" s="10">
        <v>0</v>
      </c>
      <c r="BG1121" s="13">
        <v>45559</v>
      </c>
    </row>
    <row r="1122" spans="49:59" x14ac:dyDescent="0.3">
      <c r="AW1122" s="1">
        <v>18.100000000000001</v>
      </c>
      <c r="AX1122" s="1">
        <v>18.100000000000001</v>
      </c>
      <c r="AY1122" t="str">
        <v>CP-R80_HI782-0_0.0_LOT0696_PWW39.1_QC.xlsx</v>
      </c>
      <c r="AZ1122" t="str">
        <v>LOT0696</v>
      </c>
      <c r="BA1122" s="3">
        <v>18</v>
      </c>
      <c r="BB1122" t="str">
        <v>P/Final</v>
      </c>
      <c r="BC1122">
        <v>15</v>
      </c>
      <c r="BD1122" s="10">
        <v>14.7</v>
      </c>
      <c r="BE1122" s="10">
        <v>0</v>
      </c>
      <c r="BF1122" s="10">
        <v>0</v>
      </c>
      <c r="BG1122" s="13">
        <v>45559</v>
      </c>
    </row>
    <row r="1123" spans="49:59" x14ac:dyDescent="0.3">
      <c r="AW1123" s="1">
        <v>18.100000000000001</v>
      </c>
      <c r="AX1123" s="1">
        <v>18.100000000000001</v>
      </c>
      <c r="AY1123" t="str">
        <v>CP-R80_HI782-0_0.0_LOT0696_PWW39.1_QC.xlsx</v>
      </c>
      <c r="AZ1123" t="str">
        <v>LOT0696</v>
      </c>
      <c r="BA1123" s="3">
        <v>18</v>
      </c>
      <c r="BB1123" t="str">
        <v>P/Final</v>
      </c>
      <c r="BC1123">
        <v>15</v>
      </c>
      <c r="BD1123" s="10">
        <v>15.4</v>
      </c>
      <c r="BE1123" s="10">
        <v>0</v>
      </c>
      <c r="BF1123" s="10">
        <v>0</v>
      </c>
      <c r="BG1123" s="13">
        <v>45559</v>
      </c>
    </row>
    <row r="1124" spans="49:59" x14ac:dyDescent="0.3">
      <c r="AW1124" s="1">
        <v>18.100000000000001</v>
      </c>
      <c r="AX1124" s="1">
        <v>18.100000000000001</v>
      </c>
      <c r="AY1124" t="str">
        <v>CP-R80_HI782-0_0.0_LOT0696_PWW39.1_QC.xlsx</v>
      </c>
      <c r="AZ1124" t="str">
        <v>LOT0696</v>
      </c>
      <c r="BA1124" s="3">
        <v>18</v>
      </c>
      <c r="BB1124" t="str">
        <v>P/Final</v>
      </c>
      <c r="BC1124">
        <v>15</v>
      </c>
      <c r="BD1124" s="10">
        <v>12.9</v>
      </c>
      <c r="BE1124" s="10">
        <v>0</v>
      </c>
      <c r="BF1124" s="10">
        <v>0</v>
      </c>
      <c r="BG1124" s="13">
        <v>45559</v>
      </c>
    </row>
    <row r="1125" spans="49:59" x14ac:dyDescent="0.3">
      <c r="AW1125" s="1">
        <v>18.100000000000001</v>
      </c>
      <c r="AX1125" s="1">
        <v>18.100000000000001</v>
      </c>
      <c r="AY1125" t="str">
        <v>CP-R80_HI782-0_0.0_LOT0696_PWW39.1_QC.xlsx</v>
      </c>
      <c r="AZ1125" t="str">
        <v>LOT0696</v>
      </c>
      <c r="BA1125" s="3">
        <v>18</v>
      </c>
      <c r="BB1125" t="str">
        <v>P/Final</v>
      </c>
      <c r="BC1125">
        <v>15</v>
      </c>
      <c r="BD1125" s="10">
        <v>14.6</v>
      </c>
      <c r="BE1125" s="10">
        <v>0</v>
      </c>
      <c r="BF1125" s="10">
        <v>0</v>
      </c>
      <c r="BG1125" s="13">
        <v>45559</v>
      </c>
    </row>
    <row r="1126" spans="49:59" x14ac:dyDescent="0.3">
      <c r="AW1126" s="1">
        <v>17.100000000000001</v>
      </c>
      <c r="AX1126" s="1">
        <v>17.100000000000001</v>
      </c>
      <c r="AY1126" t="str">
        <v>CP-R80_HI782-0_0.0_LOT0689_PWW38.1_QC.xlsx</v>
      </c>
      <c r="AZ1126" t="str">
        <v>LOT0689</v>
      </c>
      <c r="BA1126" s="3">
        <v>17</v>
      </c>
      <c r="BB1126" t="str">
        <v>P/Final</v>
      </c>
      <c r="BC1126">
        <v>35</v>
      </c>
      <c r="BD1126" s="10">
        <v>33.9</v>
      </c>
      <c r="BE1126" s="10">
        <v>0</v>
      </c>
      <c r="BF1126" s="10">
        <v>0</v>
      </c>
      <c r="BG1126" s="13">
        <v>45559</v>
      </c>
    </row>
    <row r="1127" spans="49:59" x14ac:dyDescent="0.3">
      <c r="AW1127" s="1">
        <v>17.100000000000001</v>
      </c>
      <c r="AX1127" s="1">
        <v>17.100000000000001</v>
      </c>
      <c r="AY1127" t="str">
        <v>CP-R80_HI782-0_0.0_LOT0689_PWW38.1_QC.xlsx</v>
      </c>
      <c r="AZ1127" t="str">
        <v>LOT0689</v>
      </c>
      <c r="BA1127" s="3">
        <v>17</v>
      </c>
      <c r="BB1127" t="str">
        <v>P/Final</v>
      </c>
      <c r="BC1127">
        <v>35</v>
      </c>
      <c r="BD1127" s="10">
        <v>36</v>
      </c>
      <c r="BE1127" s="10">
        <v>0</v>
      </c>
      <c r="BF1127" s="10">
        <v>0</v>
      </c>
      <c r="BG1127" s="13">
        <v>45559</v>
      </c>
    </row>
    <row r="1128" spans="49:59" x14ac:dyDescent="0.3">
      <c r="AW1128" s="1">
        <v>18.100000000000001</v>
      </c>
      <c r="AX1128" s="1">
        <v>18.100000000000001</v>
      </c>
      <c r="AY1128" t="str">
        <v>CP-R80_HI782-0_0.0_LOT0696_PWW39.1_QC.xlsx</v>
      </c>
      <c r="AZ1128" t="str">
        <v>LOT0696</v>
      </c>
      <c r="BA1128" s="3">
        <v>18</v>
      </c>
      <c r="BB1128" t="str">
        <v>P/Final</v>
      </c>
      <c r="BC1128">
        <v>35</v>
      </c>
      <c r="BD1128" s="10">
        <v>33.799999999999997</v>
      </c>
      <c r="BE1128" s="10">
        <v>0</v>
      </c>
      <c r="BF1128" s="10">
        <v>0</v>
      </c>
      <c r="BG1128" s="13">
        <v>45559</v>
      </c>
    </row>
    <row r="1129" spans="49:59" x14ac:dyDescent="0.3">
      <c r="AW1129" s="1">
        <v>18.100000000000001</v>
      </c>
      <c r="AX1129" s="1">
        <v>18.100000000000001</v>
      </c>
      <c r="AY1129" t="str">
        <v>CP-R80_HI782-0_0.0_LOT0696_PWW39.1_QC.xlsx</v>
      </c>
      <c r="AZ1129" t="str">
        <v>LOT0696</v>
      </c>
      <c r="BA1129" s="3">
        <v>18</v>
      </c>
      <c r="BB1129" t="str">
        <v>P/Final</v>
      </c>
      <c r="BC1129">
        <v>35</v>
      </c>
      <c r="BD1129" s="10">
        <v>36.5</v>
      </c>
      <c r="BE1129" s="10">
        <v>0</v>
      </c>
      <c r="BF1129" s="10">
        <v>0</v>
      </c>
      <c r="BG1129" s="13">
        <v>45559</v>
      </c>
    </row>
    <row r="1130" spans="49:59" x14ac:dyDescent="0.3">
      <c r="AW1130" s="1">
        <v>18.100000000000001</v>
      </c>
      <c r="AX1130" s="1">
        <v>18.100000000000001</v>
      </c>
      <c r="AY1130" t="str">
        <v>CP-R80_HI782-0_0.0_LOT0696_PWW39.1_QC.xlsx</v>
      </c>
      <c r="AZ1130" t="str">
        <v>LOT0696</v>
      </c>
      <c r="BA1130" s="3">
        <v>18</v>
      </c>
      <c r="BB1130" t="str">
        <v>P/Final</v>
      </c>
      <c r="BC1130">
        <v>35</v>
      </c>
      <c r="BD1130" s="10">
        <v>35.6</v>
      </c>
      <c r="BE1130" s="10">
        <v>0</v>
      </c>
      <c r="BF1130" s="10">
        <v>0</v>
      </c>
      <c r="BG1130" s="13">
        <v>45559</v>
      </c>
    </row>
    <row r="1131" spans="49:59" x14ac:dyDescent="0.3">
      <c r="AW1131" s="1">
        <v>18.100000000000001</v>
      </c>
      <c r="AX1131" s="1">
        <v>18.100000000000001</v>
      </c>
      <c r="AY1131" t="str">
        <v>CP-R80_HI782-0_0.0_LOT0696_PWW39.1_QC.xlsx</v>
      </c>
      <c r="AZ1131" t="str">
        <v>LOT0696</v>
      </c>
      <c r="BA1131" s="3">
        <v>18</v>
      </c>
      <c r="BB1131" t="str">
        <v>P/Final</v>
      </c>
      <c r="BC1131">
        <v>35</v>
      </c>
      <c r="BD1131" s="10">
        <v>31.4</v>
      </c>
      <c r="BE1131" s="10">
        <v>0</v>
      </c>
      <c r="BF1131" s="10">
        <v>0</v>
      </c>
      <c r="BG1131" s="13">
        <v>45559</v>
      </c>
    </row>
    <row r="1132" spans="49:59" x14ac:dyDescent="0.3">
      <c r="AW1132" s="1">
        <v>18.100000000000001</v>
      </c>
      <c r="AX1132" s="1">
        <v>18.100000000000001</v>
      </c>
      <c r="AY1132" t="str">
        <v>CP-R80_HI782-0_0.0_LOT0696_PWW39.1_QC.xlsx</v>
      </c>
      <c r="AZ1132" t="str">
        <v>LOT0696</v>
      </c>
      <c r="BA1132" s="3">
        <v>18</v>
      </c>
      <c r="BB1132" t="str">
        <v>P/Final</v>
      </c>
      <c r="BC1132">
        <v>35</v>
      </c>
      <c r="BD1132" s="10">
        <v>36</v>
      </c>
      <c r="BE1132" s="10">
        <v>0</v>
      </c>
      <c r="BF1132" s="10">
        <v>0</v>
      </c>
      <c r="BG1132" s="13">
        <v>45559</v>
      </c>
    </row>
    <row r="1133" spans="49:59" x14ac:dyDescent="0.3">
      <c r="AW1133" s="1">
        <v>18.100000000000001</v>
      </c>
      <c r="AX1133" s="1">
        <v>18.100000000000001</v>
      </c>
      <c r="AY1133" t="str">
        <v>CP-R80_HI782-0_0.0_LOT0696_PWW39.1_QC.xlsx</v>
      </c>
      <c r="AZ1133" t="str">
        <v>LOT0696</v>
      </c>
      <c r="BA1133" s="3">
        <v>18</v>
      </c>
      <c r="BB1133" t="str">
        <v>P/Final</v>
      </c>
      <c r="BC1133">
        <v>35</v>
      </c>
      <c r="BD1133" s="10">
        <v>36.200000000000003</v>
      </c>
      <c r="BE1133" s="10">
        <v>0</v>
      </c>
      <c r="BF1133" s="10">
        <v>0</v>
      </c>
      <c r="BG1133" s="13">
        <v>45559</v>
      </c>
    </row>
    <row r="1134" spans="49:59" x14ac:dyDescent="0.3">
      <c r="AW1134" s="1">
        <v>18.100000000000001</v>
      </c>
      <c r="AX1134" s="1">
        <v>18.100000000000001</v>
      </c>
      <c r="AY1134" t="str">
        <v>CP-R80_HI782-0_0.0_LOT0696_PWW39.1_QC.xlsx</v>
      </c>
      <c r="AZ1134" t="str">
        <v>LOT0696</v>
      </c>
      <c r="BA1134" s="3">
        <v>18</v>
      </c>
      <c r="BB1134" t="str">
        <v>P/Final</v>
      </c>
      <c r="BC1134">
        <v>35</v>
      </c>
      <c r="BD1134" s="10">
        <v>38.1</v>
      </c>
      <c r="BE1134" s="10">
        <v>0</v>
      </c>
      <c r="BF1134" s="10">
        <v>0</v>
      </c>
      <c r="BG1134" s="13">
        <v>45559</v>
      </c>
    </row>
    <row r="1135" spans="49:59" x14ac:dyDescent="0.3">
      <c r="AW1135" s="1">
        <v>18.100000000000001</v>
      </c>
      <c r="AX1135" s="1">
        <v>18.100000000000001</v>
      </c>
      <c r="AY1135" t="str">
        <v>CP-R80_HI782-0_0.0_LOT0696_PWW39.1_QC.xlsx</v>
      </c>
      <c r="AZ1135" t="str">
        <v>LOT0696</v>
      </c>
      <c r="BA1135" s="3">
        <v>18</v>
      </c>
      <c r="BB1135" t="str">
        <v>P/Final</v>
      </c>
      <c r="BC1135">
        <v>35</v>
      </c>
      <c r="BD1135" s="10">
        <v>35</v>
      </c>
      <c r="BE1135" s="10">
        <v>0</v>
      </c>
      <c r="BF1135" s="10">
        <v>0</v>
      </c>
      <c r="BG1135" s="13">
        <v>45559</v>
      </c>
    </row>
    <row r="1136" spans="49:59" x14ac:dyDescent="0.3">
      <c r="AW1136" s="1">
        <v>17.100000000000001</v>
      </c>
      <c r="AX1136" s="1">
        <v>17.100000000000001</v>
      </c>
      <c r="AY1136" t="str">
        <v>CP-R80_HI782-0_0.0_LOT0689_PWW38.1_QC.xlsx</v>
      </c>
      <c r="AZ1136" t="str">
        <v>LOT0689</v>
      </c>
      <c r="BA1136" s="3">
        <v>17</v>
      </c>
      <c r="BB1136" t="str">
        <v>P/Final</v>
      </c>
      <c r="BC1136">
        <v>60</v>
      </c>
      <c r="BD1136" s="10">
        <v>61.8</v>
      </c>
      <c r="BE1136" s="10">
        <v>0</v>
      </c>
      <c r="BF1136" s="10">
        <v>0</v>
      </c>
      <c r="BG1136" s="13">
        <v>45559</v>
      </c>
    </row>
    <row r="1137" spans="49:59" x14ac:dyDescent="0.3">
      <c r="AW1137" s="1">
        <v>17.100000000000001</v>
      </c>
      <c r="AX1137" s="1">
        <v>17.100000000000001</v>
      </c>
      <c r="AY1137" t="str">
        <v>CP-R80_HI782-0_0.0_LOT0689_PWW38.1_QC.xlsx</v>
      </c>
      <c r="AZ1137" t="str">
        <v>LOT0689</v>
      </c>
      <c r="BA1137" s="3">
        <v>17</v>
      </c>
      <c r="BB1137" t="str">
        <v>P/Final</v>
      </c>
      <c r="BC1137">
        <v>60</v>
      </c>
      <c r="BD1137" s="10">
        <v>63</v>
      </c>
      <c r="BE1137" s="10">
        <v>0</v>
      </c>
      <c r="BF1137" s="10">
        <v>0</v>
      </c>
      <c r="BG1137" s="13">
        <v>45559</v>
      </c>
    </row>
    <row r="1138" spans="49:59" x14ac:dyDescent="0.3">
      <c r="AW1138" s="1">
        <v>18.100000000000001</v>
      </c>
      <c r="AX1138" s="1">
        <v>18.100000000000001</v>
      </c>
      <c r="AY1138" t="str">
        <v>CP-R80_HI782-0_0.0_LOT0696_PWW39.1_QC.xlsx</v>
      </c>
      <c r="AZ1138" t="str">
        <v>LOT0696</v>
      </c>
      <c r="BA1138" s="3">
        <v>18</v>
      </c>
      <c r="BB1138" t="str">
        <v>P/Final</v>
      </c>
      <c r="BC1138">
        <v>60</v>
      </c>
      <c r="BD1138" s="10">
        <v>57.4</v>
      </c>
      <c r="BE1138" s="10">
        <v>0</v>
      </c>
      <c r="BF1138" s="10">
        <v>0</v>
      </c>
      <c r="BG1138" s="13">
        <v>45559</v>
      </c>
    </row>
    <row r="1139" spans="49:59" x14ac:dyDescent="0.3">
      <c r="AW1139" s="1">
        <v>18.100000000000001</v>
      </c>
      <c r="AX1139" s="1">
        <v>18.100000000000001</v>
      </c>
      <c r="AY1139" t="str">
        <v>CP-R80_HI782-0_0.0_LOT0696_PWW39.1_QC.xlsx</v>
      </c>
      <c r="AZ1139" t="str">
        <v>LOT0696</v>
      </c>
      <c r="BA1139" s="3">
        <v>18</v>
      </c>
      <c r="BB1139" t="str">
        <v>P/Final</v>
      </c>
      <c r="BC1139">
        <v>60</v>
      </c>
      <c r="BD1139" s="10">
        <v>55.2</v>
      </c>
      <c r="BE1139" s="10">
        <v>0</v>
      </c>
      <c r="BF1139" s="10">
        <v>0</v>
      </c>
      <c r="BG1139" s="13">
        <v>45559</v>
      </c>
    </row>
    <row r="1140" spans="49:59" x14ac:dyDescent="0.3">
      <c r="AW1140" s="1">
        <v>18.100000000000001</v>
      </c>
      <c r="AX1140" s="1">
        <v>18.100000000000001</v>
      </c>
      <c r="AY1140" t="str">
        <v>CP-R80_HI782-0_0.0_LOT0696_PWW39.1_QC.xlsx</v>
      </c>
      <c r="AZ1140" t="str">
        <v>LOT0696</v>
      </c>
      <c r="BA1140" s="3">
        <v>18</v>
      </c>
      <c r="BB1140" t="str">
        <v>P/Final</v>
      </c>
      <c r="BC1140">
        <v>60</v>
      </c>
      <c r="BD1140" s="10">
        <v>56.2</v>
      </c>
      <c r="BE1140" s="10">
        <v>0</v>
      </c>
      <c r="BF1140" s="10">
        <v>0</v>
      </c>
      <c r="BG1140" s="13">
        <v>45559</v>
      </c>
    </row>
    <row r="1141" spans="49:59" x14ac:dyDescent="0.3">
      <c r="AW1141" s="1">
        <v>18.100000000000001</v>
      </c>
      <c r="AX1141" s="1">
        <v>18.100000000000001</v>
      </c>
      <c r="AY1141" t="str">
        <v>CP-R80_HI782-0_0.0_LOT0696_PWW39.1_QC.xlsx</v>
      </c>
      <c r="AZ1141" t="str">
        <v>LOT0696</v>
      </c>
      <c r="BA1141" s="3">
        <v>18</v>
      </c>
      <c r="BB1141" t="str">
        <v>P/Final</v>
      </c>
      <c r="BC1141">
        <v>60</v>
      </c>
      <c r="BD1141" s="10">
        <v>55.3</v>
      </c>
      <c r="BE1141" s="10">
        <v>0</v>
      </c>
      <c r="BF1141" s="10">
        <v>0</v>
      </c>
      <c r="BG1141" s="13">
        <v>45559</v>
      </c>
    </row>
    <row r="1142" spans="49:59" x14ac:dyDescent="0.3">
      <c r="AW1142" s="1">
        <v>18.100000000000001</v>
      </c>
      <c r="AX1142" s="1">
        <v>18.100000000000001</v>
      </c>
      <c r="AY1142" t="str">
        <v>CP-R80_HI782-0_0.0_LOT0696_PWW39.1_QC.xlsx</v>
      </c>
      <c r="AZ1142" t="str">
        <v>LOT0696</v>
      </c>
      <c r="BA1142" s="3">
        <v>18</v>
      </c>
      <c r="BB1142" t="str">
        <v>P/Final</v>
      </c>
      <c r="BC1142">
        <v>60</v>
      </c>
      <c r="BD1142" s="10">
        <v>58.8</v>
      </c>
      <c r="BE1142" s="10">
        <v>0</v>
      </c>
      <c r="BF1142" s="10">
        <v>0</v>
      </c>
      <c r="BG1142" s="13">
        <v>45559</v>
      </c>
    </row>
    <row r="1143" spans="49:59" x14ac:dyDescent="0.3">
      <c r="AW1143" s="1">
        <v>18.100000000000001</v>
      </c>
      <c r="AX1143" s="1">
        <v>18.100000000000001</v>
      </c>
      <c r="AY1143" t="str">
        <v>CP-R80_HI782-0_0.0_LOT0696_PWW39.1_QC.xlsx</v>
      </c>
      <c r="AZ1143" t="str">
        <v>LOT0696</v>
      </c>
      <c r="BA1143" s="3">
        <v>18</v>
      </c>
      <c r="BB1143" t="str">
        <v>P/Final</v>
      </c>
      <c r="BC1143">
        <v>60</v>
      </c>
      <c r="BD1143" s="10">
        <v>53.9</v>
      </c>
      <c r="BE1143" s="10">
        <v>0</v>
      </c>
      <c r="BF1143" s="10">
        <v>0</v>
      </c>
      <c r="BG1143" s="13">
        <v>45559</v>
      </c>
    </row>
    <row r="1144" spans="49:59" x14ac:dyDescent="0.3">
      <c r="AW1144" s="1">
        <v>18.100000000000001</v>
      </c>
      <c r="AX1144" s="1">
        <v>18.100000000000001</v>
      </c>
      <c r="AY1144" t="str">
        <v>CP-R80_HI782-0_0.0_LOT0696_PWW39.1_QC.xlsx</v>
      </c>
      <c r="AZ1144" t="str">
        <v>LOT0696</v>
      </c>
      <c r="BA1144" s="3">
        <v>18</v>
      </c>
      <c r="BB1144" t="str">
        <v>P/Final</v>
      </c>
      <c r="BC1144">
        <v>60</v>
      </c>
      <c r="BD1144" s="10">
        <v>57.8</v>
      </c>
      <c r="BE1144" s="10">
        <v>0</v>
      </c>
      <c r="BF1144" s="10">
        <v>0</v>
      </c>
      <c r="BG1144" s="13">
        <v>45559</v>
      </c>
    </row>
    <row r="1145" spans="49:59" x14ac:dyDescent="0.3">
      <c r="AW1145" s="1">
        <v>18.100000000000001</v>
      </c>
      <c r="AX1145" s="1">
        <v>18.100000000000001</v>
      </c>
      <c r="AY1145" t="str">
        <v>CP-R80_HI782-0_0.0_LOT0696_PWW39.1_QC.xlsx</v>
      </c>
      <c r="AZ1145" t="str">
        <v>LOT0696</v>
      </c>
      <c r="BA1145" s="3">
        <v>18</v>
      </c>
      <c r="BB1145" t="str">
        <v>P/Final</v>
      </c>
      <c r="BC1145">
        <v>60</v>
      </c>
      <c r="BD1145" s="10">
        <v>62.4</v>
      </c>
      <c r="BE1145" s="10">
        <v>0</v>
      </c>
      <c r="BF1145" s="10">
        <v>0</v>
      </c>
      <c r="BG1145" s="13">
        <v>45559</v>
      </c>
    </row>
    <row r="1146" spans="49:59" x14ac:dyDescent="0.3">
      <c r="AW1146" s="1">
        <v>18.100000000000001</v>
      </c>
      <c r="AX1146" s="1">
        <v>18.100000000000001</v>
      </c>
      <c r="AY1146" t="str">
        <v>CP-R80_HI782-0_0.0_LOT0696_PWW39.1_QC.xlsx</v>
      </c>
      <c r="AZ1146" t="str">
        <v>LOT0696</v>
      </c>
      <c r="BA1146" s="3">
        <v>18</v>
      </c>
      <c r="BB1146" t="str">
        <v>P/Final</v>
      </c>
      <c r="BC1146">
        <v>0</v>
      </c>
      <c r="BD1146" s="10">
        <v>0</v>
      </c>
      <c r="BE1146" s="10">
        <v>0</v>
      </c>
      <c r="BF1146" s="10">
        <v>0</v>
      </c>
      <c r="BG1146" s="13">
        <v>45560</v>
      </c>
    </row>
    <row r="1147" spans="49:59" x14ac:dyDescent="0.3">
      <c r="AW1147" s="1">
        <v>18.100000000000001</v>
      </c>
      <c r="AX1147" s="1">
        <v>18.100000000000001</v>
      </c>
      <c r="AY1147" t="str">
        <v>CP-R80_HI782-0_0.0_LOT0696_PWW39.1_QC.xlsx</v>
      </c>
      <c r="AZ1147" t="str">
        <v>LOT0696</v>
      </c>
      <c r="BA1147" s="3">
        <v>18</v>
      </c>
      <c r="BB1147" t="str">
        <v>P/Final</v>
      </c>
      <c r="BC1147">
        <v>0</v>
      </c>
      <c r="BD1147" s="10">
        <v>0</v>
      </c>
      <c r="BE1147" s="10">
        <v>0</v>
      </c>
      <c r="BF1147" s="10">
        <v>0</v>
      </c>
      <c r="BG1147" s="13">
        <v>45560</v>
      </c>
    </row>
    <row r="1148" spans="49:59" x14ac:dyDescent="0.3">
      <c r="AW1148" s="1">
        <v>18.100000000000001</v>
      </c>
      <c r="AX1148" s="1">
        <v>18.100000000000001</v>
      </c>
      <c r="AY1148" t="str">
        <v>CP-R80_HI782-0_0.0_LOT0696_PWW39.1_QC.xlsx</v>
      </c>
      <c r="AZ1148" t="str">
        <v>LOT0696</v>
      </c>
      <c r="BA1148" s="3">
        <v>18</v>
      </c>
      <c r="BB1148" t="str">
        <v>P/Final</v>
      </c>
      <c r="BC1148">
        <v>15</v>
      </c>
      <c r="BD1148" s="10">
        <v>15.4</v>
      </c>
      <c r="BE1148" s="10">
        <v>0</v>
      </c>
      <c r="BF1148" s="10">
        <v>0</v>
      </c>
      <c r="BG1148" s="13">
        <v>45560</v>
      </c>
    </row>
    <row r="1149" spans="49:59" x14ac:dyDescent="0.3">
      <c r="AW1149" s="1">
        <v>18.100000000000001</v>
      </c>
      <c r="AX1149" s="1">
        <v>18.100000000000001</v>
      </c>
      <c r="AY1149" t="str">
        <v>CP-R80_HI782-0_0.0_LOT0696_PWW39.1_QC.xlsx</v>
      </c>
      <c r="AZ1149" t="str">
        <v>LOT0696</v>
      </c>
      <c r="BA1149" s="3">
        <v>18</v>
      </c>
      <c r="BB1149" t="str">
        <v>P/Final</v>
      </c>
      <c r="BC1149">
        <v>15</v>
      </c>
      <c r="BD1149" s="10">
        <v>13.7</v>
      </c>
      <c r="BE1149" s="10">
        <v>0</v>
      </c>
      <c r="BF1149" s="10">
        <v>0</v>
      </c>
      <c r="BG1149" s="13">
        <v>45560</v>
      </c>
    </row>
    <row r="1150" spans="49:59" x14ac:dyDescent="0.3">
      <c r="AW1150" s="1">
        <v>18.100000000000001</v>
      </c>
      <c r="AX1150" s="1">
        <v>18.100000000000001</v>
      </c>
      <c r="AY1150" t="str">
        <v>CP-R80_HI782-0_0.0_LOT0696_PWW39.1_QC.xlsx</v>
      </c>
      <c r="AZ1150" t="str">
        <v>LOT0696</v>
      </c>
      <c r="BA1150" s="3">
        <v>18</v>
      </c>
      <c r="BB1150" t="str">
        <v>P/Final</v>
      </c>
      <c r="BC1150">
        <v>15</v>
      </c>
      <c r="BD1150" s="10">
        <v>15.1</v>
      </c>
      <c r="BE1150" s="10">
        <v>0</v>
      </c>
      <c r="BF1150" s="10">
        <v>0</v>
      </c>
      <c r="BG1150" s="13">
        <v>45560</v>
      </c>
    </row>
    <row r="1151" spans="49:59" x14ac:dyDescent="0.3">
      <c r="AW1151" s="1">
        <v>18.100000000000001</v>
      </c>
      <c r="AX1151" s="1">
        <v>18.100000000000001</v>
      </c>
      <c r="AY1151" t="str">
        <v>CP-R80_HI782-0_0.0_LOT0696_PWW39.1_QC.xlsx</v>
      </c>
      <c r="AZ1151" t="str">
        <v>LOT0696</v>
      </c>
      <c r="BA1151" s="3">
        <v>18</v>
      </c>
      <c r="BB1151" t="str">
        <v>P/Final</v>
      </c>
      <c r="BC1151">
        <v>15</v>
      </c>
      <c r="BD1151" s="10">
        <v>15.5</v>
      </c>
      <c r="BE1151" s="10">
        <v>0</v>
      </c>
      <c r="BF1151" s="10">
        <v>0</v>
      </c>
      <c r="BG1151" s="13">
        <v>45560</v>
      </c>
    </row>
    <row r="1152" spans="49:59" x14ac:dyDescent="0.3">
      <c r="AW1152" s="1">
        <v>18.100000000000001</v>
      </c>
      <c r="AX1152" s="1">
        <v>18.100000000000001</v>
      </c>
      <c r="AY1152" t="str">
        <v>CP-R80_HI782-0_0.0_LOT0696_PWW39.1_QC.xlsx</v>
      </c>
      <c r="AZ1152" t="str">
        <v>LOT0696</v>
      </c>
      <c r="BA1152" s="3">
        <v>18</v>
      </c>
      <c r="BB1152" t="str">
        <v>P/Final</v>
      </c>
      <c r="BC1152">
        <v>15</v>
      </c>
      <c r="BD1152" s="10">
        <v>17.7</v>
      </c>
      <c r="BE1152" s="10">
        <v>0</v>
      </c>
      <c r="BF1152" s="10">
        <v>0</v>
      </c>
      <c r="BG1152" s="13">
        <v>45560</v>
      </c>
    </row>
    <row r="1153" spans="49:59" x14ac:dyDescent="0.3">
      <c r="AW1153" s="1">
        <v>18.100000000000001</v>
      </c>
      <c r="AX1153" s="1">
        <v>18.100000000000001</v>
      </c>
      <c r="AY1153" t="str">
        <v>CP-R80_HI782-0_0.0_LOT0696_PWW39.1_QC.xlsx</v>
      </c>
      <c r="AZ1153" t="str">
        <v>LOT0696</v>
      </c>
      <c r="BA1153" s="3">
        <v>18</v>
      </c>
      <c r="BB1153" t="str">
        <v>P/Final</v>
      </c>
      <c r="BC1153">
        <v>15</v>
      </c>
      <c r="BD1153" s="10">
        <v>18.100000000000001</v>
      </c>
      <c r="BE1153" s="10">
        <v>0</v>
      </c>
      <c r="BF1153" s="10">
        <v>0</v>
      </c>
      <c r="BG1153" s="13">
        <v>45560</v>
      </c>
    </row>
    <row r="1154" spans="49:59" x14ac:dyDescent="0.3">
      <c r="AW1154" s="1">
        <v>18.100000000000001</v>
      </c>
      <c r="AX1154" s="1">
        <v>18.100000000000001</v>
      </c>
      <c r="AY1154" t="str">
        <v>CP-R80_HI782-0_0.0_LOT0696_PWW39.1_QC.xlsx</v>
      </c>
      <c r="AZ1154" t="str">
        <v>LOT0696</v>
      </c>
      <c r="BA1154" s="3">
        <v>18</v>
      </c>
      <c r="BB1154" t="str">
        <v>P/Final</v>
      </c>
      <c r="BC1154">
        <v>15</v>
      </c>
      <c r="BD1154" s="10">
        <v>17.399999999999999</v>
      </c>
      <c r="BE1154" s="10">
        <v>0</v>
      </c>
      <c r="BF1154" s="10">
        <v>0</v>
      </c>
      <c r="BG1154" s="13">
        <v>45560</v>
      </c>
    </row>
    <row r="1155" spans="49:59" x14ac:dyDescent="0.3">
      <c r="AW1155" s="1">
        <v>18.100000000000001</v>
      </c>
      <c r="AX1155" s="1">
        <v>18.100000000000001</v>
      </c>
      <c r="AY1155" t="str">
        <v>CP-R80_HI782-0_0.0_LOT0696_PWW39.1_QC.xlsx</v>
      </c>
      <c r="AZ1155" t="str">
        <v>LOT0696</v>
      </c>
      <c r="BA1155" s="3">
        <v>18</v>
      </c>
      <c r="BB1155" t="str">
        <v>P/Final</v>
      </c>
      <c r="BC1155">
        <v>15</v>
      </c>
      <c r="BD1155" s="10">
        <v>17.5</v>
      </c>
      <c r="BE1155" s="10">
        <v>0</v>
      </c>
      <c r="BF1155" s="10">
        <v>0</v>
      </c>
      <c r="BG1155" s="13">
        <v>45560</v>
      </c>
    </row>
    <row r="1156" spans="49:59" x14ac:dyDescent="0.3">
      <c r="AW1156" s="1">
        <v>18.100000000000001</v>
      </c>
      <c r="AX1156" s="1">
        <v>18.100000000000001</v>
      </c>
      <c r="AY1156" t="str">
        <v>CP-R80_HI782-0_0.0_LOT0696_PWW39.1_QC.xlsx</v>
      </c>
      <c r="AZ1156" t="str">
        <v>LOT0696</v>
      </c>
      <c r="BA1156" s="3">
        <v>18</v>
      </c>
      <c r="BB1156" t="str">
        <v>P/Final</v>
      </c>
      <c r="BC1156">
        <v>15</v>
      </c>
      <c r="BD1156" s="10">
        <v>14.9</v>
      </c>
      <c r="BE1156" s="10">
        <v>0</v>
      </c>
      <c r="BF1156" s="10">
        <v>0</v>
      </c>
      <c r="BG1156" s="13">
        <v>45560</v>
      </c>
    </row>
    <row r="1157" spans="49:59" x14ac:dyDescent="0.3">
      <c r="AW1157" s="1">
        <v>18.100000000000001</v>
      </c>
      <c r="AX1157" s="1">
        <v>18.100000000000001</v>
      </c>
      <c r="AY1157" t="str">
        <v>CP-R80_HI782-0_0.0_LOT0696_PWW39.1_QC.xlsx</v>
      </c>
      <c r="AZ1157" t="str">
        <v>LOT0696</v>
      </c>
      <c r="BA1157" s="3">
        <v>18</v>
      </c>
      <c r="BB1157" t="str">
        <v>P/Final</v>
      </c>
      <c r="BC1157">
        <v>15</v>
      </c>
      <c r="BD1157" s="10">
        <v>15.5</v>
      </c>
      <c r="BE1157" s="10">
        <v>0</v>
      </c>
      <c r="BF1157" s="10">
        <v>0</v>
      </c>
      <c r="BG1157" s="13">
        <v>45560</v>
      </c>
    </row>
    <row r="1158" spans="49:59" x14ac:dyDescent="0.3">
      <c r="AW1158" s="1">
        <v>18.100000000000001</v>
      </c>
      <c r="AX1158" s="1">
        <v>18.100000000000001</v>
      </c>
      <c r="AY1158" t="str">
        <v>CP-R80_HI782-0_0.0_LOT0696_PWW39.1_QC.xlsx</v>
      </c>
      <c r="AZ1158" t="str">
        <v>LOT0696</v>
      </c>
      <c r="BA1158" s="3">
        <v>18</v>
      </c>
      <c r="BB1158" t="str">
        <v>P/Final</v>
      </c>
      <c r="BC1158">
        <v>15</v>
      </c>
      <c r="BD1158" s="10">
        <v>16.899999999999999</v>
      </c>
      <c r="BE1158" s="10">
        <v>0</v>
      </c>
      <c r="BF1158" s="10">
        <v>0</v>
      </c>
      <c r="BG1158" s="13">
        <v>45560</v>
      </c>
    </row>
    <row r="1159" spans="49:59" x14ac:dyDescent="0.3">
      <c r="AW1159" s="1">
        <v>18.100000000000001</v>
      </c>
      <c r="AX1159" s="1">
        <v>18.100000000000001</v>
      </c>
      <c r="AY1159" t="str">
        <v>CP-R80_HI782-0_0.0_LOT0696_PWW39.1_QC.xlsx</v>
      </c>
      <c r="AZ1159" t="str">
        <v>LOT0696</v>
      </c>
      <c r="BA1159" s="3">
        <v>18</v>
      </c>
      <c r="BB1159" t="str">
        <v>P/Final</v>
      </c>
      <c r="BC1159">
        <v>15</v>
      </c>
      <c r="BD1159" s="10">
        <v>15.6</v>
      </c>
      <c r="BE1159" s="10">
        <v>0</v>
      </c>
      <c r="BF1159" s="10">
        <v>0</v>
      </c>
      <c r="BG1159" s="13">
        <v>45560</v>
      </c>
    </row>
    <row r="1160" spans="49:59" x14ac:dyDescent="0.3">
      <c r="AW1160" s="1">
        <v>18.100000000000001</v>
      </c>
      <c r="AX1160" s="1">
        <v>18.100000000000001</v>
      </c>
      <c r="AY1160" t="str">
        <v>CP-R80_HI782-0_0.0_LOT0696_PWW39.1_QC.xlsx</v>
      </c>
      <c r="AZ1160" t="str">
        <v>LOT0696</v>
      </c>
      <c r="BA1160" s="3">
        <v>18</v>
      </c>
      <c r="BB1160" t="str">
        <v>P/Final</v>
      </c>
      <c r="BC1160">
        <v>15</v>
      </c>
      <c r="BD1160" s="10">
        <v>15.6</v>
      </c>
      <c r="BE1160" s="10">
        <v>0</v>
      </c>
      <c r="BF1160" s="10">
        <v>0</v>
      </c>
      <c r="BG1160" s="13">
        <v>45560</v>
      </c>
    </row>
    <row r="1161" spans="49:59" x14ac:dyDescent="0.3">
      <c r="AW1161" s="1">
        <v>18.100000000000001</v>
      </c>
      <c r="AX1161" s="1">
        <v>18.100000000000001</v>
      </c>
      <c r="AY1161" t="str">
        <v>CP-R80_HI782-0_0.0_LOT0696_PWW39.1_QC.xlsx</v>
      </c>
      <c r="AZ1161" t="str">
        <v>LOT0696</v>
      </c>
      <c r="BA1161" s="3">
        <v>18</v>
      </c>
      <c r="BB1161" t="str">
        <v>P/Final</v>
      </c>
      <c r="BC1161">
        <v>15</v>
      </c>
      <c r="BD1161" s="10">
        <v>12.5</v>
      </c>
      <c r="BE1161" s="10">
        <v>0</v>
      </c>
      <c r="BF1161" s="10">
        <v>0</v>
      </c>
      <c r="BG1161" s="13">
        <v>45560</v>
      </c>
    </row>
    <row r="1162" spans="49:59" x14ac:dyDescent="0.3">
      <c r="AW1162" s="1">
        <v>18.100000000000001</v>
      </c>
      <c r="AX1162" s="1">
        <v>18.100000000000001</v>
      </c>
      <c r="AY1162" t="str">
        <v>CP-R80_HI782-0_0.0_LOT0696_PWW39.1_QC.xlsx</v>
      </c>
      <c r="AZ1162" t="str">
        <v>LOT0696</v>
      </c>
      <c r="BA1162" s="3">
        <v>18</v>
      </c>
      <c r="BB1162" t="str">
        <v>P/Final</v>
      </c>
      <c r="BC1162">
        <v>15</v>
      </c>
      <c r="BD1162" s="10">
        <v>15.8</v>
      </c>
      <c r="BE1162" s="10">
        <v>0</v>
      </c>
      <c r="BF1162" s="10">
        <v>0</v>
      </c>
      <c r="BG1162" s="13">
        <v>45560</v>
      </c>
    </row>
    <row r="1163" spans="49:59" x14ac:dyDescent="0.3">
      <c r="AW1163" s="1">
        <v>18.100000000000001</v>
      </c>
      <c r="AX1163" s="1">
        <v>18.100000000000001</v>
      </c>
      <c r="AY1163" t="str">
        <v>CP-R80_HI782-0_0.0_LOT0696_PWW39.1_QC.xlsx</v>
      </c>
      <c r="AZ1163" t="str">
        <v>LOT0696</v>
      </c>
      <c r="BA1163" s="3">
        <v>18</v>
      </c>
      <c r="BB1163" t="str">
        <v>P/Final</v>
      </c>
      <c r="BC1163">
        <v>15</v>
      </c>
      <c r="BD1163" s="10">
        <v>15.5</v>
      </c>
      <c r="BE1163" s="10">
        <v>0</v>
      </c>
      <c r="BF1163" s="10">
        <v>0</v>
      </c>
      <c r="BG1163" s="13">
        <v>45560</v>
      </c>
    </row>
    <row r="1164" spans="49:59" x14ac:dyDescent="0.3">
      <c r="AW1164" s="1">
        <v>18.100000000000001</v>
      </c>
      <c r="AX1164" s="1">
        <v>18.100000000000001</v>
      </c>
      <c r="AY1164" t="str">
        <v>CP-R80_HI782-0_0.0_LOT0696_PWW39.1_QC.xlsx</v>
      </c>
      <c r="AZ1164" t="str">
        <v>LOT0696</v>
      </c>
      <c r="BA1164" s="3">
        <v>18</v>
      </c>
      <c r="BB1164" t="str">
        <v>P/Final</v>
      </c>
      <c r="BC1164">
        <v>15</v>
      </c>
      <c r="BD1164" s="10">
        <v>16.100000000000001</v>
      </c>
      <c r="BE1164" s="10">
        <v>0</v>
      </c>
      <c r="BF1164" s="10">
        <v>0</v>
      </c>
      <c r="BG1164" s="13">
        <v>45560</v>
      </c>
    </row>
    <row r="1165" spans="49:59" x14ac:dyDescent="0.3">
      <c r="AW1165" s="1">
        <v>18.100000000000001</v>
      </c>
      <c r="AX1165" s="1">
        <v>18.100000000000001</v>
      </c>
      <c r="AY1165" t="str">
        <v>CP-R80_HI782-0_0.0_LOT0696_PWW39.1_QC.xlsx</v>
      </c>
      <c r="AZ1165" t="str">
        <v>LOT0696</v>
      </c>
      <c r="BA1165" s="3">
        <v>18</v>
      </c>
      <c r="BB1165" t="str">
        <v>P/Final</v>
      </c>
      <c r="BC1165">
        <v>35</v>
      </c>
      <c r="BD1165" s="10">
        <v>37.1</v>
      </c>
      <c r="BE1165" s="10">
        <v>0</v>
      </c>
      <c r="BF1165" s="10">
        <v>0</v>
      </c>
      <c r="BG1165" s="13">
        <v>45560</v>
      </c>
    </row>
    <row r="1166" spans="49:59" x14ac:dyDescent="0.3">
      <c r="AW1166" s="1">
        <v>18.100000000000001</v>
      </c>
      <c r="AX1166" s="1">
        <v>18.100000000000001</v>
      </c>
      <c r="AY1166" t="str">
        <v>CP-R80_HI782-0_0.0_LOT0696_PWW39.1_QC.xlsx</v>
      </c>
      <c r="AZ1166" t="str">
        <v>LOT0696</v>
      </c>
      <c r="BA1166" s="3">
        <v>18</v>
      </c>
      <c r="BB1166" t="str">
        <v>P/Final</v>
      </c>
      <c r="BC1166">
        <v>35</v>
      </c>
      <c r="BD1166" s="10">
        <v>38.5</v>
      </c>
      <c r="BE1166" s="10">
        <v>0</v>
      </c>
      <c r="BF1166" s="10">
        <v>0</v>
      </c>
      <c r="BG1166" s="13">
        <v>45560</v>
      </c>
    </row>
    <row r="1167" spans="49:59" x14ac:dyDescent="0.3">
      <c r="AW1167" s="1">
        <v>18.100000000000001</v>
      </c>
      <c r="AX1167" s="1">
        <v>18.100000000000001</v>
      </c>
      <c r="AY1167" t="str">
        <v>CP-R80_HI782-0_0.0_LOT0696_PWW39.1_QC.xlsx</v>
      </c>
      <c r="AZ1167" t="str">
        <v>LOT0696</v>
      </c>
      <c r="BA1167" s="3">
        <v>18</v>
      </c>
      <c r="BB1167" t="str">
        <v>P/Final</v>
      </c>
      <c r="BC1167">
        <v>35</v>
      </c>
      <c r="BD1167" s="10">
        <v>35.9</v>
      </c>
      <c r="BE1167" s="10">
        <v>0</v>
      </c>
      <c r="BF1167" s="10">
        <v>0</v>
      </c>
      <c r="BG1167" s="13">
        <v>45560</v>
      </c>
    </row>
    <row r="1168" spans="49:59" x14ac:dyDescent="0.3">
      <c r="AW1168" s="1">
        <v>18.100000000000001</v>
      </c>
      <c r="AX1168" s="1">
        <v>18.100000000000001</v>
      </c>
      <c r="AY1168" t="str">
        <v>CP-R80_HI782-0_0.0_LOT0696_PWW39.1_QC.xlsx</v>
      </c>
      <c r="AZ1168" t="str">
        <v>LOT0696</v>
      </c>
      <c r="BA1168" s="3">
        <v>18</v>
      </c>
      <c r="BB1168" t="str">
        <v>P/Final</v>
      </c>
      <c r="BC1168">
        <v>35</v>
      </c>
      <c r="BD1168" s="10">
        <v>35</v>
      </c>
      <c r="BE1168" s="10">
        <v>0</v>
      </c>
      <c r="BF1168" s="10">
        <v>0</v>
      </c>
      <c r="BG1168" s="13">
        <v>45560</v>
      </c>
    </row>
    <row r="1169" spans="49:59" x14ac:dyDescent="0.3">
      <c r="AW1169" s="1">
        <v>18.100000000000001</v>
      </c>
      <c r="AX1169" s="1">
        <v>18.100000000000001</v>
      </c>
      <c r="AY1169" t="str">
        <v>CP-R80_HI782-0_0.0_LOT0696_PWW39.1_QC.xlsx</v>
      </c>
      <c r="AZ1169" t="str">
        <v>LOT0696</v>
      </c>
      <c r="BA1169" s="3">
        <v>18</v>
      </c>
      <c r="BB1169" t="str">
        <v>P/Final</v>
      </c>
      <c r="BC1169">
        <v>35</v>
      </c>
      <c r="BD1169" s="10">
        <v>36</v>
      </c>
      <c r="BE1169" s="10">
        <v>0</v>
      </c>
      <c r="BF1169" s="10">
        <v>0</v>
      </c>
      <c r="BG1169" s="13">
        <v>45560</v>
      </c>
    </row>
    <row r="1170" spans="49:59" x14ac:dyDescent="0.3">
      <c r="AW1170" s="1">
        <v>18.100000000000001</v>
      </c>
      <c r="AX1170" s="1">
        <v>18.100000000000001</v>
      </c>
      <c r="AY1170" t="str">
        <v>CP-R80_HI782-0_0.0_LOT0696_PWW39.1_QC.xlsx</v>
      </c>
      <c r="AZ1170" t="str">
        <v>LOT0696</v>
      </c>
      <c r="BA1170" s="3">
        <v>18</v>
      </c>
      <c r="BB1170" t="str">
        <v>P/Final</v>
      </c>
      <c r="BC1170">
        <v>35</v>
      </c>
      <c r="BD1170" s="10">
        <v>34.6</v>
      </c>
      <c r="BE1170" s="10">
        <v>0</v>
      </c>
      <c r="BF1170" s="10">
        <v>0</v>
      </c>
      <c r="BG1170" s="13">
        <v>45560</v>
      </c>
    </row>
    <row r="1171" spans="49:59" x14ac:dyDescent="0.3">
      <c r="AW1171" s="1">
        <v>18.100000000000001</v>
      </c>
      <c r="AX1171" s="1">
        <v>18.100000000000001</v>
      </c>
      <c r="AY1171" t="str">
        <v>CP-R80_HI782-0_0.0_LOT0696_PWW39.1_QC.xlsx</v>
      </c>
      <c r="AZ1171" t="str">
        <v>LOT0696</v>
      </c>
      <c r="BA1171" s="3">
        <v>18</v>
      </c>
      <c r="BB1171" t="str">
        <v>P/Final</v>
      </c>
      <c r="BC1171">
        <v>35</v>
      </c>
      <c r="BD1171" s="10">
        <v>38.6</v>
      </c>
      <c r="BE1171" s="10">
        <v>0</v>
      </c>
      <c r="BF1171" s="10">
        <v>0</v>
      </c>
      <c r="BG1171" s="13">
        <v>45560</v>
      </c>
    </row>
    <row r="1172" spans="49:59" x14ac:dyDescent="0.3">
      <c r="AW1172" s="1">
        <v>18.100000000000001</v>
      </c>
      <c r="AX1172" s="1">
        <v>18.100000000000001</v>
      </c>
      <c r="AY1172" t="str">
        <v>CP-R80_HI782-0_0.0_LOT0696_PWW39.1_QC.xlsx</v>
      </c>
      <c r="AZ1172" t="str">
        <v>LOT0696</v>
      </c>
      <c r="BA1172" s="3">
        <v>18</v>
      </c>
      <c r="BB1172" t="str">
        <v>P/Final</v>
      </c>
      <c r="BC1172">
        <v>35</v>
      </c>
      <c r="BD1172" s="10">
        <v>38.700000000000003</v>
      </c>
      <c r="BE1172" s="10">
        <v>0</v>
      </c>
      <c r="BF1172" s="10">
        <v>0</v>
      </c>
      <c r="BG1172" s="13">
        <v>45560</v>
      </c>
    </row>
    <row r="1173" spans="49:59" x14ac:dyDescent="0.3">
      <c r="AW1173" s="1">
        <v>18.100000000000001</v>
      </c>
      <c r="AX1173" s="1">
        <v>18.100000000000001</v>
      </c>
      <c r="AY1173" t="str">
        <v>CP-R80_HI782-0_0.0_LOT0696_PWW39.1_QC.xlsx</v>
      </c>
      <c r="AZ1173" t="str">
        <v>LOT0696</v>
      </c>
      <c r="BA1173" s="3">
        <v>18</v>
      </c>
      <c r="BB1173" t="str">
        <v>P/Final</v>
      </c>
      <c r="BC1173">
        <v>35</v>
      </c>
      <c r="BD1173" s="10">
        <v>36.700000000000003</v>
      </c>
      <c r="BE1173" s="10">
        <v>0</v>
      </c>
      <c r="BF1173" s="10">
        <v>0</v>
      </c>
      <c r="BG1173" s="13">
        <v>45560</v>
      </c>
    </row>
    <row r="1174" spans="49:59" x14ac:dyDescent="0.3">
      <c r="AW1174" s="1">
        <v>18.100000000000001</v>
      </c>
      <c r="AX1174" s="1">
        <v>18.100000000000001</v>
      </c>
      <c r="AY1174" t="str">
        <v>CP-R80_HI782-0_0.0_LOT0696_PWW39.1_QC.xlsx</v>
      </c>
      <c r="AZ1174" t="str">
        <v>LOT0696</v>
      </c>
      <c r="BA1174" s="3">
        <v>18</v>
      </c>
      <c r="BB1174" t="str">
        <v>P/Final</v>
      </c>
      <c r="BC1174">
        <v>35</v>
      </c>
      <c r="BD1174" s="10">
        <v>35.1</v>
      </c>
      <c r="BE1174" s="10">
        <v>0</v>
      </c>
      <c r="BF1174" s="10">
        <v>0</v>
      </c>
      <c r="BG1174" s="13">
        <v>45560</v>
      </c>
    </row>
    <row r="1175" spans="49:59" x14ac:dyDescent="0.3">
      <c r="AW1175" s="1">
        <v>18.100000000000001</v>
      </c>
      <c r="AX1175" s="1">
        <v>18.100000000000001</v>
      </c>
      <c r="AY1175" t="str">
        <v>CP-R80_HI782-0_0.0_LOT0696_PWW39.1_QC.xlsx</v>
      </c>
      <c r="AZ1175" t="str">
        <v>LOT0696</v>
      </c>
      <c r="BA1175" s="3">
        <v>18</v>
      </c>
      <c r="BB1175" t="str">
        <v>P/Final</v>
      </c>
      <c r="BC1175">
        <v>35</v>
      </c>
      <c r="BD1175" s="10">
        <v>35.4</v>
      </c>
      <c r="BE1175" s="10">
        <v>0</v>
      </c>
      <c r="BF1175" s="10">
        <v>0</v>
      </c>
      <c r="BG1175" s="13">
        <v>45560</v>
      </c>
    </row>
    <row r="1176" spans="49:59" x14ac:dyDescent="0.3">
      <c r="AW1176" s="1">
        <v>18.100000000000001</v>
      </c>
      <c r="AX1176" s="1">
        <v>18.100000000000001</v>
      </c>
      <c r="AY1176" t="str">
        <v>CP-R80_HI782-0_0.0_LOT0696_PWW39.1_QC.xlsx</v>
      </c>
      <c r="AZ1176" t="str">
        <v>LOT0696</v>
      </c>
      <c r="BA1176" s="3">
        <v>18</v>
      </c>
      <c r="BB1176" t="str">
        <v>P/Final</v>
      </c>
      <c r="BC1176">
        <v>35</v>
      </c>
      <c r="BD1176" s="10">
        <v>37.299999999999997</v>
      </c>
      <c r="BE1176" s="10">
        <v>0</v>
      </c>
      <c r="BF1176" s="10">
        <v>0</v>
      </c>
      <c r="BG1176" s="13">
        <v>45560</v>
      </c>
    </row>
    <row r="1177" spans="49:59" x14ac:dyDescent="0.3">
      <c r="AW1177" s="1">
        <v>18.100000000000001</v>
      </c>
      <c r="AX1177" s="1">
        <v>18.100000000000001</v>
      </c>
      <c r="AY1177" t="str">
        <v>CP-R80_HI782-0_0.0_LOT0696_PWW39.1_QC.xlsx</v>
      </c>
      <c r="AZ1177" t="str">
        <v>LOT0696</v>
      </c>
      <c r="BA1177" s="3">
        <v>18</v>
      </c>
      <c r="BB1177" t="str">
        <v>P/Final</v>
      </c>
      <c r="BC1177">
        <v>35</v>
      </c>
      <c r="BD1177" s="10">
        <v>37.299999999999997</v>
      </c>
      <c r="BE1177" s="10">
        <v>0</v>
      </c>
      <c r="BF1177" s="10">
        <v>0</v>
      </c>
      <c r="BG1177" s="13">
        <v>45560</v>
      </c>
    </row>
    <row r="1178" spans="49:59" x14ac:dyDescent="0.3">
      <c r="AW1178" s="1">
        <v>18.100000000000001</v>
      </c>
      <c r="AX1178" s="1">
        <v>18.100000000000001</v>
      </c>
      <c r="AY1178" t="str">
        <v>CP-R80_HI782-0_0.0_LOT0696_PWW39.1_QC.xlsx</v>
      </c>
      <c r="AZ1178" t="str">
        <v>LOT0696</v>
      </c>
      <c r="BA1178" s="3">
        <v>18</v>
      </c>
      <c r="BB1178" t="str">
        <v>P/Final</v>
      </c>
      <c r="BC1178">
        <v>35</v>
      </c>
      <c r="BD1178" s="10">
        <v>39.1</v>
      </c>
      <c r="BE1178" s="10">
        <v>0</v>
      </c>
      <c r="BF1178" s="10">
        <v>0</v>
      </c>
      <c r="BG1178" s="13">
        <v>45560</v>
      </c>
    </row>
    <row r="1179" spans="49:59" x14ac:dyDescent="0.3">
      <c r="AW1179" s="1">
        <v>18.100000000000001</v>
      </c>
      <c r="AX1179" s="1">
        <v>18.100000000000001</v>
      </c>
      <c r="AY1179" t="str">
        <v>CP-R80_HI782-0_0.0_LOT0696_PWW39.1_QC.xlsx</v>
      </c>
      <c r="AZ1179" t="str">
        <v>LOT0696</v>
      </c>
      <c r="BA1179" s="3">
        <v>18</v>
      </c>
      <c r="BB1179" t="str">
        <v>P/Final</v>
      </c>
      <c r="BC1179">
        <v>35</v>
      </c>
      <c r="BD1179" s="10">
        <v>38.200000000000003</v>
      </c>
      <c r="BE1179" s="10">
        <v>0</v>
      </c>
      <c r="BF1179" s="10">
        <v>0</v>
      </c>
      <c r="BG1179" s="13">
        <v>45560</v>
      </c>
    </row>
    <row r="1180" spans="49:59" x14ac:dyDescent="0.3">
      <c r="AW1180" s="1">
        <v>18.100000000000001</v>
      </c>
      <c r="AX1180" s="1">
        <v>18.100000000000001</v>
      </c>
      <c r="AY1180" t="str">
        <v>CP-R80_HI782-0_0.0_LOT0696_PWW39.1_QC.xlsx</v>
      </c>
      <c r="AZ1180" t="str">
        <v>LOT0696</v>
      </c>
      <c r="BA1180" s="3">
        <v>18</v>
      </c>
      <c r="BB1180" t="str">
        <v>P/Final</v>
      </c>
      <c r="BC1180">
        <v>35</v>
      </c>
      <c r="BD1180" s="10">
        <v>38.4</v>
      </c>
      <c r="BE1180" s="10">
        <v>0</v>
      </c>
      <c r="BF1180" s="10">
        <v>0</v>
      </c>
      <c r="BG1180" s="13">
        <v>45560</v>
      </c>
    </row>
    <row r="1181" spans="49:59" x14ac:dyDescent="0.3">
      <c r="AW1181" s="1">
        <v>18.100000000000001</v>
      </c>
      <c r="AX1181" s="1">
        <v>18.100000000000001</v>
      </c>
      <c r="AY1181" t="str">
        <v>CP-R80_HI782-0_0.0_LOT0696_PWW39.1_QC.xlsx</v>
      </c>
      <c r="AZ1181" t="str">
        <v>LOT0696</v>
      </c>
      <c r="BA1181" s="3">
        <v>18</v>
      </c>
      <c r="BB1181" t="str">
        <v>P/Final</v>
      </c>
      <c r="BC1181">
        <v>60</v>
      </c>
      <c r="BD1181" s="10">
        <v>61.9</v>
      </c>
      <c r="BE1181" s="10">
        <v>0</v>
      </c>
      <c r="BF1181" s="10">
        <v>0</v>
      </c>
      <c r="BG1181" s="13">
        <v>45560</v>
      </c>
    </row>
    <row r="1182" spans="49:59" x14ac:dyDescent="0.3">
      <c r="AW1182" s="1">
        <v>18.100000000000001</v>
      </c>
      <c r="AX1182" s="1">
        <v>18.100000000000001</v>
      </c>
      <c r="AY1182" t="str">
        <v>CP-R80_HI782-0_0.0_LOT0696_PWW39.1_QC.xlsx</v>
      </c>
      <c r="AZ1182" t="str">
        <v>LOT0696</v>
      </c>
      <c r="BA1182" s="3">
        <v>18</v>
      </c>
      <c r="BB1182" t="str">
        <v>P/Final</v>
      </c>
      <c r="BC1182">
        <v>60</v>
      </c>
      <c r="BD1182" s="10">
        <v>64.400000000000006</v>
      </c>
      <c r="BE1182" s="10">
        <v>0</v>
      </c>
      <c r="BF1182" s="10">
        <v>0</v>
      </c>
      <c r="BG1182" s="13">
        <v>45560</v>
      </c>
    </row>
    <row r="1183" spans="49:59" x14ac:dyDescent="0.3">
      <c r="AW1183" s="1">
        <v>18.100000000000001</v>
      </c>
      <c r="AX1183" s="1">
        <v>18.100000000000001</v>
      </c>
      <c r="AY1183" t="str">
        <v>CP-R80_HI782-0_0.0_LOT0696_PWW39.1_QC.xlsx</v>
      </c>
      <c r="AZ1183" t="str">
        <v>LOT0696</v>
      </c>
      <c r="BA1183" s="3">
        <v>18</v>
      </c>
      <c r="BB1183" t="str">
        <v>P/Final</v>
      </c>
      <c r="BC1183">
        <v>60</v>
      </c>
      <c r="BD1183" s="10">
        <v>64.099999999999994</v>
      </c>
      <c r="BE1183" s="10">
        <v>0</v>
      </c>
      <c r="BF1183" s="10">
        <v>0</v>
      </c>
      <c r="BG1183" s="13">
        <v>45560</v>
      </c>
    </row>
    <row r="1184" spans="49:59" x14ac:dyDescent="0.3">
      <c r="AW1184" s="1">
        <v>18.100000000000001</v>
      </c>
      <c r="AX1184" s="1">
        <v>18.100000000000001</v>
      </c>
      <c r="AY1184" t="str">
        <v>CP-R80_HI782-0_0.0_LOT0696_PWW39.1_QC.xlsx</v>
      </c>
      <c r="AZ1184" t="str">
        <v>LOT0696</v>
      </c>
      <c r="BA1184" s="3">
        <v>18</v>
      </c>
      <c r="BB1184" t="str">
        <v>P/Final</v>
      </c>
      <c r="BC1184">
        <v>60</v>
      </c>
      <c r="BD1184" s="10">
        <v>60.1</v>
      </c>
      <c r="BE1184" s="10">
        <v>0</v>
      </c>
      <c r="BF1184" s="10">
        <v>0</v>
      </c>
      <c r="BG1184" s="13">
        <v>45560</v>
      </c>
    </row>
    <row r="1185" spans="49:59" x14ac:dyDescent="0.3">
      <c r="AW1185" s="1">
        <v>18.100000000000001</v>
      </c>
      <c r="AX1185" s="1">
        <v>18.100000000000001</v>
      </c>
      <c r="AY1185" t="str">
        <v>CP-R80_HI782-0_0.0_LOT0696_PWW39.1_QC.xlsx</v>
      </c>
      <c r="AZ1185" t="str">
        <v>LOT0696</v>
      </c>
      <c r="BA1185" s="3">
        <v>18</v>
      </c>
      <c r="BB1185" t="str">
        <v>P/Final</v>
      </c>
      <c r="BC1185">
        <v>60</v>
      </c>
      <c r="BD1185" s="10">
        <v>63.7</v>
      </c>
      <c r="BE1185" s="10">
        <v>0</v>
      </c>
      <c r="BF1185" s="10">
        <v>0</v>
      </c>
      <c r="BG1185" s="13">
        <v>45560</v>
      </c>
    </row>
    <row r="1186" spans="49:59" x14ac:dyDescent="0.3">
      <c r="AW1186" s="1">
        <v>18.100000000000001</v>
      </c>
      <c r="AX1186" s="1">
        <v>18.100000000000001</v>
      </c>
      <c r="AY1186" t="str">
        <v>CP-R80_HI782-0_0.0_LOT0696_PWW39.1_QC.xlsx</v>
      </c>
      <c r="AZ1186" t="str">
        <v>LOT0696</v>
      </c>
      <c r="BA1186" s="3">
        <v>18</v>
      </c>
      <c r="BB1186" t="str">
        <v>P/Final</v>
      </c>
      <c r="BC1186">
        <v>60</v>
      </c>
      <c r="BD1186" s="10">
        <v>63</v>
      </c>
      <c r="BE1186" s="10">
        <v>0</v>
      </c>
      <c r="BF1186" s="10">
        <v>0</v>
      </c>
      <c r="BG1186" s="13">
        <v>45560</v>
      </c>
    </row>
    <row r="1187" spans="49:59" x14ac:dyDescent="0.3">
      <c r="AW1187" s="1">
        <v>18.100000000000001</v>
      </c>
      <c r="AX1187" s="1">
        <v>18.100000000000001</v>
      </c>
      <c r="AY1187" t="str">
        <v>CP-R80_HI782-0_0.0_LOT0696_PWW39.1_QC.xlsx</v>
      </c>
      <c r="AZ1187" t="str">
        <v>LOT0696</v>
      </c>
      <c r="BA1187" s="3">
        <v>18</v>
      </c>
      <c r="BB1187" t="str">
        <v>P/Final</v>
      </c>
      <c r="BC1187">
        <v>60</v>
      </c>
      <c r="BD1187" s="10">
        <v>63.3</v>
      </c>
      <c r="BE1187" s="10">
        <v>0</v>
      </c>
      <c r="BF1187" s="10">
        <v>0</v>
      </c>
      <c r="BG1187" s="13">
        <v>45560</v>
      </c>
    </row>
    <row r="1188" spans="49:59" x14ac:dyDescent="0.3">
      <c r="AW1188" s="1">
        <v>18.100000000000001</v>
      </c>
      <c r="AX1188" s="1">
        <v>18.100000000000001</v>
      </c>
      <c r="AY1188" t="str">
        <v>CP-R80_HI782-0_0.0_LOT0696_PWW39.1_QC.xlsx</v>
      </c>
      <c r="AZ1188" t="str">
        <v>LOT0696</v>
      </c>
      <c r="BA1188" s="3">
        <v>18</v>
      </c>
      <c r="BB1188" t="str">
        <v>P/Final</v>
      </c>
      <c r="BC1188">
        <v>60</v>
      </c>
      <c r="BD1188" s="10">
        <v>60.8</v>
      </c>
      <c r="BE1188" s="10">
        <v>0</v>
      </c>
      <c r="BF1188" s="10">
        <v>0</v>
      </c>
      <c r="BG1188" s="13">
        <v>45560</v>
      </c>
    </row>
    <row r="1189" spans="49:59" x14ac:dyDescent="0.3">
      <c r="AW1189" s="1">
        <v>18.100000000000001</v>
      </c>
      <c r="AX1189" s="1">
        <v>18.100000000000001</v>
      </c>
      <c r="AY1189" t="str">
        <v>CP-R80_HI782-0_0.0_LOT0696_PWW39.1_QC.xlsx</v>
      </c>
      <c r="AZ1189" t="str">
        <v>LOT0696</v>
      </c>
      <c r="BA1189" s="3">
        <v>18</v>
      </c>
      <c r="BB1189" t="str">
        <v>P/Final</v>
      </c>
      <c r="BC1189">
        <v>60</v>
      </c>
      <c r="BD1189" s="10">
        <v>60.1</v>
      </c>
      <c r="BE1189" s="10">
        <v>0</v>
      </c>
      <c r="BF1189" s="10">
        <v>0</v>
      </c>
      <c r="BG1189" s="13">
        <v>45560</v>
      </c>
    </row>
    <row r="1190" spans="49:59" x14ac:dyDescent="0.3">
      <c r="AW1190" s="1">
        <v>18.100000000000001</v>
      </c>
      <c r="AX1190" s="1">
        <v>18.100000000000001</v>
      </c>
      <c r="AY1190" t="str">
        <v>CP-R80_HI782-0_0.0_LOT0696_PWW39.1_QC.xlsx</v>
      </c>
      <c r="AZ1190" t="str">
        <v>LOT0696</v>
      </c>
      <c r="BA1190" s="3">
        <v>18</v>
      </c>
      <c r="BB1190" t="str">
        <v>P/Final</v>
      </c>
      <c r="BC1190">
        <v>60</v>
      </c>
      <c r="BD1190" s="10">
        <v>60.6</v>
      </c>
      <c r="BE1190" s="10">
        <v>0</v>
      </c>
      <c r="BF1190" s="10">
        <v>0</v>
      </c>
      <c r="BG1190" s="13">
        <v>45560</v>
      </c>
    </row>
    <row r="1191" spans="49:59" x14ac:dyDescent="0.3">
      <c r="AW1191" s="1">
        <v>18.100000000000001</v>
      </c>
      <c r="AX1191" s="1">
        <v>18.100000000000001</v>
      </c>
      <c r="AY1191" t="str">
        <v>CP-R80_HI782-0_0.0_LOT0696_PWW39.1_QC.xlsx</v>
      </c>
      <c r="AZ1191" t="str">
        <v>LOT0696</v>
      </c>
      <c r="BA1191" s="3">
        <v>18</v>
      </c>
      <c r="BB1191" t="str">
        <v>P/Final</v>
      </c>
      <c r="BC1191">
        <v>60</v>
      </c>
      <c r="BD1191" s="10">
        <v>63.1</v>
      </c>
      <c r="BE1191" s="10">
        <v>0</v>
      </c>
      <c r="BF1191" s="10">
        <v>0</v>
      </c>
      <c r="BG1191" s="13">
        <v>45560</v>
      </c>
    </row>
    <row r="1192" spans="49:59" x14ac:dyDescent="0.3">
      <c r="AW1192" s="1">
        <v>18.100000000000001</v>
      </c>
      <c r="AX1192" s="1">
        <v>18.100000000000001</v>
      </c>
      <c r="AY1192" t="str">
        <v>CP-R80_HI782-0_0.0_LOT0696_PWW39.1_QC.xlsx</v>
      </c>
      <c r="AZ1192" t="str">
        <v>LOT0696</v>
      </c>
      <c r="BA1192" s="3">
        <v>18</v>
      </c>
      <c r="BB1192" t="str">
        <v>P/Final</v>
      </c>
      <c r="BC1192">
        <v>60</v>
      </c>
      <c r="BD1192" s="10">
        <v>56.3</v>
      </c>
      <c r="BE1192" s="10">
        <v>0</v>
      </c>
      <c r="BF1192" s="10">
        <v>0</v>
      </c>
      <c r="BG1192" s="13">
        <v>45560</v>
      </c>
    </row>
    <row r="1193" spans="49:59" x14ac:dyDescent="0.3">
      <c r="AW1193" s="1">
        <v>18.100000000000001</v>
      </c>
      <c r="AX1193" s="1">
        <v>18.100000000000001</v>
      </c>
      <c r="AY1193" t="str">
        <v>CP-R80_HI782-0_0.0_LOT0696_PWW39.1_QC.xlsx</v>
      </c>
      <c r="AZ1193" t="str">
        <v>LOT0696</v>
      </c>
      <c r="BA1193" s="3">
        <v>18</v>
      </c>
      <c r="BB1193" t="str">
        <v>P/Final</v>
      </c>
      <c r="BC1193">
        <v>60</v>
      </c>
      <c r="BD1193" s="10">
        <v>62.5</v>
      </c>
      <c r="BE1193" s="10">
        <v>0</v>
      </c>
      <c r="BF1193" s="10">
        <v>0</v>
      </c>
      <c r="BG1193" s="13">
        <v>45560</v>
      </c>
    </row>
    <row r="1194" spans="49:59" x14ac:dyDescent="0.3">
      <c r="AW1194" s="1">
        <v>18.100000000000001</v>
      </c>
      <c r="AX1194" s="1">
        <v>18.100000000000001</v>
      </c>
      <c r="AY1194" t="str">
        <v>CP-R80_HI782-0_0.0_LOT0696_PWW39.1_QC.xlsx</v>
      </c>
      <c r="AZ1194" t="str">
        <v>LOT0696</v>
      </c>
      <c r="BA1194" s="3">
        <v>18</v>
      </c>
      <c r="BB1194" t="str">
        <v>P/Final</v>
      </c>
      <c r="BC1194">
        <v>60</v>
      </c>
      <c r="BD1194" s="10">
        <v>58.4</v>
      </c>
      <c r="BE1194" s="10">
        <v>0</v>
      </c>
      <c r="BF1194" s="10">
        <v>0</v>
      </c>
      <c r="BG1194" s="13">
        <v>45560</v>
      </c>
    </row>
    <row r="1195" spans="49:59" x14ac:dyDescent="0.3">
      <c r="AW1195" s="1">
        <v>18.100000000000001</v>
      </c>
      <c r="AX1195" s="1">
        <v>18.100000000000001</v>
      </c>
      <c r="AY1195" t="str">
        <v>CP-R80_HI782-0_0.0_LOT0696_PWW39.1_QC.xlsx</v>
      </c>
      <c r="AZ1195" t="str">
        <v>LOT0696</v>
      </c>
      <c r="BA1195" s="3">
        <v>18</v>
      </c>
      <c r="BB1195" t="str">
        <v>P/Final</v>
      </c>
      <c r="BC1195">
        <v>60</v>
      </c>
      <c r="BD1195" s="10">
        <v>59.4</v>
      </c>
      <c r="BE1195" s="10">
        <v>0</v>
      </c>
      <c r="BF1195" s="10">
        <v>0</v>
      </c>
      <c r="BG1195" s="13">
        <v>45560</v>
      </c>
    </row>
    <row r="1196" spans="49:59" x14ac:dyDescent="0.3">
      <c r="AW1196" s="1">
        <v>18.100000000000001</v>
      </c>
      <c r="AX1196" s="1">
        <v>18.100000000000001</v>
      </c>
      <c r="AY1196" t="str">
        <v>CP-R80_HI782-0_0.0_LOT0696_PWW39.1_QC.xlsx</v>
      </c>
      <c r="AZ1196" t="str">
        <v>LOT0696</v>
      </c>
      <c r="BA1196" s="3">
        <v>18</v>
      </c>
      <c r="BB1196" t="str">
        <v>P/Final</v>
      </c>
      <c r="BC1196">
        <v>60</v>
      </c>
      <c r="BD1196" s="10">
        <v>64.8</v>
      </c>
      <c r="BE1196" s="10">
        <v>0</v>
      </c>
      <c r="BF1196" s="10">
        <v>0</v>
      </c>
      <c r="BG1196" s="13">
        <v>45560</v>
      </c>
    </row>
    <row r="1197" spans="49:59" x14ac:dyDescent="0.3">
      <c r="AW1197" s="1">
        <v>18.100000000000001</v>
      </c>
      <c r="AX1197" s="1">
        <v>18.100000000000001</v>
      </c>
      <c r="AY1197" t="str">
        <v>CP-R80_HI782-0_0.0_LOT0696_PWW39.1_QC.xlsx</v>
      </c>
      <c r="AZ1197" t="str">
        <v>LOT0696</v>
      </c>
      <c r="BA1197" s="3">
        <v>18</v>
      </c>
      <c r="BB1197" t="str">
        <v>P/Final</v>
      </c>
      <c r="BC1197">
        <v>15</v>
      </c>
      <c r="BD1197" s="10">
        <v>15.1</v>
      </c>
      <c r="BE1197" s="10">
        <v>0</v>
      </c>
      <c r="BF1197" s="10">
        <v>0</v>
      </c>
      <c r="BG1197" s="13">
        <v>45561</v>
      </c>
    </row>
    <row r="1198" spans="49:59" x14ac:dyDescent="0.3">
      <c r="AW1198" s="1">
        <v>18.100000000000001</v>
      </c>
      <c r="AX1198" s="1">
        <v>18.100000000000001</v>
      </c>
      <c r="AY1198" t="str">
        <v>CP-R80_HI782-0_0.0_LOT0696_PWW39.1_QC.xlsx</v>
      </c>
      <c r="AZ1198" t="str">
        <v>LOT0696</v>
      </c>
      <c r="BA1198" s="3">
        <v>18</v>
      </c>
      <c r="BB1198" t="str">
        <v>P/Final</v>
      </c>
      <c r="BC1198">
        <v>15</v>
      </c>
      <c r="BD1198" s="10">
        <v>14.9</v>
      </c>
      <c r="BE1198" s="10">
        <v>0</v>
      </c>
      <c r="BF1198" s="10">
        <v>0</v>
      </c>
      <c r="BG1198" s="13">
        <v>45561</v>
      </c>
    </row>
    <row r="1199" spans="49:59" x14ac:dyDescent="0.3">
      <c r="AW1199" s="1">
        <v>18.100000000000001</v>
      </c>
      <c r="AX1199" s="1">
        <v>18.100000000000001</v>
      </c>
      <c r="AY1199" t="str">
        <v>CP-R80_HI782-0_0.0_LOT0696_PWW39.1_QC.xlsx</v>
      </c>
      <c r="AZ1199" t="str">
        <v>LOT0696</v>
      </c>
      <c r="BA1199" s="3">
        <v>18</v>
      </c>
      <c r="BB1199" t="str">
        <v>P/Final</v>
      </c>
      <c r="BC1199">
        <v>15</v>
      </c>
      <c r="BD1199" s="10">
        <v>17.100000000000001</v>
      </c>
      <c r="BE1199" s="10">
        <v>0</v>
      </c>
      <c r="BF1199" s="10">
        <v>0</v>
      </c>
      <c r="BG1199" s="13">
        <v>45561</v>
      </c>
    </row>
    <row r="1200" spans="49:59" x14ac:dyDescent="0.3">
      <c r="AW1200" s="1">
        <v>18.100000000000001</v>
      </c>
      <c r="AX1200" s="1">
        <v>18.100000000000001</v>
      </c>
      <c r="AY1200" t="str">
        <v>CP-R80_HI782-0_0.0_LOT0696_PWW39.1_QC.xlsx</v>
      </c>
      <c r="AZ1200" t="str">
        <v>LOT0696</v>
      </c>
      <c r="BA1200" s="3">
        <v>18</v>
      </c>
      <c r="BB1200" t="str">
        <v>P/Final</v>
      </c>
      <c r="BC1200">
        <v>15</v>
      </c>
      <c r="BD1200" s="10">
        <v>17.899999999999999</v>
      </c>
      <c r="BE1200" s="10">
        <v>0</v>
      </c>
      <c r="BF1200" s="10">
        <v>0</v>
      </c>
      <c r="BG1200" s="13">
        <v>45561</v>
      </c>
    </row>
    <row r="1201" spans="49:59" x14ac:dyDescent="0.3">
      <c r="AW1201" s="1">
        <v>18.100000000000001</v>
      </c>
      <c r="AX1201" s="1">
        <v>18.100000000000001</v>
      </c>
      <c r="AY1201" t="str">
        <v>CP-R80_HI782-0_0.0_LOT0696_PWW39.1_QC.xlsx</v>
      </c>
      <c r="AZ1201" t="str">
        <v>LOT0696</v>
      </c>
      <c r="BA1201" s="3">
        <v>18</v>
      </c>
      <c r="BB1201" t="str">
        <v>P/Final</v>
      </c>
      <c r="BC1201">
        <v>15</v>
      </c>
      <c r="BD1201" s="10">
        <v>17.5</v>
      </c>
      <c r="BE1201" s="10">
        <v>0</v>
      </c>
      <c r="BF1201" s="10">
        <v>0</v>
      </c>
      <c r="BG1201" s="13">
        <v>45561</v>
      </c>
    </row>
    <row r="1202" spans="49:59" x14ac:dyDescent="0.3">
      <c r="AW1202" s="1">
        <v>18.100000000000001</v>
      </c>
      <c r="AX1202" s="1">
        <v>18.100000000000001</v>
      </c>
      <c r="AY1202" t="str">
        <v>CP-R80_HI782-0_0.0_LOT0696_PWW39.1_QC.xlsx</v>
      </c>
      <c r="AZ1202" t="str">
        <v>LOT0696</v>
      </c>
      <c r="BA1202" s="3">
        <v>18</v>
      </c>
      <c r="BB1202" t="str">
        <v>P/Final</v>
      </c>
      <c r="BC1202">
        <v>15</v>
      </c>
      <c r="BD1202" s="10">
        <v>17.8</v>
      </c>
      <c r="BE1202" s="10">
        <v>0</v>
      </c>
      <c r="BF1202" s="10">
        <v>0</v>
      </c>
      <c r="BG1202" s="13">
        <v>45561</v>
      </c>
    </row>
    <row r="1203" spans="49:59" x14ac:dyDescent="0.3">
      <c r="AW1203" s="1">
        <v>18.100000000000001</v>
      </c>
      <c r="AX1203" s="1">
        <v>18.100000000000001</v>
      </c>
      <c r="AY1203" t="str">
        <v>CP-R80_HI782-0_0.0_LOT0696_PWW39.1_QC.xlsx</v>
      </c>
      <c r="AZ1203" t="str">
        <v>LOT0696</v>
      </c>
      <c r="BA1203" s="3">
        <v>18</v>
      </c>
      <c r="BB1203" t="str">
        <v>P/Final</v>
      </c>
      <c r="BC1203">
        <v>15</v>
      </c>
      <c r="BD1203" s="10">
        <v>16.2</v>
      </c>
      <c r="BE1203" s="10">
        <v>0</v>
      </c>
      <c r="BF1203" s="10">
        <v>0</v>
      </c>
      <c r="BG1203" s="13">
        <v>45561</v>
      </c>
    </row>
    <row r="1204" spans="49:59" x14ac:dyDescent="0.3">
      <c r="AW1204" s="1">
        <v>18.100000000000001</v>
      </c>
      <c r="AX1204" s="1">
        <v>18.100000000000001</v>
      </c>
      <c r="AY1204" t="str">
        <v>CP-R80_HI782-0_0.0_LOT0696_PWW39.1_QC.xlsx</v>
      </c>
      <c r="AZ1204" t="str">
        <v>LOT0696</v>
      </c>
      <c r="BA1204" s="3">
        <v>18</v>
      </c>
      <c r="BB1204" t="str">
        <v>P/Final</v>
      </c>
      <c r="BC1204">
        <v>15</v>
      </c>
      <c r="BD1204" s="10">
        <v>14.1</v>
      </c>
      <c r="BE1204" s="10">
        <v>0</v>
      </c>
      <c r="BF1204" s="10">
        <v>0</v>
      </c>
      <c r="BG1204" s="13">
        <v>45561</v>
      </c>
    </row>
    <row r="1205" spans="49:59" x14ac:dyDescent="0.3">
      <c r="AW1205" s="1">
        <v>18.100000000000001</v>
      </c>
      <c r="AX1205" s="1">
        <v>18.100000000000001</v>
      </c>
      <c r="AY1205" t="str">
        <v>CP-R80_HI782-0_0.0_LOT0696_PWW39.1_QC.xlsx</v>
      </c>
      <c r="AZ1205" t="str">
        <v>LOT0696</v>
      </c>
      <c r="BA1205" s="3">
        <v>18</v>
      </c>
      <c r="BB1205" t="str">
        <v>P/Final</v>
      </c>
      <c r="BC1205">
        <v>15</v>
      </c>
      <c r="BD1205" s="10">
        <v>15.7</v>
      </c>
      <c r="BE1205" s="10">
        <v>0</v>
      </c>
      <c r="BF1205" s="10">
        <v>0</v>
      </c>
      <c r="BG1205" s="13">
        <v>45561</v>
      </c>
    </row>
    <row r="1206" spans="49:59" x14ac:dyDescent="0.3">
      <c r="AW1206" s="1">
        <v>18.100000000000001</v>
      </c>
      <c r="AX1206" s="1">
        <v>18.100000000000001</v>
      </c>
      <c r="AY1206" t="str">
        <v>CP-R80_HI782-0_0.0_LOT0696_PWW39.1_QC.xlsx</v>
      </c>
      <c r="AZ1206" t="str">
        <v>LOT0696</v>
      </c>
      <c r="BA1206" s="3">
        <v>18</v>
      </c>
      <c r="BB1206" t="str">
        <v>P/Final</v>
      </c>
      <c r="BC1206">
        <v>15</v>
      </c>
      <c r="BD1206" s="10">
        <v>15.9</v>
      </c>
      <c r="BE1206" s="10">
        <v>0</v>
      </c>
      <c r="BF1206" s="10">
        <v>0</v>
      </c>
      <c r="BG1206" s="13">
        <v>45561</v>
      </c>
    </row>
    <row r="1207" spans="49:59" x14ac:dyDescent="0.3">
      <c r="AW1207" s="1">
        <v>18.100000000000001</v>
      </c>
      <c r="AX1207" s="1">
        <v>18.100000000000001</v>
      </c>
      <c r="AY1207" t="str">
        <v>CP-R80_HI782-0_0.0_LOT0696_PWW39.1_QC.xlsx</v>
      </c>
      <c r="AZ1207" t="str">
        <v>LOT0696</v>
      </c>
      <c r="BA1207" s="3">
        <v>18</v>
      </c>
      <c r="BB1207" t="str">
        <v>P/Final</v>
      </c>
      <c r="BC1207">
        <v>35</v>
      </c>
      <c r="BD1207" s="10">
        <v>34.6</v>
      </c>
      <c r="BE1207" s="10">
        <v>0</v>
      </c>
      <c r="BF1207" s="10">
        <v>0</v>
      </c>
      <c r="BG1207" s="13">
        <v>45561</v>
      </c>
    </row>
    <row r="1208" spans="49:59" x14ac:dyDescent="0.3">
      <c r="AW1208" s="1">
        <v>18.100000000000001</v>
      </c>
      <c r="AX1208" s="1">
        <v>18.100000000000001</v>
      </c>
      <c r="AY1208" t="str">
        <v>CP-R80_HI782-0_0.0_LOT0696_PWW39.1_QC.xlsx</v>
      </c>
      <c r="AZ1208" t="str">
        <v>LOT0696</v>
      </c>
      <c r="BA1208" s="3">
        <v>18</v>
      </c>
      <c r="BB1208" t="str">
        <v>P/Final</v>
      </c>
      <c r="BC1208">
        <v>35</v>
      </c>
      <c r="BD1208" s="10">
        <v>36</v>
      </c>
      <c r="BE1208" s="10">
        <v>0</v>
      </c>
      <c r="BF1208" s="10">
        <v>0</v>
      </c>
      <c r="BG1208" s="13">
        <v>45561</v>
      </c>
    </row>
    <row r="1209" spans="49:59" x14ac:dyDescent="0.3">
      <c r="AW1209" s="1">
        <v>18.100000000000001</v>
      </c>
      <c r="AX1209" s="1">
        <v>18.100000000000001</v>
      </c>
      <c r="AY1209" t="str">
        <v>CP-R80_HI782-0_0.0_LOT0696_PWW39.1_QC.xlsx</v>
      </c>
      <c r="AZ1209" t="str">
        <v>LOT0696</v>
      </c>
      <c r="BA1209" s="3">
        <v>18</v>
      </c>
      <c r="BB1209" t="str">
        <v>P/Final</v>
      </c>
      <c r="BC1209">
        <v>35</v>
      </c>
      <c r="BD1209" s="10">
        <v>36.700000000000003</v>
      </c>
      <c r="BE1209" s="10">
        <v>0</v>
      </c>
      <c r="BF1209" s="10">
        <v>0</v>
      </c>
      <c r="BG1209" s="13">
        <v>45561</v>
      </c>
    </row>
    <row r="1210" spans="49:59" x14ac:dyDescent="0.3">
      <c r="AW1210" s="1">
        <v>18.100000000000001</v>
      </c>
      <c r="AX1210" s="1">
        <v>18.100000000000001</v>
      </c>
      <c r="AY1210" t="str">
        <v>CP-R80_HI782-0_0.0_LOT0696_PWW39.1_QC.xlsx</v>
      </c>
      <c r="AZ1210" t="str">
        <v>LOT0696</v>
      </c>
      <c r="BA1210" s="3">
        <v>18</v>
      </c>
      <c r="BB1210" t="str">
        <v>P/Final</v>
      </c>
      <c r="BC1210">
        <v>35</v>
      </c>
      <c r="BD1210" s="10">
        <v>35.700000000000003</v>
      </c>
      <c r="BE1210" s="10">
        <v>0</v>
      </c>
      <c r="BF1210" s="10">
        <v>0</v>
      </c>
      <c r="BG1210" s="13">
        <v>45561</v>
      </c>
    </row>
    <row r="1211" spans="49:59" x14ac:dyDescent="0.3">
      <c r="AW1211" s="1">
        <v>18.100000000000001</v>
      </c>
      <c r="AX1211" s="1">
        <v>18.100000000000001</v>
      </c>
      <c r="AY1211" t="str">
        <v>CP-R80_HI782-0_0.0_LOT0696_PWW39.1_QC.xlsx</v>
      </c>
      <c r="AZ1211" t="str">
        <v>LOT0696</v>
      </c>
      <c r="BA1211" s="3">
        <v>18</v>
      </c>
      <c r="BB1211" t="str">
        <v>P/Final</v>
      </c>
      <c r="BC1211">
        <v>35</v>
      </c>
      <c r="BD1211" s="10">
        <v>37.4</v>
      </c>
      <c r="BE1211" s="10">
        <v>0</v>
      </c>
      <c r="BF1211" s="10">
        <v>0</v>
      </c>
      <c r="BG1211" s="13">
        <v>45561</v>
      </c>
    </row>
    <row r="1212" spans="49:59" x14ac:dyDescent="0.3">
      <c r="AW1212" s="1">
        <v>18.100000000000001</v>
      </c>
      <c r="AX1212" s="1">
        <v>18.100000000000001</v>
      </c>
      <c r="AY1212" t="str">
        <v>CP-R80_HI782-0_0.0_LOT0696_PWW39.1_QC.xlsx</v>
      </c>
      <c r="AZ1212" t="str">
        <v>LOT0696</v>
      </c>
      <c r="BA1212" s="3">
        <v>18</v>
      </c>
      <c r="BB1212" t="str">
        <v>P/Final</v>
      </c>
      <c r="BC1212">
        <v>35</v>
      </c>
      <c r="BD1212" s="10">
        <v>35.5</v>
      </c>
      <c r="BE1212" s="10">
        <v>0</v>
      </c>
      <c r="BF1212" s="10">
        <v>0</v>
      </c>
      <c r="BG1212" s="13">
        <v>45561</v>
      </c>
    </row>
    <row r="1213" spans="49:59" x14ac:dyDescent="0.3">
      <c r="AW1213" s="1">
        <v>18.100000000000001</v>
      </c>
      <c r="AX1213" s="1">
        <v>18.100000000000001</v>
      </c>
      <c r="AY1213" t="str">
        <v>CP-R80_HI782-0_0.0_LOT0696_PWW39.1_QC.xlsx</v>
      </c>
      <c r="AZ1213" t="str">
        <v>LOT0696</v>
      </c>
      <c r="BA1213" s="3">
        <v>18</v>
      </c>
      <c r="BB1213" t="str">
        <v>P/Final</v>
      </c>
      <c r="BC1213">
        <v>35</v>
      </c>
      <c r="BD1213" s="10">
        <v>35.4</v>
      </c>
      <c r="BE1213" s="10">
        <v>0</v>
      </c>
      <c r="BF1213" s="10">
        <v>0</v>
      </c>
      <c r="BG1213" s="13">
        <v>45561</v>
      </c>
    </row>
    <row r="1214" spans="49:59" x14ac:dyDescent="0.3">
      <c r="AW1214" s="1">
        <v>18.100000000000001</v>
      </c>
      <c r="AX1214" s="1">
        <v>18.100000000000001</v>
      </c>
      <c r="AY1214" t="str">
        <v>CP-R80_HI782-0_0.0_LOT0696_PWW39.1_QC.xlsx</v>
      </c>
      <c r="AZ1214" t="str">
        <v>LOT0696</v>
      </c>
      <c r="BA1214" s="3">
        <v>18</v>
      </c>
      <c r="BB1214" t="str">
        <v>P/Final</v>
      </c>
      <c r="BC1214">
        <v>35</v>
      </c>
      <c r="BD1214" s="10">
        <v>37.299999999999997</v>
      </c>
      <c r="BE1214" s="10">
        <v>0</v>
      </c>
      <c r="BF1214" s="10">
        <v>0</v>
      </c>
      <c r="BG1214" s="13">
        <v>45561</v>
      </c>
    </row>
    <row r="1215" spans="49:59" x14ac:dyDescent="0.3">
      <c r="AW1215" s="1">
        <v>18.100000000000001</v>
      </c>
      <c r="AX1215" s="1">
        <v>18.100000000000001</v>
      </c>
      <c r="AY1215" t="str">
        <v>CP-R80_HI782-0_0.0_LOT0696_PWW39.1_QC.xlsx</v>
      </c>
      <c r="AZ1215" t="str">
        <v>LOT0696</v>
      </c>
      <c r="BA1215" s="3">
        <v>18</v>
      </c>
      <c r="BB1215" t="str">
        <v>P/Final</v>
      </c>
      <c r="BC1215">
        <v>35</v>
      </c>
      <c r="BD1215" s="10">
        <v>35.9</v>
      </c>
      <c r="BE1215" s="10">
        <v>0</v>
      </c>
      <c r="BF1215" s="10">
        <v>0</v>
      </c>
      <c r="BG1215" s="13">
        <v>45561</v>
      </c>
    </row>
    <row r="1216" spans="49:59" x14ac:dyDescent="0.3">
      <c r="AW1216" s="1">
        <v>18.100000000000001</v>
      </c>
      <c r="AX1216" s="1">
        <v>18.100000000000001</v>
      </c>
      <c r="AY1216" t="str">
        <v>CP-R80_HI782-0_0.0_LOT0696_PWW39.1_QC.xlsx</v>
      </c>
      <c r="AZ1216" t="str">
        <v>LOT0696</v>
      </c>
      <c r="BA1216" s="3">
        <v>18</v>
      </c>
      <c r="BB1216" t="str">
        <v>P/Final</v>
      </c>
      <c r="BC1216">
        <v>35</v>
      </c>
      <c r="BD1216" s="10">
        <v>35.6</v>
      </c>
      <c r="BE1216" s="10">
        <v>0</v>
      </c>
      <c r="BF1216" s="10">
        <v>0</v>
      </c>
      <c r="BG1216" s="13">
        <v>45561</v>
      </c>
    </row>
    <row r="1217" spans="49:59" x14ac:dyDescent="0.3">
      <c r="AW1217" s="1">
        <v>18.100000000000001</v>
      </c>
      <c r="AX1217" s="1">
        <v>18.100000000000001</v>
      </c>
      <c r="AY1217" t="str">
        <v>CP-R80_HI782-0_0.0_LOT0696_PWW39.1_QC.xlsx</v>
      </c>
      <c r="AZ1217" t="str">
        <v>LOT0696</v>
      </c>
      <c r="BA1217" s="3">
        <v>18</v>
      </c>
      <c r="BB1217" t="str">
        <v>P/Final</v>
      </c>
      <c r="BC1217">
        <v>60</v>
      </c>
      <c r="BD1217" s="10">
        <v>64.2</v>
      </c>
      <c r="BE1217" s="10">
        <v>0</v>
      </c>
      <c r="BF1217" s="10">
        <v>0</v>
      </c>
      <c r="BG1217" s="13">
        <v>45561</v>
      </c>
    </row>
    <row r="1218" spans="49:59" x14ac:dyDescent="0.3">
      <c r="AW1218" s="1">
        <v>18.100000000000001</v>
      </c>
      <c r="AX1218" s="1">
        <v>18.100000000000001</v>
      </c>
      <c r="AY1218" t="str">
        <v>CP-R80_HI782-0_0.0_LOT0696_PWW39.1_QC.xlsx</v>
      </c>
      <c r="AZ1218" t="str">
        <v>LOT0696</v>
      </c>
      <c r="BA1218" s="3">
        <v>18</v>
      </c>
      <c r="BB1218" t="str">
        <v>P/Final</v>
      </c>
      <c r="BC1218">
        <v>60</v>
      </c>
      <c r="BD1218" s="10">
        <v>62.4</v>
      </c>
      <c r="BE1218" s="10">
        <v>0</v>
      </c>
      <c r="BF1218" s="10">
        <v>0</v>
      </c>
      <c r="BG1218" s="13">
        <v>45561</v>
      </c>
    </row>
    <row r="1219" spans="49:59" x14ac:dyDescent="0.3">
      <c r="AW1219" s="1">
        <v>18.100000000000001</v>
      </c>
      <c r="AX1219" s="1">
        <v>18.100000000000001</v>
      </c>
      <c r="AY1219" t="str">
        <v>CP-R80_HI782-0_0.0_LOT0696_PWW39.1_QC.xlsx</v>
      </c>
      <c r="AZ1219" t="str">
        <v>LOT0696</v>
      </c>
      <c r="BA1219" s="3">
        <v>18</v>
      </c>
      <c r="BB1219" t="str">
        <v>P/Final</v>
      </c>
      <c r="BC1219">
        <v>60</v>
      </c>
      <c r="BD1219" s="10">
        <v>56.9</v>
      </c>
      <c r="BE1219" s="10">
        <v>0</v>
      </c>
      <c r="BF1219" s="10">
        <v>0</v>
      </c>
      <c r="BG1219" s="13">
        <v>45561</v>
      </c>
    </row>
    <row r="1220" spans="49:59" x14ac:dyDescent="0.3">
      <c r="AW1220" s="1">
        <v>18.100000000000001</v>
      </c>
      <c r="AX1220" s="1">
        <v>18.100000000000001</v>
      </c>
      <c r="AY1220" t="str">
        <v>CP-R80_HI782-0_0.0_LOT0696_PWW39.1_QC.xlsx</v>
      </c>
      <c r="AZ1220" t="str">
        <v>LOT0696</v>
      </c>
      <c r="BA1220" s="3">
        <v>18</v>
      </c>
      <c r="BB1220" t="str">
        <v>P/Final</v>
      </c>
      <c r="BC1220">
        <v>60</v>
      </c>
      <c r="BD1220" s="10">
        <v>58.8</v>
      </c>
      <c r="BE1220" s="10">
        <v>0</v>
      </c>
      <c r="BF1220" s="10">
        <v>0</v>
      </c>
      <c r="BG1220" s="13">
        <v>45561</v>
      </c>
    </row>
    <row r="1221" spans="49:59" x14ac:dyDescent="0.3">
      <c r="AW1221" s="1">
        <v>18.100000000000001</v>
      </c>
      <c r="AX1221" s="1">
        <v>18.100000000000001</v>
      </c>
      <c r="AY1221" t="str">
        <v>CP-R80_HI782-0_0.0_LOT0696_PWW39.1_QC.xlsx</v>
      </c>
      <c r="AZ1221" t="str">
        <v>LOT0696</v>
      </c>
      <c r="BA1221" s="3">
        <v>18</v>
      </c>
      <c r="BB1221" t="str">
        <v>P/Final</v>
      </c>
      <c r="BC1221">
        <v>60</v>
      </c>
      <c r="BD1221" s="10">
        <v>55.2</v>
      </c>
      <c r="BE1221" s="10">
        <v>0</v>
      </c>
      <c r="BF1221" s="10">
        <v>0</v>
      </c>
      <c r="BG1221" s="13">
        <v>45561</v>
      </c>
    </row>
    <row r="1222" spans="49:59" x14ac:dyDescent="0.3">
      <c r="AW1222" s="1">
        <v>18.100000000000001</v>
      </c>
      <c r="AX1222" s="1">
        <v>18.100000000000001</v>
      </c>
      <c r="AY1222" t="str">
        <v>CP-R80_HI782-0_0.0_LOT0696_PWW39.1_QC.xlsx</v>
      </c>
      <c r="AZ1222" t="str">
        <v>LOT0696</v>
      </c>
      <c r="BA1222" s="3">
        <v>18</v>
      </c>
      <c r="BB1222" t="str">
        <v>P/Final</v>
      </c>
      <c r="BC1222">
        <v>60</v>
      </c>
      <c r="BD1222" s="10">
        <v>51.3</v>
      </c>
      <c r="BE1222" s="10">
        <v>0</v>
      </c>
      <c r="BF1222" s="10">
        <v>0</v>
      </c>
      <c r="BG1222" s="13">
        <v>45561</v>
      </c>
    </row>
    <row r="1223" spans="49:59" x14ac:dyDescent="0.3">
      <c r="AW1223" s="1">
        <v>18.100000000000001</v>
      </c>
      <c r="AX1223" s="1">
        <v>18.100000000000001</v>
      </c>
      <c r="AY1223" t="str">
        <v>CP-R80_HI782-0_0.0_LOT0696_PWW39.1_QC.xlsx</v>
      </c>
      <c r="AZ1223" t="str">
        <v>LOT0696</v>
      </c>
      <c r="BA1223" s="3">
        <v>18</v>
      </c>
      <c r="BB1223" t="str">
        <v>P/Final</v>
      </c>
      <c r="BC1223">
        <v>60</v>
      </c>
      <c r="BD1223" s="10">
        <v>56.8</v>
      </c>
      <c r="BE1223" s="10">
        <v>0</v>
      </c>
      <c r="BF1223" s="10">
        <v>0</v>
      </c>
      <c r="BG1223" s="13">
        <v>45561</v>
      </c>
    </row>
    <row r="1224" spans="49:59" x14ac:dyDescent="0.3">
      <c r="AW1224" s="1">
        <v>18.100000000000001</v>
      </c>
      <c r="AX1224" s="1">
        <v>18.100000000000001</v>
      </c>
      <c r="AY1224" t="str">
        <v>CP-R80_HI782-0_0.0_LOT0696_PWW39.1_QC.xlsx</v>
      </c>
      <c r="AZ1224" t="str">
        <v>LOT0696</v>
      </c>
      <c r="BA1224" s="3">
        <v>18</v>
      </c>
      <c r="BB1224" t="str">
        <v>P/Final</v>
      </c>
      <c r="BC1224">
        <v>60</v>
      </c>
      <c r="BD1224" s="10">
        <v>56</v>
      </c>
      <c r="BE1224" s="10">
        <v>0</v>
      </c>
      <c r="BF1224" s="10">
        <v>0</v>
      </c>
      <c r="BG1224" s="13">
        <v>45561</v>
      </c>
    </row>
    <row r="1225" spans="49:59" x14ac:dyDescent="0.3">
      <c r="AW1225" s="1">
        <v>18.100000000000001</v>
      </c>
      <c r="AX1225" s="1">
        <v>18.100000000000001</v>
      </c>
      <c r="AY1225" t="str">
        <v>CP-R80_HI782-0_0.0_LOT0696_PWW39.1_QC.xlsx</v>
      </c>
      <c r="AZ1225" t="str">
        <v>LOT0696</v>
      </c>
      <c r="BA1225" s="3">
        <v>18</v>
      </c>
      <c r="BB1225" t="str">
        <v>P/Final</v>
      </c>
      <c r="BC1225">
        <v>60</v>
      </c>
      <c r="BD1225" s="10">
        <v>62.8</v>
      </c>
      <c r="BE1225" s="10">
        <v>0</v>
      </c>
      <c r="BF1225" s="10">
        <v>0</v>
      </c>
      <c r="BG1225" s="13">
        <v>45561</v>
      </c>
    </row>
    <row r="1226" spans="49:59" x14ac:dyDescent="0.3">
      <c r="AW1226" s="1">
        <v>18.100000000000001</v>
      </c>
      <c r="AX1226" s="1">
        <v>18.100000000000001</v>
      </c>
      <c r="AY1226" t="str">
        <v>CP-R80_HI782-0_0.0_LOT0696_PWW39.1_QC.xlsx</v>
      </c>
      <c r="AZ1226" t="str">
        <v>LOT0696</v>
      </c>
      <c r="BA1226" s="3">
        <v>18</v>
      </c>
      <c r="BB1226" t="str">
        <v>P/Final</v>
      </c>
      <c r="BC1226">
        <v>60</v>
      </c>
      <c r="BD1226" s="10">
        <v>64.599999999999994</v>
      </c>
      <c r="BE1226" s="10">
        <v>0</v>
      </c>
      <c r="BF1226" s="10">
        <v>0</v>
      </c>
      <c r="BG1226" s="13">
        <v>45561</v>
      </c>
    </row>
    <row r="1227" spans="49:59" x14ac:dyDescent="0.3">
      <c r="AW1227" s="1">
        <v>18.100000000000001</v>
      </c>
      <c r="AX1227" s="1">
        <v>18.100000000000001</v>
      </c>
      <c r="AY1227" t="str">
        <v>CP-R80_HI782-0_0.0_LOT0696_PWW39.1_QC.xlsx</v>
      </c>
      <c r="AZ1227" t="str">
        <v>LOT0696</v>
      </c>
      <c r="BA1227" s="3">
        <v>18</v>
      </c>
      <c r="BB1227" t="str">
        <v>P/Final</v>
      </c>
      <c r="BC1227">
        <v>15</v>
      </c>
      <c r="BD1227" s="10">
        <v>15.2</v>
      </c>
      <c r="BE1227" s="10">
        <v>0</v>
      </c>
      <c r="BF1227" s="10">
        <v>0</v>
      </c>
      <c r="BG1227" s="13">
        <v>45562</v>
      </c>
    </row>
    <row r="1228" spans="49:59" x14ac:dyDescent="0.3">
      <c r="AW1228" s="1">
        <v>18.100000000000001</v>
      </c>
      <c r="AX1228" s="1">
        <v>18.100000000000001</v>
      </c>
      <c r="AY1228" t="str">
        <v>CP-R80_HI782-0_0.0_LOT0696_PWW39.1_QC.xlsx</v>
      </c>
      <c r="AZ1228" t="str">
        <v>LOT0696</v>
      </c>
      <c r="BA1228" s="3">
        <v>18</v>
      </c>
      <c r="BB1228" t="str">
        <v>P/Final</v>
      </c>
      <c r="BC1228">
        <v>15</v>
      </c>
      <c r="BD1228" s="10">
        <v>15.4</v>
      </c>
      <c r="BE1228" s="10">
        <v>0</v>
      </c>
      <c r="BF1228" s="10">
        <v>0</v>
      </c>
      <c r="BG1228" s="13">
        <v>45562</v>
      </c>
    </row>
    <row r="1229" spans="49:59" x14ac:dyDescent="0.3">
      <c r="AW1229" s="1">
        <v>18.100000000000001</v>
      </c>
      <c r="AX1229" s="1">
        <v>18.100000000000001</v>
      </c>
      <c r="AY1229" t="str">
        <v>CP-R80_HI782-0_0.0_LOT0696_PWW39.1_QC.xlsx</v>
      </c>
      <c r="AZ1229" t="str">
        <v>LOT0696</v>
      </c>
      <c r="BA1229" s="3">
        <v>18</v>
      </c>
      <c r="BB1229" t="str">
        <v>P/Final</v>
      </c>
      <c r="BC1229">
        <v>15</v>
      </c>
      <c r="BD1229" s="10">
        <v>14.6</v>
      </c>
      <c r="BE1229" s="10">
        <v>0</v>
      </c>
      <c r="BF1229" s="10">
        <v>0</v>
      </c>
      <c r="BG1229" s="13">
        <v>45562</v>
      </c>
    </row>
    <row r="1230" spans="49:59" x14ac:dyDescent="0.3">
      <c r="AW1230" s="1">
        <v>18.100000000000001</v>
      </c>
      <c r="AX1230" s="1">
        <v>18.100000000000001</v>
      </c>
      <c r="AY1230" t="str">
        <v>CP-R80_HI782-0_0.0_LOT0696_PWW39.1_QC.xlsx</v>
      </c>
      <c r="AZ1230" t="str">
        <v>LOT0696</v>
      </c>
      <c r="BA1230" s="3">
        <v>18</v>
      </c>
      <c r="BB1230" t="str">
        <v>P/Final</v>
      </c>
      <c r="BC1230">
        <v>15</v>
      </c>
      <c r="BD1230" s="10">
        <v>15.5</v>
      </c>
      <c r="BE1230" s="10">
        <v>0</v>
      </c>
      <c r="BF1230" s="10">
        <v>0</v>
      </c>
      <c r="BG1230" s="13">
        <v>45562</v>
      </c>
    </row>
    <row r="1231" spans="49:59" x14ac:dyDescent="0.3">
      <c r="AW1231" s="1">
        <v>18.100000000000001</v>
      </c>
      <c r="AX1231" s="1">
        <v>18.100000000000001</v>
      </c>
      <c r="AY1231" t="str">
        <v>CP-R80_HI782-0_0.0_LOT0696_PWW39.1_QC.xlsx</v>
      </c>
      <c r="AZ1231" t="str">
        <v>LOT0696</v>
      </c>
      <c r="BA1231" s="3">
        <v>18</v>
      </c>
      <c r="BB1231" t="str">
        <v>P/Final</v>
      </c>
      <c r="BC1231">
        <v>15</v>
      </c>
      <c r="BD1231" s="10">
        <v>14.5</v>
      </c>
      <c r="BE1231" s="10">
        <v>0</v>
      </c>
      <c r="BF1231" s="10">
        <v>0</v>
      </c>
      <c r="BG1231" s="13">
        <v>45562</v>
      </c>
    </row>
    <row r="1232" spans="49:59" x14ac:dyDescent="0.3">
      <c r="AW1232" s="1">
        <v>18.100000000000001</v>
      </c>
      <c r="AX1232" s="1">
        <v>18.100000000000001</v>
      </c>
      <c r="AY1232" t="str">
        <v>CP-R80_HI782-0_0.0_LOT0696_PWW39.1_QC.xlsx</v>
      </c>
      <c r="AZ1232" t="str">
        <v>LOT0696</v>
      </c>
      <c r="BA1232" s="3">
        <v>18</v>
      </c>
      <c r="BB1232" t="str">
        <v>P/Final</v>
      </c>
      <c r="BC1232">
        <v>15</v>
      </c>
      <c r="BD1232" s="10">
        <v>14.4</v>
      </c>
      <c r="BE1232" s="10">
        <v>0</v>
      </c>
      <c r="BF1232" s="10">
        <v>0</v>
      </c>
      <c r="BG1232" s="13">
        <v>45562</v>
      </c>
    </row>
    <row r="1233" spans="49:59" x14ac:dyDescent="0.3">
      <c r="AW1233" s="1">
        <v>18.100000000000001</v>
      </c>
      <c r="AX1233" s="1">
        <v>18.100000000000001</v>
      </c>
      <c r="AY1233" t="str">
        <v>CP-R80_HI782-0_0.0_LOT0696_PWW39.1_QC.xlsx</v>
      </c>
      <c r="AZ1233" t="str">
        <v>LOT0696</v>
      </c>
      <c r="BA1233" s="3">
        <v>18</v>
      </c>
      <c r="BB1233" t="str">
        <v>P/Final</v>
      </c>
      <c r="BC1233">
        <v>15</v>
      </c>
      <c r="BD1233" s="10">
        <v>14</v>
      </c>
      <c r="BE1233" s="10">
        <v>0</v>
      </c>
      <c r="BF1233" s="10">
        <v>0</v>
      </c>
      <c r="BG1233" s="13">
        <v>45562</v>
      </c>
    </row>
    <row r="1234" spans="49:59" x14ac:dyDescent="0.3">
      <c r="AW1234" s="1">
        <v>18.100000000000001</v>
      </c>
      <c r="AX1234" s="1">
        <v>18.100000000000001</v>
      </c>
      <c r="AY1234" t="str">
        <v>CP-R80_HI782-0_0.0_LOT0696_PWW39.1_QC.xlsx</v>
      </c>
      <c r="AZ1234" t="str">
        <v>LOT0696</v>
      </c>
      <c r="BA1234" s="3">
        <v>18</v>
      </c>
      <c r="BB1234" t="str">
        <v>P/Final</v>
      </c>
      <c r="BC1234">
        <v>15</v>
      </c>
      <c r="BD1234" s="10">
        <v>14.2</v>
      </c>
      <c r="BE1234" s="10">
        <v>0</v>
      </c>
      <c r="BF1234" s="10">
        <v>0</v>
      </c>
      <c r="BG1234" s="13">
        <v>45562</v>
      </c>
    </row>
    <row r="1235" spans="49:59" x14ac:dyDescent="0.3">
      <c r="AW1235" s="1">
        <v>18.100000000000001</v>
      </c>
      <c r="AX1235" s="1">
        <v>18.100000000000001</v>
      </c>
      <c r="AY1235" t="str">
        <v>CP-R80_HI782-0_0.0_LOT0696_PWW39.1_QC.xlsx</v>
      </c>
      <c r="AZ1235" t="str">
        <v>LOT0696</v>
      </c>
      <c r="BA1235" s="3">
        <v>18</v>
      </c>
      <c r="BB1235" t="str">
        <v>P/Final</v>
      </c>
      <c r="BC1235">
        <v>15</v>
      </c>
      <c r="BD1235" s="10">
        <v>14.5</v>
      </c>
      <c r="BE1235" s="10">
        <v>0</v>
      </c>
      <c r="BF1235" s="10">
        <v>0</v>
      </c>
      <c r="BG1235" s="13">
        <v>45562</v>
      </c>
    </row>
    <row r="1236" spans="49:59" x14ac:dyDescent="0.3">
      <c r="AW1236" s="1">
        <v>18.100000000000001</v>
      </c>
      <c r="AX1236" s="1">
        <v>18.100000000000001</v>
      </c>
      <c r="AY1236" t="str">
        <v>CP-R80_HI782-0_0.0_LOT0696_PWW39.1_QC.xlsx</v>
      </c>
      <c r="AZ1236" t="str">
        <v>LOT0696</v>
      </c>
      <c r="BA1236" s="3">
        <v>18</v>
      </c>
      <c r="BB1236" t="str">
        <v>P/Final</v>
      </c>
      <c r="BC1236">
        <v>35</v>
      </c>
      <c r="BD1236" s="10">
        <v>36.200000000000003</v>
      </c>
      <c r="BE1236" s="10">
        <v>0</v>
      </c>
      <c r="BF1236" s="10">
        <v>0</v>
      </c>
      <c r="BG1236" s="13">
        <v>45562</v>
      </c>
    </row>
    <row r="1237" spans="49:59" x14ac:dyDescent="0.3">
      <c r="AW1237" s="1">
        <v>18.100000000000001</v>
      </c>
      <c r="AX1237" s="1">
        <v>18.100000000000001</v>
      </c>
      <c r="AY1237" t="str">
        <v>CP-R80_HI782-0_0.0_LOT0696_PWW39.1_QC.xlsx</v>
      </c>
      <c r="AZ1237" t="str">
        <v>LOT0696</v>
      </c>
      <c r="BA1237" s="3">
        <v>18</v>
      </c>
      <c r="BB1237" t="str">
        <v>P/Final</v>
      </c>
      <c r="BC1237">
        <v>35</v>
      </c>
      <c r="BD1237" s="10">
        <v>32.799999999999997</v>
      </c>
      <c r="BE1237" s="10">
        <v>0</v>
      </c>
      <c r="BF1237" s="10">
        <v>0</v>
      </c>
      <c r="BG1237" s="13">
        <v>45562</v>
      </c>
    </row>
    <row r="1238" spans="49:59" x14ac:dyDescent="0.3">
      <c r="AW1238" s="1">
        <v>18.100000000000001</v>
      </c>
      <c r="AX1238" s="1">
        <v>18.100000000000001</v>
      </c>
      <c r="AY1238" t="str">
        <v>CP-R80_HI782-0_0.0_LOT0696_PWW39.1_QC.xlsx</v>
      </c>
      <c r="AZ1238" t="str">
        <v>LOT0696</v>
      </c>
      <c r="BA1238" s="3">
        <v>18</v>
      </c>
      <c r="BB1238" t="str">
        <v>P/Final</v>
      </c>
      <c r="BC1238">
        <v>35</v>
      </c>
      <c r="BD1238" s="10">
        <v>33.5</v>
      </c>
      <c r="BE1238" s="10">
        <v>0</v>
      </c>
      <c r="BF1238" s="10">
        <v>0</v>
      </c>
      <c r="BG1238" s="13">
        <v>45562</v>
      </c>
    </row>
    <row r="1239" spans="49:59" x14ac:dyDescent="0.3">
      <c r="AW1239" s="1">
        <v>18.100000000000001</v>
      </c>
      <c r="AX1239" s="1">
        <v>18.100000000000001</v>
      </c>
      <c r="AY1239" t="str">
        <v>CP-R80_HI782-0_0.0_LOT0696_PWW39.1_QC.xlsx</v>
      </c>
      <c r="AZ1239" t="str">
        <v>LOT0696</v>
      </c>
      <c r="BA1239" s="3">
        <v>18</v>
      </c>
      <c r="BB1239" t="str">
        <v>P/Final</v>
      </c>
      <c r="BC1239">
        <v>35</v>
      </c>
      <c r="BD1239" s="10">
        <v>33.4</v>
      </c>
      <c r="BE1239" s="10">
        <v>0</v>
      </c>
      <c r="BF1239" s="10">
        <v>0</v>
      </c>
      <c r="BG1239" s="13">
        <v>45562</v>
      </c>
    </row>
    <row r="1240" spans="49:59" x14ac:dyDescent="0.3">
      <c r="AW1240" s="1">
        <v>18.100000000000001</v>
      </c>
      <c r="AX1240" s="1">
        <v>18.100000000000001</v>
      </c>
      <c r="AY1240" t="str">
        <v>CP-R80_HI782-0_0.0_LOT0696_PWW39.1_QC.xlsx</v>
      </c>
      <c r="AZ1240" t="str">
        <v>LOT0696</v>
      </c>
      <c r="BA1240" s="3">
        <v>18</v>
      </c>
      <c r="BB1240" t="str">
        <v>P/Final</v>
      </c>
      <c r="BC1240">
        <v>35</v>
      </c>
      <c r="BD1240" s="10">
        <v>34.200000000000003</v>
      </c>
      <c r="BE1240" s="10">
        <v>0</v>
      </c>
      <c r="BF1240" s="10">
        <v>0</v>
      </c>
      <c r="BG1240" s="13">
        <v>45562</v>
      </c>
    </row>
    <row r="1241" spans="49:59" x14ac:dyDescent="0.3">
      <c r="AW1241" s="1">
        <v>18.100000000000001</v>
      </c>
      <c r="AX1241" s="1">
        <v>18.100000000000001</v>
      </c>
      <c r="AY1241" t="str">
        <v>CP-R80_HI782-0_0.0_LOT0696_PWW39.1_QC.xlsx</v>
      </c>
      <c r="AZ1241" t="str">
        <v>LOT0696</v>
      </c>
      <c r="BA1241" s="3">
        <v>18</v>
      </c>
      <c r="BB1241" t="str">
        <v>P/Final</v>
      </c>
      <c r="BC1241">
        <v>35</v>
      </c>
      <c r="BD1241" s="10">
        <v>35.700000000000003</v>
      </c>
      <c r="BE1241" s="10">
        <v>0</v>
      </c>
      <c r="BF1241" s="10">
        <v>0</v>
      </c>
      <c r="BG1241" s="13">
        <v>45562</v>
      </c>
    </row>
    <row r="1242" spans="49:59" x14ac:dyDescent="0.3">
      <c r="AW1242" s="1">
        <v>18.100000000000001</v>
      </c>
      <c r="AX1242" s="1">
        <v>18.100000000000001</v>
      </c>
      <c r="AY1242" t="str">
        <v>CP-R80_HI782-0_0.0_LOT0696_PWW39.1_QC.xlsx</v>
      </c>
      <c r="AZ1242" t="str">
        <v>LOT0696</v>
      </c>
      <c r="BA1242" s="3">
        <v>18</v>
      </c>
      <c r="BB1242" t="str">
        <v>P/Final</v>
      </c>
      <c r="BC1242">
        <v>35</v>
      </c>
      <c r="BD1242" s="10">
        <v>36.1</v>
      </c>
      <c r="BE1242" s="10">
        <v>0</v>
      </c>
      <c r="BF1242" s="10">
        <v>0</v>
      </c>
      <c r="BG1242" s="13">
        <v>45562</v>
      </c>
    </row>
    <row r="1243" spans="49:59" x14ac:dyDescent="0.3">
      <c r="AW1243" s="1">
        <v>18.100000000000001</v>
      </c>
      <c r="AX1243" s="1">
        <v>18.100000000000001</v>
      </c>
      <c r="AY1243" t="str">
        <v>CP-R80_HI782-0_0.0_LOT0696_PWW39.1_QC.xlsx</v>
      </c>
      <c r="AZ1243" t="str">
        <v>LOT0696</v>
      </c>
      <c r="BA1243" s="3">
        <v>18</v>
      </c>
      <c r="BB1243" t="str">
        <v>P/Final</v>
      </c>
      <c r="BC1243">
        <v>35</v>
      </c>
      <c r="BD1243" s="10">
        <v>36.1</v>
      </c>
      <c r="BE1243" s="10">
        <v>0</v>
      </c>
      <c r="BF1243" s="10">
        <v>0</v>
      </c>
      <c r="BG1243" s="13">
        <v>45562</v>
      </c>
    </row>
    <row r="1244" spans="49:59" x14ac:dyDescent="0.3">
      <c r="AW1244" s="1">
        <v>18.100000000000001</v>
      </c>
      <c r="AX1244" s="1">
        <v>18.100000000000001</v>
      </c>
      <c r="AY1244" t="str">
        <v>CP-R80_HI782-0_0.0_LOT0696_PWW39.1_QC.xlsx</v>
      </c>
      <c r="AZ1244" t="str">
        <v>LOT0696</v>
      </c>
      <c r="BA1244" s="3">
        <v>18</v>
      </c>
      <c r="BB1244" t="str">
        <v>P/Final</v>
      </c>
      <c r="BC1244">
        <v>35</v>
      </c>
      <c r="BD1244" s="10">
        <v>32.700000000000003</v>
      </c>
      <c r="BE1244" s="10">
        <v>0</v>
      </c>
      <c r="BF1244" s="10">
        <v>0</v>
      </c>
      <c r="BG1244" s="13">
        <v>45562</v>
      </c>
    </row>
    <row r="1245" spans="49:59" x14ac:dyDescent="0.3">
      <c r="AW1245" s="1">
        <v>18.100000000000001</v>
      </c>
      <c r="AX1245" s="1">
        <v>18.100000000000001</v>
      </c>
      <c r="AY1245" t="str">
        <v>CP-R80_HI782-0_0.0_LOT0696_PWW39.1_QC.xlsx</v>
      </c>
      <c r="AZ1245" t="str">
        <v>LOT0696</v>
      </c>
      <c r="BA1245" s="3">
        <v>18</v>
      </c>
      <c r="BB1245" t="str">
        <v>P/Final</v>
      </c>
      <c r="BC1245">
        <v>35</v>
      </c>
      <c r="BD1245" s="10">
        <v>37.5</v>
      </c>
      <c r="BE1245" s="10">
        <v>0</v>
      </c>
      <c r="BF1245" s="10">
        <v>0</v>
      </c>
      <c r="BG1245" s="13">
        <v>45562</v>
      </c>
    </row>
    <row r="1246" spans="49:59" x14ac:dyDescent="0.3">
      <c r="AW1246" s="1">
        <v>18.100000000000001</v>
      </c>
      <c r="AX1246" s="1">
        <v>18.100000000000001</v>
      </c>
      <c r="AY1246" t="str">
        <v>CP-R80_HI782-0_0.0_LOT0696_PWW39.1_QC.xlsx</v>
      </c>
      <c r="AZ1246" t="str">
        <v>LOT0696</v>
      </c>
      <c r="BA1246" s="3">
        <v>18</v>
      </c>
      <c r="BB1246" t="str">
        <v>P/Final</v>
      </c>
      <c r="BC1246">
        <v>60</v>
      </c>
      <c r="BD1246" s="10">
        <v>59.5</v>
      </c>
      <c r="BE1246" s="10">
        <v>0</v>
      </c>
      <c r="BF1246" s="10">
        <v>0</v>
      </c>
      <c r="BG1246" s="13">
        <v>45562</v>
      </c>
    </row>
    <row r="1247" spans="49:59" x14ac:dyDescent="0.3">
      <c r="AW1247" s="1">
        <v>18.100000000000001</v>
      </c>
      <c r="AX1247" s="1">
        <v>18.100000000000001</v>
      </c>
      <c r="AY1247" t="str">
        <v>CP-R80_HI782-0_0.0_LOT0696_PWW39.1_QC.xlsx</v>
      </c>
      <c r="AZ1247" t="str">
        <v>LOT0696</v>
      </c>
      <c r="BA1247" s="3">
        <v>18</v>
      </c>
      <c r="BB1247" t="str">
        <v>P/Final</v>
      </c>
      <c r="BC1247">
        <v>60</v>
      </c>
      <c r="BD1247" s="10">
        <v>53.1</v>
      </c>
      <c r="BE1247" s="10">
        <v>0</v>
      </c>
      <c r="BF1247" s="10">
        <v>0</v>
      </c>
      <c r="BG1247" s="13">
        <v>45562</v>
      </c>
    </row>
    <row r="1248" spans="49:59" x14ac:dyDescent="0.3">
      <c r="AW1248" s="1">
        <v>18.100000000000001</v>
      </c>
      <c r="AX1248" s="1">
        <v>18.100000000000001</v>
      </c>
      <c r="AY1248" t="str">
        <v>CP-R80_HI782-0_0.0_LOT0696_PWW39.1_QC.xlsx</v>
      </c>
      <c r="AZ1248" t="str">
        <v>LOT0696</v>
      </c>
      <c r="BA1248" s="3">
        <v>18</v>
      </c>
      <c r="BB1248" t="str">
        <v>P/Final</v>
      </c>
      <c r="BC1248">
        <v>60</v>
      </c>
      <c r="BD1248" s="10">
        <v>63.1</v>
      </c>
      <c r="BE1248" s="10">
        <v>0</v>
      </c>
      <c r="BF1248" s="10">
        <v>0</v>
      </c>
      <c r="BG1248" s="13">
        <v>45562</v>
      </c>
    </row>
    <row r="1249" spans="49:59" x14ac:dyDescent="0.3">
      <c r="AW1249" s="1">
        <v>18.100000000000001</v>
      </c>
      <c r="AX1249" s="1">
        <v>18.100000000000001</v>
      </c>
      <c r="AY1249" t="str">
        <v>CP-R80_HI782-0_0.0_LOT0696_PWW39.1_QC.xlsx</v>
      </c>
      <c r="AZ1249" t="str">
        <v>LOT0696</v>
      </c>
      <c r="BA1249" s="3">
        <v>18</v>
      </c>
      <c r="BB1249" t="str">
        <v>P/Final</v>
      </c>
      <c r="BC1249">
        <v>60</v>
      </c>
      <c r="BD1249" s="10">
        <v>63.2</v>
      </c>
      <c r="BE1249" s="10">
        <v>0</v>
      </c>
      <c r="BF1249" s="10">
        <v>0</v>
      </c>
      <c r="BG1249" s="13">
        <v>45562</v>
      </c>
    </row>
    <row r="1250" spans="49:59" x14ac:dyDescent="0.3">
      <c r="AW1250" s="1">
        <v>18.100000000000001</v>
      </c>
      <c r="AX1250" s="1">
        <v>18.100000000000001</v>
      </c>
      <c r="AY1250" t="str">
        <v>CP-R80_HI782-0_0.0_LOT0696_PWW39.1_QC.xlsx</v>
      </c>
      <c r="AZ1250" t="str">
        <v>LOT0696</v>
      </c>
      <c r="BA1250" s="3">
        <v>18</v>
      </c>
      <c r="BB1250" t="str">
        <v>P/Final</v>
      </c>
      <c r="BC1250">
        <v>60</v>
      </c>
      <c r="BD1250" s="10">
        <v>56.3</v>
      </c>
      <c r="BE1250" s="10">
        <v>0</v>
      </c>
      <c r="BF1250" s="10">
        <v>0</v>
      </c>
      <c r="BG1250" s="13">
        <v>45562</v>
      </c>
    </row>
    <row r="1251" spans="49:59" x14ac:dyDescent="0.3">
      <c r="AW1251" s="1">
        <v>18.100000000000001</v>
      </c>
      <c r="AX1251" s="1">
        <v>18.100000000000001</v>
      </c>
      <c r="AY1251" t="str">
        <v>CP-R80_HI782-0_0.0_LOT0696_PWW39.1_QC.xlsx</v>
      </c>
      <c r="AZ1251" t="str">
        <v>LOT0696</v>
      </c>
      <c r="BA1251" s="3">
        <v>18</v>
      </c>
      <c r="BB1251" t="str">
        <v>P/Final</v>
      </c>
      <c r="BC1251">
        <v>60</v>
      </c>
      <c r="BD1251" s="10">
        <v>61.7</v>
      </c>
      <c r="BE1251" s="10">
        <v>0</v>
      </c>
      <c r="BF1251" s="10">
        <v>0</v>
      </c>
      <c r="BG1251" s="13">
        <v>45562</v>
      </c>
    </row>
    <row r="1252" spans="49:59" x14ac:dyDescent="0.3">
      <c r="AW1252" s="1">
        <v>18.100000000000001</v>
      </c>
      <c r="AX1252" s="1">
        <v>18.100000000000001</v>
      </c>
      <c r="AY1252" t="str">
        <v>CP-R80_HI782-0_0.0_LOT0696_PWW39.1_QC.xlsx</v>
      </c>
      <c r="AZ1252" t="str">
        <v>LOT0696</v>
      </c>
      <c r="BA1252" s="3">
        <v>18</v>
      </c>
      <c r="BB1252" t="str">
        <v>P/Final</v>
      </c>
      <c r="BC1252">
        <v>60</v>
      </c>
      <c r="BD1252" s="10">
        <v>58.7</v>
      </c>
      <c r="BE1252" s="10">
        <v>0</v>
      </c>
      <c r="BF1252" s="10">
        <v>0</v>
      </c>
      <c r="BG1252" s="13">
        <v>45562</v>
      </c>
    </row>
    <row r="1253" spans="49:59" x14ac:dyDescent="0.3">
      <c r="AW1253" s="1">
        <v>18.100000000000001</v>
      </c>
      <c r="AX1253" s="1">
        <v>18.100000000000001</v>
      </c>
      <c r="AY1253" t="str">
        <v>CP-R80_HI782-0_0.0_LOT0696_PWW39.1_QC.xlsx</v>
      </c>
      <c r="AZ1253" t="str">
        <v>LOT0696</v>
      </c>
      <c r="BA1253" s="3">
        <v>18</v>
      </c>
      <c r="BB1253" t="str">
        <v>P/Final</v>
      </c>
      <c r="BC1253">
        <v>60</v>
      </c>
      <c r="BD1253" s="10">
        <v>60.5</v>
      </c>
      <c r="BE1253" s="10">
        <v>0</v>
      </c>
      <c r="BF1253" s="10">
        <v>0</v>
      </c>
      <c r="BG1253" s="13">
        <v>45562</v>
      </c>
    </row>
    <row r="1254" spans="49:59" x14ac:dyDescent="0.3">
      <c r="AW1254" s="1">
        <v>18.100000000000001</v>
      </c>
      <c r="AX1254" s="1">
        <v>18.100000000000001</v>
      </c>
      <c r="AY1254" t="str">
        <v>CP-R80_HI782-0_0.0_LOT0696_PWW39.1_QC.xlsx</v>
      </c>
      <c r="AZ1254" t="str">
        <v>LOT0696</v>
      </c>
      <c r="BA1254" s="3">
        <v>18</v>
      </c>
      <c r="BB1254" t="str">
        <v>P/Final</v>
      </c>
      <c r="BC1254">
        <v>60</v>
      </c>
      <c r="BD1254" s="10">
        <v>62.2</v>
      </c>
      <c r="BE1254" s="10">
        <v>0</v>
      </c>
      <c r="BF1254" s="10">
        <v>0</v>
      </c>
      <c r="BG1254" s="13">
        <v>45562</v>
      </c>
    </row>
    <row r="1255" spans="49:59" x14ac:dyDescent="0.3">
      <c r="AW1255" s="1">
        <v>18.100000000000001</v>
      </c>
      <c r="AX1255" s="1">
        <v>18.100000000000001</v>
      </c>
      <c r="AY1255" t="str">
        <v>CP-R80_HI782-0_0.0_LOT0696_PWW39.1_QC.xlsx</v>
      </c>
      <c r="AZ1255" t="str">
        <v>LOT0696</v>
      </c>
      <c r="BA1255" s="3">
        <v>18</v>
      </c>
      <c r="BB1255" t="str">
        <v>P/Final</v>
      </c>
      <c r="BC1255">
        <v>15</v>
      </c>
      <c r="BD1255" s="10">
        <v>16.399999999999999</v>
      </c>
      <c r="BE1255" s="10">
        <v>0</v>
      </c>
      <c r="BF1255" s="10">
        <v>0</v>
      </c>
      <c r="BG1255" s="13">
        <v>45565</v>
      </c>
    </row>
    <row r="1256" spans="49:59" x14ac:dyDescent="0.3">
      <c r="AW1256" s="1">
        <v>18.100000000000001</v>
      </c>
      <c r="AX1256" s="1">
        <v>18.100000000000001</v>
      </c>
      <c r="AY1256" t="str">
        <v>CP-R80_HI782-0_0.0_LOT0696_PWW39.1_QC.xlsx</v>
      </c>
      <c r="AZ1256" t="str">
        <v>LOT0696</v>
      </c>
      <c r="BA1256" s="3">
        <v>18</v>
      </c>
      <c r="BB1256" t="str">
        <v>P/Final</v>
      </c>
      <c r="BC1256">
        <v>15</v>
      </c>
      <c r="BD1256" s="10">
        <v>14.8</v>
      </c>
      <c r="BE1256" s="10">
        <v>0</v>
      </c>
      <c r="BF1256" s="10">
        <v>0</v>
      </c>
      <c r="BG1256" s="13">
        <v>45565</v>
      </c>
    </row>
    <row r="1257" spans="49:59" x14ac:dyDescent="0.3">
      <c r="AW1257" s="1">
        <v>18.100000000000001</v>
      </c>
      <c r="AX1257" s="1">
        <v>18.100000000000001</v>
      </c>
      <c r="AY1257" t="str">
        <v>CP-R80_HI782-0_0.0_LOT0696_PWW39.1_QC.xlsx</v>
      </c>
      <c r="AZ1257" t="str">
        <v>LOT0696</v>
      </c>
      <c r="BA1257" s="3">
        <v>18</v>
      </c>
      <c r="BB1257" t="str">
        <v>P/Final</v>
      </c>
      <c r="BC1257">
        <v>15</v>
      </c>
      <c r="BD1257" s="10">
        <v>16.399999999999999</v>
      </c>
      <c r="BE1257" s="10">
        <v>0</v>
      </c>
      <c r="BF1257" s="10">
        <v>0</v>
      </c>
      <c r="BG1257" s="13">
        <v>45565</v>
      </c>
    </row>
    <row r="1258" spans="49:59" x14ac:dyDescent="0.3">
      <c r="AW1258" s="1">
        <v>18.100000000000001</v>
      </c>
      <c r="AX1258" s="1">
        <v>18.100000000000001</v>
      </c>
      <c r="AY1258" t="str">
        <v>CP-R80_HI782-0_0.0_LOT0696_PWW39.1_QC.xlsx</v>
      </c>
      <c r="AZ1258" t="str">
        <v>LOT0696</v>
      </c>
      <c r="BA1258" s="3">
        <v>18</v>
      </c>
      <c r="BB1258" t="str">
        <v>P/Final</v>
      </c>
      <c r="BC1258">
        <v>15</v>
      </c>
      <c r="BD1258" s="10">
        <v>15.3</v>
      </c>
      <c r="BE1258" s="10">
        <v>0</v>
      </c>
      <c r="BF1258" s="10">
        <v>0</v>
      </c>
      <c r="BG1258" s="13">
        <v>45565</v>
      </c>
    </row>
    <row r="1259" spans="49:59" x14ac:dyDescent="0.3">
      <c r="AW1259" s="1">
        <v>18.100000000000001</v>
      </c>
      <c r="AX1259" s="1">
        <v>18.100000000000001</v>
      </c>
      <c r="AY1259" t="str">
        <v>CP-R80_HI782-0_0.0_LOT0696_PWW39.1_QC.xlsx</v>
      </c>
      <c r="AZ1259" t="str">
        <v>LOT0696</v>
      </c>
      <c r="BA1259" s="3">
        <v>18</v>
      </c>
      <c r="BB1259" t="str">
        <v>P/Final</v>
      </c>
      <c r="BC1259">
        <v>35</v>
      </c>
      <c r="BD1259" s="10">
        <v>39.299999999999997</v>
      </c>
      <c r="BE1259" s="10">
        <v>0</v>
      </c>
      <c r="BF1259" s="10">
        <v>0</v>
      </c>
      <c r="BG1259" s="13">
        <v>45565</v>
      </c>
    </row>
    <row r="1260" spans="49:59" x14ac:dyDescent="0.3">
      <c r="AW1260" s="1">
        <v>18.100000000000001</v>
      </c>
      <c r="AX1260" s="1">
        <v>18.100000000000001</v>
      </c>
      <c r="AY1260" t="str">
        <v>CP-R80_HI782-0_0.0_LOT0696_PWW39.1_QC.xlsx</v>
      </c>
      <c r="AZ1260" t="str">
        <v>LOT0696</v>
      </c>
      <c r="BA1260" s="3">
        <v>18</v>
      </c>
      <c r="BB1260" t="str">
        <v>P/Final</v>
      </c>
      <c r="BC1260">
        <v>35</v>
      </c>
      <c r="BD1260" s="10">
        <v>38.799999999999997</v>
      </c>
      <c r="BE1260" s="10">
        <v>0</v>
      </c>
      <c r="BF1260" s="10">
        <v>0</v>
      </c>
      <c r="BG1260" s="13">
        <v>45565</v>
      </c>
    </row>
    <row r="1261" spans="49:59" x14ac:dyDescent="0.3">
      <c r="AW1261" s="1">
        <v>18.100000000000001</v>
      </c>
      <c r="AX1261" s="1">
        <v>18.100000000000001</v>
      </c>
      <c r="AY1261" t="str">
        <v>CP-R80_HI782-0_0.0_LOT0696_PWW39.1_QC.xlsx</v>
      </c>
      <c r="AZ1261" t="str">
        <v>LOT0696</v>
      </c>
      <c r="BA1261" s="3">
        <v>18</v>
      </c>
      <c r="BB1261" t="str">
        <v>P/Final</v>
      </c>
      <c r="BC1261">
        <v>35</v>
      </c>
      <c r="BD1261" s="10">
        <v>37.700000000000003</v>
      </c>
      <c r="BE1261" s="10">
        <v>0</v>
      </c>
      <c r="BF1261" s="10">
        <v>0</v>
      </c>
      <c r="BG1261" s="13">
        <v>45565</v>
      </c>
    </row>
    <row r="1262" spans="49:59" x14ac:dyDescent="0.3">
      <c r="AW1262" s="1">
        <v>18.100000000000001</v>
      </c>
      <c r="AX1262" s="1">
        <v>18.100000000000001</v>
      </c>
      <c r="AY1262" t="str">
        <v>CP-R80_HI782-0_0.0_LOT0696_PWW39.1_QC.xlsx</v>
      </c>
      <c r="AZ1262" t="str">
        <v>LOT0696</v>
      </c>
      <c r="BA1262" s="3">
        <v>18</v>
      </c>
      <c r="BB1262" t="str">
        <v>P/Final</v>
      </c>
      <c r="BC1262">
        <v>35</v>
      </c>
      <c r="BD1262" s="10">
        <v>35.4</v>
      </c>
      <c r="BE1262" s="10">
        <v>0</v>
      </c>
      <c r="BF1262" s="10">
        <v>0</v>
      </c>
      <c r="BG1262" s="13">
        <v>45565</v>
      </c>
    </row>
    <row r="1263" spans="49:59" x14ac:dyDescent="0.3">
      <c r="AW1263" s="1">
        <v>18.100000000000001</v>
      </c>
      <c r="AX1263" s="1">
        <v>18.100000000000001</v>
      </c>
      <c r="AY1263" t="str">
        <v>CP-R80_HI782-0_0.0_LOT0696_PWW39.1_QC.xlsx</v>
      </c>
      <c r="AZ1263" t="str">
        <v>LOT0696</v>
      </c>
      <c r="BA1263" s="3">
        <v>18</v>
      </c>
      <c r="BB1263" t="str">
        <v>P/Final</v>
      </c>
      <c r="BC1263">
        <v>35</v>
      </c>
      <c r="BD1263" s="10">
        <v>33.299999999999997</v>
      </c>
      <c r="BE1263" s="10">
        <v>0</v>
      </c>
      <c r="BF1263" s="10">
        <v>0</v>
      </c>
      <c r="BG1263" s="13">
        <v>45565</v>
      </c>
    </row>
    <row r="1264" spans="49:59" x14ac:dyDescent="0.3">
      <c r="AW1264" s="1">
        <v>18.100000000000001</v>
      </c>
      <c r="AX1264" s="1">
        <v>18.100000000000001</v>
      </c>
      <c r="AY1264" t="str">
        <v>CP-R80_HI782-0_0.0_LOT0696_PWW39.1_QC.xlsx</v>
      </c>
      <c r="AZ1264" t="str">
        <v>LOT0696</v>
      </c>
      <c r="BA1264" s="3">
        <v>18</v>
      </c>
      <c r="BB1264" t="str">
        <v>P/Final</v>
      </c>
      <c r="BC1264">
        <v>35</v>
      </c>
      <c r="BD1264" s="10">
        <v>37.799999999999997</v>
      </c>
      <c r="BE1264" s="10">
        <v>0</v>
      </c>
      <c r="BF1264" s="10">
        <v>0</v>
      </c>
      <c r="BG1264" s="13">
        <v>45565</v>
      </c>
    </row>
    <row r="1265" spans="49:59" x14ac:dyDescent="0.3">
      <c r="AW1265" s="1">
        <v>18.100000000000001</v>
      </c>
      <c r="AX1265" s="1">
        <v>18.100000000000001</v>
      </c>
      <c r="AY1265" t="str">
        <v>CP-R80_HI782-0_0.0_LOT0696_PWW39.1_QC.xlsx</v>
      </c>
      <c r="AZ1265" t="str">
        <v>LOT0696</v>
      </c>
      <c r="BA1265" s="3">
        <v>18</v>
      </c>
      <c r="BB1265" t="str">
        <v>P/Final</v>
      </c>
      <c r="BC1265">
        <v>35</v>
      </c>
      <c r="BD1265" s="10">
        <v>33.5</v>
      </c>
      <c r="BE1265" s="10">
        <v>0</v>
      </c>
      <c r="BF1265" s="10">
        <v>0</v>
      </c>
      <c r="BG1265" s="13">
        <v>45565</v>
      </c>
    </row>
    <row r="1266" spans="49:59" x14ac:dyDescent="0.3">
      <c r="AW1266" s="1">
        <v>18.100000000000001</v>
      </c>
      <c r="AX1266" s="1">
        <v>18.100000000000001</v>
      </c>
      <c r="AY1266" t="str">
        <v>CP-R80_HI782-0_0.0_LOT0696_PWW39.1_QC.xlsx</v>
      </c>
      <c r="AZ1266" t="str">
        <v>LOT0696</v>
      </c>
      <c r="BA1266" s="3">
        <v>18</v>
      </c>
      <c r="BB1266" t="str">
        <v>P/Final</v>
      </c>
      <c r="BC1266">
        <v>35</v>
      </c>
      <c r="BD1266" s="10">
        <v>40.200000000000003</v>
      </c>
      <c r="BE1266" s="10">
        <v>0</v>
      </c>
      <c r="BF1266" s="10">
        <v>0</v>
      </c>
      <c r="BG1266" s="13">
        <v>45565</v>
      </c>
    </row>
    <row r="1267" spans="49:59" x14ac:dyDescent="0.3">
      <c r="AW1267" s="1">
        <v>18.100000000000001</v>
      </c>
      <c r="AX1267" s="1">
        <v>18.100000000000001</v>
      </c>
      <c r="AY1267" t="str">
        <v>CP-R80_HI782-0_0.0_LOT0696_PWW39.1_QC.xlsx</v>
      </c>
      <c r="AZ1267" t="str">
        <v>LOT0696</v>
      </c>
      <c r="BA1267" s="3">
        <v>18</v>
      </c>
      <c r="BB1267" t="str">
        <v>P/Final</v>
      </c>
      <c r="BC1267">
        <v>35</v>
      </c>
      <c r="BD1267" s="10">
        <v>39.799999999999997</v>
      </c>
      <c r="BE1267" s="10">
        <v>0</v>
      </c>
      <c r="BF1267" s="10">
        <v>0</v>
      </c>
      <c r="BG1267" s="13">
        <v>45565</v>
      </c>
    </row>
    <row r="1268" spans="49:59" x14ac:dyDescent="0.3">
      <c r="AW1268" s="1">
        <v>18.100000000000001</v>
      </c>
      <c r="AX1268" s="1">
        <v>18.100000000000001</v>
      </c>
      <c r="AY1268" t="str">
        <v>CP-R80_HI782-0_0.0_LOT0696_PWW39.1_QC.xlsx</v>
      </c>
      <c r="AZ1268" t="str">
        <v>LOT0696</v>
      </c>
      <c r="BA1268" s="3">
        <v>18</v>
      </c>
      <c r="BB1268" t="str">
        <v>P/Final</v>
      </c>
      <c r="BC1268">
        <v>60</v>
      </c>
      <c r="BD1268" s="10">
        <v>59.9</v>
      </c>
      <c r="BE1268" s="10">
        <v>0</v>
      </c>
      <c r="BF1268" s="10">
        <v>0</v>
      </c>
      <c r="BG1268" s="13">
        <v>45565</v>
      </c>
    </row>
    <row r="1269" spans="49:59" x14ac:dyDescent="0.3">
      <c r="AW1269" s="1">
        <v>18.100000000000001</v>
      </c>
      <c r="AX1269" s="1">
        <v>18.100000000000001</v>
      </c>
      <c r="AY1269" t="str">
        <v>CP-R80_HI782-0_0.0_LOT0696_PWW39.1_QC.xlsx</v>
      </c>
      <c r="AZ1269" t="str">
        <v>LOT0696</v>
      </c>
      <c r="BA1269" s="3">
        <v>18</v>
      </c>
      <c r="BB1269" t="str">
        <v>P/Final</v>
      </c>
      <c r="BC1269">
        <v>60</v>
      </c>
      <c r="BD1269" s="10">
        <v>63.7</v>
      </c>
      <c r="BE1269" s="10">
        <v>0</v>
      </c>
      <c r="BF1269" s="10">
        <v>0</v>
      </c>
      <c r="BG1269" s="13">
        <v>45565</v>
      </c>
    </row>
    <row r="1270" spans="49:59" x14ac:dyDescent="0.3">
      <c r="AW1270" s="1">
        <v>18.100000000000001</v>
      </c>
      <c r="AX1270" s="1">
        <v>18.100000000000001</v>
      </c>
      <c r="AY1270" t="str">
        <v>CP-R80_HI782-0_0.0_LOT0696_PWW39.1_QC.xlsx</v>
      </c>
      <c r="AZ1270" t="str">
        <v>LOT0696</v>
      </c>
      <c r="BA1270" s="3">
        <v>18</v>
      </c>
      <c r="BB1270" t="str">
        <v>P/Final</v>
      </c>
      <c r="BC1270">
        <v>60</v>
      </c>
      <c r="BD1270" s="10">
        <v>56.1</v>
      </c>
      <c r="BE1270" s="10">
        <v>0</v>
      </c>
      <c r="BF1270" s="10">
        <v>0</v>
      </c>
      <c r="BG1270" s="13">
        <v>45565</v>
      </c>
    </row>
    <row r="1271" spans="49:59" x14ac:dyDescent="0.3">
      <c r="AW1271" s="1">
        <v>18.100000000000001</v>
      </c>
      <c r="AX1271" s="1">
        <v>18.100000000000001</v>
      </c>
      <c r="AY1271" t="str">
        <v>CP-R80_HI782-0_0.0_LOT0696_PWW39.1_QC.xlsx</v>
      </c>
      <c r="AZ1271" t="str">
        <v>LOT0696</v>
      </c>
      <c r="BA1271" s="3">
        <v>18</v>
      </c>
      <c r="BB1271" t="str">
        <v>P/Final</v>
      </c>
      <c r="BC1271">
        <v>60</v>
      </c>
      <c r="BD1271" s="10">
        <v>63.5</v>
      </c>
      <c r="BE1271" s="10">
        <v>0</v>
      </c>
      <c r="BF1271" s="10">
        <v>0</v>
      </c>
      <c r="BG1271" s="13">
        <v>45565</v>
      </c>
    </row>
    <row r="1272" spans="49:59" x14ac:dyDescent="0.3">
      <c r="AW1272" s="1">
        <v>19.100000000000001</v>
      </c>
      <c r="AX1272" s="1">
        <v>19.100000000000001</v>
      </c>
      <c r="AY1272" t="str">
        <v>CP-R80_HI782-0_0.0_LOT0800_PW45.1_QC.xlsx</v>
      </c>
      <c r="AZ1272" t="str">
        <v>LOT0800</v>
      </c>
      <c r="BA1272" s="3">
        <v>19</v>
      </c>
      <c r="BB1272" t="str">
        <v>P/Final</v>
      </c>
      <c r="BC1272">
        <v>0</v>
      </c>
      <c r="BD1272" s="10">
        <v>0</v>
      </c>
      <c r="BE1272" s="10">
        <v>0</v>
      </c>
      <c r="BF1272" s="10">
        <v>0</v>
      </c>
      <c r="BG1272" s="13">
        <v>45607</v>
      </c>
    </row>
    <row r="1273" spans="49:59" x14ac:dyDescent="0.3">
      <c r="AW1273" s="1">
        <v>19.100000000000001</v>
      </c>
      <c r="AX1273" s="1">
        <v>19.100000000000001</v>
      </c>
      <c r="AY1273" t="str">
        <v>CP-R80_HI782-0_0.0_LOT0800_PW45.1_QC.xlsx</v>
      </c>
      <c r="AZ1273" t="str">
        <v>LOT0800</v>
      </c>
      <c r="BA1273" s="3">
        <v>19</v>
      </c>
      <c r="BB1273" t="str">
        <v>P/Final</v>
      </c>
      <c r="BC1273">
        <v>0</v>
      </c>
      <c r="BD1273" s="10">
        <v>0</v>
      </c>
      <c r="BE1273" s="10">
        <v>0</v>
      </c>
      <c r="BF1273" s="10">
        <v>0</v>
      </c>
      <c r="BG1273" s="13">
        <v>45607</v>
      </c>
    </row>
    <row r="1274" spans="49:59" x14ac:dyDescent="0.3">
      <c r="AW1274" s="1">
        <v>19.100000000000001</v>
      </c>
      <c r="AX1274" s="1">
        <v>19.100000000000001</v>
      </c>
      <c r="AY1274" t="str">
        <v>CP-R80_HI782-0_0.0_LOT0800_PW45.1_QC.xlsx</v>
      </c>
      <c r="AZ1274" t="str">
        <v>LOT0800</v>
      </c>
      <c r="BA1274" s="3">
        <v>19</v>
      </c>
      <c r="BB1274" t="str">
        <v>P/Final</v>
      </c>
      <c r="BC1274">
        <v>0</v>
      </c>
      <c r="BD1274" s="10">
        <v>0</v>
      </c>
      <c r="BE1274" s="10">
        <v>0</v>
      </c>
      <c r="BF1274" s="10">
        <v>0</v>
      </c>
      <c r="BG1274" s="13">
        <v>45607</v>
      </c>
    </row>
    <row r="1275" spans="49:59" x14ac:dyDescent="0.3">
      <c r="AW1275" s="1">
        <v>19.100000000000001</v>
      </c>
      <c r="AX1275" s="1">
        <v>19.100000000000001</v>
      </c>
      <c r="AY1275" t="str">
        <v>CP-R80_HI782-0_0.0_LOT0800_PW45.1_QC.xlsx</v>
      </c>
      <c r="AZ1275" t="str">
        <v>LOT0800</v>
      </c>
      <c r="BA1275" s="3">
        <v>19</v>
      </c>
      <c r="BB1275" t="str">
        <v>P/Final</v>
      </c>
      <c r="BC1275">
        <v>0</v>
      </c>
      <c r="BD1275" s="10">
        <v>0</v>
      </c>
      <c r="BE1275" s="10">
        <v>0</v>
      </c>
      <c r="BF1275" s="10">
        <v>0</v>
      </c>
      <c r="BG1275" s="13">
        <v>45607</v>
      </c>
    </row>
    <row r="1276" spans="49:59" x14ac:dyDescent="0.3">
      <c r="AW1276" s="1">
        <v>19.100000000000001</v>
      </c>
      <c r="AX1276" s="1">
        <v>19.100000000000001</v>
      </c>
      <c r="AY1276" t="str">
        <v>CP-R80_HI782-0_0.0_LOT0800_PW45.1_QC.xlsx</v>
      </c>
      <c r="AZ1276" t="str">
        <v>LOT0800</v>
      </c>
      <c r="BA1276" s="3">
        <v>19</v>
      </c>
      <c r="BB1276" t="str">
        <v>P/Final</v>
      </c>
      <c r="BC1276">
        <v>0</v>
      </c>
      <c r="BD1276" s="10">
        <v>0</v>
      </c>
      <c r="BE1276" s="10">
        <v>0</v>
      </c>
      <c r="BF1276" s="10">
        <v>0</v>
      </c>
      <c r="BG1276" s="13">
        <v>45607</v>
      </c>
    </row>
    <row r="1277" spans="49:59" x14ac:dyDescent="0.3">
      <c r="AW1277" s="1">
        <v>19.100000000000001</v>
      </c>
      <c r="AX1277" s="1">
        <v>19.100000000000001</v>
      </c>
      <c r="AY1277" t="str">
        <v>CP-R80_HI782-0_0.0_LOT0800_PW45.1_QC.xlsx</v>
      </c>
      <c r="AZ1277" t="str">
        <v>LOT0800</v>
      </c>
      <c r="BA1277" s="3">
        <v>19</v>
      </c>
      <c r="BB1277" t="str">
        <v>P/Final</v>
      </c>
      <c r="BC1277">
        <v>0</v>
      </c>
      <c r="BD1277" s="10">
        <v>0</v>
      </c>
      <c r="BE1277" s="10">
        <v>0</v>
      </c>
      <c r="BF1277" s="10">
        <v>0</v>
      </c>
      <c r="BG1277" s="13">
        <v>45607</v>
      </c>
    </row>
    <row r="1278" spans="49:59" x14ac:dyDescent="0.3">
      <c r="AW1278" s="1">
        <v>19.100000000000001</v>
      </c>
      <c r="AX1278" s="1">
        <v>19.100000000000001</v>
      </c>
      <c r="AY1278" t="str">
        <v>CP-R80_HI782-0_0.0_LOT0800_PW45.1_QC.xlsx</v>
      </c>
      <c r="AZ1278" t="str">
        <v>LOT0800</v>
      </c>
      <c r="BA1278" s="3">
        <v>19</v>
      </c>
      <c r="BB1278" t="str">
        <v>P/Final</v>
      </c>
      <c r="BC1278">
        <v>15</v>
      </c>
      <c r="BD1278" s="10">
        <v>12.7</v>
      </c>
      <c r="BE1278" s="10">
        <v>0</v>
      </c>
      <c r="BF1278" s="10">
        <v>0</v>
      </c>
      <c r="BG1278" s="13">
        <v>45607</v>
      </c>
    </row>
    <row r="1279" spans="49:59" x14ac:dyDescent="0.3">
      <c r="AW1279" s="1">
        <v>19.100000000000001</v>
      </c>
      <c r="AX1279" s="1">
        <v>19.100000000000001</v>
      </c>
      <c r="AY1279" t="str">
        <v>CP-R80_HI782-0_0.0_LOT0800_PW45.1_QC.xlsx</v>
      </c>
      <c r="AZ1279" t="str">
        <v>LOT0800</v>
      </c>
      <c r="BA1279" s="3">
        <v>19</v>
      </c>
      <c r="BB1279" t="str">
        <v>P/Final</v>
      </c>
      <c r="BC1279">
        <v>15</v>
      </c>
      <c r="BD1279" s="10">
        <v>14.1</v>
      </c>
      <c r="BE1279" s="10">
        <v>0</v>
      </c>
      <c r="BF1279" s="10">
        <v>0</v>
      </c>
      <c r="BG1279" s="13">
        <v>45607</v>
      </c>
    </row>
    <row r="1280" spans="49:59" x14ac:dyDescent="0.3">
      <c r="AW1280" s="1">
        <v>19.100000000000001</v>
      </c>
      <c r="AX1280" s="1">
        <v>19.100000000000001</v>
      </c>
      <c r="AY1280" t="str">
        <v>CP-R80_HI782-0_0.0_LOT0800_PW45.1_QC.xlsx</v>
      </c>
      <c r="AZ1280" t="str">
        <v>LOT0800</v>
      </c>
      <c r="BA1280" s="3">
        <v>19</v>
      </c>
      <c r="BB1280" t="str">
        <v>P/Final</v>
      </c>
      <c r="BC1280">
        <v>15</v>
      </c>
      <c r="BD1280" s="10">
        <v>13.9</v>
      </c>
      <c r="BE1280" s="10">
        <v>0</v>
      </c>
      <c r="BF1280" s="10">
        <v>0</v>
      </c>
      <c r="BG1280" s="13">
        <v>45607</v>
      </c>
    </row>
    <row r="1281" spans="49:59" x14ac:dyDescent="0.3">
      <c r="AW1281" s="1">
        <v>19.100000000000001</v>
      </c>
      <c r="AX1281" s="1">
        <v>19.100000000000001</v>
      </c>
      <c r="AY1281" t="str">
        <v>CP-R80_HI782-0_0.0_LOT0800_PW45.1_QC.xlsx</v>
      </c>
      <c r="AZ1281" t="str">
        <v>LOT0800</v>
      </c>
      <c r="BA1281" s="3">
        <v>19</v>
      </c>
      <c r="BB1281" t="str">
        <v>P/Final</v>
      </c>
      <c r="BC1281">
        <v>15</v>
      </c>
      <c r="BD1281" s="10">
        <v>15</v>
      </c>
      <c r="BE1281" s="10">
        <v>0</v>
      </c>
      <c r="BF1281" s="10">
        <v>0</v>
      </c>
      <c r="BG1281" s="13">
        <v>45607</v>
      </c>
    </row>
    <row r="1282" spans="49:59" x14ac:dyDescent="0.3">
      <c r="AW1282" s="1">
        <v>19.100000000000001</v>
      </c>
      <c r="AX1282" s="1">
        <v>19.100000000000001</v>
      </c>
      <c r="AY1282" t="str">
        <v>CP-R80_HI782-0_0.0_LOT0800_PW45.1_QC.xlsx</v>
      </c>
      <c r="AZ1282" t="str">
        <v>LOT0800</v>
      </c>
      <c r="BA1282" s="3">
        <v>19</v>
      </c>
      <c r="BB1282" t="str">
        <v>P/Final</v>
      </c>
      <c r="BC1282">
        <v>15</v>
      </c>
      <c r="BD1282" s="10">
        <v>15.1</v>
      </c>
      <c r="BE1282" s="10">
        <v>0</v>
      </c>
      <c r="BF1282" s="10">
        <v>0</v>
      </c>
      <c r="BG1282" s="13">
        <v>45607</v>
      </c>
    </row>
    <row r="1283" spans="49:59" x14ac:dyDescent="0.3">
      <c r="AW1283" s="1">
        <v>19.100000000000001</v>
      </c>
      <c r="AX1283" s="1">
        <v>19.100000000000001</v>
      </c>
      <c r="AY1283" t="str">
        <v>CP-R80_HI782-0_0.0_LOT0800_PW45.1_QC.xlsx</v>
      </c>
      <c r="AZ1283" t="str">
        <v>LOT0800</v>
      </c>
      <c r="BA1283" s="3">
        <v>19</v>
      </c>
      <c r="BB1283" t="str">
        <v>P/Final</v>
      </c>
      <c r="BC1283">
        <v>15</v>
      </c>
      <c r="BD1283" s="10">
        <v>15.6</v>
      </c>
      <c r="BE1283" s="10">
        <v>0</v>
      </c>
      <c r="BF1283" s="10">
        <v>0</v>
      </c>
      <c r="BG1283" s="13">
        <v>45607</v>
      </c>
    </row>
    <row r="1284" spans="49:59" x14ac:dyDescent="0.3">
      <c r="AW1284" s="1">
        <v>19.100000000000001</v>
      </c>
      <c r="AX1284" s="1">
        <v>19.100000000000001</v>
      </c>
      <c r="AY1284" t="str">
        <v>CP-R80_HI782-0_0.0_LOT0800_PW45.1_QC.xlsx</v>
      </c>
      <c r="AZ1284" t="str">
        <v>LOT0800</v>
      </c>
      <c r="BA1284" s="3">
        <v>19</v>
      </c>
      <c r="BB1284" t="str">
        <v>P/Final</v>
      </c>
      <c r="BC1284">
        <v>35</v>
      </c>
      <c r="BD1284" s="10">
        <v>35</v>
      </c>
      <c r="BE1284" s="10">
        <v>0</v>
      </c>
      <c r="BF1284" s="10">
        <v>0</v>
      </c>
      <c r="BG1284" s="13">
        <v>45607</v>
      </c>
    </row>
    <row r="1285" spans="49:59" x14ac:dyDescent="0.3">
      <c r="AW1285" s="1">
        <v>19.100000000000001</v>
      </c>
      <c r="AX1285" s="1">
        <v>19.100000000000001</v>
      </c>
      <c r="AY1285" t="str">
        <v>CP-R80_HI782-0_0.0_LOT0800_PW45.1_QC.xlsx</v>
      </c>
      <c r="AZ1285" t="str">
        <v>LOT0800</v>
      </c>
      <c r="BA1285" s="3">
        <v>19</v>
      </c>
      <c r="BB1285" t="str">
        <v>P/Final</v>
      </c>
      <c r="BC1285">
        <v>35</v>
      </c>
      <c r="BD1285" s="10">
        <v>34.9</v>
      </c>
      <c r="BE1285" s="10">
        <v>0</v>
      </c>
      <c r="BF1285" s="10">
        <v>0</v>
      </c>
      <c r="BG1285" s="13">
        <v>45607</v>
      </c>
    </row>
    <row r="1286" spans="49:59" x14ac:dyDescent="0.3">
      <c r="AW1286" s="1">
        <v>19.100000000000001</v>
      </c>
      <c r="AX1286" s="1">
        <v>19.100000000000001</v>
      </c>
      <c r="AY1286" t="str">
        <v>CP-R80_HI782-0_0.0_LOT0800_PW45.1_QC.xlsx</v>
      </c>
      <c r="AZ1286" t="str">
        <v>LOT0800</v>
      </c>
      <c r="BA1286" s="3">
        <v>19</v>
      </c>
      <c r="BB1286" t="str">
        <v>P/Final</v>
      </c>
      <c r="BC1286">
        <v>35</v>
      </c>
      <c r="BD1286" s="10">
        <v>32.299999999999997</v>
      </c>
      <c r="BE1286" s="10">
        <v>0</v>
      </c>
      <c r="BF1286" s="10">
        <v>0</v>
      </c>
      <c r="BG1286" s="13">
        <v>45607</v>
      </c>
    </row>
    <row r="1287" spans="49:59" x14ac:dyDescent="0.3">
      <c r="AW1287" s="1">
        <v>19.100000000000001</v>
      </c>
      <c r="AX1287" s="1">
        <v>19.100000000000001</v>
      </c>
      <c r="AY1287" t="str">
        <v>CP-R80_HI782-0_0.0_LOT0800_PW45.1_QC.xlsx</v>
      </c>
      <c r="AZ1287" t="str">
        <v>LOT0800</v>
      </c>
      <c r="BA1287" s="3">
        <v>19</v>
      </c>
      <c r="BB1287" t="str">
        <v>P/Final</v>
      </c>
      <c r="BC1287">
        <v>35</v>
      </c>
      <c r="BD1287" s="10">
        <v>32.799999999999997</v>
      </c>
      <c r="BE1287" s="10">
        <v>0</v>
      </c>
      <c r="BF1287" s="10">
        <v>0</v>
      </c>
      <c r="BG1287" s="13">
        <v>45607</v>
      </c>
    </row>
    <row r="1288" spans="49:59" x14ac:dyDescent="0.3">
      <c r="AW1288" s="1">
        <v>19.100000000000001</v>
      </c>
      <c r="AX1288" s="1">
        <v>19.100000000000001</v>
      </c>
      <c r="AY1288" t="str">
        <v>CP-R80_HI782-0_0.0_LOT0800_PW45.1_QC.xlsx</v>
      </c>
      <c r="AZ1288" t="str">
        <v>LOT0800</v>
      </c>
      <c r="BA1288" s="3">
        <v>19</v>
      </c>
      <c r="BB1288" t="str">
        <v>P/Final</v>
      </c>
      <c r="BC1288">
        <v>35</v>
      </c>
      <c r="BD1288" s="10">
        <v>33</v>
      </c>
      <c r="BE1288" s="10">
        <v>0</v>
      </c>
      <c r="BF1288" s="10">
        <v>0</v>
      </c>
      <c r="BG1288" s="13">
        <v>45607</v>
      </c>
    </row>
    <row r="1289" spans="49:59" x14ac:dyDescent="0.3">
      <c r="AW1289" s="1">
        <v>19.100000000000001</v>
      </c>
      <c r="AX1289" s="1">
        <v>19.100000000000001</v>
      </c>
      <c r="AY1289" t="str">
        <v>CP-R80_HI782-0_0.0_LOT0800_PW45.1_QC.xlsx</v>
      </c>
      <c r="AZ1289" t="str">
        <v>LOT0800</v>
      </c>
      <c r="BA1289" s="3">
        <v>19</v>
      </c>
      <c r="BB1289" t="str">
        <v>P/Final</v>
      </c>
      <c r="BC1289">
        <v>35</v>
      </c>
      <c r="BD1289" s="10">
        <v>32.5</v>
      </c>
      <c r="BE1289" s="10">
        <v>0</v>
      </c>
      <c r="BF1289" s="10">
        <v>0</v>
      </c>
      <c r="BG1289" s="13">
        <v>45607</v>
      </c>
    </row>
    <row r="1290" spans="49:59" x14ac:dyDescent="0.3">
      <c r="AW1290" s="1">
        <v>19.100000000000001</v>
      </c>
      <c r="AX1290" s="1">
        <v>19.100000000000001</v>
      </c>
      <c r="AY1290" t="str">
        <v>CP-R80_HI782-0_0.0_LOT0800_PW45.1_QC.xlsx</v>
      </c>
      <c r="AZ1290" t="str">
        <v>LOT0800</v>
      </c>
      <c r="BA1290" s="3">
        <v>19</v>
      </c>
      <c r="BB1290" t="str">
        <v>P/Final</v>
      </c>
      <c r="BC1290">
        <v>60</v>
      </c>
      <c r="BD1290" s="10">
        <v>56.4</v>
      </c>
      <c r="BE1290" s="10">
        <v>0</v>
      </c>
      <c r="BF1290" s="10">
        <v>0</v>
      </c>
      <c r="BG1290" s="13">
        <v>45607</v>
      </c>
    </row>
    <row r="1291" spans="49:59" x14ac:dyDescent="0.3">
      <c r="AW1291" s="1">
        <v>19.100000000000001</v>
      </c>
      <c r="AX1291" s="1">
        <v>19.100000000000001</v>
      </c>
      <c r="AY1291" t="str">
        <v>CP-R80_HI782-0_0.0_LOT0800_PW45.1_QC.xlsx</v>
      </c>
      <c r="AZ1291" t="str">
        <v>LOT0800</v>
      </c>
      <c r="BA1291" s="3">
        <v>19</v>
      </c>
      <c r="BB1291" t="str">
        <v>P/Final</v>
      </c>
      <c r="BC1291">
        <v>60</v>
      </c>
      <c r="BD1291" s="10">
        <v>58</v>
      </c>
      <c r="BE1291" s="10">
        <v>0</v>
      </c>
      <c r="BF1291" s="10">
        <v>0</v>
      </c>
      <c r="BG1291" s="13">
        <v>45607</v>
      </c>
    </row>
    <row r="1292" spans="49:59" x14ac:dyDescent="0.3">
      <c r="AW1292" s="1">
        <v>19.100000000000001</v>
      </c>
      <c r="AX1292" s="1">
        <v>19.100000000000001</v>
      </c>
      <c r="AY1292" t="str">
        <v>CP-R80_HI782-0_0.0_LOT0800_PW45.1_QC.xlsx</v>
      </c>
      <c r="AZ1292" t="str">
        <v>LOT0800</v>
      </c>
      <c r="BA1292" s="3">
        <v>19</v>
      </c>
      <c r="BB1292" t="str">
        <v>P/Final</v>
      </c>
      <c r="BC1292">
        <v>60</v>
      </c>
      <c r="BD1292" s="10">
        <v>55.2</v>
      </c>
      <c r="BE1292" s="10">
        <v>0</v>
      </c>
      <c r="BF1292" s="10">
        <v>0</v>
      </c>
      <c r="BG1292" s="13">
        <v>45607</v>
      </c>
    </row>
    <row r="1293" spans="49:59" x14ac:dyDescent="0.3">
      <c r="AW1293" s="1">
        <v>19.100000000000001</v>
      </c>
      <c r="AX1293" s="1">
        <v>19.100000000000001</v>
      </c>
      <c r="AY1293" t="str">
        <v>CP-R80_HI782-0_0.0_LOT0800_PW45.1_QC.xlsx</v>
      </c>
      <c r="AZ1293" t="str">
        <v>LOT0800</v>
      </c>
      <c r="BA1293" s="3">
        <v>19</v>
      </c>
      <c r="BB1293" t="str">
        <v>P/Final</v>
      </c>
      <c r="BC1293">
        <v>60</v>
      </c>
      <c r="BD1293" s="10">
        <v>57.7</v>
      </c>
      <c r="BE1293" s="10">
        <v>0</v>
      </c>
      <c r="BF1293" s="10">
        <v>0</v>
      </c>
      <c r="BG1293" s="13">
        <v>45607</v>
      </c>
    </row>
    <row r="1294" spans="49:59" x14ac:dyDescent="0.3">
      <c r="AW1294" s="1">
        <v>19.100000000000001</v>
      </c>
      <c r="AX1294" s="1">
        <v>19.100000000000001</v>
      </c>
      <c r="AY1294" t="str">
        <v>CP-R80_HI782-0_0.0_LOT0800_PW45.1_QC.xlsx</v>
      </c>
      <c r="AZ1294" t="str">
        <v>LOT0800</v>
      </c>
      <c r="BA1294" s="3">
        <v>19</v>
      </c>
      <c r="BB1294" t="str">
        <v>P/Final</v>
      </c>
      <c r="BC1294">
        <v>60</v>
      </c>
      <c r="BD1294" s="10">
        <v>57.2</v>
      </c>
      <c r="BE1294" s="10">
        <v>0</v>
      </c>
      <c r="BF1294" s="10">
        <v>0</v>
      </c>
      <c r="BG1294" s="13">
        <v>45607</v>
      </c>
    </row>
    <row r="1295" spans="49:59" x14ac:dyDescent="0.3">
      <c r="AW1295" s="1">
        <v>19.100000000000001</v>
      </c>
      <c r="AX1295" s="1">
        <v>19.100000000000001</v>
      </c>
      <c r="AY1295" t="str">
        <v>CP-R80_HI782-0_0.0_LOT0800_PW45.1_QC.xlsx</v>
      </c>
      <c r="AZ1295" t="str">
        <v>LOT0800</v>
      </c>
      <c r="BA1295" s="3">
        <v>19</v>
      </c>
      <c r="BB1295" t="str">
        <v>P/Final</v>
      </c>
      <c r="BC1295">
        <v>60</v>
      </c>
      <c r="BD1295" s="10">
        <v>57.3</v>
      </c>
      <c r="BE1295" s="10">
        <v>0</v>
      </c>
      <c r="BF1295" s="10">
        <v>0</v>
      </c>
      <c r="BG1295" s="13">
        <v>45607</v>
      </c>
    </row>
    <row r="1296" spans="49:59" x14ac:dyDescent="0.3">
      <c r="AW1296" s="1">
        <v>19.100000000000001</v>
      </c>
      <c r="AX1296" s="1">
        <v>19.100000000000001</v>
      </c>
      <c r="AY1296" t="str">
        <v>CP-R80_HI782-0_0.0_LOT0800_PW45.1_QC.xlsx</v>
      </c>
      <c r="AZ1296" t="str">
        <v>LOT0800</v>
      </c>
      <c r="BA1296" s="3">
        <v>19</v>
      </c>
      <c r="BB1296" t="str">
        <v>P/Final</v>
      </c>
      <c r="BC1296">
        <v>60</v>
      </c>
      <c r="BD1296" s="10">
        <v>56.1</v>
      </c>
      <c r="BE1296" s="10">
        <v>0</v>
      </c>
      <c r="BF1296" s="10">
        <v>0</v>
      </c>
      <c r="BG1296" s="13">
        <v>45607</v>
      </c>
    </row>
    <row r="1297" spans="49:59" x14ac:dyDescent="0.3">
      <c r="AW1297" s="1">
        <v>19.100000000000001</v>
      </c>
      <c r="AX1297" s="1">
        <v>19.100000000000001</v>
      </c>
      <c r="AY1297" t="str">
        <v>CP-R80_HI782-0_0.0_LOT0800_PW45.1_QC.xlsx</v>
      </c>
      <c r="AZ1297" t="str">
        <v>LOT0800</v>
      </c>
      <c r="BA1297" s="3">
        <v>19</v>
      </c>
      <c r="BB1297" t="str">
        <v>P/Final</v>
      </c>
      <c r="BC1297">
        <v>0</v>
      </c>
      <c r="BD1297" s="10">
        <v>0</v>
      </c>
      <c r="BE1297" s="10">
        <v>0</v>
      </c>
      <c r="BF1297" s="10">
        <v>0</v>
      </c>
      <c r="BG1297" s="13">
        <v>45608</v>
      </c>
    </row>
    <row r="1298" spans="49:59" x14ac:dyDescent="0.3">
      <c r="AW1298" s="1">
        <v>19.100000000000001</v>
      </c>
      <c r="AX1298" s="1">
        <v>19.100000000000001</v>
      </c>
      <c r="AY1298" t="str">
        <v>CP-R80_HI782-0_0.0_LOT0800_PW45.1_QC.xlsx</v>
      </c>
      <c r="AZ1298" t="str">
        <v>LOT0800</v>
      </c>
      <c r="BA1298" s="3">
        <v>19</v>
      </c>
      <c r="BB1298" t="str">
        <v>P/Final</v>
      </c>
      <c r="BC1298">
        <v>0</v>
      </c>
      <c r="BD1298" s="10">
        <v>0</v>
      </c>
      <c r="BE1298" s="10">
        <v>0</v>
      </c>
      <c r="BF1298" s="10">
        <v>0</v>
      </c>
      <c r="BG1298" s="13">
        <v>45608</v>
      </c>
    </row>
    <row r="1299" spans="49:59" x14ac:dyDescent="0.3">
      <c r="AW1299" s="1">
        <v>19.100000000000001</v>
      </c>
      <c r="AX1299" s="1">
        <v>19.100000000000001</v>
      </c>
      <c r="AY1299" t="str">
        <v>CP-R80_HI782-0_0.0_LOT0800_PW45.1_QC.xlsx</v>
      </c>
      <c r="AZ1299" t="str">
        <v>LOT0800</v>
      </c>
      <c r="BA1299" s="3">
        <v>19</v>
      </c>
      <c r="BB1299" t="str">
        <v>P/Final</v>
      </c>
      <c r="BC1299">
        <v>0</v>
      </c>
      <c r="BD1299" s="10">
        <v>0</v>
      </c>
      <c r="BE1299" s="10">
        <v>0</v>
      </c>
      <c r="BF1299" s="10">
        <v>0</v>
      </c>
      <c r="BG1299" s="13">
        <v>45608</v>
      </c>
    </row>
    <row r="1300" spans="49:59" x14ac:dyDescent="0.3">
      <c r="AW1300" s="1">
        <v>19.100000000000001</v>
      </c>
      <c r="AX1300" s="1">
        <v>19.100000000000001</v>
      </c>
      <c r="AY1300" t="str">
        <v>CP-R80_HI782-0_0.0_LOT0800_PW45.1_QC.xlsx</v>
      </c>
      <c r="AZ1300" t="str">
        <v>LOT0800</v>
      </c>
      <c r="BA1300" s="3">
        <v>19</v>
      </c>
      <c r="BB1300" t="str">
        <v>P/Final</v>
      </c>
      <c r="BC1300">
        <v>0</v>
      </c>
      <c r="BD1300" s="10">
        <v>0</v>
      </c>
      <c r="BE1300" s="10">
        <v>0</v>
      </c>
      <c r="BF1300" s="10">
        <v>0</v>
      </c>
      <c r="BG1300" s="13">
        <v>45608</v>
      </c>
    </row>
    <row r="1301" spans="49:59" x14ac:dyDescent="0.3">
      <c r="AW1301" s="1">
        <v>19.100000000000001</v>
      </c>
      <c r="AX1301" s="1">
        <v>19.100000000000001</v>
      </c>
      <c r="AY1301" t="str">
        <v>CP-R80_HI782-0_0.0_LOT0800_PW45.1_QC.xlsx</v>
      </c>
      <c r="AZ1301" t="str">
        <v>LOT0800</v>
      </c>
      <c r="BA1301" s="3">
        <v>19</v>
      </c>
      <c r="BB1301" t="str">
        <v>P/Final</v>
      </c>
      <c r="BC1301">
        <v>0</v>
      </c>
      <c r="BD1301" s="10">
        <v>0</v>
      </c>
      <c r="BE1301" s="10">
        <v>0</v>
      </c>
      <c r="BF1301" s="10">
        <v>0</v>
      </c>
      <c r="BG1301" s="13">
        <v>45608</v>
      </c>
    </row>
    <row r="1302" spans="49:59" x14ac:dyDescent="0.3">
      <c r="AW1302" s="1">
        <v>19.100000000000001</v>
      </c>
      <c r="AX1302" s="1">
        <v>19.100000000000001</v>
      </c>
      <c r="AY1302" t="str">
        <v>CP-R80_HI782-0_0.0_LOT0800_PW45.1_QC.xlsx</v>
      </c>
      <c r="AZ1302" t="str">
        <v>LOT0800</v>
      </c>
      <c r="BA1302" s="3">
        <v>19</v>
      </c>
      <c r="BB1302" t="str">
        <v>P/Final</v>
      </c>
      <c r="BC1302">
        <v>0</v>
      </c>
      <c r="BD1302" s="10">
        <v>0</v>
      </c>
      <c r="BE1302" s="10">
        <v>0</v>
      </c>
      <c r="BF1302" s="10">
        <v>0</v>
      </c>
      <c r="BG1302" s="13">
        <v>45608</v>
      </c>
    </row>
    <row r="1303" spans="49:59" x14ac:dyDescent="0.3">
      <c r="AW1303" s="1">
        <v>19.100000000000001</v>
      </c>
      <c r="AX1303" s="1">
        <v>19.100000000000001</v>
      </c>
      <c r="AY1303" t="str">
        <v>CP-R80_HI782-0_0.0_LOT0800_PW45.1_QC.xlsx</v>
      </c>
      <c r="AZ1303" t="str">
        <v>LOT0800</v>
      </c>
      <c r="BA1303" s="3">
        <v>19</v>
      </c>
      <c r="BB1303" t="str">
        <v>P/Final</v>
      </c>
      <c r="BC1303">
        <v>15</v>
      </c>
      <c r="BD1303" s="10">
        <v>13.4</v>
      </c>
      <c r="BE1303" s="10">
        <v>0</v>
      </c>
      <c r="BF1303" s="10">
        <v>0</v>
      </c>
      <c r="BG1303" s="13">
        <v>45608</v>
      </c>
    </row>
    <row r="1304" spans="49:59" x14ac:dyDescent="0.3">
      <c r="AW1304" s="1">
        <v>19.100000000000001</v>
      </c>
      <c r="AX1304" s="1">
        <v>19.100000000000001</v>
      </c>
      <c r="AY1304" t="str">
        <v>CP-R80_HI782-0_0.0_LOT0800_PW45.1_QC.xlsx</v>
      </c>
      <c r="AZ1304" t="str">
        <v>LOT0800</v>
      </c>
      <c r="BA1304" s="3">
        <v>19</v>
      </c>
      <c r="BB1304" t="str">
        <v>P/Final</v>
      </c>
      <c r="BC1304">
        <v>15</v>
      </c>
      <c r="BD1304" s="10">
        <v>12.7</v>
      </c>
      <c r="BE1304" s="10">
        <v>0</v>
      </c>
      <c r="BF1304" s="10">
        <v>0</v>
      </c>
      <c r="BG1304" s="13">
        <v>45608</v>
      </c>
    </row>
    <row r="1305" spans="49:59" x14ac:dyDescent="0.3">
      <c r="AW1305" s="1">
        <v>19.100000000000001</v>
      </c>
      <c r="AX1305" s="1">
        <v>19.100000000000001</v>
      </c>
      <c r="AY1305" t="str">
        <v>CP-R80_HI782-0_0.0_LOT0800_PW45.1_QC.xlsx</v>
      </c>
      <c r="AZ1305" t="str">
        <v>LOT0800</v>
      </c>
      <c r="BA1305" s="3">
        <v>19</v>
      </c>
      <c r="BB1305" t="str">
        <v>P/Final</v>
      </c>
      <c r="BC1305">
        <v>15</v>
      </c>
      <c r="BD1305" s="10">
        <v>13.6</v>
      </c>
      <c r="BE1305" s="10">
        <v>0</v>
      </c>
      <c r="BF1305" s="10">
        <v>0</v>
      </c>
      <c r="BG1305" s="13">
        <v>45608</v>
      </c>
    </row>
    <row r="1306" spans="49:59" x14ac:dyDescent="0.3">
      <c r="AW1306" s="1">
        <v>19.100000000000001</v>
      </c>
      <c r="AX1306" s="1">
        <v>19.100000000000001</v>
      </c>
      <c r="AY1306" t="str">
        <v>CP-R80_HI782-0_0.0_LOT0800_PW45.1_QC.xlsx</v>
      </c>
      <c r="AZ1306" t="str">
        <v>LOT0800</v>
      </c>
      <c r="BA1306" s="3">
        <v>19</v>
      </c>
      <c r="BB1306" t="str">
        <v>P/Final</v>
      </c>
      <c r="BC1306">
        <v>15</v>
      </c>
      <c r="BD1306" s="10">
        <v>13.3</v>
      </c>
      <c r="BE1306" s="10">
        <v>0</v>
      </c>
      <c r="BF1306" s="10">
        <v>0</v>
      </c>
      <c r="BG1306" s="13">
        <v>45608</v>
      </c>
    </row>
    <row r="1307" spans="49:59" x14ac:dyDescent="0.3">
      <c r="AW1307" s="1">
        <v>19.100000000000001</v>
      </c>
      <c r="AX1307" s="1">
        <v>19.100000000000001</v>
      </c>
      <c r="AY1307" t="str">
        <v>CP-R80_HI782-0_0.0_LOT0800_PW45.1_QC.xlsx</v>
      </c>
      <c r="AZ1307" t="str">
        <v>LOT0800</v>
      </c>
      <c r="BA1307" s="3">
        <v>19</v>
      </c>
      <c r="BB1307" t="str">
        <v>P/Final</v>
      </c>
      <c r="BC1307">
        <v>15</v>
      </c>
      <c r="BD1307" s="10">
        <v>13.9</v>
      </c>
      <c r="BE1307" s="10">
        <v>0</v>
      </c>
      <c r="BF1307" s="10">
        <v>0</v>
      </c>
      <c r="BG1307" s="13">
        <v>45608</v>
      </c>
    </row>
    <row r="1308" spans="49:59" x14ac:dyDescent="0.3">
      <c r="AW1308" s="1">
        <v>19.100000000000001</v>
      </c>
      <c r="AX1308" s="1">
        <v>19.100000000000001</v>
      </c>
      <c r="AY1308" t="str">
        <v>CP-R80_HI782-0_0.0_LOT0800_PW45.1_QC.xlsx</v>
      </c>
      <c r="AZ1308" t="str">
        <v>LOT0800</v>
      </c>
      <c r="BA1308" s="3">
        <v>19</v>
      </c>
      <c r="BB1308" t="str">
        <v>P/Final</v>
      </c>
      <c r="BC1308">
        <v>15</v>
      </c>
      <c r="BD1308" s="10">
        <v>15</v>
      </c>
      <c r="BE1308" s="10">
        <v>0</v>
      </c>
      <c r="BF1308" s="10">
        <v>0</v>
      </c>
      <c r="BG1308" s="13">
        <v>45608</v>
      </c>
    </row>
    <row r="1309" spans="49:59" x14ac:dyDescent="0.3">
      <c r="AW1309" s="1">
        <v>19.100000000000001</v>
      </c>
      <c r="AX1309" s="1">
        <v>19.100000000000001</v>
      </c>
      <c r="AY1309" t="str">
        <v>CP-R80_HI782-0_0.0_LOT0800_PW45.1_QC.xlsx</v>
      </c>
      <c r="AZ1309" t="str">
        <v>LOT0800</v>
      </c>
      <c r="BA1309" s="3">
        <v>19</v>
      </c>
      <c r="BB1309" t="str">
        <v>P/Final</v>
      </c>
      <c r="BC1309">
        <v>15</v>
      </c>
      <c r="BD1309" s="10">
        <v>12.7</v>
      </c>
      <c r="BE1309" s="10">
        <v>0</v>
      </c>
      <c r="BF1309" s="10">
        <v>0</v>
      </c>
      <c r="BG1309" s="13">
        <v>45608</v>
      </c>
    </row>
    <row r="1310" spans="49:59" x14ac:dyDescent="0.3">
      <c r="AW1310" s="1">
        <v>19.100000000000001</v>
      </c>
      <c r="AX1310" s="1">
        <v>19.100000000000001</v>
      </c>
      <c r="AY1310" t="str">
        <v>CP-R80_HI782-0_0.0_LOT0800_PW45.1_QC.xlsx</v>
      </c>
      <c r="AZ1310" t="str">
        <v>LOT0800</v>
      </c>
      <c r="BA1310" s="3">
        <v>19</v>
      </c>
      <c r="BB1310" t="str">
        <v>P/Final</v>
      </c>
      <c r="BC1310">
        <v>15</v>
      </c>
      <c r="BD1310" s="10">
        <v>13.1</v>
      </c>
      <c r="BE1310" s="10">
        <v>0</v>
      </c>
      <c r="BF1310" s="10">
        <v>0</v>
      </c>
      <c r="BG1310" s="13">
        <v>45608</v>
      </c>
    </row>
    <row r="1311" spans="49:59" x14ac:dyDescent="0.3">
      <c r="AW1311" s="1">
        <v>19.100000000000001</v>
      </c>
      <c r="AX1311" s="1">
        <v>19.100000000000001</v>
      </c>
      <c r="AY1311" t="str">
        <v>CP-R80_HI782-0_0.0_LOT0800_PW45.1_QC.xlsx</v>
      </c>
      <c r="AZ1311" t="str">
        <v>LOT0800</v>
      </c>
      <c r="BA1311" s="3">
        <v>19</v>
      </c>
      <c r="BB1311" t="str">
        <v>P/Final</v>
      </c>
      <c r="BC1311">
        <v>15</v>
      </c>
      <c r="BD1311" s="10">
        <v>12.7</v>
      </c>
      <c r="BE1311" s="10">
        <v>0</v>
      </c>
      <c r="BF1311" s="10">
        <v>0</v>
      </c>
      <c r="BG1311" s="13">
        <v>45608</v>
      </c>
    </row>
    <row r="1312" spans="49:59" x14ac:dyDescent="0.3">
      <c r="AW1312" s="1">
        <v>19.100000000000001</v>
      </c>
      <c r="AX1312" s="1">
        <v>19.100000000000001</v>
      </c>
      <c r="AY1312" t="str">
        <v>CP-R80_HI782-0_0.0_LOT0800_PW45.1_QC.xlsx</v>
      </c>
      <c r="AZ1312" t="str">
        <v>LOT0800</v>
      </c>
      <c r="BA1312" s="3">
        <v>19</v>
      </c>
      <c r="BB1312" t="str">
        <v>P/Final</v>
      </c>
      <c r="BC1312">
        <v>15</v>
      </c>
      <c r="BD1312" s="10">
        <v>14.1</v>
      </c>
      <c r="BE1312" s="10">
        <v>0</v>
      </c>
      <c r="BF1312" s="10">
        <v>0</v>
      </c>
      <c r="BG1312" s="13">
        <v>45608</v>
      </c>
    </row>
    <row r="1313" spans="49:59" x14ac:dyDescent="0.3">
      <c r="AW1313" s="1">
        <v>19.100000000000001</v>
      </c>
      <c r="AX1313" s="1">
        <v>19.100000000000001</v>
      </c>
      <c r="AY1313" t="str">
        <v>CP-R80_HI782-0_0.0_LOT0800_PW45.1_QC.xlsx</v>
      </c>
      <c r="AZ1313" t="str">
        <v>LOT0800</v>
      </c>
      <c r="BA1313" s="3">
        <v>19</v>
      </c>
      <c r="BB1313" t="str">
        <v>P/Final</v>
      </c>
      <c r="BC1313">
        <v>15</v>
      </c>
      <c r="BD1313" s="10">
        <v>13.6</v>
      </c>
      <c r="BE1313" s="10">
        <v>0</v>
      </c>
      <c r="BF1313" s="10">
        <v>0</v>
      </c>
      <c r="BG1313" s="13">
        <v>45608</v>
      </c>
    </row>
    <row r="1314" spans="49:59" x14ac:dyDescent="0.3">
      <c r="AW1314" s="1">
        <v>19.100000000000001</v>
      </c>
      <c r="AX1314" s="1">
        <v>19.100000000000001</v>
      </c>
      <c r="AY1314" t="str">
        <v>CP-R80_HI782-0_0.0_LOT0800_PW45.1_QC.xlsx</v>
      </c>
      <c r="AZ1314" t="str">
        <v>LOT0800</v>
      </c>
      <c r="BA1314" s="3">
        <v>19</v>
      </c>
      <c r="BB1314" t="str">
        <v>P/Final</v>
      </c>
      <c r="BC1314">
        <v>15</v>
      </c>
      <c r="BD1314" s="10">
        <v>13.1</v>
      </c>
      <c r="BE1314" s="10">
        <v>0</v>
      </c>
      <c r="BF1314" s="10">
        <v>0</v>
      </c>
      <c r="BG1314" s="13">
        <v>45608</v>
      </c>
    </row>
    <row r="1315" spans="49:59" x14ac:dyDescent="0.3">
      <c r="AW1315" s="1">
        <v>19.100000000000001</v>
      </c>
      <c r="AX1315" s="1">
        <v>19.100000000000001</v>
      </c>
      <c r="AY1315" t="str">
        <v>CP-R80_HI782-0_0.0_LOT0800_PW45.1_QC.xlsx</v>
      </c>
      <c r="AZ1315" t="str">
        <v>LOT0800</v>
      </c>
      <c r="BA1315" s="3">
        <v>19</v>
      </c>
      <c r="BB1315" t="str">
        <v>P/Final</v>
      </c>
      <c r="BC1315">
        <v>35</v>
      </c>
      <c r="BD1315" s="10">
        <v>33.200000000000003</v>
      </c>
      <c r="BE1315" s="10">
        <v>0</v>
      </c>
      <c r="BF1315" s="10">
        <v>0</v>
      </c>
      <c r="BG1315" s="13">
        <v>45608</v>
      </c>
    </row>
    <row r="1316" spans="49:59" x14ac:dyDescent="0.3">
      <c r="AW1316" s="1">
        <v>19.100000000000001</v>
      </c>
      <c r="AX1316" s="1">
        <v>19.100000000000001</v>
      </c>
      <c r="AY1316" t="str">
        <v>CP-R80_HI782-0_0.0_LOT0800_PW45.1_QC.xlsx</v>
      </c>
      <c r="AZ1316" t="str">
        <v>LOT0800</v>
      </c>
      <c r="BA1316" s="3">
        <v>19</v>
      </c>
      <c r="BB1316" t="str">
        <v>P/Final</v>
      </c>
      <c r="BC1316">
        <v>35</v>
      </c>
      <c r="BD1316" s="10">
        <v>31.3</v>
      </c>
      <c r="BE1316" s="10">
        <v>0</v>
      </c>
      <c r="BF1316" s="10">
        <v>0</v>
      </c>
      <c r="BG1316" s="13">
        <v>45608</v>
      </c>
    </row>
    <row r="1317" spans="49:59" x14ac:dyDescent="0.3">
      <c r="AW1317" s="1">
        <v>19.100000000000001</v>
      </c>
      <c r="AX1317" s="1">
        <v>19.100000000000001</v>
      </c>
      <c r="AY1317" t="str">
        <v>CP-R80_HI782-0_0.0_LOT0800_PW45.1_QC.xlsx</v>
      </c>
      <c r="AZ1317" t="str">
        <v>LOT0800</v>
      </c>
      <c r="BA1317" s="3">
        <v>19</v>
      </c>
      <c r="BB1317" t="str">
        <v>P/Final</v>
      </c>
      <c r="BC1317">
        <v>35</v>
      </c>
      <c r="BD1317" s="10">
        <v>30.9</v>
      </c>
      <c r="BE1317" s="10">
        <v>0</v>
      </c>
      <c r="BF1317" s="10">
        <v>0</v>
      </c>
      <c r="BG1317" s="13">
        <v>45608</v>
      </c>
    </row>
    <row r="1318" spans="49:59" x14ac:dyDescent="0.3">
      <c r="AW1318" s="1">
        <v>19.100000000000001</v>
      </c>
      <c r="AX1318" s="1">
        <v>19.100000000000001</v>
      </c>
      <c r="AY1318" t="str">
        <v>CP-R80_HI782-0_0.0_LOT0800_PW45.1_QC.xlsx</v>
      </c>
      <c r="AZ1318" t="str">
        <v>LOT0800</v>
      </c>
      <c r="BA1318" s="3">
        <v>19</v>
      </c>
      <c r="BB1318" t="str">
        <v>P/Final</v>
      </c>
      <c r="BC1318">
        <v>35</v>
      </c>
      <c r="BD1318" s="10">
        <v>32.200000000000003</v>
      </c>
      <c r="BE1318" s="10">
        <v>0</v>
      </c>
      <c r="BF1318" s="10">
        <v>0</v>
      </c>
      <c r="BG1318" s="13">
        <v>45608</v>
      </c>
    </row>
    <row r="1319" spans="49:59" x14ac:dyDescent="0.3">
      <c r="AW1319" s="1">
        <v>19.100000000000001</v>
      </c>
      <c r="AX1319" s="1">
        <v>19.100000000000001</v>
      </c>
      <c r="AY1319" t="str">
        <v>CP-R80_HI782-0_0.0_LOT0800_PW45.1_QC.xlsx</v>
      </c>
      <c r="AZ1319" t="str">
        <v>LOT0800</v>
      </c>
      <c r="BA1319" s="3">
        <v>19</v>
      </c>
      <c r="BB1319" t="str">
        <v>P/Final</v>
      </c>
      <c r="BC1319">
        <v>35</v>
      </c>
      <c r="BD1319" s="10">
        <v>31.7</v>
      </c>
      <c r="BE1319" s="10">
        <v>0</v>
      </c>
      <c r="BF1319" s="10">
        <v>0</v>
      </c>
      <c r="BG1319" s="13">
        <v>45608</v>
      </c>
    </row>
    <row r="1320" spans="49:59" x14ac:dyDescent="0.3">
      <c r="AW1320" s="1">
        <v>19.100000000000001</v>
      </c>
      <c r="AX1320" s="1">
        <v>19.100000000000001</v>
      </c>
      <c r="AY1320" t="str">
        <v>CP-R80_HI782-0_0.0_LOT0800_PW45.1_QC.xlsx</v>
      </c>
      <c r="AZ1320" t="str">
        <v>LOT0800</v>
      </c>
      <c r="BA1320" s="3">
        <v>19</v>
      </c>
      <c r="BB1320" t="str">
        <v>P/Final</v>
      </c>
      <c r="BC1320">
        <v>35</v>
      </c>
      <c r="BD1320" s="10">
        <v>31.8</v>
      </c>
      <c r="BE1320" s="10">
        <v>0</v>
      </c>
      <c r="BF1320" s="10">
        <v>0</v>
      </c>
      <c r="BG1320" s="13">
        <v>45608</v>
      </c>
    </row>
    <row r="1321" spans="49:59" x14ac:dyDescent="0.3">
      <c r="AW1321" s="1">
        <v>19.100000000000001</v>
      </c>
      <c r="AX1321" s="1">
        <v>19.100000000000001</v>
      </c>
      <c r="AY1321" t="str">
        <v>CP-R80_HI782-0_0.0_LOT0800_PW45.1_QC.xlsx</v>
      </c>
      <c r="AZ1321" t="str">
        <v>LOT0800</v>
      </c>
      <c r="BA1321" s="3">
        <v>19</v>
      </c>
      <c r="BB1321" t="str">
        <v>P/Final</v>
      </c>
      <c r="BC1321">
        <v>35</v>
      </c>
      <c r="BD1321" s="10">
        <v>31.4</v>
      </c>
      <c r="BE1321" s="10">
        <v>0</v>
      </c>
      <c r="BF1321" s="10">
        <v>0</v>
      </c>
      <c r="BG1321" s="13">
        <v>45608</v>
      </c>
    </row>
    <row r="1322" spans="49:59" x14ac:dyDescent="0.3">
      <c r="AW1322" s="1">
        <v>19.100000000000001</v>
      </c>
      <c r="AX1322" s="1">
        <v>19.100000000000001</v>
      </c>
      <c r="AY1322" t="str">
        <v>CP-R80_HI782-0_0.0_LOT0800_PW45.1_QC.xlsx</v>
      </c>
      <c r="AZ1322" t="str">
        <v>LOT0800</v>
      </c>
      <c r="BA1322" s="3">
        <v>19</v>
      </c>
      <c r="BB1322" t="str">
        <v>P/Final</v>
      </c>
      <c r="BC1322">
        <v>35</v>
      </c>
      <c r="BD1322" s="10">
        <v>31.5</v>
      </c>
      <c r="BE1322" s="10">
        <v>0</v>
      </c>
      <c r="BF1322" s="10">
        <v>0</v>
      </c>
      <c r="BG1322" s="13">
        <v>45608</v>
      </c>
    </row>
    <row r="1323" spans="49:59" x14ac:dyDescent="0.3">
      <c r="AW1323" s="1">
        <v>19.100000000000001</v>
      </c>
      <c r="AX1323" s="1">
        <v>19.100000000000001</v>
      </c>
      <c r="AY1323" t="str">
        <v>CP-R80_HI782-0_0.0_LOT0800_PW45.1_QC.xlsx</v>
      </c>
      <c r="AZ1323" t="str">
        <v>LOT0800</v>
      </c>
      <c r="BA1323" s="3">
        <v>19</v>
      </c>
      <c r="BB1323" t="str">
        <v>P/Final</v>
      </c>
      <c r="BC1323">
        <v>35</v>
      </c>
      <c r="BD1323" s="10">
        <v>32.299999999999997</v>
      </c>
      <c r="BE1323" s="10">
        <v>0</v>
      </c>
      <c r="BF1323" s="10">
        <v>0</v>
      </c>
      <c r="BG1323" s="13">
        <v>45608</v>
      </c>
    </row>
    <row r="1324" spans="49:59" x14ac:dyDescent="0.3">
      <c r="AW1324" s="1">
        <v>19.100000000000001</v>
      </c>
      <c r="AX1324" s="1">
        <v>19.100000000000001</v>
      </c>
      <c r="AY1324" t="str">
        <v>CP-R80_HI782-0_0.0_LOT0800_PW45.1_QC.xlsx</v>
      </c>
      <c r="AZ1324" t="str">
        <v>LOT0800</v>
      </c>
      <c r="BA1324" s="3">
        <v>19</v>
      </c>
      <c r="BB1324" t="str">
        <v>P/Final</v>
      </c>
      <c r="BC1324">
        <v>35</v>
      </c>
      <c r="BD1324" s="10">
        <v>31.5</v>
      </c>
      <c r="BE1324" s="10">
        <v>0</v>
      </c>
      <c r="BF1324" s="10">
        <v>0</v>
      </c>
      <c r="BG1324" s="13">
        <v>45608</v>
      </c>
    </row>
    <row r="1325" spans="49:59" x14ac:dyDescent="0.3">
      <c r="AW1325" s="1">
        <v>19.100000000000001</v>
      </c>
      <c r="AX1325" s="1">
        <v>19.100000000000001</v>
      </c>
      <c r="AY1325" t="str">
        <v>CP-R80_HI782-0_0.0_LOT0800_PW45.1_QC.xlsx</v>
      </c>
      <c r="AZ1325" t="str">
        <v>LOT0800</v>
      </c>
      <c r="BA1325" s="3">
        <v>19</v>
      </c>
      <c r="BB1325" t="str">
        <v>P/Final</v>
      </c>
      <c r="BC1325">
        <v>35</v>
      </c>
      <c r="BD1325" s="10">
        <v>29.8</v>
      </c>
      <c r="BE1325" s="10">
        <v>0</v>
      </c>
      <c r="BF1325" s="10">
        <v>0</v>
      </c>
      <c r="BG1325" s="13">
        <v>45608</v>
      </c>
    </row>
    <row r="1326" spans="49:59" x14ac:dyDescent="0.3">
      <c r="AW1326" s="1">
        <v>19.100000000000001</v>
      </c>
      <c r="AX1326" s="1">
        <v>19.100000000000001</v>
      </c>
      <c r="AY1326" t="str">
        <v>CP-R80_HI782-0_0.0_LOT0800_PW45.1_QC.xlsx</v>
      </c>
      <c r="AZ1326" t="str">
        <v>LOT0800</v>
      </c>
      <c r="BA1326" s="3">
        <v>19</v>
      </c>
      <c r="BB1326" t="str">
        <v>P/Final</v>
      </c>
      <c r="BC1326">
        <v>35</v>
      </c>
      <c r="BD1326" s="10">
        <v>31.3</v>
      </c>
      <c r="BE1326" s="10">
        <v>0</v>
      </c>
      <c r="BF1326" s="10">
        <v>0</v>
      </c>
      <c r="BG1326" s="13">
        <v>45608</v>
      </c>
    </row>
    <row r="1327" spans="49:59" x14ac:dyDescent="0.3">
      <c r="AW1327" s="1">
        <v>19.100000000000001</v>
      </c>
      <c r="AX1327" s="1">
        <v>19.100000000000001</v>
      </c>
      <c r="AY1327" t="str">
        <v>CP-R80_HI782-0_0.0_LOT0800_PW45.1_QC.xlsx</v>
      </c>
      <c r="AZ1327" t="str">
        <v>LOT0800</v>
      </c>
      <c r="BA1327" s="3">
        <v>19</v>
      </c>
      <c r="BB1327" t="str">
        <v>P/Final</v>
      </c>
      <c r="BC1327">
        <v>35</v>
      </c>
      <c r="BD1327" s="10">
        <v>33.1</v>
      </c>
      <c r="BE1327" s="10">
        <v>0</v>
      </c>
      <c r="BF1327" s="10">
        <v>0</v>
      </c>
      <c r="BG1327" s="13">
        <v>45608</v>
      </c>
    </row>
    <row r="1328" spans="49:59" x14ac:dyDescent="0.3">
      <c r="AW1328" s="1">
        <v>19.100000000000001</v>
      </c>
      <c r="AX1328" s="1">
        <v>19.100000000000001</v>
      </c>
      <c r="AY1328" t="str">
        <v>CP-R80_HI782-0_0.0_LOT0800_PW45.1_QC.xlsx</v>
      </c>
      <c r="AZ1328" t="str">
        <v>LOT0800</v>
      </c>
      <c r="BA1328" s="3">
        <v>19</v>
      </c>
      <c r="BB1328" t="str">
        <v>P/Final</v>
      </c>
      <c r="BC1328">
        <v>60</v>
      </c>
      <c r="BD1328" s="10">
        <v>53.2</v>
      </c>
      <c r="BE1328" s="10">
        <v>0</v>
      </c>
      <c r="BF1328" s="10">
        <v>0</v>
      </c>
      <c r="BG1328" s="13">
        <v>45608</v>
      </c>
    </row>
    <row r="1329" spans="49:59" x14ac:dyDescent="0.3">
      <c r="AW1329" s="1">
        <v>19.100000000000001</v>
      </c>
      <c r="AX1329" s="1">
        <v>19.100000000000001</v>
      </c>
      <c r="AY1329" t="str">
        <v>CP-R80_HI782-0_0.0_LOT0800_PW45.1_QC.xlsx</v>
      </c>
      <c r="AZ1329" t="str">
        <v>LOT0800</v>
      </c>
      <c r="BA1329" s="3">
        <v>19</v>
      </c>
      <c r="BB1329" t="str">
        <v>P/Final</v>
      </c>
      <c r="BC1329">
        <v>60</v>
      </c>
      <c r="BD1329" s="10">
        <v>52.6</v>
      </c>
      <c r="BE1329" s="10">
        <v>0</v>
      </c>
      <c r="BF1329" s="10">
        <v>0</v>
      </c>
      <c r="BG1329" s="13">
        <v>45608</v>
      </c>
    </row>
    <row r="1330" spans="49:59" x14ac:dyDescent="0.3">
      <c r="AW1330" s="1">
        <v>19.100000000000001</v>
      </c>
      <c r="AX1330" s="1">
        <v>19.100000000000001</v>
      </c>
      <c r="AY1330" t="str">
        <v>CP-R80_HI782-0_0.0_LOT0800_PW45.1_QC.xlsx</v>
      </c>
      <c r="AZ1330" t="str">
        <v>LOT0800</v>
      </c>
      <c r="BA1330" s="3">
        <v>19</v>
      </c>
      <c r="BB1330" t="str">
        <v>P/Final</v>
      </c>
      <c r="BC1330">
        <v>60</v>
      </c>
      <c r="BD1330" s="10">
        <v>54.5</v>
      </c>
      <c r="BE1330" s="10">
        <v>0</v>
      </c>
      <c r="BF1330" s="10">
        <v>0</v>
      </c>
      <c r="BG1330" s="13">
        <v>45608</v>
      </c>
    </row>
    <row r="1331" spans="49:59" x14ac:dyDescent="0.3">
      <c r="AW1331" s="1">
        <v>19.100000000000001</v>
      </c>
      <c r="AX1331" s="1">
        <v>19.100000000000001</v>
      </c>
      <c r="AY1331" t="str">
        <v>CP-R80_HI782-0_0.0_LOT0800_PW45.1_QC.xlsx</v>
      </c>
      <c r="AZ1331" t="str">
        <v>LOT0800</v>
      </c>
      <c r="BA1331" s="3">
        <v>19</v>
      </c>
      <c r="BB1331" t="str">
        <v>P/Final</v>
      </c>
      <c r="BC1331">
        <v>60</v>
      </c>
      <c r="BD1331" s="10">
        <v>52.5</v>
      </c>
      <c r="BE1331" s="10">
        <v>0</v>
      </c>
      <c r="BF1331" s="10">
        <v>0</v>
      </c>
      <c r="BG1331" s="13">
        <v>45608</v>
      </c>
    </row>
    <row r="1332" spans="49:59" x14ac:dyDescent="0.3">
      <c r="AW1332" s="1">
        <v>19.100000000000001</v>
      </c>
      <c r="AX1332" s="1">
        <v>19.100000000000001</v>
      </c>
      <c r="AY1332" t="str">
        <v>CP-R80_HI782-0_0.0_LOT0800_PW45.1_QC.xlsx</v>
      </c>
      <c r="AZ1332" t="str">
        <v>LOT0800</v>
      </c>
      <c r="BA1332" s="3">
        <v>19</v>
      </c>
      <c r="BB1332" t="str">
        <v>P/Final</v>
      </c>
      <c r="BC1332">
        <v>60</v>
      </c>
      <c r="BD1332" s="10">
        <v>56.3</v>
      </c>
      <c r="BE1332" s="10">
        <v>0</v>
      </c>
      <c r="BF1332" s="10">
        <v>0</v>
      </c>
      <c r="BG1332" s="13">
        <v>45608</v>
      </c>
    </row>
    <row r="1333" spans="49:59" x14ac:dyDescent="0.3">
      <c r="AW1333" s="1">
        <v>19.100000000000001</v>
      </c>
      <c r="AX1333" s="1">
        <v>19.100000000000001</v>
      </c>
      <c r="AY1333" t="str">
        <v>CP-R80_HI782-0_0.0_LOT0800_PW45.1_QC.xlsx</v>
      </c>
      <c r="AZ1333" t="str">
        <v>LOT0800</v>
      </c>
      <c r="BA1333" s="3">
        <v>19</v>
      </c>
      <c r="BB1333" t="str">
        <v>P/Final</v>
      </c>
      <c r="BC1333">
        <v>60</v>
      </c>
      <c r="BD1333" s="10">
        <v>58.5</v>
      </c>
      <c r="BE1333" s="10">
        <v>0</v>
      </c>
      <c r="BF1333" s="10">
        <v>0</v>
      </c>
      <c r="BG1333" s="13">
        <v>45608</v>
      </c>
    </row>
    <row r="1334" spans="49:59" x14ac:dyDescent="0.3">
      <c r="AW1334" s="1">
        <v>19.100000000000001</v>
      </c>
      <c r="AX1334" s="1">
        <v>19.100000000000001</v>
      </c>
      <c r="AY1334" t="str">
        <v>CP-R80_HI782-0_0.0_LOT0800_PW45.1_QC.xlsx</v>
      </c>
      <c r="AZ1334" t="str">
        <v>LOT0800</v>
      </c>
      <c r="BA1334" s="3">
        <v>19</v>
      </c>
      <c r="BB1334" t="str">
        <v>P/Final</v>
      </c>
      <c r="BC1334">
        <v>60</v>
      </c>
      <c r="BD1334" s="10">
        <v>55.6</v>
      </c>
      <c r="BE1334" s="10">
        <v>0</v>
      </c>
      <c r="BF1334" s="10">
        <v>0</v>
      </c>
      <c r="BG1334" s="13">
        <v>45608</v>
      </c>
    </row>
    <row r="1335" spans="49:59" x14ac:dyDescent="0.3">
      <c r="AW1335" s="1">
        <v>19.100000000000001</v>
      </c>
      <c r="AX1335" s="1">
        <v>19.100000000000001</v>
      </c>
      <c r="AY1335" t="str">
        <v>CP-R80_HI782-0_0.0_LOT0800_PW45.1_QC.xlsx</v>
      </c>
      <c r="AZ1335" t="str">
        <v>LOT0800</v>
      </c>
      <c r="BA1335" s="3">
        <v>19</v>
      </c>
      <c r="BB1335" t="str">
        <v>P/Final</v>
      </c>
      <c r="BC1335">
        <v>60</v>
      </c>
      <c r="BD1335" s="10">
        <v>55.6</v>
      </c>
      <c r="BE1335" s="10">
        <v>0</v>
      </c>
      <c r="BF1335" s="10">
        <v>0</v>
      </c>
      <c r="BG1335" s="13">
        <v>45608</v>
      </c>
    </row>
    <row r="1336" spans="49:59" x14ac:dyDescent="0.3">
      <c r="AW1336" s="1">
        <v>19.100000000000001</v>
      </c>
      <c r="AX1336" s="1">
        <v>19.100000000000001</v>
      </c>
      <c r="AY1336" t="str">
        <v>CP-R80_HI782-0_0.0_LOT0800_PW45.1_QC.xlsx</v>
      </c>
      <c r="AZ1336" t="str">
        <v>LOT0800</v>
      </c>
      <c r="BA1336" s="3">
        <v>19</v>
      </c>
      <c r="BB1336" t="str">
        <v>P/Final</v>
      </c>
      <c r="BC1336">
        <v>0</v>
      </c>
      <c r="BD1336" s="10">
        <v>0</v>
      </c>
      <c r="BE1336" s="10">
        <v>0</v>
      </c>
      <c r="BF1336" s="10">
        <v>0</v>
      </c>
      <c r="BG1336" s="13">
        <v>45609</v>
      </c>
    </row>
    <row r="1337" spans="49:59" x14ac:dyDescent="0.3">
      <c r="AW1337" s="1">
        <v>19.100000000000001</v>
      </c>
      <c r="AX1337" s="1">
        <v>19.100000000000001</v>
      </c>
      <c r="AY1337" t="str">
        <v>CP-R80_HI782-0_0.0_LOT0800_PW45.1_QC.xlsx</v>
      </c>
      <c r="AZ1337" t="str">
        <v>LOT0800</v>
      </c>
      <c r="BA1337" s="3">
        <v>19</v>
      </c>
      <c r="BB1337" t="str">
        <v>P/Final</v>
      </c>
      <c r="BC1337">
        <v>0</v>
      </c>
      <c r="BD1337" s="10">
        <v>0</v>
      </c>
      <c r="BE1337" s="10">
        <v>0</v>
      </c>
      <c r="BF1337" s="10">
        <v>0</v>
      </c>
      <c r="BG1337" s="13">
        <v>45609</v>
      </c>
    </row>
    <row r="1338" spans="49:59" x14ac:dyDescent="0.3">
      <c r="AW1338" s="1">
        <v>19.100000000000001</v>
      </c>
      <c r="AX1338" s="1">
        <v>19.100000000000001</v>
      </c>
      <c r="AY1338" t="str">
        <v>CP-R80_HI782-0_0.0_LOT0800_PW45.1_QC.xlsx</v>
      </c>
      <c r="AZ1338" t="str">
        <v>LOT0800</v>
      </c>
      <c r="BA1338" s="3">
        <v>19</v>
      </c>
      <c r="BB1338" t="str">
        <v>P/Final</v>
      </c>
      <c r="BC1338">
        <v>0</v>
      </c>
      <c r="BD1338" s="10">
        <v>0</v>
      </c>
      <c r="BE1338" s="10">
        <v>0</v>
      </c>
      <c r="BF1338" s="10">
        <v>0</v>
      </c>
      <c r="BG1338" s="13">
        <v>45609</v>
      </c>
    </row>
    <row r="1339" spans="49:59" x14ac:dyDescent="0.3">
      <c r="AW1339" s="1">
        <v>19.100000000000001</v>
      </c>
      <c r="AX1339" s="1">
        <v>19.100000000000001</v>
      </c>
      <c r="AY1339" t="str">
        <v>CP-R80_HI782-0_0.0_LOT0800_PW45.1_QC.xlsx</v>
      </c>
      <c r="AZ1339" t="str">
        <v>LOT0800</v>
      </c>
      <c r="BA1339" s="3">
        <v>19</v>
      </c>
      <c r="BB1339" t="str">
        <v>P/Final</v>
      </c>
      <c r="BC1339">
        <v>0</v>
      </c>
      <c r="BD1339" s="10">
        <v>0</v>
      </c>
      <c r="BE1339" s="10">
        <v>0</v>
      </c>
      <c r="BF1339" s="10">
        <v>0</v>
      </c>
      <c r="BG1339" s="13">
        <v>45609</v>
      </c>
    </row>
    <row r="1340" spans="49:59" x14ac:dyDescent="0.3">
      <c r="AW1340" s="1">
        <v>19.100000000000001</v>
      </c>
      <c r="AX1340" s="1">
        <v>19.100000000000001</v>
      </c>
      <c r="AY1340" t="str">
        <v>CP-R80_HI782-0_0.0_LOT0800_PW45.1_QC.xlsx</v>
      </c>
      <c r="AZ1340" t="str">
        <v>LOT0800</v>
      </c>
      <c r="BA1340" s="3">
        <v>19</v>
      </c>
      <c r="BB1340" t="str">
        <v>P/Final</v>
      </c>
      <c r="BC1340">
        <v>15</v>
      </c>
      <c r="BD1340" s="10">
        <v>13.9</v>
      </c>
      <c r="BE1340" s="10">
        <v>0</v>
      </c>
      <c r="BF1340" s="10">
        <v>0</v>
      </c>
      <c r="BG1340" s="13">
        <v>45609</v>
      </c>
    </row>
    <row r="1341" spans="49:59" x14ac:dyDescent="0.3">
      <c r="AW1341" s="1">
        <v>19.100000000000001</v>
      </c>
      <c r="AX1341" s="1">
        <v>19.100000000000001</v>
      </c>
      <c r="AY1341" t="str">
        <v>CP-R80_HI782-0_0.0_LOT0800_PW45.1_QC.xlsx</v>
      </c>
      <c r="AZ1341" t="str">
        <v>LOT0800</v>
      </c>
      <c r="BA1341" s="3">
        <v>19</v>
      </c>
      <c r="BB1341" t="str">
        <v>P/Final</v>
      </c>
      <c r="BC1341">
        <v>15</v>
      </c>
      <c r="BD1341" s="10">
        <v>14.4</v>
      </c>
      <c r="BE1341" s="10">
        <v>0</v>
      </c>
      <c r="BF1341" s="10">
        <v>0</v>
      </c>
      <c r="BG1341" s="13">
        <v>45609</v>
      </c>
    </row>
    <row r="1342" spans="49:59" x14ac:dyDescent="0.3">
      <c r="AW1342" s="1">
        <v>19.100000000000001</v>
      </c>
      <c r="AX1342" s="1">
        <v>19.100000000000001</v>
      </c>
      <c r="AY1342" t="str">
        <v>CP-R80_HI782-0_0.0_LOT0800_PW45.1_QC.xlsx</v>
      </c>
      <c r="AZ1342" t="str">
        <v>LOT0800</v>
      </c>
      <c r="BA1342" s="3">
        <v>19</v>
      </c>
      <c r="BB1342" t="str">
        <v>P/Final</v>
      </c>
      <c r="BC1342">
        <v>15</v>
      </c>
      <c r="BD1342" s="10">
        <v>14.8</v>
      </c>
      <c r="BE1342" s="10">
        <v>0</v>
      </c>
      <c r="BF1342" s="10">
        <v>0</v>
      </c>
      <c r="BG1342" s="13">
        <v>45609</v>
      </c>
    </row>
    <row r="1343" spans="49:59" x14ac:dyDescent="0.3">
      <c r="AW1343" s="1">
        <v>19.100000000000001</v>
      </c>
      <c r="AX1343" s="1">
        <v>19.100000000000001</v>
      </c>
      <c r="AY1343" t="str">
        <v>CP-R80_HI782-0_0.0_LOT0800_PW45.1_QC.xlsx</v>
      </c>
      <c r="AZ1343" t="str">
        <v>LOT0800</v>
      </c>
      <c r="BA1343" s="3">
        <v>19</v>
      </c>
      <c r="BB1343" t="str">
        <v>P/Final</v>
      </c>
      <c r="BC1343">
        <v>15</v>
      </c>
      <c r="BD1343" s="10">
        <v>14.3</v>
      </c>
      <c r="BE1343" s="10">
        <v>0</v>
      </c>
      <c r="BF1343" s="10">
        <v>0</v>
      </c>
      <c r="BG1343" s="13">
        <v>45609</v>
      </c>
    </row>
    <row r="1344" spans="49:59" x14ac:dyDescent="0.3">
      <c r="AW1344" s="1">
        <v>19.100000000000001</v>
      </c>
      <c r="AX1344" s="1">
        <v>19.100000000000001</v>
      </c>
      <c r="AY1344" t="str">
        <v>CP-R80_HI782-0_0.0_LOT0800_PW45.1_QC.xlsx</v>
      </c>
      <c r="AZ1344" t="str">
        <v>LOT0800</v>
      </c>
      <c r="BA1344" s="3">
        <v>19</v>
      </c>
      <c r="BB1344" t="str">
        <v>P/Final</v>
      </c>
      <c r="BC1344">
        <v>15</v>
      </c>
      <c r="BD1344" s="10">
        <v>12.6</v>
      </c>
      <c r="BE1344" s="10">
        <v>0</v>
      </c>
      <c r="BF1344" s="10">
        <v>0</v>
      </c>
      <c r="BG1344" s="13">
        <v>45609</v>
      </c>
    </row>
    <row r="1345" spans="49:59" x14ac:dyDescent="0.3">
      <c r="AW1345" s="1">
        <v>19.100000000000001</v>
      </c>
      <c r="AX1345" s="1">
        <v>19.100000000000001</v>
      </c>
      <c r="AY1345" t="str">
        <v>CP-R80_HI782-0_0.0_LOT0800_PW45.1_QC.xlsx</v>
      </c>
      <c r="AZ1345" t="str">
        <v>LOT0800</v>
      </c>
      <c r="BA1345" s="3">
        <v>19</v>
      </c>
      <c r="BB1345" t="str">
        <v>P/Final</v>
      </c>
      <c r="BC1345">
        <v>15</v>
      </c>
      <c r="BD1345" s="10">
        <v>14.5</v>
      </c>
      <c r="BE1345" s="10">
        <v>0</v>
      </c>
      <c r="BF1345" s="10">
        <v>0</v>
      </c>
      <c r="BG1345" s="13">
        <v>45609</v>
      </c>
    </row>
    <row r="1346" spans="49:59" x14ac:dyDescent="0.3">
      <c r="AW1346" s="1">
        <v>19.100000000000001</v>
      </c>
      <c r="AX1346" s="1">
        <v>19.100000000000001</v>
      </c>
      <c r="AY1346" t="str">
        <v>CP-R80_HI782-0_0.0_LOT0800_PW45.1_QC.xlsx</v>
      </c>
      <c r="AZ1346" t="str">
        <v>LOT0800</v>
      </c>
      <c r="BA1346" s="3">
        <v>19</v>
      </c>
      <c r="BB1346" t="str">
        <v>P/Final</v>
      </c>
      <c r="BC1346">
        <v>35</v>
      </c>
      <c r="BD1346" s="10">
        <v>35</v>
      </c>
      <c r="BE1346" s="10">
        <v>0</v>
      </c>
      <c r="BF1346" s="10">
        <v>0</v>
      </c>
      <c r="BG1346" s="13">
        <v>45609</v>
      </c>
    </row>
    <row r="1347" spans="49:59" x14ac:dyDescent="0.3">
      <c r="AW1347" s="1">
        <v>19.100000000000001</v>
      </c>
      <c r="AX1347" s="1">
        <v>19.100000000000001</v>
      </c>
      <c r="AY1347" t="str">
        <v>CP-R80_HI782-0_0.0_LOT0800_PW45.1_QC.xlsx</v>
      </c>
      <c r="AZ1347" t="str">
        <v>LOT0800</v>
      </c>
      <c r="BA1347" s="3">
        <v>19</v>
      </c>
      <c r="BB1347" t="str">
        <v>P/Final</v>
      </c>
      <c r="BC1347">
        <v>35</v>
      </c>
      <c r="BD1347" s="10">
        <v>33.200000000000003</v>
      </c>
      <c r="BE1347" s="10">
        <v>0</v>
      </c>
      <c r="BF1347" s="10">
        <v>0</v>
      </c>
      <c r="BG1347" s="13">
        <v>45609</v>
      </c>
    </row>
    <row r="1348" spans="49:59" x14ac:dyDescent="0.3">
      <c r="AW1348" s="1">
        <v>19.100000000000001</v>
      </c>
      <c r="AX1348" s="1">
        <v>19.100000000000001</v>
      </c>
      <c r="AY1348" t="str">
        <v>CP-R80_HI782-0_0.0_LOT0800_PW45.1_QC.xlsx</v>
      </c>
      <c r="AZ1348" t="str">
        <v>LOT0800</v>
      </c>
      <c r="BA1348" s="3">
        <v>19</v>
      </c>
      <c r="BB1348" t="str">
        <v>P/Final</v>
      </c>
      <c r="BC1348">
        <v>35</v>
      </c>
      <c r="BD1348" s="10">
        <v>34.1</v>
      </c>
      <c r="BE1348" s="10">
        <v>0</v>
      </c>
      <c r="BF1348" s="10">
        <v>0</v>
      </c>
      <c r="BG1348" s="13">
        <v>45609</v>
      </c>
    </row>
    <row r="1349" spans="49:59" x14ac:dyDescent="0.3">
      <c r="AW1349" s="1">
        <v>19.100000000000001</v>
      </c>
      <c r="AX1349" s="1">
        <v>19.100000000000001</v>
      </c>
      <c r="AY1349" t="str">
        <v>CP-R80_HI782-0_0.0_LOT0800_PW45.1_QC.xlsx</v>
      </c>
      <c r="AZ1349" t="str">
        <v>LOT0800</v>
      </c>
      <c r="BA1349" s="3">
        <v>19</v>
      </c>
      <c r="BB1349" t="str">
        <v>P/Final</v>
      </c>
      <c r="BC1349">
        <v>35</v>
      </c>
      <c r="BD1349" s="10">
        <v>34.299999999999997</v>
      </c>
      <c r="BE1349" s="10">
        <v>0</v>
      </c>
      <c r="BF1349" s="10">
        <v>0</v>
      </c>
      <c r="BG1349" s="13">
        <v>45609</v>
      </c>
    </row>
    <row r="1350" spans="49:59" x14ac:dyDescent="0.3">
      <c r="AW1350" s="1">
        <v>19.100000000000001</v>
      </c>
      <c r="AX1350" s="1">
        <v>19.100000000000001</v>
      </c>
      <c r="AY1350" t="str">
        <v>CP-R80_HI782-0_0.0_LOT0800_PW45.1_QC.xlsx</v>
      </c>
      <c r="AZ1350" t="str">
        <v>LOT0800</v>
      </c>
      <c r="BA1350" s="3">
        <v>19</v>
      </c>
      <c r="BB1350" t="str">
        <v>P/Final</v>
      </c>
      <c r="BC1350">
        <v>35</v>
      </c>
      <c r="BD1350" s="10">
        <v>34.799999999999997</v>
      </c>
      <c r="BE1350" s="10">
        <v>0</v>
      </c>
      <c r="BF1350" s="10">
        <v>0</v>
      </c>
      <c r="BG1350" s="13">
        <v>45609</v>
      </c>
    </row>
    <row r="1351" spans="49:59" x14ac:dyDescent="0.3">
      <c r="AW1351" s="1">
        <v>19.100000000000001</v>
      </c>
      <c r="AX1351" s="1">
        <v>19.100000000000001</v>
      </c>
      <c r="AY1351" t="str">
        <v>CP-R80_HI782-0_0.0_LOT0800_PW45.1_QC.xlsx</v>
      </c>
      <c r="AZ1351" t="str">
        <v>LOT0800</v>
      </c>
      <c r="BA1351" s="3">
        <v>19</v>
      </c>
      <c r="BB1351" t="str">
        <v>P/Final</v>
      </c>
      <c r="BC1351">
        <v>35</v>
      </c>
      <c r="BD1351" s="10">
        <v>34.5</v>
      </c>
      <c r="BE1351" s="10">
        <v>0</v>
      </c>
      <c r="BF1351" s="10">
        <v>0</v>
      </c>
      <c r="BG1351" s="13">
        <v>45609</v>
      </c>
    </row>
    <row r="1352" spans="49:59" x14ac:dyDescent="0.3">
      <c r="AW1352" s="1">
        <v>19.100000000000001</v>
      </c>
      <c r="AX1352" s="1">
        <v>19.100000000000001</v>
      </c>
      <c r="AY1352" t="str">
        <v>CP-R80_HI782-0_0.0_LOT0800_PW45.1_QC.xlsx</v>
      </c>
      <c r="AZ1352" t="str">
        <v>LOT0800</v>
      </c>
      <c r="BA1352" s="3">
        <v>19</v>
      </c>
      <c r="BB1352" t="str">
        <v>P/Final</v>
      </c>
      <c r="BC1352">
        <v>60</v>
      </c>
      <c r="BD1352" s="10">
        <v>56.1</v>
      </c>
      <c r="BE1352" s="10">
        <v>0</v>
      </c>
      <c r="BF1352" s="10">
        <v>0</v>
      </c>
      <c r="BG1352" s="13">
        <v>45609</v>
      </c>
    </row>
    <row r="1353" spans="49:59" x14ac:dyDescent="0.3">
      <c r="AW1353" s="1">
        <v>19.100000000000001</v>
      </c>
      <c r="AX1353" s="1">
        <v>19.100000000000001</v>
      </c>
      <c r="AY1353" t="str">
        <v>CP-R80_HI782-0_0.0_LOT0800_PW45.1_QC.xlsx</v>
      </c>
      <c r="AZ1353" t="str">
        <v>LOT0800</v>
      </c>
      <c r="BA1353" s="3">
        <v>19</v>
      </c>
      <c r="BB1353" t="str">
        <v>P/Final</v>
      </c>
      <c r="BC1353">
        <v>60</v>
      </c>
      <c r="BD1353" s="10">
        <v>56.6</v>
      </c>
      <c r="BE1353" s="10">
        <v>0</v>
      </c>
      <c r="BF1353" s="10">
        <v>0</v>
      </c>
      <c r="BG1353" s="13">
        <v>45609</v>
      </c>
    </row>
    <row r="1354" spans="49:59" x14ac:dyDescent="0.3">
      <c r="AW1354" s="1">
        <v>19.100000000000001</v>
      </c>
      <c r="AX1354" s="1">
        <v>19.100000000000001</v>
      </c>
      <c r="AY1354" t="str">
        <v>CP-R80_HI782-0_0.0_LOT0800_PW45.1_QC.xlsx</v>
      </c>
      <c r="AZ1354" t="str">
        <v>LOT0800</v>
      </c>
      <c r="BA1354" s="3">
        <v>19</v>
      </c>
      <c r="BB1354" t="str">
        <v>P/Final</v>
      </c>
      <c r="BC1354">
        <v>60</v>
      </c>
      <c r="BD1354" s="10">
        <v>56.7</v>
      </c>
      <c r="BE1354" s="10">
        <v>0</v>
      </c>
      <c r="BF1354" s="10">
        <v>0</v>
      </c>
      <c r="BG1354" s="13">
        <v>45609</v>
      </c>
    </row>
    <row r="1355" spans="49:59" x14ac:dyDescent="0.3">
      <c r="AW1355" s="1">
        <v>19.100000000000001</v>
      </c>
      <c r="AX1355" s="1">
        <v>19.100000000000001</v>
      </c>
      <c r="AY1355" t="str">
        <v>CP-R80_HI782-0_0.0_LOT0800_PW45.1_QC.xlsx</v>
      </c>
      <c r="AZ1355" t="str">
        <v>LOT0800</v>
      </c>
      <c r="BA1355" s="3">
        <v>19</v>
      </c>
      <c r="BB1355" t="str">
        <v>P/Final</v>
      </c>
      <c r="BC1355">
        <v>60</v>
      </c>
      <c r="BD1355" s="10">
        <v>57.9</v>
      </c>
      <c r="BE1355" s="10">
        <v>0</v>
      </c>
      <c r="BF1355" s="10">
        <v>0</v>
      </c>
      <c r="BG1355" s="13">
        <v>45609</v>
      </c>
    </row>
    <row r="1356" spans="49:59" x14ac:dyDescent="0.3">
      <c r="AW1356" s="1">
        <v>19.100000000000001</v>
      </c>
      <c r="AX1356" s="1">
        <v>19.100000000000001</v>
      </c>
      <c r="AY1356" t="str">
        <v>CP-R80_HI782-0_0.0_LOT0800_PW45.1_QC.xlsx</v>
      </c>
      <c r="AZ1356" t="str">
        <v>LOT0800</v>
      </c>
      <c r="BA1356" s="3">
        <v>19</v>
      </c>
      <c r="BB1356" t="str">
        <v>P/Final</v>
      </c>
      <c r="BC1356">
        <v>60</v>
      </c>
      <c r="BD1356" s="10">
        <v>56.4</v>
      </c>
      <c r="BE1356" s="10">
        <v>0</v>
      </c>
      <c r="BF1356" s="10">
        <v>0</v>
      </c>
      <c r="BG1356" s="13">
        <v>45609</v>
      </c>
    </row>
    <row r="1357" spans="49:59" x14ac:dyDescent="0.3">
      <c r="AW1357" s="1">
        <v>19.100000000000001</v>
      </c>
      <c r="AX1357" s="1">
        <v>19.100000000000001</v>
      </c>
      <c r="AY1357" t="str">
        <v>CP-R80_HI782-0_0.0_LOT0800_PW45.1_QC.xlsx</v>
      </c>
      <c r="AZ1357" t="str">
        <v>LOT0800</v>
      </c>
      <c r="BA1357" s="3">
        <v>19</v>
      </c>
      <c r="BB1357" t="str">
        <v>P/Final</v>
      </c>
      <c r="BC1357">
        <v>60</v>
      </c>
      <c r="BD1357" s="10">
        <v>57.1</v>
      </c>
      <c r="BE1357" s="10">
        <v>0</v>
      </c>
      <c r="BF1357" s="10">
        <v>0</v>
      </c>
      <c r="BG1357" s="13">
        <v>45609</v>
      </c>
    </row>
    <row r="1358" spans="49:59" x14ac:dyDescent="0.3">
      <c r="AW1358" s="1">
        <v>20.100000000000001</v>
      </c>
      <c r="AX1358" s="1">
        <v>20.100000000000001</v>
      </c>
      <c r="AY1358" t="str">
        <v>CP-R80_HI782-0_0.0_LOT0869_PWW50.1_QC.xlsx</v>
      </c>
      <c r="AZ1358" t="str">
        <v>LOT0869</v>
      </c>
      <c r="BA1358" s="3">
        <v>20</v>
      </c>
      <c r="BB1358" t="str">
        <v>P/Final</v>
      </c>
      <c r="BC1358">
        <v>0</v>
      </c>
      <c r="BD1358" s="10">
        <v>0</v>
      </c>
      <c r="BE1358" s="10">
        <v>0</v>
      </c>
      <c r="BF1358" s="10">
        <v>0</v>
      </c>
      <c r="BG1358" s="13">
        <v>45642</v>
      </c>
    </row>
    <row r="1359" spans="49:59" x14ac:dyDescent="0.3">
      <c r="AW1359" s="1">
        <v>20.100000000000001</v>
      </c>
      <c r="AX1359" s="1">
        <v>20.100000000000001</v>
      </c>
      <c r="AY1359" t="str">
        <v>CP-R80_HI782-0_0.0_LOT0869_PWW50.1_QC.xlsx</v>
      </c>
      <c r="AZ1359" t="str">
        <v>LOT0869</v>
      </c>
      <c r="BA1359" s="3">
        <v>20</v>
      </c>
      <c r="BB1359" t="str">
        <v>P/Final</v>
      </c>
      <c r="BC1359">
        <v>0</v>
      </c>
      <c r="BD1359" s="10">
        <v>0</v>
      </c>
      <c r="BE1359" s="10">
        <v>0</v>
      </c>
      <c r="BF1359" s="10">
        <v>0</v>
      </c>
      <c r="BG1359" s="13">
        <v>45642</v>
      </c>
    </row>
    <row r="1360" spans="49:59" x14ac:dyDescent="0.3">
      <c r="AW1360" s="1">
        <v>20.100000000000001</v>
      </c>
      <c r="AX1360" s="1">
        <v>20.100000000000001</v>
      </c>
      <c r="AY1360" t="str">
        <v>CP-R80_HI782-0_0.0_LOT0869_PWW50.1_QC.xlsx</v>
      </c>
      <c r="AZ1360" t="str">
        <v>LOT0869</v>
      </c>
      <c r="BA1360" s="3">
        <v>20</v>
      </c>
      <c r="BB1360" t="str">
        <v>P/Final</v>
      </c>
      <c r="BC1360">
        <v>15</v>
      </c>
      <c r="BD1360" s="10">
        <v>13.9</v>
      </c>
      <c r="BE1360" s="10">
        <v>13.9</v>
      </c>
      <c r="BF1360" s="10">
        <v>0</v>
      </c>
      <c r="BG1360" s="13">
        <v>45642</v>
      </c>
    </row>
    <row r="1361" spans="49:59" x14ac:dyDescent="0.3">
      <c r="AW1361" s="1">
        <v>20.100000000000001</v>
      </c>
      <c r="AX1361" s="1">
        <v>20.100000000000001</v>
      </c>
      <c r="AY1361" t="str">
        <v>CP-R80_HI782-0_0.0_LOT0869_PWW50.1_QC.xlsx</v>
      </c>
      <c r="AZ1361" t="str">
        <v>LOT0869</v>
      </c>
      <c r="BA1361" s="3">
        <v>20</v>
      </c>
      <c r="BB1361" t="str">
        <v>P/Final</v>
      </c>
      <c r="BC1361">
        <v>15</v>
      </c>
      <c r="BD1361" s="10">
        <v>15.8</v>
      </c>
      <c r="BE1361" s="10">
        <v>15.7</v>
      </c>
      <c r="BF1361" s="10">
        <v>0</v>
      </c>
      <c r="BG1361" s="13">
        <v>45642</v>
      </c>
    </row>
    <row r="1362" spans="49:59" x14ac:dyDescent="0.3">
      <c r="AW1362" s="1">
        <v>20.100000000000001</v>
      </c>
      <c r="AX1362" s="1">
        <v>20.100000000000001</v>
      </c>
      <c r="AY1362" t="str">
        <v>CP-R80_HI782-0_0.0_LOT0869_PWW50.1_QC.xlsx</v>
      </c>
      <c r="AZ1362" t="str">
        <v>LOT0869</v>
      </c>
      <c r="BA1362" s="3">
        <v>20</v>
      </c>
      <c r="BB1362" t="str">
        <v>P/Final</v>
      </c>
      <c r="BC1362">
        <v>15</v>
      </c>
      <c r="BD1362" s="10">
        <v>13.4</v>
      </c>
      <c r="BE1362" s="10">
        <v>13.4</v>
      </c>
      <c r="BF1362" s="10">
        <v>0</v>
      </c>
      <c r="BG1362" s="13">
        <v>45642</v>
      </c>
    </row>
    <row r="1363" spans="49:59" x14ac:dyDescent="0.3">
      <c r="AW1363" s="1">
        <v>20.100000000000001</v>
      </c>
      <c r="AX1363" s="1">
        <v>20.100000000000001</v>
      </c>
      <c r="AY1363" t="str">
        <v>CP-R80_HI782-0_0.0_LOT0869_PWW50.1_QC.xlsx</v>
      </c>
      <c r="AZ1363" t="str">
        <v>LOT0869</v>
      </c>
      <c r="BA1363" s="3">
        <v>20</v>
      </c>
      <c r="BB1363" t="str">
        <v>P/Final</v>
      </c>
      <c r="BC1363">
        <v>15</v>
      </c>
      <c r="BD1363" s="10">
        <v>15</v>
      </c>
      <c r="BE1363" s="10">
        <v>15</v>
      </c>
      <c r="BF1363" s="10">
        <v>0</v>
      </c>
      <c r="BG1363" s="13">
        <v>45642</v>
      </c>
    </row>
    <row r="1364" spans="49:59" x14ac:dyDescent="0.3">
      <c r="AW1364" s="1">
        <v>20.100000000000001</v>
      </c>
      <c r="AX1364" s="1">
        <v>20.100000000000001</v>
      </c>
      <c r="AY1364" t="str">
        <v>CP-R80_HI782-0_0.0_LOT0869_PWW50.1_QC.xlsx</v>
      </c>
      <c r="AZ1364" t="str">
        <v>LOT0869</v>
      </c>
      <c r="BA1364" s="3">
        <v>20</v>
      </c>
      <c r="BB1364" t="str">
        <v>P/Final</v>
      </c>
      <c r="BC1364">
        <v>15</v>
      </c>
      <c r="BD1364" s="10">
        <v>15.5</v>
      </c>
      <c r="BE1364" s="10">
        <v>15.7</v>
      </c>
      <c r="BF1364" s="10">
        <v>0</v>
      </c>
      <c r="BG1364" s="13">
        <v>45642</v>
      </c>
    </row>
    <row r="1365" spans="49:59" x14ac:dyDescent="0.3">
      <c r="AW1365" s="1">
        <v>20.100000000000001</v>
      </c>
      <c r="AX1365" s="1">
        <v>20.100000000000001</v>
      </c>
      <c r="AY1365" t="str">
        <v>CP-R80_HI782-0_0.0_LOT0869_PWW50.1_QC.xlsx</v>
      </c>
      <c r="AZ1365" t="str">
        <v>LOT0869</v>
      </c>
      <c r="BA1365" s="3">
        <v>20</v>
      </c>
      <c r="BB1365" t="str">
        <v>P/Final</v>
      </c>
      <c r="BC1365">
        <v>15</v>
      </c>
      <c r="BD1365" s="10">
        <v>15.5</v>
      </c>
      <c r="BE1365" s="10">
        <v>15.5</v>
      </c>
      <c r="BF1365" s="10">
        <v>0</v>
      </c>
      <c r="BG1365" s="13">
        <v>45642</v>
      </c>
    </row>
    <row r="1366" spans="49:59" x14ac:dyDescent="0.3">
      <c r="AW1366" s="1">
        <v>20.100000000000001</v>
      </c>
      <c r="AX1366" s="1">
        <v>20.100000000000001</v>
      </c>
      <c r="AY1366" t="str">
        <v>CP-R80_HI782-0_0.0_LOT0869_PWW50.1_QC.xlsx</v>
      </c>
      <c r="AZ1366" t="str">
        <v>LOT0869</v>
      </c>
      <c r="BA1366" s="3">
        <v>20</v>
      </c>
      <c r="BB1366" t="str">
        <v>P/Final</v>
      </c>
      <c r="BC1366">
        <v>15</v>
      </c>
      <c r="BD1366" s="10">
        <v>14.6</v>
      </c>
      <c r="BE1366" s="10">
        <v>14.8</v>
      </c>
      <c r="BF1366" s="10">
        <v>0</v>
      </c>
      <c r="BG1366" s="13">
        <v>45642</v>
      </c>
    </row>
    <row r="1367" spans="49:59" x14ac:dyDescent="0.3">
      <c r="AW1367" s="1">
        <v>20.100000000000001</v>
      </c>
      <c r="AX1367" s="1">
        <v>20.100000000000001</v>
      </c>
      <c r="AY1367" t="str">
        <v>CP-R80_HI782-0_0.0_LOT0869_PWW50.1_QC.xlsx</v>
      </c>
      <c r="AZ1367" t="str">
        <v>LOT0869</v>
      </c>
      <c r="BA1367" s="3">
        <v>20</v>
      </c>
      <c r="BB1367" t="str">
        <v>P/Final</v>
      </c>
      <c r="BC1367">
        <v>15</v>
      </c>
      <c r="BD1367" s="10">
        <v>15.3</v>
      </c>
      <c r="BE1367" s="10">
        <v>15.3</v>
      </c>
      <c r="BF1367" s="10">
        <v>0</v>
      </c>
      <c r="BG1367" s="13">
        <v>45642</v>
      </c>
    </row>
    <row r="1368" spans="49:59" x14ac:dyDescent="0.3">
      <c r="AW1368" s="1">
        <v>20.100000000000001</v>
      </c>
      <c r="AX1368" s="1">
        <v>20.100000000000001</v>
      </c>
      <c r="AY1368" t="str">
        <v>CP-R80_HI782-0_0.0_LOT0869_PWW50.1_QC.xlsx</v>
      </c>
      <c r="AZ1368" t="str">
        <v>LOT0869</v>
      </c>
      <c r="BA1368" s="3">
        <v>20</v>
      </c>
      <c r="BB1368" t="str">
        <v>P/Final</v>
      </c>
      <c r="BC1368">
        <v>15</v>
      </c>
      <c r="BD1368" s="10">
        <v>13.4</v>
      </c>
      <c r="BE1368" s="10">
        <v>13.4</v>
      </c>
      <c r="BF1368" s="10">
        <v>0</v>
      </c>
      <c r="BG1368" s="13">
        <v>45642</v>
      </c>
    </row>
    <row r="1369" spans="49:59" x14ac:dyDescent="0.3">
      <c r="AW1369" s="1">
        <v>20.100000000000001</v>
      </c>
      <c r="AX1369" s="1">
        <v>20.100000000000001</v>
      </c>
      <c r="AY1369" t="str">
        <v>CP-R80_HI782-0_0.0_LOT0869_PWW50.1_QC.xlsx</v>
      </c>
      <c r="AZ1369" t="str">
        <v>LOT0869</v>
      </c>
      <c r="BA1369" s="3">
        <v>20</v>
      </c>
      <c r="BB1369" t="str">
        <v>P/Final</v>
      </c>
      <c r="BC1369">
        <v>15</v>
      </c>
      <c r="BD1369" s="10">
        <v>14.5</v>
      </c>
      <c r="BE1369" s="10">
        <v>14.6</v>
      </c>
      <c r="BF1369" s="10">
        <v>0</v>
      </c>
      <c r="BG1369" s="13">
        <v>45642</v>
      </c>
    </row>
    <row r="1370" spans="49:59" x14ac:dyDescent="0.3">
      <c r="AW1370" s="1">
        <v>20.100000000000001</v>
      </c>
      <c r="AX1370" s="1">
        <v>20.100000000000001</v>
      </c>
      <c r="AY1370" t="str">
        <v>CP-R80_HI782-0_0.0_LOT0869_PWW50.1_QC.xlsx</v>
      </c>
      <c r="AZ1370" t="str">
        <v>LOT0869</v>
      </c>
      <c r="BA1370" s="3">
        <v>20</v>
      </c>
      <c r="BB1370" t="str">
        <v>P/Final</v>
      </c>
      <c r="BC1370">
        <v>15</v>
      </c>
      <c r="BD1370" s="10">
        <v>16.3</v>
      </c>
      <c r="BE1370" s="10">
        <v>16.2</v>
      </c>
      <c r="BF1370" s="10">
        <v>0</v>
      </c>
      <c r="BG1370" s="13">
        <v>45642</v>
      </c>
    </row>
    <row r="1371" spans="49:59" x14ac:dyDescent="0.3">
      <c r="AW1371" s="1">
        <v>20.100000000000001</v>
      </c>
      <c r="AX1371" s="1">
        <v>20.100000000000001</v>
      </c>
      <c r="AY1371" t="str">
        <v>CP-R80_HI782-0_0.0_LOT0869_PWW50.1_QC.xlsx</v>
      </c>
      <c r="AZ1371" t="str">
        <v>LOT0869</v>
      </c>
      <c r="BA1371" s="3">
        <v>20</v>
      </c>
      <c r="BB1371" t="str">
        <v>P/Final</v>
      </c>
      <c r="BC1371">
        <v>15</v>
      </c>
      <c r="BD1371" s="10">
        <v>13.8</v>
      </c>
      <c r="BE1371" s="10">
        <v>13.9</v>
      </c>
      <c r="BF1371" s="10">
        <v>0</v>
      </c>
      <c r="BG1371" s="13">
        <v>45642</v>
      </c>
    </row>
    <row r="1372" spans="49:59" x14ac:dyDescent="0.3">
      <c r="AW1372" s="1">
        <v>20.100000000000001</v>
      </c>
      <c r="AX1372" s="1">
        <v>20.100000000000001</v>
      </c>
      <c r="AY1372" t="str">
        <v>CP-R80_HI782-0_0.0_LOT0869_PWW50.1_QC.xlsx</v>
      </c>
      <c r="AZ1372" t="str">
        <v>LOT0869</v>
      </c>
      <c r="BA1372" s="3">
        <v>20</v>
      </c>
      <c r="BB1372" t="str">
        <v>P/Final</v>
      </c>
      <c r="BC1372">
        <v>15</v>
      </c>
      <c r="BD1372" s="10">
        <v>15.4</v>
      </c>
      <c r="BE1372" s="10">
        <v>15.4</v>
      </c>
      <c r="BF1372" s="10">
        <v>0</v>
      </c>
      <c r="BG1372" s="13">
        <v>45642</v>
      </c>
    </row>
    <row r="1373" spans="49:59" x14ac:dyDescent="0.3">
      <c r="AW1373" s="1">
        <v>20.100000000000001</v>
      </c>
      <c r="AX1373" s="1">
        <v>20.100000000000001</v>
      </c>
      <c r="AY1373" t="str">
        <v>CP-R80_HI782-0_0.0_LOT0869_PWW50.1_QC.xlsx</v>
      </c>
      <c r="AZ1373" t="str">
        <v>LOT0869</v>
      </c>
      <c r="BA1373" s="3">
        <v>20</v>
      </c>
      <c r="BB1373" t="str">
        <v>P/Final</v>
      </c>
      <c r="BC1373">
        <v>15</v>
      </c>
      <c r="BD1373" s="10">
        <v>16.899999999999999</v>
      </c>
      <c r="BE1373" s="10">
        <v>17</v>
      </c>
      <c r="BF1373" s="10">
        <v>0</v>
      </c>
      <c r="BG1373" s="13">
        <v>45642</v>
      </c>
    </row>
    <row r="1374" spans="49:59" x14ac:dyDescent="0.3">
      <c r="AW1374" s="1">
        <v>20.100000000000001</v>
      </c>
      <c r="AX1374" s="1">
        <v>20.100000000000001</v>
      </c>
      <c r="AY1374" t="str">
        <v>CP-R80_HI782-0_0.0_LOT0869_PWW50.1_QC.xlsx</v>
      </c>
      <c r="AZ1374" t="str">
        <v>LOT0869</v>
      </c>
      <c r="BA1374" s="3">
        <v>20</v>
      </c>
      <c r="BB1374" t="str">
        <v>P/Final</v>
      </c>
      <c r="BC1374">
        <v>15</v>
      </c>
      <c r="BD1374" s="10">
        <v>14.8</v>
      </c>
      <c r="BE1374" s="10">
        <v>14.8</v>
      </c>
      <c r="BF1374" s="10">
        <v>0</v>
      </c>
      <c r="BG1374" s="13">
        <v>45642</v>
      </c>
    </row>
    <row r="1375" spans="49:59" x14ac:dyDescent="0.3">
      <c r="AW1375" s="1">
        <v>20.100000000000001</v>
      </c>
      <c r="AX1375" s="1">
        <v>20.100000000000001</v>
      </c>
      <c r="AY1375" t="str">
        <v>CP-R80_HI782-0_0.0_LOT0869_PWW50.1_QC.xlsx</v>
      </c>
      <c r="AZ1375" t="str">
        <v>LOT0869</v>
      </c>
      <c r="BA1375" s="3">
        <v>20</v>
      </c>
      <c r="BB1375" t="str">
        <v>P/Final</v>
      </c>
      <c r="BC1375">
        <v>35</v>
      </c>
      <c r="BD1375" s="10">
        <v>38.5</v>
      </c>
      <c r="BE1375" s="10">
        <v>38.5</v>
      </c>
      <c r="BF1375" s="10">
        <v>0</v>
      </c>
      <c r="BG1375" s="13">
        <v>45642</v>
      </c>
    </row>
    <row r="1376" spans="49:59" x14ac:dyDescent="0.3">
      <c r="AW1376" s="1">
        <v>20.100000000000001</v>
      </c>
      <c r="AX1376" s="1">
        <v>20.100000000000001</v>
      </c>
      <c r="AY1376" t="str">
        <v>CP-R80_HI782-0_0.0_LOT0869_PWW50.1_QC.xlsx</v>
      </c>
      <c r="AZ1376" t="str">
        <v>LOT0869</v>
      </c>
      <c r="BA1376" s="3">
        <v>20</v>
      </c>
      <c r="BB1376" t="str">
        <v>P/Final</v>
      </c>
      <c r="BC1376">
        <v>35</v>
      </c>
      <c r="BD1376" s="10">
        <v>38.6</v>
      </c>
      <c r="BE1376" s="10">
        <v>38.6</v>
      </c>
      <c r="BF1376" s="10">
        <v>0</v>
      </c>
      <c r="BG1376" s="13">
        <v>45642</v>
      </c>
    </row>
    <row r="1377" spans="49:59" x14ac:dyDescent="0.3">
      <c r="AW1377" s="1">
        <v>20.100000000000001</v>
      </c>
      <c r="AX1377" s="1">
        <v>20.100000000000001</v>
      </c>
      <c r="AY1377" t="str">
        <v>CP-R80_HI782-0_0.0_LOT0869_PWW50.1_QC.xlsx</v>
      </c>
      <c r="AZ1377" t="str">
        <v>LOT0869</v>
      </c>
      <c r="BA1377" s="3">
        <v>20</v>
      </c>
      <c r="BB1377" t="str">
        <v>P/Final</v>
      </c>
      <c r="BC1377">
        <v>35</v>
      </c>
      <c r="BD1377" s="10">
        <v>34.4</v>
      </c>
      <c r="BE1377" s="10">
        <v>34.4</v>
      </c>
      <c r="BF1377" s="10">
        <v>0</v>
      </c>
      <c r="BG1377" s="13">
        <v>45642</v>
      </c>
    </row>
    <row r="1378" spans="49:59" x14ac:dyDescent="0.3">
      <c r="AW1378" s="1">
        <v>20.100000000000001</v>
      </c>
      <c r="AX1378" s="1">
        <v>20.100000000000001</v>
      </c>
      <c r="AY1378" t="str">
        <v>CP-R80_HI782-0_0.0_LOT0869_PWW50.1_QC.xlsx</v>
      </c>
      <c r="AZ1378" t="str">
        <v>LOT0869</v>
      </c>
      <c r="BA1378" s="3">
        <v>20</v>
      </c>
      <c r="BB1378" t="str">
        <v>P/Final</v>
      </c>
      <c r="BC1378">
        <v>35</v>
      </c>
      <c r="BD1378" s="10">
        <v>38.700000000000003</v>
      </c>
      <c r="BE1378" s="10">
        <v>39</v>
      </c>
      <c r="BF1378" s="10">
        <v>0</v>
      </c>
      <c r="BG1378" s="13">
        <v>45642</v>
      </c>
    </row>
    <row r="1379" spans="49:59" x14ac:dyDescent="0.3">
      <c r="AW1379" s="1">
        <v>20.100000000000001</v>
      </c>
      <c r="AX1379" s="1">
        <v>20.100000000000001</v>
      </c>
      <c r="AY1379" t="str">
        <v>CP-R80_HI782-0_0.0_LOT0869_PWW50.1_QC.xlsx</v>
      </c>
      <c r="AZ1379" t="str">
        <v>LOT0869</v>
      </c>
      <c r="BA1379" s="3">
        <v>20</v>
      </c>
      <c r="BB1379" t="str">
        <v>P/Final</v>
      </c>
      <c r="BC1379">
        <v>35</v>
      </c>
      <c r="BD1379" s="10">
        <v>37.200000000000003</v>
      </c>
      <c r="BE1379" s="10">
        <v>37.299999999999997</v>
      </c>
      <c r="BF1379" s="10">
        <v>0</v>
      </c>
      <c r="BG1379" s="13">
        <v>45642</v>
      </c>
    </row>
    <row r="1380" spans="49:59" x14ac:dyDescent="0.3">
      <c r="AW1380" s="1">
        <v>20.100000000000001</v>
      </c>
      <c r="AX1380" s="1">
        <v>20.100000000000001</v>
      </c>
      <c r="AY1380" t="str">
        <v>CP-R80_HI782-0_0.0_LOT0869_PWW50.1_QC.xlsx</v>
      </c>
      <c r="AZ1380" t="str">
        <v>LOT0869</v>
      </c>
      <c r="BA1380" s="3">
        <v>20</v>
      </c>
      <c r="BB1380" t="str">
        <v>P/Final</v>
      </c>
      <c r="BC1380">
        <v>35</v>
      </c>
      <c r="BD1380" s="10">
        <v>33.200000000000003</v>
      </c>
      <c r="BE1380" s="10">
        <v>33.299999999999997</v>
      </c>
      <c r="BF1380" s="10">
        <v>0</v>
      </c>
      <c r="BG1380" s="13">
        <v>45642</v>
      </c>
    </row>
    <row r="1381" spans="49:59" x14ac:dyDescent="0.3">
      <c r="AW1381" s="1">
        <v>20.100000000000001</v>
      </c>
      <c r="AX1381" s="1">
        <v>20.100000000000001</v>
      </c>
      <c r="AY1381" t="str">
        <v>CP-R80_HI782-0_0.0_LOT0869_PWW50.1_QC.xlsx</v>
      </c>
      <c r="AZ1381" t="str">
        <v>LOT0869</v>
      </c>
      <c r="BA1381" s="3">
        <v>20</v>
      </c>
      <c r="BB1381" t="str">
        <v>P/Final</v>
      </c>
      <c r="BC1381">
        <v>35</v>
      </c>
      <c r="BD1381" s="10">
        <v>33.9</v>
      </c>
      <c r="BE1381" s="10">
        <v>33.9</v>
      </c>
      <c r="BF1381" s="10">
        <v>0</v>
      </c>
      <c r="BG1381" s="13">
        <v>45642</v>
      </c>
    </row>
    <row r="1382" spans="49:59" x14ac:dyDescent="0.3">
      <c r="AW1382" s="1">
        <v>20.100000000000001</v>
      </c>
      <c r="AX1382" s="1">
        <v>20.100000000000001</v>
      </c>
      <c r="AY1382" t="str">
        <v>CP-R80_HI782-0_0.0_LOT0869_PWW50.1_QC.xlsx</v>
      </c>
      <c r="AZ1382" t="str">
        <v>LOT0869</v>
      </c>
      <c r="BA1382" s="3">
        <v>20</v>
      </c>
      <c r="BB1382" t="str">
        <v>P/Final</v>
      </c>
      <c r="BC1382">
        <v>35</v>
      </c>
      <c r="BD1382" s="10">
        <v>34.4</v>
      </c>
      <c r="BE1382" s="10">
        <v>34.6</v>
      </c>
      <c r="BF1382" s="10">
        <v>0</v>
      </c>
      <c r="BG1382" s="13">
        <v>45642</v>
      </c>
    </row>
    <row r="1383" spans="49:59" x14ac:dyDescent="0.3">
      <c r="AW1383" s="1">
        <v>20.100000000000001</v>
      </c>
      <c r="AX1383" s="1">
        <v>20.100000000000001</v>
      </c>
      <c r="AY1383" t="str">
        <v>CP-R80_HI782-0_0.0_LOT0869_PWW50.1_QC.xlsx</v>
      </c>
      <c r="AZ1383" t="str">
        <v>LOT0869</v>
      </c>
      <c r="BA1383" s="3">
        <v>20</v>
      </c>
      <c r="BB1383" t="str">
        <v>P/Final</v>
      </c>
      <c r="BC1383">
        <v>35</v>
      </c>
      <c r="BD1383" s="10">
        <v>32.799999999999997</v>
      </c>
      <c r="BE1383" s="10">
        <v>33</v>
      </c>
      <c r="BF1383" s="10">
        <v>0</v>
      </c>
      <c r="BG1383" s="13">
        <v>45642</v>
      </c>
    </row>
    <row r="1384" spans="49:59" x14ac:dyDescent="0.3">
      <c r="AW1384" s="1">
        <v>20.100000000000001</v>
      </c>
      <c r="AX1384" s="1">
        <v>20.100000000000001</v>
      </c>
      <c r="AY1384" t="str">
        <v>CP-R80_HI782-0_0.0_LOT0869_PWW50.1_QC.xlsx</v>
      </c>
      <c r="AZ1384" t="str">
        <v>LOT0869</v>
      </c>
      <c r="BA1384" s="3">
        <v>20</v>
      </c>
      <c r="BB1384" t="str">
        <v>P/Final</v>
      </c>
      <c r="BC1384">
        <v>35</v>
      </c>
      <c r="BD1384" s="10">
        <v>35</v>
      </c>
      <c r="BE1384" s="10">
        <v>35.200000000000003</v>
      </c>
      <c r="BF1384" s="10">
        <v>0</v>
      </c>
      <c r="BG1384" s="13">
        <v>45642</v>
      </c>
    </row>
    <row r="1385" spans="49:59" x14ac:dyDescent="0.3">
      <c r="AW1385" s="1">
        <v>20.100000000000001</v>
      </c>
      <c r="AX1385" s="1">
        <v>20.100000000000001</v>
      </c>
      <c r="AY1385" t="str">
        <v>CP-R80_HI782-0_0.0_LOT0869_PWW50.1_QC.xlsx</v>
      </c>
      <c r="AZ1385" t="str">
        <v>LOT0869</v>
      </c>
      <c r="BA1385" s="3">
        <v>20</v>
      </c>
      <c r="BB1385" t="str">
        <v>P/Final</v>
      </c>
      <c r="BC1385">
        <v>35</v>
      </c>
      <c r="BD1385" s="10">
        <v>36.200000000000003</v>
      </c>
      <c r="BE1385" s="10">
        <v>36.4</v>
      </c>
      <c r="BF1385" s="10">
        <v>0</v>
      </c>
      <c r="BG1385" s="13">
        <v>45642</v>
      </c>
    </row>
    <row r="1386" spans="49:59" x14ac:dyDescent="0.3">
      <c r="AW1386" s="1">
        <v>20.100000000000001</v>
      </c>
      <c r="AX1386" s="1">
        <v>20.100000000000001</v>
      </c>
      <c r="AY1386" t="str">
        <v>CP-R80_HI782-0_0.0_LOT0869_PWW50.1_QC.xlsx</v>
      </c>
      <c r="AZ1386" t="str">
        <v>LOT0869</v>
      </c>
      <c r="BA1386" s="3">
        <v>20</v>
      </c>
      <c r="BB1386" t="str">
        <v>P/Final</v>
      </c>
      <c r="BC1386">
        <v>35</v>
      </c>
      <c r="BD1386" s="10">
        <v>33.200000000000003</v>
      </c>
      <c r="BE1386" s="10">
        <v>33.299999999999997</v>
      </c>
      <c r="BF1386" s="10">
        <v>0</v>
      </c>
      <c r="BG1386" s="13">
        <v>45642</v>
      </c>
    </row>
    <row r="1387" spans="49:59" x14ac:dyDescent="0.3">
      <c r="AW1387" s="1">
        <v>20.100000000000001</v>
      </c>
      <c r="AX1387" s="1">
        <v>20.100000000000001</v>
      </c>
      <c r="AY1387" t="str">
        <v>CP-R80_HI782-0_0.0_LOT0869_PWW50.1_QC.xlsx</v>
      </c>
      <c r="AZ1387" t="str">
        <v>LOT0869</v>
      </c>
      <c r="BA1387" s="3">
        <v>20</v>
      </c>
      <c r="BB1387" t="str">
        <v>P/Final</v>
      </c>
      <c r="BC1387">
        <v>35</v>
      </c>
      <c r="BD1387" s="10">
        <v>35.200000000000003</v>
      </c>
      <c r="BE1387" s="10">
        <v>35.4</v>
      </c>
      <c r="BF1387" s="10">
        <v>0</v>
      </c>
      <c r="BG1387" s="13">
        <v>45642</v>
      </c>
    </row>
    <row r="1388" spans="49:59" x14ac:dyDescent="0.3">
      <c r="AW1388" s="1">
        <v>20.100000000000001</v>
      </c>
      <c r="AX1388" s="1">
        <v>20.100000000000001</v>
      </c>
      <c r="AY1388" t="str">
        <v>CP-R80_HI782-0_0.0_LOT0869_PWW50.1_QC.xlsx</v>
      </c>
      <c r="AZ1388" t="str">
        <v>LOT0869</v>
      </c>
      <c r="BA1388" s="3">
        <v>20</v>
      </c>
      <c r="BB1388" t="str">
        <v>P/Final</v>
      </c>
      <c r="BC1388">
        <v>35</v>
      </c>
      <c r="BD1388" s="10">
        <v>34.4</v>
      </c>
      <c r="BE1388" s="10">
        <v>34.299999999999997</v>
      </c>
      <c r="BF1388" s="10">
        <v>0</v>
      </c>
      <c r="BG1388" s="13">
        <v>45642</v>
      </c>
    </row>
    <row r="1389" spans="49:59" x14ac:dyDescent="0.3">
      <c r="AW1389" s="1">
        <v>20.100000000000001</v>
      </c>
      <c r="AX1389" s="1">
        <v>20.100000000000001</v>
      </c>
      <c r="AY1389" t="str">
        <v>CP-R80_HI782-0_0.0_LOT0869_PWW50.1_QC.xlsx</v>
      </c>
      <c r="AZ1389" t="str">
        <v>LOT0869</v>
      </c>
      <c r="BA1389" s="3">
        <v>20</v>
      </c>
      <c r="BB1389" t="str">
        <v>P/Final</v>
      </c>
      <c r="BC1389">
        <v>35</v>
      </c>
      <c r="BD1389" s="10">
        <v>34.9</v>
      </c>
      <c r="BE1389" s="10">
        <v>34.200000000000003</v>
      </c>
      <c r="BF1389" s="10">
        <v>0</v>
      </c>
      <c r="BG1389" s="13">
        <v>45642</v>
      </c>
    </row>
    <row r="1390" spans="49:59" x14ac:dyDescent="0.3">
      <c r="AW1390" s="1">
        <v>20.100000000000001</v>
      </c>
      <c r="AX1390" s="1">
        <v>20.100000000000001</v>
      </c>
      <c r="AY1390" t="str">
        <v>CP-R80_HI782-0_0.0_LOT0869_PWW50.1_QC.xlsx</v>
      </c>
      <c r="AZ1390" t="str">
        <v>LOT0869</v>
      </c>
      <c r="BA1390" s="3">
        <v>20</v>
      </c>
      <c r="BB1390" t="str">
        <v>P/Final</v>
      </c>
      <c r="BC1390">
        <v>35</v>
      </c>
      <c r="BD1390" s="10">
        <v>32</v>
      </c>
      <c r="BE1390" s="10">
        <v>32</v>
      </c>
      <c r="BF1390" s="10">
        <v>0</v>
      </c>
      <c r="BG1390" s="13">
        <v>45642</v>
      </c>
    </row>
    <row r="1391" spans="49:59" x14ac:dyDescent="0.3">
      <c r="AW1391" s="1">
        <v>20.100000000000001</v>
      </c>
      <c r="AX1391" s="1">
        <v>20.100000000000001</v>
      </c>
      <c r="AY1391" t="str">
        <v>CP-R80_HI782-0_0.0_LOT0869_PWW50.1_QC.xlsx</v>
      </c>
      <c r="AZ1391" t="str">
        <v>LOT0869</v>
      </c>
      <c r="BA1391" s="3">
        <v>20</v>
      </c>
      <c r="BB1391" t="str">
        <v>P/Final</v>
      </c>
      <c r="BC1391">
        <v>35</v>
      </c>
      <c r="BD1391" s="10">
        <v>35.700000000000003</v>
      </c>
      <c r="BE1391" s="10">
        <v>36</v>
      </c>
      <c r="BF1391" s="10">
        <v>0</v>
      </c>
      <c r="BG1391" s="13">
        <v>45642</v>
      </c>
    </row>
    <row r="1392" spans="49:59" x14ac:dyDescent="0.3">
      <c r="AW1392" s="1">
        <v>20.100000000000001</v>
      </c>
      <c r="AX1392" s="1">
        <v>20.100000000000001</v>
      </c>
      <c r="AY1392" t="str">
        <v>CP-R80_HI782-0_0.0_LOT0869_PWW50.1_QC.xlsx</v>
      </c>
      <c r="AZ1392" t="str">
        <v>LOT0869</v>
      </c>
      <c r="BA1392" s="3">
        <v>20</v>
      </c>
      <c r="BB1392" t="str">
        <v>P/Final</v>
      </c>
      <c r="BC1392">
        <v>35</v>
      </c>
      <c r="BD1392" s="10">
        <v>37.799999999999997</v>
      </c>
      <c r="BE1392" s="10">
        <v>38</v>
      </c>
      <c r="BF1392" s="10">
        <v>0</v>
      </c>
      <c r="BG1392" s="13">
        <v>45642</v>
      </c>
    </row>
    <row r="1393" spans="49:59" x14ac:dyDescent="0.3">
      <c r="AW1393" s="1">
        <v>20.100000000000001</v>
      </c>
      <c r="AX1393" s="1">
        <v>20.100000000000001</v>
      </c>
      <c r="AY1393" t="str">
        <v>CP-R80_HI782-0_0.0_LOT0869_PWW50.1_QC.xlsx</v>
      </c>
      <c r="AZ1393" t="str">
        <v>LOT0869</v>
      </c>
      <c r="BA1393" s="3">
        <v>20</v>
      </c>
      <c r="BB1393" t="str">
        <v>P/Final</v>
      </c>
      <c r="BC1393">
        <v>60</v>
      </c>
      <c r="BD1393" s="10">
        <v>56.8</v>
      </c>
      <c r="BE1393" s="10">
        <v>57.2</v>
      </c>
      <c r="BF1393" s="10">
        <v>0</v>
      </c>
      <c r="BG1393" s="13">
        <v>45642</v>
      </c>
    </row>
    <row r="1394" spans="49:59" x14ac:dyDescent="0.3">
      <c r="AW1394" s="1">
        <v>20.100000000000001</v>
      </c>
      <c r="AX1394" s="1">
        <v>20.100000000000001</v>
      </c>
      <c r="AY1394" t="str">
        <v>CP-R80_HI782-0_0.0_LOT0869_PWW50.1_QC.xlsx</v>
      </c>
      <c r="AZ1394" t="str">
        <v>LOT0869</v>
      </c>
      <c r="BA1394" s="3">
        <v>20</v>
      </c>
      <c r="BB1394" t="str">
        <v>P/Final</v>
      </c>
      <c r="BC1394">
        <v>60</v>
      </c>
      <c r="BD1394" s="10">
        <v>55.7</v>
      </c>
      <c r="BE1394" s="10">
        <v>55.7</v>
      </c>
      <c r="BF1394" s="10">
        <v>0</v>
      </c>
      <c r="BG1394" s="13">
        <v>45642</v>
      </c>
    </row>
    <row r="1395" spans="49:59" x14ac:dyDescent="0.3">
      <c r="AW1395" s="1">
        <v>20.100000000000001</v>
      </c>
      <c r="AX1395" s="1">
        <v>20.100000000000001</v>
      </c>
      <c r="AY1395" t="str">
        <v>CP-R80_HI782-0_0.0_LOT0869_PWW50.1_QC.xlsx</v>
      </c>
      <c r="AZ1395" t="str">
        <v>LOT0869</v>
      </c>
      <c r="BA1395" s="3">
        <v>20</v>
      </c>
      <c r="BB1395" t="str">
        <v>P/Final</v>
      </c>
      <c r="BC1395">
        <v>60</v>
      </c>
      <c r="BD1395" s="10">
        <v>56.2</v>
      </c>
      <c r="BE1395" s="10">
        <v>56.8</v>
      </c>
      <c r="BF1395" s="10">
        <v>0</v>
      </c>
      <c r="BG1395" s="13">
        <v>45642</v>
      </c>
    </row>
    <row r="1396" spans="49:59" x14ac:dyDescent="0.3">
      <c r="AW1396" s="1">
        <v>20.100000000000001</v>
      </c>
      <c r="AX1396" s="1">
        <v>20.100000000000001</v>
      </c>
      <c r="AY1396" t="str">
        <v>CP-R80_HI782-0_0.0_LOT0869_PWW50.1_QC.xlsx</v>
      </c>
      <c r="AZ1396" t="str">
        <v>LOT0869</v>
      </c>
      <c r="BA1396" s="3">
        <v>20</v>
      </c>
      <c r="BB1396" t="str">
        <v>P/Final</v>
      </c>
      <c r="BC1396">
        <v>60</v>
      </c>
      <c r="BD1396" s="10">
        <v>56.7</v>
      </c>
      <c r="BE1396" s="10">
        <v>56.1</v>
      </c>
      <c r="BF1396" s="10">
        <v>0</v>
      </c>
      <c r="BG1396" s="13">
        <v>45642</v>
      </c>
    </row>
    <row r="1397" spans="49:59" x14ac:dyDescent="0.3">
      <c r="AW1397" s="1">
        <v>20.100000000000001</v>
      </c>
      <c r="AX1397" s="1">
        <v>20.100000000000001</v>
      </c>
      <c r="AY1397" t="str">
        <v>CP-R80_HI782-0_0.0_LOT0869_PWW50.1_QC.xlsx</v>
      </c>
      <c r="AZ1397" t="str">
        <v>LOT0869</v>
      </c>
      <c r="BA1397" s="3">
        <v>20</v>
      </c>
      <c r="BB1397" t="str">
        <v>P/Final</v>
      </c>
      <c r="BC1397">
        <v>60</v>
      </c>
      <c r="BD1397" s="10">
        <v>59.9</v>
      </c>
      <c r="BE1397" s="10">
        <v>59.4</v>
      </c>
      <c r="BF1397" s="10">
        <v>0</v>
      </c>
      <c r="BG1397" s="13">
        <v>45642</v>
      </c>
    </row>
    <row r="1398" spans="49:59" x14ac:dyDescent="0.3">
      <c r="AW1398" s="1">
        <v>20.100000000000001</v>
      </c>
      <c r="AX1398" s="1">
        <v>20.100000000000001</v>
      </c>
      <c r="AY1398" t="str">
        <v>CP-R80_HI782-0_0.0_LOT0869_PWW50.1_QC.xlsx</v>
      </c>
      <c r="AZ1398" t="str">
        <v>LOT0869</v>
      </c>
      <c r="BA1398" s="3">
        <v>20</v>
      </c>
      <c r="BB1398" t="str">
        <v>P/Final</v>
      </c>
      <c r="BC1398">
        <v>60</v>
      </c>
      <c r="BD1398" s="10">
        <v>52.9</v>
      </c>
      <c r="BE1398" s="10">
        <v>52.6</v>
      </c>
      <c r="BF1398" s="10">
        <v>0</v>
      </c>
      <c r="BG1398" s="13">
        <v>45642</v>
      </c>
    </row>
    <row r="1399" spans="49:59" x14ac:dyDescent="0.3">
      <c r="AW1399" s="1">
        <v>20.100000000000001</v>
      </c>
      <c r="AX1399" s="1">
        <v>20.100000000000001</v>
      </c>
      <c r="AY1399" t="str">
        <v>CP-R80_HI782-0_0.0_LOT0869_PWW50.1_QC.xlsx</v>
      </c>
      <c r="AZ1399" t="str">
        <v>LOT0869</v>
      </c>
      <c r="BA1399" s="3">
        <v>20</v>
      </c>
      <c r="BB1399" t="str">
        <v>P/Final</v>
      </c>
      <c r="BC1399">
        <v>60</v>
      </c>
      <c r="BD1399" s="10">
        <v>55.2</v>
      </c>
      <c r="BE1399" s="10">
        <v>54.9</v>
      </c>
      <c r="BF1399" s="10">
        <v>0</v>
      </c>
      <c r="BG1399" s="13">
        <v>45642</v>
      </c>
    </row>
    <row r="1400" spans="49:59" x14ac:dyDescent="0.3">
      <c r="AW1400" s="1">
        <v>20.100000000000001</v>
      </c>
      <c r="AX1400" s="1">
        <v>20.100000000000001</v>
      </c>
      <c r="AY1400" t="str">
        <v>CP-R80_HI782-0_0.0_LOT0869_PWW50.1_QC.xlsx</v>
      </c>
      <c r="AZ1400" t="str">
        <v>LOT0869</v>
      </c>
      <c r="BA1400" s="3">
        <v>20</v>
      </c>
      <c r="BB1400" t="str">
        <v>P/Final</v>
      </c>
      <c r="BC1400">
        <v>60</v>
      </c>
      <c r="BD1400" s="10">
        <v>56</v>
      </c>
      <c r="BE1400" s="10">
        <v>55.9</v>
      </c>
      <c r="BF1400" s="10">
        <v>0</v>
      </c>
      <c r="BG1400" s="13">
        <v>45642</v>
      </c>
    </row>
    <row r="1401" spans="49:59" x14ac:dyDescent="0.3">
      <c r="AW1401" s="1">
        <v>20.100000000000001</v>
      </c>
      <c r="AX1401" s="1">
        <v>20.100000000000001</v>
      </c>
      <c r="AY1401" t="str">
        <v>CP-R80_HI782-0_0.0_LOT0869_PWW50.1_QC.xlsx</v>
      </c>
      <c r="AZ1401" t="str">
        <v>LOT0869</v>
      </c>
      <c r="BA1401" s="3">
        <v>20</v>
      </c>
      <c r="BB1401" t="str">
        <v>P/Final</v>
      </c>
      <c r="BC1401">
        <v>60</v>
      </c>
      <c r="BD1401" s="10">
        <v>58.8</v>
      </c>
      <c r="BE1401" s="10">
        <v>57.1</v>
      </c>
      <c r="BF1401" s="10">
        <v>0</v>
      </c>
      <c r="BG1401" s="13">
        <v>45642</v>
      </c>
    </row>
    <row r="1402" spans="49:59" x14ac:dyDescent="0.3">
      <c r="AW1402" s="1">
        <v>20.100000000000001</v>
      </c>
      <c r="AX1402" s="1">
        <v>20.100000000000001</v>
      </c>
      <c r="AY1402" t="str">
        <v>CP-R80_HI782-0_0.0_LOT0869_PWW50.1_QC.xlsx</v>
      </c>
      <c r="AZ1402" t="str">
        <v>LOT0869</v>
      </c>
      <c r="BA1402" s="3">
        <v>20</v>
      </c>
      <c r="BB1402" t="str">
        <v>P/Final</v>
      </c>
      <c r="BC1402">
        <v>60</v>
      </c>
      <c r="BD1402" s="10">
        <v>60.9</v>
      </c>
      <c r="BE1402" s="10">
        <v>60.1</v>
      </c>
      <c r="BF1402" s="10">
        <v>0</v>
      </c>
      <c r="BG1402" s="13">
        <v>45642</v>
      </c>
    </row>
    <row r="1403" spans="49:59" x14ac:dyDescent="0.3">
      <c r="AW1403" s="1">
        <v>20.100000000000001</v>
      </c>
      <c r="AX1403" s="1">
        <v>20.100000000000001</v>
      </c>
      <c r="AY1403" t="str">
        <v>CP-R80_HI782-0_0.0_LOT0869_PWW50.1_QC.xlsx</v>
      </c>
      <c r="AZ1403" t="str">
        <v>LOT0869</v>
      </c>
      <c r="BA1403" s="3">
        <v>20</v>
      </c>
      <c r="BB1403" t="str">
        <v>P/Final</v>
      </c>
      <c r="BC1403">
        <v>60</v>
      </c>
      <c r="BD1403" s="10">
        <v>56.1</v>
      </c>
      <c r="BE1403" s="10">
        <v>55.8</v>
      </c>
      <c r="BF1403" s="10">
        <v>0</v>
      </c>
      <c r="BG1403" s="13">
        <v>45642</v>
      </c>
    </row>
    <row r="1404" spans="49:59" x14ac:dyDescent="0.3">
      <c r="AW1404" s="1">
        <v>20.100000000000001</v>
      </c>
      <c r="AX1404" s="1">
        <v>20.100000000000001</v>
      </c>
      <c r="AY1404" t="str">
        <v>CP-R80_HI782-0_0.0_LOT0869_PWW50.1_QC.xlsx</v>
      </c>
      <c r="AZ1404" t="str">
        <v>LOT0869</v>
      </c>
      <c r="BA1404" s="3">
        <v>20</v>
      </c>
      <c r="BB1404" t="str">
        <v>P/Final</v>
      </c>
      <c r="BC1404">
        <v>60</v>
      </c>
      <c r="BD1404" s="10">
        <v>55.3</v>
      </c>
      <c r="BE1404" s="10">
        <v>55.3</v>
      </c>
      <c r="BF1404" s="10">
        <v>0</v>
      </c>
      <c r="BG1404" s="13">
        <v>45642</v>
      </c>
    </row>
    <row r="1405" spans="49:59" x14ac:dyDescent="0.3">
      <c r="AW1405" s="1">
        <v>20.100000000000001</v>
      </c>
      <c r="AX1405" s="1">
        <v>20.100000000000001</v>
      </c>
      <c r="AY1405" t="str">
        <v>CP-R80_HI782-0_0.0_LOT0869_PWW50.1_QC.xlsx</v>
      </c>
      <c r="AZ1405" t="str">
        <v>LOT0869</v>
      </c>
      <c r="BA1405" s="3">
        <v>20</v>
      </c>
      <c r="BB1405" t="str">
        <v>P/Final</v>
      </c>
      <c r="BC1405">
        <v>60</v>
      </c>
      <c r="BD1405" s="10">
        <v>56.8</v>
      </c>
      <c r="BE1405" s="10">
        <v>56.7</v>
      </c>
      <c r="BF1405" s="10">
        <v>0</v>
      </c>
      <c r="BG1405" s="13">
        <v>45642</v>
      </c>
    </row>
    <row r="1406" spans="49:59" x14ac:dyDescent="0.3">
      <c r="AW1406" s="1">
        <v>20.100000000000001</v>
      </c>
      <c r="AX1406" s="1">
        <v>20.100000000000001</v>
      </c>
      <c r="AY1406" t="str">
        <v>CP-R80_HI782-0_0.0_LOT0869_PWW50.1_QC.xlsx</v>
      </c>
      <c r="AZ1406" t="str">
        <v>LOT0869</v>
      </c>
      <c r="BA1406" s="3">
        <v>20</v>
      </c>
      <c r="BB1406" t="str">
        <v>P/Final</v>
      </c>
      <c r="BC1406">
        <v>60</v>
      </c>
      <c r="BD1406" s="10">
        <v>59.8</v>
      </c>
      <c r="BE1406" s="10">
        <v>59.7</v>
      </c>
      <c r="BF1406" s="10">
        <v>0</v>
      </c>
      <c r="BG1406" s="13">
        <v>45642</v>
      </c>
    </row>
    <row r="1407" spans="49:59" x14ac:dyDescent="0.3">
      <c r="AW1407" s="1">
        <v>20.100000000000001</v>
      </c>
      <c r="AX1407" s="1">
        <v>20.100000000000001</v>
      </c>
      <c r="AY1407" t="str">
        <v>CP-R80_HI782-0_0.0_LOT0869_PWW50.1_QC.xlsx</v>
      </c>
      <c r="AZ1407" t="str">
        <v>LOT0869</v>
      </c>
      <c r="BA1407" s="3">
        <v>20</v>
      </c>
      <c r="BB1407" t="str">
        <v>P/Final</v>
      </c>
      <c r="BC1407">
        <v>60</v>
      </c>
      <c r="BD1407" s="10">
        <v>55.2</v>
      </c>
      <c r="BE1407" s="10">
        <v>55.3</v>
      </c>
      <c r="BF1407" s="10">
        <v>0</v>
      </c>
      <c r="BG1407" s="13">
        <v>45642</v>
      </c>
    </row>
    <row r="1408" spans="49:59" x14ac:dyDescent="0.3">
      <c r="AW1408" s="1">
        <v>20.100000000000001</v>
      </c>
      <c r="AX1408" s="1">
        <v>20.100000000000001</v>
      </c>
      <c r="AY1408" t="str">
        <v>CP-R80_HI782-0_0.0_LOT0869_PWW50.1_QC.xlsx</v>
      </c>
      <c r="AZ1408" t="str">
        <v>LOT0869</v>
      </c>
      <c r="BA1408" s="3">
        <v>20</v>
      </c>
      <c r="BB1408" t="str">
        <v>P/Final</v>
      </c>
      <c r="BC1408">
        <v>60</v>
      </c>
      <c r="BD1408" s="10">
        <v>57.8</v>
      </c>
      <c r="BE1408" s="10">
        <v>57.5</v>
      </c>
      <c r="BF1408" s="10">
        <v>0</v>
      </c>
      <c r="BG1408" s="13">
        <v>45642</v>
      </c>
    </row>
    <row r="1409" spans="49:59" x14ac:dyDescent="0.3">
      <c r="AW1409" s="1">
        <v>20.100000000000001</v>
      </c>
      <c r="AX1409" s="1">
        <v>20.100000000000001</v>
      </c>
      <c r="AY1409" t="str">
        <v>CP-R80_HI782-0_0.0_LOT0869_PWW50.1_QC.xlsx</v>
      </c>
      <c r="AZ1409" t="str">
        <v>LOT0869</v>
      </c>
      <c r="BA1409" s="3">
        <v>20</v>
      </c>
      <c r="BB1409" t="str">
        <v>P/Final</v>
      </c>
      <c r="BC1409">
        <v>0</v>
      </c>
      <c r="BD1409" s="10">
        <v>0</v>
      </c>
      <c r="BE1409" s="10">
        <v>0</v>
      </c>
      <c r="BF1409" s="10">
        <v>0</v>
      </c>
      <c r="BG1409" s="13">
        <v>45643</v>
      </c>
    </row>
    <row r="1410" spans="49:59" x14ac:dyDescent="0.3">
      <c r="AW1410" s="1">
        <v>20.100000000000001</v>
      </c>
      <c r="AX1410" s="1">
        <v>20.100000000000001</v>
      </c>
      <c r="AY1410" t="str">
        <v>CP-R80_HI782-0_0.0_LOT0869_PWW50.1_QC.xlsx</v>
      </c>
      <c r="AZ1410" t="str">
        <v>LOT0869</v>
      </c>
      <c r="BA1410" s="3">
        <v>20</v>
      </c>
      <c r="BB1410" t="str">
        <v>P/Final</v>
      </c>
      <c r="BC1410">
        <v>15</v>
      </c>
      <c r="BD1410" s="10">
        <v>14.9</v>
      </c>
      <c r="BE1410" s="10">
        <v>14.9</v>
      </c>
      <c r="BF1410" s="10">
        <v>0</v>
      </c>
      <c r="BG1410" s="13">
        <v>45643</v>
      </c>
    </row>
    <row r="1411" spans="49:59" x14ac:dyDescent="0.3">
      <c r="AW1411" s="1">
        <v>20.100000000000001</v>
      </c>
      <c r="AX1411" s="1">
        <v>20.100000000000001</v>
      </c>
      <c r="AY1411" t="str">
        <v>CP-R80_HI782-0_0.0_LOT0869_PWW50.1_QC.xlsx</v>
      </c>
      <c r="AZ1411" t="str">
        <v>LOT0869</v>
      </c>
      <c r="BA1411" s="3">
        <v>20</v>
      </c>
      <c r="BB1411" t="str">
        <v>P/Final</v>
      </c>
      <c r="BC1411">
        <v>15</v>
      </c>
      <c r="BD1411" s="10">
        <v>14.9</v>
      </c>
      <c r="BE1411" s="10">
        <v>15</v>
      </c>
      <c r="BF1411" s="10">
        <v>0</v>
      </c>
      <c r="BG1411" s="13">
        <v>45643</v>
      </c>
    </row>
    <row r="1412" spans="49:59" x14ac:dyDescent="0.3">
      <c r="AW1412" s="1">
        <v>20.100000000000001</v>
      </c>
      <c r="AX1412" s="1">
        <v>20.100000000000001</v>
      </c>
      <c r="AY1412" t="str">
        <v>CP-R80_HI782-0_0.0_LOT0869_PWW50.1_QC.xlsx</v>
      </c>
      <c r="AZ1412" t="str">
        <v>LOT0869</v>
      </c>
      <c r="BA1412" s="3">
        <v>20</v>
      </c>
      <c r="BB1412" t="str">
        <v>P/Final</v>
      </c>
      <c r="BC1412">
        <v>15</v>
      </c>
      <c r="BD1412" s="10">
        <v>15.4</v>
      </c>
      <c r="BE1412" s="10">
        <v>15.3</v>
      </c>
      <c r="BF1412" s="10">
        <v>0</v>
      </c>
      <c r="BG1412" s="13">
        <v>45643</v>
      </c>
    </row>
    <row r="1413" spans="49:59" x14ac:dyDescent="0.3">
      <c r="AW1413" s="1">
        <v>20.100000000000001</v>
      </c>
      <c r="AX1413" s="1">
        <v>20.100000000000001</v>
      </c>
      <c r="AY1413" t="str">
        <v>CP-R80_HI782-0_0.0_LOT0869_PWW50.1_QC.xlsx</v>
      </c>
      <c r="AZ1413" t="str">
        <v>LOT0869</v>
      </c>
      <c r="BA1413" s="3">
        <v>20</v>
      </c>
      <c r="BB1413" t="str">
        <v>P/Final</v>
      </c>
      <c r="BC1413">
        <v>15</v>
      </c>
      <c r="BD1413" s="10">
        <v>15.8</v>
      </c>
      <c r="BE1413" s="10">
        <v>16</v>
      </c>
      <c r="BF1413" s="10">
        <v>0</v>
      </c>
      <c r="BG1413" s="13">
        <v>45643</v>
      </c>
    </row>
    <row r="1414" spans="49:59" x14ac:dyDescent="0.3">
      <c r="AW1414" s="1">
        <v>20.100000000000001</v>
      </c>
      <c r="AX1414" s="1">
        <v>20.100000000000001</v>
      </c>
      <c r="AY1414" t="str">
        <v>CP-R80_HI782-0_0.0_LOT0869_PWW50.1_QC.xlsx</v>
      </c>
      <c r="AZ1414" t="str">
        <v>LOT0869</v>
      </c>
      <c r="BA1414" s="3">
        <v>20</v>
      </c>
      <c r="BB1414" t="str">
        <v>P/Final</v>
      </c>
      <c r="BC1414">
        <v>15</v>
      </c>
      <c r="BD1414" s="10">
        <v>14.9</v>
      </c>
      <c r="BE1414" s="10">
        <v>14.9</v>
      </c>
      <c r="BF1414" s="10">
        <v>0</v>
      </c>
      <c r="BG1414" s="13">
        <v>45643</v>
      </c>
    </row>
    <row r="1415" spans="49:59" x14ac:dyDescent="0.3">
      <c r="AW1415" s="1">
        <v>20.100000000000001</v>
      </c>
      <c r="AX1415" s="1">
        <v>20.100000000000001</v>
      </c>
      <c r="AY1415" t="str">
        <v>CP-R80_HI782-0_0.0_LOT0869_PWW50.1_QC.xlsx</v>
      </c>
      <c r="AZ1415" t="str">
        <v>LOT0869</v>
      </c>
      <c r="BA1415" s="3">
        <v>20</v>
      </c>
      <c r="BB1415" t="str">
        <v>P/Final</v>
      </c>
      <c r="BC1415">
        <v>15</v>
      </c>
      <c r="BD1415" s="10">
        <v>15</v>
      </c>
      <c r="BE1415" s="10">
        <v>15</v>
      </c>
      <c r="BF1415" s="10">
        <v>0</v>
      </c>
      <c r="BG1415" s="13">
        <v>45643</v>
      </c>
    </row>
    <row r="1416" spans="49:59" x14ac:dyDescent="0.3">
      <c r="AW1416" s="1">
        <v>20.100000000000001</v>
      </c>
      <c r="AX1416" s="1">
        <v>20.100000000000001</v>
      </c>
      <c r="AY1416" t="str">
        <v>CP-R80_HI782-0_0.0_LOT0869_PWW50.1_QC.xlsx</v>
      </c>
      <c r="AZ1416" t="str">
        <v>LOT0869</v>
      </c>
      <c r="BA1416" s="3">
        <v>20</v>
      </c>
      <c r="BB1416" t="str">
        <v>P/Final</v>
      </c>
      <c r="BC1416">
        <v>15</v>
      </c>
      <c r="BD1416" s="10">
        <v>14.7</v>
      </c>
      <c r="BE1416" s="10">
        <v>14.8</v>
      </c>
      <c r="BF1416" s="10">
        <v>0</v>
      </c>
      <c r="BG1416" s="13">
        <v>45643</v>
      </c>
    </row>
    <row r="1417" spans="49:59" x14ac:dyDescent="0.3">
      <c r="AW1417" s="1">
        <v>20.100000000000001</v>
      </c>
      <c r="AX1417" s="1">
        <v>20.100000000000001</v>
      </c>
      <c r="AY1417" t="str">
        <v>CP-R80_HI782-0_0.0_LOT0869_PWW50.1_QC.xlsx</v>
      </c>
      <c r="AZ1417" t="str">
        <v>LOT0869</v>
      </c>
      <c r="BA1417" s="3">
        <v>20</v>
      </c>
      <c r="BB1417" t="str">
        <v>P/Final</v>
      </c>
      <c r="BC1417">
        <v>15</v>
      </c>
      <c r="BD1417" s="10">
        <v>16.399999999999999</v>
      </c>
      <c r="BE1417" s="10">
        <v>16.3</v>
      </c>
      <c r="BF1417" s="10">
        <v>0</v>
      </c>
      <c r="BG1417" s="13">
        <v>45643</v>
      </c>
    </row>
    <row r="1418" spans="49:59" x14ac:dyDescent="0.3">
      <c r="AW1418" s="1">
        <v>20.100000000000001</v>
      </c>
      <c r="AX1418" s="1">
        <v>20.100000000000001</v>
      </c>
      <c r="AY1418" t="str">
        <v>CP-R80_HI782-0_0.0_LOT0869_PWW50.1_QC.xlsx</v>
      </c>
      <c r="AZ1418" t="str">
        <v>LOT0869</v>
      </c>
      <c r="BA1418" s="3">
        <v>20</v>
      </c>
      <c r="BB1418" t="str">
        <v>P/Final</v>
      </c>
      <c r="BC1418">
        <v>15</v>
      </c>
      <c r="BD1418" s="10">
        <v>14.5</v>
      </c>
      <c r="BE1418" s="10">
        <v>14.4</v>
      </c>
      <c r="BF1418" s="10">
        <v>0</v>
      </c>
      <c r="BG1418" s="13">
        <v>45643</v>
      </c>
    </row>
    <row r="1419" spans="49:59" x14ac:dyDescent="0.3">
      <c r="AW1419" s="1">
        <v>20.100000000000001</v>
      </c>
      <c r="AX1419" s="1">
        <v>20.100000000000001</v>
      </c>
      <c r="AY1419" t="str">
        <v>CP-R80_HI782-0_0.0_LOT0869_PWW50.1_QC.xlsx</v>
      </c>
      <c r="AZ1419" t="str">
        <v>LOT0869</v>
      </c>
      <c r="BA1419" s="3">
        <v>20</v>
      </c>
      <c r="BB1419" t="str">
        <v>P/Final</v>
      </c>
      <c r="BC1419">
        <v>15</v>
      </c>
      <c r="BD1419" s="10">
        <v>14.4</v>
      </c>
      <c r="BE1419" s="10">
        <v>14.8</v>
      </c>
      <c r="BF1419" s="10">
        <v>0</v>
      </c>
      <c r="BG1419" s="13">
        <v>45643</v>
      </c>
    </row>
    <row r="1420" spans="49:59" x14ac:dyDescent="0.3">
      <c r="AW1420" s="1">
        <v>20.100000000000001</v>
      </c>
      <c r="AX1420" s="1">
        <v>20.100000000000001</v>
      </c>
      <c r="AY1420" t="str">
        <v>CP-R80_HI782-0_0.0_LOT0869_PWW50.1_QC.xlsx</v>
      </c>
      <c r="AZ1420" t="str">
        <v>LOT0869</v>
      </c>
      <c r="BA1420" s="3">
        <v>20</v>
      </c>
      <c r="BB1420" t="str">
        <v>P/Final</v>
      </c>
      <c r="BC1420">
        <v>15</v>
      </c>
      <c r="BD1420" s="10">
        <v>15.6</v>
      </c>
      <c r="BE1420" s="10">
        <v>15.9</v>
      </c>
      <c r="BF1420" s="10">
        <v>0</v>
      </c>
      <c r="BG1420" s="13">
        <v>45643</v>
      </c>
    </row>
    <row r="1421" spans="49:59" x14ac:dyDescent="0.3">
      <c r="AW1421" s="1">
        <v>20.100000000000001</v>
      </c>
      <c r="AX1421" s="1">
        <v>20.100000000000001</v>
      </c>
      <c r="AY1421" t="str">
        <v>CP-R80_HI782-0_0.0_LOT0869_PWW50.1_QC.xlsx</v>
      </c>
      <c r="AZ1421" t="str">
        <v>LOT0869</v>
      </c>
      <c r="BA1421" s="3">
        <v>20</v>
      </c>
      <c r="BB1421" t="str">
        <v>P/Final</v>
      </c>
      <c r="BC1421">
        <v>15</v>
      </c>
      <c r="BD1421" s="10">
        <v>16.600000000000001</v>
      </c>
      <c r="BE1421" s="10">
        <v>16.5</v>
      </c>
      <c r="BF1421" s="10">
        <v>0</v>
      </c>
      <c r="BG1421" s="13">
        <v>45643</v>
      </c>
    </row>
    <row r="1422" spans="49:59" x14ac:dyDescent="0.3">
      <c r="AW1422" s="1">
        <v>20.100000000000001</v>
      </c>
      <c r="AX1422" s="1">
        <v>20.100000000000001</v>
      </c>
      <c r="AY1422" t="str">
        <v>CP-R80_HI782-0_0.0_LOT0869_PWW50.1_QC.xlsx</v>
      </c>
      <c r="AZ1422" t="str">
        <v>LOT0869</v>
      </c>
      <c r="BA1422" s="3">
        <v>20</v>
      </c>
      <c r="BB1422" t="str">
        <v>P/Final</v>
      </c>
      <c r="BC1422">
        <v>15</v>
      </c>
      <c r="BD1422" s="10">
        <v>14.9</v>
      </c>
      <c r="BE1422" s="10">
        <v>15</v>
      </c>
      <c r="BF1422" s="10">
        <v>0</v>
      </c>
      <c r="BG1422" s="13">
        <v>45643</v>
      </c>
    </row>
    <row r="1423" spans="49:59" x14ac:dyDescent="0.3">
      <c r="AW1423" s="1">
        <v>20.100000000000001</v>
      </c>
      <c r="AX1423" s="1">
        <v>20.100000000000001</v>
      </c>
      <c r="AY1423" t="str">
        <v>CP-R80_HI782-0_0.0_LOT0869_PWW50.1_QC.xlsx</v>
      </c>
      <c r="AZ1423" t="str">
        <v>LOT0869</v>
      </c>
      <c r="BA1423" s="3">
        <v>20</v>
      </c>
      <c r="BB1423" t="str">
        <v>P/Final</v>
      </c>
      <c r="BC1423">
        <v>35</v>
      </c>
      <c r="BD1423" s="10">
        <v>34.700000000000003</v>
      </c>
      <c r="BE1423" s="10">
        <v>35</v>
      </c>
      <c r="BF1423" s="10">
        <v>0</v>
      </c>
      <c r="BG1423" s="13">
        <v>45643</v>
      </c>
    </row>
    <row r="1424" spans="49:59" x14ac:dyDescent="0.3">
      <c r="AW1424" s="1">
        <v>20.100000000000001</v>
      </c>
      <c r="AX1424" s="1">
        <v>20.100000000000001</v>
      </c>
      <c r="AY1424" t="str">
        <v>CP-R80_HI782-0_0.0_LOT0869_PWW50.1_QC.xlsx</v>
      </c>
      <c r="AZ1424" t="str">
        <v>LOT0869</v>
      </c>
      <c r="BA1424" s="3">
        <v>20</v>
      </c>
      <c r="BB1424" t="str">
        <v>P/Final</v>
      </c>
      <c r="BC1424">
        <v>35</v>
      </c>
      <c r="BD1424" s="10">
        <v>35</v>
      </c>
      <c r="BE1424" s="10">
        <v>35.1</v>
      </c>
      <c r="BF1424" s="10">
        <v>0</v>
      </c>
      <c r="BG1424" s="13">
        <v>45643</v>
      </c>
    </row>
    <row r="1425" spans="49:59" x14ac:dyDescent="0.3">
      <c r="AW1425" s="1">
        <v>20.100000000000001</v>
      </c>
      <c r="AX1425" s="1">
        <v>20.100000000000001</v>
      </c>
      <c r="AY1425" t="str">
        <v>CP-R80_HI782-0_0.0_LOT0869_PWW50.1_QC.xlsx</v>
      </c>
      <c r="AZ1425" t="str">
        <v>LOT0869</v>
      </c>
      <c r="BA1425" s="3">
        <v>20</v>
      </c>
      <c r="BB1425" t="str">
        <v>P/Final</v>
      </c>
      <c r="BC1425">
        <v>35</v>
      </c>
      <c r="BD1425" s="10">
        <v>37.6</v>
      </c>
      <c r="BE1425" s="10">
        <v>37.700000000000003</v>
      </c>
      <c r="BF1425" s="10">
        <v>0</v>
      </c>
      <c r="BG1425" s="13">
        <v>45643</v>
      </c>
    </row>
    <row r="1426" spans="49:59" x14ac:dyDescent="0.3">
      <c r="AW1426" s="1">
        <v>20.100000000000001</v>
      </c>
      <c r="AX1426" s="1">
        <v>20.100000000000001</v>
      </c>
      <c r="AY1426" t="str">
        <v>CP-R80_HI782-0_0.0_LOT0869_PWW50.1_QC.xlsx</v>
      </c>
      <c r="AZ1426" t="str">
        <v>LOT0869</v>
      </c>
      <c r="BA1426" s="3">
        <v>20</v>
      </c>
      <c r="BB1426" t="str">
        <v>P/Final</v>
      </c>
      <c r="BC1426">
        <v>35</v>
      </c>
      <c r="BD1426" s="10">
        <v>35</v>
      </c>
      <c r="BE1426" s="10">
        <v>35</v>
      </c>
      <c r="BF1426" s="10">
        <v>0</v>
      </c>
      <c r="BG1426" s="13">
        <v>45643</v>
      </c>
    </row>
    <row r="1427" spans="49:59" x14ac:dyDescent="0.3">
      <c r="AW1427" s="1">
        <v>20.100000000000001</v>
      </c>
      <c r="AX1427" s="1">
        <v>20.100000000000001</v>
      </c>
      <c r="AY1427" t="str">
        <v>CP-R80_HI782-0_0.0_LOT0869_PWW50.1_QC.xlsx</v>
      </c>
      <c r="AZ1427" t="str">
        <v>LOT0869</v>
      </c>
      <c r="BA1427" s="3">
        <v>20</v>
      </c>
      <c r="BB1427" t="str">
        <v>P/Final</v>
      </c>
      <c r="BC1427">
        <v>35</v>
      </c>
      <c r="BD1427" s="10">
        <v>35.4</v>
      </c>
      <c r="BE1427" s="10">
        <v>35.200000000000003</v>
      </c>
      <c r="BF1427" s="10">
        <v>0</v>
      </c>
      <c r="BG1427" s="13">
        <v>45643</v>
      </c>
    </row>
    <row r="1428" spans="49:59" x14ac:dyDescent="0.3">
      <c r="AW1428" s="1">
        <v>20.100000000000001</v>
      </c>
      <c r="AX1428" s="1">
        <v>20.100000000000001</v>
      </c>
      <c r="AY1428" t="str">
        <v>CP-R80_HI782-0_0.0_LOT0869_PWW50.1_QC.xlsx</v>
      </c>
      <c r="AZ1428" t="str">
        <v>LOT0869</v>
      </c>
      <c r="BA1428" s="3">
        <v>20</v>
      </c>
      <c r="BB1428" t="str">
        <v>P/Final</v>
      </c>
      <c r="BC1428">
        <v>35</v>
      </c>
      <c r="BD1428" s="10">
        <v>33.1</v>
      </c>
      <c r="BE1428" s="10">
        <v>33.1</v>
      </c>
      <c r="BF1428" s="10">
        <v>0</v>
      </c>
      <c r="BG1428" s="13">
        <v>45643</v>
      </c>
    </row>
    <row r="1429" spans="49:59" x14ac:dyDescent="0.3">
      <c r="AW1429" s="1">
        <v>20.100000000000001</v>
      </c>
      <c r="AX1429" s="1">
        <v>20.100000000000001</v>
      </c>
      <c r="AY1429" t="str">
        <v>CP-R80_HI782-0_0.0_LOT0869_PWW50.1_QC.xlsx</v>
      </c>
      <c r="AZ1429" t="str">
        <v>LOT0869</v>
      </c>
      <c r="BA1429" s="3">
        <v>20</v>
      </c>
      <c r="BB1429" t="str">
        <v>P/Final</v>
      </c>
      <c r="BC1429">
        <v>35</v>
      </c>
      <c r="BD1429" s="10">
        <v>35.200000000000003</v>
      </c>
      <c r="BE1429" s="10">
        <v>35</v>
      </c>
      <c r="BF1429" s="10">
        <v>0</v>
      </c>
      <c r="BG1429" s="13">
        <v>45643</v>
      </c>
    </row>
    <row r="1430" spans="49:59" x14ac:dyDescent="0.3">
      <c r="AW1430" s="1">
        <v>20.100000000000001</v>
      </c>
      <c r="AX1430" s="1">
        <v>20.100000000000001</v>
      </c>
      <c r="AY1430" t="str">
        <v>CP-R80_HI782-0_0.0_LOT0869_PWW50.1_QC.xlsx</v>
      </c>
      <c r="AZ1430" t="str">
        <v>LOT0869</v>
      </c>
      <c r="BA1430" s="3">
        <v>20</v>
      </c>
      <c r="BB1430" t="str">
        <v>P/Final</v>
      </c>
      <c r="BC1430">
        <v>35</v>
      </c>
      <c r="BD1430" s="10">
        <v>35.200000000000003</v>
      </c>
      <c r="BE1430" s="10">
        <v>35.299999999999997</v>
      </c>
      <c r="BF1430" s="10">
        <v>0</v>
      </c>
      <c r="BG1430" s="13">
        <v>45643</v>
      </c>
    </row>
    <row r="1431" spans="49:59" x14ac:dyDescent="0.3">
      <c r="AW1431" s="1">
        <v>20.100000000000001</v>
      </c>
      <c r="AX1431" s="1">
        <v>20.100000000000001</v>
      </c>
      <c r="AY1431" t="str">
        <v>CP-R80_HI782-0_0.0_LOT0869_PWW50.1_QC.xlsx</v>
      </c>
      <c r="AZ1431" t="str">
        <v>LOT0869</v>
      </c>
      <c r="BA1431" s="3">
        <v>20</v>
      </c>
      <c r="BB1431" t="str">
        <v>P/Final</v>
      </c>
      <c r="BC1431">
        <v>35</v>
      </c>
      <c r="BD1431" s="10">
        <v>32.4</v>
      </c>
      <c r="BE1431" s="10">
        <v>32.4</v>
      </c>
      <c r="BF1431" s="10">
        <v>0</v>
      </c>
      <c r="BG1431" s="13">
        <v>45643</v>
      </c>
    </row>
    <row r="1432" spans="49:59" x14ac:dyDescent="0.3">
      <c r="AW1432" s="1">
        <v>20.100000000000001</v>
      </c>
      <c r="AX1432" s="1">
        <v>20.100000000000001</v>
      </c>
      <c r="AY1432" t="str">
        <v>CP-R80_HI782-0_0.0_LOT0869_PWW50.1_QC.xlsx</v>
      </c>
      <c r="AZ1432" t="str">
        <v>LOT0869</v>
      </c>
      <c r="BA1432" s="3">
        <v>20</v>
      </c>
      <c r="BB1432" t="str">
        <v>P/Final</v>
      </c>
      <c r="BC1432">
        <v>35</v>
      </c>
      <c r="BD1432" s="10">
        <v>35.299999999999997</v>
      </c>
      <c r="BE1432" s="10">
        <v>35.6</v>
      </c>
      <c r="BF1432" s="10">
        <v>0</v>
      </c>
      <c r="BG1432" s="13">
        <v>45643</v>
      </c>
    </row>
    <row r="1433" spans="49:59" x14ac:dyDescent="0.3">
      <c r="AW1433" s="1">
        <v>20.100000000000001</v>
      </c>
      <c r="AX1433" s="1">
        <v>20.100000000000001</v>
      </c>
      <c r="AY1433" t="str">
        <v>CP-R80_HI782-0_0.0_LOT0869_PWW50.1_QC.xlsx</v>
      </c>
      <c r="AZ1433" t="str">
        <v>LOT0869</v>
      </c>
      <c r="BA1433" s="3">
        <v>20</v>
      </c>
      <c r="BB1433" t="str">
        <v>P/Final</v>
      </c>
      <c r="BC1433">
        <v>35</v>
      </c>
      <c r="BD1433" s="10">
        <v>34.200000000000003</v>
      </c>
      <c r="BE1433" s="10">
        <v>34.5</v>
      </c>
      <c r="BF1433" s="10">
        <v>0</v>
      </c>
      <c r="BG1433" s="13">
        <v>45643</v>
      </c>
    </row>
    <row r="1434" spans="49:59" x14ac:dyDescent="0.3">
      <c r="AW1434" s="1">
        <v>20.100000000000001</v>
      </c>
      <c r="AX1434" s="1">
        <v>20.100000000000001</v>
      </c>
      <c r="AY1434" t="str">
        <v>CP-R80_HI782-0_0.0_LOT0869_PWW50.1_QC.xlsx</v>
      </c>
      <c r="AZ1434" t="str">
        <v>LOT0869</v>
      </c>
      <c r="BA1434" s="3">
        <v>20</v>
      </c>
      <c r="BB1434" t="str">
        <v>P/Final</v>
      </c>
      <c r="BC1434">
        <v>35</v>
      </c>
      <c r="BD1434" s="10">
        <v>36.4</v>
      </c>
      <c r="BE1434" s="10">
        <v>36.4</v>
      </c>
      <c r="BF1434" s="10">
        <v>0</v>
      </c>
      <c r="BG1434" s="13">
        <v>45643</v>
      </c>
    </row>
    <row r="1435" spans="49:59" x14ac:dyDescent="0.3">
      <c r="AW1435" s="1">
        <v>20.100000000000001</v>
      </c>
      <c r="AX1435" s="1">
        <v>20.100000000000001</v>
      </c>
      <c r="AY1435" t="str">
        <v>CP-R80_HI782-0_0.0_LOT0869_PWW50.1_QC.xlsx</v>
      </c>
      <c r="AZ1435" t="str">
        <v>LOT0869</v>
      </c>
      <c r="BA1435" s="3">
        <v>20</v>
      </c>
      <c r="BB1435" t="str">
        <v>P/Final</v>
      </c>
      <c r="BC1435">
        <v>35</v>
      </c>
      <c r="BD1435" s="10">
        <v>33.6</v>
      </c>
      <c r="BE1435" s="10">
        <v>33.5</v>
      </c>
      <c r="BF1435" s="10">
        <v>0</v>
      </c>
      <c r="BG1435" s="13">
        <v>45643</v>
      </c>
    </row>
    <row r="1436" spans="49:59" x14ac:dyDescent="0.3">
      <c r="AW1436" s="1">
        <v>20.100000000000001</v>
      </c>
      <c r="AX1436" s="1">
        <v>20.100000000000001</v>
      </c>
      <c r="AY1436" t="str">
        <v>CP-R80_HI782-0_0.0_LOT0869_PWW50.1_QC.xlsx</v>
      </c>
      <c r="AZ1436" t="str">
        <v>LOT0869</v>
      </c>
      <c r="BA1436" s="3">
        <v>20</v>
      </c>
      <c r="BB1436" t="str">
        <v>P/Final</v>
      </c>
      <c r="BC1436">
        <v>35</v>
      </c>
      <c r="BD1436" s="10">
        <v>36.5</v>
      </c>
      <c r="BE1436" s="10">
        <v>36.5</v>
      </c>
      <c r="BF1436" s="10">
        <v>0</v>
      </c>
      <c r="BG1436" s="13">
        <v>45643</v>
      </c>
    </row>
    <row r="1437" spans="49:59" x14ac:dyDescent="0.3">
      <c r="AW1437" s="1">
        <v>20.100000000000001</v>
      </c>
      <c r="AX1437" s="1">
        <v>20.100000000000001</v>
      </c>
      <c r="AY1437" t="str">
        <v>CP-R80_HI782-0_0.0_LOT0869_PWW50.1_QC.xlsx</v>
      </c>
      <c r="AZ1437" t="str">
        <v>LOT0869</v>
      </c>
      <c r="BA1437" s="3">
        <v>20</v>
      </c>
      <c r="BB1437" t="str">
        <v>P/Final</v>
      </c>
      <c r="BC1437">
        <v>35</v>
      </c>
      <c r="BD1437" s="10">
        <v>36.1</v>
      </c>
      <c r="BE1437" s="10">
        <v>36.1</v>
      </c>
      <c r="BF1437" s="10">
        <v>0</v>
      </c>
      <c r="BG1437" s="13">
        <v>45643</v>
      </c>
    </row>
    <row r="1438" spans="49:59" x14ac:dyDescent="0.3">
      <c r="AW1438" s="1">
        <v>20.100000000000001</v>
      </c>
      <c r="AX1438" s="1">
        <v>20.100000000000001</v>
      </c>
      <c r="AY1438" t="str">
        <v>CP-R80_HI782-0_0.0_LOT0869_PWW50.1_QC.xlsx</v>
      </c>
      <c r="AZ1438" t="str">
        <v>LOT0869</v>
      </c>
      <c r="BA1438" s="3">
        <v>20</v>
      </c>
      <c r="BB1438" t="str">
        <v>P/Final</v>
      </c>
      <c r="BC1438">
        <v>35</v>
      </c>
      <c r="BD1438" s="10">
        <v>33.700000000000003</v>
      </c>
      <c r="BE1438" s="10">
        <v>33.799999999999997</v>
      </c>
      <c r="BF1438" s="10">
        <v>0</v>
      </c>
      <c r="BG1438" s="13">
        <v>45643</v>
      </c>
    </row>
    <row r="1439" spans="49:59" x14ac:dyDescent="0.3">
      <c r="AW1439" s="1">
        <v>20.100000000000001</v>
      </c>
      <c r="AX1439" s="1">
        <v>20.100000000000001</v>
      </c>
      <c r="AY1439" t="str">
        <v>CP-R80_HI782-0_0.0_LOT0869_PWW50.1_QC.xlsx</v>
      </c>
      <c r="AZ1439" t="str">
        <v>LOT0869</v>
      </c>
      <c r="BA1439" s="3">
        <v>20</v>
      </c>
      <c r="BB1439" t="str">
        <v>P/Final</v>
      </c>
      <c r="BC1439">
        <v>60</v>
      </c>
      <c r="BD1439" s="10">
        <v>55.3</v>
      </c>
      <c r="BE1439" s="10">
        <v>55.4</v>
      </c>
      <c r="BF1439" s="10">
        <v>0</v>
      </c>
      <c r="BG1439" s="13">
        <v>45643</v>
      </c>
    </row>
    <row r="1440" spans="49:59" x14ac:dyDescent="0.3">
      <c r="AW1440" s="1">
        <v>20.100000000000001</v>
      </c>
      <c r="AX1440" s="1">
        <v>20.100000000000001</v>
      </c>
      <c r="AY1440" t="str">
        <v>CP-R80_HI782-0_0.0_LOT0869_PWW50.1_QC.xlsx</v>
      </c>
      <c r="AZ1440" t="str">
        <v>LOT0869</v>
      </c>
      <c r="BA1440" s="3">
        <v>20</v>
      </c>
      <c r="BB1440" t="str">
        <v>P/Final</v>
      </c>
      <c r="BC1440">
        <v>60</v>
      </c>
      <c r="BD1440" s="10">
        <v>59.9</v>
      </c>
      <c r="BE1440" s="10">
        <v>59.6</v>
      </c>
      <c r="BF1440" s="10">
        <v>0</v>
      </c>
      <c r="BG1440" s="13">
        <v>45643</v>
      </c>
    </row>
    <row r="1441" spans="49:59" x14ac:dyDescent="0.3">
      <c r="AW1441" s="1">
        <v>20.100000000000001</v>
      </c>
      <c r="AX1441" s="1">
        <v>20.100000000000001</v>
      </c>
      <c r="AY1441" t="str">
        <v>CP-R80_HI782-0_0.0_LOT0869_PWW50.1_QC.xlsx</v>
      </c>
      <c r="AZ1441" t="str">
        <v>LOT0869</v>
      </c>
      <c r="BA1441" s="3">
        <v>20</v>
      </c>
      <c r="BB1441" t="str">
        <v>P/Final</v>
      </c>
      <c r="BC1441">
        <v>60</v>
      </c>
      <c r="BD1441" s="10">
        <v>60.4</v>
      </c>
      <c r="BE1441" s="10">
        <v>60.6</v>
      </c>
      <c r="BF1441" s="10">
        <v>0</v>
      </c>
      <c r="BG1441" s="13">
        <v>45643</v>
      </c>
    </row>
    <row r="1442" spans="49:59" x14ac:dyDescent="0.3">
      <c r="AW1442" s="1">
        <v>20.100000000000001</v>
      </c>
      <c r="AX1442" s="1">
        <v>20.100000000000001</v>
      </c>
      <c r="AY1442" t="str">
        <v>CP-R80_HI782-0_0.0_LOT0869_PWW50.1_QC.xlsx</v>
      </c>
      <c r="AZ1442" t="str">
        <v>LOT0869</v>
      </c>
      <c r="BA1442" s="3">
        <v>20</v>
      </c>
      <c r="BB1442" t="str">
        <v>P/Final</v>
      </c>
      <c r="BC1442">
        <v>60</v>
      </c>
      <c r="BD1442" s="10">
        <v>55.1</v>
      </c>
      <c r="BE1442" s="10">
        <v>55.6</v>
      </c>
      <c r="BF1442" s="10">
        <v>0</v>
      </c>
      <c r="BG1442" s="13">
        <v>45643</v>
      </c>
    </row>
    <row r="1443" spans="49:59" x14ac:dyDescent="0.3">
      <c r="AW1443" s="1">
        <v>20.100000000000001</v>
      </c>
      <c r="AX1443" s="1">
        <v>20.100000000000001</v>
      </c>
      <c r="AY1443" t="str">
        <v>CP-R80_HI782-0_0.0_LOT0869_PWW50.1_QC.xlsx</v>
      </c>
      <c r="AZ1443" t="str">
        <v>LOT0869</v>
      </c>
      <c r="BA1443" s="3">
        <v>20</v>
      </c>
      <c r="BB1443" t="str">
        <v>P/Final</v>
      </c>
      <c r="BC1443">
        <v>60</v>
      </c>
      <c r="BD1443" s="10">
        <v>59.6</v>
      </c>
      <c r="BE1443" s="10">
        <v>58.6</v>
      </c>
      <c r="BF1443" s="10">
        <v>0</v>
      </c>
      <c r="BG1443" s="13">
        <v>45643</v>
      </c>
    </row>
    <row r="1444" spans="49:59" x14ac:dyDescent="0.3">
      <c r="AW1444" s="1">
        <v>20.100000000000001</v>
      </c>
      <c r="AX1444" s="1">
        <v>20.100000000000001</v>
      </c>
      <c r="AY1444" t="str">
        <v>CP-R80_HI782-0_0.0_LOT0869_PWW50.1_QC.xlsx</v>
      </c>
      <c r="AZ1444" t="str">
        <v>LOT0869</v>
      </c>
      <c r="BA1444" s="3">
        <v>20</v>
      </c>
      <c r="BB1444" t="str">
        <v>P/Final</v>
      </c>
      <c r="BC1444">
        <v>60</v>
      </c>
      <c r="BD1444" s="10">
        <v>56.1</v>
      </c>
      <c r="BE1444" s="10">
        <v>57.9</v>
      </c>
      <c r="BF1444" s="10">
        <v>0</v>
      </c>
      <c r="BG1444" s="13">
        <v>45643</v>
      </c>
    </row>
    <row r="1445" spans="49:59" x14ac:dyDescent="0.3">
      <c r="AW1445" s="1">
        <v>20.100000000000001</v>
      </c>
      <c r="AX1445" s="1">
        <v>20.100000000000001</v>
      </c>
      <c r="AY1445" t="str">
        <v>CP-R80_HI782-0_0.0_LOT0869_PWW50.1_QC.xlsx</v>
      </c>
      <c r="AZ1445" t="str">
        <v>LOT0869</v>
      </c>
      <c r="BA1445" s="3">
        <v>20</v>
      </c>
      <c r="BB1445" t="str">
        <v>P/Final</v>
      </c>
      <c r="BC1445">
        <v>60</v>
      </c>
      <c r="BD1445" s="10">
        <v>56.3</v>
      </c>
      <c r="BE1445" s="10">
        <v>55.6</v>
      </c>
      <c r="BF1445" s="10">
        <v>0</v>
      </c>
      <c r="BG1445" s="13">
        <v>45643</v>
      </c>
    </row>
    <row r="1446" spans="49:59" x14ac:dyDescent="0.3">
      <c r="AW1446" s="1">
        <v>20.100000000000001</v>
      </c>
      <c r="AX1446" s="1">
        <v>20.100000000000001</v>
      </c>
      <c r="AY1446" t="str">
        <v>CP-R80_HI782-0_0.0_LOT0869_PWW50.1_QC.xlsx</v>
      </c>
      <c r="AZ1446" t="str">
        <v>LOT0869</v>
      </c>
      <c r="BA1446" s="3">
        <v>20</v>
      </c>
      <c r="BB1446" t="str">
        <v>P/Final</v>
      </c>
      <c r="BC1446">
        <v>60</v>
      </c>
      <c r="BD1446" s="10">
        <v>57.2</v>
      </c>
      <c r="BE1446" s="10">
        <v>56.1</v>
      </c>
      <c r="BF1446" s="10">
        <v>0</v>
      </c>
      <c r="BG1446" s="13">
        <v>45643</v>
      </c>
    </row>
    <row r="1447" spans="49:59" x14ac:dyDescent="0.3">
      <c r="AW1447" s="1">
        <v>20.100000000000001</v>
      </c>
      <c r="AX1447" s="1">
        <v>20.100000000000001</v>
      </c>
      <c r="AY1447" t="str">
        <v>CP-R80_HI782-0_0.0_LOT0869_PWW50.1_QC.xlsx</v>
      </c>
      <c r="AZ1447" t="str">
        <v>LOT0869</v>
      </c>
      <c r="BA1447" s="3">
        <v>20</v>
      </c>
      <c r="BB1447" t="str">
        <v>P/Final</v>
      </c>
      <c r="BC1447">
        <v>60</v>
      </c>
      <c r="BD1447" s="10">
        <v>54.4</v>
      </c>
      <c r="BE1447" s="10">
        <v>55.5</v>
      </c>
      <c r="BF1447" s="10">
        <v>0</v>
      </c>
      <c r="BG1447" s="13">
        <v>45643</v>
      </c>
    </row>
    <row r="1448" spans="49:59" x14ac:dyDescent="0.3">
      <c r="AW1448" s="1">
        <v>20.100000000000001</v>
      </c>
      <c r="AX1448" s="1">
        <v>20.100000000000001</v>
      </c>
      <c r="AY1448" t="str">
        <v>CP-R80_HI782-0_0.0_LOT0869_PWW50.1_QC.xlsx</v>
      </c>
      <c r="AZ1448" t="str">
        <v>LOT0869</v>
      </c>
      <c r="BA1448" s="3">
        <v>20</v>
      </c>
      <c r="BB1448" t="str">
        <v>P/Final</v>
      </c>
      <c r="BC1448">
        <v>60</v>
      </c>
      <c r="BD1448" s="10">
        <v>57</v>
      </c>
      <c r="BE1448" s="10">
        <v>56.2</v>
      </c>
      <c r="BF1448" s="10">
        <v>0</v>
      </c>
      <c r="BG1448" s="13">
        <v>45643</v>
      </c>
    </row>
    <row r="1449" spans="49:59" x14ac:dyDescent="0.3">
      <c r="AW1449" s="1">
        <v>20.100000000000001</v>
      </c>
      <c r="AX1449" s="1">
        <v>20.100000000000001</v>
      </c>
      <c r="AY1449" t="str">
        <v>CP-R80_HI782-0_0.0_LOT0869_PWW50.1_QC.xlsx</v>
      </c>
      <c r="AZ1449" t="str">
        <v>LOT0869</v>
      </c>
      <c r="BA1449" s="3">
        <v>20</v>
      </c>
      <c r="BB1449" t="str">
        <v>P/Final</v>
      </c>
      <c r="BC1449">
        <v>60</v>
      </c>
      <c r="BD1449" s="10">
        <v>51.4</v>
      </c>
      <c r="BE1449" s="10">
        <v>51.6</v>
      </c>
      <c r="BF1449" s="10">
        <v>0</v>
      </c>
      <c r="BG1449" s="13">
        <v>45643</v>
      </c>
    </row>
    <row r="1450" spans="49:59" x14ac:dyDescent="0.3">
      <c r="AW1450" s="1">
        <v>20.100000000000001</v>
      </c>
      <c r="AX1450" s="1">
        <v>20.100000000000001</v>
      </c>
      <c r="AY1450" t="str">
        <v>CP-R80_HI782-0_0.0_LOT0869_PWW50.1_QC.xlsx</v>
      </c>
      <c r="AZ1450" t="str">
        <v>LOT0869</v>
      </c>
      <c r="BA1450" s="3">
        <v>20</v>
      </c>
      <c r="BB1450" t="str">
        <v>P/Final</v>
      </c>
      <c r="BC1450">
        <v>60</v>
      </c>
      <c r="BD1450" s="10">
        <v>59.1</v>
      </c>
      <c r="BE1450" s="10">
        <v>59.4</v>
      </c>
      <c r="BF1450" s="10">
        <v>0</v>
      </c>
      <c r="BG1450" s="13">
        <v>45643</v>
      </c>
    </row>
    <row r="1451" spans="49:59" x14ac:dyDescent="0.3">
      <c r="AW1451" s="1">
        <v>20.100000000000001</v>
      </c>
      <c r="AX1451" s="1">
        <v>20.100000000000001</v>
      </c>
      <c r="AY1451" t="str">
        <v>CP-R80_HI782-0_0.0_LOT0869_PWW50.1_QC.xlsx</v>
      </c>
      <c r="AZ1451" t="str">
        <v>LOT0869</v>
      </c>
      <c r="BA1451" s="3">
        <v>20</v>
      </c>
      <c r="BB1451" t="str">
        <v>P/Final</v>
      </c>
      <c r="BC1451">
        <v>60</v>
      </c>
      <c r="BD1451" s="10">
        <v>58.8</v>
      </c>
      <c r="BE1451" s="10">
        <v>58.6</v>
      </c>
      <c r="BF1451" s="10">
        <v>0</v>
      </c>
      <c r="BG1451" s="13">
        <v>45643</v>
      </c>
    </row>
    <row r="1452" spans="49:59" x14ac:dyDescent="0.3">
      <c r="AW1452" s="1">
        <v>20.100000000000001</v>
      </c>
      <c r="AX1452" s="1">
        <v>20.100000000000001</v>
      </c>
      <c r="AY1452" t="str">
        <v>CP-R80_HI782-0_0.0_LOT0869_PWW50.1_QC.xlsx</v>
      </c>
      <c r="AZ1452" t="str">
        <v>LOT0869</v>
      </c>
      <c r="BA1452" s="3">
        <v>20</v>
      </c>
      <c r="BB1452" t="str">
        <v>P/Final</v>
      </c>
      <c r="BC1452">
        <v>60</v>
      </c>
      <c r="BD1452" s="10">
        <v>55.4</v>
      </c>
      <c r="BE1452" s="10">
        <v>55.1</v>
      </c>
      <c r="BF1452" s="10">
        <v>0</v>
      </c>
      <c r="BG1452" s="13">
        <v>45643</v>
      </c>
    </row>
    <row r="1453" spans="49:59" x14ac:dyDescent="0.3">
      <c r="AW1453" s="1">
        <v>20.100000000000001</v>
      </c>
      <c r="AX1453" s="1">
        <v>20.100000000000001</v>
      </c>
      <c r="AY1453" t="str">
        <v>CP-R80_HI782-0_0.0_LOT0869_PWW50.1_QC.xlsx</v>
      </c>
      <c r="AZ1453" t="str">
        <v>LOT0869</v>
      </c>
      <c r="BA1453" s="3">
        <v>20</v>
      </c>
      <c r="BB1453" t="str">
        <v>P/Final</v>
      </c>
      <c r="BC1453">
        <v>60</v>
      </c>
      <c r="BD1453" s="10">
        <v>57.7</v>
      </c>
      <c r="BE1453" s="10">
        <v>57.3</v>
      </c>
      <c r="BF1453" s="10">
        <v>0</v>
      </c>
      <c r="BG1453" s="13">
        <v>45643</v>
      </c>
    </row>
    <row r="1454" spans="49:59" x14ac:dyDescent="0.3">
      <c r="AW1454" s="1">
        <v>20.100000000000001</v>
      </c>
      <c r="AX1454" s="1">
        <v>20.100000000000001</v>
      </c>
      <c r="AY1454" t="str">
        <v>CP-R80_HI782-0_0.0_LOT0869_PWW50.1_QC.xlsx</v>
      </c>
      <c r="AZ1454" t="str">
        <v>LOT0869</v>
      </c>
      <c r="BA1454" s="3">
        <v>20</v>
      </c>
      <c r="BB1454" t="str">
        <v>P/Final</v>
      </c>
      <c r="BC1454">
        <v>60</v>
      </c>
      <c r="BD1454" s="10">
        <v>59.3</v>
      </c>
      <c r="BE1454" s="10">
        <v>59.8</v>
      </c>
      <c r="BF1454" s="10">
        <v>0</v>
      </c>
      <c r="BG1454" s="13">
        <v>45643</v>
      </c>
    </row>
    <row r="1455" spans="49:59" x14ac:dyDescent="0.3">
      <c r="AW1455" s="1">
        <v>20.100000000000001</v>
      </c>
      <c r="AX1455" s="1">
        <v>20.100000000000001</v>
      </c>
      <c r="AY1455" t="str">
        <v>CP-R80_HI782-0_0.0_LOT0869_PWW50.1_QC.xlsx</v>
      </c>
      <c r="AZ1455" t="str">
        <v>LOT0869</v>
      </c>
      <c r="BA1455" s="3">
        <v>20</v>
      </c>
      <c r="BB1455" t="str">
        <v>P/Final</v>
      </c>
      <c r="BC1455">
        <v>60</v>
      </c>
      <c r="BD1455" s="10">
        <v>57.6</v>
      </c>
      <c r="BE1455" s="10">
        <v>57.7</v>
      </c>
      <c r="BF1455" s="10">
        <v>0</v>
      </c>
      <c r="BG1455" s="13">
        <v>45643</v>
      </c>
    </row>
    <row r="1456" spans="49:59" x14ac:dyDescent="0.3">
      <c r="AW1456" s="1">
        <v>20.100000000000001</v>
      </c>
      <c r="AX1456" s="1">
        <v>20.100000000000001</v>
      </c>
      <c r="AY1456" t="str">
        <v>CP-R80_HI782-0_0.0_LOT0869_PWW50.1_QC.xlsx</v>
      </c>
      <c r="AZ1456" t="str">
        <v>LOT0869</v>
      </c>
      <c r="BA1456" s="3">
        <v>20</v>
      </c>
      <c r="BB1456" t="str">
        <v>P/Final</v>
      </c>
      <c r="BC1456">
        <v>60</v>
      </c>
      <c r="BD1456" s="10">
        <v>56.2</v>
      </c>
      <c r="BE1456" s="10">
        <v>56.4</v>
      </c>
      <c r="BF1456" s="10">
        <v>0</v>
      </c>
      <c r="BG1456" s="13">
        <v>45643</v>
      </c>
    </row>
    <row r="1457" spans="49:59" x14ac:dyDescent="0.3">
      <c r="AW1457" s="1">
        <v>20.100000000000001</v>
      </c>
      <c r="AX1457" s="1">
        <v>20.100000000000001</v>
      </c>
      <c r="AY1457" t="str">
        <v>CP-R80_HI782-0_0.0_LOT0869_PWW50.1_QC.xlsx</v>
      </c>
      <c r="AZ1457" t="str">
        <v>LOT0869</v>
      </c>
      <c r="BA1457" s="3">
        <v>20</v>
      </c>
      <c r="BB1457" t="str">
        <v>P/Final</v>
      </c>
      <c r="BC1457">
        <v>0</v>
      </c>
      <c r="BD1457" s="10">
        <v>0</v>
      </c>
      <c r="BE1457" s="10">
        <v>0</v>
      </c>
      <c r="BF1457" s="10">
        <v>0</v>
      </c>
      <c r="BG1457" s="13">
        <v>45644</v>
      </c>
    </row>
    <row r="1458" spans="49:59" x14ac:dyDescent="0.3">
      <c r="AW1458" s="1">
        <v>20.100000000000001</v>
      </c>
      <c r="AX1458" s="1">
        <v>20.100000000000001</v>
      </c>
      <c r="AY1458" t="str">
        <v>CP-R80_HI782-0_0.0_LOT0869_PWW50.1_QC.xlsx</v>
      </c>
      <c r="AZ1458" t="str">
        <v>LOT0869</v>
      </c>
      <c r="BA1458" s="3">
        <v>20</v>
      </c>
      <c r="BB1458" t="str">
        <v>P/Final</v>
      </c>
      <c r="BC1458">
        <v>0</v>
      </c>
      <c r="BD1458" s="10">
        <v>0</v>
      </c>
      <c r="BE1458" s="10">
        <v>0</v>
      </c>
      <c r="BF1458" s="10">
        <v>0</v>
      </c>
      <c r="BG1458" s="13">
        <v>45644</v>
      </c>
    </row>
    <row r="1459" spans="49:59" x14ac:dyDescent="0.3">
      <c r="AW1459" s="1">
        <v>20.100000000000001</v>
      </c>
      <c r="AX1459" s="1">
        <v>20.100000000000001</v>
      </c>
      <c r="AY1459" t="str">
        <v>CP-R80_HI782-0_0.0_LOT0869_PWW50.1_QC.xlsx</v>
      </c>
      <c r="AZ1459" t="str">
        <v>LOT0869</v>
      </c>
      <c r="BA1459" s="3">
        <v>20</v>
      </c>
      <c r="BB1459" t="str">
        <v>P/Final</v>
      </c>
      <c r="BC1459">
        <v>15</v>
      </c>
      <c r="BD1459" s="10">
        <v>14.9</v>
      </c>
      <c r="BE1459" s="10">
        <v>14.8</v>
      </c>
      <c r="BF1459" s="10">
        <v>0</v>
      </c>
      <c r="BG1459" s="13">
        <v>45644</v>
      </c>
    </row>
    <row r="1460" spans="49:59" x14ac:dyDescent="0.3">
      <c r="AW1460" s="1">
        <v>20.100000000000001</v>
      </c>
      <c r="AX1460" s="1">
        <v>20.100000000000001</v>
      </c>
      <c r="AY1460" t="str">
        <v>CP-R80_HI782-0_0.0_LOT0869_PWW50.1_QC.xlsx</v>
      </c>
      <c r="AZ1460" t="str">
        <v>LOT0869</v>
      </c>
      <c r="BA1460" s="3">
        <v>20</v>
      </c>
      <c r="BB1460" t="str">
        <v>P/Final</v>
      </c>
      <c r="BC1460">
        <v>15</v>
      </c>
      <c r="BD1460" s="10">
        <v>14.1</v>
      </c>
      <c r="BE1460" s="10">
        <v>14</v>
      </c>
      <c r="BF1460" s="10">
        <v>0</v>
      </c>
      <c r="BG1460" s="13">
        <v>45644</v>
      </c>
    </row>
    <row r="1461" spans="49:59" x14ac:dyDescent="0.3">
      <c r="AW1461" s="1">
        <v>20.100000000000001</v>
      </c>
      <c r="AX1461" s="1">
        <v>20.100000000000001</v>
      </c>
      <c r="AY1461" t="str">
        <v>CP-R80_HI782-0_0.0_LOT0869_PWW50.1_QC.xlsx</v>
      </c>
      <c r="AZ1461" t="str">
        <v>LOT0869</v>
      </c>
      <c r="BA1461" s="3">
        <v>20</v>
      </c>
      <c r="BB1461" t="str">
        <v>P/Final</v>
      </c>
      <c r="BC1461">
        <v>15</v>
      </c>
      <c r="BD1461" s="10">
        <v>15</v>
      </c>
      <c r="BE1461" s="10">
        <v>15</v>
      </c>
      <c r="BF1461" s="10">
        <v>0</v>
      </c>
      <c r="BG1461" s="13">
        <v>45644</v>
      </c>
    </row>
    <row r="1462" spans="49:59" x14ac:dyDescent="0.3">
      <c r="AW1462" s="1">
        <v>20.100000000000001</v>
      </c>
      <c r="AX1462" s="1">
        <v>20.100000000000001</v>
      </c>
      <c r="AY1462" t="str">
        <v>CP-R80_HI782-0_0.0_LOT0869_PWW50.1_QC.xlsx</v>
      </c>
      <c r="AZ1462" t="str">
        <v>LOT0869</v>
      </c>
      <c r="BA1462" s="3">
        <v>20</v>
      </c>
      <c r="BB1462" t="str">
        <v>P/Final</v>
      </c>
      <c r="BC1462">
        <v>15</v>
      </c>
      <c r="BD1462" s="10">
        <v>15.1</v>
      </c>
      <c r="BE1462" s="10">
        <v>15</v>
      </c>
      <c r="BF1462" s="10">
        <v>0</v>
      </c>
      <c r="BG1462" s="13">
        <v>45644</v>
      </c>
    </row>
    <row r="1463" spans="49:59" x14ac:dyDescent="0.3">
      <c r="AW1463" s="1">
        <v>20.100000000000001</v>
      </c>
      <c r="AX1463" s="1">
        <v>20.100000000000001</v>
      </c>
      <c r="AY1463" t="str">
        <v>CP-R80_HI782-0_0.0_LOT0869_PWW50.1_QC.xlsx</v>
      </c>
      <c r="AZ1463" t="str">
        <v>LOT0869</v>
      </c>
      <c r="BA1463" s="3">
        <v>20</v>
      </c>
      <c r="BB1463" t="str">
        <v>P/Final</v>
      </c>
      <c r="BC1463">
        <v>15</v>
      </c>
      <c r="BD1463" s="10">
        <v>13.8</v>
      </c>
      <c r="BE1463" s="10">
        <v>13.6</v>
      </c>
      <c r="BF1463" s="10">
        <v>0</v>
      </c>
      <c r="BG1463" s="13">
        <v>45644</v>
      </c>
    </row>
    <row r="1464" spans="49:59" x14ac:dyDescent="0.3">
      <c r="AW1464" s="1">
        <v>20.100000000000001</v>
      </c>
      <c r="AX1464" s="1">
        <v>20.100000000000001</v>
      </c>
      <c r="AY1464" t="str">
        <v>CP-R80_HI782-0_0.0_LOT0869_PWW50.1_QC.xlsx</v>
      </c>
      <c r="AZ1464" t="str">
        <v>LOT0869</v>
      </c>
      <c r="BA1464" s="3">
        <v>20</v>
      </c>
      <c r="BB1464" t="str">
        <v>P/Final</v>
      </c>
      <c r="BC1464">
        <v>15</v>
      </c>
      <c r="BD1464" s="10">
        <v>14.2</v>
      </c>
      <c r="BE1464" s="10">
        <v>14.2</v>
      </c>
      <c r="BF1464" s="10">
        <v>0</v>
      </c>
      <c r="BG1464" s="13">
        <v>45644</v>
      </c>
    </row>
    <row r="1465" spans="49:59" x14ac:dyDescent="0.3">
      <c r="AW1465" s="1">
        <v>20.100000000000001</v>
      </c>
      <c r="AX1465" s="1">
        <v>20.100000000000001</v>
      </c>
      <c r="AY1465" t="str">
        <v>CP-R80_HI782-0_0.0_LOT0869_PWW50.1_QC.xlsx</v>
      </c>
      <c r="AZ1465" t="str">
        <v>LOT0869</v>
      </c>
      <c r="BA1465" s="3">
        <v>20</v>
      </c>
      <c r="BB1465" t="str">
        <v>P/Final</v>
      </c>
      <c r="BC1465">
        <v>15</v>
      </c>
      <c r="BD1465" s="10">
        <v>16.3</v>
      </c>
      <c r="BE1465" s="10">
        <v>16.2</v>
      </c>
      <c r="BF1465" s="10">
        <v>0</v>
      </c>
      <c r="BG1465" s="13">
        <v>45644</v>
      </c>
    </row>
    <row r="1466" spans="49:59" x14ac:dyDescent="0.3">
      <c r="AW1466" s="1">
        <v>20.100000000000001</v>
      </c>
      <c r="AX1466" s="1">
        <v>20.100000000000001</v>
      </c>
      <c r="AY1466" t="str">
        <v>CP-R80_HI782-0_0.0_LOT0869_PWW50.1_QC.xlsx</v>
      </c>
      <c r="AZ1466" t="str">
        <v>LOT0869</v>
      </c>
      <c r="BA1466" s="3">
        <v>20</v>
      </c>
      <c r="BB1466" t="str">
        <v>P/Final</v>
      </c>
      <c r="BC1466">
        <v>15</v>
      </c>
      <c r="BD1466" s="10">
        <v>17.5</v>
      </c>
      <c r="BE1466" s="10">
        <v>17.5</v>
      </c>
      <c r="BF1466" s="10">
        <v>0</v>
      </c>
      <c r="BG1466" s="13">
        <v>45644</v>
      </c>
    </row>
    <row r="1467" spans="49:59" x14ac:dyDescent="0.3">
      <c r="AW1467" s="1">
        <v>20.100000000000001</v>
      </c>
      <c r="AX1467" s="1">
        <v>20.100000000000001</v>
      </c>
      <c r="AY1467" t="str">
        <v>CP-R80_HI782-0_0.0_LOT0869_PWW50.1_QC.xlsx</v>
      </c>
      <c r="AZ1467" t="str">
        <v>LOT0869</v>
      </c>
      <c r="BA1467" s="3">
        <v>20</v>
      </c>
      <c r="BB1467" t="str">
        <v>P/Final</v>
      </c>
      <c r="BC1467">
        <v>15</v>
      </c>
      <c r="BD1467" s="10">
        <v>15.1</v>
      </c>
      <c r="BE1467" s="10">
        <v>15.2</v>
      </c>
      <c r="BF1467" s="10">
        <v>0</v>
      </c>
      <c r="BG1467" s="13">
        <v>45644</v>
      </c>
    </row>
    <row r="1468" spans="49:59" x14ac:dyDescent="0.3">
      <c r="AW1468" s="1">
        <v>20.100000000000001</v>
      </c>
      <c r="AX1468" s="1">
        <v>20.100000000000001</v>
      </c>
      <c r="AY1468" t="str">
        <v>CP-R80_HI782-0_0.0_LOT0869_PWW50.1_QC.xlsx</v>
      </c>
      <c r="AZ1468" t="str">
        <v>LOT0869</v>
      </c>
      <c r="BA1468" s="3">
        <v>20</v>
      </c>
      <c r="BB1468" t="str">
        <v>P/Final</v>
      </c>
      <c r="BC1468">
        <v>15</v>
      </c>
      <c r="BD1468" s="10">
        <v>15.3</v>
      </c>
      <c r="BE1468" s="10">
        <v>15.3</v>
      </c>
      <c r="BF1468" s="10">
        <v>0</v>
      </c>
      <c r="BG1468" s="13">
        <v>45644</v>
      </c>
    </row>
    <row r="1469" spans="49:59" x14ac:dyDescent="0.3">
      <c r="AW1469" s="1">
        <v>20.100000000000001</v>
      </c>
      <c r="AX1469" s="1">
        <v>20.100000000000001</v>
      </c>
      <c r="AY1469" t="str">
        <v>CP-R80_HI782-0_0.0_LOT0869_PWW50.1_QC.xlsx</v>
      </c>
      <c r="AZ1469" t="str">
        <v>LOT0869</v>
      </c>
      <c r="BA1469" s="3">
        <v>20</v>
      </c>
      <c r="BB1469" t="str">
        <v>P/Final</v>
      </c>
      <c r="BC1469">
        <v>15</v>
      </c>
      <c r="BD1469" s="10">
        <v>13.6</v>
      </c>
      <c r="BE1469" s="10">
        <v>13.6</v>
      </c>
      <c r="BF1469" s="10">
        <v>0</v>
      </c>
      <c r="BG1469" s="13">
        <v>45644</v>
      </c>
    </row>
    <row r="1470" spans="49:59" x14ac:dyDescent="0.3">
      <c r="AW1470" s="1">
        <v>20.100000000000001</v>
      </c>
      <c r="AX1470" s="1">
        <v>20.100000000000001</v>
      </c>
      <c r="AY1470" t="str">
        <v>CP-R80_HI782-0_0.0_LOT0869_PWW50.1_QC.xlsx</v>
      </c>
      <c r="AZ1470" t="str">
        <v>LOT0869</v>
      </c>
      <c r="BA1470" s="3">
        <v>20</v>
      </c>
      <c r="BB1470" t="str">
        <v>P/Final</v>
      </c>
      <c r="BC1470">
        <v>15</v>
      </c>
      <c r="BD1470" s="10">
        <v>15</v>
      </c>
      <c r="BE1470" s="10">
        <v>14.9</v>
      </c>
      <c r="BF1470" s="10">
        <v>0</v>
      </c>
      <c r="BG1470" s="13">
        <v>45644</v>
      </c>
    </row>
    <row r="1471" spans="49:59" x14ac:dyDescent="0.3">
      <c r="AW1471" s="1">
        <v>20.100000000000001</v>
      </c>
      <c r="AX1471" s="1">
        <v>20.100000000000001</v>
      </c>
      <c r="AY1471" t="str">
        <v>CP-R80_HI782-0_0.0_LOT0869_PWW50.1_QC.xlsx</v>
      </c>
      <c r="AZ1471" t="str">
        <v>LOT0869</v>
      </c>
      <c r="BA1471" s="3">
        <v>20</v>
      </c>
      <c r="BB1471" t="str">
        <v>P/Final</v>
      </c>
      <c r="BC1471">
        <v>15</v>
      </c>
      <c r="BD1471" s="10">
        <v>15.5</v>
      </c>
      <c r="BE1471" s="10">
        <v>15.4</v>
      </c>
      <c r="BF1471" s="10">
        <v>0</v>
      </c>
      <c r="BG1471" s="13">
        <v>45644</v>
      </c>
    </row>
    <row r="1472" spans="49:59" x14ac:dyDescent="0.3">
      <c r="AW1472" s="1">
        <v>20.100000000000001</v>
      </c>
      <c r="AX1472" s="1">
        <v>20.100000000000001</v>
      </c>
      <c r="AY1472" t="str">
        <v>CP-R80_HI782-0_0.0_LOT0869_PWW50.1_QC.xlsx</v>
      </c>
      <c r="AZ1472" t="str">
        <v>LOT0869</v>
      </c>
      <c r="BA1472" s="3">
        <v>20</v>
      </c>
      <c r="BB1472" t="str">
        <v>P/Final</v>
      </c>
      <c r="BC1472">
        <v>15</v>
      </c>
      <c r="BD1472" s="10">
        <v>15.4</v>
      </c>
      <c r="BE1472" s="10">
        <v>15.4</v>
      </c>
      <c r="BF1472" s="10">
        <v>0</v>
      </c>
      <c r="BG1472" s="13">
        <v>45644</v>
      </c>
    </row>
    <row r="1473" spans="49:59" x14ac:dyDescent="0.3">
      <c r="AW1473" s="1">
        <v>20.100000000000001</v>
      </c>
      <c r="AX1473" s="1">
        <v>20.100000000000001</v>
      </c>
      <c r="AY1473" t="str">
        <v>CP-R80_HI782-0_0.0_LOT0869_PWW50.1_QC.xlsx</v>
      </c>
      <c r="AZ1473" t="str">
        <v>LOT0869</v>
      </c>
      <c r="BA1473" s="3">
        <v>20</v>
      </c>
      <c r="BB1473" t="str">
        <v>P/Final</v>
      </c>
      <c r="BC1473">
        <v>35</v>
      </c>
      <c r="BD1473" s="10">
        <v>34.6</v>
      </c>
      <c r="BE1473" s="10">
        <v>34.6</v>
      </c>
      <c r="BF1473" s="10">
        <v>0</v>
      </c>
      <c r="BG1473" s="13">
        <v>45644</v>
      </c>
    </row>
    <row r="1474" spans="49:59" x14ac:dyDescent="0.3">
      <c r="AW1474" s="1">
        <v>20.100000000000001</v>
      </c>
      <c r="AX1474" s="1">
        <v>20.100000000000001</v>
      </c>
      <c r="AY1474" t="str">
        <v>CP-R80_HI782-0_0.0_LOT0869_PWW50.1_QC.xlsx</v>
      </c>
      <c r="AZ1474" t="str">
        <v>LOT0869</v>
      </c>
      <c r="BA1474" s="3">
        <v>20</v>
      </c>
      <c r="BB1474" t="str">
        <v>P/Final</v>
      </c>
      <c r="BC1474">
        <v>35</v>
      </c>
      <c r="BD1474" s="10">
        <v>37</v>
      </c>
      <c r="BE1474" s="10">
        <v>36.9</v>
      </c>
      <c r="BF1474" s="10">
        <v>0</v>
      </c>
      <c r="BG1474" s="13">
        <v>45644</v>
      </c>
    </row>
    <row r="1475" spans="49:59" x14ac:dyDescent="0.3">
      <c r="AW1475" s="1">
        <v>20.100000000000001</v>
      </c>
      <c r="AX1475" s="1">
        <v>20.100000000000001</v>
      </c>
      <c r="AY1475" t="str">
        <v>CP-R80_HI782-0_0.0_LOT0869_PWW50.1_QC.xlsx</v>
      </c>
      <c r="AZ1475" t="str">
        <v>LOT0869</v>
      </c>
      <c r="BA1475" s="3">
        <v>20</v>
      </c>
      <c r="BB1475" t="str">
        <v>P/Final</v>
      </c>
      <c r="BC1475">
        <v>35</v>
      </c>
      <c r="BD1475" s="10">
        <v>36.700000000000003</v>
      </c>
      <c r="BE1475" s="10">
        <v>37.1</v>
      </c>
      <c r="BF1475" s="10">
        <v>0</v>
      </c>
      <c r="BG1475" s="13">
        <v>45644</v>
      </c>
    </row>
    <row r="1476" spans="49:59" x14ac:dyDescent="0.3">
      <c r="AW1476" s="1">
        <v>20.100000000000001</v>
      </c>
      <c r="AX1476" s="1">
        <v>20.100000000000001</v>
      </c>
      <c r="AY1476" t="str">
        <v>CP-R80_HI782-0_0.0_LOT0869_PWW50.1_QC.xlsx</v>
      </c>
      <c r="AZ1476" t="str">
        <v>LOT0869</v>
      </c>
      <c r="BA1476" s="3">
        <v>20</v>
      </c>
      <c r="BB1476" t="str">
        <v>P/Final</v>
      </c>
      <c r="BC1476">
        <v>35</v>
      </c>
      <c r="BD1476" s="10">
        <v>33.9</v>
      </c>
      <c r="BE1476" s="10">
        <v>33.799999999999997</v>
      </c>
      <c r="BF1476" s="10">
        <v>0</v>
      </c>
      <c r="BG1476" s="13">
        <v>45644</v>
      </c>
    </row>
    <row r="1477" spans="49:59" x14ac:dyDescent="0.3">
      <c r="AW1477" s="1">
        <v>20.100000000000001</v>
      </c>
      <c r="AX1477" s="1">
        <v>20.100000000000001</v>
      </c>
      <c r="AY1477" t="str">
        <v>CP-R80_HI782-0_0.0_LOT0869_PWW50.1_QC.xlsx</v>
      </c>
      <c r="AZ1477" t="str">
        <v>LOT0869</v>
      </c>
      <c r="BA1477" s="3">
        <v>20</v>
      </c>
      <c r="BB1477" t="str">
        <v>P/Final</v>
      </c>
      <c r="BC1477">
        <v>35</v>
      </c>
      <c r="BD1477" s="10">
        <v>35.1</v>
      </c>
      <c r="BE1477" s="10">
        <v>35.200000000000003</v>
      </c>
      <c r="BF1477" s="10">
        <v>0</v>
      </c>
      <c r="BG1477" s="13">
        <v>45644</v>
      </c>
    </row>
    <row r="1478" spans="49:59" x14ac:dyDescent="0.3">
      <c r="AW1478" s="1">
        <v>20.100000000000001</v>
      </c>
      <c r="AX1478" s="1">
        <v>20.100000000000001</v>
      </c>
      <c r="AY1478" t="str">
        <v>CP-R80_HI782-0_0.0_LOT0869_PWW50.1_QC.xlsx</v>
      </c>
      <c r="AZ1478" t="str">
        <v>LOT0869</v>
      </c>
      <c r="BA1478" s="3">
        <v>20</v>
      </c>
      <c r="BB1478" t="str">
        <v>P/Final</v>
      </c>
      <c r="BC1478">
        <v>35</v>
      </c>
      <c r="BD1478" s="10">
        <v>31.6</v>
      </c>
      <c r="BE1478" s="10">
        <v>32</v>
      </c>
      <c r="BF1478" s="10">
        <v>0</v>
      </c>
      <c r="BG1478" s="13">
        <v>45644</v>
      </c>
    </row>
    <row r="1479" spans="49:59" x14ac:dyDescent="0.3">
      <c r="AW1479" s="1">
        <v>20.100000000000001</v>
      </c>
      <c r="AX1479" s="1">
        <v>20.100000000000001</v>
      </c>
      <c r="AY1479" t="str">
        <v>CP-R80_HI782-0_0.0_LOT0869_PWW50.1_QC.xlsx</v>
      </c>
      <c r="AZ1479" t="str">
        <v>LOT0869</v>
      </c>
      <c r="BA1479" s="3">
        <v>20</v>
      </c>
      <c r="BB1479" t="str">
        <v>P/Final</v>
      </c>
      <c r="BC1479">
        <v>35</v>
      </c>
      <c r="BD1479" s="10">
        <v>35.6</v>
      </c>
      <c r="BE1479" s="10">
        <v>35.1</v>
      </c>
      <c r="BF1479" s="10">
        <v>0</v>
      </c>
      <c r="BG1479" s="13">
        <v>45644</v>
      </c>
    </row>
    <row r="1480" spans="49:59" x14ac:dyDescent="0.3">
      <c r="AW1480" s="1">
        <v>20.100000000000001</v>
      </c>
      <c r="AX1480" s="1">
        <v>20.100000000000001</v>
      </c>
      <c r="AY1480" t="str">
        <v>CP-R80_HI782-0_0.0_LOT0869_PWW50.1_QC.xlsx</v>
      </c>
      <c r="AZ1480" t="str">
        <v>LOT0869</v>
      </c>
      <c r="BA1480" s="3">
        <v>20</v>
      </c>
      <c r="BB1480" t="str">
        <v>P/Final</v>
      </c>
      <c r="BC1480">
        <v>35</v>
      </c>
      <c r="BD1480" s="10">
        <v>35.9</v>
      </c>
      <c r="BE1480" s="10">
        <v>35.799999999999997</v>
      </c>
      <c r="BF1480" s="10">
        <v>0</v>
      </c>
      <c r="BG1480" s="13">
        <v>45644</v>
      </c>
    </row>
    <row r="1481" spans="49:59" x14ac:dyDescent="0.3">
      <c r="AW1481" s="1">
        <v>20.100000000000001</v>
      </c>
      <c r="AX1481" s="1">
        <v>20.100000000000001</v>
      </c>
      <c r="AY1481" t="str">
        <v>CP-R80_HI782-0_0.0_LOT0869_PWW50.1_QC.xlsx</v>
      </c>
      <c r="AZ1481" t="str">
        <v>LOT0869</v>
      </c>
      <c r="BA1481" s="3">
        <v>20</v>
      </c>
      <c r="BB1481" t="str">
        <v>P/Final</v>
      </c>
      <c r="BC1481">
        <v>35</v>
      </c>
      <c r="BD1481" s="10">
        <v>32.4</v>
      </c>
      <c r="BE1481" s="10">
        <v>32.4</v>
      </c>
      <c r="BF1481" s="10">
        <v>0</v>
      </c>
      <c r="BG1481" s="13">
        <v>45644</v>
      </c>
    </row>
    <row r="1482" spans="49:59" x14ac:dyDescent="0.3">
      <c r="AW1482" s="1">
        <v>20.100000000000001</v>
      </c>
      <c r="AX1482" s="1">
        <v>20.100000000000001</v>
      </c>
      <c r="AY1482" t="str">
        <v>CP-R80_HI782-0_0.0_LOT0869_PWW50.1_QC.xlsx</v>
      </c>
      <c r="AZ1482" t="str">
        <v>LOT0869</v>
      </c>
      <c r="BA1482" s="3">
        <v>20</v>
      </c>
      <c r="BB1482" t="str">
        <v>P/Final</v>
      </c>
      <c r="BC1482">
        <v>35</v>
      </c>
      <c r="BD1482" s="10">
        <v>36.1</v>
      </c>
      <c r="BE1482" s="10">
        <v>35.799999999999997</v>
      </c>
      <c r="BF1482" s="10">
        <v>0</v>
      </c>
      <c r="BG1482" s="13">
        <v>45644</v>
      </c>
    </row>
    <row r="1483" spans="49:59" x14ac:dyDescent="0.3">
      <c r="AW1483" s="1">
        <v>20.100000000000001</v>
      </c>
      <c r="AX1483" s="1">
        <v>20.100000000000001</v>
      </c>
      <c r="AY1483" t="str">
        <v>CP-R80_HI782-0_0.0_LOT0869_PWW50.1_QC.xlsx</v>
      </c>
      <c r="AZ1483" t="str">
        <v>LOT0869</v>
      </c>
      <c r="BA1483" s="3">
        <v>20</v>
      </c>
      <c r="BB1483" t="str">
        <v>P/Final</v>
      </c>
      <c r="BC1483">
        <v>35</v>
      </c>
      <c r="BD1483" s="10">
        <v>33.9</v>
      </c>
      <c r="BE1483" s="10">
        <v>33.9</v>
      </c>
      <c r="BF1483" s="10">
        <v>0</v>
      </c>
      <c r="BG1483" s="13">
        <v>45644</v>
      </c>
    </row>
    <row r="1484" spans="49:59" x14ac:dyDescent="0.3">
      <c r="AW1484" s="1">
        <v>20.100000000000001</v>
      </c>
      <c r="AX1484" s="1">
        <v>20.100000000000001</v>
      </c>
      <c r="AY1484" t="str">
        <v>CP-R80_HI782-0_0.0_LOT0869_PWW50.1_QC.xlsx</v>
      </c>
      <c r="AZ1484" t="str">
        <v>LOT0869</v>
      </c>
      <c r="BA1484" s="3">
        <v>20</v>
      </c>
      <c r="BB1484" t="str">
        <v>P/Final</v>
      </c>
      <c r="BC1484">
        <v>35</v>
      </c>
      <c r="BD1484" s="10">
        <v>35.200000000000003</v>
      </c>
      <c r="BE1484" s="10">
        <v>35</v>
      </c>
      <c r="BF1484" s="10">
        <v>0</v>
      </c>
      <c r="BG1484" s="13">
        <v>45644</v>
      </c>
    </row>
    <row r="1485" spans="49:59" x14ac:dyDescent="0.3">
      <c r="AW1485" s="1">
        <v>20.100000000000001</v>
      </c>
      <c r="AX1485" s="1">
        <v>20.100000000000001</v>
      </c>
      <c r="AY1485" t="str">
        <v>CP-R80_HI782-0_0.0_LOT0869_PWW50.1_QC.xlsx</v>
      </c>
      <c r="AZ1485" t="str">
        <v>LOT0869</v>
      </c>
      <c r="BA1485" s="3">
        <v>20</v>
      </c>
      <c r="BB1485" t="str">
        <v>P/Final</v>
      </c>
      <c r="BC1485">
        <v>35</v>
      </c>
      <c r="BD1485" s="10">
        <v>35.1</v>
      </c>
      <c r="BE1485" s="10">
        <v>35.200000000000003</v>
      </c>
      <c r="BF1485" s="10">
        <v>0</v>
      </c>
      <c r="BG1485" s="13">
        <v>45644</v>
      </c>
    </row>
    <row r="1486" spans="49:59" x14ac:dyDescent="0.3">
      <c r="AW1486" s="1">
        <v>20.100000000000001</v>
      </c>
      <c r="AX1486" s="1">
        <v>20.100000000000001</v>
      </c>
      <c r="AY1486" t="str">
        <v>CP-R80_HI782-0_0.0_LOT0869_PWW50.1_QC.xlsx</v>
      </c>
      <c r="AZ1486" t="str">
        <v>LOT0869</v>
      </c>
      <c r="BA1486" s="3">
        <v>20</v>
      </c>
      <c r="BB1486" t="str">
        <v>P/Final</v>
      </c>
      <c r="BC1486">
        <v>35</v>
      </c>
      <c r="BD1486" s="10">
        <v>34.5</v>
      </c>
      <c r="BE1486" s="10">
        <v>34.6</v>
      </c>
      <c r="BF1486" s="10">
        <v>0</v>
      </c>
      <c r="BG1486" s="13">
        <v>45644</v>
      </c>
    </row>
    <row r="1487" spans="49:59" x14ac:dyDescent="0.3">
      <c r="AW1487" s="1">
        <v>20.100000000000001</v>
      </c>
      <c r="AX1487" s="1">
        <v>20.100000000000001</v>
      </c>
      <c r="AY1487" t="str">
        <v>CP-R80_HI782-0_0.0_LOT0869_PWW50.1_QC.xlsx</v>
      </c>
      <c r="AZ1487" t="str">
        <v>LOT0869</v>
      </c>
      <c r="BA1487" s="3">
        <v>20</v>
      </c>
      <c r="BB1487" t="str">
        <v>P/Final</v>
      </c>
      <c r="BC1487">
        <v>60</v>
      </c>
      <c r="BD1487" s="10">
        <v>59.9</v>
      </c>
      <c r="BE1487" s="10">
        <v>61.3</v>
      </c>
      <c r="BF1487" s="10">
        <v>0</v>
      </c>
      <c r="BG1487" s="13">
        <v>45644</v>
      </c>
    </row>
    <row r="1488" spans="49:59" x14ac:dyDescent="0.3">
      <c r="AW1488" s="1">
        <v>20.100000000000001</v>
      </c>
      <c r="AX1488" s="1">
        <v>20.100000000000001</v>
      </c>
      <c r="AY1488" t="str">
        <v>CP-R80_HI782-0_0.0_LOT0869_PWW50.1_QC.xlsx</v>
      </c>
      <c r="AZ1488" t="str">
        <v>LOT0869</v>
      </c>
      <c r="BA1488" s="3">
        <v>20</v>
      </c>
      <c r="BB1488" t="str">
        <v>P/Final</v>
      </c>
      <c r="BC1488">
        <v>60</v>
      </c>
      <c r="BD1488" s="10">
        <v>55.6</v>
      </c>
      <c r="BE1488" s="10">
        <v>55.5</v>
      </c>
      <c r="BF1488" s="10">
        <v>0</v>
      </c>
      <c r="BG1488" s="13">
        <v>45644</v>
      </c>
    </row>
    <row r="1489" spans="49:59" x14ac:dyDescent="0.3">
      <c r="AW1489" s="1">
        <v>20.100000000000001</v>
      </c>
      <c r="AX1489" s="1">
        <v>20.100000000000001</v>
      </c>
      <c r="AY1489" t="str">
        <v>CP-R80_HI782-0_0.0_LOT0869_PWW50.1_QC.xlsx</v>
      </c>
      <c r="AZ1489" t="str">
        <v>LOT0869</v>
      </c>
      <c r="BA1489" s="3">
        <v>20</v>
      </c>
      <c r="BB1489" t="str">
        <v>P/Final</v>
      </c>
      <c r="BC1489">
        <v>60</v>
      </c>
      <c r="BD1489" s="10">
        <v>57.3</v>
      </c>
      <c r="BE1489" s="10">
        <v>59.2</v>
      </c>
      <c r="BF1489" s="10">
        <v>0</v>
      </c>
      <c r="BG1489" s="13">
        <v>45644</v>
      </c>
    </row>
    <row r="1490" spans="49:59" x14ac:dyDescent="0.3">
      <c r="AW1490" s="1">
        <v>20.100000000000001</v>
      </c>
      <c r="AX1490" s="1">
        <v>20.100000000000001</v>
      </c>
      <c r="AY1490" t="str">
        <v>CP-R80_HI782-0_0.0_LOT0869_PWW50.1_QC.xlsx</v>
      </c>
      <c r="AZ1490" t="str">
        <v>LOT0869</v>
      </c>
      <c r="BA1490" s="3">
        <v>20</v>
      </c>
      <c r="BB1490" t="str">
        <v>P/Final</v>
      </c>
      <c r="BC1490">
        <v>60</v>
      </c>
      <c r="BD1490" s="10">
        <v>58.1</v>
      </c>
      <c r="BE1490" s="10">
        <v>57.8</v>
      </c>
      <c r="BF1490" s="10">
        <v>0</v>
      </c>
      <c r="BG1490" s="13">
        <v>45644</v>
      </c>
    </row>
    <row r="1491" spans="49:59" x14ac:dyDescent="0.3">
      <c r="AW1491" s="1">
        <v>20.100000000000001</v>
      </c>
      <c r="AX1491" s="1">
        <v>20.100000000000001</v>
      </c>
      <c r="AY1491" t="str">
        <v>CP-R80_HI782-0_0.0_LOT0869_PWW50.1_QC.xlsx</v>
      </c>
      <c r="AZ1491" t="str">
        <v>LOT0869</v>
      </c>
      <c r="BA1491" s="3">
        <v>20</v>
      </c>
      <c r="BB1491" t="str">
        <v>P/Final</v>
      </c>
      <c r="BC1491">
        <v>60</v>
      </c>
      <c r="BD1491" s="10">
        <v>55.1</v>
      </c>
      <c r="BE1491" s="10">
        <v>55.1</v>
      </c>
      <c r="BF1491" s="10">
        <v>0</v>
      </c>
      <c r="BG1491" s="13">
        <v>45644</v>
      </c>
    </row>
    <row r="1492" spans="49:59" x14ac:dyDescent="0.3">
      <c r="AW1492" s="1">
        <v>20.100000000000001</v>
      </c>
      <c r="AX1492" s="1">
        <v>20.100000000000001</v>
      </c>
      <c r="AY1492" t="str">
        <v>CP-R80_HI782-0_0.0_LOT0869_PWW50.1_QC.xlsx</v>
      </c>
      <c r="AZ1492" t="str">
        <v>LOT0869</v>
      </c>
      <c r="BA1492" s="3">
        <v>20</v>
      </c>
      <c r="BB1492" t="str">
        <v>P/Final</v>
      </c>
      <c r="BC1492">
        <v>60</v>
      </c>
      <c r="BD1492" s="10">
        <v>55.4</v>
      </c>
      <c r="BE1492" s="10">
        <v>55.8</v>
      </c>
      <c r="BF1492" s="10">
        <v>0</v>
      </c>
      <c r="BG1492" s="13">
        <v>45644</v>
      </c>
    </row>
    <row r="1493" spans="49:59" x14ac:dyDescent="0.3">
      <c r="AW1493" s="1">
        <v>20.100000000000001</v>
      </c>
      <c r="AX1493" s="1">
        <v>20.100000000000001</v>
      </c>
      <c r="AY1493" t="str">
        <v>CP-R80_HI782-0_0.0_LOT0869_PWW50.1_QC.xlsx</v>
      </c>
      <c r="AZ1493" t="str">
        <v>LOT0869</v>
      </c>
      <c r="BA1493" s="3">
        <v>20</v>
      </c>
      <c r="BB1493" t="str">
        <v>P/Final</v>
      </c>
      <c r="BC1493">
        <v>60</v>
      </c>
      <c r="BD1493" s="10">
        <v>60.2</v>
      </c>
      <c r="BE1493" s="10">
        <v>60.3</v>
      </c>
      <c r="BF1493" s="10">
        <v>0</v>
      </c>
      <c r="BG1493" s="13">
        <v>45644</v>
      </c>
    </row>
    <row r="1494" spans="49:59" x14ac:dyDescent="0.3">
      <c r="AW1494" s="1">
        <v>20.100000000000001</v>
      </c>
      <c r="AX1494" s="1">
        <v>20.100000000000001</v>
      </c>
      <c r="AY1494" t="str">
        <v>CP-R80_HI782-0_0.0_LOT0869_PWW50.1_QC.xlsx</v>
      </c>
      <c r="AZ1494" t="str">
        <v>LOT0869</v>
      </c>
      <c r="BA1494" s="3">
        <v>20</v>
      </c>
      <c r="BB1494" t="str">
        <v>P/Final</v>
      </c>
      <c r="BC1494">
        <v>60</v>
      </c>
      <c r="BD1494" s="10">
        <v>56.1</v>
      </c>
      <c r="BE1494" s="10">
        <v>56.1</v>
      </c>
      <c r="BF1494" s="10">
        <v>0</v>
      </c>
      <c r="BG1494" s="13">
        <v>45644</v>
      </c>
    </row>
    <row r="1495" spans="49:59" x14ac:dyDescent="0.3">
      <c r="AW1495" s="1">
        <v>20.100000000000001</v>
      </c>
      <c r="AX1495" s="1">
        <v>20.100000000000001</v>
      </c>
      <c r="AY1495" t="str">
        <v>CP-R80_HI782-0_0.0_LOT0869_PWW50.1_QC.xlsx</v>
      </c>
      <c r="AZ1495" t="str">
        <v>LOT0869</v>
      </c>
      <c r="BA1495" s="3">
        <v>20</v>
      </c>
      <c r="BB1495" t="str">
        <v>P/Final</v>
      </c>
      <c r="BC1495">
        <v>60</v>
      </c>
      <c r="BD1495" s="10">
        <v>55.6</v>
      </c>
      <c r="BE1495" s="10">
        <v>55.3</v>
      </c>
      <c r="BF1495" s="10">
        <v>0</v>
      </c>
      <c r="BG1495" s="13">
        <v>45644</v>
      </c>
    </row>
    <row r="1496" spans="49:59" x14ac:dyDescent="0.3">
      <c r="AW1496" s="1">
        <v>20.100000000000001</v>
      </c>
      <c r="AX1496" s="1">
        <v>20.100000000000001</v>
      </c>
      <c r="AY1496" t="str">
        <v>CP-R80_HI782-0_0.0_LOT0869_PWW50.1_QC.xlsx</v>
      </c>
      <c r="AZ1496" t="str">
        <v>LOT0869</v>
      </c>
      <c r="BA1496" s="3">
        <v>20</v>
      </c>
      <c r="BB1496" t="str">
        <v>P/Final</v>
      </c>
      <c r="BC1496">
        <v>60</v>
      </c>
      <c r="BD1496" s="10">
        <v>56.2</v>
      </c>
      <c r="BE1496" s="10">
        <v>56.2</v>
      </c>
      <c r="BF1496" s="10">
        <v>0</v>
      </c>
      <c r="BG1496" s="13">
        <v>45644</v>
      </c>
    </row>
    <row r="1497" spans="49:59" x14ac:dyDescent="0.3">
      <c r="AW1497" s="1">
        <v>20.100000000000001</v>
      </c>
      <c r="AX1497" s="1">
        <v>20.100000000000001</v>
      </c>
      <c r="AY1497" t="str">
        <v>CP-R80_HI782-0_0.0_LOT0869_PWW50.1_QC.xlsx</v>
      </c>
      <c r="AZ1497" t="str">
        <v>LOT0869</v>
      </c>
      <c r="BA1497" s="3">
        <v>20</v>
      </c>
      <c r="BB1497" t="str">
        <v>P/Final</v>
      </c>
      <c r="BC1497">
        <v>60</v>
      </c>
      <c r="BD1497" s="10">
        <v>55.4</v>
      </c>
      <c r="BE1497" s="10">
        <v>55.8</v>
      </c>
      <c r="BF1497" s="10">
        <v>0</v>
      </c>
      <c r="BG1497" s="13">
        <v>45644</v>
      </c>
    </row>
    <row r="1498" spans="49:59" x14ac:dyDescent="0.3">
      <c r="AW1498" s="1">
        <v>20.100000000000001</v>
      </c>
      <c r="AX1498" s="1">
        <v>20.100000000000001</v>
      </c>
      <c r="AY1498" t="str">
        <v>CP-R80_HI782-0_0.0_LOT0869_PWW50.1_QC.xlsx</v>
      </c>
      <c r="AZ1498" t="str">
        <v>LOT0869</v>
      </c>
      <c r="BA1498" s="3">
        <v>20</v>
      </c>
      <c r="BB1498" t="str">
        <v>P/Final</v>
      </c>
      <c r="BC1498">
        <v>60</v>
      </c>
      <c r="BD1498" s="10">
        <v>56.5</v>
      </c>
      <c r="BE1498" s="10">
        <v>56.6</v>
      </c>
      <c r="BF1498" s="10">
        <v>0</v>
      </c>
      <c r="BG1498" s="13">
        <v>45644</v>
      </c>
    </row>
    <row r="1499" spans="49:59" x14ac:dyDescent="0.3">
      <c r="AW1499" s="1">
        <v>20.100000000000001</v>
      </c>
      <c r="AX1499" s="1">
        <v>20.100000000000001</v>
      </c>
      <c r="AY1499" t="str">
        <v>CP-R80_HI782-0_0.0_LOT0869_PWW50.1_QC.xlsx</v>
      </c>
      <c r="AZ1499" t="str">
        <v>LOT0869</v>
      </c>
      <c r="BA1499" s="3">
        <v>20</v>
      </c>
      <c r="BB1499" t="str">
        <v>P/Final</v>
      </c>
      <c r="BC1499">
        <v>60</v>
      </c>
      <c r="BD1499" s="10">
        <v>59.3</v>
      </c>
      <c r="BE1499" s="10">
        <v>57.9</v>
      </c>
      <c r="BF1499" s="10">
        <v>0</v>
      </c>
      <c r="BG1499" s="13">
        <v>45644</v>
      </c>
    </row>
    <row r="1500" spans="49:59" x14ac:dyDescent="0.3">
      <c r="AW1500" s="1">
        <v>20.100000000000001</v>
      </c>
      <c r="AX1500" s="1">
        <v>20.100000000000001</v>
      </c>
      <c r="AY1500" t="str">
        <v>CP-R80_HI782-0_0.0_LOT0869_PWW50.1_QC.xlsx</v>
      </c>
      <c r="AZ1500" t="str">
        <v>LOT0869</v>
      </c>
      <c r="BA1500" s="3">
        <v>20</v>
      </c>
      <c r="BB1500" t="str">
        <v>P/Final</v>
      </c>
      <c r="BC1500">
        <v>60</v>
      </c>
      <c r="BD1500" s="10">
        <v>55.1</v>
      </c>
      <c r="BE1500" s="10">
        <v>55.3</v>
      </c>
      <c r="BF1500" s="10">
        <v>0</v>
      </c>
      <c r="BG1500" s="13">
        <v>45644</v>
      </c>
    </row>
    <row r="1501" spans="49:59" x14ac:dyDescent="0.3">
      <c r="AW1501" s="1">
        <v>20.100000000000001</v>
      </c>
      <c r="AX1501" s="1">
        <v>20.100000000000001</v>
      </c>
      <c r="AY1501" t="str">
        <v>CP-R80_HI782-0_0.0_LOT0869_PWW50.1_QC.xlsx</v>
      </c>
      <c r="AZ1501" t="str">
        <v>LOT0869</v>
      </c>
      <c r="BA1501" s="3">
        <v>20</v>
      </c>
      <c r="BB1501" t="str">
        <v>P/Final</v>
      </c>
      <c r="BC1501">
        <v>0</v>
      </c>
      <c r="BD1501" s="10">
        <v>0</v>
      </c>
      <c r="BE1501" s="10">
        <v>0</v>
      </c>
      <c r="BF1501" s="10">
        <v>0</v>
      </c>
      <c r="BG1501" s="13">
        <v>45645</v>
      </c>
    </row>
    <row r="1502" spans="49:59" x14ac:dyDescent="0.3">
      <c r="AW1502" s="1">
        <v>20.100000000000001</v>
      </c>
      <c r="AX1502" s="1">
        <v>20.100000000000001</v>
      </c>
      <c r="AY1502" t="str">
        <v>CP-R80_HI782-0_0.0_LOT0869_PWW50.1_QC.xlsx</v>
      </c>
      <c r="AZ1502" t="str">
        <v>LOT0869</v>
      </c>
      <c r="BA1502" s="3">
        <v>20</v>
      </c>
      <c r="BB1502" t="str">
        <v>P/Final</v>
      </c>
      <c r="BC1502">
        <v>0</v>
      </c>
      <c r="BD1502" s="10">
        <v>0</v>
      </c>
      <c r="BE1502" s="10">
        <v>0.2</v>
      </c>
      <c r="BF1502" s="10">
        <v>0</v>
      </c>
      <c r="BG1502" s="13">
        <v>45645</v>
      </c>
    </row>
    <row r="1503" spans="49:59" x14ac:dyDescent="0.3">
      <c r="AW1503" s="1">
        <v>20.100000000000001</v>
      </c>
      <c r="AX1503" s="1">
        <v>20.100000000000001</v>
      </c>
      <c r="AY1503" t="str">
        <v>CP-R80_HI782-0_0.0_LOT0869_PWW50.1_QC.xlsx</v>
      </c>
      <c r="AZ1503" t="str">
        <v>LOT0869</v>
      </c>
      <c r="BA1503" s="3">
        <v>20</v>
      </c>
      <c r="BB1503" t="str">
        <v>P/Final</v>
      </c>
      <c r="BC1503">
        <v>0</v>
      </c>
      <c r="BD1503" s="10">
        <v>0</v>
      </c>
      <c r="BE1503" s="10">
        <v>0</v>
      </c>
      <c r="BF1503" s="10">
        <v>0</v>
      </c>
      <c r="BG1503" s="13">
        <v>45645</v>
      </c>
    </row>
    <row r="1504" spans="49:59" x14ac:dyDescent="0.3">
      <c r="AW1504" s="1">
        <v>20.100000000000001</v>
      </c>
      <c r="AX1504" s="1">
        <v>20.100000000000001</v>
      </c>
      <c r="AY1504" t="str">
        <v>CP-R80_HI782-0_0.0_LOT0869_PWW50.1_QC.xlsx</v>
      </c>
      <c r="AZ1504" t="str">
        <v>LOT0869</v>
      </c>
      <c r="BA1504" s="3">
        <v>20</v>
      </c>
      <c r="BB1504" t="str">
        <v>P/Final</v>
      </c>
      <c r="BC1504">
        <v>0</v>
      </c>
      <c r="BD1504" s="10">
        <v>0</v>
      </c>
      <c r="BE1504" s="10">
        <v>0</v>
      </c>
      <c r="BF1504" s="10">
        <v>0</v>
      </c>
      <c r="BG1504" s="13">
        <v>45645</v>
      </c>
    </row>
    <row r="1505" spans="49:59" x14ac:dyDescent="0.3">
      <c r="AW1505" s="1">
        <v>20.100000000000001</v>
      </c>
      <c r="AX1505" s="1">
        <v>20.100000000000001</v>
      </c>
      <c r="AY1505" t="str">
        <v>CP-R80_HI782-0_0.0_LOT0869_PWW50.1_QC.xlsx</v>
      </c>
      <c r="AZ1505" t="str">
        <v>LOT0869</v>
      </c>
      <c r="BA1505" s="3">
        <v>20</v>
      </c>
      <c r="BB1505" t="str">
        <v>P/Final</v>
      </c>
      <c r="BC1505">
        <v>0</v>
      </c>
      <c r="BD1505" s="10">
        <v>0</v>
      </c>
      <c r="BE1505" s="10">
        <v>0</v>
      </c>
      <c r="BF1505" s="10">
        <v>0</v>
      </c>
      <c r="BG1505" s="13">
        <v>45645</v>
      </c>
    </row>
    <row r="1506" spans="49:59" x14ac:dyDescent="0.3">
      <c r="AW1506" s="1">
        <v>20.100000000000001</v>
      </c>
      <c r="AX1506" s="1">
        <v>20.100000000000001</v>
      </c>
      <c r="AY1506" t="str">
        <v>CP-R80_HI782-0_0.0_LOT0869_PWW50.1_QC.xlsx</v>
      </c>
      <c r="AZ1506" t="str">
        <v>LOT0869</v>
      </c>
      <c r="BA1506" s="3">
        <v>20</v>
      </c>
      <c r="BB1506" t="str">
        <v>P/Final</v>
      </c>
      <c r="BC1506">
        <v>15</v>
      </c>
      <c r="BD1506" s="10">
        <v>15</v>
      </c>
      <c r="BE1506" s="10">
        <v>14.9</v>
      </c>
      <c r="BF1506" s="10">
        <v>0</v>
      </c>
      <c r="BG1506" s="13">
        <v>45645</v>
      </c>
    </row>
    <row r="1507" spans="49:59" x14ac:dyDescent="0.3">
      <c r="AW1507" s="1">
        <v>20.100000000000001</v>
      </c>
      <c r="AX1507" s="1">
        <v>20.100000000000001</v>
      </c>
      <c r="AY1507" t="str">
        <v>CP-R80_HI782-0_0.0_LOT0869_PWW50.1_QC.xlsx</v>
      </c>
      <c r="AZ1507" t="str">
        <v>LOT0869</v>
      </c>
      <c r="BA1507" s="3">
        <v>20</v>
      </c>
      <c r="BB1507" t="str">
        <v>P/Final</v>
      </c>
      <c r="BC1507">
        <v>15</v>
      </c>
      <c r="BD1507" s="10">
        <v>14.4</v>
      </c>
      <c r="BE1507" s="10">
        <v>14.5</v>
      </c>
      <c r="BF1507" s="10">
        <v>0</v>
      </c>
      <c r="BG1507" s="13">
        <v>45645</v>
      </c>
    </row>
    <row r="1508" spans="49:59" x14ac:dyDescent="0.3">
      <c r="AW1508" s="1">
        <v>20.100000000000001</v>
      </c>
      <c r="AX1508" s="1">
        <v>20.100000000000001</v>
      </c>
      <c r="AY1508" t="str">
        <v>CP-R80_HI782-0_0.0_LOT0869_PWW50.1_QC.xlsx</v>
      </c>
      <c r="AZ1508" t="str">
        <v>LOT0869</v>
      </c>
      <c r="BA1508" s="3">
        <v>20</v>
      </c>
      <c r="BB1508" t="str">
        <v>P/Final</v>
      </c>
      <c r="BC1508">
        <v>15</v>
      </c>
      <c r="BD1508" s="10">
        <v>15</v>
      </c>
      <c r="BE1508" s="10">
        <v>14.9</v>
      </c>
      <c r="BF1508" s="10">
        <v>0</v>
      </c>
      <c r="BG1508" s="13">
        <v>45645</v>
      </c>
    </row>
    <row r="1509" spans="49:59" x14ac:dyDescent="0.3">
      <c r="AW1509" s="1">
        <v>20.100000000000001</v>
      </c>
      <c r="AX1509" s="1">
        <v>20.100000000000001</v>
      </c>
      <c r="AY1509" t="str">
        <v>CP-R80_HI782-0_0.0_LOT0869_PWW50.1_QC.xlsx</v>
      </c>
      <c r="AZ1509" t="str">
        <v>LOT0869</v>
      </c>
      <c r="BA1509" s="3">
        <v>20</v>
      </c>
      <c r="BB1509" t="str">
        <v>P/Final</v>
      </c>
      <c r="BC1509">
        <v>15</v>
      </c>
      <c r="BD1509" s="10">
        <v>15.5</v>
      </c>
      <c r="BE1509" s="10">
        <v>15.6</v>
      </c>
      <c r="BF1509" s="10">
        <v>0</v>
      </c>
      <c r="BG1509" s="13">
        <v>45645</v>
      </c>
    </row>
    <row r="1510" spans="49:59" x14ac:dyDescent="0.3">
      <c r="AW1510" s="1">
        <v>20.100000000000001</v>
      </c>
      <c r="AX1510" s="1">
        <v>20.100000000000001</v>
      </c>
      <c r="AY1510" t="str">
        <v>CP-R80_HI782-0_0.0_LOT0869_PWW50.1_QC.xlsx</v>
      </c>
      <c r="AZ1510" t="str">
        <v>LOT0869</v>
      </c>
      <c r="BA1510" s="3">
        <v>20</v>
      </c>
      <c r="BB1510" t="str">
        <v>P/Final</v>
      </c>
      <c r="BC1510">
        <v>15</v>
      </c>
      <c r="BD1510" s="10">
        <v>15.1</v>
      </c>
      <c r="BE1510" s="10">
        <v>15.2</v>
      </c>
      <c r="BF1510" s="10">
        <v>0</v>
      </c>
      <c r="BG1510" s="13">
        <v>45645</v>
      </c>
    </row>
    <row r="1511" spans="49:59" x14ac:dyDescent="0.3">
      <c r="AW1511" s="1">
        <v>20.100000000000001</v>
      </c>
      <c r="AX1511" s="1">
        <v>20.100000000000001</v>
      </c>
      <c r="AY1511" t="str">
        <v>CP-R80_HI782-0_0.0_LOT0869_PWW50.1_QC.xlsx</v>
      </c>
      <c r="AZ1511" t="str">
        <v>LOT0869</v>
      </c>
      <c r="BA1511" s="3">
        <v>20</v>
      </c>
      <c r="BB1511" t="str">
        <v>P/Final</v>
      </c>
      <c r="BC1511">
        <v>15</v>
      </c>
      <c r="BD1511" s="10">
        <v>13.9</v>
      </c>
      <c r="BE1511" s="10">
        <v>13.9</v>
      </c>
      <c r="BF1511" s="10">
        <v>0</v>
      </c>
      <c r="BG1511" s="13">
        <v>45645</v>
      </c>
    </row>
    <row r="1512" spans="49:59" x14ac:dyDescent="0.3">
      <c r="AW1512" s="1">
        <v>20.100000000000001</v>
      </c>
      <c r="AX1512" s="1">
        <v>20.100000000000001</v>
      </c>
      <c r="AY1512" t="str">
        <v>CP-R80_HI782-0_0.0_LOT0869_PWW50.1_QC.xlsx</v>
      </c>
      <c r="AZ1512" t="str">
        <v>LOT0869</v>
      </c>
      <c r="BA1512" s="3">
        <v>20</v>
      </c>
      <c r="BB1512" t="str">
        <v>P/Final</v>
      </c>
      <c r="BC1512">
        <v>15</v>
      </c>
      <c r="BD1512" s="10">
        <v>14.7</v>
      </c>
      <c r="BE1512" s="10">
        <v>14.8</v>
      </c>
      <c r="BF1512" s="10">
        <v>0</v>
      </c>
      <c r="BG1512" s="13">
        <v>45645</v>
      </c>
    </row>
    <row r="1513" spans="49:59" x14ac:dyDescent="0.3">
      <c r="AW1513" s="1">
        <v>20.100000000000001</v>
      </c>
      <c r="AX1513" s="1">
        <v>20.100000000000001</v>
      </c>
      <c r="AY1513" t="str">
        <v>CP-R80_HI782-0_0.0_LOT0869_PWW50.1_QC.xlsx</v>
      </c>
      <c r="AZ1513" t="str">
        <v>LOT0869</v>
      </c>
      <c r="BA1513" s="3">
        <v>20</v>
      </c>
      <c r="BB1513" t="str">
        <v>P/Final</v>
      </c>
      <c r="BC1513">
        <v>15</v>
      </c>
      <c r="BD1513" s="10">
        <v>14.6</v>
      </c>
      <c r="BE1513" s="10">
        <v>14.2</v>
      </c>
      <c r="BF1513" s="10">
        <v>0</v>
      </c>
      <c r="BG1513" s="13">
        <v>45645</v>
      </c>
    </row>
    <row r="1514" spans="49:59" x14ac:dyDescent="0.3">
      <c r="AW1514" s="1">
        <v>20.100000000000001</v>
      </c>
      <c r="AX1514" s="1">
        <v>20.100000000000001</v>
      </c>
      <c r="AY1514" t="str">
        <v>CP-R80_HI782-0_0.0_LOT0869_PWW50.1_QC.xlsx</v>
      </c>
      <c r="AZ1514" t="str">
        <v>LOT0869</v>
      </c>
      <c r="BA1514" s="3">
        <v>20</v>
      </c>
      <c r="BB1514" t="str">
        <v>P/Final</v>
      </c>
      <c r="BC1514">
        <v>15</v>
      </c>
      <c r="BD1514" s="10">
        <v>13.9</v>
      </c>
      <c r="BE1514" s="10">
        <v>13.7</v>
      </c>
      <c r="BF1514" s="10">
        <v>0</v>
      </c>
      <c r="BG1514" s="13">
        <v>45645</v>
      </c>
    </row>
    <row r="1515" spans="49:59" x14ac:dyDescent="0.3">
      <c r="AW1515" s="1">
        <v>20.100000000000001</v>
      </c>
      <c r="AX1515" s="1">
        <v>20.100000000000001</v>
      </c>
      <c r="AY1515" t="str">
        <v>CP-R80_HI782-0_0.0_LOT0869_PWW50.1_QC.xlsx</v>
      </c>
      <c r="AZ1515" t="str">
        <v>LOT0869</v>
      </c>
      <c r="BA1515" s="3">
        <v>20</v>
      </c>
      <c r="BB1515" t="str">
        <v>P/Final</v>
      </c>
      <c r="BC1515">
        <v>15</v>
      </c>
      <c r="BD1515" s="10">
        <v>15.7</v>
      </c>
      <c r="BE1515" s="10">
        <v>15.6</v>
      </c>
      <c r="BF1515" s="10">
        <v>0</v>
      </c>
      <c r="BG1515" s="13">
        <v>45645</v>
      </c>
    </row>
    <row r="1516" spans="49:59" x14ac:dyDescent="0.3">
      <c r="AW1516" s="1">
        <v>20.100000000000001</v>
      </c>
      <c r="AX1516" s="1">
        <v>20.100000000000001</v>
      </c>
      <c r="AY1516" t="str">
        <v>CP-R80_HI782-0_0.0_LOT0869_PWW50.1_QC.xlsx</v>
      </c>
      <c r="AZ1516" t="str">
        <v>LOT0869</v>
      </c>
      <c r="BA1516" s="3">
        <v>20</v>
      </c>
      <c r="BB1516" t="str">
        <v>P/Final</v>
      </c>
      <c r="BC1516">
        <v>15</v>
      </c>
      <c r="BD1516" s="10">
        <v>14.2</v>
      </c>
      <c r="BE1516" s="10">
        <v>14.3</v>
      </c>
      <c r="BF1516" s="10">
        <v>0</v>
      </c>
      <c r="BG1516" s="13">
        <v>45645</v>
      </c>
    </row>
    <row r="1517" spans="49:59" x14ac:dyDescent="0.3">
      <c r="AW1517" s="1">
        <v>20.100000000000001</v>
      </c>
      <c r="AX1517" s="1">
        <v>20.100000000000001</v>
      </c>
      <c r="AY1517" t="str">
        <v>CP-R80_HI782-0_0.0_LOT0869_PWW50.1_QC.xlsx</v>
      </c>
      <c r="AZ1517" t="str">
        <v>LOT0869</v>
      </c>
      <c r="BA1517" s="3">
        <v>20</v>
      </c>
      <c r="BB1517" t="str">
        <v>P/Final</v>
      </c>
      <c r="BC1517">
        <v>15</v>
      </c>
      <c r="BD1517" s="10">
        <v>14.1</v>
      </c>
      <c r="BE1517" s="10">
        <v>14</v>
      </c>
      <c r="BF1517" s="10">
        <v>0</v>
      </c>
      <c r="BG1517" s="13">
        <v>45645</v>
      </c>
    </row>
    <row r="1518" spans="49:59" x14ac:dyDescent="0.3">
      <c r="AW1518" s="1">
        <v>20.100000000000001</v>
      </c>
      <c r="AX1518" s="1">
        <v>20.100000000000001</v>
      </c>
      <c r="AY1518" t="str">
        <v>CP-R80_HI782-0_0.0_LOT0869_PWW50.1_QC.xlsx</v>
      </c>
      <c r="AZ1518" t="str">
        <v>LOT0869</v>
      </c>
      <c r="BA1518" s="3">
        <v>20</v>
      </c>
      <c r="BB1518" t="str">
        <v>P/Final</v>
      </c>
      <c r="BC1518">
        <v>15</v>
      </c>
      <c r="BD1518" s="10">
        <v>15.7</v>
      </c>
      <c r="BE1518" s="10">
        <v>15.8</v>
      </c>
      <c r="BF1518" s="10">
        <v>0</v>
      </c>
      <c r="BG1518" s="13">
        <v>45645</v>
      </c>
    </row>
    <row r="1519" spans="49:59" x14ac:dyDescent="0.3">
      <c r="AW1519" s="1">
        <v>20.100000000000001</v>
      </c>
      <c r="AX1519" s="1">
        <v>20.100000000000001</v>
      </c>
      <c r="AY1519" t="str">
        <v>CP-R80_HI782-0_0.0_LOT0869_PWW50.1_QC.xlsx</v>
      </c>
      <c r="AZ1519" t="str">
        <v>LOT0869</v>
      </c>
      <c r="BA1519" s="3">
        <v>20</v>
      </c>
      <c r="BB1519" t="str">
        <v>P/Final</v>
      </c>
      <c r="BC1519">
        <v>15</v>
      </c>
      <c r="BD1519" s="10">
        <v>15.1</v>
      </c>
      <c r="BE1519" s="10">
        <v>14.9</v>
      </c>
      <c r="BF1519" s="10">
        <v>0</v>
      </c>
      <c r="BG1519" s="13">
        <v>45645</v>
      </c>
    </row>
    <row r="1520" spans="49:59" x14ac:dyDescent="0.3">
      <c r="AW1520" s="1">
        <v>20.100000000000001</v>
      </c>
      <c r="AX1520" s="1">
        <v>20.100000000000001</v>
      </c>
      <c r="AY1520" t="str">
        <v>CP-R80_HI782-0_0.0_LOT0869_PWW50.1_QC.xlsx</v>
      </c>
      <c r="AZ1520" t="str">
        <v>LOT0869</v>
      </c>
      <c r="BA1520" s="3">
        <v>20</v>
      </c>
      <c r="BB1520" t="str">
        <v>P/Final</v>
      </c>
      <c r="BC1520">
        <v>15</v>
      </c>
      <c r="BD1520" s="10">
        <v>15.8</v>
      </c>
      <c r="BE1520" s="10">
        <v>15.8</v>
      </c>
      <c r="BF1520" s="10">
        <v>0</v>
      </c>
      <c r="BG1520" s="13">
        <v>45645</v>
      </c>
    </row>
    <row r="1521" spans="49:59" x14ac:dyDescent="0.3">
      <c r="AW1521" s="1">
        <v>20.100000000000001</v>
      </c>
      <c r="AX1521" s="1">
        <v>20.100000000000001</v>
      </c>
      <c r="AY1521" t="str">
        <v>CP-R80_HI782-0_0.0_LOT0869_PWW50.1_QC.xlsx</v>
      </c>
      <c r="AZ1521" t="str">
        <v>LOT0869</v>
      </c>
      <c r="BA1521" s="3">
        <v>20</v>
      </c>
      <c r="BB1521" t="str">
        <v>P/Final</v>
      </c>
      <c r="BC1521">
        <v>15</v>
      </c>
      <c r="BD1521" s="10">
        <v>15.4</v>
      </c>
      <c r="BE1521" s="10">
        <v>15.6</v>
      </c>
      <c r="BF1521" s="10">
        <v>0</v>
      </c>
      <c r="BG1521" s="13">
        <v>45645</v>
      </c>
    </row>
    <row r="1522" spans="49:59" x14ac:dyDescent="0.3">
      <c r="AW1522" s="1">
        <v>20.100000000000001</v>
      </c>
      <c r="AX1522" s="1">
        <v>20.100000000000001</v>
      </c>
      <c r="AY1522" t="str">
        <v>CP-R80_HI782-0_0.0_LOT0869_PWW50.1_QC.xlsx</v>
      </c>
      <c r="AZ1522" t="str">
        <v>LOT0869</v>
      </c>
      <c r="BA1522" s="3">
        <v>20</v>
      </c>
      <c r="BB1522" t="str">
        <v>P/Final</v>
      </c>
      <c r="BC1522">
        <v>35</v>
      </c>
      <c r="BD1522" s="10">
        <v>38.1</v>
      </c>
      <c r="BE1522" s="10">
        <v>38.1</v>
      </c>
      <c r="BF1522" s="10">
        <v>0</v>
      </c>
      <c r="BG1522" s="13">
        <v>45645</v>
      </c>
    </row>
    <row r="1523" spans="49:59" x14ac:dyDescent="0.3">
      <c r="AW1523" s="1">
        <v>20.100000000000001</v>
      </c>
      <c r="AX1523" s="1">
        <v>20.100000000000001</v>
      </c>
      <c r="AY1523" t="str">
        <v>CP-R80_HI782-0_0.0_LOT0869_PWW50.1_QC.xlsx</v>
      </c>
      <c r="AZ1523" t="str">
        <v>LOT0869</v>
      </c>
      <c r="BA1523" s="3">
        <v>20</v>
      </c>
      <c r="BB1523" t="str">
        <v>P/Final</v>
      </c>
      <c r="BC1523">
        <v>35</v>
      </c>
      <c r="BD1523" s="10">
        <v>38.1</v>
      </c>
      <c r="BE1523" s="10">
        <v>38</v>
      </c>
      <c r="BF1523" s="10">
        <v>0</v>
      </c>
      <c r="BG1523" s="13">
        <v>45645</v>
      </c>
    </row>
    <row r="1524" spans="49:59" x14ac:dyDescent="0.3">
      <c r="AW1524" s="1">
        <v>20.100000000000001</v>
      </c>
      <c r="AX1524" s="1">
        <v>20.100000000000001</v>
      </c>
      <c r="AY1524" t="str">
        <v>CP-R80_HI782-0_0.0_LOT0869_PWW50.1_QC.xlsx</v>
      </c>
      <c r="AZ1524" t="str">
        <v>LOT0869</v>
      </c>
      <c r="BA1524" s="3">
        <v>20</v>
      </c>
      <c r="BB1524" t="str">
        <v>P/Final</v>
      </c>
      <c r="BC1524">
        <v>35</v>
      </c>
      <c r="BD1524" s="10">
        <v>38</v>
      </c>
      <c r="BE1524" s="10">
        <v>38.1</v>
      </c>
      <c r="BF1524" s="10">
        <v>0</v>
      </c>
      <c r="BG1524" s="13">
        <v>45645</v>
      </c>
    </row>
    <row r="1525" spans="49:59" x14ac:dyDescent="0.3">
      <c r="AW1525" s="1">
        <v>20.100000000000001</v>
      </c>
      <c r="AX1525" s="1">
        <v>20.100000000000001</v>
      </c>
      <c r="AY1525" t="str">
        <v>CP-R80_HI782-0_0.0_LOT0869_PWW50.1_QC.xlsx</v>
      </c>
      <c r="AZ1525" t="str">
        <v>LOT0869</v>
      </c>
      <c r="BA1525" s="3">
        <v>20</v>
      </c>
      <c r="BB1525" t="str">
        <v>P/Final</v>
      </c>
      <c r="BC1525">
        <v>35</v>
      </c>
      <c r="BD1525" s="10">
        <v>37.9</v>
      </c>
      <c r="BE1525" s="10">
        <v>37.799999999999997</v>
      </c>
      <c r="BF1525" s="10">
        <v>0</v>
      </c>
      <c r="BG1525" s="13">
        <v>45645</v>
      </c>
    </row>
    <row r="1526" spans="49:59" x14ac:dyDescent="0.3">
      <c r="AW1526" s="1">
        <v>20.100000000000001</v>
      </c>
      <c r="AX1526" s="1">
        <v>20.100000000000001</v>
      </c>
      <c r="AY1526" t="str">
        <v>CP-R80_HI782-0_0.0_LOT0869_PWW50.1_QC.xlsx</v>
      </c>
      <c r="AZ1526" t="str">
        <v>LOT0869</v>
      </c>
      <c r="BA1526" s="3">
        <v>20</v>
      </c>
      <c r="BB1526" t="str">
        <v>P/Final</v>
      </c>
      <c r="BC1526">
        <v>35</v>
      </c>
      <c r="BD1526" s="10">
        <v>33.1</v>
      </c>
      <c r="BE1526" s="10">
        <v>33.299999999999997</v>
      </c>
      <c r="BF1526" s="10">
        <v>0</v>
      </c>
      <c r="BG1526" s="13">
        <v>45645</v>
      </c>
    </row>
    <row r="1527" spans="49:59" x14ac:dyDescent="0.3">
      <c r="AW1527" s="1">
        <v>20.100000000000001</v>
      </c>
      <c r="AX1527" s="1">
        <v>20.100000000000001</v>
      </c>
      <c r="AY1527" t="str">
        <v>CP-R80_HI782-0_0.0_LOT0869_PWW50.1_QC.xlsx</v>
      </c>
      <c r="AZ1527" t="str">
        <v>LOT0869</v>
      </c>
      <c r="BA1527" s="3">
        <v>20</v>
      </c>
      <c r="BB1527" t="str">
        <v>P/Final</v>
      </c>
      <c r="BC1527">
        <v>35</v>
      </c>
      <c r="BD1527" s="10">
        <v>33.299999999999997</v>
      </c>
      <c r="BE1527" s="10">
        <v>33.4</v>
      </c>
      <c r="BF1527" s="10">
        <v>0</v>
      </c>
      <c r="BG1527" s="13">
        <v>45645</v>
      </c>
    </row>
    <row r="1528" spans="49:59" x14ac:dyDescent="0.3">
      <c r="AW1528" s="1">
        <v>20.100000000000001</v>
      </c>
      <c r="AX1528" s="1">
        <v>20.100000000000001</v>
      </c>
      <c r="AY1528" t="str">
        <v>CP-R80_HI782-0_0.0_LOT0869_PWW50.1_QC.xlsx</v>
      </c>
      <c r="AZ1528" t="str">
        <v>LOT0869</v>
      </c>
      <c r="BA1528" s="3">
        <v>20</v>
      </c>
      <c r="BB1528" t="str">
        <v>P/Final</v>
      </c>
      <c r="BC1528">
        <v>35</v>
      </c>
      <c r="BD1528" s="10">
        <v>34.700000000000003</v>
      </c>
      <c r="BE1528" s="10">
        <v>35</v>
      </c>
      <c r="BF1528" s="10">
        <v>0</v>
      </c>
      <c r="BG1528" s="13">
        <v>45645</v>
      </c>
    </row>
    <row r="1529" spans="49:59" x14ac:dyDescent="0.3">
      <c r="AW1529" s="1">
        <v>20.100000000000001</v>
      </c>
      <c r="AX1529" s="1">
        <v>20.100000000000001</v>
      </c>
      <c r="AY1529" t="str">
        <v>CP-R80_HI782-0_0.0_LOT0869_PWW50.1_QC.xlsx</v>
      </c>
      <c r="AZ1529" t="str">
        <v>LOT0869</v>
      </c>
      <c r="BA1529" s="3">
        <v>20</v>
      </c>
      <c r="BB1529" t="str">
        <v>P/Final</v>
      </c>
      <c r="BC1529">
        <v>35</v>
      </c>
      <c r="BD1529" s="10">
        <v>32.1</v>
      </c>
      <c r="BE1529" s="10">
        <v>32.299999999999997</v>
      </c>
      <c r="BF1529" s="10">
        <v>0</v>
      </c>
      <c r="BG1529" s="13">
        <v>45645</v>
      </c>
    </row>
    <row r="1530" spans="49:59" x14ac:dyDescent="0.3">
      <c r="AW1530" s="1">
        <v>20.100000000000001</v>
      </c>
      <c r="AX1530" s="1">
        <v>20.100000000000001</v>
      </c>
      <c r="AY1530" t="str">
        <v>CP-R80_HI782-0_0.0_LOT0869_PWW50.1_QC.xlsx</v>
      </c>
      <c r="AZ1530" t="str">
        <v>LOT0869</v>
      </c>
      <c r="BA1530" s="3">
        <v>20</v>
      </c>
      <c r="BB1530" t="str">
        <v>P/Final</v>
      </c>
      <c r="BC1530">
        <v>35</v>
      </c>
      <c r="BD1530" s="10">
        <v>33.799999999999997</v>
      </c>
      <c r="BE1530" s="10">
        <v>34</v>
      </c>
      <c r="BF1530" s="10">
        <v>0</v>
      </c>
      <c r="BG1530" s="13">
        <v>45645</v>
      </c>
    </row>
    <row r="1531" spans="49:59" x14ac:dyDescent="0.3">
      <c r="AW1531" s="1">
        <v>20.100000000000001</v>
      </c>
      <c r="AX1531" s="1">
        <v>20.100000000000001</v>
      </c>
      <c r="AY1531" t="str">
        <v>CP-R80_HI782-0_0.0_LOT0869_PWW50.1_QC.xlsx</v>
      </c>
      <c r="AZ1531" t="str">
        <v>LOT0869</v>
      </c>
      <c r="BA1531" s="3">
        <v>20</v>
      </c>
      <c r="BB1531" t="str">
        <v>P/Final</v>
      </c>
      <c r="BC1531">
        <v>35</v>
      </c>
      <c r="BD1531" s="10">
        <v>34</v>
      </c>
      <c r="BE1531" s="10">
        <v>34.6</v>
      </c>
      <c r="BF1531" s="10">
        <v>0</v>
      </c>
      <c r="BG1531" s="13">
        <v>45645</v>
      </c>
    </row>
    <row r="1532" spans="49:59" x14ac:dyDescent="0.3">
      <c r="AW1532" s="1">
        <v>20.100000000000001</v>
      </c>
      <c r="AX1532" s="1">
        <v>20.100000000000001</v>
      </c>
      <c r="AY1532" t="str">
        <v>CP-R80_HI782-0_0.0_LOT0869_PWW50.1_QC.xlsx</v>
      </c>
      <c r="AZ1532" t="str">
        <v>LOT0869</v>
      </c>
      <c r="BA1532" s="3">
        <v>20</v>
      </c>
      <c r="BB1532" t="str">
        <v>P/Final</v>
      </c>
      <c r="BC1532">
        <v>35</v>
      </c>
      <c r="BD1532" s="10">
        <v>33.6</v>
      </c>
      <c r="BE1532" s="10">
        <v>33.6</v>
      </c>
      <c r="BF1532" s="10">
        <v>0</v>
      </c>
      <c r="BG1532" s="13">
        <v>45645</v>
      </c>
    </row>
    <row r="1533" spans="49:59" x14ac:dyDescent="0.3">
      <c r="AW1533" s="1">
        <v>20.100000000000001</v>
      </c>
      <c r="AX1533" s="1">
        <v>20.100000000000001</v>
      </c>
      <c r="AY1533" t="str">
        <v>CP-R80_HI782-0_0.0_LOT0869_PWW50.1_QC.xlsx</v>
      </c>
      <c r="AZ1533" t="str">
        <v>LOT0869</v>
      </c>
      <c r="BA1533" s="3">
        <v>20</v>
      </c>
      <c r="BB1533" t="str">
        <v>P/Final</v>
      </c>
      <c r="BC1533">
        <v>35</v>
      </c>
      <c r="BD1533" s="10">
        <v>34.9</v>
      </c>
      <c r="BE1533" s="10">
        <v>34.9</v>
      </c>
      <c r="BF1533" s="10">
        <v>0</v>
      </c>
      <c r="BG1533" s="13">
        <v>45645</v>
      </c>
    </row>
    <row r="1534" spans="49:59" x14ac:dyDescent="0.3">
      <c r="AW1534" s="1">
        <v>20.100000000000001</v>
      </c>
      <c r="AX1534" s="1">
        <v>20.100000000000001</v>
      </c>
      <c r="AY1534" t="str">
        <v>CP-R80_HI782-0_0.0_LOT0869_PWW50.1_QC.xlsx</v>
      </c>
      <c r="AZ1534" t="str">
        <v>LOT0869</v>
      </c>
      <c r="BA1534" s="3">
        <v>20</v>
      </c>
      <c r="BB1534" t="str">
        <v>P/Final</v>
      </c>
      <c r="BC1534">
        <v>35</v>
      </c>
      <c r="BD1534" s="10">
        <v>35.700000000000003</v>
      </c>
      <c r="BE1534" s="10">
        <v>35.5</v>
      </c>
      <c r="BF1534" s="10">
        <v>0</v>
      </c>
      <c r="BG1534" s="13">
        <v>45645</v>
      </c>
    </row>
    <row r="1535" spans="49:59" x14ac:dyDescent="0.3">
      <c r="AW1535" s="1">
        <v>20.100000000000001</v>
      </c>
      <c r="AX1535" s="1">
        <v>20.100000000000001</v>
      </c>
      <c r="AY1535" t="str">
        <v>CP-R80_HI782-0_0.0_LOT0869_PWW50.1_QC.xlsx</v>
      </c>
      <c r="AZ1535" t="str">
        <v>LOT0869</v>
      </c>
      <c r="BA1535" s="3">
        <v>20</v>
      </c>
      <c r="BB1535" t="str">
        <v>P/Final</v>
      </c>
      <c r="BC1535">
        <v>35</v>
      </c>
      <c r="BD1535" s="10">
        <v>32.200000000000003</v>
      </c>
      <c r="BE1535" s="10">
        <v>32.299999999999997</v>
      </c>
      <c r="BF1535" s="10">
        <v>0</v>
      </c>
      <c r="BG1535" s="13">
        <v>45645</v>
      </c>
    </row>
    <row r="1536" spans="49:59" x14ac:dyDescent="0.3">
      <c r="AW1536" s="1">
        <v>20.100000000000001</v>
      </c>
      <c r="AX1536" s="1">
        <v>20.100000000000001</v>
      </c>
      <c r="AY1536" t="str">
        <v>CP-R80_HI782-0_0.0_LOT0869_PWW50.1_QC.xlsx</v>
      </c>
      <c r="AZ1536" t="str">
        <v>LOT0869</v>
      </c>
      <c r="BA1536" s="3">
        <v>20</v>
      </c>
      <c r="BB1536" t="str">
        <v>P/Final</v>
      </c>
      <c r="BC1536">
        <v>35</v>
      </c>
      <c r="BD1536" s="10">
        <v>33.1</v>
      </c>
      <c r="BE1536" s="10">
        <v>33.1</v>
      </c>
      <c r="BF1536" s="10">
        <v>0</v>
      </c>
      <c r="BG1536" s="13">
        <v>45645</v>
      </c>
    </row>
    <row r="1537" spans="49:59" x14ac:dyDescent="0.3">
      <c r="AW1537" s="1">
        <v>20.100000000000001</v>
      </c>
      <c r="AX1537" s="1">
        <v>20.100000000000001</v>
      </c>
      <c r="AY1537" t="str">
        <v>CP-R80_HI782-0_0.0_LOT0869_PWW50.1_QC.xlsx</v>
      </c>
      <c r="AZ1537" t="str">
        <v>LOT0869</v>
      </c>
      <c r="BA1537" s="3">
        <v>20</v>
      </c>
      <c r="BB1537" t="str">
        <v>P/Final</v>
      </c>
      <c r="BC1537">
        <v>35</v>
      </c>
      <c r="BD1537" s="10">
        <v>31.6</v>
      </c>
      <c r="BE1537" s="10">
        <v>31.8</v>
      </c>
      <c r="BF1537" s="10">
        <v>0</v>
      </c>
      <c r="BG1537" s="13">
        <v>45645</v>
      </c>
    </row>
    <row r="1538" spans="49:59" x14ac:dyDescent="0.3">
      <c r="AW1538" s="1">
        <v>20.100000000000001</v>
      </c>
      <c r="AX1538" s="1">
        <v>20.100000000000001</v>
      </c>
      <c r="AY1538" t="str">
        <v>CP-R80_HI782-0_0.0_LOT0869_PWW50.1_QC.xlsx</v>
      </c>
      <c r="AZ1538" t="str">
        <v>LOT0869</v>
      </c>
      <c r="BA1538" s="3">
        <v>20</v>
      </c>
      <c r="BB1538" t="str">
        <v>P/Final</v>
      </c>
      <c r="BC1538">
        <v>60</v>
      </c>
      <c r="BD1538" s="10">
        <v>56.4</v>
      </c>
      <c r="BE1538" s="10">
        <v>56.5</v>
      </c>
      <c r="BF1538" s="10">
        <v>0</v>
      </c>
      <c r="BG1538" s="13">
        <v>45645</v>
      </c>
    </row>
    <row r="1539" spans="49:59" x14ac:dyDescent="0.3">
      <c r="AW1539" s="1">
        <v>20.100000000000001</v>
      </c>
      <c r="AX1539" s="1">
        <v>20.100000000000001</v>
      </c>
      <c r="AY1539" t="str">
        <v>CP-R80_HI782-0_0.0_LOT0869_PWW50.1_QC.xlsx</v>
      </c>
      <c r="AZ1539" t="str">
        <v>LOT0869</v>
      </c>
      <c r="BA1539" s="3">
        <v>20</v>
      </c>
      <c r="BB1539" t="str">
        <v>P/Final</v>
      </c>
      <c r="BC1539">
        <v>60</v>
      </c>
      <c r="BD1539" s="10">
        <v>63.6</v>
      </c>
      <c r="BE1539" s="10">
        <v>63.7</v>
      </c>
      <c r="BF1539" s="10">
        <v>0</v>
      </c>
      <c r="BG1539" s="13">
        <v>45645</v>
      </c>
    </row>
    <row r="1540" spans="49:59" x14ac:dyDescent="0.3">
      <c r="AW1540" s="1">
        <v>20.100000000000001</v>
      </c>
      <c r="AX1540" s="1">
        <v>20.100000000000001</v>
      </c>
      <c r="AY1540" t="str">
        <v>CP-R80_HI782-0_0.0_LOT0869_PWW50.1_QC.xlsx</v>
      </c>
      <c r="AZ1540" t="str">
        <v>LOT0869</v>
      </c>
      <c r="BA1540" s="3">
        <v>20</v>
      </c>
      <c r="BB1540" t="str">
        <v>P/Final</v>
      </c>
      <c r="BC1540">
        <v>60</v>
      </c>
      <c r="BD1540" s="10">
        <v>61.9</v>
      </c>
      <c r="BE1540" s="10">
        <v>61.9</v>
      </c>
      <c r="BF1540" s="10">
        <v>0</v>
      </c>
      <c r="BG1540" s="13">
        <v>45645</v>
      </c>
    </row>
    <row r="1541" spans="49:59" x14ac:dyDescent="0.3">
      <c r="AW1541" s="1">
        <v>20.100000000000001</v>
      </c>
      <c r="AX1541" s="1">
        <v>20.100000000000001</v>
      </c>
      <c r="AY1541" t="str">
        <v>CP-R80_HI782-0_0.0_LOT0869_PWW50.1_QC.xlsx</v>
      </c>
      <c r="AZ1541" t="str">
        <v>LOT0869</v>
      </c>
      <c r="BA1541" s="3">
        <v>20</v>
      </c>
      <c r="BB1541" t="str">
        <v>P/Final</v>
      </c>
      <c r="BC1541">
        <v>60</v>
      </c>
      <c r="BD1541" s="10">
        <v>55.4</v>
      </c>
      <c r="BE1541" s="10">
        <v>55.4</v>
      </c>
      <c r="BF1541" s="10">
        <v>0</v>
      </c>
      <c r="BG1541" s="13">
        <v>45645</v>
      </c>
    </row>
    <row r="1542" spans="49:59" x14ac:dyDescent="0.3">
      <c r="AW1542" s="1">
        <v>20.100000000000001</v>
      </c>
      <c r="AX1542" s="1">
        <v>20.100000000000001</v>
      </c>
      <c r="AY1542" t="str">
        <v>CP-R80_HI782-0_0.0_LOT0869_PWW50.1_QC.xlsx</v>
      </c>
      <c r="AZ1542" t="str">
        <v>LOT0869</v>
      </c>
      <c r="BA1542" s="3">
        <v>20</v>
      </c>
      <c r="BB1542" t="str">
        <v>P/Final</v>
      </c>
      <c r="BC1542">
        <v>60</v>
      </c>
      <c r="BD1542" s="10">
        <v>58.7</v>
      </c>
      <c r="BE1542" s="10">
        <v>58.6</v>
      </c>
      <c r="BF1542" s="10">
        <v>0</v>
      </c>
      <c r="BG1542" s="13">
        <v>45645</v>
      </c>
    </row>
    <row r="1543" spans="49:59" x14ac:dyDescent="0.3">
      <c r="AW1543" s="1">
        <v>20.100000000000001</v>
      </c>
      <c r="AX1543" s="1">
        <v>20.100000000000001</v>
      </c>
      <c r="AY1543" t="str">
        <v>CP-R80_HI782-0_0.0_LOT0869_PWW50.1_QC.xlsx</v>
      </c>
      <c r="AZ1543" t="str">
        <v>LOT0869</v>
      </c>
      <c r="BA1543" s="3">
        <v>20</v>
      </c>
      <c r="BB1543" t="str">
        <v>P/Final</v>
      </c>
      <c r="BC1543">
        <v>60</v>
      </c>
      <c r="BD1543" s="10">
        <v>55.3</v>
      </c>
      <c r="BE1543" s="10">
        <v>55.9</v>
      </c>
      <c r="BF1543" s="10">
        <v>0</v>
      </c>
      <c r="BG1543" s="13">
        <v>45645</v>
      </c>
    </row>
    <row r="1544" spans="49:59" x14ac:dyDescent="0.3">
      <c r="AW1544" s="1">
        <v>20.100000000000001</v>
      </c>
      <c r="AX1544" s="1">
        <v>20.100000000000001</v>
      </c>
      <c r="AY1544" t="str">
        <v>CP-R80_HI782-0_0.0_LOT0869_PWW50.1_QC.xlsx</v>
      </c>
      <c r="AZ1544" t="str">
        <v>LOT0869</v>
      </c>
      <c r="BA1544" s="3">
        <v>20</v>
      </c>
      <c r="BB1544" t="str">
        <v>P/Final</v>
      </c>
      <c r="BC1544">
        <v>60</v>
      </c>
      <c r="BD1544" s="10">
        <v>55.4</v>
      </c>
      <c r="BE1544" s="10">
        <v>55.6</v>
      </c>
      <c r="BF1544" s="10">
        <v>0</v>
      </c>
      <c r="BG1544" s="13">
        <v>45645</v>
      </c>
    </row>
    <row r="1545" spans="49:59" x14ac:dyDescent="0.3">
      <c r="AW1545" s="1">
        <v>20.100000000000001</v>
      </c>
      <c r="AX1545" s="1">
        <v>20.100000000000001</v>
      </c>
      <c r="AY1545" t="str">
        <v>CP-R80_HI782-0_0.0_LOT0869_PWW50.1_QC.xlsx</v>
      </c>
      <c r="AZ1545" t="str">
        <v>LOT0869</v>
      </c>
      <c r="BA1545" s="3">
        <v>20</v>
      </c>
      <c r="BB1545" t="str">
        <v>P/Final</v>
      </c>
      <c r="BC1545">
        <v>60</v>
      </c>
      <c r="BD1545" s="10">
        <v>56</v>
      </c>
      <c r="BE1545" s="10">
        <v>56</v>
      </c>
      <c r="BF1545" s="10">
        <v>0</v>
      </c>
      <c r="BG1545" s="13">
        <v>45645</v>
      </c>
    </row>
    <row r="1546" spans="49:59" x14ac:dyDescent="0.3">
      <c r="AW1546" s="1">
        <v>20.100000000000001</v>
      </c>
      <c r="AX1546" s="1">
        <v>20.100000000000001</v>
      </c>
      <c r="AY1546" t="str">
        <v>CP-R80_HI782-0_0.0_LOT0869_PWW50.1_QC.xlsx</v>
      </c>
      <c r="AZ1546" t="str">
        <v>LOT0869</v>
      </c>
      <c r="BA1546" s="3">
        <v>20</v>
      </c>
      <c r="BB1546" t="str">
        <v>P/Final</v>
      </c>
      <c r="BC1546">
        <v>60</v>
      </c>
      <c r="BD1546" s="10">
        <v>55.5</v>
      </c>
      <c r="BE1546" s="10">
        <v>55.5</v>
      </c>
      <c r="BF1546" s="10">
        <v>0</v>
      </c>
      <c r="BG1546" s="13">
        <v>45645</v>
      </c>
    </row>
    <row r="1547" spans="49:59" x14ac:dyDescent="0.3">
      <c r="AW1547" s="1">
        <v>20.100000000000001</v>
      </c>
      <c r="AX1547" s="1">
        <v>20.100000000000001</v>
      </c>
      <c r="AY1547" t="str">
        <v>CP-R80_HI782-0_0.0_LOT0869_PWW50.1_QC.xlsx</v>
      </c>
      <c r="AZ1547" t="str">
        <v>LOT0869</v>
      </c>
      <c r="BA1547" s="3">
        <v>20</v>
      </c>
      <c r="BB1547" t="str">
        <v>P/Final</v>
      </c>
      <c r="BC1547">
        <v>60</v>
      </c>
      <c r="BD1547" s="10">
        <v>56.2</v>
      </c>
      <c r="BE1547" s="10">
        <v>57</v>
      </c>
      <c r="BF1547" s="10">
        <v>0</v>
      </c>
      <c r="BG1547" s="13">
        <v>45645</v>
      </c>
    </row>
    <row r="1548" spans="49:59" x14ac:dyDescent="0.3">
      <c r="AW1548" s="1">
        <v>20.100000000000001</v>
      </c>
      <c r="AX1548" s="1">
        <v>20.100000000000001</v>
      </c>
      <c r="AY1548" t="str">
        <v>CP-R80_HI782-0_0.0_LOT0869_PWW50.1_QC.xlsx</v>
      </c>
      <c r="AZ1548" t="str">
        <v>LOT0869</v>
      </c>
      <c r="BA1548" s="3">
        <v>20</v>
      </c>
      <c r="BB1548" t="str">
        <v>P/Final</v>
      </c>
      <c r="BC1548">
        <v>60</v>
      </c>
      <c r="BD1548" s="10">
        <v>56.6</v>
      </c>
      <c r="BE1548" s="10">
        <v>55.8</v>
      </c>
      <c r="BF1548" s="10">
        <v>0</v>
      </c>
      <c r="BG1548" s="13">
        <v>45645</v>
      </c>
    </row>
    <row r="1549" spans="49:59" x14ac:dyDescent="0.3">
      <c r="AW1549" s="1">
        <v>20.100000000000001</v>
      </c>
      <c r="AX1549" s="1">
        <v>20.100000000000001</v>
      </c>
      <c r="AY1549" t="str">
        <v>CP-R80_HI782-0_0.0_LOT0869_PWW50.1_QC.xlsx</v>
      </c>
      <c r="AZ1549" t="str">
        <v>LOT0869</v>
      </c>
      <c r="BA1549" s="3">
        <v>20</v>
      </c>
      <c r="BB1549" t="str">
        <v>P/Final</v>
      </c>
      <c r="BC1549">
        <v>60</v>
      </c>
      <c r="BD1549" s="10">
        <v>59</v>
      </c>
      <c r="BE1549" s="10">
        <v>59.3</v>
      </c>
      <c r="BF1549" s="10">
        <v>0</v>
      </c>
      <c r="BG1549" s="13">
        <v>45645</v>
      </c>
    </row>
    <row r="1550" spans="49:59" x14ac:dyDescent="0.3">
      <c r="AW1550" s="1">
        <v>20.100000000000001</v>
      </c>
      <c r="AX1550" s="1">
        <v>20.100000000000001</v>
      </c>
      <c r="AY1550" t="str">
        <v>CP-R80_HI782-0_0.0_LOT0869_PWW50.1_QC.xlsx</v>
      </c>
      <c r="AZ1550" t="str">
        <v>LOT0869</v>
      </c>
      <c r="BA1550" s="3">
        <v>20</v>
      </c>
      <c r="BB1550" t="str">
        <v>P/Final</v>
      </c>
      <c r="BC1550">
        <v>60</v>
      </c>
      <c r="BD1550" s="10">
        <v>55.2</v>
      </c>
      <c r="BE1550" s="10">
        <v>55.3</v>
      </c>
      <c r="BF1550" s="10">
        <v>0</v>
      </c>
      <c r="BG1550" s="13">
        <v>45645</v>
      </c>
    </row>
    <row r="1551" spans="49:59" x14ac:dyDescent="0.3">
      <c r="AW1551" s="1">
        <v>20.100000000000001</v>
      </c>
      <c r="AX1551" s="1">
        <v>20.100000000000001</v>
      </c>
      <c r="AY1551" t="str">
        <v>CP-R80_HI782-0_0.0_LOT0869_PWW50.1_QC.xlsx</v>
      </c>
      <c r="AZ1551" t="str">
        <v>LOT0869</v>
      </c>
      <c r="BA1551" s="3">
        <v>20</v>
      </c>
      <c r="BB1551" t="str">
        <v>P/Final</v>
      </c>
      <c r="BC1551">
        <v>60</v>
      </c>
      <c r="BD1551" s="10">
        <v>55.7</v>
      </c>
      <c r="BE1551" s="10">
        <v>55.7</v>
      </c>
      <c r="BF1551" s="10">
        <v>0</v>
      </c>
      <c r="BG1551" s="13">
        <v>45645</v>
      </c>
    </row>
    <row r="1552" spans="49:59" x14ac:dyDescent="0.3">
      <c r="AW1552" s="1">
        <v>20.100000000000001</v>
      </c>
      <c r="AX1552" s="1">
        <v>20.100000000000001</v>
      </c>
      <c r="AY1552" t="str">
        <v>CP-R80_HI782-0_0.0_LOT0869_PWW50.1_QC.xlsx</v>
      </c>
      <c r="AZ1552" t="str">
        <v>LOT0869</v>
      </c>
      <c r="BA1552" s="3">
        <v>20</v>
      </c>
      <c r="BB1552" t="str">
        <v>P/Final</v>
      </c>
      <c r="BC1552">
        <v>60</v>
      </c>
      <c r="BD1552" s="10">
        <v>57.4</v>
      </c>
      <c r="BE1552" s="10">
        <v>56.2</v>
      </c>
      <c r="BF1552" s="10">
        <v>0</v>
      </c>
      <c r="BG1552" s="13">
        <v>45645</v>
      </c>
    </row>
    <row r="1553" spans="49:59" x14ac:dyDescent="0.3">
      <c r="AW1553" s="1">
        <v>20.100000000000001</v>
      </c>
      <c r="AX1553" s="1">
        <v>20.100000000000001</v>
      </c>
      <c r="AY1553" t="str">
        <v>CP-R80_HI782-0_0.0_LOT0869_PWW50.1_QC.xlsx</v>
      </c>
      <c r="AZ1553" t="str">
        <v>LOT0869</v>
      </c>
      <c r="BA1553" s="3">
        <v>20</v>
      </c>
      <c r="BB1553" t="str">
        <v>P/Final</v>
      </c>
      <c r="BC1553">
        <v>60</v>
      </c>
      <c r="BD1553" s="10">
        <v>55.5</v>
      </c>
      <c r="BE1553" s="10">
        <v>55.8</v>
      </c>
      <c r="BF1553" s="10">
        <v>0</v>
      </c>
      <c r="BG1553" s="13">
        <v>45645</v>
      </c>
    </row>
    <row r="1554" spans="49:59" x14ac:dyDescent="0.3">
      <c r="AW1554" s="1">
        <v>20.100000000000001</v>
      </c>
      <c r="AX1554" s="1">
        <v>20.100000000000001</v>
      </c>
      <c r="AY1554" t="str">
        <v>CP-R80_HI782-0_0.0_LOT0869_PWW50.1_QC.xlsx</v>
      </c>
      <c r="AZ1554" t="str">
        <v>LOT0869</v>
      </c>
      <c r="BA1554" s="3">
        <v>20</v>
      </c>
      <c r="BB1554" t="str">
        <v>P/Final</v>
      </c>
      <c r="BC1554">
        <v>15</v>
      </c>
      <c r="BD1554" s="10">
        <v>14</v>
      </c>
      <c r="BE1554" s="10">
        <v>13.8</v>
      </c>
      <c r="BF1554" s="10">
        <v>0</v>
      </c>
      <c r="BG1554" s="13">
        <v>45646</v>
      </c>
    </row>
    <row r="1555" spans="49:59" x14ac:dyDescent="0.3">
      <c r="AW1555" s="1">
        <v>20.100000000000001</v>
      </c>
      <c r="AX1555" s="1">
        <v>20.100000000000001</v>
      </c>
      <c r="AY1555" t="str">
        <v>CP-R80_HI782-0_0.0_LOT0869_PWW50.1_QC.xlsx</v>
      </c>
      <c r="AZ1555" t="str">
        <v>LOT0869</v>
      </c>
      <c r="BA1555" s="3">
        <v>20</v>
      </c>
      <c r="BB1555" t="str">
        <v>P/Final</v>
      </c>
      <c r="BC1555">
        <v>15</v>
      </c>
      <c r="BD1555" s="10">
        <v>14.8</v>
      </c>
      <c r="BE1555" s="10">
        <v>15</v>
      </c>
      <c r="BF1555" s="10">
        <v>0</v>
      </c>
      <c r="BG1555" s="13">
        <v>45646</v>
      </c>
    </row>
    <row r="1556" spans="49:59" x14ac:dyDescent="0.3">
      <c r="AW1556" s="1">
        <v>20.100000000000001</v>
      </c>
      <c r="AX1556" s="1">
        <v>20.100000000000001</v>
      </c>
      <c r="AY1556" t="str">
        <v>CP-R80_HI782-0_0.0_LOT0869_PWW50.1_QC.xlsx</v>
      </c>
      <c r="AZ1556" t="str">
        <v>LOT0869</v>
      </c>
      <c r="BA1556" s="3">
        <v>20</v>
      </c>
      <c r="BB1556" t="str">
        <v>P/Final</v>
      </c>
      <c r="BC1556">
        <v>15</v>
      </c>
      <c r="BD1556" s="10">
        <v>14.4</v>
      </c>
      <c r="BE1556" s="10">
        <v>14.5</v>
      </c>
      <c r="BF1556" s="10">
        <v>0</v>
      </c>
      <c r="BG1556" s="13">
        <v>45646</v>
      </c>
    </row>
    <row r="1557" spans="49:59" x14ac:dyDescent="0.3">
      <c r="AW1557" s="1">
        <v>20.100000000000001</v>
      </c>
      <c r="AX1557" s="1">
        <v>20.100000000000001</v>
      </c>
      <c r="AY1557" t="str">
        <v>CP-R80_HI782-0_0.0_LOT0869_PWW50.1_QC.xlsx</v>
      </c>
      <c r="AZ1557" t="str">
        <v>LOT0869</v>
      </c>
      <c r="BA1557" s="3">
        <v>20</v>
      </c>
      <c r="BB1557" t="str">
        <v>P/Final</v>
      </c>
      <c r="BC1557">
        <v>15</v>
      </c>
      <c r="BD1557" s="10">
        <v>14.5</v>
      </c>
      <c r="BE1557" s="10">
        <v>14.4</v>
      </c>
      <c r="BF1557" s="10">
        <v>0</v>
      </c>
      <c r="BG1557" s="13">
        <v>45646</v>
      </c>
    </row>
    <row r="1558" spans="49:59" x14ac:dyDescent="0.3">
      <c r="AW1558" s="1">
        <v>20.100000000000001</v>
      </c>
      <c r="AX1558" s="1">
        <v>20.100000000000001</v>
      </c>
      <c r="AY1558" t="str">
        <v>CP-R80_HI782-0_0.0_LOT0869_PWW50.1_QC.xlsx</v>
      </c>
      <c r="AZ1558" t="str">
        <v>LOT0869</v>
      </c>
      <c r="BA1558" s="3">
        <v>20</v>
      </c>
      <c r="BB1558" t="str">
        <v>P/Final</v>
      </c>
      <c r="BC1558">
        <v>15</v>
      </c>
      <c r="BD1558" s="10">
        <v>13.4</v>
      </c>
      <c r="BE1558" s="10">
        <v>13.4</v>
      </c>
      <c r="BF1558" s="10">
        <v>0</v>
      </c>
      <c r="BG1558" s="13">
        <v>45646</v>
      </c>
    </row>
    <row r="1559" spans="49:59" x14ac:dyDescent="0.3">
      <c r="AW1559" s="1">
        <v>20.100000000000001</v>
      </c>
      <c r="AX1559" s="1">
        <v>20.100000000000001</v>
      </c>
      <c r="AY1559" t="str">
        <v>CP-R80_HI782-0_0.0_LOT0869_PWW50.1_QC.xlsx</v>
      </c>
      <c r="AZ1559" t="str">
        <v>LOT0869</v>
      </c>
      <c r="BA1559" s="3">
        <v>20</v>
      </c>
      <c r="BB1559" t="str">
        <v>P/Final</v>
      </c>
      <c r="BC1559">
        <v>15</v>
      </c>
      <c r="BD1559" s="10">
        <v>14.5</v>
      </c>
      <c r="BE1559" s="10">
        <v>14.6</v>
      </c>
      <c r="BF1559" s="10">
        <v>0</v>
      </c>
      <c r="BG1559" s="13">
        <v>45646</v>
      </c>
    </row>
    <row r="1560" spans="49:59" x14ac:dyDescent="0.3">
      <c r="AW1560" s="1">
        <v>20.100000000000001</v>
      </c>
      <c r="AX1560" s="1">
        <v>20.100000000000001</v>
      </c>
      <c r="AY1560" t="str">
        <v>CP-R80_HI782-0_0.0_LOT0869_PWW50.1_QC.xlsx</v>
      </c>
      <c r="AZ1560" t="str">
        <v>LOT0869</v>
      </c>
      <c r="BA1560" s="3">
        <v>20</v>
      </c>
      <c r="BB1560" t="str">
        <v>P/Final</v>
      </c>
      <c r="BC1560">
        <v>35</v>
      </c>
      <c r="BD1560" s="10">
        <v>34.4</v>
      </c>
      <c r="BE1560" s="10">
        <v>34.5</v>
      </c>
      <c r="BF1560" s="10">
        <v>0</v>
      </c>
      <c r="BG1560" s="13">
        <v>45646</v>
      </c>
    </row>
    <row r="1561" spans="49:59" x14ac:dyDescent="0.3">
      <c r="AW1561" s="1">
        <v>20.100000000000001</v>
      </c>
      <c r="AX1561" s="1">
        <v>20.100000000000001</v>
      </c>
      <c r="AY1561" t="str">
        <v>CP-R80_HI782-0_0.0_LOT0869_PWW50.1_QC.xlsx</v>
      </c>
      <c r="AZ1561" t="str">
        <v>LOT0869</v>
      </c>
      <c r="BA1561" s="3">
        <v>20</v>
      </c>
      <c r="BB1561" t="str">
        <v>P/Final</v>
      </c>
      <c r="BC1561">
        <v>35</v>
      </c>
      <c r="BD1561" s="10">
        <v>37.9</v>
      </c>
      <c r="BE1561" s="10">
        <v>37.799999999999997</v>
      </c>
      <c r="BF1561" s="10">
        <v>0</v>
      </c>
      <c r="BG1561" s="13">
        <v>45646</v>
      </c>
    </row>
    <row r="1562" spans="49:59" x14ac:dyDescent="0.3">
      <c r="AW1562" s="1">
        <v>20.100000000000001</v>
      </c>
      <c r="AX1562" s="1">
        <v>20.100000000000001</v>
      </c>
      <c r="AY1562" t="str">
        <v>CP-R80_HI782-0_0.0_LOT0869_PWW50.1_QC.xlsx</v>
      </c>
      <c r="AZ1562" t="str">
        <v>LOT0869</v>
      </c>
      <c r="BA1562" s="3">
        <v>20</v>
      </c>
      <c r="BB1562" t="str">
        <v>P/Final</v>
      </c>
      <c r="BC1562">
        <v>35</v>
      </c>
      <c r="BD1562" s="10">
        <v>33.9</v>
      </c>
      <c r="BE1562" s="10">
        <v>33.9</v>
      </c>
      <c r="BF1562" s="10">
        <v>0</v>
      </c>
      <c r="BG1562" s="13">
        <v>45646</v>
      </c>
    </row>
    <row r="1563" spans="49:59" x14ac:dyDescent="0.3">
      <c r="AW1563" s="1">
        <v>20.100000000000001</v>
      </c>
      <c r="AX1563" s="1">
        <v>20.100000000000001</v>
      </c>
      <c r="AY1563" t="str">
        <v>CP-R80_HI782-0_0.0_LOT0869_PWW50.1_QC.xlsx</v>
      </c>
      <c r="AZ1563" t="str">
        <v>LOT0869</v>
      </c>
      <c r="BA1563" s="3">
        <v>20</v>
      </c>
      <c r="BB1563" t="str">
        <v>P/Final</v>
      </c>
      <c r="BC1563">
        <v>35</v>
      </c>
      <c r="BD1563" s="10">
        <v>35.4</v>
      </c>
      <c r="BE1563" s="10">
        <v>35.6</v>
      </c>
      <c r="BF1563" s="10">
        <v>0</v>
      </c>
      <c r="BG1563" s="13">
        <v>45646</v>
      </c>
    </row>
    <row r="1564" spans="49:59" x14ac:dyDescent="0.3">
      <c r="AW1564" s="1">
        <v>20.100000000000001</v>
      </c>
      <c r="AX1564" s="1">
        <v>20.100000000000001</v>
      </c>
      <c r="AY1564" t="str">
        <v>CP-R80_HI782-0_0.0_LOT0869_PWW50.1_QC.xlsx</v>
      </c>
      <c r="AZ1564" t="str">
        <v>LOT0869</v>
      </c>
      <c r="BA1564" s="3">
        <v>20</v>
      </c>
      <c r="BB1564" t="str">
        <v>P/Final</v>
      </c>
      <c r="BC1564">
        <v>35</v>
      </c>
      <c r="BD1564" s="10">
        <v>33.299999999999997</v>
      </c>
      <c r="BE1564" s="10">
        <v>32.9</v>
      </c>
      <c r="BF1564" s="10">
        <v>0</v>
      </c>
      <c r="BG1564" s="13">
        <v>45646</v>
      </c>
    </row>
    <row r="1565" spans="49:59" x14ac:dyDescent="0.3">
      <c r="AW1565" s="1">
        <v>20.100000000000001</v>
      </c>
      <c r="AX1565" s="1">
        <v>20.100000000000001</v>
      </c>
      <c r="AY1565" t="str">
        <v>CP-R80_HI782-0_0.0_LOT0869_PWW50.1_QC.xlsx</v>
      </c>
      <c r="AZ1565" t="str">
        <v>LOT0869</v>
      </c>
      <c r="BA1565" s="3">
        <v>20</v>
      </c>
      <c r="BB1565" t="str">
        <v>P/Final</v>
      </c>
      <c r="BC1565">
        <v>35</v>
      </c>
      <c r="BD1565" s="10">
        <v>33</v>
      </c>
      <c r="BE1565" s="10">
        <v>33.4</v>
      </c>
      <c r="BF1565" s="10">
        <v>0</v>
      </c>
      <c r="BG1565" s="13">
        <v>45646</v>
      </c>
    </row>
    <row r="1566" spans="49:59" x14ac:dyDescent="0.3">
      <c r="AW1566" s="1">
        <v>20.100000000000001</v>
      </c>
      <c r="AX1566" s="1">
        <v>20.100000000000001</v>
      </c>
      <c r="AY1566" t="str">
        <v>CP-R80_HI782-0_0.0_LOT0869_PWW50.1_QC.xlsx</v>
      </c>
      <c r="AZ1566" t="str">
        <v>LOT0869</v>
      </c>
      <c r="BA1566" s="3">
        <v>20</v>
      </c>
      <c r="BB1566" t="str">
        <v>P/Final</v>
      </c>
      <c r="BC1566">
        <v>60</v>
      </c>
      <c r="BD1566" s="10">
        <v>59.5</v>
      </c>
      <c r="BE1566" s="10">
        <v>59.4</v>
      </c>
      <c r="BF1566" s="10">
        <v>0</v>
      </c>
      <c r="BG1566" s="13">
        <v>45646</v>
      </c>
    </row>
    <row r="1567" spans="49:59" x14ac:dyDescent="0.3">
      <c r="AW1567" s="1">
        <v>20.100000000000001</v>
      </c>
      <c r="AX1567" s="1">
        <v>20.100000000000001</v>
      </c>
      <c r="AY1567" t="str">
        <v>CP-R80_HI782-0_0.0_LOT0869_PWW50.1_QC.xlsx</v>
      </c>
      <c r="AZ1567" t="str">
        <v>LOT0869</v>
      </c>
      <c r="BA1567" s="3">
        <v>20</v>
      </c>
      <c r="BB1567" t="str">
        <v>P/Final</v>
      </c>
      <c r="BC1567">
        <v>60</v>
      </c>
      <c r="BD1567" s="10">
        <v>56.1</v>
      </c>
      <c r="BE1567" s="10">
        <v>56.1</v>
      </c>
      <c r="BF1567" s="10">
        <v>0</v>
      </c>
      <c r="BG1567" s="13">
        <v>45646</v>
      </c>
    </row>
    <row r="1568" spans="49:59" x14ac:dyDescent="0.3">
      <c r="AW1568" s="1">
        <v>20.100000000000001</v>
      </c>
      <c r="AX1568" s="1">
        <v>20.100000000000001</v>
      </c>
      <c r="AY1568" t="str">
        <v>CP-R80_HI782-0_0.0_LOT0869_PWW50.1_QC.xlsx</v>
      </c>
      <c r="AZ1568" t="str">
        <v>LOT0869</v>
      </c>
      <c r="BA1568" s="3">
        <v>20</v>
      </c>
      <c r="BB1568" t="str">
        <v>P/Final</v>
      </c>
      <c r="BC1568">
        <v>60</v>
      </c>
      <c r="BD1568" s="10">
        <v>55.4</v>
      </c>
      <c r="BE1568" s="10">
        <v>55.2</v>
      </c>
      <c r="BF1568" s="10">
        <v>0</v>
      </c>
      <c r="BG1568" s="13">
        <v>45646</v>
      </c>
    </row>
    <row r="1569" spans="49:59" x14ac:dyDescent="0.3">
      <c r="AW1569" s="1">
        <v>20.100000000000001</v>
      </c>
      <c r="AX1569" s="1">
        <v>20.100000000000001</v>
      </c>
      <c r="AY1569" t="str">
        <v>CP-R80_HI782-0_0.0_LOT0869_PWW50.1_QC.xlsx</v>
      </c>
      <c r="AZ1569" t="str">
        <v>LOT0869</v>
      </c>
      <c r="BA1569" s="3">
        <v>20</v>
      </c>
      <c r="BB1569" t="str">
        <v>P/Final</v>
      </c>
      <c r="BC1569">
        <v>60</v>
      </c>
      <c r="BD1569" s="10">
        <v>55.2</v>
      </c>
      <c r="BE1569" s="10">
        <v>54.8</v>
      </c>
      <c r="BF1569" s="10">
        <v>0</v>
      </c>
      <c r="BG1569" s="13">
        <v>45646</v>
      </c>
    </row>
    <row r="1570" spans="49:59" x14ac:dyDescent="0.3">
      <c r="AW1570" s="1">
        <v>20.100000000000001</v>
      </c>
      <c r="AX1570" s="1">
        <v>20.100000000000001</v>
      </c>
      <c r="AY1570" t="str">
        <v>CP-R80_HI782-0_0.0_LOT0869_PWW50.1_QC.xlsx</v>
      </c>
      <c r="AZ1570" t="str">
        <v>LOT0869</v>
      </c>
      <c r="BA1570" s="3">
        <v>20</v>
      </c>
      <c r="BB1570" t="str">
        <v>P/Final</v>
      </c>
      <c r="BC1570">
        <v>60</v>
      </c>
      <c r="BD1570" s="10">
        <v>56.2</v>
      </c>
      <c r="BE1570" s="10">
        <v>56.3</v>
      </c>
      <c r="BF1570" s="10">
        <v>0</v>
      </c>
      <c r="BG1570" s="13">
        <v>45646</v>
      </c>
    </row>
    <row r="1571" spans="49:59" x14ac:dyDescent="0.3">
      <c r="AW1571" s="1">
        <v>20.100000000000001</v>
      </c>
      <c r="AX1571" s="1">
        <v>20.100000000000001</v>
      </c>
      <c r="AY1571" t="str">
        <v>CP-R80_HI782-0_0.0_LOT0869_PWW50.1_QC.xlsx</v>
      </c>
      <c r="AZ1571" t="str">
        <v>LOT0869</v>
      </c>
      <c r="BA1571" s="3">
        <v>20</v>
      </c>
      <c r="BB1571" t="str">
        <v>P/Final</v>
      </c>
      <c r="BC1571">
        <v>60</v>
      </c>
      <c r="BD1571" s="10">
        <v>60.2</v>
      </c>
      <c r="BE1571" s="10">
        <v>59.9</v>
      </c>
      <c r="BF1571" s="10">
        <v>0</v>
      </c>
      <c r="BG1571" s="13">
        <v>45646</v>
      </c>
    </row>
    <row r="1572" spans="49:59" x14ac:dyDescent="0.3">
      <c r="AW1572" s="1">
        <v>21.1</v>
      </c>
      <c r="AX1572" s="1">
        <v>21.1</v>
      </c>
      <c r="AY1572" t="str">
        <v>CP-R80_HI782-0_0.0_LOT0894_PWW.03.1_QC.xlsx</v>
      </c>
      <c r="AZ1572" t="str">
        <v>LOT0894</v>
      </c>
      <c r="BA1572" s="3">
        <v>21</v>
      </c>
      <c r="BB1572" t="str">
        <v>P/Prod</v>
      </c>
      <c r="BC1572">
        <v>0</v>
      </c>
      <c r="BD1572" s="10">
        <v>0</v>
      </c>
      <c r="BE1572" s="10">
        <v>0</v>
      </c>
      <c r="BF1572" s="10">
        <v>0</v>
      </c>
      <c r="BG1572" s="13">
        <v>45674</v>
      </c>
    </row>
    <row r="1573" spans="49:59" x14ac:dyDescent="0.3">
      <c r="AW1573" s="1">
        <v>21.1</v>
      </c>
      <c r="AX1573" s="1">
        <v>21.1</v>
      </c>
      <c r="AY1573" t="str">
        <v>CP-R80_HI782-0_0.0_LOT0894_PWW.03.1_QC.xlsx</v>
      </c>
      <c r="AZ1573" t="str">
        <v>LOT0894</v>
      </c>
      <c r="BA1573" s="3">
        <v>21</v>
      </c>
      <c r="BB1573" t="str">
        <v>P/Prod</v>
      </c>
      <c r="BC1573">
        <v>0</v>
      </c>
      <c r="BD1573" s="10">
        <v>0</v>
      </c>
      <c r="BE1573" s="10">
        <v>0</v>
      </c>
      <c r="BF1573" s="10">
        <v>0</v>
      </c>
      <c r="BG1573" s="13">
        <v>45674</v>
      </c>
    </row>
    <row r="1574" spans="49:59" x14ac:dyDescent="0.3">
      <c r="AW1574" s="1">
        <v>21.1</v>
      </c>
      <c r="AX1574" s="1">
        <v>21.1</v>
      </c>
      <c r="AY1574" t="str">
        <v>CP-R80_HI782-0_0.0_LOT0894_PWW.03.1_QC.xlsx</v>
      </c>
      <c r="AZ1574" t="str">
        <v>LOT0894</v>
      </c>
      <c r="BA1574" s="3">
        <v>21</v>
      </c>
      <c r="BB1574" t="str">
        <v>P/Prod</v>
      </c>
      <c r="BC1574">
        <v>0</v>
      </c>
      <c r="BD1574" s="10">
        <v>0</v>
      </c>
      <c r="BE1574" s="10">
        <v>0</v>
      </c>
      <c r="BF1574" s="10">
        <v>0</v>
      </c>
      <c r="BG1574" s="13">
        <v>45674</v>
      </c>
    </row>
    <row r="1575" spans="49:59" x14ac:dyDescent="0.3">
      <c r="AW1575" s="1">
        <v>21.1</v>
      </c>
      <c r="AX1575" s="1">
        <v>21.1</v>
      </c>
      <c r="AY1575" t="str">
        <v>CP-R80_HI782-0_0.0_LOT0894_PWW.03.1_QC.xlsx</v>
      </c>
      <c r="AZ1575" t="str">
        <v>LOT0894</v>
      </c>
      <c r="BA1575" s="3">
        <v>21</v>
      </c>
      <c r="BB1575" t="str">
        <v>P/Prod</v>
      </c>
      <c r="BC1575">
        <v>0</v>
      </c>
      <c r="BD1575" s="10">
        <v>0</v>
      </c>
      <c r="BE1575" s="10">
        <v>0</v>
      </c>
      <c r="BF1575" s="10">
        <v>0</v>
      </c>
      <c r="BG1575" s="13">
        <v>45674</v>
      </c>
    </row>
    <row r="1576" spans="49:59" x14ac:dyDescent="0.3">
      <c r="AW1576" s="1">
        <v>21.1</v>
      </c>
      <c r="AX1576" s="1">
        <v>21.1</v>
      </c>
      <c r="AY1576" t="str">
        <v>CP-R80_HI782-0_0.0_LOT0894_PWW.03.1_QC.xlsx</v>
      </c>
      <c r="AZ1576" t="str">
        <v>LOT0894</v>
      </c>
      <c r="BA1576" s="3">
        <v>21</v>
      </c>
      <c r="BB1576" t="str">
        <v>P/Prod</v>
      </c>
      <c r="BC1576">
        <v>0</v>
      </c>
      <c r="BD1576" s="10">
        <v>0</v>
      </c>
      <c r="BE1576" s="10">
        <v>0</v>
      </c>
      <c r="BF1576" s="10">
        <v>0</v>
      </c>
      <c r="BG1576" s="13">
        <v>45674</v>
      </c>
    </row>
    <row r="1577" spans="49:59" x14ac:dyDescent="0.3">
      <c r="AW1577" s="1">
        <v>21.1</v>
      </c>
      <c r="AX1577" s="1">
        <v>21.1</v>
      </c>
      <c r="AY1577" t="str">
        <v>CP-R80_HI782-0_0.0_LOT0894_PWW.03.1_QC.xlsx</v>
      </c>
      <c r="AZ1577" t="str">
        <v>LOT0894</v>
      </c>
      <c r="BA1577" s="3">
        <v>21</v>
      </c>
      <c r="BB1577" t="str">
        <v>P/Prod</v>
      </c>
      <c r="BC1577">
        <v>0</v>
      </c>
      <c r="BD1577" s="10">
        <v>0</v>
      </c>
      <c r="BE1577" s="10">
        <v>0</v>
      </c>
      <c r="BF1577" s="10">
        <v>0</v>
      </c>
      <c r="BG1577" s="13">
        <v>45674</v>
      </c>
    </row>
    <row r="1578" spans="49:59" x14ac:dyDescent="0.3">
      <c r="AW1578" s="1">
        <v>21.1</v>
      </c>
      <c r="AX1578" s="1">
        <v>21.1</v>
      </c>
      <c r="AY1578" t="str">
        <v>CP-R80_HI782-0_0.0_LOT0894_PWW.03.1_QC.xlsx</v>
      </c>
      <c r="AZ1578" t="str">
        <v>LOT0894</v>
      </c>
      <c r="BA1578" s="3">
        <v>21</v>
      </c>
      <c r="BB1578" t="str">
        <v>P/Prod</v>
      </c>
      <c r="BC1578">
        <v>15</v>
      </c>
      <c r="BD1578" s="10">
        <v>15.5</v>
      </c>
      <c r="BE1578" s="10">
        <v>0</v>
      </c>
      <c r="BF1578" s="10">
        <v>0</v>
      </c>
      <c r="BG1578" s="13">
        <v>45674</v>
      </c>
    </row>
    <row r="1579" spans="49:59" x14ac:dyDescent="0.3">
      <c r="AW1579" s="1">
        <v>21.1</v>
      </c>
      <c r="AX1579" s="1">
        <v>21.1</v>
      </c>
      <c r="AY1579" t="str">
        <v>CP-R80_HI782-0_0.0_LOT0894_PWW.03.1_QC.xlsx</v>
      </c>
      <c r="AZ1579" t="str">
        <v>LOT0894</v>
      </c>
      <c r="BA1579" s="3">
        <v>21</v>
      </c>
      <c r="BB1579" t="str">
        <v>P/FINAL</v>
      </c>
      <c r="BC1579">
        <v>15</v>
      </c>
      <c r="BD1579" s="10">
        <v>15.5</v>
      </c>
      <c r="BE1579" s="10">
        <v>0</v>
      </c>
      <c r="BF1579" s="10">
        <v>0</v>
      </c>
      <c r="BG1579" s="13">
        <v>45674</v>
      </c>
    </row>
    <row r="1580" spans="49:59" x14ac:dyDescent="0.3">
      <c r="AW1580" s="1">
        <v>21.1</v>
      </c>
      <c r="AX1580" s="1">
        <v>21.1</v>
      </c>
      <c r="AY1580" t="str">
        <v>CP-R80_HI782-0_0.0_LOT0894_PWW.03.1_QC.xlsx</v>
      </c>
      <c r="AZ1580" t="str">
        <v>LOT0894</v>
      </c>
      <c r="BA1580" s="3">
        <v>21</v>
      </c>
      <c r="BB1580" t="str">
        <v>P/Prod</v>
      </c>
      <c r="BC1580">
        <v>15</v>
      </c>
      <c r="BD1580" s="10">
        <v>14.8</v>
      </c>
      <c r="BE1580" s="10">
        <v>0</v>
      </c>
      <c r="BF1580" s="10">
        <v>0</v>
      </c>
      <c r="BG1580" s="13">
        <v>45674</v>
      </c>
    </row>
    <row r="1581" spans="49:59" x14ac:dyDescent="0.3">
      <c r="AW1581" s="1">
        <v>21.1</v>
      </c>
      <c r="AX1581" s="1">
        <v>21.1</v>
      </c>
      <c r="AY1581" t="str">
        <v>CP-R80_HI782-0_0.0_LOT0894_PWW.03.1_QC.xlsx</v>
      </c>
      <c r="AZ1581" t="str">
        <v>LOT0894</v>
      </c>
      <c r="BA1581" s="3">
        <v>21</v>
      </c>
      <c r="BB1581" t="str">
        <v>P/Prod</v>
      </c>
      <c r="BC1581">
        <v>15</v>
      </c>
      <c r="BD1581" s="10">
        <v>15.7</v>
      </c>
      <c r="BE1581" s="10">
        <v>0</v>
      </c>
      <c r="BF1581" s="10">
        <v>0</v>
      </c>
      <c r="BG1581" s="13">
        <v>45674</v>
      </c>
    </row>
    <row r="1582" spans="49:59" x14ac:dyDescent="0.3">
      <c r="AW1582" s="1">
        <v>21.1</v>
      </c>
      <c r="AX1582" s="1">
        <v>21.1</v>
      </c>
      <c r="AY1582" t="str">
        <v>CP-R80_HI782-0_0.0_LOT0894_PWW.03.1_QC.xlsx</v>
      </c>
      <c r="AZ1582" t="str">
        <v>LOT0894</v>
      </c>
      <c r="BA1582" s="3">
        <v>21</v>
      </c>
      <c r="BB1582" t="str">
        <v>P/Prod</v>
      </c>
      <c r="BC1582">
        <v>15</v>
      </c>
      <c r="BD1582" s="10">
        <v>16.7</v>
      </c>
      <c r="BE1582" s="10">
        <v>0</v>
      </c>
      <c r="BF1582" s="10">
        <v>0</v>
      </c>
      <c r="BG1582" s="13">
        <v>45674</v>
      </c>
    </row>
    <row r="1583" spans="49:59" x14ac:dyDescent="0.3">
      <c r="AW1583" s="1">
        <v>21.1</v>
      </c>
      <c r="AX1583" s="1">
        <v>21.1</v>
      </c>
      <c r="AY1583" t="str">
        <v>CP-R80_HI782-0_0.0_LOT0894_PWW.03.1_QC.xlsx</v>
      </c>
      <c r="AZ1583" t="str">
        <v>LOT0894</v>
      </c>
      <c r="BA1583" s="3">
        <v>21</v>
      </c>
      <c r="BB1583" t="str">
        <v>P/FINAL</v>
      </c>
      <c r="BC1583">
        <v>15</v>
      </c>
      <c r="BD1583" s="10">
        <v>0</v>
      </c>
      <c r="BE1583" s="10">
        <v>0</v>
      </c>
      <c r="BF1583" s="10">
        <v>0</v>
      </c>
      <c r="BG1583" s="13">
        <v>45674</v>
      </c>
    </row>
    <row r="1584" spans="49:59" x14ac:dyDescent="0.3">
      <c r="AW1584" s="1">
        <v>21.1</v>
      </c>
      <c r="AX1584" s="1">
        <v>21.1</v>
      </c>
      <c r="AY1584" t="str">
        <v>CP-R80_HI782-0_0.0_LOT0894_PWW.03.1_QC.xlsx</v>
      </c>
      <c r="AZ1584" t="str">
        <v>LOT0894</v>
      </c>
      <c r="BA1584" s="3">
        <v>21</v>
      </c>
      <c r="BB1584" t="str">
        <v>P/Prod</v>
      </c>
      <c r="BC1584">
        <v>15</v>
      </c>
      <c r="BD1584" s="10">
        <v>15.8</v>
      </c>
      <c r="BE1584" s="10">
        <v>0</v>
      </c>
      <c r="BF1584" s="10">
        <v>0</v>
      </c>
      <c r="BG1584" s="13">
        <v>45674</v>
      </c>
    </row>
    <row r="1585" spans="49:59" x14ac:dyDescent="0.3">
      <c r="AW1585" s="1">
        <v>21.1</v>
      </c>
      <c r="AX1585" s="1">
        <v>21.1</v>
      </c>
      <c r="AY1585" t="str">
        <v>CP-R80_HI782-0_0.0_LOT0894_PWW.03.1_QC.xlsx</v>
      </c>
      <c r="AZ1585" t="str">
        <v>LOT0894</v>
      </c>
      <c r="BA1585" s="3">
        <v>21</v>
      </c>
      <c r="BB1585" t="str">
        <v>P/Prod</v>
      </c>
      <c r="BC1585">
        <v>15</v>
      </c>
      <c r="BD1585" s="10">
        <v>17.7</v>
      </c>
      <c r="BE1585" s="10">
        <v>0</v>
      </c>
      <c r="BF1585" s="10">
        <v>0</v>
      </c>
      <c r="BG1585" s="13">
        <v>45674</v>
      </c>
    </row>
    <row r="1586" spans="49:59" x14ac:dyDescent="0.3">
      <c r="AW1586" s="1">
        <v>21.1</v>
      </c>
      <c r="AX1586" s="1">
        <v>21.1</v>
      </c>
      <c r="AY1586" t="str">
        <v>CP-R80_HI782-0_0.0_LOT0894_PWW.03.1_QC.xlsx</v>
      </c>
      <c r="AZ1586" t="str">
        <v>LOT0894</v>
      </c>
      <c r="BA1586" s="3">
        <v>21</v>
      </c>
      <c r="BB1586" t="str">
        <v>P/FINAL</v>
      </c>
      <c r="BC1586">
        <v>15</v>
      </c>
      <c r="BD1586" s="10">
        <v>17.3</v>
      </c>
      <c r="BE1586" s="10">
        <v>0</v>
      </c>
      <c r="BF1586" s="10">
        <v>0</v>
      </c>
      <c r="BG1586" s="13">
        <v>45674</v>
      </c>
    </row>
    <row r="1587" spans="49:59" x14ac:dyDescent="0.3">
      <c r="AW1587" s="1">
        <v>21.1</v>
      </c>
      <c r="AX1587" s="1">
        <v>21.1</v>
      </c>
      <c r="AY1587" t="str">
        <v>CP-R80_HI782-0_0.0_LOT0894_PWW.03.1_QC.xlsx</v>
      </c>
      <c r="AZ1587" t="str">
        <v>LOT0894</v>
      </c>
      <c r="BA1587" s="3">
        <v>21</v>
      </c>
      <c r="BB1587" t="str">
        <v>P/FINAL</v>
      </c>
      <c r="BC1587">
        <v>35</v>
      </c>
      <c r="BD1587" s="10">
        <v>38.1</v>
      </c>
      <c r="BE1587" s="10">
        <v>0</v>
      </c>
      <c r="BF1587" s="10">
        <v>0</v>
      </c>
      <c r="BG1587" s="13">
        <v>45674</v>
      </c>
    </row>
    <row r="1588" spans="49:59" x14ac:dyDescent="0.3">
      <c r="AW1588" s="1">
        <v>21.1</v>
      </c>
      <c r="AX1588" s="1">
        <v>21.1</v>
      </c>
      <c r="AY1588" t="str">
        <v>CP-R80_HI782-0_0.0_LOT0894_PWW.03.1_QC.xlsx</v>
      </c>
      <c r="AZ1588" t="str">
        <v>LOT0894</v>
      </c>
      <c r="BA1588" s="3">
        <v>21</v>
      </c>
      <c r="BB1588" t="str">
        <v>P/FINAL</v>
      </c>
      <c r="BC1588">
        <v>35</v>
      </c>
      <c r="BD1588" s="10">
        <v>38.200000000000003</v>
      </c>
      <c r="BE1588" s="10">
        <v>0</v>
      </c>
      <c r="BF1588" s="10">
        <v>0</v>
      </c>
      <c r="BG1588" s="13">
        <v>45674</v>
      </c>
    </row>
    <row r="1589" spans="49:59" x14ac:dyDescent="0.3">
      <c r="AW1589" s="1">
        <v>21.1</v>
      </c>
      <c r="AX1589" s="1">
        <v>21.1</v>
      </c>
      <c r="AY1589" t="str">
        <v>CP-R80_HI782-0_0.0_LOT0894_PWW.03.1_QC.xlsx</v>
      </c>
      <c r="AZ1589" t="str">
        <v>LOT0894</v>
      </c>
      <c r="BA1589" s="3">
        <v>21</v>
      </c>
      <c r="BB1589" t="str">
        <v>P/Prod</v>
      </c>
      <c r="BC1589">
        <v>35</v>
      </c>
      <c r="BD1589" s="10">
        <v>38.6</v>
      </c>
      <c r="BE1589" s="10">
        <v>0</v>
      </c>
      <c r="BF1589" s="10">
        <v>0</v>
      </c>
      <c r="BG1589" s="13">
        <v>45674</v>
      </c>
    </row>
    <row r="1590" spans="49:59" x14ac:dyDescent="0.3">
      <c r="AW1590" s="1">
        <v>21.1</v>
      </c>
      <c r="AX1590" s="1">
        <v>21.1</v>
      </c>
      <c r="AY1590" t="str">
        <v>CP-R80_HI782-0_0.0_LOT0894_PWW.03.1_QC.xlsx</v>
      </c>
      <c r="AZ1590" t="str">
        <v>LOT0894</v>
      </c>
      <c r="BA1590" s="3">
        <v>21</v>
      </c>
      <c r="BB1590" t="str">
        <v>P/Prod</v>
      </c>
      <c r="BC1590">
        <v>35</v>
      </c>
      <c r="BD1590" s="10">
        <v>38.4</v>
      </c>
      <c r="BE1590" s="10">
        <v>0</v>
      </c>
      <c r="BF1590" s="10">
        <v>0</v>
      </c>
      <c r="BG1590" s="13">
        <v>45674</v>
      </c>
    </row>
    <row r="1591" spans="49:59" x14ac:dyDescent="0.3">
      <c r="AW1591" s="1">
        <v>21.1</v>
      </c>
      <c r="AX1591" s="1">
        <v>21.1</v>
      </c>
      <c r="AY1591" t="str">
        <v>CP-R80_HI782-0_0.0_LOT0894_PWW.03.1_QC.xlsx</v>
      </c>
      <c r="AZ1591" t="str">
        <v>LOT0894</v>
      </c>
      <c r="BA1591" s="3">
        <v>21</v>
      </c>
      <c r="BB1591" t="str">
        <v>P/Prod</v>
      </c>
      <c r="BC1591">
        <v>35</v>
      </c>
      <c r="BD1591" s="10">
        <v>36.200000000000003</v>
      </c>
      <c r="BE1591" s="10">
        <v>0</v>
      </c>
      <c r="BF1591" s="10">
        <v>0</v>
      </c>
      <c r="BG1591" s="13">
        <v>45674</v>
      </c>
    </row>
    <row r="1592" spans="49:59" x14ac:dyDescent="0.3">
      <c r="AW1592" s="1">
        <v>21.1</v>
      </c>
      <c r="AX1592" s="1">
        <v>21.1</v>
      </c>
      <c r="AY1592" t="str">
        <v>CP-R80_HI782-0_0.0_LOT0894_PWW.03.1_QC.xlsx</v>
      </c>
      <c r="AZ1592" t="str">
        <v>LOT0894</v>
      </c>
      <c r="BA1592" s="3">
        <v>21</v>
      </c>
      <c r="BB1592" t="str">
        <v>P/Prod</v>
      </c>
      <c r="BC1592">
        <v>35</v>
      </c>
      <c r="BD1592" s="10">
        <v>34.799999999999997</v>
      </c>
      <c r="BE1592" s="10">
        <v>0</v>
      </c>
      <c r="BF1592" s="10">
        <v>0</v>
      </c>
      <c r="BG1592" s="13">
        <v>45674</v>
      </c>
    </row>
    <row r="1593" spans="49:59" x14ac:dyDescent="0.3">
      <c r="AW1593" s="1">
        <v>21.1</v>
      </c>
      <c r="AX1593" s="1">
        <v>21.1</v>
      </c>
      <c r="AY1593" t="str">
        <v>CP-R80_HI782-0_0.0_LOT0894_PWW.03.1_QC.xlsx</v>
      </c>
      <c r="AZ1593" t="str">
        <v>LOT0894</v>
      </c>
      <c r="BA1593" s="3">
        <v>21</v>
      </c>
      <c r="BB1593" t="str">
        <v>P/Prod</v>
      </c>
      <c r="BC1593">
        <v>35</v>
      </c>
      <c r="BD1593" s="10">
        <v>35.799999999999997</v>
      </c>
      <c r="BE1593" s="10">
        <v>0</v>
      </c>
      <c r="BF1593" s="10">
        <v>0</v>
      </c>
      <c r="BG1593" s="13">
        <v>45674</v>
      </c>
    </row>
    <row r="1594" spans="49:59" x14ac:dyDescent="0.3">
      <c r="AW1594" s="1">
        <v>21.1</v>
      </c>
      <c r="AX1594" s="1">
        <v>21.1</v>
      </c>
      <c r="AY1594" t="str">
        <v>CP-R80_HI782-0_0.0_LOT0894_PWW.03.1_QC.xlsx</v>
      </c>
      <c r="AZ1594" t="str">
        <v>LOT0894</v>
      </c>
      <c r="BA1594" s="3">
        <v>21</v>
      </c>
      <c r="BB1594" t="str">
        <v>P/Prod</v>
      </c>
      <c r="BC1594">
        <v>35</v>
      </c>
      <c r="BD1594" s="10">
        <v>38.4</v>
      </c>
      <c r="BE1594" s="10">
        <v>0</v>
      </c>
      <c r="BF1594" s="10">
        <v>0</v>
      </c>
      <c r="BG1594" s="13">
        <v>45674</v>
      </c>
    </row>
    <row r="1595" spans="49:59" x14ac:dyDescent="0.3">
      <c r="AW1595" s="1">
        <v>21.1</v>
      </c>
      <c r="AX1595" s="1">
        <v>21.1</v>
      </c>
      <c r="AY1595" t="str">
        <v>CP-R80_HI782-0_0.0_LOT0894_PWW.03.1_QC.xlsx</v>
      </c>
      <c r="AZ1595" t="str">
        <v>LOT0894</v>
      </c>
      <c r="BA1595" s="3">
        <v>21</v>
      </c>
      <c r="BB1595" t="str">
        <v>P/Prod</v>
      </c>
      <c r="BC1595">
        <v>60</v>
      </c>
      <c r="BD1595" s="10">
        <v>55.4</v>
      </c>
      <c r="BE1595" s="10">
        <v>0</v>
      </c>
      <c r="BF1595" s="10">
        <v>0</v>
      </c>
      <c r="BG1595" s="13">
        <v>45674</v>
      </c>
    </row>
    <row r="1596" spans="49:59" x14ac:dyDescent="0.3">
      <c r="AW1596" s="1">
        <v>21.1</v>
      </c>
      <c r="AX1596" s="1">
        <v>21.1</v>
      </c>
      <c r="AY1596" t="str">
        <v>CP-R80_HI782-0_0.0_LOT0894_PWW.03.1_QC.xlsx</v>
      </c>
      <c r="AZ1596" t="str">
        <v>LOT0894</v>
      </c>
      <c r="BA1596" s="3">
        <v>21</v>
      </c>
      <c r="BB1596" t="str">
        <v>P/Prod</v>
      </c>
      <c r="BC1596">
        <v>60</v>
      </c>
      <c r="BD1596" s="10">
        <v>59.7</v>
      </c>
      <c r="BE1596" s="10">
        <v>0</v>
      </c>
      <c r="BF1596" s="10">
        <v>0</v>
      </c>
      <c r="BG1596" s="13">
        <v>45674</v>
      </c>
    </row>
    <row r="1597" spans="49:59" x14ac:dyDescent="0.3">
      <c r="AW1597" s="1">
        <v>21.1</v>
      </c>
      <c r="AX1597" s="1">
        <v>21.1</v>
      </c>
      <c r="AY1597" t="str">
        <v>CP-R80_HI782-0_0.0_LOT0894_PWW.03.1_QC.xlsx</v>
      </c>
      <c r="AZ1597" t="str">
        <v>LOT0894</v>
      </c>
      <c r="BA1597" s="3">
        <v>21</v>
      </c>
      <c r="BB1597" t="str">
        <v>P/Prod</v>
      </c>
      <c r="BC1597">
        <v>60</v>
      </c>
      <c r="BD1597" s="10">
        <v>60.1</v>
      </c>
      <c r="BE1597" s="10">
        <v>0</v>
      </c>
      <c r="BF1597" s="10">
        <v>0</v>
      </c>
      <c r="BG1597" s="13">
        <v>45674</v>
      </c>
    </row>
    <row r="1598" spans="49:59" x14ac:dyDescent="0.3">
      <c r="AW1598" s="1">
        <v>21.1</v>
      </c>
      <c r="AX1598" s="1">
        <v>21.1</v>
      </c>
      <c r="AY1598" t="str">
        <v>CP-R80_HI782-0_0.0_LOT0894_PWW.03.1_QC.xlsx</v>
      </c>
      <c r="AZ1598" t="str">
        <v>LOT0894</v>
      </c>
      <c r="BA1598" s="3">
        <v>21</v>
      </c>
      <c r="BB1598" t="str">
        <v>P/FINAL</v>
      </c>
      <c r="BC1598">
        <v>60</v>
      </c>
      <c r="BD1598" s="10">
        <v>60.5</v>
      </c>
      <c r="BE1598" s="10">
        <v>0</v>
      </c>
      <c r="BF1598" s="10">
        <v>0</v>
      </c>
      <c r="BG1598" s="13">
        <v>45674</v>
      </c>
    </row>
    <row r="1599" spans="49:59" x14ac:dyDescent="0.3">
      <c r="AW1599" s="1">
        <v>21.1</v>
      </c>
      <c r="AX1599" s="1">
        <v>21.1</v>
      </c>
      <c r="AY1599" t="str">
        <v>CP-R80_HI782-0_0.0_LOT0894_PWW.03.1_QC.xlsx</v>
      </c>
      <c r="AZ1599" t="str">
        <v>LOT0894</v>
      </c>
      <c r="BA1599" s="3">
        <v>21</v>
      </c>
      <c r="BB1599" t="str">
        <v>P/Prod</v>
      </c>
      <c r="BC1599">
        <v>60</v>
      </c>
      <c r="BD1599" s="10">
        <v>61.9</v>
      </c>
      <c r="BE1599" s="10">
        <v>0</v>
      </c>
      <c r="BF1599" s="10">
        <v>0</v>
      </c>
      <c r="BG1599" s="13">
        <v>45674</v>
      </c>
    </row>
    <row r="1600" spans="49:59" x14ac:dyDescent="0.3">
      <c r="AW1600" s="1">
        <v>21.1</v>
      </c>
      <c r="AX1600" s="1">
        <v>21.1</v>
      </c>
      <c r="AY1600" t="str">
        <v>CP-R80_HI782-0_0.0_LOT0894_PWW.03.1_QC.xlsx</v>
      </c>
      <c r="AZ1600" t="str">
        <v>LOT0894</v>
      </c>
      <c r="BA1600" s="3">
        <v>21</v>
      </c>
      <c r="BB1600" t="str">
        <v>P/Prod</v>
      </c>
      <c r="BC1600">
        <v>60</v>
      </c>
      <c r="BD1600" s="10">
        <v>60.8</v>
      </c>
      <c r="BE1600" s="10">
        <v>0</v>
      </c>
      <c r="BF1600" s="10">
        <v>0</v>
      </c>
      <c r="BG1600" s="13">
        <v>45674</v>
      </c>
    </row>
    <row r="1601" spans="49:59" x14ac:dyDescent="0.3">
      <c r="AW1601" s="1">
        <v>21.1</v>
      </c>
      <c r="AX1601" s="1">
        <v>21.1</v>
      </c>
      <c r="AY1601" t="str">
        <v>CP-R80_HI782-0_0.0_LOT0894_PWW.03.1_QC.xlsx</v>
      </c>
      <c r="AZ1601" t="str">
        <v>LOT0894</v>
      </c>
      <c r="BA1601" s="3">
        <v>21</v>
      </c>
      <c r="BB1601" t="str">
        <v>P/FINAL</v>
      </c>
      <c r="BC1601">
        <v>60</v>
      </c>
      <c r="BD1601" s="10">
        <v>63.1</v>
      </c>
      <c r="BE1601" s="10">
        <v>0</v>
      </c>
      <c r="BF1601" s="10">
        <v>0</v>
      </c>
      <c r="BG1601" s="13">
        <v>45674</v>
      </c>
    </row>
    <row r="1602" spans="49:59" x14ac:dyDescent="0.3">
      <c r="AW1602" s="1">
        <v>21.1</v>
      </c>
      <c r="AX1602" s="1">
        <v>21.1</v>
      </c>
      <c r="AY1602" t="str">
        <v>CP-R80_HI782-0_0.0_LOT0894_PWW.03.1_QC.xlsx</v>
      </c>
      <c r="AZ1602" t="str">
        <v>LOT0894</v>
      </c>
      <c r="BA1602" s="3">
        <v>21</v>
      </c>
      <c r="BB1602" t="str">
        <v>P/Prod</v>
      </c>
      <c r="BC1602">
        <v>60</v>
      </c>
      <c r="BD1602" s="10">
        <v>62</v>
      </c>
      <c r="BE1602" s="10">
        <v>0</v>
      </c>
      <c r="BF1602" s="10">
        <v>0</v>
      </c>
      <c r="BG1602" s="13">
        <v>45674</v>
      </c>
    </row>
    <row r="1603" spans="49:59" x14ac:dyDescent="0.3">
      <c r="AW1603" s="1">
        <v>21.1</v>
      </c>
      <c r="AX1603" s="1">
        <v>21.1</v>
      </c>
      <c r="AY1603" t="str">
        <v>CP-R80_HI782-0_0.0_LOT0894_PWW.03.1_QC.xlsx</v>
      </c>
      <c r="AZ1603" t="str">
        <v>LOT0894</v>
      </c>
      <c r="BA1603" s="3">
        <v>21</v>
      </c>
      <c r="BB1603" t="str">
        <v>P/Prod</v>
      </c>
      <c r="BC1603">
        <v>0</v>
      </c>
      <c r="BD1603" s="10">
        <v>0</v>
      </c>
      <c r="BE1603" s="10">
        <v>0</v>
      </c>
      <c r="BF1603" s="10">
        <v>0</v>
      </c>
      <c r="BG1603" s="13">
        <v>45677</v>
      </c>
    </row>
    <row r="1604" spans="49:59" x14ac:dyDescent="0.3">
      <c r="AW1604" s="1">
        <v>21.1</v>
      </c>
      <c r="AX1604" s="1">
        <v>21.1</v>
      </c>
      <c r="AY1604" t="str">
        <v>CP-R80_HI782-0_0.0_LOT0894_PWW.03.1_QC.xlsx</v>
      </c>
      <c r="AZ1604" t="str">
        <v>LOT0894</v>
      </c>
      <c r="BA1604" s="3">
        <v>21</v>
      </c>
      <c r="BB1604" t="str">
        <v>P/Prod</v>
      </c>
      <c r="BC1604">
        <v>0</v>
      </c>
      <c r="BD1604" s="10">
        <v>0</v>
      </c>
      <c r="BE1604" s="10">
        <v>0</v>
      </c>
      <c r="BF1604" s="10">
        <v>0</v>
      </c>
      <c r="BG1604" s="13">
        <v>45677</v>
      </c>
    </row>
    <row r="1605" spans="49:59" x14ac:dyDescent="0.3">
      <c r="AW1605" s="1">
        <v>21.1</v>
      </c>
      <c r="AX1605" s="1">
        <v>21.1</v>
      </c>
      <c r="AY1605" t="str">
        <v>CP-R80_HI782-0_0.0_LOT0894_PWW.03.1_QC.xlsx</v>
      </c>
      <c r="AZ1605" t="str">
        <v>LOT0894</v>
      </c>
      <c r="BA1605" s="3">
        <v>21</v>
      </c>
      <c r="BB1605" t="str">
        <v>P/Prod</v>
      </c>
      <c r="BC1605">
        <v>0</v>
      </c>
      <c r="BD1605" s="10">
        <v>0</v>
      </c>
      <c r="BE1605" s="10">
        <v>0</v>
      </c>
      <c r="BF1605" s="10">
        <v>0</v>
      </c>
      <c r="BG1605" s="13">
        <v>45677</v>
      </c>
    </row>
    <row r="1606" spans="49:59" x14ac:dyDescent="0.3">
      <c r="AW1606" s="1">
        <v>21.1</v>
      </c>
      <c r="AX1606" s="1">
        <v>21.1</v>
      </c>
      <c r="AY1606" t="str">
        <v>CP-R80_HI782-0_0.0_LOT0894_PWW.03.1_QC.xlsx</v>
      </c>
      <c r="AZ1606" t="str">
        <v>LOT0894</v>
      </c>
      <c r="BA1606" s="3">
        <v>21</v>
      </c>
      <c r="BB1606" t="str">
        <v>P/Prod</v>
      </c>
      <c r="BC1606">
        <v>0</v>
      </c>
      <c r="BD1606" s="10">
        <v>0</v>
      </c>
      <c r="BE1606" s="10">
        <v>0</v>
      </c>
      <c r="BF1606" s="10">
        <v>0</v>
      </c>
      <c r="BG1606" s="13">
        <v>45677</v>
      </c>
    </row>
    <row r="1607" spans="49:59" x14ac:dyDescent="0.3">
      <c r="AW1607" s="1">
        <v>21.1</v>
      </c>
      <c r="AX1607" s="1">
        <v>21.1</v>
      </c>
      <c r="AY1607" t="str">
        <v>CP-R80_HI782-0_0.0_LOT0894_PWW.03.1_QC.xlsx</v>
      </c>
      <c r="AZ1607" t="str">
        <v>LOT0894</v>
      </c>
      <c r="BA1607" s="3">
        <v>21</v>
      </c>
      <c r="BB1607" t="str">
        <v>P/Prod</v>
      </c>
      <c r="BC1607">
        <v>0</v>
      </c>
      <c r="BD1607" s="10">
        <v>0</v>
      </c>
      <c r="BE1607" s="10">
        <v>0</v>
      </c>
      <c r="BF1607" s="10">
        <v>0</v>
      </c>
      <c r="BG1607" s="13">
        <v>45677</v>
      </c>
    </row>
    <row r="1608" spans="49:59" x14ac:dyDescent="0.3">
      <c r="AW1608" s="1">
        <v>21.1</v>
      </c>
      <c r="AX1608" s="1">
        <v>21.1</v>
      </c>
      <c r="AY1608" t="str">
        <v>CP-R80_HI782-0_0.0_LOT0894_PWW.03.1_QC.xlsx</v>
      </c>
      <c r="AZ1608" t="str">
        <v>LOT0894</v>
      </c>
      <c r="BA1608" s="3">
        <v>21</v>
      </c>
      <c r="BB1608" t="str">
        <v>P/Prod</v>
      </c>
      <c r="BC1608">
        <v>0</v>
      </c>
      <c r="BD1608" s="10">
        <v>0</v>
      </c>
      <c r="BE1608" s="10">
        <v>0</v>
      </c>
      <c r="BF1608" s="10">
        <v>0</v>
      </c>
      <c r="BG1608" s="13">
        <v>45677</v>
      </c>
    </row>
    <row r="1609" spans="49:59" x14ac:dyDescent="0.3">
      <c r="AW1609" s="1">
        <v>21.1</v>
      </c>
      <c r="AX1609" s="1">
        <v>21.1</v>
      </c>
      <c r="AY1609" t="str">
        <v>CP-R80_HI782-0_0.0_LOT0894_PWW.03.1_QC.xlsx</v>
      </c>
      <c r="AZ1609" t="str">
        <v>LOT0894</v>
      </c>
      <c r="BA1609" s="3">
        <v>21</v>
      </c>
      <c r="BB1609" t="str">
        <v>P/Prod</v>
      </c>
      <c r="BC1609">
        <v>15</v>
      </c>
      <c r="BD1609" s="10">
        <v>16</v>
      </c>
      <c r="BE1609" s="10">
        <v>0</v>
      </c>
      <c r="BF1609" s="10">
        <v>0</v>
      </c>
      <c r="BG1609" s="13">
        <v>45677</v>
      </c>
    </row>
    <row r="1610" spans="49:59" x14ac:dyDescent="0.3">
      <c r="AW1610" s="1">
        <v>21.1</v>
      </c>
      <c r="AX1610" s="1">
        <v>21.1</v>
      </c>
      <c r="AY1610" t="str">
        <v>CP-R80_HI782-0_0.0_LOT0894_PWW.03.1_QC.xlsx</v>
      </c>
      <c r="AZ1610" t="str">
        <v>LOT0894</v>
      </c>
      <c r="BA1610" s="3">
        <v>21</v>
      </c>
      <c r="BB1610" t="str">
        <v>P/Prod</v>
      </c>
      <c r="BC1610">
        <v>15</v>
      </c>
      <c r="BD1610" s="10">
        <v>14.6</v>
      </c>
      <c r="BE1610" s="10">
        <v>0</v>
      </c>
      <c r="BF1610" s="10">
        <v>0</v>
      </c>
      <c r="BG1610" s="13">
        <v>45677</v>
      </c>
    </row>
    <row r="1611" spans="49:59" x14ac:dyDescent="0.3">
      <c r="AW1611" s="1">
        <v>21.1</v>
      </c>
      <c r="AX1611" s="1">
        <v>21.1</v>
      </c>
      <c r="AY1611" t="str">
        <v>CP-R80_HI782-0_0.0_LOT0894_PWW.03.1_QC.xlsx</v>
      </c>
      <c r="AZ1611" t="str">
        <v>LOT0894</v>
      </c>
      <c r="BA1611" s="3">
        <v>21</v>
      </c>
      <c r="BB1611" t="str">
        <v>P/Prod</v>
      </c>
      <c r="BC1611">
        <v>15</v>
      </c>
      <c r="BD1611" s="10">
        <v>16.100000000000001</v>
      </c>
      <c r="BE1611" s="10">
        <v>0</v>
      </c>
      <c r="BF1611" s="10">
        <v>0</v>
      </c>
      <c r="BG1611" s="13">
        <v>45677</v>
      </c>
    </row>
    <row r="1612" spans="49:59" x14ac:dyDescent="0.3">
      <c r="AW1612" s="1">
        <v>21.1</v>
      </c>
      <c r="AX1612" s="1">
        <v>21.1</v>
      </c>
      <c r="AY1612" t="str">
        <v>CP-R80_HI782-0_0.0_LOT0894_PWW.03.1_QC.xlsx</v>
      </c>
      <c r="AZ1612" t="str">
        <v>LOT0894</v>
      </c>
      <c r="BA1612" s="3">
        <v>21</v>
      </c>
      <c r="BB1612" t="str">
        <v>P/Prod</v>
      </c>
      <c r="BC1612">
        <v>15</v>
      </c>
      <c r="BD1612" s="10">
        <v>16</v>
      </c>
      <c r="BE1612" s="10">
        <v>0</v>
      </c>
      <c r="BF1612" s="10">
        <v>0</v>
      </c>
      <c r="BG1612" s="13">
        <v>45677</v>
      </c>
    </row>
    <row r="1613" spans="49:59" x14ac:dyDescent="0.3">
      <c r="AW1613" s="1">
        <v>21.1</v>
      </c>
      <c r="AX1613" s="1">
        <v>21.1</v>
      </c>
      <c r="AY1613" t="str">
        <v>CP-R80_HI782-0_0.0_LOT0894_PWW.03.1_QC.xlsx</v>
      </c>
      <c r="AZ1613" t="str">
        <v>LOT0894</v>
      </c>
      <c r="BA1613" s="3">
        <v>21</v>
      </c>
      <c r="BB1613" t="str">
        <v>P/Prod</v>
      </c>
      <c r="BC1613">
        <v>15</v>
      </c>
      <c r="BD1613" s="10">
        <v>15.6</v>
      </c>
      <c r="BE1613" s="10">
        <v>0</v>
      </c>
      <c r="BF1613" s="10">
        <v>0</v>
      </c>
      <c r="BG1613" s="13">
        <v>45677</v>
      </c>
    </row>
    <row r="1614" spans="49:59" x14ac:dyDescent="0.3">
      <c r="AW1614" s="1">
        <v>21.1</v>
      </c>
      <c r="AX1614" s="1">
        <v>21.1</v>
      </c>
      <c r="AY1614" t="str">
        <v>CP-R80_HI782-0_0.0_LOT0894_PWW.03.1_QC.xlsx</v>
      </c>
      <c r="AZ1614" t="str">
        <v>LOT0894</v>
      </c>
      <c r="BA1614" s="3">
        <v>21</v>
      </c>
      <c r="BB1614" t="str">
        <v>P/Prod</v>
      </c>
      <c r="BC1614">
        <v>15</v>
      </c>
      <c r="BD1614" s="10">
        <v>15.7</v>
      </c>
      <c r="BE1614" s="10">
        <v>0</v>
      </c>
      <c r="BF1614" s="10">
        <v>0</v>
      </c>
      <c r="BG1614" s="13">
        <v>45677</v>
      </c>
    </row>
    <row r="1615" spans="49:59" x14ac:dyDescent="0.3">
      <c r="AW1615" s="1">
        <v>21.1</v>
      </c>
      <c r="AX1615" s="1">
        <v>21.1</v>
      </c>
      <c r="AY1615" t="str">
        <v>CP-R80_HI782-0_0.0_LOT0894_PWW.03.1_QC.xlsx</v>
      </c>
      <c r="AZ1615" t="str">
        <v>LOT0894</v>
      </c>
      <c r="BA1615" s="3">
        <v>21</v>
      </c>
      <c r="BB1615" t="str">
        <v>P/Prod</v>
      </c>
      <c r="BC1615">
        <v>15</v>
      </c>
      <c r="BD1615" s="10">
        <v>14.9</v>
      </c>
      <c r="BE1615" s="10">
        <v>0</v>
      </c>
      <c r="BF1615" s="10">
        <v>0</v>
      </c>
      <c r="BG1615" s="13">
        <v>45677</v>
      </c>
    </row>
    <row r="1616" spans="49:59" x14ac:dyDescent="0.3">
      <c r="AW1616" s="1">
        <v>21.1</v>
      </c>
      <c r="AX1616" s="1">
        <v>21.1</v>
      </c>
      <c r="AY1616" t="str">
        <v>CP-R80_HI782-0_0.0_LOT0894_PWW.03.1_QC.xlsx</v>
      </c>
      <c r="AZ1616" t="str">
        <v>LOT0894</v>
      </c>
      <c r="BA1616" s="3">
        <v>21</v>
      </c>
      <c r="BB1616" t="str">
        <v>P/Prod</v>
      </c>
      <c r="BC1616">
        <v>15</v>
      </c>
      <c r="BD1616" s="10">
        <v>15</v>
      </c>
      <c r="BE1616" s="10">
        <v>0</v>
      </c>
      <c r="BF1616" s="10">
        <v>0</v>
      </c>
      <c r="BG1616" s="13">
        <v>45677</v>
      </c>
    </row>
    <row r="1617" spans="49:59" x14ac:dyDescent="0.3">
      <c r="AW1617" s="1">
        <v>21.1</v>
      </c>
      <c r="AX1617" s="1">
        <v>21.1</v>
      </c>
      <c r="AY1617" t="str">
        <v>CP-R80_HI782-0_0.0_LOT0894_PWW.03.1_QC.xlsx</v>
      </c>
      <c r="AZ1617" t="str">
        <v>LOT0894</v>
      </c>
      <c r="BA1617" s="3">
        <v>21</v>
      </c>
      <c r="BB1617" t="str">
        <v>P/Prod</v>
      </c>
      <c r="BC1617">
        <v>15</v>
      </c>
      <c r="BD1617" s="10">
        <v>15.6</v>
      </c>
      <c r="BE1617" s="10">
        <v>0</v>
      </c>
      <c r="BF1617" s="10">
        <v>0</v>
      </c>
      <c r="BG1617" s="13">
        <v>45677</v>
      </c>
    </row>
    <row r="1618" spans="49:59" x14ac:dyDescent="0.3">
      <c r="AW1618" s="1">
        <v>21.1</v>
      </c>
      <c r="AX1618" s="1">
        <v>21.1</v>
      </c>
      <c r="AY1618" t="str">
        <v>CP-R80_HI782-0_0.0_LOT0894_PWW.03.1_QC.xlsx</v>
      </c>
      <c r="AZ1618" t="str">
        <v>LOT0894</v>
      </c>
      <c r="BA1618" s="3">
        <v>21</v>
      </c>
      <c r="BB1618" t="str">
        <v>P/Prod</v>
      </c>
      <c r="BC1618">
        <v>15</v>
      </c>
      <c r="BD1618" s="10">
        <v>15.2</v>
      </c>
      <c r="BE1618" s="10">
        <v>0</v>
      </c>
      <c r="BF1618" s="10">
        <v>0</v>
      </c>
      <c r="BG1618" s="13">
        <v>45677</v>
      </c>
    </row>
    <row r="1619" spans="49:59" x14ac:dyDescent="0.3">
      <c r="AW1619" s="1">
        <v>21.1</v>
      </c>
      <c r="AX1619" s="1">
        <v>21.1</v>
      </c>
      <c r="AY1619" t="str">
        <v>CP-R80_HI782-0_0.0_LOT0894_PWW.03.1_QC.xlsx</v>
      </c>
      <c r="AZ1619" t="str">
        <v>LOT0894</v>
      </c>
      <c r="BA1619" s="3">
        <v>21</v>
      </c>
      <c r="BB1619" t="str">
        <v>P/Prod</v>
      </c>
      <c r="BC1619">
        <v>15</v>
      </c>
      <c r="BD1619" s="10">
        <v>14.9</v>
      </c>
      <c r="BE1619" s="10">
        <v>0</v>
      </c>
      <c r="BF1619" s="10">
        <v>0</v>
      </c>
      <c r="BG1619" s="13">
        <v>45677</v>
      </c>
    </row>
    <row r="1620" spans="49:59" x14ac:dyDescent="0.3">
      <c r="AW1620" s="1">
        <v>21.1</v>
      </c>
      <c r="AX1620" s="1">
        <v>21.1</v>
      </c>
      <c r="AY1620" t="str">
        <v>CP-R80_HI782-0_0.0_LOT0894_PWW.03.1_QC.xlsx</v>
      </c>
      <c r="AZ1620" t="str">
        <v>LOT0894</v>
      </c>
      <c r="BA1620" s="3">
        <v>21</v>
      </c>
      <c r="BB1620" t="str">
        <v>P/Prod</v>
      </c>
      <c r="BC1620">
        <v>15</v>
      </c>
      <c r="BD1620" s="10">
        <v>15.9</v>
      </c>
      <c r="BE1620" s="10">
        <v>0</v>
      </c>
      <c r="BF1620" s="10">
        <v>0</v>
      </c>
      <c r="BG1620" s="13">
        <v>45677</v>
      </c>
    </row>
    <row r="1621" spans="49:59" x14ac:dyDescent="0.3">
      <c r="AW1621" s="1">
        <v>21.1</v>
      </c>
      <c r="AX1621" s="1">
        <v>21.1</v>
      </c>
      <c r="AY1621" t="str">
        <v>CP-R80_HI782-0_0.0_LOT0894_PWW.03.1_QC.xlsx</v>
      </c>
      <c r="AZ1621" t="str">
        <v>LOT0894</v>
      </c>
      <c r="BA1621" s="3">
        <v>21</v>
      </c>
      <c r="BB1621" t="str">
        <v>P/Prod</v>
      </c>
      <c r="BC1621">
        <v>35</v>
      </c>
      <c r="BD1621" s="10">
        <v>38.700000000000003</v>
      </c>
      <c r="BE1621" s="10">
        <v>0</v>
      </c>
      <c r="BF1621" s="10">
        <v>0</v>
      </c>
      <c r="BG1621" s="13">
        <v>45677</v>
      </c>
    </row>
    <row r="1622" spans="49:59" x14ac:dyDescent="0.3">
      <c r="AW1622" s="1">
        <v>21.1</v>
      </c>
      <c r="AX1622" s="1">
        <v>21.1</v>
      </c>
      <c r="AY1622" t="str">
        <v>CP-R80_HI782-0_0.0_LOT0894_PWW.03.1_QC.xlsx</v>
      </c>
      <c r="AZ1622" t="str">
        <v>LOT0894</v>
      </c>
      <c r="BA1622" s="3">
        <v>21</v>
      </c>
      <c r="BB1622" t="str">
        <v>P/Prod</v>
      </c>
      <c r="BC1622">
        <v>35</v>
      </c>
      <c r="BD1622" s="10">
        <v>37.9</v>
      </c>
      <c r="BE1622" s="10">
        <v>0</v>
      </c>
      <c r="BF1622" s="10">
        <v>0</v>
      </c>
      <c r="BG1622" s="13">
        <v>45677</v>
      </c>
    </row>
    <row r="1623" spans="49:59" x14ac:dyDescent="0.3">
      <c r="AW1623" s="1">
        <v>21.1</v>
      </c>
      <c r="AX1623" s="1">
        <v>21.1</v>
      </c>
      <c r="AY1623" t="str">
        <v>CP-R80_HI782-0_0.0_LOT0894_PWW.03.1_QC.xlsx</v>
      </c>
      <c r="AZ1623" t="str">
        <v>LOT0894</v>
      </c>
      <c r="BA1623" s="3">
        <v>21</v>
      </c>
      <c r="BB1623" t="str">
        <v>P/Prod</v>
      </c>
      <c r="BC1623">
        <v>35</v>
      </c>
      <c r="BD1623" s="10">
        <v>37.799999999999997</v>
      </c>
      <c r="BE1623" s="10">
        <v>0</v>
      </c>
      <c r="BF1623" s="10">
        <v>0</v>
      </c>
      <c r="BG1623" s="13">
        <v>45677</v>
      </c>
    </row>
    <row r="1624" spans="49:59" x14ac:dyDescent="0.3">
      <c r="AW1624" s="1">
        <v>21.1</v>
      </c>
      <c r="AX1624" s="1">
        <v>21.1</v>
      </c>
      <c r="AY1624" t="str">
        <v>CP-R80_HI782-0_0.0_LOT0894_PWW.03.1_QC.xlsx</v>
      </c>
      <c r="AZ1624" t="str">
        <v>LOT0894</v>
      </c>
      <c r="BA1624" s="3">
        <v>21</v>
      </c>
      <c r="BB1624" t="str">
        <v>P/Prod</v>
      </c>
      <c r="BC1624">
        <v>35</v>
      </c>
      <c r="BD1624" s="10">
        <v>37.9</v>
      </c>
      <c r="BE1624" s="10">
        <v>0</v>
      </c>
      <c r="BF1624" s="10">
        <v>0</v>
      </c>
      <c r="BG1624" s="13">
        <v>45677</v>
      </c>
    </row>
    <row r="1625" spans="49:59" x14ac:dyDescent="0.3">
      <c r="AW1625" s="1">
        <v>21.1</v>
      </c>
      <c r="AX1625" s="1">
        <v>21.1</v>
      </c>
      <c r="AY1625" t="str">
        <v>CP-R80_HI782-0_0.0_LOT0894_PWW.03.1_QC.xlsx</v>
      </c>
      <c r="AZ1625" t="str">
        <v>LOT0894</v>
      </c>
      <c r="BA1625" s="3">
        <v>21</v>
      </c>
      <c r="BB1625" t="str">
        <v>P/Prod</v>
      </c>
      <c r="BC1625">
        <v>35</v>
      </c>
      <c r="BD1625" s="10">
        <v>38.5</v>
      </c>
      <c r="BE1625" s="10">
        <v>0</v>
      </c>
      <c r="BF1625" s="10">
        <v>0</v>
      </c>
      <c r="BG1625" s="13">
        <v>45677</v>
      </c>
    </row>
    <row r="1626" spans="49:59" x14ac:dyDescent="0.3">
      <c r="AW1626" s="1">
        <v>21.1</v>
      </c>
      <c r="AX1626" s="1">
        <v>21.1</v>
      </c>
      <c r="AY1626" t="str">
        <v>CP-R80_HI782-0_0.0_LOT0894_PWW.03.1_QC.xlsx</v>
      </c>
      <c r="AZ1626" t="str">
        <v>LOT0894</v>
      </c>
      <c r="BA1626" s="3">
        <v>21</v>
      </c>
      <c r="BB1626" t="str">
        <v>P/Prod</v>
      </c>
      <c r="BC1626">
        <v>35</v>
      </c>
      <c r="BD1626" s="10">
        <v>38.5</v>
      </c>
      <c r="BE1626" s="10">
        <v>0</v>
      </c>
      <c r="BF1626" s="10">
        <v>0</v>
      </c>
      <c r="BG1626" s="13">
        <v>45677</v>
      </c>
    </row>
    <row r="1627" spans="49:59" x14ac:dyDescent="0.3">
      <c r="AW1627" s="1">
        <v>21.1</v>
      </c>
      <c r="AX1627" s="1">
        <v>21.1</v>
      </c>
      <c r="AY1627" t="str">
        <v>CP-R80_HI782-0_0.0_LOT0894_PWW.03.1_QC.xlsx</v>
      </c>
      <c r="AZ1627" t="str">
        <v>LOT0894</v>
      </c>
      <c r="BA1627" s="3">
        <v>21</v>
      </c>
      <c r="BB1627" t="str">
        <v>P/Prod</v>
      </c>
      <c r="BC1627">
        <v>35</v>
      </c>
      <c r="BD1627" s="10">
        <v>35.4</v>
      </c>
      <c r="BE1627" s="10">
        <v>0</v>
      </c>
      <c r="BF1627" s="10">
        <v>0</v>
      </c>
      <c r="BG1627" s="13">
        <v>45677</v>
      </c>
    </row>
    <row r="1628" spans="49:59" x14ac:dyDescent="0.3">
      <c r="AW1628" s="1">
        <v>21.1</v>
      </c>
      <c r="AX1628" s="1">
        <v>21.1</v>
      </c>
      <c r="AY1628" t="str">
        <v>CP-R80_HI782-0_0.0_LOT0894_PWW.03.1_QC.xlsx</v>
      </c>
      <c r="AZ1628" t="str">
        <v>LOT0894</v>
      </c>
      <c r="BA1628" s="3">
        <v>21</v>
      </c>
      <c r="BB1628" t="str">
        <v>P/Prod</v>
      </c>
      <c r="BC1628">
        <v>35</v>
      </c>
      <c r="BD1628" s="10">
        <v>35.200000000000003</v>
      </c>
      <c r="BE1628" s="10">
        <v>0</v>
      </c>
      <c r="BF1628" s="10">
        <v>0</v>
      </c>
      <c r="BG1628" s="13">
        <v>45677</v>
      </c>
    </row>
    <row r="1629" spans="49:59" x14ac:dyDescent="0.3">
      <c r="AW1629" s="1">
        <v>21.1</v>
      </c>
      <c r="AX1629" s="1">
        <v>21.1</v>
      </c>
      <c r="AY1629" t="str">
        <v>CP-R80_HI782-0_0.0_LOT0894_PWW.03.1_QC.xlsx</v>
      </c>
      <c r="AZ1629" t="str">
        <v>LOT0894</v>
      </c>
      <c r="BA1629" s="3">
        <v>21</v>
      </c>
      <c r="BB1629" t="str">
        <v>P/Prod</v>
      </c>
      <c r="BC1629">
        <v>35</v>
      </c>
      <c r="BD1629" s="10">
        <v>38.299999999999997</v>
      </c>
      <c r="BE1629" s="10">
        <v>0</v>
      </c>
      <c r="BF1629" s="10">
        <v>0</v>
      </c>
      <c r="BG1629" s="13">
        <v>45677</v>
      </c>
    </row>
    <row r="1630" spans="49:59" x14ac:dyDescent="0.3">
      <c r="AW1630" s="1">
        <v>21.1</v>
      </c>
      <c r="AX1630" s="1">
        <v>21.1</v>
      </c>
      <c r="AY1630" t="str">
        <v>CP-R80_HI782-0_0.0_LOT0894_PWW.03.1_QC.xlsx</v>
      </c>
      <c r="AZ1630" t="str">
        <v>LOT0894</v>
      </c>
      <c r="BA1630" s="3">
        <v>21</v>
      </c>
      <c r="BB1630" t="str">
        <v>P/Prod</v>
      </c>
      <c r="BC1630">
        <v>35</v>
      </c>
      <c r="BD1630" s="10">
        <v>37.5</v>
      </c>
      <c r="BE1630" s="10">
        <v>0</v>
      </c>
      <c r="BF1630" s="10">
        <v>0</v>
      </c>
      <c r="BG1630" s="13">
        <v>45677</v>
      </c>
    </row>
    <row r="1631" spans="49:59" x14ac:dyDescent="0.3">
      <c r="AW1631" s="1">
        <v>21.1</v>
      </c>
      <c r="AX1631" s="1">
        <v>21.1</v>
      </c>
      <c r="AY1631" t="str">
        <v>CP-R80_HI782-0_0.0_LOT0894_PWW.03.1_QC.xlsx</v>
      </c>
      <c r="AZ1631" t="str">
        <v>LOT0894</v>
      </c>
      <c r="BA1631" s="3">
        <v>21</v>
      </c>
      <c r="BB1631" t="str">
        <v>P/Prod</v>
      </c>
      <c r="BC1631">
        <v>35</v>
      </c>
      <c r="BD1631" s="10">
        <v>37.1</v>
      </c>
      <c r="BE1631" s="10">
        <v>0</v>
      </c>
      <c r="BF1631" s="10">
        <v>0</v>
      </c>
      <c r="BG1631" s="13">
        <v>45677</v>
      </c>
    </row>
    <row r="1632" spans="49:59" x14ac:dyDescent="0.3">
      <c r="AW1632" s="1">
        <v>21.1</v>
      </c>
      <c r="AX1632" s="1">
        <v>21.1</v>
      </c>
      <c r="AY1632" t="str">
        <v>CP-R80_HI782-0_0.0_LOT0894_PWW.03.1_QC.xlsx</v>
      </c>
      <c r="AZ1632" t="str">
        <v>LOT0894</v>
      </c>
      <c r="BA1632" s="3">
        <v>21</v>
      </c>
      <c r="BB1632" t="str">
        <v>P/Prod</v>
      </c>
      <c r="BC1632">
        <v>35</v>
      </c>
      <c r="BD1632" s="10">
        <v>38.1</v>
      </c>
      <c r="BE1632" s="10">
        <v>0</v>
      </c>
      <c r="BF1632" s="10">
        <v>0</v>
      </c>
      <c r="BG1632" s="13">
        <v>45677</v>
      </c>
    </row>
    <row r="1633" spans="49:59" x14ac:dyDescent="0.3">
      <c r="AW1633" s="1">
        <v>21.1</v>
      </c>
      <c r="AX1633" s="1">
        <v>21.1</v>
      </c>
      <c r="AY1633" t="str">
        <v>CP-R80_HI782-0_0.0_LOT0894_PWW.03.1_QC.xlsx</v>
      </c>
      <c r="AZ1633" t="str">
        <v>LOT0894</v>
      </c>
      <c r="BA1633" s="3">
        <v>21</v>
      </c>
      <c r="BB1633" t="str">
        <v>P/Prod</v>
      </c>
      <c r="BC1633">
        <v>35</v>
      </c>
      <c r="BD1633" s="10">
        <v>38.5</v>
      </c>
      <c r="BE1633" s="10">
        <v>0</v>
      </c>
      <c r="BF1633" s="10">
        <v>0</v>
      </c>
      <c r="BG1633" s="13">
        <v>45677</v>
      </c>
    </row>
    <row r="1634" spans="49:59" x14ac:dyDescent="0.3">
      <c r="AW1634" s="1">
        <v>21.1</v>
      </c>
      <c r="AX1634" s="1">
        <v>21.1</v>
      </c>
      <c r="AY1634" t="str">
        <v>CP-R80_HI782-0_0.0_LOT0894_PWW.03.1_QC.xlsx</v>
      </c>
      <c r="AZ1634" t="str">
        <v>LOT0894</v>
      </c>
      <c r="BA1634" s="3">
        <v>21</v>
      </c>
      <c r="BB1634" t="str">
        <v>P/Prod</v>
      </c>
      <c r="BC1634">
        <v>35</v>
      </c>
      <c r="BD1634" s="10">
        <v>36.200000000000003</v>
      </c>
      <c r="BE1634" s="10">
        <v>0</v>
      </c>
      <c r="BF1634" s="10">
        <v>0</v>
      </c>
      <c r="BG1634" s="13">
        <v>45677</v>
      </c>
    </row>
    <row r="1635" spans="49:59" x14ac:dyDescent="0.3">
      <c r="AW1635" s="1">
        <v>21.1</v>
      </c>
      <c r="AX1635" s="1">
        <v>21.1</v>
      </c>
      <c r="AY1635" t="str">
        <v>CP-R80_HI782-0_0.0_LOT0894_PWW.03.1_QC.xlsx</v>
      </c>
      <c r="AZ1635" t="str">
        <v>LOT0894</v>
      </c>
      <c r="BA1635" s="3">
        <v>21</v>
      </c>
      <c r="BB1635" t="str">
        <v>P/Prod</v>
      </c>
      <c r="BC1635">
        <v>60</v>
      </c>
      <c r="BD1635" s="10">
        <v>58.7</v>
      </c>
      <c r="BE1635" s="10">
        <v>0</v>
      </c>
      <c r="BF1635" s="10">
        <v>0</v>
      </c>
      <c r="BG1635" s="13">
        <v>45677</v>
      </c>
    </row>
    <row r="1636" spans="49:59" x14ac:dyDescent="0.3">
      <c r="AW1636" s="1">
        <v>21.1</v>
      </c>
      <c r="AX1636" s="1">
        <v>21.1</v>
      </c>
      <c r="AY1636" t="str">
        <v>CP-R80_HI782-0_0.0_LOT0894_PWW.03.1_QC.xlsx</v>
      </c>
      <c r="AZ1636" t="str">
        <v>LOT0894</v>
      </c>
      <c r="BA1636" s="3">
        <v>21</v>
      </c>
      <c r="BB1636" t="str">
        <v>P/Prod</v>
      </c>
      <c r="BC1636">
        <v>60</v>
      </c>
      <c r="BD1636" s="10">
        <v>61</v>
      </c>
      <c r="BE1636" s="10">
        <v>0</v>
      </c>
      <c r="BF1636" s="10">
        <v>0</v>
      </c>
      <c r="BG1636" s="13">
        <v>45677</v>
      </c>
    </row>
    <row r="1637" spans="49:59" x14ac:dyDescent="0.3">
      <c r="AW1637" s="1">
        <v>21.1</v>
      </c>
      <c r="AX1637" s="1">
        <v>21.1</v>
      </c>
      <c r="AY1637" t="str">
        <v>CP-R80_HI782-0_0.0_LOT0894_PWW.03.1_QC.xlsx</v>
      </c>
      <c r="AZ1637" t="str">
        <v>LOT0894</v>
      </c>
      <c r="BA1637" s="3">
        <v>21</v>
      </c>
      <c r="BB1637" t="str">
        <v>P/Prod</v>
      </c>
      <c r="BC1637">
        <v>60</v>
      </c>
      <c r="BD1637" s="10">
        <v>56.6</v>
      </c>
      <c r="BE1637" s="10">
        <v>0</v>
      </c>
      <c r="BF1637" s="10">
        <v>0</v>
      </c>
      <c r="BG1637" s="13">
        <v>45677</v>
      </c>
    </row>
    <row r="1638" spans="49:59" x14ac:dyDescent="0.3">
      <c r="AW1638" s="1">
        <v>21.1</v>
      </c>
      <c r="AX1638" s="1">
        <v>21.1</v>
      </c>
      <c r="AY1638" t="str">
        <v>CP-R80_HI782-0_0.0_LOT0894_PWW.03.1_QC.xlsx</v>
      </c>
      <c r="AZ1638" t="str">
        <v>LOT0894</v>
      </c>
      <c r="BA1638" s="3">
        <v>21</v>
      </c>
      <c r="BB1638" t="str">
        <v>P/Prod</v>
      </c>
      <c r="BC1638">
        <v>60</v>
      </c>
      <c r="BD1638" s="10">
        <v>60.5</v>
      </c>
      <c r="BE1638" s="10">
        <v>0</v>
      </c>
      <c r="BF1638" s="10">
        <v>0</v>
      </c>
      <c r="BG1638" s="13">
        <v>45677</v>
      </c>
    </row>
    <row r="1639" spans="49:59" x14ac:dyDescent="0.3">
      <c r="AW1639" s="1">
        <v>21.1</v>
      </c>
      <c r="AX1639" s="1">
        <v>21.1</v>
      </c>
      <c r="AY1639" t="str">
        <v>CP-R80_HI782-0_0.0_LOT0894_PWW.03.1_QC.xlsx</v>
      </c>
      <c r="AZ1639" t="str">
        <v>LOT0894</v>
      </c>
      <c r="BA1639" s="3">
        <v>21</v>
      </c>
      <c r="BB1639" t="str">
        <v>P/Prod</v>
      </c>
      <c r="BC1639">
        <v>60</v>
      </c>
      <c r="BD1639" s="10">
        <v>63.4</v>
      </c>
      <c r="BE1639" s="10">
        <v>0</v>
      </c>
      <c r="BF1639" s="10">
        <v>0</v>
      </c>
      <c r="BG1639" s="13">
        <v>45677</v>
      </c>
    </row>
    <row r="1640" spans="49:59" x14ac:dyDescent="0.3">
      <c r="AW1640" s="1">
        <v>21.1</v>
      </c>
      <c r="AX1640" s="1">
        <v>21.1</v>
      </c>
      <c r="AY1640" t="str">
        <v>CP-R80_HI782-0_0.0_LOT0894_PWW.03.1_QC.xlsx</v>
      </c>
      <c r="AZ1640" t="str">
        <v>LOT0894</v>
      </c>
      <c r="BA1640" s="3">
        <v>21</v>
      </c>
      <c r="BB1640" t="str">
        <v>P/Prod</v>
      </c>
      <c r="BC1640">
        <v>60</v>
      </c>
      <c r="BD1640" s="10">
        <v>60.9</v>
      </c>
      <c r="BE1640" s="10">
        <v>0</v>
      </c>
      <c r="BF1640" s="10">
        <v>0</v>
      </c>
      <c r="BG1640" s="13">
        <v>45677</v>
      </c>
    </row>
    <row r="1641" spans="49:59" x14ac:dyDescent="0.3">
      <c r="AW1641" s="1">
        <v>21.1</v>
      </c>
      <c r="AX1641" s="1">
        <v>21.1</v>
      </c>
      <c r="AY1641" t="str">
        <v>CP-R80_HI782-0_0.0_LOT0894_PWW.03.1_QC.xlsx</v>
      </c>
      <c r="AZ1641" t="str">
        <v>LOT0894</v>
      </c>
      <c r="BA1641" s="3">
        <v>21</v>
      </c>
      <c r="BB1641" t="str">
        <v>P/Prod</v>
      </c>
      <c r="BC1641">
        <v>60</v>
      </c>
      <c r="BD1641" s="10">
        <v>60.1</v>
      </c>
      <c r="BE1641" s="10">
        <v>0</v>
      </c>
      <c r="BF1641" s="10">
        <v>0</v>
      </c>
      <c r="BG1641" s="13">
        <v>45677</v>
      </c>
    </row>
    <row r="1642" spans="49:59" x14ac:dyDescent="0.3">
      <c r="AW1642" s="1">
        <v>21.1</v>
      </c>
      <c r="AX1642" s="1">
        <v>21.1</v>
      </c>
      <c r="AY1642" t="str">
        <v>CP-R80_HI782-0_0.0_LOT0894_PWW.03.1_QC.xlsx</v>
      </c>
      <c r="AZ1642" t="str">
        <v>LOT0894</v>
      </c>
      <c r="BA1642" s="3">
        <v>21</v>
      </c>
      <c r="BB1642" t="str">
        <v>P/Prod</v>
      </c>
      <c r="BC1642">
        <v>60</v>
      </c>
      <c r="BD1642" s="10">
        <v>58.5</v>
      </c>
      <c r="BE1642" s="10">
        <v>0</v>
      </c>
      <c r="BF1642" s="10">
        <v>0</v>
      </c>
      <c r="BG1642" s="13">
        <v>45677</v>
      </c>
    </row>
    <row r="1643" spans="49:59" x14ac:dyDescent="0.3">
      <c r="AW1643" s="1">
        <v>21.1</v>
      </c>
      <c r="AX1643" s="1">
        <v>21.1</v>
      </c>
      <c r="AY1643" t="str">
        <v>CP-R80_HI782-0_0.0_LOT0894_PWW.03.1_QC.xlsx</v>
      </c>
      <c r="AZ1643" t="str">
        <v>LOT0894</v>
      </c>
      <c r="BA1643" s="3">
        <v>21</v>
      </c>
      <c r="BB1643" t="str">
        <v>P/Prod</v>
      </c>
      <c r="BC1643">
        <v>60</v>
      </c>
      <c r="BD1643" s="10">
        <v>61.9</v>
      </c>
      <c r="BE1643" s="10">
        <v>0</v>
      </c>
      <c r="BF1643" s="10">
        <v>0</v>
      </c>
      <c r="BG1643" s="13">
        <v>45677</v>
      </c>
    </row>
    <row r="1644" spans="49:59" x14ac:dyDescent="0.3">
      <c r="AW1644" s="1">
        <v>21.1</v>
      </c>
      <c r="AX1644" s="1">
        <v>21.1</v>
      </c>
      <c r="AY1644" t="str">
        <v>CP-R80_HI782-0_0.0_LOT0894_PWW.03.1_QC.xlsx</v>
      </c>
      <c r="AZ1644" t="str">
        <v>LOT0894</v>
      </c>
      <c r="BA1644" s="3">
        <v>21</v>
      </c>
      <c r="BB1644" t="str">
        <v>P/Prod</v>
      </c>
      <c r="BC1644">
        <v>60</v>
      </c>
      <c r="BD1644" s="10">
        <v>62.1</v>
      </c>
      <c r="BE1644" s="10">
        <v>0</v>
      </c>
      <c r="BF1644" s="10">
        <v>0</v>
      </c>
      <c r="BG1644" s="13">
        <v>45677</v>
      </c>
    </row>
    <row r="1645" spans="49:59" x14ac:dyDescent="0.3">
      <c r="AW1645" s="1">
        <v>21.1</v>
      </c>
      <c r="AX1645" s="1">
        <v>21.1</v>
      </c>
      <c r="AY1645" t="str">
        <v>CP-R80_HI782-0_0.0_LOT0894_PWW.03.1_QC.xlsx</v>
      </c>
      <c r="AZ1645" t="str">
        <v>LOT0894</v>
      </c>
      <c r="BA1645" s="3">
        <v>21</v>
      </c>
      <c r="BB1645" t="str">
        <v>P/Prod</v>
      </c>
      <c r="BC1645">
        <v>0</v>
      </c>
      <c r="BD1645" s="10">
        <v>0</v>
      </c>
      <c r="BE1645" s="10">
        <v>0</v>
      </c>
      <c r="BF1645" s="10">
        <v>0</v>
      </c>
      <c r="BG1645" s="13">
        <v>45678</v>
      </c>
    </row>
    <row r="1646" spans="49:59" x14ac:dyDescent="0.3">
      <c r="AW1646" s="1">
        <v>21.1</v>
      </c>
      <c r="AX1646" s="1">
        <v>21.1</v>
      </c>
      <c r="AY1646" t="str">
        <v>CP-R80_HI782-0_0.0_LOT0894_PWW.03.1_QC.xlsx</v>
      </c>
      <c r="AZ1646" t="str">
        <v>LOT0894</v>
      </c>
      <c r="BA1646" s="3">
        <v>21</v>
      </c>
      <c r="BB1646" t="str">
        <v>P/Prod</v>
      </c>
      <c r="BC1646">
        <v>0</v>
      </c>
      <c r="BD1646" s="10">
        <v>0</v>
      </c>
      <c r="BE1646" s="10">
        <v>0</v>
      </c>
      <c r="BF1646" s="10">
        <v>0</v>
      </c>
      <c r="BG1646" s="13">
        <v>45678</v>
      </c>
    </row>
    <row r="1647" spans="49:59" x14ac:dyDescent="0.3">
      <c r="AW1647" s="1">
        <v>21.1</v>
      </c>
      <c r="AX1647" s="1">
        <v>21.1</v>
      </c>
      <c r="AY1647" t="str">
        <v>CP-R80_HI782-0_0.0_LOT0894_PWW.03.1_QC.xlsx</v>
      </c>
      <c r="AZ1647" t="str">
        <v>LOT0894</v>
      </c>
      <c r="BA1647" s="3">
        <v>21</v>
      </c>
      <c r="BB1647" t="str">
        <v>P/Prod</v>
      </c>
      <c r="BC1647">
        <v>0</v>
      </c>
      <c r="BD1647" s="10">
        <v>0</v>
      </c>
      <c r="BE1647" s="10">
        <v>0</v>
      </c>
      <c r="BF1647" s="10">
        <v>0</v>
      </c>
      <c r="BG1647" s="13">
        <v>45678</v>
      </c>
    </row>
    <row r="1648" spans="49:59" x14ac:dyDescent="0.3">
      <c r="AW1648" s="1">
        <v>21.1</v>
      </c>
      <c r="AX1648" s="1">
        <v>21.1</v>
      </c>
      <c r="AY1648" t="str">
        <v>CP-R80_HI782-0_0.0_LOT0894_PWW.03.1_QC.xlsx</v>
      </c>
      <c r="AZ1648" t="str">
        <v>LOT0894</v>
      </c>
      <c r="BA1648" s="3">
        <v>21</v>
      </c>
      <c r="BB1648" t="str">
        <v>P/Prod</v>
      </c>
      <c r="BC1648">
        <v>0</v>
      </c>
      <c r="BD1648" s="10">
        <v>0</v>
      </c>
      <c r="BE1648" s="10">
        <v>0</v>
      </c>
      <c r="BF1648" s="10">
        <v>0</v>
      </c>
      <c r="BG1648" s="13">
        <v>45678</v>
      </c>
    </row>
    <row r="1649" spans="49:59" x14ac:dyDescent="0.3">
      <c r="AW1649" s="1">
        <v>21.1</v>
      </c>
      <c r="AX1649" s="1">
        <v>21.1</v>
      </c>
      <c r="AY1649" t="str">
        <v>CP-R80_HI782-0_0.0_LOT0894_PWW.03.1_QC.xlsx</v>
      </c>
      <c r="AZ1649" t="str">
        <v>LOT0894</v>
      </c>
      <c r="BA1649" s="3">
        <v>21</v>
      </c>
      <c r="BB1649" t="str">
        <v>P/Prod</v>
      </c>
      <c r="BC1649">
        <v>0</v>
      </c>
      <c r="BD1649" s="10">
        <v>0</v>
      </c>
      <c r="BE1649" s="10">
        <v>0</v>
      </c>
      <c r="BF1649" s="10">
        <v>0</v>
      </c>
      <c r="BG1649" s="13">
        <v>45678</v>
      </c>
    </row>
    <row r="1650" spans="49:59" x14ac:dyDescent="0.3">
      <c r="AW1650" s="1">
        <v>21.1</v>
      </c>
      <c r="AX1650" s="1">
        <v>21.1</v>
      </c>
      <c r="AY1650" t="str">
        <v>CP-R80_HI782-0_0.0_LOT0894_PWW.03.1_QC.xlsx</v>
      </c>
      <c r="AZ1650" t="str">
        <v>LOT0894</v>
      </c>
      <c r="BA1650" s="3">
        <v>21</v>
      </c>
      <c r="BB1650" t="str">
        <v>P/Prod</v>
      </c>
      <c r="BC1650">
        <v>0</v>
      </c>
      <c r="BD1650" s="10">
        <v>0</v>
      </c>
      <c r="BE1650" s="10">
        <v>0</v>
      </c>
      <c r="BF1650" s="10">
        <v>0</v>
      </c>
      <c r="BG1650" s="13">
        <v>45678</v>
      </c>
    </row>
    <row r="1651" spans="49:59" x14ac:dyDescent="0.3">
      <c r="AW1651" s="1">
        <v>21.1</v>
      </c>
      <c r="AX1651" s="1">
        <v>21.1</v>
      </c>
      <c r="AY1651" t="str">
        <v>CP-R80_HI782-0_0.0_LOT0894_PWW.03.1_QC.xlsx</v>
      </c>
      <c r="AZ1651" t="str">
        <v>LOT0894</v>
      </c>
      <c r="BA1651" s="3">
        <v>21</v>
      </c>
      <c r="BB1651" t="str">
        <v>P/Prod</v>
      </c>
      <c r="BC1651">
        <v>0</v>
      </c>
      <c r="BD1651" s="10">
        <v>0</v>
      </c>
      <c r="BE1651" s="10">
        <v>0</v>
      </c>
      <c r="BF1651" s="10">
        <v>0</v>
      </c>
      <c r="BG1651" s="13">
        <v>45678</v>
      </c>
    </row>
    <row r="1652" spans="49:59" x14ac:dyDescent="0.3">
      <c r="AW1652" s="1">
        <v>21.1</v>
      </c>
      <c r="AX1652" s="1">
        <v>21.1</v>
      </c>
      <c r="AY1652" t="str">
        <v>CP-R80_HI782-0_0.0_LOT0894_PWW.03.1_QC.xlsx</v>
      </c>
      <c r="AZ1652" t="str">
        <v>LOT0894</v>
      </c>
      <c r="BA1652" s="3">
        <v>21</v>
      </c>
      <c r="BB1652" t="str">
        <v>P/Prod</v>
      </c>
      <c r="BC1652">
        <v>0</v>
      </c>
      <c r="BD1652" s="10">
        <v>0</v>
      </c>
      <c r="BE1652" s="10">
        <v>0</v>
      </c>
      <c r="BF1652" s="10">
        <v>0</v>
      </c>
      <c r="BG1652" s="13">
        <v>45678</v>
      </c>
    </row>
    <row r="1653" spans="49:59" x14ac:dyDescent="0.3">
      <c r="AW1653" s="1">
        <v>21.1</v>
      </c>
      <c r="AX1653" s="1">
        <v>21.1</v>
      </c>
      <c r="AY1653" t="str">
        <v>CP-R80_HI782-0_0.0_LOT0894_PWW.03.1_QC.xlsx</v>
      </c>
      <c r="AZ1653" t="str">
        <v>LOT0894</v>
      </c>
      <c r="BA1653" s="3">
        <v>21</v>
      </c>
      <c r="BB1653" t="str">
        <v>P/Prod</v>
      </c>
      <c r="BC1653">
        <v>0</v>
      </c>
      <c r="BD1653" s="10">
        <v>0</v>
      </c>
      <c r="BE1653" s="10">
        <v>0</v>
      </c>
      <c r="BF1653" s="10">
        <v>0</v>
      </c>
      <c r="BG1653" s="13">
        <v>45678</v>
      </c>
    </row>
    <row r="1654" spans="49:59" x14ac:dyDescent="0.3">
      <c r="AW1654" s="1">
        <v>21.1</v>
      </c>
      <c r="AX1654" s="1">
        <v>21.1</v>
      </c>
      <c r="AY1654" t="str">
        <v>CP-R80_HI782-0_0.0_LOT0894_PWW.03.1_QC.xlsx</v>
      </c>
      <c r="AZ1654" t="str">
        <v>LOT0894</v>
      </c>
      <c r="BA1654" s="3">
        <v>21</v>
      </c>
      <c r="BB1654" t="str">
        <v>P/Prod</v>
      </c>
      <c r="BC1654">
        <v>0</v>
      </c>
      <c r="BD1654" s="10">
        <v>0</v>
      </c>
      <c r="BE1654" s="10">
        <v>0</v>
      </c>
      <c r="BF1654" s="10">
        <v>0</v>
      </c>
      <c r="BG1654" s="13">
        <v>45678</v>
      </c>
    </row>
    <row r="1655" spans="49:59" x14ac:dyDescent="0.3">
      <c r="AW1655" s="1">
        <v>21.1</v>
      </c>
      <c r="AX1655" s="1">
        <v>21.1</v>
      </c>
      <c r="AY1655" t="str">
        <v>CP-R80_HI782-0_0.0_LOT0894_PWW.03.1_QC.xlsx</v>
      </c>
      <c r="AZ1655" t="str">
        <v>LOT0894</v>
      </c>
      <c r="BA1655" s="3">
        <v>21</v>
      </c>
      <c r="BB1655" t="str">
        <v>P/Prod</v>
      </c>
      <c r="BC1655">
        <v>15</v>
      </c>
      <c r="BD1655" s="10">
        <v>15.7</v>
      </c>
      <c r="BE1655" s="10">
        <v>0</v>
      </c>
      <c r="BF1655" s="10">
        <v>0</v>
      </c>
      <c r="BG1655" s="13">
        <v>45678</v>
      </c>
    </row>
    <row r="1656" spans="49:59" x14ac:dyDescent="0.3">
      <c r="AW1656" s="1">
        <v>21.1</v>
      </c>
      <c r="AX1656" s="1">
        <v>21.1</v>
      </c>
      <c r="AY1656" t="str">
        <v>CP-R80_HI782-0_0.0_LOT0894_PWW.03.1_QC.xlsx</v>
      </c>
      <c r="AZ1656" t="str">
        <v>LOT0894</v>
      </c>
      <c r="BA1656" s="3">
        <v>21</v>
      </c>
      <c r="BB1656" t="str">
        <v>P/Prod</v>
      </c>
      <c r="BC1656">
        <v>15</v>
      </c>
      <c r="BD1656" s="10">
        <v>15.8</v>
      </c>
      <c r="BE1656" s="10">
        <v>0</v>
      </c>
      <c r="BF1656" s="10">
        <v>0</v>
      </c>
      <c r="BG1656" s="13">
        <v>45678</v>
      </c>
    </row>
    <row r="1657" spans="49:59" x14ac:dyDescent="0.3">
      <c r="AW1657" s="1">
        <v>21.1</v>
      </c>
      <c r="AX1657" s="1">
        <v>21.1</v>
      </c>
      <c r="AY1657" t="str">
        <v>CP-R80_HI782-0_0.0_LOT0894_PWW.03.1_QC.xlsx</v>
      </c>
      <c r="AZ1657" t="str">
        <v>LOT0894</v>
      </c>
      <c r="BA1657" s="3">
        <v>21</v>
      </c>
      <c r="BB1657" t="str">
        <v>P/Prod</v>
      </c>
      <c r="BC1657">
        <v>15</v>
      </c>
      <c r="BD1657" s="10">
        <v>14.1</v>
      </c>
      <c r="BE1657" s="10">
        <v>0</v>
      </c>
      <c r="BF1657" s="10">
        <v>0</v>
      </c>
      <c r="BG1657" s="13">
        <v>45678</v>
      </c>
    </row>
    <row r="1658" spans="49:59" x14ac:dyDescent="0.3">
      <c r="AW1658" s="1">
        <v>21.1</v>
      </c>
      <c r="AX1658" s="1">
        <v>21.1</v>
      </c>
      <c r="AY1658" t="str">
        <v>CP-R80_HI782-0_0.0_LOT0894_PWW.03.1_QC.xlsx</v>
      </c>
      <c r="AZ1658" t="str">
        <v>LOT0894</v>
      </c>
      <c r="BA1658" s="3">
        <v>21</v>
      </c>
      <c r="BB1658" t="str">
        <v>P/Prod</v>
      </c>
      <c r="BC1658">
        <v>15</v>
      </c>
      <c r="BD1658" s="10">
        <v>15.7</v>
      </c>
      <c r="BE1658" s="10">
        <v>0</v>
      </c>
      <c r="BF1658" s="10">
        <v>0</v>
      </c>
      <c r="BG1658" s="13">
        <v>45678</v>
      </c>
    </row>
    <row r="1659" spans="49:59" x14ac:dyDescent="0.3">
      <c r="AW1659" s="1">
        <v>21.1</v>
      </c>
      <c r="AX1659" s="1">
        <v>21.1</v>
      </c>
      <c r="AY1659" t="str">
        <v>CP-R80_HI782-0_0.0_LOT0894_PWW.03.1_QC.xlsx</v>
      </c>
      <c r="AZ1659" t="str">
        <v>LOT0894</v>
      </c>
      <c r="BA1659" s="3">
        <v>21</v>
      </c>
      <c r="BB1659" t="str">
        <v>P/Prod</v>
      </c>
      <c r="BC1659">
        <v>15</v>
      </c>
      <c r="BD1659" s="10">
        <v>15</v>
      </c>
      <c r="BE1659" s="10">
        <v>0</v>
      </c>
      <c r="BF1659" s="10">
        <v>0</v>
      </c>
      <c r="BG1659" s="13">
        <v>45678</v>
      </c>
    </row>
    <row r="1660" spans="49:59" x14ac:dyDescent="0.3">
      <c r="AW1660" s="1">
        <v>21.1</v>
      </c>
      <c r="AX1660" s="1">
        <v>21.1</v>
      </c>
      <c r="AY1660" t="str">
        <v>CP-R80_HI782-0_0.0_LOT0894_PWW.03.1_QC.xlsx</v>
      </c>
      <c r="AZ1660" t="str">
        <v>LOT0894</v>
      </c>
      <c r="BA1660" s="3">
        <v>21</v>
      </c>
      <c r="BB1660" t="str">
        <v>P/Prod</v>
      </c>
      <c r="BC1660">
        <v>15</v>
      </c>
      <c r="BD1660" s="10">
        <v>15.5</v>
      </c>
      <c r="BE1660" s="10">
        <v>0</v>
      </c>
      <c r="BF1660" s="10">
        <v>0</v>
      </c>
      <c r="BG1660" s="13">
        <v>45678</v>
      </c>
    </row>
    <row r="1661" spans="49:59" x14ac:dyDescent="0.3">
      <c r="AW1661" s="1">
        <v>21.1</v>
      </c>
      <c r="AX1661" s="1">
        <v>21.1</v>
      </c>
      <c r="AY1661" t="str">
        <v>CP-R80_HI782-0_0.0_LOT0894_PWW.03.1_QC.xlsx</v>
      </c>
      <c r="AZ1661" t="str">
        <v>LOT0894</v>
      </c>
      <c r="BA1661" s="3">
        <v>21</v>
      </c>
      <c r="BB1661" t="str">
        <v>P/Prod</v>
      </c>
      <c r="BC1661">
        <v>15</v>
      </c>
      <c r="BD1661" s="10">
        <v>14.8</v>
      </c>
      <c r="BE1661" s="10">
        <v>0</v>
      </c>
      <c r="BF1661" s="10">
        <v>0</v>
      </c>
      <c r="BG1661" s="13">
        <v>45678</v>
      </c>
    </row>
    <row r="1662" spans="49:59" x14ac:dyDescent="0.3">
      <c r="AW1662" s="1">
        <v>21.1</v>
      </c>
      <c r="AX1662" s="1">
        <v>21.1</v>
      </c>
      <c r="AY1662" t="str">
        <v>CP-R80_HI782-0_0.0_LOT0894_PWW.03.1_QC.xlsx</v>
      </c>
      <c r="AZ1662" t="str">
        <v>LOT0894</v>
      </c>
      <c r="BA1662" s="3">
        <v>21</v>
      </c>
      <c r="BB1662" t="str">
        <v>P/Prod</v>
      </c>
      <c r="BC1662">
        <v>15</v>
      </c>
      <c r="BD1662" s="10">
        <v>16.100000000000001</v>
      </c>
      <c r="BE1662" s="10">
        <v>0</v>
      </c>
      <c r="BF1662" s="10">
        <v>0</v>
      </c>
      <c r="BG1662" s="13">
        <v>45678</v>
      </c>
    </row>
    <row r="1663" spans="49:59" x14ac:dyDescent="0.3">
      <c r="AW1663" s="1">
        <v>21.1</v>
      </c>
      <c r="AX1663" s="1">
        <v>21.1</v>
      </c>
      <c r="AY1663" t="str">
        <v>CP-R80_HI782-0_0.0_LOT0894_PWW.03.1_QC.xlsx</v>
      </c>
      <c r="AZ1663" t="str">
        <v>LOT0894</v>
      </c>
      <c r="BA1663" s="3">
        <v>21</v>
      </c>
      <c r="BB1663" t="str">
        <v>P/Prod</v>
      </c>
      <c r="BC1663">
        <v>15</v>
      </c>
      <c r="BD1663" s="10">
        <v>15.5</v>
      </c>
      <c r="BE1663" s="10">
        <v>0</v>
      </c>
      <c r="BF1663" s="10">
        <v>0</v>
      </c>
      <c r="BG1663" s="13">
        <v>45678</v>
      </c>
    </row>
    <row r="1664" spans="49:59" x14ac:dyDescent="0.3">
      <c r="AW1664" s="1">
        <v>21.1</v>
      </c>
      <c r="AX1664" s="1">
        <v>21.1</v>
      </c>
      <c r="AY1664" t="str">
        <v>CP-R80_HI782-0_0.0_LOT0894_PWW.03.1_QC.xlsx</v>
      </c>
      <c r="AZ1664" t="str">
        <v>LOT0894</v>
      </c>
      <c r="BA1664" s="3">
        <v>21</v>
      </c>
      <c r="BB1664" t="str">
        <v>P/Prod</v>
      </c>
      <c r="BC1664">
        <v>15</v>
      </c>
      <c r="BD1664" s="10">
        <v>15.7</v>
      </c>
      <c r="BE1664" s="10">
        <v>0</v>
      </c>
      <c r="BF1664" s="10">
        <v>0</v>
      </c>
      <c r="BG1664" s="13">
        <v>45678</v>
      </c>
    </row>
    <row r="1665" spans="49:59" x14ac:dyDescent="0.3">
      <c r="AW1665" s="1">
        <v>21.1</v>
      </c>
      <c r="AX1665" s="1">
        <v>21.1</v>
      </c>
      <c r="AY1665" t="str">
        <v>CP-R80_HI782-0_0.0_LOT0894_PWW.03.1_QC.xlsx</v>
      </c>
      <c r="AZ1665" t="str">
        <v>LOT0894</v>
      </c>
      <c r="BA1665" s="3">
        <v>21</v>
      </c>
      <c r="BB1665" t="str">
        <v>P/Prod</v>
      </c>
      <c r="BC1665">
        <v>15</v>
      </c>
      <c r="BD1665" s="10">
        <v>15.8</v>
      </c>
      <c r="BE1665" s="10">
        <v>0</v>
      </c>
      <c r="BF1665" s="10">
        <v>0</v>
      </c>
      <c r="BG1665" s="13">
        <v>45678</v>
      </c>
    </row>
    <row r="1666" spans="49:59" x14ac:dyDescent="0.3">
      <c r="AW1666" s="1">
        <v>21.1</v>
      </c>
      <c r="AX1666" s="1">
        <v>21.1</v>
      </c>
      <c r="AY1666" t="str">
        <v>CP-R80_HI782-0_0.0_LOT0894_PWW.03.1_QC.xlsx</v>
      </c>
      <c r="AZ1666" t="str">
        <v>LOT0894</v>
      </c>
      <c r="BA1666" s="3">
        <v>21</v>
      </c>
      <c r="BB1666" t="str">
        <v>P/Prod</v>
      </c>
      <c r="BC1666">
        <v>15</v>
      </c>
      <c r="BD1666" s="10">
        <v>16.5</v>
      </c>
      <c r="BE1666" s="10">
        <v>0</v>
      </c>
      <c r="BF1666" s="10">
        <v>0</v>
      </c>
      <c r="BG1666" s="13">
        <v>45678</v>
      </c>
    </row>
    <row r="1667" spans="49:59" x14ac:dyDescent="0.3">
      <c r="AW1667" s="1">
        <v>21.1</v>
      </c>
      <c r="AX1667" s="1">
        <v>21.1</v>
      </c>
      <c r="AY1667" t="str">
        <v>CP-R80_HI782-0_0.0_LOT0894_PWW.03.1_QC.xlsx</v>
      </c>
      <c r="AZ1667" t="str">
        <v>LOT0894</v>
      </c>
      <c r="BA1667" s="3">
        <v>21</v>
      </c>
      <c r="BB1667" t="str">
        <v>P/Prod</v>
      </c>
      <c r="BC1667">
        <v>15</v>
      </c>
      <c r="BD1667" s="10">
        <v>14.4</v>
      </c>
      <c r="BE1667" s="10">
        <v>0</v>
      </c>
      <c r="BF1667" s="10">
        <v>0</v>
      </c>
      <c r="BG1667" s="13">
        <v>45678</v>
      </c>
    </row>
    <row r="1668" spans="49:59" x14ac:dyDescent="0.3">
      <c r="AW1668" s="1">
        <v>21.1</v>
      </c>
      <c r="AX1668" s="1">
        <v>21.1</v>
      </c>
      <c r="AY1668" t="str">
        <v>CP-R80_HI782-0_0.0_LOT0894_PWW.03.1_QC.xlsx</v>
      </c>
      <c r="AZ1668" t="str">
        <v>LOT0894</v>
      </c>
      <c r="BA1668" s="3">
        <v>21</v>
      </c>
      <c r="BB1668" t="str">
        <v>P/Prod</v>
      </c>
      <c r="BC1668">
        <v>15</v>
      </c>
      <c r="BD1668" s="10">
        <v>14.4</v>
      </c>
      <c r="BE1668" s="10">
        <v>0</v>
      </c>
      <c r="BF1668" s="10">
        <v>0</v>
      </c>
      <c r="BG1668" s="13">
        <v>45678</v>
      </c>
    </row>
    <row r="1669" spans="49:59" x14ac:dyDescent="0.3">
      <c r="AW1669" s="1">
        <v>21.1</v>
      </c>
      <c r="AX1669" s="1">
        <v>21.1</v>
      </c>
      <c r="AY1669" t="str">
        <v>CP-R80_HI782-0_0.0_LOT0894_PWW.03.1_QC.xlsx</v>
      </c>
      <c r="AZ1669" t="str">
        <v>LOT0894</v>
      </c>
      <c r="BA1669" s="3">
        <v>21</v>
      </c>
      <c r="BB1669" t="str">
        <v>P/Prod</v>
      </c>
      <c r="BC1669">
        <v>35</v>
      </c>
      <c r="BD1669" s="10">
        <v>36.6</v>
      </c>
      <c r="BE1669" s="10">
        <v>0</v>
      </c>
      <c r="BF1669" s="10">
        <v>0</v>
      </c>
      <c r="BG1669" s="13">
        <v>45678</v>
      </c>
    </row>
    <row r="1670" spans="49:59" x14ac:dyDescent="0.3">
      <c r="AW1670" s="1">
        <v>21.1</v>
      </c>
      <c r="AX1670" s="1">
        <v>21.1</v>
      </c>
      <c r="AY1670" t="str">
        <v>CP-R80_HI782-0_0.0_LOT0894_PWW.03.1_QC.xlsx</v>
      </c>
      <c r="AZ1670" t="str">
        <v>LOT0894</v>
      </c>
      <c r="BA1670" s="3">
        <v>21</v>
      </c>
      <c r="BB1670" t="str">
        <v>P/Prod</v>
      </c>
      <c r="BC1670">
        <v>35</v>
      </c>
      <c r="BD1670" s="10">
        <v>34.4</v>
      </c>
      <c r="BE1670" s="10">
        <v>0</v>
      </c>
      <c r="BF1670" s="10">
        <v>0</v>
      </c>
      <c r="BG1670" s="13">
        <v>45678</v>
      </c>
    </row>
    <row r="1671" spans="49:59" x14ac:dyDescent="0.3">
      <c r="AW1671" s="1">
        <v>21.1</v>
      </c>
      <c r="AX1671" s="1">
        <v>21.1</v>
      </c>
      <c r="AY1671" t="str">
        <v>CP-R80_HI782-0_0.0_LOT0894_PWW.03.1_QC.xlsx</v>
      </c>
      <c r="AZ1671" t="str">
        <v>LOT0894</v>
      </c>
      <c r="BA1671" s="3">
        <v>21</v>
      </c>
      <c r="BB1671" t="str">
        <v>P/Prod</v>
      </c>
      <c r="BC1671">
        <v>35</v>
      </c>
      <c r="BD1671" s="10">
        <v>37.4</v>
      </c>
      <c r="BE1671" s="10">
        <v>0</v>
      </c>
      <c r="BF1671" s="10">
        <v>0</v>
      </c>
      <c r="BG1671" s="13">
        <v>45678</v>
      </c>
    </row>
    <row r="1672" spans="49:59" x14ac:dyDescent="0.3">
      <c r="AW1672" s="1">
        <v>21.1</v>
      </c>
      <c r="AX1672" s="1">
        <v>21.1</v>
      </c>
      <c r="AY1672" t="str">
        <v>CP-R80_HI782-0_0.0_LOT0894_PWW.03.1_QC.xlsx</v>
      </c>
      <c r="AZ1672" t="str">
        <v>LOT0894</v>
      </c>
      <c r="BA1672" s="3">
        <v>21</v>
      </c>
      <c r="BB1672" t="str">
        <v>P/Prod</v>
      </c>
      <c r="BC1672">
        <v>35</v>
      </c>
      <c r="BD1672" s="10">
        <v>35.6</v>
      </c>
      <c r="BE1672" s="10">
        <v>0</v>
      </c>
      <c r="BF1672" s="10">
        <v>0</v>
      </c>
      <c r="BG1672" s="13">
        <v>45678</v>
      </c>
    </row>
    <row r="1673" spans="49:59" x14ac:dyDescent="0.3">
      <c r="AW1673" s="1">
        <v>21.1</v>
      </c>
      <c r="AX1673" s="1">
        <v>21.1</v>
      </c>
      <c r="AY1673" t="str">
        <v>CP-R80_HI782-0_0.0_LOT0894_PWW.03.1_QC.xlsx</v>
      </c>
      <c r="AZ1673" t="str">
        <v>LOT0894</v>
      </c>
      <c r="BA1673" s="3">
        <v>21</v>
      </c>
      <c r="BB1673" t="str">
        <v>P/Prod</v>
      </c>
      <c r="BC1673">
        <v>35</v>
      </c>
      <c r="BD1673" s="10">
        <v>36.9</v>
      </c>
      <c r="BE1673" s="10">
        <v>0</v>
      </c>
      <c r="BF1673" s="10">
        <v>0</v>
      </c>
      <c r="BG1673" s="13">
        <v>45678</v>
      </c>
    </row>
    <row r="1674" spans="49:59" x14ac:dyDescent="0.3">
      <c r="AW1674" s="1">
        <v>21.1</v>
      </c>
      <c r="AX1674" s="1">
        <v>21.1</v>
      </c>
      <c r="AY1674" t="str">
        <v>CP-R80_HI782-0_0.0_LOT0894_PWW.03.1_QC.xlsx</v>
      </c>
      <c r="AZ1674" t="str">
        <v>LOT0894</v>
      </c>
      <c r="BA1674" s="3">
        <v>21</v>
      </c>
      <c r="BB1674" t="str">
        <v>P/Prod</v>
      </c>
      <c r="BC1674">
        <v>35</v>
      </c>
      <c r="BD1674" s="10">
        <v>37.1</v>
      </c>
      <c r="BE1674" s="10">
        <v>0</v>
      </c>
      <c r="BF1674" s="10">
        <v>0</v>
      </c>
      <c r="BG1674" s="13">
        <v>45678</v>
      </c>
    </row>
    <row r="1675" spans="49:59" x14ac:dyDescent="0.3">
      <c r="AW1675" s="1">
        <v>21.1</v>
      </c>
      <c r="AX1675" s="1">
        <v>21.1</v>
      </c>
      <c r="AY1675" t="str">
        <v>CP-R80_HI782-0_0.0_LOT0894_PWW.03.1_QC.xlsx</v>
      </c>
      <c r="AZ1675" t="str">
        <v>LOT0894</v>
      </c>
      <c r="BA1675" s="3">
        <v>21</v>
      </c>
      <c r="BB1675" t="str">
        <v>P/Prod</v>
      </c>
      <c r="BC1675">
        <v>35</v>
      </c>
      <c r="BD1675" s="10">
        <v>37.299999999999997</v>
      </c>
      <c r="BE1675" s="10">
        <v>0</v>
      </c>
      <c r="BF1675" s="10">
        <v>0</v>
      </c>
      <c r="BG1675" s="13">
        <v>45678</v>
      </c>
    </row>
    <row r="1676" spans="49:59" x14ac:dyDescent="0.3">
      <c r="AW1676" s="1">
        <v>21.1</v>
      </c>
      <c r="AX1676" s="1">
        <v>21.1</v>
      </c>
      <c r="AY1676" t="str">
        <v>CP-R80_HI782-0_0.0_LOT0894_PWW.03.1_QC.xlsx</v>
      </c>
      <c r="AZ1676" t="str">
        <v>LOT0894</v>
      </c>
      <c r="BA1676" s="3">
        <v>21</v>
      </c>
      <c r="BB1676" t="str">
        <v>P/Prod</v>
      </c>
      <c r="BC1676">
        <v>35</v>
      </c>
      <c r="BD1676" s="10">
        <v>37.5</v>
      </c>
      <c r="BE1676" s="10">
        <v>0</v>
      </c>
      <c r="BF1676" s="10">
        <v>0</v>
      </c>
      <c r="BG1676" s="13">
        <v>45678</v>
      </c>
    </row>
    <row r="1677" spans="49:59" x14ac:dyDescent="0.3">
      <c r="AW1677" s="1">
        <v>21.1</v>
      </c>
      <c r="AX1677" s="1">
        <v>21.1</v>
      </c>
      <c r="AY1677" t="str">
        <v>CP-R80_HI782-0_0.0_LOT0894_PWW.03.1_QC.xlsx</v>
      </c>
      <c r="AZ1677" t="str">
        <v>LOT0894</v>
      </c>
      <c r="BA1677" s="3">
        <v>21</v>
      </c>
      <c r="BB1677" t="str">
        <v>P/Prod</v>
      </c>
      <c r="BC1677">
        <v>35</v>
      </c>
      <c r="BD1677" s="10">
        <v>37.700000000000003</v>
      </c>
      <c r="BE1677" s="10">
        <v>0</v>
      </c>
      <c r="BF1677" s="10">
        <v>0</v>
      </c>
      <c r="BG1677" s="13">
        <v>45678</v>
      </c>
    </row>
    <row r="1678" spans="49:59" x14ac:dyDescent="0.3">
      <c r="AW1678" s="1">
        <v>21.1</v>
      </c>
      <c r="AX1678" s="1">
        <v>21.1</v>
      </c>
      <c r="AY1678" t="str">
        <v>CP-R80_HI782-0_0.0_LOT0894_PWW.03.1_QC.xlsx</v>
      </c>
      <c r="AZ1678" t="str">
        <v>LOT0894</v>
      </c>
      <c r="BA1678" s="3">
        <v>21</v>
      </c>
      <c r="BB1678" t="str">
        <v>P/Prod</v>
      </c>
      <c r="BC1678">
        <v>35</v>
      </c>
      <c r="BD1678" s="10">
        <v>36.299999999999997</v>
      </c>
      <c r="BE1678" s="10">
        <v>0</v>
      </c>
      <c r="BF1678" s="10">
        <v>0</v>
      </c>
      <c r="BG1678" s="13">
        <v>45678</v>
      </c>
    </row>
    <row r="1679" spans="49:59" x14ac:dyDescent="0.3">
      <c r="AW1679" s="1">
        <v>21.1</v>
      </c>
      <c r="AX1679" s="1">
        <v>21.1</v>
      </c>
      <c r="AY1679" t="str">
        <v>CP-R80_HI782-0_0.0_LOT0894_PWW.03.1_QC.xlsx</v>
      </c>
      <c r="AZ1679" t="str">
        <v>LOT0894</v>
      </c>
      <c r="BA1679" s="3">
        <v>21</v>
      </c>
      <c r="BB1679" t="str">
        <v>P/Prod</v>
      </c>
      <c r="BC1679">
        <v>35</v>
      </c>
      <c r="BD1679" s="10">
        <v>37.200000000000003</v>
      </c>
      <c r="BE1679" s="10">
        <v>0</v>
      </c>
      <c r="BF1679" s="10">
        <v>0</v>
      </c>
      <c r="BG1679" s="13">
        <v>45678</v>
      </c>
    </row>
    <row r="1680" spans="49:59" x14ac:dyDescent="0.3">
      <c r="AW1680" s="1">
        <v>21.1</v>
      </c>
      <c r="AX1680" s="1">
        <v>21.1</v>
      </c>
      <c r="AY1680" t="str">
        <v>CP-R80_HI782-0_0.0_LOT0894_PWW.03.1_QC.xlsx</v>
      </c>
      <c r="AZ1680" t="str">
        <v>LOT0894</v>
      </c>
      <c r="BA1680" s="3">
        <v>21</v>
      </c>
      <c r="BB1680" t="str">
        <v>P/Prod</v>
      </c>
      <c r="BC1680">
        <v>35</v>
      </c>
      <c r="BD1680" s="10">
        <v>37</v>
      </c>
      <c r="BE1680" s="10">
        <v>0</v>
      </c>
      <c r="BF1680" s="10">
        <v>0</v>
      </c>
      <c r="BG1680" s="13">
        <v>45678</v>
      </c>
    </row>
    <row r="1681" spans="49:59" x14ac:dyDescent="0.3">
      <c r="AW1681" s="1">
        <v>21.1</v>
      </c>
      <c r="AX1681" s="1">
        <v>21.1</v>
      </c>
      <c r="AY1681" t="str">
        <v>CP-R80_HI782-0_0.0_LOT0894_PWW.03.1_QC.xlsx</v>
      </c>
      <c r="AZ1681" t="str">
        <v>LOT0894</v>
      </c>
      <c r="BA1681" s="3">
        <v>21</v>
      </c>
      <c r="BB1681" t="str">
        <v>P/Prod</v>
      </c>
      <c r="BC1681">
        <v>35</v>
      </c>
      <c r="BD1681" s="10">
        <v>35</v>
      </c>
      <c r="BE1681" s="10">
        <v>0</v>
      </c>
      <c r="BF1681" s="10">
        <v>0</v>
      </c>
      <c r="BG1681" s="13">
        <v>45678</v>
      </c>
    </row>
    <row r="1682" spans="49:59" x14ac:dyDescent="0.3">
      <c r="AW1682" s="1">
        <v>21.1</v>
      </c>
      <c r="AX1682" s="1">
        <v>21.1</v>
      </c>
      <c r="AY1682" t="str">
        <v>CP-R80_HI782-0_0.0_LOT0894_PWW.03.1_QC.xlsx</v>
      </c>
      <c r="AZ1682" t="str">
        <v>LOT0894</v>
      </c>
      <c r="BA1682" s="3">
        <v>21</v>
      </c>
      <c r="BB1682" t="str">
        <v>P/Prod</v>
      </c>
      <c r="BC1682">
        <v>35</v>
      </c>
      <c r="BD1682" s="10">
        <v>37.700000000000003</v>
      </c>
      <c r="BE1682" s="10">
        <v>0</v>
      </c>
      <c r="BF1682" s="10">
        <v>0</v>
      </c>
      <c r="BG1682" s="13">
        <v>45678</v>
      </c>
    </row>
    <row r="1683" spans="49:59" x14ac:dyDescent="0.3">
      <c r="AW1683" s="1">
        <v>21.1</v>
      </c>
      <c r="AX1683" s="1">
        <v>21.1</v>
      </c>
      <c r="AY1683" t="str">
        <v>CP-R80_HI782-0_0.0_LOT0894_PWW.03.1_QC.xlsx</v>
      </c>
      <c r="AZ1683" t="str">
        <v>LOT0894</v>
      </c>
      <c r="BA1683" s="3">
        <v>21</v>
      </c>
      <c r="BB1683" t="str">
        <v>P/Prod</v>
      </c>
      <c r="BC1683">
        <v>60</v>
      </c>
      <c r="BD1683" s="10">
        <v>61.2</v>
      </c>
      <c r="BE1683" s="10">
        <v>0</v>
      </c>
      <c r="BF1683" s="10">
        <v>0</v>
      </c>
      <c r="BG1683" s="13">
        <v>45678</v>
      </c>
    </row>
    <row r="1684" spans="49:59" x14ac:dyDescent="0.3">
      <c r="AW1684" s="1">
        <v>21.1</v>
      </c>
      <c r="AX1684" s="1">
        <v>21.1</v>
      </c>
      <c r="AY1684" t="str">
        <v>CP-R80_HI782-0_0.0_LOT0894_PWW.03.1_QC.xlsx</v>
      </c>
      <c r="AZ1684" t="str">
        <v>LOT0894</v>
      </c>
      <c r="BA1684" s="3">
        <v>21</v>
      </c>
      <c r="BB1684" t="str">
        <v>P/Prod</v>
      </c>
      <c r="BC1684">
        <v>60</v>
      </c>
      <c r="BD1684" s="10">
        <v>60.8</v>
      </c>
      <c r="BE1684" s="10">
        <v>0</v>
      </c>
      <c r="BF1684" s="10">
        <v>0</v>
      </c>
      <c r="BG1684" s="13">
        <v>45678</v>
      </c>
    </row>
    <row r="1685" spans="49:59" x14ac:dyDescent="0.3">
      <c r="AW1685" s="1">
        <v>21.1</v>
      </c>
      <c r="AX1685" s="1">
        <v>21.1</v>
      </c>
      <c r="AY1685" t="str">
        <v>CP-R80_HI782-0_0.0_LOT0894_PWW.03.1_QC.xlsx</v>
      </c>
      <c r="AZ1685" t="str">
        <v>LOT0894</v>
      </c>
      <c r="BA1685" s="3">
        <v>21</v>
      </c>
      <c r="BB1685" t="str">
        <v>P/Prod</v>
      </c>
      <c r="BC1685">
        <v>60</v>
      </c>
      <c r="BD1685" s="10">
        <v>63.4</v>
      </c>
      <c r="BE1685" s="10">
        <v>0</v>
      </c>
      <c r="BF1685" s="10">
        <v>0</v>
      </c>
      <c r="BG1685" s="13">
        <v>45678</v>
      </c>
    </row>
    <row r="1686" spans="49:59" x14ac:dyDescent="0.3">
      <c r="AW1686" s="1">
        <v>21.1</v>
      </c>
      <c r="AX1686" s="1">
        <v>21.1</v>
      </c>
      <c r="AY1686" t="str">
        <v>CP-R80_HI782-0_0.0_LOT0894_PWW.03.1_QC.xlsx</v>
      </c>
      <c r="AZ1686" t="str">
        <v>LOT0894</v>
      </c>
      <c r="BA1686" s="3">
        <v>21</v>
      </c>
      <c r="BB1686" t="str">
        <v>P/Prod</v>
      </c>
      <c r="BC1686">
        <v>60</v>
      </c>
      <c r="BD1686" s="10">
        <v>60.1</v>
      </c>
      <c r="BE1686" s="10">
        <v>0</v>
      </c>
      <c r="BF1686" s="10">
        <v>0</v>
      </c>
      <c r="BG1686" s="13">
        <v>45678</v>
      </c>
    </row>
    <row r="1687" spans="49:59" x14ac:dyDescent="0.3">
      <c r="AW1687" s="1">
        <v>21.1</v>
      </c>
      <c r="AX1687" s="1">
        <v>21.1</v>
      </c>
      <c r="AY1687" t="str">
        <v>CP-R80_HI782-0_0.0_LOT0894_PWW.03.1_QC.xlsx</v>
      </c>
      <c r="AZ1687" t="str">
        <v>LOT0894</v>
      </c>
      <c r="BA1687" s="3">
        <v>21</v>
      </c>
      <c r="BB1687" t="str">
        <v>P/Prod</v>
      </c>
      <c r="BC1687">
        <v>60</v>
      </c>
      <c r="BD1687" s="10">
        <v>59.8</v>
      </c>
      <c r="BE1687" s="10">
        <v>0</v>
      </c>
      <c r="BF1687" s="10">
        <v>0</v>
      </c>
      <c r="BG1687" s="13">
        <v>45678</v>
      </c>
    </row>
    <row r="1688" spans="49:59" x14ac:dyDescent="0.3">
      <c r="AW1688" s="1">
        <v>21.1</v>
      </c>
      <c r="AX1688" s="1">
        <v>21.1</v>
      </c>
      <c r="AY1688" t="str">
        <v>CP-R80_HI782-0_0.0_LOT0894_PWW.03.1_QC.xlsx</v>
      </c>
      <c r="AZ1688" t="str">
        <v>LOT0894</v>
      </c>
      <c r="BA1688" s="3">
        <v>21</v>
      </c>
      <c r="BB1688" t="str">
        <v>P/Prod</v>
      </c>
      <c r="BC1688">
        <v>60</v>
      </c>
      <c r="BD1688" s="10">
        <v>62.1</v>
      </c>
      <c r="BE1688" s="10">
        <v>0</v>
      </c>
      <c r="BF1688" s="10">
        <v>0</v>
      </c>
      <c r="BG1688" s="13">
        <v>45678</v>
      </c>
    </row>
    <row r="1689" spans="49:59" x14ac:dyDescent="0.3">
      <c r="AW1689" s="1">
        <v>21.1</v>
      </c>
      <c r="AX1689" s="1">
        <v>21.1</v>
      </c>
      <c r="AY1689" t="str">
        <v>CP-R80_HI782-0_0.0_LOT0894_PWW.03.1_QC.xlsx</v>
      </c>
      <c r="AZ1689" t="str">
        <v>LOT0894</v>
      </c>
      <c r="BA1689" s="3">
        <v>21</v>
      </c>
      <c r="BB1689" t="str">
        <v>P/Prod</v>
      </c>
      <c r="BC1689">
        <v>60</v>
      </c>
      <c r="BD1689" s="10">
        <v>61.7</v>
      </c>
      <c r="BE1689" s="10">
        <v>0</v>
      </c>
      <c r="BF1689" s="10">
        <v>0</v>
      </c>
      <c r="BG1689" s="13">
        <v>45678</v>
      </c>
    </row>
    <row r="1690" spans="49:59" x14ac:dyDescent="0.3">
      <c r="AW1690" s="1">
        <v>21.1</v>
      </c>
      <c r="AX1690" s="1">
        <v>21.1</v>
      </c>
      <c r="AY1690" t="str">
        <v>CP-R80_HI782-0_0.0_LOT0894_PWW.03.1_QC.xlsx</v>
      </c>
      <c r="AZ1690" t="str">
        <v>LOT0894</v>
      </c>
      <c r="BA1690" s="3">
        <v>21</v>
      </c>
      <c r="BB1690" t="str">
        <v>P/Prod</v>
      </c>
      <c r="BC1690">
        <v>60</v>
      </c>
      <c r="BD1690" s="10">
        <v>62</v>
      </c>
      <c r="BE1690" s="10">
        <v>0</v>
      </c>
      <c r="BF1690" s="10">
        <v>0</v>
      </c>
      <c r="BG1690" s="13">
        <v>45678</v>
      </c>
    </row>
    <row r="1691" spans="49:59" x14ac:dyDescent="0.3">
      <c r="AW1691" s="1">
        <v>21.1</v>
      </c>
      <c r="AX1691" s="1">
        <v>21.1</v>
      </c>
      <c r="AY1691" t="str">
        <v>CP-R80_HI782-0_0.0_LOT0894_PWW.03.1_QC.xlsx</v>
      </c>
      <c r="AZ1691" t="str">
        <v>LOT0894</v>
      </c>
      <c r="BA1691" s="3">
        <v>21</v>
      </c>
      <c r="BB1691" t="str">
        <v>P/Prod</v>
      </c>
      <c r="BC1691">
        <v>60</v>
      </c>
      <c r="BD1691" s="10">
        <v>64.2</v>
      </c>
      <c r="BE1691" s="10">
        <v>0</v>
      </c>
      <c r="BF1691" s="10">
        <v>0</v>
      </c>
      <c r="BG1691" s="13">
        <v>45678</v>
      </c>
    </row>
    <row r="1692" spans="49:59" x14ac:dyDescent="0.3">
      <c r="AW1692" s="1">
        <v>21.1</v>
      </c>
      <c r="AX1692" s="1">
        <v>21.1</v>
      </c>
      <c r="AY1692" t="str">
        <v>CP-R80_HI782-0_0.0_LOT0894_PWW.03.1_QC.xlsx</v>
      </c>
      <c r="AZ1692" t="str">
        <v>LOT0894</v>
      </c>
      <c r="BA1692" s="3">
        <v>21</v>
      </c>
      <c r="BB1692" t="str">
        <v>P/Prod</v>
      </c>
      <c r="BC1692">
        <v>60</v>
      </c>
      <c r="BD1692" s="10">
        <v>60.9</v>
      </c>
      <c r="BE1692" s="10">
        <v>0</v>
      </c>
      <c r="BF1692" s="10">
        <v>0</v>
      </c>
      <c r="BG1692" s="13">
        <v>45678</v>
      </c>
    </row>
    <row r="1693" spans="49:59" x14ac:dyDescent="0.3">
      <c r="AW1693" s="1">
        <v>21.1</v>
      </c>
      <c r="AX1693" s="1">
        <v>21.1</v>
      </c>
      <c r="AY1693" t="str">
        <v>CP-R80_HI782-0_0.0_LOT0894_PWW.03.1_QC.xlsx</v>
      </c>
      <c r="AZ1693" t="str">
        <v>LOT0894</v>
      </c>
      <c r="BA1693" s="3">
        <v>21</v>
      </c>
      <c r="BB1693" t="str">
        <v>P/Prod</v>
      </c>
      <c r="BC1693">
        <v>60</v>
      </c>
      <c r="BD1693" s="10">
        <v>62.8</v>
      </c>
      <c r="BE1693" s="10">
        <v>0</v>
      </c>
      <c r="BF1693" s="10">
        <v>0</v>
      </c>
      <c r="BG1693" s="13">
        <v>45678</v>
      </c>
    </row>
    <row r="1694" spans="49:59" x14ac:dyDescent="0.3">
      <c r="AW1694" s="1">
        <v>21.1</v>
      </c>
      <c r="AX1694" s="1">
        <v>21.1</v>
      </c>
      <c r="AY1694" t="str">
        <v>CP-R80_HI782-0_0.0_LOT0894_PWW.03.1_QC.xlsx</v>
      </c>
      <c r="AZ1694" t="str">
        <v>LOT0894</v>
      </c>
      <c r="BA1694" s="3">
        <v>21</v>
      </c>
      <c r="BB1694" t="str">
        <v>P/Prod</v>
      </c>
      <c r="BC1694">
        <v>60</v>
      </c>
      <c r="BD1694" s="10">
        <v>58.3</v>
      </c>
      <c r="BE1694" s="10">
        <v>0</v>
      </c>
      <c r="BF1694" s="10">
        <v>0</v>
      </c>
      <c r="BG1694" s="13">
        <v>45678</v>
      </c>
    </row>
    <row r="1695" spans="49:59" x14ac:dyDescent="0.3">
      <c r="AW1695" s="1">
        <v>21.1</v>
      </c>
      <c r="AX1695" s="1">
        <v>21.1</v>
      </c>
      <c r="AY1695" t="str">
        <v>CP-R80_HI782-0_0.0_LOT0894_PWW.03.1_QC.xlsx</v>
      </c>
      <c r="AZ1695" t="str">
        <v>LOT0894</v>
      </c>
      <c r="BA1695" s="3">
        <v>21</v>
      </c>
      <c r="BB1695" t="str">
        <v>P/Prod</v>
      </c>
      <c r="BC1695">
        <v>60</v>
      </c>
      <c r="BD1695" s="10">
        <v>60.2</v>
      </c>
      <c r="BE1695" s="10">
        <v>0</v>
      </c>
      <c r="BF1695" s="10">
        <v>0</v>
      </c>
      <c r="BG1695" s="13">
        <v>45678</v>
      </c>
    </row>
    <row r="1696" spans="49:59" x14ac:dyDescent="0.3">
      <c r="AW1696" s="1">
        <v>21.1</v>
      </c>
      <c r="AX1696" s="1">
        <v>21.1</v>
      </c>
      <c r="AY1696" t="str">
        <v>CP-R80_HI782-0_0.0_LOT0894_PWW.03.1_QC.xlsx</v>
      </c>
      <c r="AZ1696" t="str">
        <v>LOT0894</v>
      </c>
      <c r="BA1696" s="3">
        <v>21</v>
      </c>
      <c r="BB1696" t="str">
        <v>P/Prod</v>
      </c>
      <c r="BC1696">
        <v>60</v>
      </c>
      <c r="BD1696" s="10">
        <v>59</v>
      </c>
      <c r="BE1696" s="10">
        <v>0</v>
      </c>
      <c r="BF1696" s="10">
        <v>0</v>
      </c>
      <c r="BG1696" s="13">
        <v>45678</v>
      </c>
    </row>
    <row r="1697" spans="49:59" x14ac:dyDescent="0.3">
      <c r="AW1697" s="1">
        <v>22.1</v>
      </c>
      <c r="AX1697" s="1">
        <v>22.1</v>
      </c>
      <c r="AY1697" t="str">
        <v>CP-R80_HI782-0_0.0_LOT0898_PWW.04.1_QC.xlsx</v>
      </c>
      <c r="AZ1697" t="str">
        <v>LOT0898</v>
      </c>
      <c r="BA1697" s="3">
        <v>22</v>
      </c>
      <c r="BB1697" t="str">
        <v>P/Prod</v>
      </c>
      <c r="BC1697">
        <v>0</v>
      </c>
      <c r="BD1697" s="10">
        <v>0</v>
      </c>
      <c r="BE1697" s="10">
        <v>0</v>
      </c>
      <c r="BF1697" s="10">
        <v>0</v>
      </c>
      <c r="BG1697" s="13">
        <v>45679</v>
      </c>
    </row>
    <row r="1698" spans="49:59" x14ac:dyDescent="0.3">
      <c r="AW1698" s="1">
        <v>22.1</v>
      </c>
      <c r="AX1698" s="1">
        <v>22.1</v>
      </c>
      <c r="AY1698" t="str">
        <v>CP-R80_HI782-0_0.0_LOT0898_PWW.04.1_QC.xlsx</v>
      </c>
      <c r="AZ1698" t="str">
        <v>LOT0898</v>
      </c>
      <c r="BA1698" s="3">
        <v>22</v>
      </c>
      <c r="BB1698" t="str">
        <v>P/Prod</v>
      </c>
      <c r="BC1698">
        <v>0</v>
      </c>
      <c r="BD1698" s="10">
        <v>0</v>
      </c>
      <c r="BE1698" s="10">
        <v>0</v>
      </c>
      <c r="BF1698" s="10">
        <v>0</v>
      </c>
      <c r="BG1698" s="13">
        <v>45679</v>
      </c>
    </row>
    <row r="1699" spans="49:59" x14ac:dyDescent="0.3">
      <c r="AW1699" s="1">
        <v>22.1</v>
      </c>
      <c r="AX1699" s="1">
        <v>22.1</v>
      </c>
      <c r="AY1699" t="str">
        <v>CP-R80_HI782-0_0.0_LOT0898_PWW.04.1_QC.xlsx</v>
      </c>
      <c r="AZ1699" t="str">
        <v>LOT0898</v>
      </c>
      <c r="BA1699" s="3">
        <v>22</v>
      </c>
      <c r="BB1699" t="str">
        <v>P/Prod</v>
      </c>
      <c r="BC1699">
        <v>0</v>
      </c>
      <c r="BD1699" s="10">
        <v>0</v>
      </c>
      <c r="BE1699" s="10">
        <v>0</v>
      </c>
      <c r="BF1699" s="10">
        <v>0</v>
      </c>
      <c r="BG1699" s="13">
        <v>45679</v>
      </c>
    </row>
    <row r="1700" spans="49:59" x14ac:dyDescent="0.3">
      <c r="AW1700" s="1">
        <v>22.1</v>
      </c>
      <c r="AX1700" s="1">
        <v>22.1</v>
      </c>
      <c r="AY1700" t="str">
        <v>CP-R80_HI782-0_0.0_LOT0898_PWW.04.1_QC.xlsx</v>
      </c>
      <c r="AZ1700" t="str">
        <v>LOT0898</v>
      </c>
      <c r="BA1700" s="3">
        <v>22</v>
      </c>
      <c r="BB1700" t="str">
        <v>P/Prod</v>
      </c>
      <c r="BC1700">
        <v>0</v>
      </c>
      <c r="BD1700" s="10">
        <v>0</v>
      </c>
      <c r="BE1700" s="10">
        <v>0</v>
      </c>
      <c r="BF1700" s="10">
        <v>0</v>
      </c>
      <c r="BG1700" s="13">
        <v>45679</v>
      </c>
    </row>
    <row r="1701" spans="49:59" x14ac:dyDescent="0.3">
      <c r="AW1701" s="1">
        <v>22.1</v>
      </c>
      <c r="AX1701" s="1">
        <v>22.1</v>
      </c>
      <c r="AY1701" t="str">
        <v>CP-R80_HI782-0_0.0_LOT0898_PWW.04.1_QC.xlsx</v>
      </c>
      <c r="AZ1701" t="str">
        <v>LOT0898</v>
      </c>
      <c r="BA1701" s="3">
        <v>22</v>
      </c>
      <c r="BB1701" t="str">
        <v>P/Prod</v>
      </c>
      <c r="BC1701">
        <v>0</v>
      </c>
      <c r="BD1701" s="10">
        <v>0</v>
      </c>
      <c r="BE1701" s="10">
        <v>0</v>
      </c>
      <c r="BF1701" s="10">
        <v>0</v>
      </c>
      <c r="BG1701" s="13">
        <v>45679</v>
      </c>
    </row>
    <row r="1702" spans="49:59" x14ac:dyDescent="0.3">
      <c r="AW1702" s="1">
        <v>22.1</v>
      </c>
      <c r="AX1702" s="1">
        <v>22.1</v>
      </c>
      <c r="AY1702" t="str">
        <v>CP-R80_HI782-0_0.0_LOT0898_PWW.04.1_QC.xlsx</v>
      </c>
      <c r="AZ1702" t="str">
        <v>LOT0898</v>
      </c>
      <c r="BA1702" s="3">
        <v>22</v>
      </c>
      <c r="BB1702" t="str">
        <v>P/Prod</v>
      </c>
      <c r="BC1702">
        <v>0</v>
      </c>
      <c r="BD1702" s="10">
        <v>0</v>
      </c>
      <c r="BE1702" s="10">
        <v>0</v>
      </c>
      <c r="BF1702" s="10">
        <v>0</v>
      </c>
      <c r="BG1702" s="13">
        <v>45679</v>
      </c>
    </row>
    <row r="1703" spans="49:59" x14ac:dyDescent="0.3">
      <c r="AW1703" s="1">
        <v>22.1</v>
      </c>
      <c r="AX1703" s="1">
        <v>22.1</v>
      </c>
      <c r="AY1703" t="str">
        <v>CP-R80_HI782-0_0.0_LOT0898_PWW.04.1_QC.xlsx</v>
      </c>
      <c r="AZ1703" t="str">
        <v>LOT0898</v>
      </c>
      <c r="BA1703" s="3">
        <v>22</v>
      </c>
      <c r="BB1703" t="str">
        <v>P/Prod</v>
      </c>
      <c r="BC1703">
        <v>0</v>
      </c>
      <c r="BD1703" s="10">
        <v>0</v>
      </c>
      <c r="BE1703" s="10">
        <v>0</v>
      </c>
      <c r="BF1703" s="10">
        <v>0</v>
      </c>
      <c r="BG1703" s="13">
        <v>45679</v>
      </c>
    </row>
    <row r="1704" spans="49:59" x14ac:dyDescent="0.3">
      <c r="AW1704" s="1">
        <v>21.1</v>
      </c>
      <c r="AX1704" s="1">
        <v>21.1</v>
      </c>
      <c r="AY1704" t="str">
        <v>CP-R80_HI782-0_0.0_LOT0894_PWW.03.1_QC.xlsx</v>
      </c>
      <c r="AZ1704" t="str">
        <v>LOT0894</v>
      </c>
      <c r="BA1704" s="3">
        <v>21</v>
      </c>
      <c r="BB1704" t="str">
        <v>P/Prod</v>
      </c>
      <c r="BC1704">
        <v>0</v>
      </c>
      <c r="BD1704" s="10">
        <v>0</v>
      </c>
      <c r="BE1704" s="10">
        <v>0</v>
      </c>
      <c r="BF1704" s="10">
        <v>0</v>
      </c>
      <c r="BG1704" s="13">
        <v>45679</v>
      </c>
    </row>
    <row r="1705" spans="49:59" x14ac:dyDescent="0.3">
      <c r="AW1705" s="1">
        <v>21.1</v>
      </c>
      <c r="AX1705" s="1">
        <v>21.1</v>
      </c>
      <c r="AY1705" t="str">
        <v>CP-R80_HI782-0_0.0_LOT0894_PWW.03.1_QC.xlsx</v>
      </c>
      <c r="AZ1705" t="str">
        <v>LOT0894</v>
      </c>
      <c r="BA1705" s="3">
        <v>21</v>
      </c>
      <c r="BB1705" t="str">
        <v>P/Prod</v>
      </c>
      <c r="BC1705">
        <v>0</v>
      </c>
      <c r="BD1705" s="10">
        <v>0</v>
      </c>
      <c r="BE1705" s="10">
        <v>0</v>
      </c>
      <c r="BF1705" s="10">
        <v>0</v>
      </c>
      <c r="BG1705" s="13">
        <v>45679</v>
      </c>
    </row>
    <row r="1706" spans="49:59" x14ac:dyDescent="0.3">
      <c r="AW1706" s="1">
        <v>22.1</v>
      </c>
      <c r="AX1706" s="1">
        <v>22.1</v>
      </c>
      <c r="AY1706" t="str">
        <v>CP-R80_HI782-0_0.0_LOT0898_PWW.04.1_QC.xlsx</v>
      </c>
      <c r="AZ1706" t="str">
        <v>LOT0898</v>
      </c>
      <c r="BA1706" s="3">
        <v>22</v>
      </c>
      <c r="BB1706" t="str">
        <v>P/Prod</v>
      </c>
      <c r="BC1706">
        <v>0</v>
      </c>
      <c r="BD1706" s="10">
        <v>0</v>
      </c>
      <c r="BE1706" s="10">
        <v>0</v>
      </c>
      <c r="BF1706" s="10">
        <v>0</v>
      </c>
      <c r="BG1706" s="13">
        <v>45679</v>
      </c>
    </row>
    <row r="1707" spans="49:59" x14ac:dyDescent="0.3">
      <c r="AW1707" s="1">
        <v>22.1</v>
      </c>
      <c r="AX1707" s="1">
        <v>22.1</v>
      </c>
      <c r="AY1707" t="str">
        <v>CP-R80_HI782-0_0.0_LOT0898_PWW.04.1_QC.xlsx</v>
      </c>
      <c r="AZ1707" t="str">
        <v>LOT0898</v>
      </c>
      <c r="BA1707" s="3">
        <v>22</v>
      </c>
      <c r="BB1707" t="str">
        <v>P/Prod</v>
      </c>
      <c r="BC1707">
        <v>0</v>
      </c>
      <c r="BD1707" s="10">
        <v>0</v>
      </c>
      <c r="BE1707" s="10">
        <v>0</v>
      </c>
      <c r="BF1707" s="10">
        <v>0</v>
      </c>
      <c r="BG1707" s="13">
        <v>45679</v>
      </c>
    </row>
    <row r="1708" spans="49:59" x14ac:dyDescent="0.3">
      <c r="AW1708" s="1">
        <v>22.1</v>
      </c>
      <c r="AX1708" s="1">
        <v>22.1</v>
      </c>
      <c r="AY1708" t="str">
        <v>CP-R80_HI782-0_0.0_LOT0898_PWW.04.1_QC.xlsx</v>
      </c>
      <c r="AZ1708" t="str">
        <v>LOT0898</v>
      </c>
      <c r="BA1708" s="3">
        <v>22</v>
      </c>
      <c r="BB1708" t="str">
        <v>P/Prod</v>
      </c>
      <c r="BC1708">
        <v>0</v>
      </c>
      <c r="BD1708" s="10">
        <v>0</v>
      </c>
      <c r="BE1708" s="10">
        <v>0</v>
      </c>
      <c r="BF1708" s="10">
        <v>0</v>
      </c>
      <c r="BG1708" s="13">
        <v>45679</v>
      </c>
    </row>
    <row r="1709" spans="49:59" x14ac:dyDescent="0.3">
      <c r="AW1709" s="1">
        <v>22.1</v>
      </c>
      <c r="AX1709" s="1">
        <v>22.1</v>
      </c>
      <c r="AY1709" t="str">
        <v>CP-R80_HI782-0_0.0_LOT0898_PWW.04.1_QC.xlsx</v>
      </c>
      <c r="AZ1709" t="str">
        <v>LOT0898</v>
      </c>
      <c r="BA1709" s="3">
        <v>22</v>
      </c>
      <c r="BB1709" t="str">
        <v>P/Prod</v>
      </c>
      <c r="BC1709">
        <v>0</v>
      </c>
      <c r="BD1709" s="10">
        <v>0</v>
      </c>
      <c r="BE1709" s="10">
        <v>0</v>
      </c>
      <c r="BF1709" s="10">
        <v>0</v>
      </c>
      <c r="BG1709" s="13">
        <v>45679</v>
      </c>
    </row>
    <row r="1710" spans="49:59" x14ac:dyDescent="0.3">
      <c r="AW1710" s="1">
        <v>22.1</v>
      </c>
      <c r="AX1710" s="1">
        <v>22.1</v>
      </c>
      <c r="AY1710" t="str">
        <v>CP-R80_HI782-0_0.0_LOT0898_PWW.04.1_QC.xlsx</v>
      </c>
      <c r="AZ1710" t="str">
        <v>LOT0898</v>
      </c>
      <c r="BA1710" s="3">
        <v>22</v>
      </c>
      <c r="BB1710" t="str">
        <v>P/Prod</v>
      </c>
      <c r="BC1710">
        <v>0</v>
      </c>
      <c r="BD1710" s="10">
        <v>0</v>
      </c>
      <c r="BE1710" s="10">
        <v>0</v>
      </c>
      <c r="BF1710" s="10">
        <v>0</v>
      </c>
      <c r="BG1710" s="13">
        <v>45679</v>
      </c>
    </row>
    <row r="1711" spans="49:59" x14ac:dyDescent="0.3">
      <c r="AW1711" s="1">
        <v>22.1</v>
      </c>
      <c r="AX1711" s="1">
        <v>22.1</v>
      </c>
      <c r="AY1711" t="str">
        <v>CP-R80_HI782-0_0.0_LOT0898_PWW.04.1_QC.xlsx</v>
      </c>
      <c r="AZ1711" t="str">
        <v>LOT0898</v>
      </c>
      <c r="BA1711" s="3">
        <v>22</v>
      </c>
      <c r="BB1711" t="str">
        <v>P/Prod</v>
      </c>
      <c r="BC1711">
        <v>0</v>
      </c>
      <c r="BD1711" s="10">
        <v>0</v>
      </c>
      <c r="BE1711" s="10">
        <v>0</v>
      </c>
      <c r="BF1711" s="10">
        <v>0</v>
      </c>
      <c r="BG1711" s="13">
        <v>45679</v>
      </c>
    </row>
    <row r="1712" spans="49:59" x14ac:dyDescent="0.3">
      <c r="AW1712" s="1">
        <v>22.1</v>
      </c>
      <c r="AX1712" s="1">
        <v>22.1</v>
      </c>
      <c r="AY1712" t="str">
        <v>CP-R80_HI782-0_0.0_LOT0898_PWW.04.1_QC.xlsx</v>
      </c>
      <c r="AZ1712" t="str">
        <v>LOT0898</v>
      </c>
      <c r="BA1712" s="3">
        <v>22</v>
      </c>
      <c r="BB1712" t="str">
        <v>P/Prod</v>
      </c>
      <c r="BC1712">
        <v>0</v>
      </c>
      <c r="BD1712" s="10">
        <v>0</v>
      </c>
      <c r="BE1712" s="10">
        <v>0</v>
      </c>
      <c r="BF1712" s="10">
        <v>0</v>
      </c>
      <c r="BG1712" s="13">
        <v>45679</v>
      </c>
    </row>
    <row r="1713" spans="49:59" x14ac:dyDescent="0.3">
      <c r="AW1713" s="1">
        <v>21.1</v>
      </c>
      <c r="AX1713" s="1">
        <v>21.1</v>
      </c>
      <c r="AY1713" t="str">
        <v>CP-R80_HI782-0_0.0_LOT0894_PWW.03.1_QC.xlsx</v>
      </c>
      <c r="AZ1713" t="str">
        <v>LOT0894</v>
      </c>
      <c r="BA1713" s="3">
        <v>21</v>
      </c>
      <c r="BB1713" t="str">
        <v>P/Prod</v>
      </c>
      <c r="BC1713">
        <v>15</v>
      </c>
      <c r="BD1713" s="10">
        <v>15.5</v>
      </c>
      <c r="BE1713" s="10">
        <v>0</v>
      </c>
      <c r="BF1713" s="10">
        <v>0</v>
      </c>
      <c r="BG1713" s="13">
        <v>45679</v>
      </c>
    </row>
    <row r="1714" spans="49:59" x14ac:dyDescent="0.3">
      <c r="AW1714" s="1">
        <v>22.1</v>
      </c>
      <c r="AX1714" s="1">
        <v>22.1</v>
      </c>
      <c r="AY1714" t="str">
        <v>CP-R80_HI782-0_0.0_LOT0898_PWW.04.1_QC.xlsx</v>
      </c>
      <c r="AZ1714" t="str">
        <v>LOT0898</v>
      </c>
      <c r="BA1714" s="3">
        <v>22</v>
      </c>
      <c r="BB1714" t="str">
        <v>P/Prod</v>
      </c>
      <c r="BC1714">
        <v>15</v>
      </c>
      <c r="BD1714" s="10">
        <v>14.5</v>
      </c>
      <c r="BE1714" s="10">
        <v>0</v>
      </c>
      <c r="BF1714" s="10">
        <v>0</v>
      </c>
      <c r="BG1714" s="13">
        <v>45679</v>
      </c>
    </row>
    <row r="1715" spans="49:59" x14ac:dyDescent="0.3">
      <c r="AW1715" s="1">
        <v>22.1</v>
      </c>
      <c r="AX1715" s="1">
        <v>22.1</v>
      </c>
      <c r="AY1715" t="str">
        <v>CP-R80_HI782-0_0.0_LOT0898_PWW.04.1_QC.xlsx</v>
      </c>
      <c r="AZ1715" t="str">
        <v>LOT0898</v>
      </c>
      <c r="BA1715" s="3">
        <v>22</v>
      </c>
      <c r="BB1715" t="str">
        <v>P/Prod</v>
      </c>
      <c r="BC1715">
        <v>15</v>
      </c>
      <c r="BD1715" s="10">
        <v>13.9</v>
      </c>
      <c r="BE1715" s="10">
        <v>0</v>
      </c>
      <c r="BF1715" s="10">
        <v>0</v>
      </c>
      <c r="BG1715" s="13">
        <v>45679</v>
      </c>
    </row>
    <row r="1716" spans="49:59" x14ac:dyDescent="0.3">
      <c r="AW1716" s="1">
        <v>22.1</v>
      </c>
      <c r="AX1716" s="1">
        <v>22.1</v>
      </c>
      <c r="AY1716" t="str">
        <v>CP-R80_HI782-0_0.0_LOT0898_PWW.04.1_QC.xlsx</v>
      </c>
      <c r="AZ1716" t="str">
        <v>LOT0898</v>
      </c>
      <c r="BA1716" s="3">
        <v>22</v>
      </c>
      <c r="BB1716" t="str">
        <v>P/Prod</v>
      </c>
      <c r="BC1716">
        <v>15</v>
      </c>
      <c r="BD1716" s="10">
        <v>14.6</v>
      </c>
      <c r="BE1716" s="10">
        <v>0</v>
      </c>
      <c r="BF1716" s="10">
        <v>0</v>
      </c>
      <c r="BG1716" s="13">
        <v>45679</v>
      </c>
    </row>
    <row r="1717" spans="49:59" x14ac:dyDescent="0.3">
      <c r="AW1717" s="1">
        <v>22.1</v>
      </c>
      <c r="AX1717" s="1">
        <v>22.1</v>
      </c>
      <c r="AY1717" t="str">
        <v>CP-R80_HI782-0_0.0_LOT0898_PWW.04.1_QC.xlsx</v>
      </c>
      <c r="AZ1717" t="str">
        <v>LOT0898</v>
      </c>
      <c r="BA1717" s="3">
        <v>22</v>
      </c>
      <c r="BB1717" t="str">
        <v>P/Prod</v>
      </c>
      <c r="BC1717">
        <v>15</v>
      </c>
      <c r="BD1717" s="10">
        <v>13.7</v>
      </c>
      <c r="BE1717" s="10">
        <v>0</v>
      </c>
      <c r="BF1717" s="10">
        <v>0</v>
      </c>
      <c r="BG1717" s="13">
        <v>45679</v>
      </c>
    </row>
    <row r="1718" spans="49:59" x14ac:dyDescent="0.3">
      <c r="AW1718" s="1">
        <v>22.1</v>
      </c>
      <c r="AX1718" s="1">
        <v>22.1</v>
      </c>
      <c r="AY1718" t="str">
        <v>CP-R80_HI782-0_0.0_LOT0898_PWW.04.1_QC.xlsx</v>
      </c>
      <c r="AZ1718" t="str">
        <v>LOT0898</v>
      </c>
      <c r="BA1718" s="3">
        <v>22</v>
      </c>
      <c r="BB1718" t="str">
        <v>P/Prod</v>
      </c>
      <c r="BC1718">
        <v>15</v>
      </c>
      <c r="BD1718" s="10">
        <v>13.7</v>
      </c>
      <c r="BE1718" s="10">
        <v>0</v>
      </c>
      <c r="BF1718" s="10">
        <v>0</v>
      </c>
      <c r="BG1718" s="13">
        <v>45679</v>
      </c>
    </row>
    <row r="1719" spans="49:59" x14ac:dyDescent="0.3">
      <c r="AW1719" s="1">
        <v>22.1</v>
      </c>
      <c r="AX1719" s="1">
        <v>22.1</v>
      </c>
      <c r="AY1719" t="str">
        <v>CP-R80_HI782-0_0.0_LOT0898_PWW.04.1_QC.xlsx</v>
      </c>
      <c r="AZ1719" t="str">
        <v>LOT0898</v>
      </c>
      <c r="BA1719" s="3">
        <v>22</v>
      </c>
      <c r="BB1719" t="str">
        <v>P/Prod</v>
      </c>
      <c r="BC1719">
        <v>15</v>
      </c>
      <c r="BD1719" s="10">
        <v>14.3</v>
      </c>
      <c r="BE1719" s="10">
        <v>0</v>
      </c>
      <c r="BF1719" s="10">
        <v>0</v>
      </c>
      <c r="BG1719" s="13">
        <v>45679</v>
      </c>
    </row>
    <row r="1720" spans="49:59" x14ac:dyDescent="0.3">
      <c r="AW1720" s="1">
        <v>22.1</v>
      </c>
      <c r="AX1720" s="1">
        <v>22.1</v>
      </c>
      <c r="AY1720" t="str">
        <v>CP-R80_HI782-0_0.0_LOT0898_PWW.04.1_QC.xlsx</v>
      </c>
      <c r="AZ1720" t="str">
        <v>LOT0898</v>
      </c>
      <c r="BA1720" s="3">
        <v>22</v>
      </c>
      <c r="BB1720" t="str">
        <v>P/Prod</v>
      </c>
      <c r="BC1720">
        <v>15</v>
      </c>
      <c r="BD1720" s="10">
        <v>16.899999999999999</v>
      </c>
      <c r="BE1720" s="10">
        <v>0</v>
      </c>
      <c r="BF1720" s="10">
        <v>0</v>
      </c>
      <c r="BG1720" s="13">
        <v>45679</v>
      </c>
    </row>
    <row r="1721" spans="49:59" x14ac:dyDescent="0.3">
      <c r="AW1721" s="1">
        <v>22.1</v>
      </c>
      <c r="AX1721" s="1">
        <v>22.1</v>
      </c>
      <c r="AY1721" t="str">
        <v>CP-R80_HI782-0_0.0_LOT0898_PWW.04.1_QC.xlsx</v>
      </c>
      <c r="AZ1721" t="str">
        <v>LOT0898</v>
      </c>
      <c r="BA1721" s="3">
        <v>22</v>
      </c>
      <c r="BB1721" t="str">
        <v>P/Prod</v>
      </c>
      <c r="BC1721">
        <v>15</v>
      </c>
      <c r="BD1721" s="10">
        <v>17.2</v>
      </c>
      <c r="BE1721" s="10">
        <v>0</v>
      </c>
      <c r="BF1721" s="10">
        <v>0</v>
      </c>
      <c r="BG1721" s="13">
        <v>45679</v>
      </c>
    </row>
    <row r="1722" spans="49:59" x14ac:dyDescent="0.3">
      <c r="AW1722" s="1">
        <v>22.1</v>
      </c>
      <c r="AX1722" s="1">
        <v>22.1</v>
      </c>
      <c r="AY1722" t="str">
        <v>CP-R80_HI782-0_0.0_LOT0898_PWW.04.1_QC.xlsx</v>
      </c>
      <c r="AZ1722" t="str">
        <v>LOT0898</v>
      </c>
      <c r="BA1722" s="3">
        <v>22</v>
      </c>
      <c r="BB1722" t="str">
        <v>P/Prod</v>
      </c>
      <c r="BC1722">
        <v>15</v>
      </c>
      <c r="BD1722" s="10">
        <v>16.2</v>
      </c>
      <c r="BE1722" s="10">
        <v>0</v>
      </c>
      <c r="BF1722" s="10">
        <v>0</v>
      </c>
      <c r="BG1722" s="13">
        <v>45679</v>
      </c>
    </row>
    <row r="1723" spans="49:59" x14ac:dyDescent="0.3">
      <c r="AW1723" s="1">
        <v>22.1</v>
      </c>
      <c r="AX1723" s="1">
        <v>22.1</v>
      </c>
      <c r="AY1723" t="str">
        <v>CP-R80_HI782-0_0.0_LOT0898_PWW.04.1_QC.xlsx</v>
      </c>
      <c r="AZ1723" t="str">
        <v>LOT0898</v>
      </c>
      <c r="BA1723" s="3">
        <v>22</v>
      </c>
      <c r="BB1723" t="str">
        <v>P/Prod</v>
      </c>
      <c r="BC1723">
        <v>15</v>
      </c>
      <c r="BD1723" s="10">
        <v>17.100000000000001</v>
      </c>
      <c r="BE1723" s="10">
        <v>0</v>
      </c>
      <c r="BF1723" s="10">
        <v>0</v>
      </c>
      <c r="BG1723" s="13">
        <v>45679</v>
      </c>
    </row>
    <row r="1724" spans="49:59" x14ac:dyDescent="0.3">
      <c r="AW1724" s="1">
        <v>22.1</v>
      </c>
      <c r="AX1724" s="1">
        <v>22.1</v>
      </c>
      <c r="AY1724" t="str">
        <v>CP-R80_HI782-0_0.0_LOT0898_PWW.04.1_QC.xlsx</v>
      </c>
      <c r="AZ1724" t="str">
        <v>LOT0898</v>
      </c>
      <c r="BA1724" s="3">
        <v>22</v>
      </c>
      <c r="BB1724" t="str">
        <v>P/Prod</v>
      </c>
      <c r="BC1724">
        <v>15</v>
      </c>
      <c r="BD1724" s="10">
        <v>16.2</v>
      </c>
      <c r="BE1724" s="10">
        <v>0</v>
      </c>
      <c r="BF1724" s="10">
        <v>0</v>
      </c>
      <c r="BG1724" s="13">
        <v>45679</v>
      </c>
    </row>
    <row r="1725" spans="49:59" x14ac:dyDescent="0.3">
      <c r="AW1725" s="1">
        <v>22.1</v>
      </c>
      <c r="AX1725" s="1">
        <v>22.1</v>
      </c>
      <c r="AY1725" t="str">
        <v>CP-R80_HI782-0_0.0_LOT0898_PWW.04.1_QC.xlsx</v>
      </c>
      <c r="AZ1725" t="str">
        <v>LOT0898</v>
      </c>
      <c r="BA1725" s="3">
        <v>22</v>
      </c>
      <c r="BB1725" t="str">
        <v>P/Prod</v>
      </c>
      <c r="BC1725">
        <v>15</v>
      </c>
      <c r="BD1725" s="10">
        <v>15.8</v>
      </c>
      <c r="BE1725" s="10">
        <v>0</v>
      </c>
      <c r="BF1725" s="10">
        <v>0</v>
      </c>
      <c r="BG1725" s="13">
        <v>45679</v>
      </c>
    </row>
    <row r="1726" spans="49:59" x14ac:dyDescent="0.3">
      <c r="AW1726" s="1">
        <v>22.1</v>
      </c>
      <c r="AX1726" s="1">
        <v>22.1</v>
      </c>
      <c r="AY1726" t="str">
        <v>CP-R80_HI782-0_0.0_LOT0898_PWW.04.1_QC.xlsx</v>
      </c>
      <c r="AZ1726" t="str">
        <v>LOT0898</v>
      </c>
      <c r="BA1726" s="3">
        <v>22</v>
      </c>
      <c r="BB1726" t="str">
        <v>P/Prod</v>
      </c>
      <c r="BC1726">
        <v>15</v>
      </c>
      <c r="BD1726" s="10">
        <v>14.8</v>
      </c>
      <c r="BE1726" s="10">
        <v>0</v>
      </c>
      <c r="BF1726" s="10">
        <v>0</v>
      </c>
      <c r="BG1726" s="13">
        <v>45679</v>
      </c>
    </row>
    <row r="1727" spans="49:59" x14ac:dyDescent="0.3">
      <c r="AW1727" s="1">
        <v>22.1</v>
      </c>
      <c r="AX1727" s="1">
        <v>22.1</v>
      </c>
      <c r="AY1727" t="str">
        <v>CP-R80_HI782-0_0.0_LOT0898_PWW.04.1_QC.xlsx</v>
      </c>
      <c r="AZ1727" t="str">
        <v>LOT0898</v>
      </c>
      <c r="BA1727" s="3">
        <v>22</v>
      </c>
      <c r="BB1727" t="str">
        <v>P/Prod</v>
      </c>
      <c r="BC1727">
        <v>15</v>
      </c>
      <c r="BD1727" s="10">
        <v>14.3</v>
      </c>
      <c r="BE1727" s="10">
        <v>0</v>
      </c>
      <c r="BF1727" s="10">
        <v>0</v>
      </c>
      <c r="BG1727" s="13">
        <v>45679</v>
      </c>
    </row>
    <row r="1728" spans="49:59" x14ac:dyDescent="0.3">
      <c r="AW1728" s="1">
        <v>21.1</v>
      </c>
      <c r="AX1728" s="1">
        <v>21.1</v>
      </c>
      <c r="AY1728" t="str">
        <v>CP-R80_HI782-0_0.0_LOT0894_PWW.03.1_QC.xlsx</v>
      </c>
      <c r="AZ1728" t="str">
        <v>LOT0894</v>
      </c>
      <c r="BA1728" s="3">
        <v>21</v>
      </c>
      <c r="BB1728" t="str">
        <v>P/Prod</v>
      </c>
      <c r="BC1728">
        <v>15</v>
      </c>
      <c r="BD1728" s="10">
        <v>15</v>
      </c>
      <c r="BE1728" s="10">
        <v>0</v>
      </c>
      <c r="BF1728" s="10">
        <v>0</v>
      </c>
      <c r="BG1728" s="13">
        <v>45679</v>
      </c>
    </row>
    <row r="1729" spans="49:59" x14ac:dyDescent="0.3">
      <c r="AW1729" s="1">
        <v>22.1</v>
      </c>
      <c r="AX1729" s="1">
        <v>22.1</v>
      </c>
      <c r="AY1729" t="str">
        <v>CP-R80_HI782-0_0.0_LOT0898_PWW.04.1_QC.xlsx</v>
      </c>
      <c r="AZ1729" t="str">
        <v>LOT0898</v>
      </c>
      <c r="BA1729" s="3">
        <v>22</v>
      </c>
      <c r="BB1729" t="str">
        <v>P/Prod</v>
      </c>
      <c r="BC1729">
        <v>15</v>
      </c>
      <c r="BD1729" s="10">
        <v>14.7</v>
      </c>
      <c r="BE1729" s="10">
        <v>0</v>
      </c>
      <c r="BF1729" s="10">
        <v>0</v>
      </c>
      <c r="BG1729" s="13">
        <v>45679</v>
      </c>
    </row>
    <row r="1730" spans="49:59" x14ac:dyDescent="0.3">
      <c r="AW1730" s="1">
        <v>22.1</v>
      </c>
      <c r="AX1730" s="1">
        <v>22.1</v>
      </c>
      <c r="AY1730" t="str">
        <v>CP-R80_HI782-0_0.0_LOT0898_PWW.04.1_QC.xlsx</v>
      </c>
      <c r="AZ1730" t="str">
        <v>LOT0898</v>
      </c>
      <c r="BA1730" s="3">
        <v>22</v>
      </c>
      <c r="BB1730" t="str">
        <v>P/Prod</v>
      </c>
      <c r="BC1730">
        <v>15</v>
      </c>
      <c r="BD1730" s="10">
        <v>12.9</v>
      </c>
      <c r="BE1730" s="10">
        <v>0</v>
      </c>
      <c r="BF1730" s="10">
        <v>0</v>
      </c>
      <c r="BG1730" s="13">
        <v>45679</v>
      </c>
    </row>
    <row r="1731" spans="49:59" x14ac:dyDescent="0.3">
      <c r="AW1731" s="1">
        <v>21.1</v>
      </c>
      <c r="AX1731" s="1">
        <v>21.1</v>
      </c>
      <c r="AY1731" t="str">
        <v>CP-R80_HI782-0_0.0_LOT0894_PWW.03.1_QC.xlsx</v>
      </c>
      <c r="AZ1731" t="str">
        <v>LOT0894</v>
      </c>
      <c r="BA1731" s="3">
        <v>21</v>
      </c>
      <c r="BB1731" t="str">
        <v>P/Prod</v>
      </c>
      <c r="BC1731">
        <v>35</v>
      </c>
      <c r="BD1731" s="10">
        <v>37.200000000000003</v>
      </c>
      <c r="BE1731" s="10">
        <v>0</v>
      </c>
      <c r="BF1731" s="10">
        <v>0</v>
      </c>
      <c r="BG1731" s="13">
        <v>45679</v>
      </c>
    </row>
    <row r="1732" spans="49:59" x14ac:dyDescent="0.3">
      <c r="AW1732" s="1">
        <v>22.1</v>
      </c>
      <c r="AX1732" s="1">
        <v>22.1</v>
      </c>
      <c r="AY1732" t="str">
        <v>CP-R80_HI782-0_0.0_LOT0898_PWW.04.1_QC.xlsx</v>
      </c>
      <c r="AZ1732" t="str">
        <v>LOT0898</v>
      </c>
      <c r="BA1732" s="3">
        <v>22</v>
      </c>
      <c r="BB1732" t="str">
        <v>P/Prod</v>
      </c>
      <c r="BC1732">
        <v>35</v>
      </c>
      <c r="BD1732" s="10">
        <v>34.6</v>
      </c>
      <c r="BE1732" s="10">
        <v>0</v>
      </c>
      <c r="BF1732" s="10">
        <v>0</v>
      </c>
      <c r="BG1732" s="13">
        <v>45679</v>
      </c>
    </row>
    <row r="1733" spans="49:59" x14ac:dyDescent="0.3">
      <c r="AW1733" s="1">
        <v>22.1</v>
      </c>
      <c r="AX1733" s="1">
        <v>22.1</v>
      </c>
      <c r="AY1733" t="str">
        <v>CP-R80_HI782-0_0.0_LOT0898_PWW.04.1_QC.xlsx</v>
      </c>
      <c r="AZ1733" t="str">
        <v>LOT0898</v>
      </c>
      <c r="BA1733" s="3">
        <v>22</v>
      </c>
      <c r="BB1733" t="str">
        <v>P/Prod</v>
      </c>
      <c r="BC1733">
        <v>35</v>
      </c>
      <c r="BD1733" s="10">
        <v>34.6</v>
      </c>
      <c r="BE1733" s="10">
        <v>0</v>
      </c>
      <c r="BF1733" s="10">
        <v>0</v>
      </c>
      <c r="BG1733" s="13">
        <v>45679</v>
      </c>
    </row>
    <row r="1734" spans="49:59" x14ac:dyDescent="0.3">
      <c r="AW1734" s="1">
        <v>22.1</v>
      </c>
      <c r="AX1734" s="1">
        <v>22.1</v>
      </c>
      <c r="AY1734" t="str">
        <v>CP-R80_HI782-0_0.0_LOT0898_PWW.04.1_QC.xlsx</v>
      </c>
      <c r="AZ1734" t="str">
        <v>LOT0898</v>
      </c>
      <c r="BA1734" s="3">
        <v>22</v>
      </c>
      <c r="BB1734" t="str">
        <v>P/Prod</v>
      </c>
      <c r="BC1734">
        <v>35</v>
      </c>
      <c r="BD1734" s="10">
        <v>35.9</v>
      </c>
      <c r="BE1734" s="10">
        <v>0</v>
      </c>
      <c r="BF1734" s="10">
        <v>0</v>
      </c>
      <c r="BG1734" s="13">
        <v>45679</v>
      </c>
    </row>
    <row r="1735" spans="49:59" x14ac:dyDescent="0.3">
      <c r="AW1735" s="1">
        <v>22.1</v>
      </c>
      <c r="AX1735" s="1">
        <v>22.1</v>
      </c>
      <c r="AY1735" t="str">
        <v>CP-R80_HI782-0_0.0_LOT0898_PWW.04.1_QC.xlsx</v>
      </c>
      <c r="AZ1735" t="str">
        <v>LOT0898</v>
      </c>
      <c r="BA1735" s="3">
        <v>22</v>
      </c>
      <c r="BB1735" t="str">
        <v>P/Prod</v>
      </c>
      <c r="BC1735">
        <v>35</v>
      </c>
      <c r="BD1735" s="10">
        <v>35.6</v>
      </c>
      <c r="BE1735" s="10">
        <v>0</v>
      </c>
      <c r="BF1735" s="10">
        <v>0</v>
      </c>
      <c r="BG1735" s="13">
        <v>45679</v>
      </c>
    </row>
    <row r="1736" spans="49:59" x14ac:dyDescent="0.3">
      <c r="AW1736" s="1">
        <v>22.1</v>
      </c>
      <c r="AX1736" s="1">
        <v>22.1</v>
      </c>
      <c r="AY1736" t="str">
        <v>CP-R80_HI782-0_0.0_LOT0898_PWW.04.1_QC.xlsx</v>
      </c>
      <c r="AZ1736" t="str">
        <v>LOT0898</v>
      </c>
      <c r="BA1736" s="3">
        <v>22</v>
      </c>
      <c r="BB1736" t="str">
        <v>P/Prod</v>
      </c>
      <c r="BC1736">
        <v>35</v>
      </c>
      <c r="BD1736" s="10">
        <v>36.9</v>
      </c>
      <c r="BE1736" s="10">
        <v>0</v>
      </c>
      <c r="BF1736" s="10">
        <v>0</v>
      </c>
      <c r="BG1736" s="13">
        <v>45679</v>
      </c>
    </row>
    <row r="1737" spans="49:59" x14ac:dyDescent="0.3">
      <c r="AW1737" s="1">
        <v>22.1</v>
      </c>
      <c r="AX1737" s="1">
        <v>22.1</v>
      </c>
      <c r="AY1737" t="str">
        <v>CP-R80_HI782-0_0.0_LOT0898_PWW.04.1_QC.xlsx</v>
      </c>
      <c r="AZ1737" t="str">
        <v>LOT0898</v>
      </c>
      <c r="BA1737" s="3">
        <v>22</v>
      </c>
      <c r="BB1737" t="str">
        <v>P/Prod</v>
      </c>
      <c r="BC1737">
        <v>35</v>
      </c>
      <c r="BD1737" s="10">
        <v>37.5</v>
      </c>
      <c r="BE1737" s="10">
        <v>0</v>
      </c>
      <c r="BF1737" s="10">
        <v>0</v>
      </c>
      <c r="BG1737" s="13">
        <v>45679</v>
      </c>
    </row>
    <row r="1738" spans="49:59" x14ac:dyDescent="0.3">
      <c r="AW1738" s="1">
        <v>22.1</v>
      </c>
      <c r="AX1738" s="1">
        <v>22.1</v>
      </c>
      <c r="AY1738" t="str">
        <v>CP-R80_HI782-0_0.0_LOT0898_PWW.04.1_QC.xlsx</v>
      </c>
      <c r="AZ1738" t="str">
        <v>LOT0898</v>
      </c>
      <c r="BA1738" s="3">
        <v>22</v>
      </c>
      <c r="BB1738" t="str">
        <v>P/Prod</v>
      </c>
      <c r="BC1738">
        <v>35</v>
      </c>
      <c r="BD1738" s="10">
        <v>32.6</v>
      </c>
      <c r="BE1738" s="10">
        <v>0</v>
      </c>
      <c r="BF1738" s="10">
        <v>0</v>
      </c>
      <c r="BG1738" s="13">
        <v>45679</v>
      </c>
    </row>
    <row r="1739" spans="49:59" x14ac:dyDescent="0.3">
      <c r="AW1739" s="1">
        <v>22.1</v>
      </c>
      <c r="AX1739" s="1">
        <v>22.1</v>
      </c>
      <c r="AY1739" t="str">
        <v>CP-R80_HI782-0_0.0_LOT0898_PWW.04.1_QC.xlsx</v>
      </c>
      <c r="AZ1739" t="str">
        <v>LOT0898</v>
      </c>
      <c r="BA1739" s="3">
        <v>22</v>
      </c>
      <c r="BB1739" t="str">
        <v>P/Prod</v>
      </c>
      <c r="BC1739">
        <v>35</v>
      </c>
      <c r="BD1739" s="10">
        <v>36</v>
      </c>
      <c r="BE1739" s="10">
        <v>0</v>
      </c>
      <c r="BF1739" s="10">
        <v>0</v>
      </c>
      <c r="BG1739" s="13">
        <v>45679</v>
      </c>
    </row>
    <row r="1740" spans="49:59" x14ac:dyDescent="0.3">
      <c r="AW1740" s="1">
        <v>22.1</v>
      </c>
      <c r="AX1740" s="1">
        <v>22.1</v>
      </c>
      <c r="AY1740" t="str">
        <v>CP-R80_HI782-0_0.0_LOT0898_PWW.04.1_QC.xlsx</v>
      </c>
      <c r="AZ1740" t="str">
        <v>LOT0898</v>
      </c>
      <c r="BA1740" s="3">
        <v>22</v>
      </c>
      <c r="BB1740" t="str">
        <v>P/Prod</v>
      </c>
      <c r="BC1740">
        <v>35</v>
      </c>
      <c r="BD1740" s="10">
        <v>32.700000000000003</v>
      </c>
      <c r="BE1740" s="10">
        <v>0</v>
      </c>
      <c r="BF1740" s="10">
        <v>0</v>
      </c>
      <c r="BG1740" s="13">
        <v>45679</v>
      </c>
    </row>
    <row r="1741" spans="49:59" x14ac:dyDescent="0.3">
      <c r="AW1741" s="1">
        <v>22.1</v>
      </c>
      <c r="AX1741" s="1">
        <v>22.1</v>
      </c>
      <c r="AY1741" t="str">
        <v>CP-R80_HI782-0_0.0_LOT0898_PWW.04.1_QC.xlsx</v>
      </c>
      <c r="AZ1741" t="str">
        <v>LOT0898</v>
      </c>
      <c r="BA1741" s="3">
        <v>22</v>
      </c>
      <c r="BB1741" t="str">
        <v>P/Prod</v>
      </c>
      <c r="BC1741">
        <v>35</v>
      </c>
      <c r="BD1741" s="10">
        <v>38.200000000000003</v>
      </c>
      <c r="BE1741" s="10">
        <v>0</v>
      </c>
      <c r="BF1741" s="10">
        <v>0</v>
      </c>
      <c r="BG1741" s="13">
        <v>45679</v>
      </c>
    </row>
    <row r="1742" spans="49:59" x14ac:dyDescent="0.3">
      <c r="AW1742" s="1">
        <v>22.1</v>
      </c>
      <c r="AX1742" s="1">
        <v>22.1</v>
      </c>
      <c r="AY1742" t="str">
        <v>CP-R80_HI782-0_0.0_LOT0898_PWW.04.1_QC.xlsx</v>
      </c>
      <c r="AZ1742" t="str">
        <v>LOT0898</v>
      </c>
      <c r="BA1742" s="3">
        <v>22</v>
      </c>
      <c r="BB1742" t="str">
        <v>P/Prod</v>
      </c>
      <c r="BC1742">
        <v>35</v>
      </c>
      <c r="BD1742" s="10">
        <v>37.700000000000003</v>
      </c>
      <c r="BE1742" s="10">
        <v>0</v>
      </c>
      <c r="BF1742" s="10">
        <v>0</v>
      </c>
      <c r="BG1742" s="13">
        <v>45679</v>
      </c>
    </row>
    <row r="1743" spans="49:59" x14ac:dyDescent="0.3">
      <c r="AW1743" s="1">
        <v>22.1</v>
      </c>
      <c r="AX1743" s="1">
        <v>22.1</v>
      </c>
      <c r="AY1743" t="str">
        <v>CP-R80_HI782-0_0.0_LOT0898_PWW.04.1_QC.xlsx</v>
      </c>
      <c r="AZ1743" t="str">
        <v>LOT0898</v>
      </c>
      <c r="BA1743" s="3">
        <v>22</v>
      </c>
      <c r="BB1743" t="str">
        <v>P/Prod</v>
      </c>
      <c r="BC1743">
        <v>35</v>
      </c>
      <c r="BD1743" s="10">
        <v>37.200000000000003</v>
      </c>
      <c r="BE1743" s="10">
        <v>0</v>
      </c>
      <c r="BF1743" s="10">
        <v>0</v>
      </c>
      <c r="BG1743" s="13">
        <v>45679</v>
      </c>
    </row>
    <row r="1744" spans="49:59" x14ac:dyDescent="0.3">
      <c r="AW1744" s="1">
        <v>22.1</v>
      </c>
      <c r="AX1744" s="1">
        <v>22.1</v>
      </c>
      <c r="AY1744" t="str">
        <v>CP-R80_HI782-0_0.0_LOT0898_PWW.04.1_QC.xlsx</v>
      </c>
      <c r="AZ1744" t="str">
        <v>LOT0898</v>
      </c>
      <c r="BA1744" s="3">
        <v>22</v>
      </c>
      <c r="BB1744" t="str">
        <v>P/Prod</v>
      </c>
      <c r="BC1744">
        <v>35</v>
      </c>
      <c r="BD1744" s="10">
        <v>38</v>
      </c>
      <c r="BE1744" s="10">
        <v>0</v>
      </c>
      <c r="BF1744" s="10">
        <v>0</v>
      </c>
      <c r="BG1744" s="13">
        <v>45679</v>
      </c>
    </row>
    <row r="1745" spans="49:59" x14ac:dyDescent="0.3">
      <c r="AW1745" s="1">
        <v>22.1</v>
      </c>
      <c r="AX1745" s="1">
        <v>22.1</v>
      </c>
      <c r="AY1745" t="str">
        <v>CP-R80_HI782-0_0.0_LOT0898_PWW.04.1_QC.xlsx</v>
      </c>
      <c r="AZ1745" t="str">
        <v>LOT0898</v>
      </c>
      <c r="BA1745" s="3">
        <v>22</v>
      </c>
      <c r="BB1745" t="str">
        <v>P/Prod</v>
      </c>
      <c r="BC1745">
        <v>35</v>
      </c>
      <c r="BD1745" s="10">
        <v>36.799999999999997</v>
      </c>
      <c r="BE1745" s="10">
        <v>0</v>
      </c>
      <c r="BF1745" s="10">
        <v>0</v>
      </c>
      <c r="BG1745" s="13">
        <v>45679</v>
      </c>
    </row>
    <row r="1746" spans="49:59" x14ac:dyDescent="0.3">
      <c r="AW1746" s="1">
        <v>22.1</v>
      </c>
      <c r="AX1746" s="1">
        <v>22.1</v>
      </c>
      <c r="AY1746" t="str">
        <v>CP-R80_HI782-0_0.0_LOT0898_PWW.04.1_QC.xlsx</v>
      </c>
      <c r="AZ1746" t="str">
        <v>LOT0898</v>
      </c>
      <c r="BA1746" s="3">
        <v>22</v>
      </c>
      <c r="BB1746" t="str">
        <v>P/Prod</v>
      </c>
      <c r="BC1746">
        <v>35</v>
      </c>
      <c r="BD1746" s="10">
        <v>37.200000000000003</v>
      </c>
      <c r="BE1746" s="10">
        <v>0</v>
      </c>
      <c r="BF1746" s="10">
        <v>0</v>
      </c>
      <c r="BG1746" s="13">
        <v>45679</v>
      </c>
    </row>
    <row r="1747" spans="49:59" x14ac:dyDescent="0.3">
      <c r="AW1747" s="1">
        <v>22.1</v>
      </c>
      <c r="AX1747" s="1">
        <v>22.1</v>
      </c>
      <c r="AY1747" t="str">
        <v>CP-R80_HI782-0_0.0_LOT0898_PWW.04.1_QC.xlsx</v>
      </c>
      <c r="AZ1747" t="str">
        <v>LOT0898</v>
      </c>
      <c r="BA1747" s="3">
        <v>22</v>
      </c>
      <c r="BB1747" t="str">
        <v>P/Prod</v>
      </c>
      <c r="BC1747">
        <v>35</v>
      </c>
      <c r="BD1747" s="10">
        <v>38</v>
      </c>
      <c r="BE1747" s="10">
        <v>0</v>
      </c>
      <c r="BF1747" s="10">
        <v>0</v>
      </c>
      <c r="BG1747" s="13">
        <v>45679</v>
      </c>
    </row>
    <row r="1748" spans="49:59" x14ac:dyDescent="0.3">
      <c r="AW1748" s="1">
        <v>21.1</v>
      </c>
      <c r="AX1748" s="1">
        <v>21.1</v>
      </c>
      <c r="AY1748" t="str">
        <v>CP-R80_HI782-0_0.0_LOT0894_PWW.03.1_QC.xlsx</v>
      </c>
      <c r="AZ1748" t="str">
        <v>LOT0894</v>
      </c>
      <c r="BA1748" s="3">
        <v>21</v>
      </c>
      <c r="BB1748" t="str">
        <v>P/Prod</v>
      </c>
      <c r="BC1748">
        <v>35</v>
      </c>
      <c r="BD1748" s="10">
        <v>36.4</v>
      </c>
      <c r="BE1748" s="10">
        <v>0</v>
      </c>
      <c r="BF1748" s="10">
        <v>0</v>
      </c>
      <c r="BG1748" s="13">
        <v>45679</v>
      </c>
    </row>
    <row r="1749" spans="49:59" x14ac:dyDescent="0.3">
      <c r="AW1749" s="1">
        <v>22.1</v>
      </c>
      <c r="AX1749" s="1">
        <v>22.1</v>
      </c>
      <c r="AY1749" t="str">
        <v>CP-R80_HI782-0_0.0_LOT0898_PWW.04.1_QC.xlsx</v>
      </c>
      <c r="AZ1749" t="str">
        <v>LOT0898</v>
      </c>
      <c r="BA1749" s="3">
        <v>22</v>
      </c>
      <c r="BB1749" t="str">
        <v>P/Prod</v>
      </c>
      <c r="BC1749">
        <v>60</v>
      </c>
      <c r="BD1749" s="10">
        <v>58</v>
      </c>
      <c r="BE1749" s="10">
        <v>0</v>
      </c>
      <c r="BF1749" s="10">
        <v>0</v>
      </c>
      <c r="BG1749" s="13">
        <v>45679</v>
      </c>
    </row>
    <row r="1750" spans="49:59" x14ac:dyDescent="0.3">
      <c r="AW1750" s="1">
        <v>22.1</v>
      </c>
      <c r="AX1750" s="1">
        <v>22.1</v>
      </c>
      <c r="AY1750" t="str">
        <v>CP-R80_HI782-0_0.0_LOT0898_PWW.04.1_QC.xlsx</v>
      </c>
      <c r="AZ1750" t="str">
        <v>LOT0898</v>
      </c>
      <c r="BA1750" s="3">
        <v>22</v>
      </c>
      <c r="BB1750" t="str">
        <v>P/Prod</v>
      </c>
      <c r="BC1750">
        <v>60</v>
      </c>
      <c r="BD1750" s="10">
        <v>57.3</v>
      </c>
      <c r="BE1750" s="10">
        <v>0</v>
      </c>
      <c r="BF1750" s="10">
        <v>0</v>
      </c>
      <c r="BG1750" s="13">
        <v>45679</v>
      </c>
    </row>
    <row r="1751" spans="49:59" x14ac:dyDescent="0.3">
      <c r="AW1751" s="1">
        <v>22.1</v>
      </c>
      <c r="AX1751" s="1">
        <v>22.1</v>
      </c>
      <c r="AY1751" t="str">
        <v>CP-R80_HI782-0_0.0_LOT0898_PWW.04.1_QC.xlsx</v>
      </c>
      <c r="AZ1751" t="str">
        <v>LOT0898</v>
      </c>
      <c r="BA1751" s="3">
        <v>22</v>
      </c>
      <c r="BB1751" t="str">
        <v>P/Prod</v>
      </c>
      <c r="BC1751">
        <v>60</v>
      </c>
      <c r="BD1751" s="10">
        <v>62.8</v>
      </c>
      <c r="BE1751" s="10">
        <v>0</v>
      </c>
      <c r="BF1751" s="10">
        <v>0</v>
      </c>
      <c r="BG1751" s="13">
        <v>45679</v>
      </c>
    </row>
    <row r="1752" spans="49:59" x14ac:dyDescent="0.3">
      <c r="AW1752" s="1">
        <v>22.1</v>
      </c>
      <c r="AX1752" s="1">
        <v>22.1</v>
      </c>
      <c r="AY1752" t="str">
        <v>CP-R80_HI782-0_0.0_LOT0898_PWW.04.1_QC.xlsx</v>
      </c>
      <c r="AZ1752" t="str">
        <v>LOT0898</v>
      </c>
      <c r="BA1752" s="3">
        <v>22</v>
      </c>
      <c r="BB1752" t="str">
        <v>P/Prod</v>
      </c>
      <c r="BC1752">
        <v>60</v>
      </c>
      <c r="BD1752" s="10">
        <v>61.2</v>
      </c>
      <c r="BE1752" s="10">
        <v>0</v>
      </c>
      <c r="BF1752" s="10">
        <v>0</v>
      </c>
      <c r="BG1752" s="13">
        <v>45679</v>
      </c>
    </row>
    <row r="1753" spans="49:59" x14ac:dyDescent="0.3">
      <c r="AW1753" s="1">
        <v>22.1</v>
      </c>
      <c r="AX1753" s="1">
        <v>22.1</v>
      </c>
      <c r="AY1753" t="str">
        <v>CP-R80_HI782-0_0.0_LOT0898_PWW.04.1_QC.xlsx</v>
      </c>
      <c r="AZ1753" t="str">
        <v>LOT0898</v>
      </c>
      <c r="BA1753" s="3">
        <v>22</v>
      </c>
      <c r="BB1753" t="str">
        <v>P/Prod</v>
      </c>
      <c r="BC1753">
        <v>60</v>
      </c>
      <c r="BD1753" s="10">
        <v>63</v>
      </c>
      <c r="BE1753" s="10">
        <v>0</v>
      </c>
      <c r="BF1753" s="10">
        <v>0</v>
      </c>
      <c r="BG1753" s="13">
        <v>45679</v>
      </c>
    </row>
    <row r="1754" spans="49:59" x14ac:dyDescent="0.3">
      <c r="AW1754" s="1">
        <v>22.1</v>
      </c>
      <c r="AX1754" s="1">
        <v>22.1</v>
      </c>
      <c r="AY1754" t="str">
        <v>CP-R80_HI782-0_0.0_LOT0898_PWW.04.1_QC.xlsx</v>
      </c>
      <c r="AZ1754" t="str">
        <v>LOT0898</v>
      </c>
      <c r="BA1754" s="3">
        <v>22</v>
      </c>
      <c r="BB1754" t="str">
        <v>P/Prod</v>
      </c>
      <c r="BC1754">
        <v>60</v>
      </c>
      <c r="BD1754" s="10">
        <v>62.1</v>
      </c>
      <c r="BE1754" s="10">
        <v>0</v>
      </c>
      <c r="BF1754" s="10">
        <v>0</v>
      </c>
      <c r="BG1754" s="13">
        <v>45679</v>
      </c>
    </row>
    <row r="1755" spans="49:59" x14ac:dyDescent="0.3">
      <c r="AW1755" s="1">
        <v>22.1</v>
      </c>
      <c r="AX1755" s="1">
        <v>22.1</v>
      </c>
      <c r="AY1755" t="str">
        <v>CP-R80_HI782-0_0.0_LOT0898_PWW.04.1_QC.xlsx</v>
      </c>
      <c r="AZ1755" t="str">
        <v>LOT0898</v>
      </c>
      <c r="BA1755" s="3">
        <v>22</v>
      </c>
      <c r="BB1755" t="str">
        <v>P/Prod</v>
      </c>
      <c r="BC1755">
        <v>60</v>
      </c>
      <c r="BD1755" s="10">
        <v>58.7</v>
      </c>
      <c r="BE1755" s="10">
        <v>0</v>
      </c>
      <c r="BF1755" s="10">
        <v>0</v>
      </c>
      <c r="BG1755" s="13">
        <v>45679</v>
      </c>
    </row>
    <row r="1756" spans="49:59" x14ac:dyDescent="0.3">
      <c r="AW1756" s="1">
        <v>22.1</v>
      </c>
      <c r="AX1756" s="1">
        <v>22.1</v>
      </c>
      <c r="AY1756" t="str">
        <v>CP-R80_HI782-0_0.0_LOT0898_PWW.04.1_QC.xlsx</v>
      </c>
      <c r="AZ1756" t="str">
        <v>LOT0898</v>
      </c>
      <c r="BA1756" s="3">
        <v>22</v>
      </c>
      <c r="BB1756" t="str">
        <v>P/Prod</v>
      </c>
      <c r="BC1756">
        <v>60</v>
      </c>
      <c r="BD1756" s="10">
        <v>58.8</v>
      </c>
      <c r="BE1756" s="10">
        <v>0</v>
      </c>
      <c r="BF1756" s="10">
        <v>0</v>
      </c>
      <c r="BG1756" s="13">
        <v>45679</v>
      </c>
    </row>
    <row r="1757" spans="49:59" x14ac:dyDescent="0.3">
      <c r="AW1757" s="1">
        <v>22.1</v>
      </c>
      <c r="AX1757" s="1">
        <v>22.1</v>
      </c>
      <c r="AY1757" t="str">
        <v>CP-R80_HI782-0_0.0_LOT0898_PWW.04.1_QC.xlsx</v>
      </c>
      <c r="AZ1757" t="str">
        <v>LOT0898</v>
      </c>
      <c r="BA1757" s="3">
        <v>22</v>
      </c>
      <c r="BB1757" t="str">
        <v>P/Prod</v>
      </c>
      <c r="BC1757">
        <v>60</v>
      </c>
      <c r="BD1757" s="10">
        <v>57.9</v>
      </c>
      <c r="BE1757" s="10">
        <v>0</v>
      </c>
      <c r="BF1757" s="10">
        <v>0</v>
      </c>
      <c r="BG1757" s="13">
        <v>45679</v>
      </c>
    </row>
    <row r="1758" spans="49:59" x14ac:dyDescent="0.3">
      <c r="AW1758" s="1">
        <v>22.1</v>
      </c>
      <c r="AX1758" s="1">
        <v>22.1</v>
      </c>
      <c r="AY1758" t="str">
        <v>CP-R80_HI782-0_0.0_LOT0898_PWW.04.1_QC.xlsx</v>
      </c>
      <c r="AZ1758" t="str">
        <v>LOT0898</v>
      </c>
      <c r="BA1758" s="3">
        <v>22</v>
      </c>
      <c r="BB1758" t="str">
        <v>P/Prod</v>
      </c>
      <c r="BC1758">
        <v>60</v>
      </c>
      <c r="BD1758" s="10">
        <v>58.8</v>
      </c>
      <c r="BE1758" s="10">
        <v>0</v>
      </c>
      <c r="BF1758" s="10">
        <v>0</v>
      </c>
      <c r="BG1758" s="13">
        <v>45679</v>
      </c>
    </row>
    <row r="1759" spans="49:59" x14ac:dyDescent="0.3">
      <c r="AW1759" s="1">
        <v>22.1</v>
      </c>
      <c r="AX1759" s="1">
        <v>22.1</v>
      </c>
      <c r="AY1759" t="str">
        <v>CP-R80_HI782-0_0.0_LOT0898_PWW.04.1_QC.xlsx</v>
      </c>
      <c r="AZ1759" t="str">
        <v>LOT0898</v>
      </c>
      <c r="BA1759" s="3">
        <v>22</v>
      </c>
      <c r="BB1759" t="str">
        <v>P/Prod</v>
      </c>
      <c r="BC1759">
        <v>60</v>
      </c>
      <c r="BD1759" s="10">
        <v>64</v>
      </c>
      <c r="BE1759" s="10">
        <v>0</v>
      </c>
      <c r="BF1759" s="10">
        <v>0</v>
      </c>
      <c r="BG1759" s="13">
        <v>45679</v>
      </c>
    </row>
    <row r="1760" spans="49:59" x14ac:dyDescent="0.3">
      <c r="AW1760" s="1">
        <v>22.1</v>
      </c>
      <c r="AX1760" s="1">
        <v>22.1</v>
      </c>
      <c r="AY1760" t="str">
        <v>CP-R80_HI782-0_0.0_LOT0898_PWW.04.1_QC.xlsx</v>
      </c>
      <c r="AZ1760" t="str">
        <v>LOT0898</v>
      </c>
      <c r="BA1760" s="3">
        <v>22</v>
      </c>
      <c r="BB1760" t="str">
        <v>P/Prod</v>
      </c>
      <c r="BC1760">
        <v>60</v>
      </c>
      <c r="BD1760" s="10">
        <v>60.6</v>
      </c>
      <c r="BE1760" s="10">
        <v>0</v>
      </c>
      <c r="BF1760" s="10">
        <v>0</v>
      </c>
      <c r="BG1760" s="13">
        <v>45679</v>
      </c>
    </row>
    <row r="1761" spans="49:59" x14ac:dyDescent="0.3">
      <c r="AW1761" s="1">
        <v>22.1</v>
      </c>
      <c r="AX1761" s="1">
        <v>22.1</v>
      </c>
      <c r="AY1761" t="str">
        <v>CP-R80_HI782-0_0.0_LOT0898_PWW.04.1_QC.xlsx</v>
      </c>
      <c r="AZ1761" t="str">
        <v>LOT0898</v>
      </c>
      <c r="BA1761" s="3">
        <v>22</v>
      </c>
      <c r="BB1761" t="str">
        <v>P/Prod</v>
      </c>
      <c r="BC1761">
        <v>60</v>
      </c>
      <c r="BD1761" s="10">
        <v>59.7</v>
      </c>
      <c r="BE1761" s="10">
        <v>0</v>
      </c>
      <c r="BF1761" s="10">
        <v>0</v>
      </c>
      <c r="BG1761" s="13">
        <v>45679</v>
      </c>
    </row>
    <row r="1762" spans="49:59" x14ac:dyDescent="0.3">
      <c r="AW1762" s="1">
        <v>22.1</v>
      </c>
      <c r="AX1762" s="1">
        <v>22.1</v>
      </c>
      <c r="AY1762" t="str">
        <v>CP-R80_HI782-0_0.0_LOT0898_PWW.04.1_QC.xlsx</v>
      </c>
      <c r="AZ1762" t="str">
        <v>LOT0898</v>
      </c>
      <c r="BA1762" s="3">
        <v>22</v>
      </c>
      <c r="BB1762" t="str">
        <v>P/Prod</v>
      </c>
      <c r="BC1762">
        <v>60</v>
      </c>
      <c r="BD1762" s="10">
        <v>55.5</v>
      </c>
      <c r="BE1762" s="10">
        <v>0</v>
      </c>
      <c r="BF1762" s="10">
        <v>0</v>
      </c>
      <c r="BG1762" s="13">
        <v>45679</v>
      </c>
    </row>
    <row r="1763" spans="49:59" x14ac:dyDescent="0.3">
      <c r="AW1763" s="1">
        <v>22.1</v>
      </c>
      <c r="AX1763" s="1">
        <v>22.1</v>
      </c>
      <c r="AY1763" t="str">
        <v>CP-R80_HI782-0_0.0_LOT0898_PWW.04.1_QC.xlsx</v>
      </c>
      <c r="AZ1763" t="str">
        <v>LOT0898</v>
      </c>
      <c r="BA1763" s="3">
        <v>22</v>
      </c>
      <c r="BB1763" t="str">
        <v>P/Prod</v>
      </c>
      <c r="BC1763">
        <v>60</v>
      </c>
      <c r="BD1763" s="10">
        <v>56.7</v>
      </c>
      <c r="BE1763" s="10">
        <v>0</v>
      </c>
      <c r="BF1763" s="10">
        <v>0</v>
      </c>
      <c r="BG1763" s="13">
        <v>45679</v>
      </c>
    </row>
    <row r="1764" spans="49:59" x14ac:dyDescent="0.3">
      <c r="AW1764" s="1">
        <v>21.1</v>
      </c>
      <c r="AX1764" s="1">
        <v>21.1</v>
      </c>
      <c r="AY1764" t="str">
        <v>CP-R80_HI782-0_0.0_LOT0894_PWW.03.1_QC.xlsx</v>
      </c>
      <c r="AZ1764" t="str">
        <v>LOT0894</v>
      </c>
      <c r="BA1764" s="3">
        <v>21</v>
      </c>
      <c r="BB1764" t="str">
        <v>P/Prod</v>
      </c>
      <c r="BC1764">
        <v>60</v>
      </c>
      <c r="BD1764" s="10">
        <v>58.2</v>
      </c>
      <c r="BE1764" s="10">
        <v>0</v>
      </c>
      <c r="BF1764" s="10">
        <v>0</v>
      </c>
      <c r="BG1764" s="13">
        <v>45679</v>
      </c>
    </row>
    <row r="1765" spans="49:59" x14ac:dyDescent="0.3">
      <c r="AW1765" s="1">
        <v>21.1</v>
      </c>
      <c r="AX1765" s="1">
        <v>21.1</v>
      </c>
      <c r="AY1765" t="str">
        <v>CP-R80_HI782-0_0.0_LOT0894_PWW.03.1_QC.xlsx</v>
      </c>
      <c r="AZ1765" t="str">
        <v>LOT0894</v>
      </c>
      <c r="BA1765" s="3">
        <v>21</v>
      </c>
      <c r="BB1765" t="str">
        <v>P/Prod</v>
      </c>
      <c r="BC1765">
        <v>60</v>
      </c>
      <c r="BD1765" s="10">
        <v>61</v>
      </c>
      <c r="BE1765" s="10">
        <v>0</v>
      </c>
      <c r="BF1765" s="10">
        <v>0</v>
      </c>
      <c r="BG1765" s="13">
        <v>45679</v>
      </c>
    </row>
    <row r="1766" spans="49:59" x14ac:dyDescent="0.3">
      <c r="AW1766" s="1">
        <v>22.1</v>
      </c>
      <c r="AX1766" s="1">
        <v>22.1</v>
      </c>
      <c r="AY1766" t="str">
        <v>CP-R80_HI782-0_0.0_LOT0898_PWW.04.1_QC.xlsx</v>
      </c>
      <c r="AZ1766" t="str">
        <v>LOT0898</v>
      </c>
      <c r="BA1766" s="3">
        <v>22</v>
      </c>
      <c r="BB1766" t="str">
        <v>P/Prod</v>
      </c>
      <c r="BC1766">
        <v>60</v>
      </c>
      <c r="BD1766" s="10">
        <v>56.2</v>
      </c>
      <c r="BE1766" s="10">
        <v>0</v>
      </c>
      <c r="BF1766" s="10">
        <v>0</v>
      </c>
      <c r="BG1766" s="13">
        <v>45679</v>
      </c>
    </row>
    <row r="1767" spans="49:59" x14ac:dyDescent="0.3">
      <c r="AW1767" s="1">
        <v>22.1</v>
      </c>
      <c r="AX1767" s="1">
        <v>22.1</v>
      </c>
      <c r="AY1767" t="str">
        <v>CP-R80_HI782-0_0.0_LOT0898_PWW.04.1_QC.xlsx</v>
      </c>
      <c r="AZ1767" t="str">
        <v>LOT0898</v>
      </c>
      <c r="BA1767" s="3">
        <v>22</v>
      </c>
      <c r="BB1767" t="str">
        <v>P/Prod</v>
      </c>
      <c r="BC1767">
        <v>0</v>
      </c>
      <c r="BD1767" s="10">
        <v>0</v>
      </c>
      <c r="BE1767" s="10">
        <v>0</v>
      </c>
      <c r="BF1767" s="10">
        <v>0</v>
      </c>
      <c r="BG1767" s="13">
        <v>45680</v>
      </c>
    </row>
    <row r="1768" spans="49:59" x14ac:dyDescent="0.3">
      <c r="AW1768" s="1">
        <v>22.1</v>
      </c>
      <c r="AX1768" s="1">
        <v>22.1</v>
      </c>
      <c r="AY1768" t="str">
        <v>CP-R80_HI782-0_0.0_LOT0898_PWW.04.1_QC.xlsx</v>
      </c>
      <c r="AZ1768" t="str">
        <v>LOT0898</v>
      </c>
      <c r="BA1768" s="3">
        <v>22</v>
      </c>
      <c r="BB1768" t="str">
        <v>P/Prod</v>
      </c>
      <c r="BC1768">
        <v>0</v>
      </c>
      <c r="BD1768" s="10">
        <v>0</v>
      </c>
      <c r="BE1768" s="10">
        <v>0</v>
      </c>
      <c r="BF1768" s="10">
        <v>0</v>
      </c>
      <c r="BG1768" s="13">
        <v>45680</v>
      </c>
    </row>
    <row r="1769" spans="49:59" x14ac:dyDescent="0.3">
      <c r="AW1769" s="1">
        <v>22.1</v>
      </c>
      <c r="AX1769" s="1">
        <v>22.1</v>
      </c>
      <c r="AY1769" t="str">
        <v>CP-R80_HI782-0_0.0_LOT0898_PWW.04.1_QC.xlsx</v>
      </c>
      <c r="AZ1769" t="str">
        <v>LOT0898</v>
      </c>
      <c r="BA1769" s="3">
        <v>22</v>
      </c>
      <c r="BB1769" t="str">
        <v>P/Prod</v>
      </c>
      <c r="BC1769">
        <v>0</v>
      </c>
      <c r="BD1769" s="10">
        <v>0</v>
      </c>
      <c r="BE1769" s="10">
        <v>0</v>
      </c>
      <c r="BF1769" s="10">
        <v>0</v>
      </c>
      <c r="BG1769" s="13">
        <v>45680</v>
      </c>
    </row>
    <row r="1770" spans="49:59" x14ac:dyDescent="0.3">
      <c r="AW1770" s="1">
        <v>22.1</v>
      </c>
      <c r="AX1770" s="1">
        <v>22.1</v>
      </c>
      <c r="AY1770" t="str">
        <v>CP-R80_HI782-0_0.0_LOT0898_PWW.04.1_QC.xlsx</v>
      </c>
      <c r="AZ1770" t="str">
        <v>LOT0898</v>
      </c>
      <c r="BA1770" s="3">
        <v>22</v>
      </c>
      <c r="BB1770" t="str">
        <v>P/Prod</v>
      </c>
      <c r="BC1770">
        <v>0</v>
      </c>
      <c r="BD1770" s="10">
        <v>0</v>
      </c>
      <c r="BE1770" s="10">
        <v>0</v>
      </c>
      <c r="BF1770" s="10">
        <v>0</v>
      </c>
      <c r="BG1770" s="13">
        <v>45680</v>
      </c>
    </row>
    <row r="1771" spans="49:59" x14ac:dyDescent="0.3">
      <c r="AW1771" s="1">
        <v>22.1</v>
      </c>
      <c r="AX1771" s="1">
        <v>22.1</v>
      </c>
      <c r="AY1771" t="str">
        <v>CP-R80_HI782-0_0.0_LOT0898_PWW.04.1_QC.xlsx</v>
      </c>
      <c r="AZ1771" t="str">
        <v>LOT0898</v>
      </c>
      <c r="BA1771" s="3">
        <v>22</v>
      </c>
      <c r="BB1771" t="str">
        <v>P/Prod</v>
      </c>
      <c r="BC1771">
        <v>0</v>
      </c>
      <c r="BD1771" s="10">
        <v>0</v>
      </c>
      <c r="BE1771" s="10">
        <v>0</v>
      </c>
      <c r="BF1771" s="10">
        <v>0</v>
      </c>
      <c r="BG1771" s="13">
        <v>45680</v>
      </c>
    </row>
    <row r="1772" spans="49:59" x14ac:dyDescent="0.3">
      <c r="AW1772" s="1">
        <v>22.1</v>
      </c>
      <c r="AX1772" s="1">
        <v>22.1</v>
      </c>
      <c r="AY1772" t="str">
        <v>CP-R80_HI782-0_0.0_LOT0898_PWW.04.1_QC.xlsx</v>
      </c>
      <c r="AZ1772" t="str">
        <v>LOT0898</v>
      </c>
      <c r="BA1772" s="3">
        <v>22</v>
      </c>
      <c r="BB1772" t="str">
        <v>P/Prod</v>
      </c>
      <c r="BC1772">
        <v>15</v>
      </c>
      <c r="BD1772" s="10">
        <v>16</v>
      </c>
      <c r="BE1772" s="10">
        <v>0</v>
      </c>
      <c r="BF1772" s="10">
        <v>0</v>
      </c>
      <c r="BG1772" s="13">
        <v>45680</v>
      </c>
    </row>
    <row r="1773" spans="49:59" x14ac:dyDescent="0.3">
      <c r="AW1773" s="1">
        <v>22.1</v>
      </c>
      <c r="AX1773" s="1">
        <v>22.1</v>
      </c>
      <c r="AY1773" t="str">
        <v>CP-R80_HI782-0_0.0_LOT0898_PWW.04.1_QC.xlsx</v>
      </c>
      <c r="AZ1773" t="str">
        <v>LOT0898</v>
      </c>
      <c r="BA1773" s="3">
        <v>22</v>
      </c>
      <c r="BB1773" t="str">
        <v>P/Prod</v>
      </c>
      <c r="BC1773">
        <v>15</v>
      </c>
      <c r="BD1773" s="10">
        <v>15.2</v>
      </c>
      <c r="BE1773" s="10">
        <v>0</v>
      </c>
      <c r="BF1773" s="10">
        <v>0</v>
      </c>
      <c r="BG1773" s="13">
        <v>45680</v>
      </c>
    </row>
    <row r="1774" spans="49:59" x14ac:dyDescent="0.3">
      <c r="AW1774" s="1">
        <v>22.1</v>
      </c>
      <c r="AX1774" s="1">
        <v>22.1</v>
      </c>
      <c r="AY1774" t="str">
        <v>CP-R80_HI782-0_0.0_LOT0898_PWW.04.1_QC.xlsx</v>
      </c>
      <c r="AZ1774" t="str">
        <v>LOT0898</v>
      </c>
      <c r="BA1774" s="3">
        <v>22</v>
      </c>
      <c r="BB1774" t="str">
        <v>P/Prod</v>
      </c>
      <c r="BC1774">
        <v>15</v>
      </c>
      <c r="BD1774" s="10">
        <v>15.4</v>
      </c>
      <c r="BE1774" s="10">
        <v>0</v>
      </c>
      <c r="BF1774" s="10">
        <v>0</v>
      </c>
      <c r="BG1774" s="13">
        <v>45680</v>
      </c>
    </row>
    <row r="1775" spans="49:59" x14ac:dyDescent="0.3">
      <c r="AW1775" s="1">
        <v>22.1</v>
      </c>
      <c r="AX1775" s="1">
        <v>22.1</v>
      </c>
      <c r="AY1775" t="str">
        <v>CP-R80_HI782-0_0.0_LOT0898_PWW.04.1_QC.xlsx</v>
      </c>
      <c r="AZ1775" t="str">
        <v>LOT0898</v>
      </c>
      <c r="BA1775" s="3">
        <v>22</v>
      </c>
      <c r="BB1775" t="str">
        <v>P/Prod</v>
      </c>
      <c r="BC1775">
        <v>15</v>
      </c>
      <c r="BD1775" s="10">
        <v>17</v>
      </c>
      <c r="BE1775" s="10">
        <v>0</v>
      </c>
      <c r="BF1775" s="10">
        <v>0</v>
      </c>
      <c r="BG1775" s="13">
        <v>45680</v>
      </c>
    </row>
    <row r="1776" spans="49:59" x14ac:dyDescent="0.3">
      <c r="AW1776" s="1">
        <v>22.1</v>
      </c>
      <c r="AX1776" s="1">
        <v>22.1</v>
      </c>
      <c r="AY1776" t="str">
        <v>CP-R80_HI782-0_0.0_LOT0898_PWW.04.1_QC.xlsx</v>
      </c>
      <c r="AZ1776" t="str">
        <v>LOT0898</v>
      </c>
      <c r="BA1776" s="3">
        <v>22</v>
      </c>
      <c r="BB1776" t="str">
        <v>P/Prod</v>
      </c>
      <c r="BC1776">
        <v>15</v>
      </c>
      <c r="BD1776" s="10">
        <v>16</v>
      </c>
      <c r="BE1776" s="10">
        <v>0</v>
      </c>
      <c r="BF1776" s="10">
        <v>0</v>
      </c>
      <c r="BG1776" s="13">
        <v>45680</v>
      </c>
    </row>
    <row r="1777" spans="49:59" x14ac:dyDescent="0.3">
      <c r="AW1777" s="1">
        <v>22.1</v>
      </c>
      <c r="AX1777" s="1">
        <v>22.1</v>
      </c>
      <c r="AY1777" t="str">
        <v>CP-R80_HI782-0_0.0_LOT0898_PWW.04.1_QC.xlsx</v>
      </c>
      <c r="AZ1777" t="str">
        <v>LOT0898</v>
      </c>
      <c r="BA1777" s="3">
        <v>22</v>
      </c>
      <c r="BB1777" t="str">
        <v>P/Prod</v>
      </c>
      <c r="BC1777">
        <v>15</v>
      </c>
      <c r="BD1777" s="10">
        <v>16.600000000000001</v>
      </c>
      <c r="BE1777" s="10">
        <v>0</v>
      </c>
      <c r="BF1777" s="10">
        <v>0</v>
      </c>
      <c r="BG1777" s="13">
        <v>45680</v>
      </c>
    </row>
    <row r="1778" spans="49:59" x14ac:dyDescent="0.3">
      <c r="AW1778" s="1">
        <v>22.1</v>
      </c>
      <c r="AX1778" s="1">
        <v>22.1</v>
      </c>
      <c r="AY1778" t="str">
        <v>CP-R80_HI782-0_0.0_LOT0898_PWW.04.1_QC.xlsx</v>
      </c>
      <c r="AZ1778" t="str">
        <v>LOT0898</v>
      </c>
      <c r="BA1778" s="3">
        <v>22</v>
      </c>
      <c r="BB1778" t="str">
        <v>P/Prod</v>
      </c>
      <c r="BC1778">
        <v>15</v>
      </c>
      <c r="BD1778" s="10">
        <v>16</v>
      </c>
      <c r="BE1778" s="10">
        <v>0</v>
      </c>
      <c r="BF1778" s="10">
        <v>0</v>
      </c>
      <c r="BG1778" s="13">
        <v>45680</v>
      </c>
    </row>
    <row r="1779" spans="49:59" x14ac:dyDescent="0.3">
      <c r="AW1779" s="1">
        <v>22.1</v>
      </c>
      <c r="AX1779" s="1">
        <v>22.1</v>
      </c>
      <c r="AY1779" t="str">
        <v>CP-R80_HI782-0_0.0_LOT0898_PWW.04.1_QC.xlsx</v>
      </c>
      <c r="AZ1779" t="str">
        <v>LOT0898</v>
      </c>
      <c r="BA1779" s="3">
        <v>22</v>
      </c>
      <c r="BB1779" t="str">
        <v>P/Prod</v>
      </c>
      <c r="BC1779">
        <v>15</v>
      </c>
      <c r="BD1779" s="10">
        <v>15.7</v>
      </c>
      <c r="BE1779" s="10">
        <v>0</v>
      </c>
      <c r="BF1779" s="10">
        <v>0</v>
      </c>
      <c r="BG1779" s="13">
        <v>45680</v>
      </c>
    </row>
    <row r="1780" spans="49:59" x14ac:dyDescent="0.3">
      <c r="AW1780" s="1">
        <v>22.1</v>
      </c>
      <c r="AX1780" s="1">
        <v>22.1</v>
      </c>
      <c r="AY1780" t="str">
        <v>CP-R80_HI782-0_0.0_LOT0898_PWW.04.1_QC.xlsx</v>
      </c>
      <c r="AZ1780" t="str">
        <v>LOT0898</v>
      </c>
      <c r="BA1780" s="3">
        <v>22</v>
      </c>
      <c r="BB1780" t="str">
        <v>P/Prod</v>
      </c>
      <c r="BC1780">
        <v>15</v>
      </c>
      <c r="BD1780" s="10">
        <v>16.100000000000001</v>
      </c>
      <c r="BE1780" s="10">
        <v>0</v>
      </c>
      <c r="BF1780" s="10">
        <v>0</v>
      </c>
      <c r="BG1780" s="13">
        <v>45680</v>
      </c>
    </row>
    <row r="1781" spans="49:59" x14ac:dyDescent="0.3">
      <c r="AW1781" s="1">
        <v>22.1</v>
      </c>
      <c r="AX1781" s="1">
        <v>22.1</v>
      </c>
      <c r="AY1781" t="str">
        <v>CP-R80_HI782-0_0.0_LOT0898_PWW.04.1_QC.xlsx</v>
      </c>
      <c r="AZ1781" t="str">
        <v>LOT0898</v>
      </c>
      <c r="BA1781" s="3">
        <v>22</v>
      </c>
      <c r="BB1781" t="str">
        <v>P/Prod</v>
      </c>
      <c r="BC1781">
        <v>15</v>
      </c>
      <c r="BD1781" s="10">
        <v>17.7</v>
      </c>
      <c r="BE1781" s="10">
        <v>0</v>
      </c>
      <c r="BF1781" s="10">
        <v>0</v>
      </c>
      <c r="BG1781" s="13">
        <v>45680</v>
      </c>
    </row>
    <row r="1782" spans="49:59" x14ac:dyDescent="0.3">
      <c r="AW1782" s="1">
        <v>22.1</v>
      </c>
      <c r="AX1782" s="1">
        <v>22.1</v>
      </c>
      <c r="AY1782" t="str">
        <v>CP-R80_HI782-0_0.0_LOT0898_PWW.04.1_QC.xlsx</v>
      </c>
      <c r="AZ1782" t="str">
        <v>LOT0898</v>
      </c>
      <c r="BA1782" s="3">
        <v>22</v>
      </c>
      <c r="BB1782" t="str">
        <v>P/Prod</v>
      </c>
      <c r="BC1782">
        <v>15</v>
      </c>
      <c r="BD1782" s="10">
        <v>15.5</v>
      </c>
      <c r="BE1782" s="10">
        <v>0</v>
      </c>
      <c r="BF1782" s="10">
        <v>0</v>
      </c>
      <c r="BG1782" s="13">
        <v>45680</v>
      </c>
    </row>
    <row r="1783" spans="49:59" x14ac:dyDescent="0.3">
      <c r="AW1783" s="1">
        <v>22.1</v>
      </c>
      <c r="AX1783" s="1">
        <v>22.1</v>
      </c>
      <c r="AY1783" t="str">
        <v>CP-R80_HI782-0_0.0_LOT0898_PWW.04.1_QC.xlsx</v>
      </c>
      <c r="AZ1783" t="str">
        <v>LOT0898</v>
      </c>
      <c r="BA1783" s="3">
        <v>22</v>
      </c>
      <c r="BB1783" t="str">
        <v>P/Prod</v>
      </c>
      <c r="BC1783">
        <v>15</v>
      </c>
      <c r="BD1783" s="10">
        <v>16.5</v>
      </c>
      <c r="BE1783" s="10">
        <v>0</v>
      </c>
      <c r="BF1783" s="10">
        <v>0</v>
      </c>
      <c r="BG1783" s="13">
        <v>45680</v>
      </c>
    </row>
    <row r="1784" spans="49:59" x14ac:dyDescent="0.3">
      <c r="AW1784" s="1">
        <v>22.1</v>
      </c>
      <c r="AX1784" s="1">
        <v>22.1</v>
      </c>
      <c r="AY1784" t="str">
        <v>CP-R80_HI782-0_0.0_LOT0898_PWW.04.1_QC.xlsx</v>
      </c>
      <c r="AZ1784" t="str">
        <v>LOT0898</v>
      </c>
      <c r="BA1784" s="3">
        <v>22</v>
      </c>
      <c r="BB1784" t="str">
        <v>P/Prod</v>
      </c>
      <c r="BC1784">
        <v>15</v>
      </c>
      <c r="BD1784" s="10">
        <v>16.8</v>
      </c>
      <c r="BE1784" s="10">
        <v>0</v>
      </c>
      <c r="BF1784" s="10">
        <v>0</v>
      </c>
      <c r="BG1784" s="13">
        <v>45680</v>
      </c>
    </row>
    <row r="1785" spans="49:59" x14ac:dyDescent="0.3">
      <c r="AW1785" s="1">
        <v>22.1</v>
      </c>
      <c r="AX1785" s="1">
        <v>22.1</v>
      </c>
      <c r="AY1785" t="str">
        <v>CP-R80_HI782-0_0.0_LOT0898_PWW.04.1_QC.xlsx</v>
      </c>
      <c r="AZ1785" t="str">
        <v>LOT0898</v>
      </c>
      <c r="BA1785" s="3">
        <v>22</v>
      </c>
      <c r="BB1785" t="str">
        <v>P/Prod</v>
      </c>
      <c r="BC1785">
        <v>15</v>
      </c>
      <c r="BD1785" s="10">
        <v>15.6</v>
      </c>
      <c r="BE1785" s="10">
        <v>0</v>
      </c>
      <c r="BF1785" s="10">
        <v>0</v>
      </c>
      <c r="BG1785" s="13">
        <v>45680</v>
      </c>
    </row>
    <row r="1786" spans="49:59" x14ac:dyDescent="0.3">
      <c r="AW1786" s="1">
        <v>22.1</v>
      </c>
      <c r="AX1786" s="1">
        <v>22.1</v>
      </c>
      <c r="AY1786" t="str">
        <v>CP-R80_HI782-0_0.0_LOT0898_PWW.04.1_QC.xlsx</v>
      </c>
      <c r="AZ1786" t="str">
        <v>LOT0898</v>
      </c>
      <c r="BA1786" s="3">
        <v>22</v>
      </c>
      <c r="BB1786" t="str">
        <v>P/Prod</v>
      </c>
      <c r="BC1786">
        <v>35</v>
      </c>
      <c r="BD1786" s="10">
        <v>35.9</v>
      </c>
      <c r="BE1786" s="10">
        <v>0</v>
      </c>
      <c r="BF1786" s="10">
        <v>0</v>
      </c>
      <c r="BG1786" s="13">
        <v>45680</v>
      </c>
    </row>
    <row r="1787" spans="49:59" x14ac:dyDescent="0.3">
      <c r="AW1787" s="1">
        <v>22.1</v>
      </c>
      <c r="AX1787" s="1">
        <v>22.1</v>
      </c>
      <c r="AY1787" t="str">
        <v>CP-R80_HI782-0_0.0_LOT0898_PWW.04.1_QC.xlsx</v>
      </c>
      <c r="AZ1787" t="str">
        <v>LOT0898</v>
      </c>
      <c r="BA1787" s="3">
        <v>22</v>
      </c>
      <c r="BB1787" t="str">
        <v>P/Prod</v>
      </c>
      <c r="BC1787">
        <v>35</v>
      </c>
      <c r="BD1787" s="10">
        <v>35.200000000000003</v>
      </c>
      <c r="BE1787" s="10">
        <v>0</v>
      </c>
      <c r="BF1787" s="10">
        <v>0</v>
      </c>
      <c r="BG1787" s="13">
        <v>45680</v>
      </c>
    </row>
    <row r="1788" spans="49:59" x14ac:dyDescent="0.3">
      <c r="AW1788" s="1">
        <v>22.1</v>
      </c>
      <c r="AX1788" s="1">
        <v>22.1</v>
      </c>
      <c r="AY1788" t="str">
        <v>CP-R80_HI782-0_0.0_LOT0898_PWW.04.1_QC.xlsx</v>
      </c>
      <c r="AZ1788" t="str">
        <v>LOT0898</v>
      </c>
      <c r="BA1788" s="3">
        <v>22</v>
      </c>
      <c r="BB1788" t="str">
        <v>P/Prod</v>
      </c>
      <c r="BC1788">
        <v>35</v>
      </c>
      <c r="BD1788" s="10">
        <v>38.1</v>
      </c>
      <c r="BE1788" s="10">
        <v>0</v>
      </c>
      <c r="BF1788" s="10">
        <v>0</v>
      </c>
      <c r="BG1788" s="13">
        <v>45680</v>
      </c>
    </row>
    <row r="1789" spans="49:59" x14ac:dyDescent="0.3">
      <c r="AW1789" s="1">
        <v>22.1</v>
      </c>
      <c r="AX1789" s="1">
        <v>22.1</v>
      </c>
      <c r="AY1789" t="str">
        <v>CP-R80_HI782-0_0.0_LOT0898_PWW.04.1_QC.xlsx</v>
      </c>
      <c r="AZ1789" t="str">
        <v>LOT0898</v>
      </c>
      <c r="BA1789" s="3">
        <v>22</v>
      </c>
      <c r="BB1789" t="str">
        <v>P/Prod</v>
      </c>
      <c r="BC1789">
        <v>35</v>
      </c>
      <c r="BD1789" s="10">
        <v>38.5</v>
      </c>
      <c r="BE1789" s="10">
        <v>0</v>
      </c>
      <c r="BF1789" s="10">
        <v>0</v>
      </c>
      <c r="BG1789" s="13">
        <v>45680</v>
      </c>
    </row>
    <row r="1790" spans="49:59" x14ac:dyDescent="0.3">
      <c r="AW1790" s="1">
        <v>22.1</v>
      </c>
      <c r="AX1790" s="1">
        <v>22.1</v>
      </c>
      <c r="AY1790" t="str">
        <v>CP-R80_HI782-0_0.0_LOT0898_PWW.04.1_QC.xlsx</v>
      </c>
      <c r="AZ1790" t="str">
        <v>LOT0898</v>
      </c>
      <c r="BA1790" s="3">
        <v>22</v>
      </c>
      <c r="BB1790" t="str">
        <v>P/Prod</v>
      </c>
      <c r="BC1790">
        <v>35</v>
      </c>
      <c r="BD1790" s="10">
        <v>37.5</v>
      </c>
      <c r="BE1790" s="10">
        <v>0</v>
      </c>
      <c r="BF1790" s="10">
        <v>0</v>
      </c>
      <c r="BG1790" s="13">
        <v>45680</v>
      </c>
    </row>
    <row r="1791" spans="49:59" x14ac:dyDescent="0.3">
      <c r="AW1791" s="1">
        <v>22.1</v>
      </c>
      <c r="AX1791" s="1">
        <v>22.1</v>
      </c>
      <c r="AY1791" t="str">
        <v>CP-R80_HI782-0_0.0_LOT0898_PWW.04.1_QC.xlsx</v>
      </c>
      <c r="AZ1791" t="str">
        <v>LOT0898</v>
      </c>
      <c r="BA1791" s="3">
        <v>22</v>
      </c>
      <c r="BB1791" t="str">
        <v>P/Prod</v>
      </c>
      <c r="BC1791">
        <v>35</v>
      </c>
      <c r="BD1791" s="10">
        <v>38.4</v>
      </c>
      <c r="BE1791" s="10">
        <v>0</v>
      </c>
      <c r="BF1791" s="10">
        <v>0</v>
      </c>
      <c r="BG1791" s="13">
        <v>45680</v>
      </c>
    </row>
    <row r="1792" spans="49:59" x14ac:dyDescent="0.3">
      <c r="AW1792" s="1">
        <v>22.1</v>
      </c>
      <c r="AX1792" s="1">
        <v>22.1</v>
      </c>
      <c r="AY1792" t="str">
        <v>CP-R80_HI782-0_0.0_LOT0898_PWW.04.1_QC.xlsx</v>
      </c>
      <c r="AZ1792" t="str">
        <v>LOT0898</v>
      </c>
      <c r="BA1792" s="3">
        <v>22</v>
      </c>
      <c r="BB1792" t="str">
        <v>P/Prod</v>
      </c>
      <c r="BC1792">
        <v>35</v>
      </c>
      <c r="BD1792" s="10">
        <v>35</v>
      </c>
      <c r="BE1792" s="10">
        <v>0</v>
      </c>
      <c r="BF1792" s="10">
        <v>0</v>
      </c>
      <c r="BG1792" s="13">
        <v>45680</v>
      </c>
    </row>
    <row r="1793" spans="49:59" x14ac:dyDescent="0.3">
      <c r="AW1793" s="1">
        <v>22.1</v>
      </c>
      <c r="AX1793" s="1">
        <v>22.1</v>
      </c>
      <c r="AY1793" t="str">
        <v>CP-R80_HI782-0_0.0_LOT0898_PWW.04.1_QC.xlsx</v>
      </c>
      <c r="AZ1793" t="str">
        <v>LOT0898</v>
      </c>
      <c r="BA1793" s="3">
        <v>22</v>
      </c>
      <c r="BB1793" t="str">
        <v>P/Prod</v>
      </c>
      <c r="BC1793">
        <v>35</v>
      </c>
      <c r="BD1793" s="10">
        <v>36.700000000000003</v>
      </c>
      <c r="BE1793" s="10">
        <v>0</v>
      </c>
      <c r="BF1793" s="10">
        <v>0</v>
      </c>
      <c r="BG1793" s="13">
        <v>45680</v>
      </c>
    </row>
    <row r="1794" spans="49:59" x14ac:dyDescent="0.3">
      <c r="AW1794" s="1">
        <v>22.1</v>
      </c>
      <c r="AX1794" s="1">
        <v>22.1</v>
      </c>
      <c r="AY1794" t="str">
        <v>CP-R80_HI782-0_0.0_LOT0898_PWW.04.1_QC.xlsx</v>
      </c>
      <c r="AZ1794" t="str">
        <v>LOT0898</v>
      </c>
      <c r="BA1794" s="3">
        <v>22</v>
      </c>
      <c r="BB1794" t="str">
        <v>P/Prod</v>
      </c>
      <c r="BC1794">
        <v>35</v>
      </c>
      <c r="BD1794" s="10">
        <v>36.4</v>
      </c>
      <c r="BE1794" s="10">
        <v>0</v>
      </c>
      <c r="BF1794" s="10">
        <v>0</v>
      </c>
      <c r="BG1794" s="13">
        <v>45680</v>
      </c>
    </row>
    <row r="1795" spans="49:59" x14ac:dyDescent="0.3">
      <c r="AW1795" s="1">
        <v>22.1</v>
      </c>
      <c r="AX1795" s="1">
        <v>22.1</v>
      </c>
      <c r="AY1795" t="str">
        <v>CP-R80_HI782-0_0.0_LOT0898_PWW.04.1_QC.xlsx</v>
      </c>
      <c r="AZ1795" t="str">
        <v>LOT0898</v>
      </c>
      <c r="BA1795" s="3">
        <v>22</v>
      </c>
      <c r="BB1795" t="str">
        <v>P/Prod</v>
      </c>
      <c r="BC1795">
        <v>35</v>
      </c>
      <c r="BD1795" s="10">
        <v>36.9</v>
      </c>
      <c r="BE1795" s="10">
        <v>0</v>
      </c>
      <c r="BF1795" s="10">
        <v>0</v>
      </c>
      <c r="BG1795" s="13">
        <v>45680</v>
      </c>
    </row>
    <row r="1796" spans="49:59" x14ac:dyDescent="0.3">
      <c r="AW1796" s="1">
        <v>22.1</v>
      </c>
      <c r="AX1796" s="1">
        <v>22.1</v>
      </c>
      <c r="AY1796" t="str">
        <v>CP-R80_HI782-0_0.0_LOT0898_PWW.04.1_QC.xlsx</v>
      </c>
      <c r="AZ1796" t="str">
        <v>LOT0898</v>
      </c>
      <c r="BA1796" s="3">
        <v>22</v>
      </c>
      <c r="BB1796" t="str">
        <v>P/Prod</v>
      </c>
      <c r="BC1796">
        <v>35</v>
      </c>
      <c r="BD1796" s="10">
        <v>38.700000000000003</v>
      </c>
      <c r="BE1796" s="10">
        <v>0</v>
      </c>
      <c r="BF1796" s="10">
        <v>0</v>
      </c>
      <c r="BG1796" s="13">
        <v>45680</v>
      </c>
    </row>
    <row r="1797" spans="49:59" x14ac:dyDescent="0.3">
      <c r="AW1797" s="1">
        <v>22.1</v>
      </c>
      <c r="AX1797" s="1">
        <v>22.1</v>
      </c>
      <c r="AY1797" t="str">
        <v>CP-R80_HI782-0_0.0_LOT0898_PWW.04.1_QC.xlsx</v>
      </c>
      <c r="AZ1797" t="str">
        <v>LOT0898</v>
      </c>
      <c r="BA1797" s="3">
        <v>22</v>
      </c>
      <c r="BB1797" t="str">
        <v>P/Prod</v>
      </c>
      <c r="BC1797">
        <v>35</v>
      </c>
      <c r="BD1797" s="10">
        <v>35.4</v>
      </c>
      <c r="BE1797" s="10">
        <v>0</v>
      </c>
      <c r="BF1797" s="10">
        <v>0</v>
      </c>
      <c r="BG1797" s="13">
        <v>45680</v>
      </c>
    </row>
    <row r="1798" spans="49:59" x14ac:dyDescent="0.3">
      <c r="AW1798" s="1">
        <v>22.1</v>
      </c>
      <c r="AX1798" s="1">
        <v>22.1</v>
      </c>
      <c r="AY1798" t="str">
        <v>CP-R80_HI782-0_0.0_LOT0898_PWW.04.1_QC.xlsx</v>
      </c>
      <c r="AZ1798" t="str">
        <v>LOT0898</v>
      </c>
      <c r="BA1798" s="3">
        <v>22</v>
      </c>
      <c r="BB1798" t="str">
        <v>P/Prod</v>
      </c>
      <c r="BC1798">
        <v>35</v>
      </c>
      <c r="BD1798" s="10">
        <v>37.4</v>
      </c>
      <c r="BE1798" s="10">
        <v>0</v>
      </c>
      <c r="BF1798" s="10">
        <v>0</v>
      </c>
      <c r="BG1798" s="13">
        <v>45680</v>
      </c>
    </row>
    <row r="1799" spans="49:59" x14ac:dyDescent="0.3">
      <c r="AW1799" s="1">
        <v>22.1</v>
      </c>
      <c r="AX1799" s="1">
        <v>22.1</v>
      </c>
      <c r="AY1799" t="str">
        <v>CP-R80_HI782-0_0.0_LOT0898_PWW.04.1_QC.xlsx</v>
      </c>
      <c r="AZ1799" t="str">
        <v>LOT0898</v>
      </c>
      <c r="BA1799" s="3">
        <v>22</v>
      </c>
      <c r="BB1799" t="str">
        <v>P/Prod</v>
      </c>
      <c r="BC1799">
        <v>35</v>
      </c>
      <c r="BD1799" s="10">
        <v>34.200000000000003</v>
      </c>
      <c r="BE1799" s="10">
        <v>0</v>
      </c>
      <c r="BF1799" s="10">
        <v>0</v>
      </c>
      <c r="BG1799" s="13">
        <v>45680</v>
      </c>
    </row>
    <row r="1800" spans="49:59" x14ac:dyDescent="0.3">
      <c r="AW1800" s="1">
        <v>22.1</v>
      </c>
      <c r="AX1800" s="1">
        <v>22.1</v>
      </c>
      <c r="AY1800" t="str">
        <v>CP-R80_HI782-0_0.0_LOT0898_PWW.04.1_QC.xlsx</v>
      </c>
      <c r="AZ1800" t="str">
        <v>LOT0898</v>
      </c>
      <c r="BA1800" s="3">
        <v>22</v>
      </c>
      <c r="BB1800" t="str">
        <v>P/Prod</v>
      </c>
      <c r="BC1800">
        <v>60</v>
      </c>
      <c r="BD1800" s="10">
        <v>57.3</v>
      </c>
      <c r="BE1800" s="10">
        <v>0</v>
      </c>
      <c r="BF1800" s="10">
        <v>0</v>
      </c>
      <c r="BG1800" s="13">
        <v>45680</v>
      </c>
    </row>
    <row r="1801" spans="49:59" x14ac:dyDescent="0.3">
      <c r="AW1801" s="1">
        <v>22.1</v>
      </c>
      <c r="AX1801" s="1">
        <v>22.1</v>
      </c>
      <c r="AY1801" t="str">
        <v>CP-R80_HI782-0_0.0_LOT0898_PWW.04.1_QC.xlsx</v>
      </c>
      <c r="AZ1801" t="str">
        <v>LOT0898</v>
      </c>
      <c r="BA1801" s="3">
        <v>22</v>
      </c>
      <c r="BB1801" t="str">
        <v>P/Prod</v>
      </c>
      <c r="BC1801">
        <v>60</v>
      </c>
      <c r="BD1801" s="10">
        <v>60.2</v>
      </c>
      <c r="BE1801" s="10">
        <v>0</v>
      </c>
      <c r="BF1801" s="10">
        <v>0</v>
      </c>
      <c r="BG1801" s="13">
        <v>45680</v>
      </c>
    </row>
    <row r="1802" spans="49:59" x14ac:dyDescent="0.3">
      <c r="AW1802" s="1">
        <v>22.1</v>
      </c>
      <c r="AX1802" s="1">
        <v>22.1</v>
      </c>
      <c r="AY1802" t="str">
        <v>CP-R80_HI782-0_0.0_LOT0898_PWW.04.1_QC.xlsx</v>
      </c>
      <c r="AZ1802" t="str">
        <v>LOT0898</v>
      </c>
      <c r="BA1802" s="3">
        <v>22</v>
      </c>
      <c r="BB1802" t="str">
        <v>P/Prod</v>
      </c>
      <c r="BC1802">
        <v>60</v>
      </c>
      <c r="BD1802" s="10">
        <v>63.1</v>
      </c>
      <c r="BE1802" s="10">
        <v>0</v>
      </c>
      <c r="BF1802" s="10">
        <v>0</v>
      </c>
      <c r="BG1802" s="13">
        <v>45680</v>
      </c>
    </row>
    <row r="1803" spans="49:59" x14ac:dyDescent="0.3">
      <c r="AW1803" s="1">
        <v>22.1</v>
      </c>
      <c r="AX1803" s="1">
        <v>22.1</v>
      </c>
      <c r="AY1803" t="str">
        <v>CP-R80_HI782-0_0.0_LOT0898_PWW.04.1_QC.xlsx</v>
      </c>
      <c r="AZ1803" t="str">
        <v>LOT0898</v>
      </c>
      <c r="BA1803" s="3">
        <v>22</v>
      </c>
      <c r="BB1803" t="str">
        <v>P/Prod</v>
      </c>
      <c r="BC1803">
        <v>60</v>
      </c>
      <c r="BD1803" s="10">
        <v>57.7</v>
      </c>
      <c r="BE1803" s="10">
        <v>0</v>
      </c>
      <c r="BF1803" s="10">
        <v>0</v>
      </c>
      <c r="BG1803" s="13">
        <v>45680</v>
      </c>
    </row>
    <row r="1804" spans="49:59" x14ac:dyDescent="0.3">
      <c r="AW1804" s="1">
        <v>22.1</v>
      </c>
      <c r="AX1804" s="1">
        <v>22.1</v>
      </c>
      <c r="AY1804" t="str">
        <v>CP-R80_HI782-0_0.0_LOT0898_PWW.04.1_QC.xlsx</v>
      </c>
      <c r="AZ1804" t="str">
        <v>LOT0898</v>
      </c>
      <c r="BA1804" s="3">
        <v>22</v>
      </c>
      <c r="BB1804" t="str">
        <v>P/Prod</v>
      </c>
      <c r="BC1804">
        <v>60</v>
      </c>
      <c r="BD1804" s="10">
        <v>59</v>
      </c>
      <c r="BE1804" s="10">
        <v>0</v>
      </c>
      <c r="BF1804" s="10">
        <v>0</v>
      </c>
      <c r="BG1804" s="13">
        <v>45680</v>
      </c>
    </row>
    <row r="1805" spans="49:59" x14ac:dyDescent="0.3">
      <c r="AW1805" s="1">
        <v>22.1</v>
      </c>
      <c r="AX1805" s="1">
        <v>22.1</v>
      </c>
      <c r="AY1805" t="str">
        <v>CP-R80_HI782-0_0.0_LOT0898_PWW.04.1_QC.xlsx</v>
      </c>
      <c r="AZ1805" t="str">
        <v>LOT0898</v>
      </c>
      <c r="BA1805" s="3">
        <v>22</v>
      </c>
      <c r="BB1805" t="str">
        <v>P/Prod</v>
      </c>
      <c r="BC1805">
        <v>60</v>
      </c>
      <c r="BD1805" s="10">
        <v>56.7</v>
      </c>
      <c r="BE1805" s="10">
        <v>0</v>
      </c>
      <c r="BF1805" s="10">
        <v>0</v>
      </c>
      <c r="BG1805" s="13">
        <v>45680</v>
      </c>
    </row>
    <row r="1806" spans="49:59" x14ac:dyDescent="0.3">
      <c r="AW1806" s="1">
        <v>22.1</v>
      </c>
      <c r="AX1806" s="1">
        <v>22.1</v>
      </c>
      <c r="AY1806" t="str">
        <v>CP-R80_HI782-0_0.0_LOT0898_PWW.04.1_QC.xlsx</v>
      </c>
      <c r="AZ1806" t="str">
        <v>LOT0898</v>
      </c>
      <c r="BA1806" s="3">
        <v>22</v>
      </c>
      <c r="BB1806" t="str">
        <v>P/Prod</v>
      </c>
      <c r="BC1806">
        <v>60</v>
      </c>
      <c r="BD1806" s="10">
        <v>60.4</v>
      </c>
      <c r="BE1806" s="10">
        <v>0</v>
      </c>
      <c r="BF1806" s="10">
        <v>0</v>
      </c>
      <c r="BG1806" s="13">
        <v>45680</v>
      </c>
    </row>
    <row r="1807" spans="49:59" x14ac:dyDescent="0.3">
      <c r="AW1807" s="1">
        <v>22.1</v>
      </c>
      <c r="AX1807" s="1">
        <v>22.1</v>
      </c>
      <c r="AY1807" t="str">
        <v>CP-R80_HI782-0_0.0_LOT0898_PWW.04.1_QC.xlsx</v>
      </c>
      <c r="AZ1807" t="str">
        <v>LOT0898</v>
      </c>
      <c r="BA1807" s="3">
        <v>22</v>
      </c>
      <c r="BB1807" t="str">
        <v>P/Prod</v>
      </c>
      <c r="BC1807">
        <v>60</v>
      </c>
      <c r="BD1807" s="10">
        <v>56.6</v>
      </c>
      <c r="BE1807" s="10">
        <v>0</v>
      </c>
      <c r="BF1807" s="10">
        <v>0</v>
      </c>
      <c r="BG1807" s="13">
        <v>45680</v>
      </c>
    </row>
    <row r="1808" spans="49:59" x14ac:dyDescent="0.3">
      <c r="AW1808" s="1">
        <v>22.1</v>
      </c>
      <c r="AX1808" s="1">
        <v>22.1</v>
      </c>
      <c r="AY1808" t="str">
        <v>CP-R80_HI782-0_0.0_LOT0898_PWW.04.1_QC.xlsx</v>
      </c>
      <c r="AZ1808" t="str">
        <v>LOT0898</v>
      </c>
      <c r="BA1808" s="3">
        <v>22</v>
      </c>
      <c r="BB1808" t="str">
        <v>P/Prod</v>
      </c>
      <c r="BC1808">
        <v>60</v>
      </c>
      <c r="BD1808" s="10">
        <v>64.2</v>
      </c>
      <c r="BE1808" s="10">
        <v>0</v>
      </c>
      <c r="BF1808" s="10">
        <v>0</v>
      </c>
      <c r="BG1808" s="13">
        <v>45680</v>
      </c>
    </row>
    <row r="1809" spans="49:59" x14ac:dyDescent="0.3">
      <c r="AW1809" s="1">
        <v>22.1</v>
      </c>
      <c r="AX1809" s="1">
        <v>22.1</v>
      </c>
      <c r="AY1809" t="str">
        <v>CP-R80_HI782-0_0.0_LOT0898_PWW.04.1_QC.xlsx</v>
      </c>
      <c r="AZ1809" t="str">
        <v>LOT0898</v>
      </c>
      <c r="BA1809" s="3">
        <v>22</v>
      </c>
      <c r="BB1809" t="str">
        <v>P/Prod</v>
      </c>
      <c r="BC1809">
        <v>60</v>
      </c>
      <c r="BD1809" s="10">
        <v>60</v>
      </c>
      <c r="BE1809" s="10">
        <v>0</v>
      </c>
      <c r="BF1809" s="10">
        <v>0</v>
      </c>
      <c r="BG1809" s="13">
        <v>45680</v>
      </c>
    </row>
    <row r="1810" spans="49:59" x14ac:dyDescent="0.3">
      <c r="AW1810" s="1">
        <v>22.1</v>
      </c>
      <c r="AX1810" s="1">
        <v>22.1</v>
      </c>
      <c r="AY1810" t="str">
        <v>CP-R80_HI782-0_0.0_LOT0898_PWW.04.1_QC.xlsx</v>
      </c>
      <c r="AZ1810" t="str">
        <v>LOT0898</v>
      </c>
      <c r="BA1810" s="3">
        <v>22</v>
      </c>
      <c r="BB1810" t="str">
        <v>P/Prod</v>
      </c>
      <c r="BC1810">
        <v>60</v>
      </c>
      <c r="BD1810" s="10">
        <v>63.2</v>
      </c>
      <c r="BE1810" s="10">
        <v>0</v>
      </c>
      <c r="BF1810" s="10">
        <v>0</v>
      </c>
      <c r="BG1810" s="13">
        <v>45680</v>
      </c>
    </row>
    <row r="1811" spans="49:59" x14ac:dyDescent="0.3">
      <c r="AW1811" s="1">
        <v>22.1</v>
      </c>
      <c r="AX1811" s="1">
        <v>22.1</v>
      </c>
      <c r="AY1811" t="str">
        <v>CP-R80_HI782-0_0.0_LOT0898_PWW.04.1_QC.xlsx</v>
      </c>
      <c r="AZ1811" t="str">
        <v>LOT0898</v>
      </c>
      <c r="BA1811" s="3">
        <v>22</v>
      </c>
      <c r="BB1811" t="str">
        <v>P/Prod</v>
      </c>
      <c r="BC1811">
        <v>60</v>
      </c>
      <c r="BD1811" s="10">
        <v>59.2</v>
      </c>
      <c r="BE1811" s="10">
        <v>0</v>
      </c>
      <c r="BF1811" s="10">
        <v>0</v>
      </c>
      <c r="BG1811" s="13">
        <v>45680</v>
      </c>
    </row>
    <row r="1812" spans="49:59" x14ac:dyDescent="0.3">
      <c r="AW1812" s="1">
        <v>22.1</v>
      </c>
      <c r="AX1812" s="1">
        <v>22.1</v>
      </c>
      <c r="AY1812" t="str">
        <v>CP-R80_HI782-0_0.0_LOT0898_PWW.04.1_QC.xlsx</v>
      </c>
      <c r="AZ1812" t="str">
        <v>LOT0898</v>
      </c>
      <c r="BA1812" s="3">
        <v>22</v>
      </c>
      <c r="BB1812" t="str">
        <v>P/Prod</v>
      </c>
      <c r="BC1812">
        <v>60</v>
      </c>
      <c r="BD1812" s="10">
        <v>63.5</v>
      </c>
      <c r="BE1812" s="10">
        <v>0</v>
      </c>
      <c r="BF1812" s="10">
        <v>0</v>
      </c>
      <c r="BG1812" s="13">
        <v>45680</v>
      </c>
    </row>
    <row r="1813" spans="49:59" x14ac:dyDescent="0.3">
      <c r="AW1813" s="1">
        <v>22.1</v>
      </c>
      <c r="AX1813" s="1">
        <v>22.1</v>
      </c>
      <c r="AY1813" t="str">
        <v>CP-R80_HI782-0_0.0_LOT0898_PWW.04.1_QC.xlsx</v>
      </c>
      <c r="AZ1813" t="str">
        <v>LOT0898</v>
      </c>
      <c r="BA1813" s="3">
        <v>22</v>
      </c>
      <c r="BB1813" t="str">
        <v>P/Prod</v>
      </c>
      <c r="BC1813">
        <v>60</v>
      </c>
      <c r="BD1813" s="10">
        <v>60.1</v>
      </c>
      <c r="BE1813" s="10">
        <v>0</v>
      </c>
      <c r="BF1813" s="10">
        <v>0</v>
      </c>
      <c r="BG1813" s="13">
        <v>45680</v>
      </c>
    </row>
    <row r="1814" spans="49:59" x14ac:dyDescent="0.3">
      <c r="AW1814" s="1">
        <v>22.1</v>
      </c>
      <c r="AX1814" s="1">
        <v>22.1</v>
      </c>
      <c r="AY1814" t="str">
        <v>CP-R80_HI782-0_0.0_LOT0898_PWW.04.1_QC.xlsx</v>
      </c>
      <c r="AZ1814" t="str">
        <v>LOT0898</v>
      </c>
      <c r="BA1814" s="3">
        <v>22</v>
      </c>
      <c r="BB1814" t="str">
        <v>P/Prod</v>
      </c>
      <c r="BC1814">
        <v>0</v>
      </c>
      <c r="BD1814" s="10">
        <v>0</v>
      </c>
      <c r="BE1814" s="10">
        <v>0</v>
      </c>
      <c r="BF1814" s="10">
        <v>0</v>
      </c>
      <c r="BG1814" s="13">
        <v>45684</v>
      </c>
    </row>
    <row r="1815" spans="49:59" x14ac:dyDescent="0.3">
      <c r="AW1815" s="1">
        <v>22.1</v>
      </c>
      <c r="AX1815" s="1">
        <v>22.1</v>
      </c>
      <c r="AY1815" t="str">
        <v>CP-R80_HI782-0_0.0_LOT0898_PWW.04.1_QC.xlsx</v>
      </c>
      <c r="AZ1815" t="str">
        <v>LOT0898</v>
      </c>
      <c r="BA1815" s="3">
        <v>22</v>
      </c>
      <c r="BB1815" t="str">
        <v>P/Prod</v>
      </c>
      <c r="BC1815">
        <v>0</v>
      </c>
      <c r="BD1815" s="10">
        <v>0</v>
      </c>
      <c r="BE1815" s="10">
        <v>0</v>
      </c>
      <c r="BF1815" s="10">
        <v>0</v>
      </c>
      <c r="BG1815" s="13">
        <v>45684</v>
      </c>
    </row>
    <row r="1816" spans="49:59" x14ac:dyDescent="0.3">
      <c r="AW1816" s="1">
        <v>22.1</v>
      </c>
      <c r="AX1816" s="1">
        <v>22.1</v>
      </c>
      <c r="AY1816" t="str">
        <v>CP-R80_HI782-0_0.0_LOT0898_PWW.04.1_QC.xlsx</v>
      </c>
      <c r="AZ1816" t="str">
        <v>LOT0898</v>
      </c>
      <c r="BA1816" s="3">
        <v>22</v>
      </c>
      <c r="BB1816" t="str">
        <v>P/Prod</v>
      </c>
      <c r="BC1816">
        <v>15</v>
      </c>
      <c r="BD1816" s="10">
        <v>17.5</v>
      </c>
      <c r="BE1816" s="10">
        <v>0</v>
      </c>
      <c r="BF1816" s="10">
        <v>0</v>
      </c>
      <c r="BG1816" s="13">
        <v>45684</v>
      </c>
    </row>
    <row r="1817" spans="49:59" x14ac:dyDescent="0.3">
      <c r="AW1817" s="1">
        <v>22.1</v>
      </c>
      <c r="AX1817" s="1">
        <v>22.1</v>
      </c>
      <c r="AY1817" t="str">
        <v>CP-R80_HI782-0_0.0_LOT0898_PWW.04.1_QC.xlsx</v>
      </c>
      <c r="AZ1817" t="str">
        <v>LOT0898</v>
      </c>
      <c r="BA1817" s="3">
        <v>22</v>
      </c>
      <c r="BB1817" t="str">
        <v>P/Prod</v>
      </c>
      <c r="BC1817">
        <v>15</v>
      </c>
      <c r="BD1817" s="10">
        <v>16.899999999999999</v>
      </c>
      <c r="BE1817" s="10">
        <v>0</v>
      </c>
      <c r="BF1817" s="10">
        <v>0</v>
      </c>
      <c r="BG1817" s="13">
        <v>45684</v>
      </c>
    </row>
    <row r="1818" spans="49:59" x14ac:dyDescent="0.3">
      <c r="AW1818" s="1">
        <v>22.1</v>
      </c>
      <c r="AX1818" s="1">
        <v>22.1</v>
      </c>
      <c r="AY1818" t="str">
        <v>CP-R80_HI782-0_0.0_LOT0898_PWW.04.1_QC.xlsx</v>
      </c>
      <c r="AZ1818" t="str">
        <v>LOT0898</v>
      </c>
      <c r="BA1818" s="3">
        <v>22</v>
      </c>
      <c r="BB1818" t="str">
        <v>P/Prod</v>
      </c>
      <c r="BC1818">
        <v>15</v>
      </c>
      <c r="BD1818" s="10">
        <v>16.899999999999999</v>
      </c>
      <c r="BE1818" s="10">
        <v>0</v>
      </c>
      <c r="BF1818" s="10">
        <v>0</v>
      </c>
      <c r="BG1818" s="13">
        <v>45684</v>
      </c>
    </row>
    <row r="1819" spans="49:59" x14ac:dyDescent="0.3">
      <c r="AW1819" s="1">
        <v>22.1</v>
      </c>
      <c r="AX1819" s="1">
        <v>22.1</v>
      </c>
      <c r="AY1819" t="str">
        <v>CP-R80_HI782-0_0.0_LOT0898_PWW.04.1_QC.xlsx</v>
      </c>
      <c r="AZ1819" t="str">
        <v>LOT0898</v>
      </c>
      <c r="BA1819" s="3">
        <v>22</v>
      </c>
      <c r="BB1819" t="str">
        <v>P/Prod</v>
      </c>
      <c r="BC1819">
        <v>15</v>
      </c>
      <c r="BD1819" s="10">
        <v>14.4</v>
      </c>
      <c r="BE1819" s="10">
        <v>0</v>
      </c>
      <c r="BF1819" s="10">
        <v>0</v>
      </c>
      <c r="BG1819" s="13">
        <v>45684</v>
      </c>
    </row>
    <row r="1820" spans="49:59" x14ac:dyDescent="0.3">
      <c r="AW1820" s="1">
        <v>22.1</v>
      </c>
      <c r="AX1820" s="1">
        <v>22.1</v>
      </c>
      <c r="AY1820" t="str">
        <v>CP-R80_HI782-0_0.0_LOT0898_PWW.04.1_QC.xlsx</v>
      </c>
      <c r="AZ1820" t="str">
        <v>LOT0898</v>
      </c>
      <c r="BA1820" s="3">
        <v>22</v>
      </c>
      <c r="BB1820" t="str">
        <v>P/Prod</v>
      </c>
      <c r="BC1820">
        <v>15</v>
      </c>
      <c r="BD1820" s="10">
        <v>15.6</v>
      </c>
      <c r="BE1820" s="10">
        <v>0</v>
      </c>
      <c r="BF1820" s="10">
        <v>0</v>
      </c>
      <c r="BG1820" s="13">
        <v>45684</v>
      </c>
    </row>
    <row r="1821" spans="49:59" x14ac:dyDescent="0.3">
      <c r="AW1821" s="1">
        <v>22.1</v>
      </c>
      <c r="AX1821" s="1">
        <v>22.1</v>
      </c>
      <c r="AY1821" t="str">
        <v>CP-R80_HI782-0_0.0_LOT0898_PWW.04.1_QC.xlsx</v>
      </c>
      <c r="AZ1821" t="str">
        <v>LOT0898</v>
      </c>
      <c r="BA1821" s="3">
        <v>22</v>
      </c>
      <c r="BB1821" t="str">
        <v>P/Prod</v>
      </c>
      <c r="BC1821">
        <v>15</v>
      </c>
      <c r="BD1821" s="10">
        <v>16.3</v>
      </c>
      <c r="BE1821" s="10">
        <v>0</v>
      </c>
      <c r="BF1821" s="10">
        <v>0</v>
      </c>
      <c r="BG1821" s="13">
        <v>45684</v>
      </c>
    </row>
    <row r="1822" spans="49:59" x14ac:dyDescent="0.3">
      <c r="AW1822" s="1">
        <v>22.1</v>
      </c>
      <c r="AX1822" s="1">
        <v>22.1</v>
      </c>
      <c r="AY1822" t="str">
        <v>CP-R80_HI782-0_0.0_LOT0898_PWW.04.1_QC.xlsx</v>
      </c>
      <c r="AZ1822" t="str">
        <v>LOT0898</v>
      </c>
      <c r="BA1822" s="3">
        <v>22</v>
      </c>
      <c r="BB1822" t="str">
        <v>P/Prod</v>
      </c>
      <c r="BC1822">
        <v>15</v>
      </c>
      <c r="BD1822" s="10">
        <v>17.7</v>
      </c>
      <c r="BE1822" s="10">
        <v>0</v>
      </c>
      <c r="BF1822" s="10">
        <v>0</v>
      </c>
      <c r="BG1822" s="13">
        <v>45684</v>
      </c>
    </row>
    <row r="1823" spans="49:59" x14ac:dyDescent="0.3">
      <c r="AW1823" s="1">
        <v>22.1</v>
      </c>
      <c r="AX1823" s="1">
        <v>22.1</v>
      </c>
      <c r="AY1823" t="str">
        <v>CP-R80_HI782-0_0.0_LOT0898_PWW.04.1_QC.xlsx</v>
      </c>
      <c r="AZ1823" t="str">
        <v>LOT0898</v>
      </c>
      <c r="BA1823" s="3">
        <v>22</v>
      </c>
      <c r="BB1823" t="str">
        <v>P/Prod</v>
      </c>
      <c r="BC1823">
        <v>15</v>
      </c>
      <c r="BD1823" s="10">
        <v>15.8</v>
      </c>
      <c r="BE1823" s="10">
        <v>0</v>
      </c>
      <c r="BF1823" s="10">
        <v>0</v>
      </c>
      <c r="BG1823" s="13">
        <v>45684</v>
      </c>
    </row>
    <row r="1824" spans="49:59" x14ac:dyDescent="0.3">
      <c r="AW1824" s="1">
        <v>22.1</v>
      </c>
      <c r="AX1824" s="1">
        <v>22.1</v>
      </c>
      <c r="AY1824" t="str">
        <v>CP-R80_HI782-0_0.0_LOT0898_PWW.04.1_QC.xlsx</v>
      </c>
      <c r="AZ1824" t="str">
        <v>LOT0898</v>
      </c>
      <c r="BA1824" s="3">
        <v>22</v>
      </c>
      <c r="BB1824" t="str">
        <v>P/Prod</v>
      </c>
      <c r="BC1824">
        <v>15</v>
      </c>
      <c r="BD1824" s="10">
        <v>16.899999999999999</v>
      </c>
      <c r="BE1824" s="10">
        <v>0</v>
      </c>
      <c r="BF1824" s="10">
        <v>0</v>
      </c>
      <c r="BG1824" s="13">
        <v>45684</v>
      </c>
    </row>
    <row r="1825" spans="49:59" x14ac:dyDescent="0.3">
      <c r="AW1825" s="1">
        <v>22.1</v>
      </c>
      <c r="AX1825" s="1">
        <v>22.1</v>
      </c>
      <c r="AY1825" t="str">
        <v>CP-R80_HI782-0_0.0_LOT0898_PWW.04.1_QC.xlsx</v>
      </c>
      <c r="AZ1825" t="str">
        <v>LOT0898</v>
      </c>
      <c r="BA1825" s="3">
        <v>22</v>
      </c>
      <c r="BB1825" t="str">
        <v>P/Prod</v>
      </c>
      <c r="BC1825">
        <v>15</v>
      </c>
      <c r="BD1825" s="10">
        <v>17.600000000000001</v>
      </c>
      <c r="BE1825" s="10">
        <v>0</v>
      </c>
      <c r="BF1825" s="10">
        <v>0</v>
      </c>
      <c r="BG1825" s="13">
        <v>45684</v>
      </c>
    </row>
    <row r="1826" spans="49:59" x14ac:dyDescent="0.3">
      <c r="AW1826" s="1">
        <v>22.1</v>
      </c>
      <c r="AX1826" s="1">
        <v>22.1</v>
      </c>
      <c r="AY1826" t="str">
        <v>CP-R80_HI782-0_0.0_LOT0898_PWW.04.1_QC.xlsx</v>
      </c>
      <c r="AZ1826" t="str">
        <v>LOT0898</v>
      </c>
      <c r="BA1826" s="3">
        <v>22</v>
      </c>
      <c r="BB1826" t="str">
        <v>P/Prod</v>
      </c>
      <c r="BC1826">
        <v>35</v>
      </c>
      <c r="BD1826" s="10">
        <v>38.299999999999997</v>
      </c>
      <c r="BE1826" s="10">
        <v>0</v>
      </c>
      <c r="BF1826" s="10">
        <v>0</v>
      </c>
      <c r="BG1826" s="13">
        <v>45684</v>
      </c>
    </row>
    <row r="1827" spans="49:59" x14ac:dyDescent="0.3">
      <c r="AW1827" s="1">
        <v>22.1</v>
      </c>
      <c r="AX1827" s="1">
        <v>22.1</v>
      </c>
      <c r="AY1827" t="str">
        <v>CP-R80_HI782-0_0.0_LOT0898_PWW.04.1_QC.xlsx</v>
      </c>
      <c r="AZ1827" t="str">
        <v>LOT0898</v>
      </c>
      <c r="BA1827" s="3">
        <v>22</v>
      </c>
      <c r="BB1827" t="str">
        <v>P/Prod</v>
      </c>
      <c r="BC1827">
        <v>35</v>
      </c>
      <c r="BD1827" s="10">
        <v>38.5</v>
      </c>
      <c r="BE1827" s="10">
        <v>0</v>
      </c>
      <c r="BF1827" s="10">
        <v>0</v>
      </c>
      <c r="BG1827" s="13">
        <v>45684</v>
      </c>
    </row>
    <row r="1828" spans="49:59" x14ac:dyDescent="0.3">
      <c r="AW1828" s="1">
        <v>22.1</v>
      </c>
      <c r="AX1828" s="1">
        <v>22.1</v>
      </c>
      <c r="AY1828" t="str">
        <v>CP-R80_HI782-0_0.0_LOT0898_PWW.04.1_QC.xlsx</v>
      </c>
      <c r="AZ1828" t="str">
        <v>LOT0898</v>
      </c>
      <c r="BA1828" s="3">
        <v>22</v>
      </c>
      <c r="BB1828" t="str">
        <v>P/Prod</v>
      </c>
      <c r="BC1828">
        <v>35</v>
      </c>
      <c r="BD1828" s="10">
        <v>35.299999999999997</v>
      </c>
      <c r="BE1828" s="10">
        <v>0</v>
      </c>
      <c r="BF1828" s="10">
        <v>0</v>
      </c>
      <c r="BG1828" s="13">
        <v>45684</v>
      </c>
    </row>
    <row r="1829" spans="49:59" x14ac:dyDescent="0.3">
      <c r="AW1829" s="1">
        <v>22.1</v>
      </c>
      <c r="AX1829" s="1">
        <v>22.1</v>
      </c>
      <c r="AY1829" t="str">
        <v>CP-R80_HI782-0_0.0_LOT0898_PWW.04.1_QC.xlsx</v>
      </c>
      <c r="AZ1829" t="str">
        <v>LOT0898</v>
      </c>
      <c r="BA1829" s="3">
        <v>22</v>
      </c>
      <c r="BB1829" t="str">
        <v>P/Prod</v>
      </c>
      <c r="BC1829">
        <v>35</v>
      </c>
      <c r="BD1829" s="10">
        <v>37</v>
      </c>
      <c r="BE1829" s="10">
        <v>0</v>
      </c>
      <c r="BF1829" s="10">
        <v>0</v>
      </c>
      <c r="BG1829" s="13">
        <v>45684</v>
      </c>
    </row>
    <row r="1830" spans="49:59" x14ac:dyDescent="0.3">
      <c r="AW1830" s="1">
        <v>22.1</v>
      </c>
      <c r="AX1830" s="1">
        <v>22.1</v>
      </c>
      <c r="AY1830" t="str">
        <v>CP-R80_HI782-0_0.0_LOT0898_PWW.04.1_QC.xlsx</v>
      </c>
      <c r="AZ1830" t="str">
        <v>LOT0898</v>
      </c>
      <c r="BA1830" s="3">
        <v>22</v>
      </c>
      <c r="BB1830" t="str">
        <v>P/Prod</v>
      </c>
      <c r="BC1830">
        <v>35</v>
      </c>
      <c r="BD1830" s="10">
        <v>35.6</v>
      </c>
      <c r="BE1830" s="10">
        <v>0</v>
      </c>
      <c r="BF1830" s="10">
        <v>0</v>
      </c>
      <c r="BG1830" s="13">
        <v>45684</v>
      </c>
    </row>
    <row r="1831" spans="49:59" x14ac:dyDescent="0.3">
      <c r="AW1831" s="1">
        <v>22.1</v>
      </c>
      <c r="AX1831" s="1">
        <v>22.1</v>
      </c>
      <c r="AY1831" t="str">
        <v>CP-R80_HI782-0_0.0_LOT0898_PWW.04.1_QC.xlsx</v>
      </c>
      <c r="AZ1831" t="str">
        <v>LOT0898</v>
      </c>
      <c r="BA1831" s="3">
        <v>22</v>
      </c>
      <c r="BB1831" t="str">
        <v>P/Prod</v>
      </c>
      <c r="BC1831">
        <v>35</v>
      </c>
      <c r="BD1831" s="10">
        <v>37.299999999999997</v>
      </c>
      <c r="BE1831" s="10">
        <v>0</v>
      </c>
      <c r="BF1831" s="10">
        <v>0</v>
      </c>
      <c r="BG1831" s="13">
        <v>45684</v>
      </c>
    </row>
    <row r="1832" spans="49:59" x14ac:dyDescent="0.3">
      <c r="AW1832" s="1">
        <v>22.1</v>
      </c>
      <c r="AX1832" s="1">
        <v>22.1</v>
      </c>
      <c r="AY1832" t="str">
        <v>CP-R80_HI782-0_0.0_LOT0898_PWW.04.1_QC.xlsx</v>
      </c>
      <c r="AZ1832" t="str">
        <v>LOT0898</v>
      </c>
      <c r="BA1832" s="3">
        <v>22</v>
      </c>
      <c r="BB1832" t="str">
        <v>P/Prod</v>
      </c>
      <c r="BC1832">
        <v>35</v>
      </c>
      <c r="BD1832" s="10">
        <v>36.799999999999997</v>
      </c>
      <c r="BE1832" s="10">
        <v>0</v>
      </c>
      <c r="BF1832" s="10">
        <v>0</v>
      </c>
      <c r="BG1832" s="13">
        <v>45684</v>
      </c>
    </row>
    <row r="1833" spans="49:59" x14ac:dyDescent="0.3">
      <c r="AW1833" s="1">
        <v>22.1</v>
      </c>
      <c r="AX1833" s="1">
        <v>22.1</v>
      </c>
      <c r="AY1833" t="str">
        <v>CP-R80_HI782-0_0.0_LOT0898_PWW.04.1_QC.xlsx</v>
      </c>
      <c r="AZ1833" t="str">
        <v>LOT0898</v>
      </c>
      <c r="BA1833" s="3">
        <v>22</v>
      </c>
      <c r="BB1833" t="str">
        <v>P/Prod</v>
      </c>
      <c r="BC1833">
        <v>35</v>
      </c>
      <c r="BD1833" s="10">
        <v>37.9</v>
      </c>
      <c r="BE1833" s="10">
        <v>0</v>
      </c>
      <c r="BF1833" s="10">
        <v>0</v>
      </c>
      <c r="BG1833" s="13">
        <v>45684</v>
      </c>
    </row>
    <row r="1834" spans="49:59" x14ac:dyDescent="0.3">
      <c r="AW1834" s="1">
        <v>22.1</v>
      </c>
      <c r="AX1834" s="1">
        <v>22.1</v>
      </c>
      <c r="AY1834" t="str">
        <v>CP-R80_HI782-0_0.0_LOT0898_PWW.04.1_QC.xlsx</v>
      </c>
      <c r="AZ1834" t="str">
        <v>LOT0898</v>
      </c>
      <c r="BA1834" s="3">
        <v>22</v>
      </c>
      <c r="BB1834" t="str">
        <v>P/Prod</v>
      </c>
      <c r="BC1834">
        <v>35</v>
      </c>
      <c r="BD1834" s="10">
        <v>37.5</v>
      </c>
      <c r="BE1834" s="10">
        <v>0</v>
      </c>
      <c r="BF1834" s="10">
        <v>0</v>
      </c>
      <c r="BG1834" s="13">
        <v>45684</v>
      </c>
    </row>
    <row r="1835" spans="49:59" x14ac:dyDescent="0.3">
      <c r="AW1835" s="1">
        <v>22.1</v>
      </c>
      <c r="AX1835" s="1">
        <v>22.1</v>
      </c>
      <c r="AY1835" t="str">
        <v>CP-R80_HI782-0_0.0_LOT0898_PWW.04.1_QC.xlsx</v>
      </c>
      <c r="AZ1835" t="str">
        <v>LOT0898</v>
      </c>
      <c r="BA1835" s="3">
        <v>22</v>
      </c>
      <c r="BB1835" t="str">
        <v>P/Prod</v>
      </c>
      <c r="BC1835">
        <v>35</v>
      </c>
      <c r="BD1835" s="10">
        <v>37.799999999999997</v>
      </c>
      <c r="BE1835" s="10">
        <v>0</v>
      </c>
      <c r="BF1835" s="10">
        <v>0</v>
      </c>
      <c r="BG1835" s="13">
        <v>45684</v>
      </c>
    </row>
    <row r="1836" spans="49:59" x14ac:dyDescent="0.3">
      <c r="AW1836" s="1">
        <v>22.1</v>
      </c>
      <c r="AX1836" s="1">
        <v>22.1</v>
      </c>
      <c r="AY1836" t="str">
        <v>CP-R80_HI782-0_0.0_LOT0898_PWW.04.1_QC.xlsx</v>
      </c>
      <c r="AZ1836" t="str">
        <v>LOT0898</v>
      </c>
      <c r="BA1836" s="3">
        <v>22</v>
      </c>
      <c r="BB1836" t="str">
        <v>P/Prod</v>
      </c>
      <c r="BC1836">
        <v>60</v>
      </c>
      <c r="BD1836" s="10">
        <v>55.4</v>
      </c>
      <c r="BE1836" s="10">
        <v>0</v>
      </c>
      <c r="BF1836" s="10">
        <v>0</v>
      </c>
      <c r="BG1836" s="13">
        <v>45684</v>
      </c>
    </row>
    <row r="1837" spans="49:59" x14ac:dyDescent="0.3">
      <c r="AW1837" s="1">
        <v>22.1</v>
      </c>
      <c r="AX1837" s="1">
        <v>22.1</v>
      </c>
      <c r="AY1837" t="str">
        <v>CP-R80_HI782-0_0.0_LOT0898_PWW.04.1_QC.xlsx</v>
      </c>
      <c r="AZ1837" t="str">
        <v>LOT0898</v>
      </c>
      <c r="BA1837" s="3">
        <v>22</v>
      </c>
      <c r="BB1837" t="str">
        <v>P/Prod</v>
      </c>
      <c r="BC1837">
        <v>60</v>
      </c>
      <c r="BD1837" s="10">
        <v>60.6</v>
      </c>
      <c r="BE1837" s="10">
        <v>0</v>
      </c>
      <c r="BF1837" s="10">
        <v>0</v>
      </c>
      <c r="BG1837" s="13">
        <v>45684</v>
      </c>
    </row>
    <row r="1838" spans="49:59" x14ac:dyDescent="0.3">
      <c r="AW1838" s="1">
        <v>22.1</v>
      </c>
      <c r="AX1838" s="1">
        <v>22.1</v>
      </c>
      <c r="AY1838" t="str">
        <v>CP-R80_HI782-0_0.0_LOT0898_PWW.04.1_QC.xlsx</v>
      </c>
      <c r="AZ1838" t="str">
        <v>LOT0898</v>
      </c>
      <c r="BA1838" s="3">
        <v>22</v>
      </c>
      <c r="BB1838" t="str">
        <v>P/Prod</v>
      </c>
      <c r="BC1838">
        <v>60</v>
      </c>
      <c r="BD1838" s="10">
        <v>58.4</v>
      </c>
      <c r="BE1838" s="10">
        <v>0</v>
      </c>
      <c r="BF1838" s="10">
        <v>0</v>
      </c>
      <c r="BG1838" s="13">
        <v>45684</v>
      </c>
    </row>
    <row r="1839" spans="49:59" x14ac:dyDescent="0.3">
      <c r="AW1839" s="1">
        <v>22.1</v>
      </c>
      <c r="AX1839" s="1">
        <v>22.1</v>
      </c>
      <c r="AY1839" t="str">
        <v>CP-R80_HI782-0_0.0_LOT0898_PWW.04.1_QC.xlsx</v>
      </c>
      <c r="AZ1839" t="str">
        <v>LOT0898</v>
      </c>
      <c r="BA1839" s="3">
        <v>22</v>
      </c>
      <c r="BB1839" t="str">
        <v>P/Prod</v>
      </c>
      <c r="BC1839">
        <v>60</v>
      </c>
      <c r="BD1839" s="10">
        <v>61.3</v>
      </c>
      <c r="BE1839" s="10">
        <v>0</v>
      </c>
      <c r="BF1839" s="10">
        <v>0</v>
      </c>
      <c r="BG1839" s="13">
        <v>45684</v>
      </c>
    </row>
    <row r="1840" spans="49:59" x14ac:dyDescent="0.3">
      <c r="AW1840" s="1">
        <v>22.1</v>
      </c>
      <c r="AX1840" s="1">
        <v>22.1</v>
      </c>
      <c r="AY1840" t="str">
        <v>CP-R80_HI782-0_0.0_LOT0898_PWW.04.1_QC.xlsx</v>
      </c>
      <c r="AZ1840" t="str">
        <v>LOT0898</v>
      </c>
      <c r="BA1840" s="3">
        <v>22</v>
      </c>
      <c r="BB1840" t="str">
        <v>P/Prod</v>
      </c>
      <c r="BC1840">
        <v>60</v>
      </c>
      <c r="BD1840" s="10">
        <v>58.7</v>
      </c>
      <c r="BE1840" s="10">
        <v>0</v>
      </c>
      <c r="BF1840" s="10">
        <v>0</v>
      </c>
      <c r="BG1840" s="13">
        <v>45684</v>
      </c>
    </row>
    <row r="1841" spans="49:59" x14ac:dyDescent="0.3">
      <c r="AW1841" s="1">
        <v>22.1</v>
      </c>
      <c r="AX1841" s="1">
        <v>22.1</v>
      </c>
      <c r="AY1841" t="str">
        <v>CP-R80_HI782-0_0.0_LOT0898_PWW.04.1_QC.xlsx</v>
      </c>
      <c r="AZ1841" t="str">
        <v>LOT0898</v>
      </c>
      <c r="BA1841" s="3">
        <v>22</v>
      </c>
      <c r="BB1841" t="str">
        <v>P/Prod</v>
      </c>
      <c r="BC1841">
        <v>60</v>
      </c>
      <c r="BD1841" s="10">
        <v>55.8</v>
      </c>
      <c r="BE1841" s="10">
        <v>0</v>
      </c>
      <c r="BF1841" s="10">
        <v>0</v>
      </c>
      <c r="BG1841" s="13">
        <v>45684</v>
      </c>
    </row>
    <row r="1842" spans="49:59" x14ac:dyDescent="0.3">
      <c r="AW1842" s="1">
        <v>22.1</v>
      </c>
      <c r="AX1842" s="1">
        <v>22.1</v>
      </c>
      <c r="AY1842" t="str">
        <v>CP-R80_HI782-0_0.0_LOT0898_PWW.04.1_QC.xlsx</v>
      </c>
      <c r="AZ1842" t="str">
        <v>LOT0898</v>
      </c>
      <c r="BA1842" s="3">
        <v>22</v>
      </c>
      <c r="BB1842" t="str">
        <v>P/Prod</v>
      </c>
      <c r="BC1842">
        <v>60</v>
      </c>
      <c r="BD1842" s="10">
        <v>61.5</v>
      </c>
      <c r="BE1842" s="10">
        <v>0</v>
      </c>
      <c r="BF1842" s="10">
        <v>0</v>
      </c>
      <c r="BG1842" s="13">
        <v>45684</v>
      </c>
    </row>
    <row r="1843" spans="49:59" x14ac:dyDescent="0.3">
      <c r="AW1843" s="1">
        <v>22.1</v>
      </c>
      <c r="AX1843" s="1">
        <v>22.1</v>
      </c>
      <c r="AY1843" t="str">
        <v>CP-R80_HI782-0_0.0_LOT0898_PWW.04.1_QC.xlsx</v>
      </c>
      <c r="AZ1843" t="str">
        <v>LOT0898</v>
      </c>
      <c r="BA1843" s="3">
        <v>22</v>
      </c>
      <c r="BB1843" t="str">
        <v>P/Prod</v>
      </c>
      <c r="BC1843">
        <v>60</v>
      </c>
      <c r="BD1843" s="10">
        <v>58.1</v>
      </c>
      <c r="BE1843" s="10">
        <v>0</v>
      </c>
      <c r="BF1843" s="10">
        <v>0</v>
      </c>
      <c r="BG1843" s="13">
        <v>45684</v>
      </c>
    </row>
    <row r="1844" spans="49:59" x14ac:dyDescent="0.3">
      <c r="AW1844" s="1">
        <v>22.1</v>
      </c>
      <c r="AX1844" s="1">
        <v>22.1</v>
      </c>
      <c r="AY1844" t="str">
        <v>CP-R80_HI782-0_0.0_LOT0898_PWW.04.1_QC.xlsx</v>
      </c>
      <c r="AZ1844" t="str">
        <v>LOT0898</v>
      </c>
      <c r="BA1844" s="3">
        <v>22</v>
      </c>
      <c r="BB1844" t="str">
        <v>P/Prod</v>
      </c>
      <c r="BC1844">
        <v>60</v>
      </c>
      <c r="BD1844" s="10">
        <v>58.5</v>
      </c>
      <c r="BE1844" s="10">
        <v>0</v>
      </c>
      <c r="BF1844" s="10">
        <v>0</v>
      </c>
      <c r="BG1844" s="13">
        <v>45684</v>
      </c>
    </row>
    <row r="1845" spans="49:59" x14ac:dyDescent="0.3">
      <c r="AW1845" s="1">
        <v>22.1</v>
      </c>
      <c r="AX1845" s="1">
        <v>22.1</v>
      </c>
      <c r="AY1845" t="str">
        <v>CP-R80_HI782-0_0.0_LOT0898_PWW.04.1_QC.xlsx</v>
      </c>
      <c r="AZ1845" t="str">
        <v>LOT0898</v>
      </c>
      <c r="BA1845" s="3">
        <v>22</v>
      </c>
      <c r="BB1845" t="str">
        <v>P/Prod</v>
      </c>
      <c r="BC1845">
        <v>60</v>
      </c>
      <c r="BD1845" s="10">
        <v>55.7</v>
      </c>
      <c r="BE1845" s="10">
        <v>0</v>
      </c>
      <c r="BF1845" s="10">
        <v>0</v>
      </c>
      <c r="BG1845" s="13">
        <v>45684</v>
      </c>
    </row>
    <row r="1846" spans="49:59" x14ac:dyDescent="0.3">
      <c r="AW1846" s="1">
        <v>22.1</v>
      </c>
      <c r="AX1846" s="1">
        <v>22.1</v>
      </c>
      <c r="AY1846" t="str">
        <v>CP-R80_HI782-0_0.0_LOT0898_PWW.04.1_QC.xlsx</v>
      </c>
      <c r="AZ1846" t="str">
        <v>LOT0898</v>
      </c>
      <c r="BA1846" s="3">
        <v>22</v>
      </c>
      <c r="BB1846" t="str">
        <v>P/Prod</v>
      </c>
      <c r="BC1846">
        <v>60</v>
      </c>
      <c r="BD1846" s="10">
        <v>56.8</v>
      </c>
      <c r="BE1846" s="10">
        <v>0</v>
      </c>
      <c r="BF1846" s="10">
        <v>0</v>
      </c>
      <c r="BG1846" s="13">
        <v>45684</v>
      </c>
    </row>
    <row r="1847" spans="49:59" x14ac:dyDescent="0.3">
      <c r="AW1847" s="1">
        <v>22.1</v>
      </c>
      <c r="AX1847" s="1">
        <v>22.1</v>
      </c>
      <c r="AY1847" t="str">
        <v>CP-R80_HI782-0_0.0_LOT0898_PWW.04.1_QC.xlsx</v>
      </c>
      <c r="AZ1847" t="str">
        <v>LOT0898</v>
      </c>
      <c r="BA1847" s="3">
        <v>22</v>
      </c>
      <c r="BB1847" t="str">
        <v>P/Prod</v>
      </c>
      <c r="BC1847">
        <v>0</v>
      </c>
      <c r="BD1847" s="10">
        <v>0</v>
      </c>
      <c r="BE1847" s="10">
        <v>0</v>
      </c>
      <c r="BF1847" s="10">
        <v>0</v>
      </c>
      <c r="BG1847" s="13">
        <v>45685</v>
      </c>
    </row>
    <row r="1848" spans="49:59" x14ac:dyDescent="0.3">
      <c r="AW1848" s="1">
        <v>22.1</v>
      </c>
      <c r="AX1848" s="1">
        <v>22.1</v>
      </c>
      <c r="AY1848" t="str">
        <v>CP-R80_HI782-0_0.0_LOT0898_PWW.04.1_QC.xlsx</v>
      </c>
      <c r="AZ1848" t="str">
        <v>LOT0898</v>
      </c>
      <c r="BA1848" s="3">
        <v>22</v>
      </c>
      <c r="BB1848" t="str">
        <v>P/Prod</v>
      </c>
      <c r="BC1848">
        <v>0</v>
      </c>
      <c r="BD1848" s="10">
        <v>0</v>
      </c>
      <c r="BE1848" s="10">
        <v>0</v>
      </c>
      <c r="BF1848" s="10">
        <v>0</v>
      </c>
      <c r="BG1848" s="13">
        <v>45685</v>
      </c>
    </row>
    <row r="1849" spans="49:59" x14ac:dyDescent="0.3">
      <c r="AW1849" s="1">
        <v>22.1</v>
      </c>
      <c r="AX1849" s="1">
        <v>22.1</v>
      </c>
      <c r="AY1849" t="str">
        <v>CP-R80_HI782-0_0.0_LOT0898_PWW.04.1_QC.xlsx</v>
      </c>
      <c r="AZ1849" t="str">
        <v>LOT0898</v>
      </c>
      <c r="BA1849" s="3">
        <v>22</v>
      </c>
      <c r="BB1849" t="str">
        <v>P/Prod</v>
      </c>
      <c r="BC1849">
        <v>15</v>
      </c>
      <c r="BD1849" s="10">
        <v>16.100000000000001</v>
      </c>
      <c r="BE1849" s="10">
        <v>0</v>
      </c>
      <c r="BF1849" s="10">
        <v>0</v>
      </c>
      <c r="BG1849" s="13">
        <v>45685</v>
      </c>
    </row>
    <row r="1850" spans="49:59" x14ac:dyDescent="0.3">
      <c r="AW1850" s="1">
        <v>22.1</v>
      </c>
      <c r="AX1850" s="1">
        <v>22.1</v>
      </c>
      <c r="AY1850" t="str">
        <v>CP-R80_HI782-0_0.0_LOT0898_PWW.04.1_QC.xlsx</v>
      </c>
      <c r="AZ1850" t="str">
        <v>LOT0898</v>
      </c>
      <c r="BA1850" s="3">
        <v>22</v>
      </c>
      <c r="BB1850" t="str">
        <v>P/Prod</v>
      </c>
      <c r="BC1850">
        <v>15</v>
      </c>
      <c r="BD1850" s="10">
        <v>16.399999999999999</v>
      </c>
      <c r="BE1850" s="10">
        <v>0</v>
      </c>
      <c r="BF1850" s="10">
        <v>0</v>
      </c>
      <c r="BG1850" s="13">
        <v>45685</v>
      </c>
    </row>
    <row r="1851" spans="49:59" x14ac:dyDescent="0.3">
      <c r="AW1851" s="1">
        <v>22.1</v>
      </c>
      <c r="AX1851" s="1">
        <v>22.1</v>
      </c>
      <c r="AY1851" t="str">
        <v>CP-R80_HI782-0_0.0_LOT0898_PWW.04.1_QC.xlsx</v>
      </c>
      <c r="AZ1851" t="str">
        <v>LOT0898</v>
      </c>
      <c r="BA1851" s="3">
        <v>22</v>
      </c>
      <c r="BB1851" t="str">
        <v>P/Prod</v>
      </c>
      <c r="BC1851">
        <v>15</v>
      </c>
      <c r="BD1851" s="10">
        <v>15.9</v>
      </c>
      <c r="BE1851" s="10">
        <v>0</v>
      </c>
      <c r="BF1851" s="10">
        <v>0</v>
      </c>
      <c r="BG1851" s="13">
        <v>45685</v>
      </c>
    </row>
    <row r="1852" spans="49:59" x14ac:dyDescent="0.3">
      <c r="AW1852" s="1">
        <v>22.1</v>
      </c>
      <c r="AX1852" s="1">
        <v>22.1</v>
      </c>
      <c r="AY1852" t="str">
        <v>CP-R80_HI782-0_0.0_LOT0898_PWW.04.1_QC.xlsx</v>
      </c>
      <c r="AZ1852" t="str">
        <v>LOT0898</v>
      </c>
      <c r="BA1852" s="3">
        <v>22</v>
      </c>
      <c r="BB1852" t="str">
        <v>P/Prod</v>
      </c>
      <c r="BC1852">
        <v>15</v>
      </c>
      <c r="BD1852" s="10">
        <v>16.399999999999999</v>
      </c>
      <c r="BE1852" s="10">
        <v>0</v>
      </c>
      <c r="BF1852" s="10">
        <v>0</v>
      </c>
      <c r="BG1852" s="13">
        <v>45685</v>
      </c>
    </row>
    <row r="1853" spans="49:59" x14ac:dyDescent="0.3">
      <c r="AW1853" s="1">
        <v>22.1</v>
      </c>
      <c r="AX1853" s="1">
        <v>22.1</v>
      </c>
      <c r="AY1853" t="str">
        <v>CP-R80_HI782-0_0.0_LOT0898_PWW.04.1_QC.xlsx</v>
      </c>
      <c r="AZ1853" t="str">
        <v>LOT0898</v>
      </c>
      <c r="BA1853" s="3">
        <v>22</v>
      </c>
      <c r="BB1853" t="str">
        <v>P/Prod</v>
      </c>
      <c r="BC1853">
        <v>15</v>
      </c>
      <c r="BD1853" s="10">
        <v>17</v>
      </c>
      <c r="BE1853" s="10">
        <v>0</v>
      </c>
      <c r="BF1853" s="10">
        <v>0</v>
      </c>
      <c r="BG1853" s="13">
        <v>45685</v>
      </c>
    </row>
    <row r="1854" spans="49:59" x14ac:dyDescent="0.3">
      <c r="AW1854" s="1">
        <v>22.1</v>
      </c>
      <c r="AX1854" s="1">
        <v>22.1</v>
      </c>
      <c r="AY1854" t="str">
        <v>CP-R80_HI782-0_0.0_LOT0898_PWW.04.1_QC.xlsx</v>
      </c>
      <c r="AZ1854" t="str">
        <v>LOT0898</v>
      </c>
      <c r="BA1854" s="3">
        <v>22</v>
      </c>
      <c r="BB1854" t="str">
        <v>P/Prod</v>
      </c>
      <c r="BC1854">
        <v>15</v>
      </c>
      <c r="BD1854" s="10">
        <v>17.3</v>
      </c>
      <c r="BE1854" s="10">
        <v>0</v>
      </c>
      <c r="BF1854" s="10">
        <v>0</v>
      </c>
      <c r="BG1854" s="13">
        <v>45685</v>
      </c>
    </row>
    <row r="1855" spans="49:59" x14ac:dyDescent="0.3">
      <c r="AW1855" s="1">
        <v>22.1</v>
      </c>
      <c r="AX1855" s="1">
        <v>22.1</v>
      </c>
      <c r="AY1855" t="str">
        <v>CP-R80_HI782-0_0.0_LOT0898_PWW.04.1_QC.xlsx</v>
      </c>
      <c r="AZ1855" t="str">
        <v>LOT0898</v>
      </c>
      <c r="BA1855" s="3">
        <v>22</v>
      </c>
      <c r="BB1855" t="str">
        <v>P/Prod</v>
      </c>
      <c r="BC1855">
        <v>35</v>
      </c>
      <c r="BD1855" s="10">
        <v>34.1</v>
      </c>
      <c r="BE1855" s="10">
        <v>0</v>
      </c>
      <c r="BF1855" s="10">
        <v>0</v>
      </c>
      <c r="BG1855" s="13">
        <v>45685</v>
      </c>
    </row>
    <row r="1856" spans="49:59" x14ac:dyDescent="0.3">
      <c r="AW1856" s="1">
        <v>22.1</v>
      </c>
      <c r="AX1856" s="1">
        <v>22.1</v>
      </c>
      <c r="AY1856" t="str">
        <v>CP-R80_HI782-0_0.0_LOT0898_PWW.04.1_QC.xlsx</v>
      </c>
      <c r="AZ1856" t="str">
        <v>LOT0898</v>
      </c>
      <c r="BA1856" s="3">
        <v>22</v>
      </c>
      <c r="BB1856" t="str">
        <v>P/Prod</v>
      </c>
      <c r="BC1856">
        <v>35</v>
      </c>
      <c r="BD1856" s="10">
        <v>35.200000000000003</v>
      </c>
      <c r="BE1856" s="10">
        <v>0</v>
      </c>
      <c r="BF1856" s="10">
        <v>0</v>
      </c>
      <c r="BG1856" s="13">
        <v>45685</v>
      </c>
    </row>
    <row r="1857" spans="49:59" x14ac:dyDescent="0.3">
      <c r="AW1857" s="1">
        <v>22.1</v>
      </c>
      <c r="AX1857" s="1">
        <v>22.1</v>
      </c>
      <c r="AY1857" t="str">
        <v>CP-R80_HI782-0_0.0_LOT0898_PWW.04.1_QC.xlsx</v>
      </c>
      <c r="AZ1857" t="str">
        <v>LOT0898</v>
      </c>
      <c r="BA1857" s="3">
        <v>22</v>
      </c>
      <c r="BB1857" t="str">
        <v>P/Prod</v>
      </c>
      <c r="BC1857">
        <v>35</v>
      </c>
      <c r="BD1857" s="10">
        <v>34.200000000000003</v>
      </c>
      <c r="BE1857" s="10">
        <v>0</v>
      </c>
      <c r="BF1857" s="10">
        <v>0</v>
      </c>
      <c r="BG1857" s="13">
        <v>45685</v>
      </c>
    </row>
    <row r="1858" spans="49:59" x14ac:dyDescent="0.3">
      <c r="AW1858" s="1">
        <v>22.1</v>
      </c>
      <c r="AX1858" s="1">
        <v>22.1</v>
      </c>
      <c r="AY1858" t="str">
        <v>CP-R80_HI782-0_0.0_LOT0898_PWW.04.1_QC.xlsx</v>
      </c>
      <c r="AZ1858" t="str">
        <v>LOT0898</v>
      </c>
      <c r="BA1858" s="3">
        <v>22</v>
      </c>
      <c r="BB1858" t="str">
        <v>P/Prod</v>
      </c>
      <c r="BC1858">
        <v>35</v>
      </c>
      <c r="BD1858" s="10">
        <v>35.799999999999997</v>
      </c>
      <c r="BE1858" s="10">
        <v>0</v>
      </c>
      <c r="BF1858" s="10">
        <v>0</v>
      </c>
      <c r="BG1858" s="13">
        <v>45685</v>
      </c>
    </row>
    <row r="1859" spans="49:59" x14ac:dyDescent="0.3">
      <c r="AW1859" s="1">
        <v>22.1</v>
      </c>
      <c r="AX1859" s="1">
        <v>22.1</v>
      </c>
      <c r="AY1859" t="str">
        <v>CP-R80_HI782-0_0.0_LOT0898_PWW.04.1_QC.xlsx</v>
      </c>
      <c r="AZ1859" t="str">
        <v>LOT0898</v>
      </c>
      <c r="BA1859" s="3">
        <v>22</v>
      </c>
      <c r="BB1859" t="str">
        <v>P/Prod</v>
      </c>
      <c r="BC1859">
        <v>35</v>
      </c>
      <c r="BD1859" s="10">
        <v>36.6</v>
      </c>
      <c r="BE1859" s="10">
        <v>0</v>
      </c>
      <c r="BF1859" s="10">
        <v>0</v>
      </c>
      <c r="BG1859" s="13">
        <v>45685</v>
      </c>
    </row>
    <row r="1860" spans="49:59" x14ac:dyDescent="0.3">
      <c r="AW1860" s="1">
        <v>22.1</v>
      </c>
      <c r="AX1860" s="1">
        <v>22.1</v>
      </c>
      <c r="AY1860" t="str">
        <v>CP-R80_HI782-0_0.0_LOT0898_PWW.04.1_QC.xlsx</v>
      </c>
      <c r="AZ1860" t="str">
        <v>LOT0898</v>
      </c>
      <c r="BA1860" s="3">
        <v>22</v>
      </c>
      <c r="BB1860" t="str">
        <v>P/Prod</v>
      </c>
      <c r="BC1860">
        <v>35</v>
      </c>
      <c r="BD1860" s="10">
        <v>37.799999999999997</v>
      </c>
      <c r="BE1860" s="10">
        <v>0</v>
      </c>
      <c r="BF1860" s="10">
        <v>0</v>
      </c>
      <c r="BG1860" s="13">
        <v>45685</v>
      </c>
    </row>
    <row r="1861" spans="49:59" x14ac:dyDescent="0.3">
      <c r="AW1861" s="1">
        <v>22.1</v>
      </c>
      <c r="AX1861" s="1">
        <v>22.1</v>
      </c>
      <c r="AY1861" t="str">
        <v>CP-R80_HI782-0_0.0_LOT0898_PWW.04.1_QC.xlsx</v>
      </c>
      <c r="AZ1861" t="str">
        <v>LOT0898</v>
      </c>
      <c r="BA1861" s="3">
        <v>22</v>
      </c>
      <c r="BB1861" t="str">
        <v>P/Prod</v>
      </c>
      <c r="BC1861">
        <v>60</v>
      </c>
      <c r="BD1861" s="10">
        <v>57.1</v>
      </c>
      <c r="BE1861" s="10">
        <v>0</v>
      </c>
      <c r="BF1861" s="10">
        <v>0</v>
      </c>
      <c r="BG1861" s="13">
        <v>45685</v>
      </c>
    </row>
    <row r="1862" spans="49:59" x14ac:dyDescent="0.3">
      <c r="AW1862" s="1">
        <v>22.1</v>
      </c>
      <c r="AX1862" s="1">
        <v>22.1</v>
      </c>
      <c r="AY1862" t="str">
        <v>CP-R80_HI782-0_0.0_LOT0898_PWW.04.1_QC.xlsx</v>
      </c>
      <c r="AZ1862" t="str">
        <v>LOT0898</v>
      </c>
      <c r="BA1862" s="3">
        <v>22</v>
      </c>
      <c r="BB1862" t="str">
        <v>P/Prod</v>
      </c>
      <c r="BC1862">
        <v>60</v>
      </c>
      <c r="BD1862" s="10">
        <v>57.3</v>
      </c>
      <c r="BE1862" s="10">
        <v>0</v>
      </c>
      <c r="BF1862" s="10">
        <v>0</v>
      </c>
      <c r="BG1862" s="13">
        <v>45685</v>
      </c>
    </row>
    <row r="1863" spans="49:59" x14ac:dyDescent="0.3">
      <c r="AW1863" s="1">
        <v>22.1</v>
      </c>
      <c r="AX1863" s="1">
        <v>22.1</v>
      </c>
      <c r="AY1863" t="str">
        <v>CP-R80_HI782-0_0.0_LOT0898_PWW.04.1_QC.xlsx</v>
      </c>
      <c r="AZ1863" t="str">
        <v>LOT0898</v>
      </c>
      <c r="BA1863" s="3">
        <v>22</v>
      </c>
      <c r="BB1863" t="str">
        <v>P/Prod</v>
      </c>
      <c r="BC1863">
        <v>60</v>
      </c>
      <c r="BD1863" s="10">
        <v>56.8</v>
      </c>
      <c r="BE1863" s="10">
        <v>0</v>
      </c>
      <c r="BF1863" s="10">
        <v>0</v>
      </c>
      <c r="BG1863" s="13">
        <v>45685</v>
      </c>
    </row>
    <row r="1864" spans="49:59" x14ac:dyDescent="0.3">
      <c r="AW1864" s="1">
        <v>22.1</v>
      </c>
      <c r="AX1864" s="1">
        <v>22.1</v>
      </c>
      <c r="AY1864" t="str">
        <v>CP-R80_HI782-0_0.0_LOT0898_PWW.04.1_QC.xlsx</v>
      </c>
      <c r="AZ1864" t="str">
        <v>LOT0898</v>
      </c>
      <c r="BA1864" s="3">
        <v>22</v>
      </c>
      <c r="BB1864" t="str">
        <v>P/Prod</v>
      </c>
      <c r="BC1864">
        <v>60</v>
      </c>
      <c r="BD1864" s="10">
        <v>55.8</v>
      </c>
      <c r="BE1864" s="10">
        <v>0</v>
      </c>
      <c r="BF1864" s="10">
        <v>0</v>
      </c>
      <c r="BG1864" s="13">
        <v>45685</v>
      </c>
    </row>
    <row r="1865" spans="49:59" x14ac:dyDescent="0.3">
      <c r="AW1865" s="1">
        <v>22.1</v>
      </c>
      <c r="AX1865" s="1">
        <v>22.1</v>
      </c>
      <c r="AY1865" t="str">
        <v>CP-R80_HI782-0_0.0_LOT0898_PWW.04.1_QC.xlsx</v>
      </c>
      <c r="AZ1865" t="str">
        <v>LOT0898</v>
      </c>
      <c r="BA1865" s="3">
        <v>22</v>
      </c>
      <c r="BB1865" t="str">
        <v>P/Prod</v>
      </c>
      <c r="BC1865">
        <v>60</v>
      </c>
      <c r="BD1865" s="10">
        <v>55.7</v>
      </c>
      <c r="BE1865" s="10">
        <v>0</v>
      </c>
      <c r="BF1865" s="10">
        <v>0</v>
      </c>
      <c r="BG1865" s="13">
        <v>45685</v>
      </c>
    </row>
    <row r="1866" spans="49:59" x14ac:dyDescent="0.3">
      <c r="AW1866" s="1">
        <v>22.1</v>
      </c>
      <c r="AX1866" s="1">
        <v>22.1</v>
      </c>
      <c r="AY1866" t="str">
        <v>CP-R80_HI782-0_0.0_LOT0898_PWW.04.1_QC.xlsx</v>
      </c>
      <c r="AZ1866" t="str">
        <v>LOT0898</v>
      </c>
      <c r="BA1866" s="3">
        <v>22</v>
      </c>
      <c r="BB1866" t="str">
        <v>P/Prod</v>
      </c>
      <c r="BC1866">
        <v>60</v>
      </c>
      <c r="BD1866" s="10">
        <v>60.1</v>
      </c>
      <c r="BE1866" s="10">
        <v>0</v>
      </c>
      <c r="BF1866" s="10">
        <v>0</v>
      </c>
      <c r="BG1866" s="13">
        <v>45685</v>
      </c>
    </row>
    <row r="1867" spans="49:59" x14ac:dyDescent="0.3">
      <c r="AW1867" s="1">
        <v>23.1</v>
      </c>
      <c r="AX1867" s="1">
        <v>23.1</v>
      </c>
      <c r="AY1867" t="str">
        <v>CP-R80_HI782-0_0.0_LOT0941_PWW08.1_QC.xlsx</v>
      </c>
      <c r="AZ1867" t="str">
        <v>LOT0941</v>
      </c>
      <c r="BA1867" s="3">
        <v>23</v>
      </c>
      <c r="BB1867" t="str">
        <v>P/Prod</v>
      </c>
      <c r="BC1867">
        <v>0</v>
      </c>
      <c r="BD1867" s="10">
        <v>0</v>
      </c>
      <c r="BE1867" s="10">
        <v>0</v>
      </c>
      <c r="BF1867" s="10">
        <v>0</v>
      </c>
      <c r="BG1867" s="13">
        <v>45712</v>
      </c>
    </row>
    <row r="1868" spans="49:59" x14ac:dyDescent="0.3">
      <c r="AW1868" s="1">
        <v>23.1</v>
      </c>
      <c r="AX1868" s="1">
        <v>23.1</v>
      </c>
      <c r="AY1868" t="str">
        <v>CP-R80_HI782-0_0.0_LOT0941_PWW08.1_QC.xlsx</v>
      </c>
      <c r="AZ1868" t="str">
        <v>LOT0941</v>
      </c>
      <c r="BA1868" s="3">
        <v>23</v>
      </c>
      <c r="BB1868" t="str">
        <v>P/Prod</v>
      </c>
      <c r="BC1868">
        <v>0</v>
      </c>
      <c r="BD1868" s="10">
        <v>0</v>
      </c>
      <c r="BE1868" s="10">
        <v>0</v>
      </c>
      <c r="BF1868" s="10">
        <v>0</v>
      </c>
      <c r="BG1868" s="13">
        <v>45712</v>
      </c>
    </row>
    <row r="1869" spans="49:59" x14ac:dyDescent="0.3">
      <c r="AW1869" s="1">
        <v>23.1</v>
      </c>
      <c r="AX1869" s="1">
        <v>23.1</v>
      </c>
      <c r="AY1869" t="str">
        <v>CP-R80_HI782-0_0.0_LOT0941_PWW08.1_QC.xlsx</v>
      </c>
      <c r="AZ1869" t="str">
        <v>LOT0941</v>
      </c>
      <c r="BA1869" s="3">
        <v>23</v>
      </c>
      <c r="BB1869" t="str">
        <v>P/Prod</v>
      </c>
      <c r="BC1869">
        <v>0</v>
      </c>
      <c r="BD1869" s="10">
        <v>0</v>
      </c>
      <c r="BE1869" s="10">
        <v>0</v>
      </c>
      <c r="BF1869" s="10">
        <v>0</v>
      </c>
      <c r="BG1869" s="13">
        <v>45712</v>
      </c>
    </row>
    <row r="1870" spans="49:59" x14ac:dyDescent="0.3">
      <c r="AW1870" s="1">
        <v>23.1</v>
      </c>
      <c r="AX1870" s="1">
        <v>23.1</v>
      </c>
      <c r="AY1870" t="str">
        <v>CP-R80_HI782-0_0.0_LOT0941_PWW08.1_QC.xlsx</v>
      </c>
      <c r="AZ1870" t="str">
        <v>LOT0941</v>
      </c>
      <c r="BA1870" s="3">
        <v>23</v>
      </c>
      <c r="BB1870" t="str">
        <v>P/Prod</v>
      </c>
      <c r="BC1870">
        <v>0</v>
      </c>
      <c r="BD1870" s="10">
        <v>0</v>
      </c>
      <c r="BE1870" s="10">
        <v>0</v>
      </c>
      <c r="BF1870" s="10">
        <v>0</v>
      </c>
      <c r="BG1870" s="13">
        <v>45712</v>
      </c>
    </row>
    <row r="1871" spans="49:59" x14ac:dyDescent="0.3">
      <c r="AW1871" s="1">
        <v>23.1</v>
      </c>
      <c r="AX1871" s="1">
        <v>23.1</v>
      </c>
      <c r="AY1871" t="str">
        <v>CP-R80_HI782-0_0.0_LOT0941_PWW08.1_QC.xlsx</v>
      </c>
      <c r="AZ1871" t="str">
        <v>LOT0941</v>
      </c>
      <c r="BA1871" s="3">
        <v>23</v>
      </c>
      <c r="BB1871" t="str">
        <v>P/Prod</v>
      </c>
      <c r="BC1871">
        <v>0</v>
      </c>
      <c r="BD1871" s="10">
        <v>0</v>
      </c>
      <c r="BE1871" s="10">
        <v>0</v>
      </c>
      <c r="BF1871" s="10">
        <v>0</v>
      </c>
      <c r="BG1871" s="13">
        <v>45712</v>
      </c>
    </row>
    <row r="1872" spans="49:59" x14ac:dyDescent="0.3">
      <c r="AW1872" s="1">
        <v>23.1</v>
      </c>
      <c r="AX1872" s="1">
        <v>23.1</v>
      </c>
      <c r="AY1872" t="str">
        <v>CP-R80_HI782-0_0.0_LOT0941_PWW08.1_QC.xlsx</v>
      </c>
      <c r="AZ1872" t="str">
        <v>LOT0941</v>
      </c>
      <c r="BA1872" s="3">
        <v>23</v>
      </c>
      <c r="BB1872" t="str">
        <v>P/Prod</v>
      </c>
      <c r="BC1872">
        <v>0</v>
      </c>
      <c r="BD1872" s="10">
        <v>0</v>
      </c>
      <c r="BE1872" s="10">
        <v>0</v>
      </c>
      <c r="BF1872" s="10">
        <v>0</v>
      </c>
      <c r="BG1872" s="13">
        <v>45712</v>
      </c>
    </row>
    <row r="1873" spans="49:59" x14ac:dyDescent="0.3">
      <c r="AW1873" s="1">
        <v>23.1</v>
      </c>
      <c r="AX1873" s="1">
        <v>23.1</v>
      </c>
      <c r="AY1873" t="str">
        <v>CP-R80_HI782-0_0.0_LOT0941_PWW08.1_QC.xlsx</v>
      </c>
      <c r="AZ1873" t="str">
        <v>LOT0941</v>
      </c>
      <c r="BA1873" s="3">
        <v>23</v>
      </c>
      <c r="BB1873" t="str">
        <v>P/Prod</v>
      </c>
      <c r="BC1873">
        <v>15</v>
      </c>
      <c r="BD1873" s="10">
        <v>16.399999999999999</v>
      </c>
      <c r="BE1873" s="10">
        <v>16.8</v>
      </c>
      <c r="BF1873" s="10">
        <v>0</v>
      </c>
      <c r="BG1873" s="13">
        <v>45712</v>
      </c>
    </row>
    <row r="1874" spans="49:59" x14ac:dyDescent="0.3">
      <c r="AW1874" s="1">
        <v>23.1</v>
      </c>
      <c r="AX1874" s="1">
        <v>23.1</v>
      </c>
      <c r="AY1874" t="str">
        <v>CP-R80_HI782-0_0.0_LOT0941_PWW08.1_QC.xlsx</v>
      </c>
      <c r="AZ1874" t="str">
        <v>LOT0941</v>
      </c>
      <c r="BA1874" s="3">
        <v>23</v>
      </c>
      <c r="BB1874" t="str">
        <v>P/Prod</v>
      </c>
      <c r="BC1874">
        <v>15</v>
      </c>
      <c r="BD1874" s="10">
        <v>16.7</v>
      </c>
      <c r="BE1874" s="10">
        <v>16.899999999999999</v>
      </c>
      <c r="BF1874" s="10">
        <v>0</v>
      </c>
      <c r="BG1874" s="13">
        <v>45712</v>
      </c>
    </row>
    <row r="1875" spans="49:59" x14ac:dyDescent="0.3">
      <c r="AW1875" s="1">
        <v>23.1</v>
      </c>
      <c r="AX1875" s="1">
        <v>23.1</v>
      </c>
      <c r="AY1875" t="str">
        <v>CP-R80_HI782-0_0.0_LOT0941_PWW08.1_QC.xlsx</v>
      </c>
      <c r="AZ1875" t="str">
        <v>LOT0941</v>
      </c>
      <c r="BA1875" s="3">
        <v>23</v>
      </c>
      <c r="BB1875" t="str">
        <v>P/Prod</v>
      </c>
      <c r="BC1875">
        <v>15</v>
      </c>
      <c r="BD1875" s="10">
        <v>14.2</v>
      </c>
      <c r="BE1875" s="10">
        <v>14.1</v>
      </c>
      <c r="BF1875" s="10">
        <v>0</v>
      </c>
      <c r="BG1875" s="13">
        <v>45712</v>
      </c>
    </row>
    <row r="1876" spans="49:59" x14ac:dyDescent="0.3">
      <c r="AW1876" s="1">
        <v>23.1</v>
      </c>
      <c r="AX1876" s="1">
        <v>23.1</v>
      </c>
      <c r="AY1876" t="str">
        <v>CP-R80_HI782-0_0.0_LOT0941_PWW08.1_QC.xlsx</v>
      </c>
      <c r="AZ1876" t="str">
        <v>LOT0941</v>
      </c>
      <c r="BA1876" s="3">
        <v>23</v>
      </c>
      <c r="BB1876" t="str">
        <v>P/Prod</v>
      </c>
      <c r="BC1876">
        <v>15</v>
      </c>
      <c r="BD1876" s="10">
        <v>13.5</v>
      </c>
      <c r="BE1876" s="10">
        <v>13.5</v>
      </c>
      <c r="BF1876" s="10">
        <v>0</v>
      </c>
      <c r="BG1876" s="13">
        <v>45712</v>
      </c>
    </row>
    <row r="1877" spans="49:59" x14ac:dyDescent="0.3">
      <c r="AW1877" s="1">
        <v>23.1</v>
      </c>
      <c r="AX1877" s="1">
        <v>23.1</v>
      </c>
      <c r="AY1877" t="str">
        <v>CP-R80_HI782-0_0.0_LOT0941_PWW08.1_QC.xlsx</v>
      </c>
      <c r="AZ1877" t="str">
        <v>LOT0941</v>
      </c>
      <c r="BA1877" s="3">
        <v>23</v>
      </c>
      <c r="BB1877" t="str">
        <v>P/Prod</v>
      </c>
      <c r="BC1877">
        <v>15</v>
      </c>
      <c r="BD1877" s="10">
        <v>14.5</v>
      </c>
      <c r="BE1877" s="10">
        <v>14.6</v>
      </c>
      <c r="BF1877" s="10">
        <v>0</v>
      </c>
      <c r="BG1877" s="13">
        <v>45712</v>
      </c>
    </row>
    <row r="1878" spans="49:59" x14ac:dyDescent="0.3">
      <c r="AW1878" s="1">
        <v>23.1</v>
      </c>
      <c r="AX1878" s="1">
        <v>23.1</v>
      </c>
      <c r="AY1878" t="str">
        <v>CP-R80_HI782-0_0.0_LOT0941_PWW08.1_QC.xlsx</v>
      </c>
      <c r="AZ1878" t="str">
        <v>LOT0941</v>
      </c>
      <c r="BA1878" s="3">
        <v>23</v>
      </c>
      <c r="BB1878" t="str">
        <v>P/Prod</v>
      </c>
      <c r="BC1878">
        <v>15</v>
      </c>
      <c r="BD1878" s="10">
        <v>16.399999999999999</v>
      </c>
      <c r="BE1878" s="10">
        <v>16.399999999999999</v>
      </c>
      <c r="BF1878" s="10">
        <v>0</v>
      </c>
      <c r="BG1878" s="13">
        <v>45712</v>
      </c>
    </row>
    <row r="1879" spans="49:59" x14ac:dyDescent="0.3">
      <c r="AW1879" s="1">
        <v>23.1</v>
      </c>
      <c r="AX1879" s="1">
        <v>23.1</v>
      </c>
      <c r="AY1879" t="str">
        <v>CP-R80_HI782-0_0.0_LOT0941_PWW08.1_QC.xlsx</v>
      </c>
      <c r="AZ1879" t="str">
        <v>LOT0941</v>
      </c>
      <c r="BA1879" s="3">
        <v>23</v>
      </c>
      <c r="BB1879" t="str">
        <v>P/Prod</v>
      </c>
      <c r="BC1879">
        <v>15</v>
      </c>
      <c r="BD1879" s="10">
        <v>16.5</v>
      </c>
      <c r="BE1879" s="10">
        <v>16.8</v>
      </c>
      <c r="BF1879" s="10">
        <v>0</v>
      </c>
      <c r="BG1879" s="13">
        <v>45712</v>
      </c>
    </row>
    <row r="1880" spans="49:59" x14ac:dyDescent="0.3">
      <c r="AW1880" s="1">
        <v>23.1</v>
      </c>
      <c r="AX1880" s="1">
        <v>23.1</v>
      </c>
      <c r="AY1880" t="str">
        <v>CP-R80_HI782-0_0.0_LOT0941_PWW08.1_QC.xlsx</v>
      </c>
      <c r="AZ1880" t="str">
        <v>LOT0941</v>
      </c>
      <c r="BA1880" s="3">
        <v>23</v>
      </c>
      <c r="BB1880" t="str">
        <v>P/Prod</v>
      </c>
      <c r="BC1880">
        <v>15</v>
      </c>
      <c r="BD1880" s="10">
        <v>14.2</v>
      </c>
      <c r="BE1880" s="10">
        <v>14.5</v>
      </c>
      <c r="BF1880" s="10">
        <v>0</v>
      </c>
      <c r="BG1880" s="13">
        <v>45712</v>
      </c>
    </row>
    <row r="1881" spans="49:59" x14ac:dyDescent="0.3">
      <c r="AW1881" s="1">
        <v>23.1</v>
      </c>
      <c r="AX1881" s="1">
        <v>23.1</v>
      </c>
      <c r="AY1881" t="str">
        <v>CP-R80_HI782-0_0.0_LOT0941_PWW08.1_QC.xlsx</v>
      </c>
      <c r="AZ1881" t="str">
        <v>LOT0941</v>
      </c>
      <c r="BA1881" s="3">
        <v>23</v>
      </c>
      <c r="BB1881" t="str">
        <v>P/Prod</v>
      </c>
      <c r="BC1881">
        <v>15</v>
      </c>
      <c r="BD1881" s="10">
        <v>14.1</v>
      </c>
      <c r="BE1881" s="10">
        <v>14</v>
      </c>
      <c r="BF1881" s="10">
        <v>0</v>
      </c>
      <c r="BG1881" s="13">
        <v>45712</v>
      </c>
    </row>
    <row r="1882" spans="49:59" x14ac:dyDescent="0.3">
      <c r="AW1882" s="1">
        <v>23.1</v>
      </c>
      <c r="AX1882" s="1">
        <v>23.1</v>
      </c>
      <c r="AY1882" t="str">
        <v>CP-R80_HI782-0_0.0_LOT0941_PWW08.1_QC.xlsx</v>
      </c>
      <c r="AZ1882" t="str">
        <v>LOT0941</v>
      </c>
      <c r="BA1882" s="3">
        <v>23</v>
      </c>
      <c r="BB1882" t="str">
        <v>P/Prod</v>
      </c>
      <c r="BC1882">
        <v>15</v>
      </c>
      <c r="BD1882" s="10">
        <v>14.5</v>
      </c>
      <c r="BE1882" s="10">
        <v>14.6</v>
      </c>
      <c r="BF1882" s="10">
        <v>0</v>
      </c>
      <c r="BG1882" s="13">
        <v>45712</v>
      </c>
    </row>
    <row r="1883" spans="49:59" x14ac:dyDescent="0.3">
      <c r="AW1883" s="1">
        <v>23.1</v>
      </c>
      <c r="AX1883" s="1">
        <v>23.1</v>
      </c>
      <c r="AY1883" t="str">
        <v>CP-R80_HI782-0_0.0_LOT0941_PWW08.1_QC.xlsx</v>
      </c>
      <c r="AZ1883" t="str">
        <v>LOT0941</v>
      </c>
      <c r="BA1883" s="3">
        <v>23</v>
      </c>
      <c r="BB1883" t="str">
        <v>P/Prod</v>
      </c>
      <c r="BC1883">
        <v>15</v>
      </c>
      <c r="BD1883" s="10">
        <v>13.4</v>
      </c>
      <c r="BE1883" s="10">
        <v>13.5</v>
      </c>
      <c r="BF1883" s="10">
        <v>0</v>
      </c>
      <c r="BG1883" s="13">
        <v>45712</v>
      </c>
    </row>
    <row r="1884" spans="49:59" x14ac:dyDescent="0.3">
      <c r="AW1884" s="1">
        <v>23.1</v>
      </c>
      <c r="AX1884" s="1">
        <v>23.1</v>
      </c>
      <c r="AY1884" t="str">
        <v>CP-R80_HI782-0_0.0_LOT0941_PWW08.1_QC.xlsx</v>
      </c>
      <c r="AZ1884" t="str">
        <v>LOT0941</v>
      </c>
      <c r="BA1884" s="3">
        <v>23</v>
      </c>
      <c r="BB1884" t="str">
        <v>P/Prod</v>
      </c>
      <c r="BC1884">
        <v>15</v>
      </c>
      <c r="BD1884" s="10">
        <v>14.4</v>
      </c>
      <c r="BE1884" s="10">
        <v>14.6</v>
      </c>
      <c r="BF1884" s="10">
        <v>0</v>
      </c>
      <c r="BG1884" s="13">
        <v>45712</v>
      </c>
    </row>
    <row r="1885" spans="49:59" x14ac:dyDescent="0.3">
      <c r="AW1885" s="1">
        <v>23.1</v>
      </c>
      <c r="AX1885" s="1">
        <v>23.1</v>
      </c>
      <c r="AY1885" t="str">
        <v>CP-R80_HI782-0_0.0_LOT0941_PWW08.1_QC.xlsx</v>
      </c>
      <c r="AZ1885" t="str">
        <v>LOT0941</v>
      </c>
      <c r="BA1885" s="3">
        <v>23</v>
      </c>
      <c r="BB1885" t="str">
        <v>P/Prod</v>
      </c>
      <c r="BC1885">
        <v>15</v>
      </c>
      <c r="BD1885" s="10">
        <v>16</v>
      </c>
      <c r="BE1885" s="10">
        <v>16</v>
      </c>
      <c r="BF1885" s="10">
        <v>0</v>
      </c>
      <c r="BG1885" s="13">
        <v>45712</v>
      </c>
    </row>
    <row r="1886" spans="49:59" x14ac:dyDescent="0.3">
      <c r="AW1886" s="1">
        <v>23.1</v>
      </c>
      <c r="AX1886" s="1">
        <v>23.1</v>
      </c>
      <c r="AY1886" t="str">
        <v>CP-R80_HI782-0_0.0_LOT0941_PWW08.1_QC.xlsx</v>
      </c>
      <c r="AZ1886" t="str">
        <v>LOT0941</v>
      </c>
      <c r="BA1886" s="3">
        <v>23</v>
      </c>
      <c r="BB1886" t="str">
        <v>P/Prod</v>
      </c>
      <c r="BC1886">
        <v>15</v>
      </c>
      <c r="BD1886" s="10">
        <v>15.4</v>
      </c>
      <c r="BE1886" s="10">
        <v>15.4</v>
      </c>
      <c r="BF1886" s="10">
        <v>0</v>
      </c>
      <c r="BG1886" s="13">
        <v>45712</v>
      </c>
    </row>
    <row r="1887" spans="49:59" x14ac:dyDescent="0.3">
      <c r="AW1887" s="1">
        <v>23.1</v>
      </c>
      <c r="AX1887" s="1">
        <v>23.1</v>
      </c>
      <c r="AY1887" t="str">
        <v>CP-R80_HI782-0_0.0_LOT0941_PWW08.1_QC.xlsx</v>
      </c>
      <c r="AZ1887" t="str">
        <v>LOT0941</v>
      </c>
      <c r="BA1887" s="3">
        <v>23</v>
      </c>
      <c r="BB1887" t="str">
        <v>P/Prod</v>
      </c>
      <c r="BC1887">
        <v>15</v>
      </c>
      <c r="BD1887" s="10">
        <v>15.1</v>
      </c>
      <c r="BE1887" s="10">
        <v>14.8</v>
      </c>
      <c r="BF1887" s="10">
        <v>0</v>
      </c>
      <c r="BG1887" s="13">
        <v>45712</v>
      </c>
    </row>
    <row r="1888" spans="49:59" x14ac:dyDescent="0.3">
      <c r="AW1888" s="1">
        <v>23.1</v>
      </c>
      <c r="AX1888" s="1">
        <v>23.1</v>
      </c>
      <c r="AY1888" t="str">
        <v>CP-R80_HI782-0_0.0_LOT0941_PWW08.1_QC.xlsx</v>
      </c>
      <c r="AZ1888" t="str">
        <v>LOT0941</v>
      </c>
      <c r="BA1888" s="3">
        <v>23</v>
      </c>
      <c r="BB1888" t="str">
        <v>P/Prod</v>
      </c>
      <c r="BC1888">
        <v>15</v>
      </c>
      <c r="BD1888" s="10">
        <v>15.3</v>
      </c>
      <c r="BE1888" s="10">
        <v>15.1</v>
      </c>
      <c r="BF1888" s="10">
        <v>0</v>
      </c>
      <c r="BG1888" s="13">
        <v>45712</v>
      </c>
    </row>
    <row r="1889" spans="49:59" x14ac:dyDescent="0.3">
      <c r="AW1889" s="1">
        <v>23.1</v>
      </c>
      <c r="AX1889" s="1">
        <v>23.1</v>
      </c>
      <c r="AY1889" t="str">
        <v>CP-R80_HI782-0_0.0_LOT0941_PWW08.1_QC.xlsx</v>
      </c>
      <c r="AZ1889" t="str">
        <v>LOT0941</v>
      </c>
      <c r="BA1889" s="3">
        <v>23</v>
      </c>
      <c r="BB1889" t="str">
        <v>P/Final</v>
      </c>
      <c r="BC1889">
        <v>15</v>
      </c>
      <c r="BD1889" s="10">
        <v>15.5</v>
      </c>
      <c r="BE1889" s="10">
        <v>15.4</v>
      </c>
      <c r="BF1889" s="10">
        <v>0</v>
      </c>
      <c r="BG1889" s="13">
        <v>45712</v>
      </c>
    </row>
    <row r="1890" spans="49:59" x14ac:dyDescent="0.3">
      <c r="AW1890" s="1">
        <v>23.1</v>
      </c>
      <c r="AX1890" s="1">
        <v>23.1</v>
      </c>
      <c r="AY1890" t="str">
        <v>CP-R80_HI782-0_0.0_LOT0941_PWW08.1_QC.xlsx</v>
      </c>
      <c r="AZ1890" t="str">
        <v>LOT0941</v>
      </c>
      <c r="BA1890" s="3">
        <v>23</v>
      </c>
      <c r="BB1890" t="str">
        <v>P/Prod</v>
      </c>
      <c r="BC1890">
        <v>35</v>
      </c>
      <c r="BD1890" s="10">
        <v>31.7</v>
      </c>
      <c r="BE1890" s="10">
        <v>31.7</v>
      </c>
      <c r="BF1890" s="10">
        <v>0</v>
      </c>
      <c r="BG1890" s="13">
        <v>45712</v>
      </c>
    </row>
    <row r="1891" spans="49:59" x14ac:dyDescent="0.3">
      <c r="AW1891" s="1">
        <v>23.1</v>
      </c>
      <c r="AX1891" s="1">
        <v>23.1</v>
      </c>
      <c r="AY1891" t="str">
        <v>CP-R80_HI782-0_0.0_LOT0941_PWW08.1_QC.xlsx</v>
      </c>
      <c r="AZ1891" t="str">
        <v>LOT0941</v>
      </c>
      <c r="BA1891" s="3">
        <v>23</v>
      </c>
      <c r="BB1891" t="str">
        <v>P/Prod</v>
      </c>
      <c r="BC1891">
        <v>35</v>
      </c>
      <c r="BD1891" s="10">
        <v>31.6</v>
      </c>
      <c r="BE1891" s="10">
        <v>31.6</v>
      </c>
      <c r="BF1891" s="10">
        <v>0</v>
      </c>
      <c r="BG1891" s="13">
        <v>45712</v>
      </c>
    </row>
    <row r="1892" spans="49:59" x14ac:dyDescent="0.3">
      <c r="AW1892" s="1">
        <v>23.1</v>
      </c>
      <c r="AX1892" s="1">
        <v>23.1</v>
      </c>
      <c r="AY1892" t="str">
        <v>CP-R80_HI782-0_0.0_LOT0941_PWW08.1_QC.xlsx</v>
      </c>
      <c r="AZ1892" t="str">
        <v>LOT0941</v>
      </c>
      <c r="BA1892" s="3">
        <v>23</v>
      </c>
      <c r="BB1892" t="str">
        <v>P/Prod</v>
      </c>
      <c r="BC1892">
        <v>35</v>
      </c>
      <c r="BD1892" s="10">
        <v>35.5</v>
      </c>
      <c r="BE1892" s="10">
        <v>35.5</v>
      </c>
      <c r="BF1892" s="10">
        <v>0</v>
      </c>
      <c r="BG1892" s="13">
        <v>45712</v>
      </c>
    </row>
    <row r="1893" spans="49:59" x14ac:dyDescent="0.3">
      <c r="AW1893" s="1">
        <v>23.1</v>
      </c>
      <c r="AX1893" s="1">
        <v>23.1</v>
      </c>
      <c r="AY1893" t="str">
        <v>CP-R80_HI782-0_0.0_LOT0941_PWW08.1_QC.xlsx</v>
      </c>
      <c r="AZ1893" t="str">
        <v>LOT0941</v>
      </c>
      <c r="BA1893" s="3">
        <v>23</v>
      </c>
      <c r="BB1893" t="str">
        <v>P/Prod</v>
      </c>
      <c r="BC1893">
        <v>35</v>
      </c>
      <c r="BD1893" s="10">
        <v>34.700000000000003</v>
      </c>
      <c r="BE1893" s="10">
        <v>34.9</v>
      </c>
      <c r="BF1893" s="10">
        <v>0</v>
      </c>
      <c r="BG1893" s="13">
        <v>45712</v>
      </c>
    </row>
    <row r="1894" spans="49:59" x14ac:dyDescent="0.3">
      <c r="AW1894" s="1">
        <v>23.1</v>
      </c>
      <c r="AX1894" s="1">
        <v>23.1</v>
      </c>
      <c r="AY1894" t="str">
        <v>CP-R80_HI782-0_0.0_LOT0941_PWW08.1_QC.xlsx</v>
      </c>
      <c r="AZ1894" t="str">
        <v>LOT0941</v>
      </c>
      <c r="BA1894" s="3">
        <v>23</v>
      </c>
      <c r="BB1894" t="str">
        <v>P/Prod</v>
      </c>
      <c r="BC1894">
        <v>35</v>
      </c>
      <c r="BD1894" s="10">
        <v>33.299999999999997</v>
      </c>
      <c r="BE1894" s="10">
        <v>33.4</v>
      </c>
      <c r="BF1894" s="10">
        <v>0</v>
      </c>
      <c r="BG1894" s="13">
        <v>45712</v>
      </c>
    </row>
    <row r="1895" spans="49:59" x14ac:dyDescent="0.3">
      <c r="AW1895" s="1">
        <v>23.1</v>
      </c>
      <c r="AX1895" s="1">
        <v>23.1</v>
      </c>
      <c r="AY1895" t="str">
        <v>CP-R80_HI782-0_0.0_LOT0941_PWW08.1_QC.xlsx</v>
      </c>
      <c r="AZ1895" t="str">
        <v>LOT0941</v>
      </c>
      <c r="BA1895" s="3">
        <v>23</v>
      </c>
      <c r="BB1895" t="str">
        <v>P/Prod</v>
      </c>
      <c r="BC1895">
        <v>35</v>
      </c>
      <c r="BD1895" s="10">
        <v>36.4</v>
      </c>
      <c r="BE1895" s="10">
        <v>36.4</v>
      </c>
      <c r="BF1895" s="10">
        <v>0</v>
      </c>
      <c r="BG1895" s="13">
        <v>45712</v>
      </c>
    </row>
    <row r="1896" spans="49:59" x14ac:dyDescent="0.3">
      <c r="AW1896" s="1">
        <v>23.1</v>
      </c>
      <c r="AX1896" s="1">
        <v>23.1</v>
      </c>
      <c r="AY1896" t="str">
        <v>CP-R80_HI782-0_0.0_LOT0941_PWW08.1_QC.xlsx</v>
      </c>
      <c r="AZ1896" t="str">
        <v>LOT0941</v>
      </c>
      <c r="BA1896" s="3">
        <v>23</v>
      </c>
      <c r="BB1896" t="str">
        <v>P/Prod</v>
      </c>
      <c r="BC1896">
        <v>35</v>
      </c>
      <c r="BD1896" s="10">
        <v>36.9</v>
      </c>
      <c r="BE1896" s="10">
        <v>36.700000000000003</v>
      </c>
      <c r="BF1896" s="10">
        <v>0</v>
      </c>
      <c r="BG1896" s="13">
        <v>45712</v>
      </c>
    </row>
    <row r="1897" spans="49:59" x14ac:dyDescent="0.3">
      <c r="AW1897" s="1">
        <v>23.1</v>
      </c>
      <c r="AX1897" s="1">
        <v>23.1</v>
      </c>
      <c r="AY1897" t="str">
        <v>CP-R80_HI782-0_0.0_LOT0941_PWW08.1_QC.xlsx</v>
      </c>
      <c r="AZ1897" t="str">
        <v>LOT0941</v>
      </c>
      <c r="BA1897" s="3">
        <v>23</v>
      </c>
      <c r="BB1897" t="str">
        <v>P/Prod</v>
      </c>
      <c r="BC1897">
        <v>35</v>
      </c>
      <c r="BD1897" s="10">
        <v>32.299999999999997</v>
      </c>
      <c r="BE1897" s="10">
        <v>32.9</v>
      </c>
      <c r="BF1897" s="10">
        <v>0</v>
      </c>
      <c r="BG1897" s="13">
        <v>45712</v>
      </c>
    </row>
    <row r="1898" spans="49:59" x14ac:dyDescent="0.3">
      <c r="AW1898" s="1">
        <v>23.1</v>
      </c>
      <c r="AX1898" s="1">
        <v>23.1</v>
      </c>
      <c r="AY1898" t="str">
        <v>CP-R80_HI782-0_0.0_LOT0941_PWW08.1_QC.xlsx</v>
      </c>
      <c r="AZ1898" t="str">
        <v>LOT0941</v>
      </c>
      <c r="BA1898" s="3">
        <v>23</v>
      </c>
      <c r="BB1898" t="str">
        <v>P/Prod</v>
      </c>
      <c r="BC1898">
        <v>35</v>
      </c>
      <c r="BD1898" s="10">
        <v>33.700000000000003</v>
      </c>
      <c r="BE1898" s="10">
        <v>33.9</v>
      </c>
      <c r="BF1898" s="10">
        <v>0</v>
      </c>
      <c r="BG1898" s="13">
        <v>45712</v>
      </c>
    </row>
    <row r="1899" spans="49:59" x14ac:dyDescent="0.3">
      <c r="AW1899" s="1">
        <v>23.1</v>
      </c>
      <c r="AX1899" s="1">
        <v>23.1</v>
      </c>
      <c r="AY1899" t="str">
        <v>CP-R80_HI782-0_0.0_LOT0941_PWW08.1_QC.xlsx</v>
      </c>
      <c r="AZ1899" t="str">
        <v>LOT0941</v>
      </c>
      <c r="BA1899" s="3">
        <v>23</v>
      </c>
      <c r="BB1899" t="str">
        <v>P/Prod</v>
      </c>
      <c r="BC1899">
        <v>35</v>
      </c>
      <c r="BD1899" s="10">
        <v>36.9</v>
      </c>
      <c r="BE1899" s="10">
        <v>37.1</v>
      </c>
      <c r="BF1899" s="10">
        <v>0</v>
      </c>
      <c r="BG1899" s="13">
        <v>45712</v>
      </c>
    </row>
    <row r="1900" spans="49:59" x14ac:dyDescent="0.3">
      <c r="AW1900" s="1">
        <v>23.1</v>
      </c>
      <c r="AX1900" s="1">
        <v>23.1</v>
      </c>
      <c r="AY1900" t="str">
        <v>CP-R80_HI782-0_0.0_LOT0941_PWW08.1_QC.xlsx</v>
      </c>
      <c r="AZ1900" t="str">
        <v>LOT0941</v>
      </c>
      <c r="BA1900" s="3">
        <v>23</v>
      </c>
      <c r="BB1900" t="str">
        <v>P/Prod</v>
      </c>
      <c r="BC1900">
        <v>35</v>
      </c>
      <c r="BD1900" s="10">
        <v>33.700000000000003</v>
      </c>
      <c r="BE1900" s="10">
        <v>33.700000000000003</v>
      </c>
      <c r="BF1900" s="10">
        <v>0</v>
      </c>
      <c r="BG1900" s="13">
        <v>45712</v>
      </c>
    </row>
    <row r="1901" spans="49:59" x14ac:dyDescent="0.3">
      <c r="AW1901" s="1">
        <v>23.1</v>
      </c>
      <c r="AX1901" s="1">
        <v>23.1</v>
      </c>
      <c r="AY1901" t="str">
        <v>CP-R80_HI782-0_0.0_LOT0941_PWW08.1_QC.xlsx</v>
      </c>
      <c r="AZ1901" t="str">
        <v>LOT0941</v>
      </c>
      <c r="BA1901" s="3">
        <v>23</v>
      </c>
      <c r="BB1901" t="str">
        <v>P/Prod</v>
      </c>
      <c r="BC1901">
        <v>35</v>
      </c>
      <c r="BD1901" s="10">
        <v>36.299999999999997</v>
      </c>
      <c r="BE1901" s="10">
        <v>36.6</v>
      </c>
      <c r="BF1901" s="10">
        <v>0</v>
      </c>
      <c r="BG1901" s="13">
        <v>45712</v>
      </c>
    </row>
    <row r="1902" spans="49:59" x14ac:dyDescent="0.3">
      <c r="AW1902" s="1">
        <v>23.1</v>
      </c>
      <c r="AX1902" s="1">
        <v>23.1</v>
      </c>
      <c r="AY1902" t="str">
        <v>CP-R80_HI782-0_0.0_LOT0941_PWW08.1_QC.xlsx</v>
      </c>
      <c r="AZ1902" t="str">
        <v>LOT0941</v>
      </c>
      <c r="BA1902" s="3">
        <v>23</v>
      </c>
      <c r="BB1902" t="str">
        <v>P/Prod</v>
      </c>
      <c r="BC1902">
        <v>35</v>
      </c>
      <c r="BD1902" s="10">
        <v>33</v>
      </c>
      <c r="BE1902" s="10">
        <v>33.200000000000003</v>
      </c>
      <c r="BF1902" s="10">
        <v>0</v>
      </c>
      <c r="BG1902" s="13">
        <v>45712</v>
      </c>
    </row>
    <row r="1903" spans="49:59" x14ac:dyDescent="0.3">
      <c r="AW1903" s="1">
        <v>23.1</v>
      </c>
      <c r="AX1903" s="1">
        <v>23.1</v>
      </c>
      <c r="AY1903" t="str">
        <v>CP-R80_HI782-0_0.0_LOT0941_PWW08.1_QC.xlsx</v>
      </c>
      <c r="AZ1903" t="str">
        <v>LOT0941</v>
      </c>
      <c r="BA1903" s="3">
        <v>23</v>
      </c>
      <c r="BB1903" t="str">
        <v>P/Prod</v>
      </c>
      <c r="BC1903">
        <v>35</v>
      </c>
      <c r="BD1903" s="10">
        <v>35.799999999999997</v>
      </c>
      <c r="BE1903" s="10">
        <v>36.299999999999997</v>
      </c>
      <c r="BF1903" s="10">
        <v>0</v>
      </c>
      <c r="BG1903" s="13">
        <v>45712</v>
      </c>
    </row>
    <row r="1904" spans="49:59" x14ac:dyDescent="0.3">
      <c r="AW1904" s="1">
        <v>23.1</v>
      </c>
      <c r="AX1904" s="1">
        <v>23.1</v>
      </c>
      <c r="AY1904" t="str">
        <v>CP-R80_HI782-0_0.0_LOT0941_PWW08.1_QC.xlsx</v>
      </c>
      <c r="AZ1904" t="str">
        <v>LOT0941</v>
      </c>
      <c r="BA1904" s="3">
        <v>23</v>
      </c>
      <c r="BB1904" t="str">
        <v>P/Prod</v>
      </c>
      <c r="BC1904">
        <v>35</v>
      </c>
      <c r="BD1904" s="10">
        <v>31.3</v>
      </c>
      <c r="BE1904" s="10">
        <v>31.5</v>
      </c>
      <c r="BF1904" s="10">
        <v>0</v>
      </c>
      <c r="BG1904" s="13">
        <v>45712</v>
      </c>
    </row>
    <row r="1905" spans="49:59" x14ac:dyDescent="0.3">
      <c r="AW1905" s="1">
        <v>23.1</v>
      </c>
      <c r="AX1905" s="1">
        <v>23.1</v>
      </c>
      <c r="AY1905" t="str">
        <v>CP-R80_HI782-0_0.0_LOT0941_PWW08.1_QC.xlsx</v>
      </c>
      <c r="AZ1905" t="str">
        <v>LOT0941</v>
      </c>
      <c r="BA1905" s="3">
        <v>23</v>
      </c>
      <c r="BB1905" t="str">
        <v>P/Prod</v>
      </c>
      <c r="BC1905">
        <v>35</v>
      </c>
      <c r="BD1905" s="10">
        <v>32.200000000000003</v>
      </c>
      <c r="BE1905" s="10">
        <v>32.5</v>
      </c>
      <c r="BF1905" s="10">
        <v>0</v>
      </c>
      <c r="BG1905" s="13">
        <v>45712</v>
      </c>
    </row>
    <row r="1906" spans="49:59" x14ac:dyDescent="0.3">
      <c r="AW1906" s="1">
        <v>23.1</v>
      </c>
      <c r="AX1906" s="1">
        <v>23.1</v>
      </c>
      <c r="AY1906" t="str">
        <v>CP-R80_HI782-0_0.0_LOT0941_PWW08.1_QC.xlsx</v>
      </c>
      <c r="AZ1906" t="str">
        <v>LOT0941</v>
      </c>
      <c r="BA1906" s="3">
        <v>23</v>
      </c>
      <c r="BB1906" t="str">
        <v>P/Prod</v>
      </c>
      <c r="BC1906">
        <v>35</v>
      </c>
      <c r="BD1906" s="10">
        <v>33.4</v>
      </c>
      <c r="BE1906" s="10">
        <v>33.299999999999997</v>
      </c>
      <c r="BF1906" s="10">
        <v>0</v>
      </c>
      <c r="BG1906" s="13">
        <v>45712</v>
      </c>
    </row>
    <row r="1907" spans="49:59" x14ac:dyDescent="0.3">
      <c r="AW1907" s="1">
        <v>23.1</v>
      </c>
      <c r="AX1907" s="1">
        <v>23.1</v>
      </c>
      <c r="AY1907" t="str">
        <v>CP-R80_HI782-0_0.0_LOT0941_PWW08.1_QC.xlsx</v>
      </c>
      <c r="AZ1907" t="str">
        <v>LOT0941</v>
      </c>
      <c r="BA1907" s="3">
        <v>23</v>
      </c>
      <c r="BB1907" t="str">
        <v>P/Prod</v>
      </c>
      <c r="BC1907">
        <v>35</v>
      </c>
      <c r="BD1907" s="10">
        <v>35.5</v>
      </c>
      <c r="BE1907" s="10">
        <v>35.700000000000003</v>
      </c>
      <c r="BF1907" s="10">
        <v>0</v>
      </c>
      <c r="BG1907" s="13">
        <v>45712</v>
      </c>
    </row>
    <row r="1908" spans="49:59" x14ac:dyDescent="0.3">
      <c r="AW1908" s="1">
        <v>23.1</v>
      </c>
      <c r="AX1908" s="1">
        <v>23.1</v>
      </c>
      <c r="AY1908" t="str">
        <v>CP-R80_HI782-0_0.0_LOT0941_PWW08.1_QC.xlsx</v>
      </c>
      <c r="AZ1908" t="str">
        <v>LOT0941</v>
      </c>
      <c r="BA1908" s="3">
        <v>23</v>
      </c>
      <c r="BB1908" t="str">
        <v>P/Prod</v>
      </c>
      <c r="BC1908">
        <v>35</v>
      </c>
      <c r="BD1908" s="10">
        <v>36.200000000000003</v>
      </c>
      <c r="BE1908" s="10">
        <v>36.4</v>
      </c>
      <c r="BF1908" s="10">
        <v>0</v>
      </c>
      <c r="BG1908" s="13">
        <v>45712</v>
      </c>
    </row>
    <row r="1909" spans="49:59" x14ac:dyDescent="0.3">
      <c r="AW1909" s="1">
        <v>23.1</v>
      </c>
      <c r="AX1909" s="1">
        <v>23.1</v>
      </c>
      <c r="AY1909" t="str">
        <v>CP-R80_HI782-0_0.0_LOT0941_PWW08.1_QC.xlsx</v>
      </c>
      <c r="AZ1909" t="str">
        <v>LOT0941</v>
      </c>
      <c r="BA1909" s="3">
        <v>23</v>
      </c>
      <c r="BB1909" t="str">
        <v>P/Prod</v>
      </c>
      <c r="BC1909">
        <v>35</v>
      </c>
      <c r="BD1909" s="10">
        <v>38.799999999999997</v>
      </c>
      <c r="BE1909" s="10">
        <v>39.1</v>
      </c>
      <c r="BF1909" s="10">
        <v>0</v>
      </c>
      <c r="BG1909" s="13">
        <v>45712</v>
      </c>
    </row>
    <row r="1910" spans="49:59" x14ac:dyDescent="0.3">
      <c r="AW1910" s="1">
        <v>23.1</v>
      </c>
      <c r="AX1910" s="1">
        <v>23.1</v>
      </c>
      <c r="AY1910" t="str">
        <v>CP-R80_HI782-0_0.0_LOT0941_PWW08.1_QC.xlsx</v>
      </c>
      <c r="AZ1910" t="str">
        <v>LOT0941</v>
      </c>
      <c r="BA1910" s="3">
        <v>23</v>
      </c>
      <c r="BB1910" t="str">
        <v>P/Prod</v>
      </c>
      <c r="BC1910">
        <v>60</v>
      </c>
      <c r="BD1910" s="10">
        <v>55.7</v>
      </c>
      <c r="BE1910" s="10">
        <v>55.6</v>
      </c>
      <c r="BF1910" s="10">
        <v>0</v>
      </c>
      <c r="BG1910" s="13">
        <v>45712</v>
      </c>
    </row>
    <row r="1911" spans="49:59" x14ac:dyDescent="0.3">
      <c r="AW1911" s="1">
        <v>23.1</v>
      </c>
      <c r="AX1911" s="1">
        <v>23.1</v>
      </c>
      <c r="AY1911" t="str">
        <v>CP-R80_HI782-0_0.0_LOT0941_PWW08.1_QC.xlsx</v>
      </c>
      <c r="AZ1911" t="str">
        <v>LOT0941</v>
      </c>
      <c r="BA1911" s="3">
        <v>23</v>
      </c>
      <c r="BB1911" t="str">
        <v>P/Prod</v>
      </c>
      <c r="BC1911">
        <v>60</v>
      </c>
      <c r="BD1911" s="10">
        <v>61.7</v>
      </c>
      <c r="BE1911" s="10">
        <v>61.9</v>
      </c>
      <c r="BF1911" s="10">
        <v>0</v>
      </c>
      <c r="BG1911" s="13">
        <v>45712</v>
      </c>
    </row>
    <row r="1912" spans="49:59" x14ac:dyDescent="0.3">
      <c r="AW1912" s="1">
        <v>23.1</v>
      </c>
      <c r="AX1912" s="1">
        <v>23.1</v>
      </c>
      <c r="AY1912" t="str">
        <v>CP-R80_HI782-0_0.0_LOT0941_PWW08.1_QC.xlsx</v>
      </c>
      <c r="AZ1912" t="str">
        <v>LOT0941</v>
      </c>
      <c r="BA1912" s="3">
        <v>23</v>
      </c>
      <c r="BB1912" t="str">
        <v>P/Prod</v>
      </c>
      <c r="BC1912">
        <v>60</v>
      </c>
      <c r="BD1912" s="10">
        <v>56.4</v>
      </c>
      <c r="BE1912" s="10">
        <v>56.8</v>
      </c>
      <c r="BF1912" s="10">
        <v>0</v>
      </c>
      <c r="BG1912" s="13">
        <v>45712</v>
      </c>
    </row>
    <row r="1913" spans="49:59" x14ac:dyDescent="0.3">
      <c r="AW1913" s="1">
        <v>23.1</v>
      </c>
      <c r="AX1913" s="1">
        <v>23.1</v>
      </c>
      <c r="AY1913" t="str">
        <v>CP-R80_HI782-0_0.0_LOT0941_PWW08.1_QC.xlsx</v>
      </c>
      <c r="AZ1913" t="str">
        <v>LOT0941</v>
      </c>
      <c r="BA1913" s="3">
        <v>23</v>
      </c>
      <c r="BB1913" t="str">
        <v>P/Prod</v>
      </c>
      <c r="BC1913">
        <v>60</v>
      </c>
      <c r="BD1913" s="10">
        <v>62.3</v>
      </c>
      <c r="BE1913" s="10">
        <v>62.3</v>
      </c>
      <c r="BF1913" s="10">
        <v>0</v>
      </c>
      <c r="BG1913" s="13">
        <v>45712</v>
      </c>
    </row>
    <row r="1914" spans="49:59" x14ac:dyDescent="0.3">
      <c r="AW1914" s="1">
        <v>23.1</v>
      </c>
      <c r="AX1914" s="1">
        <v>23.1</v>
      </c>
      <c r="AY1914" t="str">
        <v>CP-R80_HI782-0_0.0_LOT0941_PWW08.1_QC.xlsx</v>
      </c>
      <c r="AZ1914" t="str">
        <v>LOT0941</v>
      </c>
      <c r="BA1914" s="3">
        <v>23</v>
      </c>
      <c r="BB1914" t="str">
        <v>P/Prod</v>
      </c>
      <c r="BC1914">
        <v>60</v>
      </c>
      <c r="BD1914" s="10">
        <v>53.3</v>
      </c>
      <c r="BE1914" s="10">
        <v>54.1</v>
      </c>
      <c r="BF1914" s="10">
        <v>0</v>
      </c>
      <c r="BG1914" s="13">
        <v>45712</v>
      </c>
    </row>
    <row r="1915" spans="49:59" x14ac:dyDescent="0.3">
      <c r="AW1915" s="1">
        <v>23.1</v>
      </c>
      <c r="AX1915" s="1">
        <v>23.1</v>
      </c>
      <c r="AY1915" t="str">
        <v>CP-R80_HI782-0_0.0_LOT0941_PWW08.1_QC.xlsx</v>
      </c>
      <c r="AZ1915" t="str">
        <v>LOT0941</v>
      </c>
      <c r="BA1915" s="3">
        <v>23</v>
      </c>
      <c r="BB1915" t="str">
        <v>P/Prod</v>
      </c>
      <c r="BC1915">
        <v>60</v>
      </c>
      <c r="BD1915" s="10">
        <v>55.2</v>
      </c>
      <c r="BE1915" s="10">
        <v>55.2</v>
      </c>
      <c r="BF1915" s="10">
        <v>0</v>
      </c>
      <c r="BG1915" s="13">
        <v>45712</v>
      </c>
    </row>
    <row r="1916" spans="49:59" x14ac:dyDescent="0.3">
      <c r="AW1916" s="1">
        <v>23.1</v>
      </c>
      <c r="AX1916" s="1">
        <v>23.1</v>
      </c>
      <c r="AY1916" t="str">
        <v>CP-R80_HI782-0_0.0_LOT0941_PWW08.1_QC.xlsx</v>
      </c>
      <c r="AZ1916" t="str">
        <v>LOT0941</v>
      </c>
      <c r="BA1916" s="3">
        <v>23</v>
      </c>
      <c r="BB1916" t="str">
        <v>P/Prod</v>
      </c>
      <c r="BC1916">
        <v>60</v>
      </c>
      <c r="BD1916" s="10">
        <v>54.2</v>
      </c>
      <c r="BE1916" s="10">
        <v>54.3</v>
      </c>
      <c r="BF1916" s="10">
        <v>0</v>
      </c>
      <c r="BG1916" s="13">
        <v>45712</v>
      </c>
    </row>
    <row r="1917" spans="49:59" x14ac:dyDescent="0.3">
      <c r="AW1917" s="1">
        <v>23.1</v>
      </c>
      <c r="AX1917" s="1">
        <v>23.1</v>
      </c>
      <c r="AY1917" t="str">
        <v>CP-R80_HI782-0_0.0_LOT0941_PWW08.1_QC.xlsx</v>
      </c>
      <c r="AZ1917" t="str">
        <v>LOT0941</v>
      </c>
      <c r="BA1917" s="3">
        <v>23</v>
      </c>
      <c r="BB1917" t="str">
        <v>P/Prod</v>
      </c>
      <c r="BC1917">
        <v>60</v>
      </c>
      <c r="BD1917" s="10">
        <v>56.8</v>
      </c>
      <c r="BE1917" s="10">
        <v>55.9</v>
      </c>
      <c r="BF1917" s="10">
        <v>0</v>
      </c>
      <c r="BG1917" s="13">
        <v>45712</v>
      </c>
    </row>
    <row r="1918" spans="49:59" x14ac:dyDescent="0.3">
      <c r="AW1918" s="1">
        <v>23.1</v>
      </c>
      <c r="AX1918" s="1">
        <v>23.1</v>
      </c>
      <c r="AY1918" t="str">
        <v>CP-R80_HI782-0_0.0_LOT0941_PWW08.1_QC.xlsx</v>
      </c>
      <c r="AZ1918" t="str">
        <v>LOT0941</v>
      </c>
      <c r="BA1918" s="3">
        <v>23</v>
      </c>
      <c r="BB1918" t="str">
        <v>P/Prod</v>
      </c>
      <c r="BC1918">
        <v>60</v>
      </c>
      <c r="BD1918" s="10">
        <v>56.5</v>
      </c>
      <c r="BE1918" s="10">
        <v>58.4</v>
      </c>
      <c r="BF1918" s="10">
        <v>0</v>
      </c>
      <c r="BG1918" s="13">
        <v>45712</v>
      </c>
    </row>
    <row r="1919" spans="49:59" x14ac:dyDescent="0.3">
      <c r="AW1919" s="1">
        <v>23.1</v>
      </c>
      <c r="AX1919" s="1">
        <v>23.1</v>
      </c>
      <c r="AY1919" t="str">
        <v>CP-R80_HI782-0_0.0_LOT0941_PWW08.1_QC.xlsx</v>
      </c>
      <c r="AZ1919" t="str">
        <v>LOT0941</v>
      </c>
      <c r="BA1919" s="3">
        <v>23</v>
      </c>
      <c r="BB1919" t="str">
        <v>P/Prod</v>
      </c>
      <c r="BC1919">
        <v>60</v>
      </c>
      <c r="BD1919" s="10">
        <v>57.9</v>
      </c>
      <c r="BE1919" s="10">
        <v>57.6</v>
      </c>
      <c r="BF1919" s="10">
        <v>0</v>
      </c>
      <c r="BG1919" s="13">
        <v>45712</v>
      </c>
    </row>
    <row r="1920" spans="49:59" x14ac:dyDescent="0.3">
      <c r="AW1920" s="1">
        <v>23.1</v>
      </c>
      <c r="AX1920" s="1">
        <v>23.1</v>
      </c>
      <c r="AY1920" t="str">
        <v>CP-R80_HI782-0_0.0_LOT0941_PWW08.1_QC.xlsx</v>
      </c>
      <c r="AZ1920" t="str">
        <v>LOT0941</v>
      </c>
      <c r="BA1920" s="3">
        <v>23</v>
      </c>
      <c r="BB1920" t="str">
        <v>P/Prod</v>
      </c>
      <c r="BC1920">
        <v>60</v>
      </c>
      <c r="BD1920" s="10">
        <v>55.5</v>
      </c>
      <c r="BE1920" s="10">
        <v>57.1</v>
      </c>
      <c r="BF1920" s="10">
        <v>0</v>
      </c>
      <c r="BG1920" s="13">
        <v>45712</v>
      </c>
    </row>
    <row r="1921" spans="49:59" x14ac:dyDescent="0.3">
      <c r="AW1921" s="1">
        <v>23.1</v>
      </c>
      <c r="AX1921" s="1">
        <v>23.1</v>
      </c>
      <c r="AY1921" t="str">
        <v>CP-R80_HI782-0_0.0_LOT0941_PWW08.1_QC.xlsx</v>
      </c>
      <c r="AZ1921" t="str">
        <v>LOT0941</v>
      </c>
      <c r="BA1921" s="3">
        <v>23</v>
      </c>
      <c r="BB1921" t="str">
        <v>P/Prod</v>
      </c>
      <c r="BC1921">
        <v>60</v>
      </c>
      <c r="BD1921" s="10">
        <v>55.2</v>
      </c>
      <c r="BE1921" s="10">
        <v>55.8</v>
      </c>
      <c r="BF1921" s="10">
        <v>0</v>
      </c>
      <c r="BG1921" s="13">
        <v>45712</v>
      </c>
    </row>
    <row r="1922" spans="49:59" x14ac:dyDescent="0.3">
      <c r="AW1922" s="1">
        <v>23.1</v>
      </c>
      <c r="AX1922" s="1">
        <v>23.1</v>
      </c>
      <c r="AY1922" t="str">
        <v>CP-R80_HI782-0_0.0_LOT0941_PWW08.1_QC.xlsx</v>
      </c>
      <c r="AZ1922" t="str">
        <v>LOT0941</v>
      </c>
      <c r="BA1922" s="3">
        <v>23</v>
      </c>
      <c r="BB1922" t="str">
        <v>P/Prod</v>
      </c>
      <c r="BC1922">
        <v>60</v>
      </c>
      <c r="BD1922" s="10">
        <v>57.1</v>
      </c>
      <c r="BE1922" s="10">
        <v>57.1</v>
      </c>
      <c r="BF1922" s="10">
        <v>0</v>
      </c>
      <c r="BG1922" s="13">
        <v>45712</v>
      </c>
    </row>
    <row r="1923" spans="49:59" x14ac:dyDescent="0.3">
      <c r="AW1923" s="1">
        <v>23.1</v>
      </c>
      <c r="AX1923" s="1">
        <v>23.1</v>
      </c>
      <c r="AY1923" t="str">
        <v>CP-R80_HI782-0_0.0_LOT0941_PWW08.1_QC.xlsx</v>
      </c>
      <c r="AZ1923" t="str">
        <v>LOT0941</v>
      </c>
      <c r="BA1923" s="3">
        <v>23</v>
      </c>
      <c r="BB1923" t="str">
        <v>P/Prod</v>
      </c>
      <c r="BC1923">
        <v>60</v>
      </c>
      <c r="BD1923" s="10">
        <v>51.8</v>
      </c>
      <c r="BE1923" s="10">
        <v>51.5</v>
      </c>
      <c r="BF1923" s="10">
        <v>0</v>
      </c>
      <c r="BG1923" s="13">
        <v>45712</v>
      </c>
    </row>
    <row r="1924" spans="49:59" x14ac:dyDescent="0.3">
      <c r="AW1924" s="1">
        <v>23.1</v>
      </c>
      <c r="AX1924" s="1">
        <v>23.1</v>
      </c>
      <c r="AY1924" t="str">
        <v>CP-R80_HI782-0_0.0_LOT0941_PWW08.1_QC.xlsx</v>
      </c>
      <c r="AZ1924" t="str">
        <v>LOT0941</v>
      </c>
      <c r="BA1924" s="3">
        <v>23</v>
      </c>
      <c r="BB1924" t="str">
        <v>P/Prod</v>
      </c>
      <c r="BC1924">
        <v>60</v>
      </c>
      <c r="BD1924" s="10">
        <v>54.3</v>
      </c>
      <c r="BE1924" s="10">
        <v>56.1</v>
      </c>
      <c r="BF1924" s="10">
        <v>0</v>
      </c>
      <c r="BG1924" s="13">
        <v>45712</v>
      </c>
    </row>
    <row r="1925" spans="49:59" x14ac:dyDescent="0.3">
      <c r="AW1925" s="1">
        <v>23.1</v>
      </c>
      <c r="AX1925" s="1">
        <v>23.1</v>
      </c>
      <c r="AY1925" t="str">
        <v>CP-R80_HI782-0_0.0_LOT0941_PWW08.1_QC.xlsx</v>
      </c>
      <c r="AZ1925" t="str">
        <v>LOT0941</v>
      </c>
      <c r="BA1925" s="3">
        <v>23</v>
      </c>
      <c r="BB1925" t="str">
        <v>P/Prod</v>
      </c>
      <c r="BC1925">
        <v>60</v>
      </c>
      <c r="BD1925" s="10">
        <v>57.2</v>
      </c>
      <c r="BE1925" s="10">
        <v>57.6</v>
      </c>
      <c r="BF1925" s="10">
        <v>0</v>
      </c>
      <c r="BG1925" s="13">
        <v>45712</v>
      </c>
    </row>
    <row r="1926" spans="49:59" x14ac:dyDescent="0.3">
      <c r="AW1926" s="1">
        <v>23.1</v>
      </c>
      <c r="AX1926" s="1">
        <v>23.1</v>
      </c>
      <c r="AY1926" t="str">
        <v>CP-R80_HI782-0_0.0_LOT0941_PWW08.1_QC.xlsx</v>
      </c>
      <c r="AZ1926" t="str">
        <v>LOT0941</v>
      </c>
      <c r="BA1926" s="3">
        <v>23</v>
      </c>
      <c r="BB1926" t="str">
        <v>P/Prod</v>
      </c>
      <c r="BC1926">
        <v>60</v>
      </c>
      <c r="BD1926" s="10">
        <v>55.4</v>
      </c>
      <c r="BE1926" s="10">
        <v>55.2</v>
      </c>
      <c r="BF1926" s="10">
        <v>0</v>
      </c>
      <c r="BG1926" s="13">
        <v>45712</v>
      </c>
    </row>
    <row r="1927" spans="49:59" x14ac:dyDescent="0.3">
      <c r="AW1927" s="1">
        <v>23.1</v>
      </c>
      <c r="AX1927" s="1">
        <v>23.1</v>
      </c>
      <c r="AY1927" t="str">
        <v>CP-R80_HI782-0_0.0_LOT0941_PWW08.1_QC.xlsx</v>
      </c>
      <c r="AZ1927" t="str">
        <v>LOT0941</v>
      </c>
      <c r="BA1927" s="3">
        <v>23</v>
      </c>
      <c r="BB1927" t="str">
        <v>P/Prod</v>
      </c>
      <c r="BC1927">
        <v>60</v>
      </c>
      <c r="BD1927" s="10">
        <v>56.6</v>
      </c>
      <c r="BE1927" s="10">
        <v>57.5</v>
      </c>
      <c r="BF1927" s="10">
        <v>0</v>
      </c>
      <c r="BG1927" s="13">
        <v>45712</v>
      </c>
    </row>
    <row r="1928" spans="49:59" x14ac:dyDescent="0.3">
      <c r="AW1928" s="1">
        <v>23.1</v>
      </c>
      <c r="AX1928" s="1">
        <v>23.1</v>
      </c>
      <c r="AY1928" t="str">
        <v>CP-R80_HI782-0_0.0_LOT0941_PWW08.1_QC.xlsx</v>
      </c>
      <c r="AZ1928" t="str">
        <v>LOT0941</v>
      </c>
      <c r="BA1928" s="3">
        <v>23</v>
      </c>
      <c r="BB1928" t="str">
        <v>P/Prod</v>
      </c>
      <c r="BC1928">
        <v>60</v>
      </c>
      <c r="BD1928" s="10">
        <v>55.2</v>
      </c>
      <c r="BE1928" s="10">
        <v>55.7</v>
      </c>
      <c r="BF1928" s="10">
        <v>0</v>
      </c>
      <c r="BG1928" s="13">
        <v>45712</v>
      </c>
    </row>
    <row r="1929" spans="49:59" x14ac:dyDescent="0.3">
      <c r="AW1929" s="1">
        <v>23.1</v>
      </c>
      <c r="AX1929" s="1">
        <v>23.1</v>
      </c>
      <c r="AY1929" t="str">
        <v>CP-R80_HI782-0_0.0_LOT0941_PWW08.1_QC.xlsx</v>
      </c>
      <c r="AZ1929" t="str">
        <v>LOT0941</v>
      </c>
      <c r="BA1929" s="3">
        <v>23</v>
      </c>
      <c r="BB1929" t="str">
        <v>P/Prod</v>
      </c>
      <c r="BC1929">
        <v>60</v>
      </c>
      <c r="BD1929" s="10">
        <v>61.1</v>
      </c>
      <c r="BE1929" s="10">
        <v>59.4</v>
      </c>
      <c r="BF1929" s="10">
        <v>0</v>
      </c>
      <c r="BG1929" s="13">
        <v>45712</v>
      </c>
    </row>
    <row r="1930" spans="49:59" x14ac:dyDescent="0.3">
      <c r="AW1930" s="1">
        <v>23.1</v>
      </c>
      <c r="AX1930" s="1">
        <v>23.1</v>
      </c>
      <c r="AY1930" t="str">
        <v>CP-R80_HI782-0_0.0_LOT0941_PWW08.1_QC.xlsx</v>
      </c>
      <c r="AZ1930" t="str">
        <v>LOT0941</v>
      </c>
      <c r="BA1930" s="3">
        <v>23</v>
      </c>
      <c r="BB1930" t="str">
        <v>P/Prod</v>
      </c>
      <c r="BC1930">
        <v>60</v>
      </c>
      <c r="BD1930" s="10">
        <v>56.3</v>
      </c>
      <c r="BE1930" s="10">
        <v>56.3</v>
      </c>
      <c r="BF1930" s="10">
        <v>0</v>
      </c>
      <c r="BG1930" s="13">
        <v>45712</v>
      </c>
    </row>
    <row r="1931" spans="49:59" x14ac:dyDescent="0.3">
      <c r="AW1931" s="1">
        <v>23.1</v>
      </c>
      <c r="AX1931" s="1">
        <v>23.1</v>
      </c>
      <c r="AY1931" t="str">
        <v>CP-R80_HI782-0_0.0_LOT0941_PWW08.1_QC.xlsx</v>
      </c>
      <c r="AZ1931" t="str">
        <v>LOT0941</v>
      </c>
      <c r="BA1931" s="3">
        <v>23</v>
      </c>
      <c r="BB1931" t="str">
        <v>P/Prod</v>
      </c>
      <c r="BC1931">
        <v>60</v>
      </c>
      <c r="BD1931" s="10">
        <v>61.2</v>
      </c>
      <c r="BE1931" s="10">
        <v>61.7</v>
      </c>
      <c r="BF1931" s="10">
        <v>0</v>
      </c>
      <c r="BG1931" s="13">
        <v>45712</v>
      </c>
    </row>
    <row r="1932" spans="49:59" x14ac:dyDescent="0.3">
      <c r="AW1932" s="1">
        <v>23.1</v>
      </c>
      <c r="AX1932" s="1">
        <v>23.1</v>
      </c>
      <c r="AY1932" t="str">
        <v>CP-R80_HI782-0_0.0_LOT0941_PWW08.1_QC.xlsx</v>
      </c>
      <c r="AZ1932" t="str">
        <v>LOT0941</v>
      </c>
      <c r="BA1932" s="3">
        <v>23</v>
      </c>
      <c r="BB1932" t="str">
        <v>P/Prod</v>
      </c>
      <c r="BC1932">
        <v>0</v>
      </c>
      <c r="BD1932" s="10">
        <v>0</v>
      </c>
      <c r="BE1932" s="10">
        <v>0</v>
      </c>
      <c r="BF1932" s="10">
        <v>0</v>
      </c>
      <c r="BG1932" s="13">
        <v>45713</v>
      </c>
    </row>
    <row r="1933" spans="49:59" x14ac:dyDescent="0.3">
      <c r="AW1933" s="1">
        <v>23.1</v>
      </c>
      <c r="AX1933" s="1">
        <v>23.1</v>
      </c>
      <c r="AY1933" t="str">
        <v>CP-R80_HI782-0_0.0_LOT0941_PWW08.1_QC.xlsx</v>
      </c>
      <c r="AZ1933" t="str">
        <v>LOT0941</v>
      </c>
      <c r="BA1933" s="3">
        <v>23</v>
      </c>
      <c r="BB1933" t="str">
        <v>P/Prod</v>
      </c>
      <c r="BC1933">
        <v>0</v>
      </c>
      <c r="BD1933" s="10">
        <v>0</v>
      </c>
      <c r="BE1933" s="10">
        <v>0</v>
      </c>
      <c r="BF1933" s="10">
        <v>0</v>
      </c>
      <c r="BG1933" s="13">
        <v>45713</v>
      </c>
    </row>
    <row r="1934" spans="49:59" x14ac:dyDescent="0.3">
      <c r="AW1934" s="1">
        <v>23.1</v>
      </c>
      <c r="AX1934" s="1">
        <v>23.1</v>
      </c>
      <c r="AY1934" t="str">
        <v>CP-R80_HI782-0_0.0_LOT0941_PWW08.1_QC.xlsx</v>
      </c>
      <c r="AZ1934" t="str">
        <v>LOT0941</v>
      </c>
      <c r="BA1934" s="3">
        <v>23</v>
      </c>
      <c r="BB1934" t="str">
        <v>P/Prod</v>
      </c>
      <c r="BC1934">
        <v>0</v>
      </c>
      <c r="BD1934" s="10">
        <v>0</v>
      </c>
      <c r="BE1934" s="10">
        <v>0</v>
      </c>
      <c r="BF1934" s="10">
        <v>0</v>
      </c>
      <c r="BG1934" s="13">
        <v>45713</v>
      </c>
    </row>
    <row r="1935" spans="49:59" x14ac:dyDescent="0.3">
      <c r="AW1935" s="1">
        <v>23.1</v>
      </c>
      <c r="AX1935" s="1">
        <v>23.1</v>
      </c>
      <c r="AY1935" t="str">
        <v>CP-R80_HI782-0_0.0_LOT0941_PWW08.1_QC.xlsx</v>
      </c>
      <c r="AZ1935" t="str">
        <v>LOT0941</v>
      </c>
      <c r="BA1935" s="3">
        <v>23</v>
      </c>
      <c r="BB1935" t="str">
        <v>P/Prod</v>
      </c>
      <c r="BC1935">
        <v>0</v>
      </c>
      <c r="BD1935" s="10">
        <v>0</v>
      </c>
      <c r="BE1935" s="10">
        <v>0</v>
      </c>
      <c r="BF1935" s="10">
        <v>0</v>
      </c>
      <c r="BG1935" s="13">
        <v>45713</v>
      </c>
    </row>
    <row r="1936" spans="49:59" x14ac:dyDescent="0.3">
      <c r="AW1936" s="1">
        <v>23.1</v>
      </c>
      <c r="AX1936" s="1">
        <v>23.1</v>
      </c>
      <c r="AY1936" t="str">
        <v>CP-R80_HI782-0_0.0_LOT0941_PWW08.1_QC.xlsx</v>
      </c>
      <c r="AZ1936" t="str">
        <v>LOT0941</v>
      </c>
      <c r="BA1936" s="3">
        <v>23</v>
      </c>
      <c r="BB1936" t="str">
        <v>P/Prod</v>
      </c>
      <c r="BC1936">
        <v>0</v>
      </c>
      <c r="BD1936" s="10">
        <v>0</v>
      </c>
      <c r="BE1936" s="10">
        <v>0</v>
      </c>
      <c r="BF1936" s="10">
        <v>0</v>
      </c>
      <c r="BG1936" s="13">
        <v>45713</v>
      </c>
    </row>
    <row r="1937" spans="49:59" x14ac:dyDescent="0.3">
      <c r="AW1937" s="1">
        <v>23.1</v>
      </c>
      <c r="AX1937" s="1">
        <v>23.1</v>
      </c>
      <c r="AY1937" t="str">
        <v>CP-R80_HI782-0_0.0_LOT0941_PWW08.1_QC.xlsx</v>
      </c>
      <c r="AZ1937" t="str">
        <v>LOT0941</v>
      </c>
      <c r="BA1937" s="3">
        <v>23</v>
      </c>
      <c r="BB1937" t="str">
        <v>P/Prod</v>
      </c>
      <c r="BC1937">
        <v>0</v>
      </c>
      <c r="BD1937" s="10">
        <v>0</v>
      </c>
      <c r="BE1937" s="10">
        <v>0</v>
      </c>
      <c r="BF1937" s="10">
        <v>0</v>
      </c>
      <c r="BG1937" s="13">
        <v>45713</v>
      </c>
    </row>
    <row r="1938" spans="49:59" x14ac:dyDescent="0.3">
      <c r="AW1938" s="1">
        <v>23.1</v>
      </c>
      <c r="AX1938" s="1">
        <v>23.1</v>
      </c>
      <c r="AY1938" t="str">
        <v>CP-R80_HI782-0_0.0_LOT0941_PWW08.1_QC.xlsx</v>
      </c>
      <c r="AZ1938" t="str">
        <v>LOT0941</v>
      </c>
      <c r="BA1938" s="3">
        <v>23</v>
      </c>
      <c r="BB1938" t="str">
        <v>P/Prod</v>
      </c>
      <c r="BC1938">
        <v>0</v>
      </c>
      <c r="BD1938" s="10">
        <v>0</v>
      </c>
      <c r="BE1938" s="10">
        <v>0</v>
      </c>
      <c r="BF1938" s="10">
        <v>0</v>
      </c>
      <c r="BG1938" s="13">
        <v>45713</v>
      </c>
    </row>
    <row r="1939" spans="49:59" x14ac:dyDescent="0.3">
      <c r="AW1939" s="1">
        <v>23.1</v>
      </c>
      <c r="AX1939" s="1">
        <v>23.1</v>
      </c>
      <c r="AY1939" t="str">
        <v>CP-R80_HI782-0_0.0_LOT0941_PWW08.1_QC.xlsx</v>
      </c>
      <c r="AZ1939" t="str">
        <v>LOT0941</v>
      </c>
      <c r="BA1939" s="3">
        <v>23</v>
      </c>
      <c r="BB1939" t="str">
        <v>P/Prod</v>
      </c>
      <c r="BC1939">
        <v>0</v>
      </c>
      <c r="BD1939" s="10">
        <v>0</v>
      </c>
      <c r="BE1939" s="10">
        <v>0</v>
      </c>
      <c r="BF1939" s="10">
        <v>0</v>
      </c>
      <c r="BG1939" s="13">
        <v>45713</v>
      </c>
    </row>
    <row r="1940" spans="49:59" x14ac:dyDescent="0.3">
      <c r="AW1940" s="1">
        <v>23.1</v>
      </c>
      <c r="AX1940" s="1">
        <v>23.1</v>
      </c>
      <c r="AY1940" t="str">
        <v>CP-R80_HI782-0_0.0_LOT0941_PWW08.1_QC.xlsx</v>
      </c>
      <c r="AZ1940" t="str">
        <v>LOT0941</v>
      </c>
      <c r="BA1940" s="3">
        <v>23</v>
      </c>
      <c r="BB1940" t="str">
        <v>P/Prod</v>
      </c>
      <c r="BC1940">
        <v>15</v>
      </c>
      <c r="BD1940" s="10">
        <v>12.8</v>
      </c>
      <c r="BE1940" s="10">
        <v>0</v>
      </c>
      <c r="BF1940" s="10">
        <v>0</v>
      </c>
      <c r="BG1940" s="13">
        <v>45713</v>
      </c>
    </row>
    <row r="1941" spans="49:59" x14ac:dyDescent="0.3">
      <c r="AW1941" s="1">
        <v>23.1</v>
      </c>
      <c r="AX1941" s="1">
        <v>23.1</v>
      </c>
      <c r="AY1941" t="str">
        <v>CP-R80_HI782-0_0.0_LOT0941_PWW08.1_QC.xlsx</v>
      </c>
      <c r="AZ1941" t="str">
        <v>LOT0941</v>
      </c>
      <c r="BA1941" s="3">
        <v>23</v>
      </c>
      <c r="BB1941" t="str">
        <v>P/Prod</v>
      </c>
      <c r="BC1941">
        <v>15</v>
      </c>
      <c r="BD1941" s="10">
        <v>15.8</v>
      </c>
      <c r="BE1941" s="10">
        <v>15.8</v>
      </c>
      <c r="BF1941" s="10">
        <v>0</v>
      </c>
      <c r="BG1941" s="13">
        <v>45713</v>
      </c>
    </row>
    <row r="1942" spans="49:59" x14ac:dyDescent="0.3">
      <c r="AW1942" s="1">
        <v>23.1</v>
      </c>
      <c r="AX1942" s="1">
        <v>23.1</v>
      </c>
      <c r="AY1942" t="str">
        <v>CP-R80_HI782-0_0.0_LOT0941_PWW08.1_QC.xlsx</v>
      </c>
      <c r="AZ1942" t="str">
        <v>LOT0941</v>
      </c>
      <c r="BA1942" s="3">
        <v>23</v>
      </c>
      <c r="BB1942" t="str">
        <v>P/Prod</v>
      </c>
      <c r="BC1942">
        <v>15</v>
      </c>
      <c r="BD1942" s="10">
        <v>14.5</v>
      </c>
      <c r="BE1942" s="10">
        <v>14.5</v>
      </c>
      <c r="BF1942" s="10">
        <v>0</v>
      </c>
      <c r="BG1942" s="13">
        <v>45713</v>
      </c>
    </row>
    <row r="1943" spans="49:59" x14ac:dyDescent="0.3">
      <c r="AW1943" s="1">
        <v>23.1</v>
      </c>
      <c r="AX1943" s="1">
        <v>23.1</v>
      </c>
      <c r="AY1943" t="str">
        <v>CP-R80_HI782-0_0.0_LOT0941_PWW08.1_QC.xlsx</v>
      </c>
      <c r="AZ1943" t="str">
        <v>LOT0941</v>
      </c>
      <c r="BA1943" s="3">
        <v>23</v>
      </c>
      <c r="BB1943" t="str">
        <v>P/Prod</v>
      </c>
      <c r="BC1943">
        <v>15</v>
      </c>
      <c r="BD1943" s="10">
        <v>13.1</v>
      </c>
      <c r="BE1943" s="10">
        <v>13</v>
      </c>
      <c r="BF1943" s="10">
        <v>0</v>
      </c>
      <c r="BG1943" s="13">
        <v>45713</v>
      </c>
    </row>
    <row r="1944" spans="49:59" x14ac:dyDescent="0.3">
      <c r="AW1944" s="1">
        <v>23.1</v>
      </c>
      <c r="AX1944" s="1">
        <v>23.1</v>
      </c>
      <c r="AY1944" t="str">
        <v>CP-R80_HI782-0_0.0_LOT0941_PWW08.1_QC.xlsx</v>
      </c>
      <c r="AZ1944" t="str">
        <v>LOT0941</v>
      </c>
      <c r="BA1944" s="3">
        <v>23</v>
      </c>
      <c r="BB1944" t="str">
        <v>P/Prod</v>
      </c>
      <c r="BC1944">
        <v>15</v>
      </c>
      <c r="BD1944" s="10">
        <v>14.6</v>
      </c>
      <c r="BE1944" s="10">
        <v>14.6</v>
      </c>
      <c r="BF1944" s="10">
        <v>0</v>
      </c>
      <c r="BG1944" s="13">
        <v>45713</v>
      </c>
    </row>
    <row r="1945" spans="49:59" x14ac:dyDescent="0.3">
      <c r="AW1945" s="1">
        <v>23.1</v>
      </c>
      <c r="AX1945" s="1">
        <v>23.1</v>
      </c>
      <c r="AY1945" t="str">
        <v>CP-R80_HI782-0_0.0_LOT0941_PWW08.1_QC.xlsx</v>
      </c>
      <c r="AZ1945" t="str">
        <v>LOT0941</v>
      </c>
      <c r="BA1945" s="3">
        <v>23</v>
      </c>
      <c r="BB1945" t="str">
        <v>P/Prod</v>
      </c>
      <c r="BC1945">
        <v>15</v>
      </c>
      <c r="BD1945" s="10">
        <v>13.2</v>
      </c>
      <c r="BE1945" s="10">
        <v>0</v>
      </c>
      <c r="BF1945" s="10">
        <v>0</v>
      </c>
      <c r="BG1945" s="13">
        <v>45713</v>
      </c>
    </row>
    <row r="1946" spans="49:59" x14ac:dyDescent="0.3">
      <c r="AW1946" s="1">
        <v>23.1</v>
      </c>
      <c r="AX1946" s="1">
        <v>23.1</v>
      </c>
      <c r="AY1946" t="str">
        <v>CP-R80_HI782-0_0.0_LOT0941_PWW08.1_QC.xlsx</v>
      </c>
      <c r="AZ1946" t="str">
        <v>LOT0941</v>
      </c>
      <c r="BA1946" s="3">
        <v>23</v>
      </c>
      <c r="BB1946" t="str">
        <v>P/Prod</v>
      </c>
      <c r="BC1946">
        <v>15</v>
      </c>
      <c r="BD1946" s="10">
        <v>14.6</v>
      </c>
      <c r="BE1946" s="10">
        <v>0</v>
      </c>
      <c r="BF1946" s="10">
        <v>0</v>
      </c>
      <c r="BG1946" s="13">
        <v>45713</v>
      </c>
    </row>
    <row r="1947" spans="49:59" x14ac:dyDescent="0.3">
      <c r="AW1947" s="1">
        <v>23.1</v>
      </c>
      <c r="AX1947" s="1">
        <v>23.1</v>
      </c>
      <c r="AY1947" t="str">
        <v>CP-R80_HI782-0_0.0_LOT0941_PWW08.1_QC.xlsx</v>
      </c>
      <c r="AZ1947" t="str">
        <v>LOT0941</v>
      </c>
      <c r="BA1947" s="3">
        <v>23</v>
      </c>
      <c r="BB1947" t="str">
        <v>P/Prod</v>
      </c>
      <c r="BC1947">
        <v>15</v>
      </c>
      <c r="BD1947" s="10">
        <v>15.9</v>
      </c>
      <c r="BE1947" s="10">
        <v>15.9</v>
      </c>
      <c r="BF1947" s="10">
        <v>0</v>
      </c>
      <c r="BG1947" s="13">
        <v>45713</v>
      </c>
    </row>
    <row r="1948" spans="49:59" x14ac:dyDescent="0.3">
      <c r="AW1948" s="1">
        <v>23.1</v>
      </c>
      <c r="AX1948" s="1">
        <v>23.1</v>
      </c>
      <c r="AY1948" t="str">
        <v>CP-R80_HI782-0_0.0_LOT0941_PWW08.1_QC.xlsx</v>
      </c>
      <c r="AZ1948" t="str">
        <v>LOT0941</v>
      </c>
      <c r="BA1948" s="3">
        <v>23</v>
      </c>
      <c r="BB1948" t="str">
        <v>P/Prod</v>
      </c>
      <c r="BC1948">
        <v>15</v>
      </c>
      <c r="BD1948" s="10">
        <v>12.7</v>
      </c>
      <c r="BE1948" s="10">
        <v>0</v>
      </c>
      <c r="BF1948" s="10">
        <v>0</v>
      </c>
      <c r="BG1948" s="13">
        <v>45713</v>
      </c>
    </row>
    <row r="1949" spans="49:59" x14ac:dyDescent="0.3">
      <c r="AW1949" s="1">
        <v>23.1</v>
      </c>
      <c r="AX1949" s="1">
        <v>23.1</v>
      </c>
      <c r="AY1949" t="str">
        <v>CP-R80_HI782-0_0.0_LOT0941_PWW08.1_QC.xlsx</v>
      </c>
      <c r="AZ1949" t="str">
        <v>LOT0941</v>
      </c>
      <c r="BA1949" s="3">
        <v>23</v>
      </c>
      <c r="BB1949" t="str">
        <v>P/Prod</v>
      </c>
      <c r="BC1949">
        <v>15</v>
      </c>
      <c r="BD1949" s="10">
        <v>12</v>
      </c>
      <c r="BE1949" s="10">
        <v>0</v>
      </c>
      <c r="BF1949" s="10">
        <v>0</v>
      </c>
      <c r="BG1949" s="13">
        <v>45713</v>
      </c>
    </row>
    <row r="1950" spans="49:59" x14ac:dyDescent="0.3">
      <c r="AW1950" s="1">
        <v>23.1</v>
      </c>
      <c r="AX1950" s="1">
        <v>23.1</v>
      </c>
      <c r="AY1950" t="str">
        <v>CP-R80_HI782-0_0.0_LOT0941_PWW08.1_QC.xlsx</v>
      </c>
      <c r="AZ1950" t="str">
        <v>LOT0941</v>
      </c>
      <c r="BA1950" s="3">
        <v>23</v>
      </c>
      <c r="BB1950" t="str">
        <v>P/Prod</v>
      </c>
      <c r="BC1950">
        <v>15</v>
      </c>
      <c r="BD1950" s="10">
        <v>14.5</v>
      </c>
      <c r="BE1950" s="10">
        <v>14.6</v>
      </c>
      <c r="BF1950" s="10">
        <v>0</v>
      </c>
      <c r="BG1950" s="13">
        <v>45713</v>
      </c>
    </row>
    <row r="1951" spans="49:59" x14ac:dyDescent="0.3">
      <c r="AW1951" s="1">
        <v>23.1</v>
      </c>
      <c r="AX1951" s="1">
        <v>23.1</v>
      </c>
      <c r="AY1951" t="str">
        <v>CP-R80_HI782-0_0.0_LOT0941_PWW08.1_QC.xlsx</v>
      </c>
      <c r="AZ1951" t="str">
        <v>LOT0941</v>
      </c>
      <c r="BA1951" s="3">
        <v>23</v>
      </c>
      <c r="BB1951" t="str">
        <v>P/Prod</v>
      </c>
      <c r="BC1951">
        <v>15</v>
      </c>
      <c r="BD1951" s="10">
        <v>13.5</v>
      </c>
      <c r="BE1951" s="10">
        <v>13.6</v>
      </c>
      <c r="BF1951" s="10">
        <v>0</v>
      </c>
      <c r="BG1951" s="13">
        <v>45713</v>
      </c>
    </row>
    <row r="1952" spans="49:59" x14ac:dyDescent="0.3">
      <c r="AW1952" s="1">
        <v>23.1</v>
      </c>
      <c r="AX1952" s="1">
        <v>23.1</v>
      </c>
      <c r="AY1952" t="str">
        <v>CP-R80_HI782-0_0.0_LOT0941_PWW08.1_QC.xlsx</v>
      </c>
      <c r="AZ1952" t="str">
        <v>LOT0941</v>
      </c>
      <c r="BA1952" s="3">
        <v>23</v>
      </c>
      <c r="BB1952" t="str">
        <v>P/Prod</v>
      </c>
      <c r="BC1952">
        <v>15</v>
      </c>
      <c r="BD1952" s="10">
        <v>15.1</v>
      </c>
      <c r="BE1952" s="10">
        <v>15.3</v>
      </c>
      <c r="BF1952" s="10">
        <v>0</v>
      </c>
      <c r="BG1952" s="13">
        <v>45713</v>
      </c>
    </row>
    <row r="1953" spans="49:59" x14ac:dyDescent="0.3">
      <c r="AW1953" s="1">
        <v>23.1</v>
      </c>
      <c r="AX1953" s="1">
        <v>23.1</v>
      </c>
      <c r="AY1953" t="str">
        <v>CP-R80_HI782-0_0.0_LOT0941_PWW08.1_QC.xlsx</v>
      </c>
      <c r="AZ1953" t="str">
        <v>LOT0941</v>
      </c>
      <c r="BA1953" s="3">
        <v>23</v>
      </c>
      <c r="BB1953" t="str">
        <v>P/Prod</v>
      </c>
      <c r="BC1953">
        <v>15</v>
      </c>
      <c r="BD1953" s="10">
        <v>16.5</v>
      </c>
      <c r="BE1953" s="10">
        <v>16.600000000000001</v>
      </c>
      <c r="BF1953" s="10">
        <v>0</v>
      </c>
      <c r="BG1953" s="13">
        <v>45713</v>
      </c>
    </row>
    <row r="1954" spans="49:59" x14ac:dyDescent="0.3">
      <c r="AW1954" s="1">
        <v>23.1</v>
      </c>
      <c r="AX1954" s="1">
        <v>23.1</v>
      </c>
      <c r="AY1954" t="str">
        <v>CP-R80_HI782-0_0.0_LOT0941_PWW08.1_QC.xlsx</v>
      </c>
      <c r="AZ1954" t="str">
        <v>LOT0941</v>
      </c>
      <c r="BA1954" s="3">
        <v>23</v>
      </c>
      <c r="BB1954" t="str">
        <v>P/Prod</v>
      </c>
      <c r="BC1954">
        <v>15</v>
      </c>
      <c r="BD1954" s="10">
        <v>13.5</v>
      </c>
      <c r="BE1954" s="10">
        <v>13.6</v>
      </c>
      <c r="BF1954" s="10">
        <v>0</v>
      </c>
      <c r="BG1954" s="13">
        <v>45713</v>
      </c>
    </row>
    <row r="1955" spans="49:59" x14ac:dyDescent="0.3">
      <c r="AW1955" s="1">
        <v>23.1</v>
      </c>
      <c r="AX1955" s="1">
        <v>23.1</v>
      </c>
      <c r="AY1955" t="str">
        <v>CP-R80_HI782-0_0.0_LOT0941_PWW08.1_QC.xlsx</v>
      </c>
      <c r="AZ1955" t="str">
        <v>LOT0941</v>
      </c>
      <c r="BA1955" s="3">
        <v>23</v>
      </c>
      <c r="BB1955" t="str">
        <v>P/Prod</v>
      </c>
      <c r="BC1955">
        <v>15</v>
      </c>
      <c r="BD1955" s="10">
        <v>13.6</v>
      </c>
      <c r="BE1955" s="10">
        <v>0</v>
      </c>
      <c r="BF1955" s="10">
        <v>0</v>
      </c>
      <c r="BG1955" s="13">
        <v>45713</v>
      </c>
    </row>
    <row r="1956" spans="49:59" x14ac:dyDescent="0.3">
      <c r="AW1956" s="1">
        <v>23.1</v>
      </c>
      <c r="AX1956" s="1">
        <v>23.1</v>
      </c>
      <c r="AY1956" t="str">
        <v>CP-R80_HI782-0_0.0_LOT0941_PWW08.1_QC.xlsx</v>
      </c>
      <c r="AZ1956" t="str">
        <v>LOT0941</v>
      </c>
      <c r="BA1956" s="3">
        <v>23</v>
      </c>
      <c r="BB1956" t="str">
        <v>P/Prod</v>
      </c>
      <c r="BC1956">
        <v>15</v>
      </c>
      <c r="BD1956" s="10">
        <v>15.3</v>
      </c>
      <c r="BE1956" s="10">
        <v>15.3</v>
      </c>
      <c r="BF1956" s="10">
        <v>0</v>
      </c>
      <c r="BG1956" s="13">
        <v>45713</v>
      </c>
    </row>
    <row r="1957" spans="49:59" x14ac:dyDescent="0.3">
      <c r="AW1957" s="1">
        <v>23.1</v>
      </c>
      <c r="AX1957" s="1">
        <v>23.1</v>
      </c>
      <c r="AY1957" t="str">
        <v>CP-R80_HI782-0_0.0_LOT0941_PWW08.1_QC.xlsx</v>
      </c>
      <c r="AZ1957" t="str">
        <v>LOT0941</v>
      </c>
      <c r="BA1957" s="3">
        <v>23</v>
      </c>
      <c r="BB1957" t="str">
        <v>P/Prod</v>
      </c>
      <c r="BC1957">
        <v>15</v>
      </c>
      <c r="BD1957" s="10">
        <v>14.5</v>
      </c>
      <c r="BE1957" s="10">
        <v>14.5</v>
      </c>
      <c r="BF1957" s="10">
        <v>0</v>
      </c>
      <c r="BG1957" s="13">
        <v>45713</v>
      </c>
    </row>
    <row r="1958" spans="49:59" x14ac:dyDescent="0.3">
      <c r="AW1958" s="1">
        <v>23.1</v>
      </c>
      <c r="AX1958" s="1">
        <v>23.1</v>
      </c>
      <c r="AY1958" t="str">
        <v>CP-R80_HI782-0_0.0_LOT0941_PWW08.1_QC.xlsx</v>
      </c>
      <c r="AZ1958" t="str">
        <v>LOT0941</v>
      </c>
      <c r="BA1958" s="3">
        <v>23</v>
      </c>
      <c r="BB1958" t="str">
        <v>P/Prod</v>
      </c>
      <c r="BC1958">
        <v>15</v>
      </c>
      <c r="BD1958" s="10">
        <v>14.2</v>
      </c>
      <c r="BE1958" s="10">
        <v>0</v>
      </c>
      <c r="BF1958" s="10">
        <v>0</v>
      </c>
      <c r="BG1958" s="13">
        <v>45713</v>
      </c>
    </row>
    <row r="1959" spans="49:59" x14ac:dyDescent="0.3">
      <c r="AW1959" s="1">
        <v>23.1</v>
      </c>
      <c r="AX1959" s="1">
        <v>23.1</v>
      </c>
      <c r="AY1959" t="str">
        <v>CP-R80_HI782-0_0.0_LOT0941_PWW08.1_QC.xlsx</v>
      </c>
      <c r="AZ1959" t="str">
        <v>LOT0941</v>
      </c>
      <c r="BA1959" s="3">
        <v>23</v>
      </c>
      <c r="BB1959" t="str">
        <v>P/Prod</v>
      </c>
      <c r="BC1959">
        <v>15</v>
      </c>
      <c r="BD1959" s="10">
        <v>14.2</v>
      </c>
      <c r="BE1959" s="10">
        <v>0</v>
      </c>
      <c r="BF1959" s="10">
        <v>0</v>
      </c>
      <c r="BG1959" s="13">
        <v>45713</v>
      </c>
    </row>
    <row r="1960" spans="49:59" x14ac:dyDescent="0.3">
      <c r="AW1960" s="1">
        <v>23.1</v>
      </c>
      <c r="AX1960" s="1">
        <v>23.1</v>
      </c>
      <c r="AY1960" t="str">
        <v>CP-R80_HI782-0_0.0_LOT0941_PWW08.1_QC.xlsx</v>
      </c>
      <c r="AZ1960" t="str">
        <v>LOT0941</v>
      </c>
      <c r="BA1960" s="3">
        <v>23</v>
      </c>
      <c r="BB1960" t="str">
        <v>P/Prod</v>
      </c>
      <c r="BC1960">
        <v>15</v>
      </c>
      <c r="BD1960" s="10">
        <v>16.7</v>
      </c>
      <c r="BE1960" s="10">
        <v>16.7</v>
      </c>
      <c r="BF1960" s="10">
        <v>0</v>
      </c>
      <c r="BG1960" s="13">
        <v>45713</v>
      </c>
    </row>
    <row r="1961" spans="49:59" x14ac:dyDescent="0.3">
      <c r="AW1961" s="1">
        <v>23.1</v>
      </c>
      <c r="AX1961" s="1">
        <v>23.1</v>
      </c>
      <c r="AY1961" t="str">
        <v>CP-R80_HI782-0_0.0_LOT0941_PWW08.1_QC.xlsx</v>
      </c>
      <c r="AZ1961" t="str">
        <v>LOT0941</v>
      </c>
      <c r="BA1961" s="3">
        <v>23</v>
      </c>
      <c r="BB1961" t="str">
        <v>P/Prod</v>
      </c>
      <c r="BC1961">
        <v>35</v>
      </c>
      <c r="BD1961" s="10">
        <v>34</v>
      </c>
      <c r="BE1961" s="10">
        <v>34</v>
      </c>
      <c r="BF1961" s="10">
        <v>0</v>
      </c>
      <c r="BG1961" s="13">
        <v>45713</v>
      </c>
    </row>
    <row r="1962" spans="49:59" x14ac:dyDescent="0.3">
      <c r="AW1962" s="1">
        <v>23.1</v>
      </c>
      <c r="AX1962" s="1">
        <v>23.1</v>
      </c>
      <c r="AY1962" t="str">
        <v>CP-R80_HI782-0_0.0_LOT0941_PWW08.1_QC.xlsx</v>
      </c>
      <c r="AZ1962" t="str">
        <v>LOT0941</v>
      </c>
      <c r="BA1962" s="3">
        <v>23</v>
      </c>
      <c r="BB1962" t="str">
        <v>P/Prod</v>
      </c>
      <c r="BC1962">
        <v>35</v>
      </c>
      <c r="BD1962" s="10">
        <v>35.6</v>
      </c>
      <c r="BE1962" s="10">
        <v>35.6</v>
      </c>
      <c r="BF1962" s="10">
        <v>0</v>
      </c>
      <c r="BG1962" s="13">
        <v>45713</v>
      </c>
    </row>
    <row r="1963" spans="49:59" x14ac:dyDescent="0.3">
      <c r="AW1963" s="1">
        <v>23.1</v>
      </c>
      <c r="AX1963" s="1">
        <v>23.1</v>
      </c>
      <c r="AY1963" t="str">
        <v>CP-R80_HI782-0_0.0_LOT0941_PWW08.1_QC.xlsx</v>
      </c>
      <c r="AZ1963" t="str">
        <v>LOT0941</v>
      </c>
      <c r="BA1963" s="3">
        <v>23</v>
      </c>
      <c r="BB1963" t="str">
        <v>P/Prod</v>
      </c>
      <c r="BC1963">
        <v>35</v>
      </c>
      <c r="BD1963" s="10">
        <v>37.200000000000003</v>
      </c>
      <c r="BE1963" s="10">
        <v>37.200000000000003</v>
      </c>
      <c r="BF1963" s="10">
        <v>0</v>
      </c>
      <c r="BG1963" s="13">
        <v>45713</v>
      </c>
    </row>
    <row r="1964" spans="49:59" x14ac:dyDescent="0.3">
      <c r="AW1964" s="1">
        <v>23.1</v>
      </c>
      <c r="AX1964" s="1">
        <v>23.1</v>
      </c>
      <c r="AY1964" t="str">
        <v>CP-R80_HI782-0_0.0_LOT0941_PWW08.1_QC.xlsx</v>
      </c>
      <c r="AZ1964" t="str">
        <v>LOT0941</v>
      </c>
      <c r="BA1964" s="3">
        <v>23</v>
      </c>
      <c r="BB1964" t="str">
        <v>P/Prod</v>
      </c>
      <c r="BC1964">
        <v>35</v>
      </c>
      <c r="BD1964" s="10">
        <v>33.5</v>
      </c>
      <c r="BE1964" s="10">
        <v>33.5</v>
      </c>
      <c r="BF1964" s="10">
        <v>0</v>
      </c>
      <c r="BG1964" s="13">
        <v>45713</v>
      </c>
    </row>
    <row r="1965" spans="49:59" x14ac:dyDescent="0.3">
      <c r="AW1965" s="1">
        <v>23.1</v>
      </c>
      <c r="AX1965" s="1">
        <v>23.1</v>
      </c>
      <c r="AY1965" t="str">
        <v>CP-R80_HI782-0_0.0_LOT0941_PWW08.1_QC.xlsx</v>
      </c>
      <c r="AZ1965" t="str">
        <v>LOT0941</v>
      </c>
      <c r="BA1965" s="3">
        <v>23</v>
      </c>
      <c r="BB1965" t="str">
        <v>P/Prod</v>
      </c>
      <c r="BC1965">
        <v>35</v>
      </c>
      <c r="BD1965" s="10">
        <v>36</v>
      </c>
      <c r="BE1965" s="10">
        <v>36</v>
      </c>
      <c r="BF1965" s="10">
        <v>0</v>
      </c>
      <c r="BG1965" s="13">
        <v>45713</v>
      </c>
    </row>
    <row r="1966" spans="49:59" x14ac:dyDescent="0.3">
      <c r="AW1966" s="1">
        <v>23.1</v>
      </c>
      <c r="AX1966" s="1">
        <v>23.1</v>
      </c>
      <c r="AY1966" t="str">
        <v>CP-R80_HI782-0_0.0_LOT0941_PWW08.1_QC.xlsx</v>
      </c>
      <c r="AZ1966" t="str">
        <v>LOT0941</v>
      </c>
      <c r="BA1966" s="3">
        <v>23</v>
      </c>
      <c r="BB1966" t="str">
        <v>P/Prod</v>
      </c>
      <c r="BC1966">
        <v>35</v>
      </c>
      <c r="BD1966" s="10">
        <v>34.6</v>
      </c>
      <c r="BE1966" s="10">
        <v>34.6</v>
      </c>
      <c r="BF1966" s="10">
        <v>0</v>
      </c>
      <c r="BG1966" s="13">
        <v>45713</v>
      </c>
    </row>
    <row r="1967" spans="49:59" x14ac:dyDescent="0.3">
      <c r="AW1967" s="1">
        <v>23.1</v>
      </c>
      <c r="AX1967" s="1">
        <v>23.1</v>
      </c>
      <c r="AY1967" t="str">
        <v>CP-R80_HI782-0_0.0_LOT0941_PWW08.1_QC.xlsx</v>
      </c>
      <c r="AZ1967" t="str">
        <v>LOT0941</v>
      </c>
      <c r="BA1967" s="3">
        <v>23</v>
      </c>
      <c r="BB1967" t="str">
        <v>P/Prod</v>
      </c>
      <c r="BC1967">
        <v>35</v>
      </c>
      <c r="BD1967" s="10">
        <v>33.1</v>
      </c>
      <c r="BE1967" s="10">
        <v>0</v>
      </c>
      <c r="BF1967" s="10">
        <v>0</v>
      </c>
      <c r="BG1967" s="13">
        <v>45713</v>
      </c>
    </row>
    <row r="1968" spans="49:59" x14ac:dyDescent="0.3">
      <c r="AW1968" s="1">
        <v>23.1</v>
      </c>
      <c r="AX1968" s="1">
        <v>23.1</v>
      </c>
      <c r="AY1968" t="str">
        <v>CP-R80_HI782-0_0.0_LOT0941_PWW08.1_QC.xlsx</v>
      </c>
      <c r="AZ1968" t="str">
        <v>LOT0941</v>
      </c>
      <c r="BA1968" s="3">
        <v>23</v>
      </c>
      <c r="BB1968" t="str">
        <v>P/Prod</v>
      </c>
      <c r="BC1968">
        <v>35</v>
      </c>
      <c r="BD1968" s="10">
        <v>33.4</v>
      </c>
      <c r="BE1968" s="10">
        <v>33.4</v>
      </c>
      <c r="BF1968" s="10">
        <v>0</v>
      </c>
      <c r="BG1968" s="13">
        <v>45713</v>
      </c>
    </row>
    <row r="1969" spans="49:59" x14ac:dyDescent="0.3">
      <c r="AW1969" s="1">
        <v>23.1</v>
      </c>
      <c r="AX1969" s="1">
        <v>23.1</v>
      </c>
      <c r="AY1969" t="str">
        <v>CP-R80_HI782-0_0.0_LOT0941_PWW08.1_QC.xlsx</v>
      </c>
      <c r="AZ1969" t="str">
        <v>LOT0941</v>
      </c>
      <c r="BA1969" s="3">
        <v>23</v>
      </c>
      <c r="BB1969" t="str">
        <v>P/Prod</v>
      </c>
      <c r="BC1969">
        <v>35</v>
      </c>
      <c r="BD1969" s="10">
        <v>31.5</v>
      </c>
      <c r="BE1969" s="10">
        <v>0</v>
      </c>
      <c r="BF1969" s="10">
        <v>0</v>
      </c>
      <c r="BG1969" s="13">
        <v>45713</v>
      </c>
    </row>
    <row r="1970" spans="49:59" x14ac:dyDescent="0.3">
      <c r="AW1970" s="1">
        <v>23.1</v>
      </c>
      <c r="AX1970" s="1">
        <v>23.1</v>
      </c>
      <c r="AY1970" t="str">
        <v>CP-R80_HI782-0_0.0_LOT0941_PWW08.1_QC.xlsx</v>
      </c>
      <c r="AZ1970" t="str">
        <v>LOT0941</v>
      </c>
      <c r="BA1970" s="3">
        <v>23</v>
      </c>
      <c r="BB1970" t="str">
        <v>P/Prod</v>
      </c>
      <c r="BC1970">
        <v>35</v>
      </c>
      <c r="BD1970" s="10">
        <v>31.4</v>
      </c>
      <c r="BE1970" s="10">
        <v>31.5</v>
      </c>
      <c r="BF1970" s="10">
        <v>0</v>
      </c>
      <c r="BG1970" s="13">
        <v>45713</v>
      </c>
    </row>
    <row r="1971" spans="49:59" x14ac:dyDescent="0.3">
      <c r="AW1971" s="1">
        <v>23.1</v>
      </c>
      <c r="AX1971" s="1">
        <v>23.1</v>
      </c>
      <c r="AY1971" t="str">
        <v>CP-R80_HI782-0_0.0_LOT0941_PWW08.1_QC.xlsx</v>
      </c>
      <c r="AZ1971" t="str">
        <v>LOT0941</v>
      </c>
      <c r="BA1971" s="3">
        <v>23</v>
      </c>
      <c r="BB1971" t="str">
        <v>P/Prod</v>
      </c>
      <c r="BC1971">
        <v>35</v>
      </c>
      <c r="BD1971" s="10">
        <v>33.9</v>
      </c>
      <c r="BE1971" s="10">
        <v>0</v>
      </c>
      <c r="BF1971" s="10">
        <v>0</v>
      </c>
      <c r="BG1971" s="13">
        <v>45713</v>
      </c>
    </row>
    <row r="1972" spans="49:59" x14ac:dyDescent="0.3">
      <c r="AW1972" s="1">
        <v>23.1</v>
      </c>
      <c r="AX1972" s="1">
        <v>23.1</v>
      </c>
      <c r="AY1972" t="str">
        <v>CP-R80_HI782-0_0.0_LOT0941_PWW08.1_QC.xlsx</v>
      </c>
      <c r="AZ1972" t="str">
        <v>LOT0941</v>
      </c>
      <c r="BA1972" s="3">
        <v>23</v>
      </c>
      <c r="BB1972" t="str">
        <v>P/Prod</v>
      </c>
      <c r="BC1972">
        <v>35</v>
      </c>
      <c r="BD1972" s="10">
        <v>32.799999999999997</v>
      </c>
      <c r="BE1972" s="10">
        <v>33</v>
      </c>
      <c r="BF1972" s="10">
        <v>0</v>
      </c>
      <c r="BG1972" s="13">
        <v>45713</v>
      </c>
    </row>
    <row r="1973" spans="49:59" x14ac:dyDescent="0.3">
      <c r="AW1973" s="1">
        <v>23.1</v>
      </c>
      <c r="AX1973" s="1">
        <v>23.1</v>
      </c>
      <c r="AY1973" t="str">
        <v>CP-R80_HI782-0_0.0_LOT0941_PWW08.1_QC.xlsx</v>
      </c>
      <c r="AZ1973" t="str">
        <v>LOT0941</v>
      </c>
      <c r="BA1973" s="3">
        <v>23</v>
      </c>
      <c r="BB1973" t="str">
        <v>P/Prod</v>
      </c>
      <c r="BC1973">
        <v>35</v>
      </c>
      <c r="BD1973" s="10">
        <v>34.5</v>
      </c>
      <c r="BE1973" s="10">
        <v>34.700000000000003</v>
      </c>
      <c r="BF1973" s="10">
        <v>0</v>
      </c>
      <c r="BG1973" s="13">
        <v>45713</v>
      </c>
    </row>
    <row r="1974" spans="49:59" x14ac:dyDescent="0.3">
      <c r="AW1974" s="1">
        <v>23.1</v>
      </c>
      <c r="AX1974" s="1">
        <v>23.1</v>
      </c>
      <c r="AY1974" t="str">
        <v>CP-R80_HI782-0_0.0_LOT0941_PWW08.1_QC.xlsx</v>
      </c>
      <c r="AZ1974" t="str">
        <v>LOT0941</v>
      </c>
      <c r="BA1974" s="3">
        <v>23</v>
      </c>
      <c r="BB1974" t="str">
        <v>P/Prod</v>
      </c>
      <c r="BC1974">
        <v>35</v>
      </c>
      <c r="BD1974" s="10">
        <v>33.1</v>
      </c>
      <c r="BE1974" s="10">
        <v>33</v>
      </c>
      <c r="BF1974" s="10">
        <v>0</v>
      </c>
      <c r="BG1974" s="13">
        <v>45713</v>
      </c>
    </row>
    <row r="1975" spans="49:59" x14ac:dyDescent="0.3">
      <c r="AW1975" s="1">
        <v>23.1</v>
      </c>
      <c r="AX1975" s="1">
        <v>23.1</v>
      </c>
      <c r="AY1975" t="str">
        <v>CP-R80_HI782-0_0.0_LOT0941_PWW08.1_QC.xlsx</v>
      </c>
      <c r="AZ1975" t="str">
        <v>LOT0941</v>
      </c>
      <c r="BA1975" s="3">
        <v>23</v>
      </c>
      <c r="BB1975" t="str">
        <v>P/Prod</v>
      </c>
      <c r="BC1975">
        <v>35</v>
      </c>
      <c r="BD1975" s="10">
        <v>33.299999999999997</v>
      </c>
      <c r="BE1975" s="10">
        <v>0</v>
      </c>
      <c r="BF1975" s="10">
        <v>0</v>
      </c>
      <c r="BG1975" s="13">
        <v>45713</v>
      </c>
    </row>
    <row r="1976" spans="49:59" x14ac:dyDescent="0.3">
      <c r="AW1976" s="1">
        <v>23.1</v>
      </c>
      <c r="AX1976" s="1">
        <v>23.1</v>
      </c>
      <c r="AY1976" t="str">
        <v>CP-R80_HI782-0_0.0_LOT0941_PWW08.1_QC.xlsx</v>
      </c>
      <c r="AZ1976" t="str">
        <v>LOT0941</v>
      </c>
      <c r="BA1976" s="3">
        <v>23</v>
      </c>
      <c r="BB1976" t="str">
        <v>P/Prod</v>
      </c>
      <c r="BC1976">
        <v>35</v>
      </c>
      <c r="BD1976" s="10">
        <v>32.700000000000003</v>
      </c>
      <c r="BE1976" s="10">
        <v>32.700000000000003</v>
      </c>
      <c r="BF1976" s="10">
        <v>0</v>
      </c>
      <c r="BG1976" s="13">
        <v>45713</v>
      </c>
    </row>
    <row r="1977" spans="49:59" x14ac:dyDescent="0.3">
      <c r="AW1977" s="1">
        <v>23.1</v>
      </c>
      <c r="AX1977" s="1">
        <v>23.1</v>
      </c>
      <c r="AY1977" t="str">
        <v>CP-R80_HI782-0_0.0_LOT0941_PWW08.1_QC.xlsx</v>
      </c>
      <c r="AZ1977" t="str">
        <v>LOT0941</v>
      </c>
      <c r="BA1977" s="3">
        <v>23</v>
      </c>
      <c r="BB1977" t="str">
        <v>P/Prod</v>
      </c>
      <c r="BC1977">
        <v>35</v>
      </c>
      <c r="BD1977" s="10">
        <v>32.4</v>
      </c>
      <c r="BE1977" s="10">
        <v>0</v>
      </c>
      <c r="BF1977" s="10">
        <v>0</v>
      </c>
      <c r="BG1977" s="13">
        <v>45713</v>
      </c>
    </row>
    <row r="1978" spans="49:59" x14ac:dyDescent="0.3">
      <c r="AW1978" s="1">
        <v>23.1</v>
      </c>
      <c r="AX1978" s="1">
        <v>23.1</v>
      </c>
      <c r="AY1978" t="str">
        <v>CP-R80_HI782-0_0.0_LOT0941_PWW08.1_QC.xlsx</v>
      </c>
      <c r="AZ1978" t="str">
        <v>LOT0941</v>
      </c>
      <c r="BA1978" s="3">
        <v>23</v>
      </c>
      <c r="BB1978" t="str">
        <v>P/Prod</v>
      </c>
      <c r="BC1978">
        <v>35</v>
      </c>
      <c r="BD1978" s="10">
        <v>35.6</v>
      </c>
      <c r="BE1978" s="10">
        <v>35.6</v>
      </c>
      <c r="BF1978" s="10">
        <v>0</v>
      </c>
      <c r="BG1978" s="13">
        <v>45713</v>
      </c>
    </row>
    <row r="1979" spans="49:59" x14ac:dyDescent="0.3">
      <c r="AW1979" s="1">
        <v>23.1</v>
      </c>
      <c r="AX1979" s="1">
        <v>23.1</v>
      </c>
      <c r="AY1979" t="str">
        <v>CP-R80_HI782-0_0.0_LOT0941_PWW08.1_QC.xlsx</v>
      </c>
      <c r="AZ1979" t="str">
        <v>LOT0941</v>
      </c>
      <c r="BA1979" s="3">
        <v>23</v>
      </c>
      <c r="BB1979" t="str">
        <v>P/Prod</v>
      </c>
      <c r="BC1979">
        <v>35</v>
      </c>
      <c r="BD1979" s="10">
        <v>35.200000000000003</v>
      </c>
      <c r="BE1979" s="10">
        <v>0</v>
      </c>
      <c r="BF1979" s="10">
        <v>0</v>
      </c>
      <c r="BG1979" s="13">
        <v>45713</v>
      </c>
    </row>
    <row r="1980" spans="49:59" x14ac:dyDescent="0.3">
      <c r="AW1980" s="1">
        <v>23.1</v>
      </c>
      <c r="AX1980" s="1">
        <v>23.1</v>
      </c>
      <c r="AY1980" t="str">
        <v>CP-R80_HI782-0_0.0_LOT0941_PWW08.1_QC.xlsx</v>
      </c>
      <c r="AZ1980" t="str">
        <v>LOT0941</v>
      </c>
      <c r="BA1980" s="3">
        <v>23</v>
      </c>
      <c r="BB1980" t="str">
        <v>P/Prod</v>
      </c>
      <c r="BC1980">
        <v>35</v>
      </c>
      <c r="BD1980" s="10">
        <v>31.1</v>
      </c>
      <c r="BE1980" s="10">
        <v>0</v>
      </c>
      <c r="BF1980" s="10">
        <v>0</v>
      </c>
      <c r="BG1980" s="13">
        <v>45713</v>
      </c>
    </row>
    <row r="1981" spans="49:59" x14ac:dyDescent="0.3">
      <c r="AW1981" s="1">
        <v>23.1</v>
      </c>
      <c r="AX1981" s="1">
        <v>23.1</v>
      </c>
      <c r="AY1981" t="str">
        <v>CP-R80_HI782-0_0.0_LOT0941_PWW08.1_QC.xlsx</v>
      </c>
      <c r="AZ1981" t="str">
        <v>LOT0941</v>
      </c>
      <c r="BA1981" s="3">
        <v>23</v>
      </c>
      <c r="BB1981" t="str">
        <v>P/Prod</v>
      </c>
      <c r="BC1981">
        <v>35</v>
      </c>
      <c r="BD1981" s="10">
        <v>32.6</v>
      </c>
      <c r="BE1981" s="10">
        <v>0</v>
      </c>
      <c r="BF1981" s="10">
        <v>0</v>
      </c>
      <c r="BG1981" s="13">
        <v>45713</v>
      </c>
    </row>
    <row r="1982" spans="49:59" x14ac:dyDescent="0.3">
      <c r="AW1982" s="1">
        <v>23.1</v>
      </c>
      <c r="AX1982" s="1">
        <v>23.1</v>
      </c>
      <c r="AY1982" t="str">
        <v>CP-R80_HI782-0_0.0_LOT0941_PWW08.1_QC.xlsx</v>
      </c>
      <c r="AZ1982" t="str">
        <v>LOT0941</v>
      </c>
      <c r="BA1982" s="3">
        <v>23</v>
      </c>
      <c r="BB1982" t="str">
        <v>P/Prod</v>
      </c>
      <c r="BC1982">
        <v>60</v>
      </c>
      <c r="BD1982" s="10">
        <v>56.7</v>
      </c>
      <c r="BE1982" s="10">
        <v>0</v>
      </c>
      <c r="BF1982" s="10">
        <v>0</v>
      </c>
      <c r="BG1982" s="13">
        <v>45713</v>
      </c>
    </row>
    <row r="1983" spans="49:59" x14ac:dyDescent="0.3">
      <c r="AW1983" s="1">
        <v>23.1</v>
      </c>
      <c r="AX1983" s="1">
        <v>23.1</v>
      </c>
      <c r="AY1983" t="str">
        <v>CP-R80_HI782-0_0.0_LOT0941_PWW08.1_QC.xlsx</v>
      </c>
      <c r="AZ1983" t="str">
        <v>LOT0941</v>
      </c>
      <c r="BA1983" s="3">
        <v>23</v>
      </c>
      <c r="BB1983" t="str">
        <v>P/Prod</v>
      </c>
      <c r="BC1983">
        <v>60</v>
      </c>
      <c r="BD1983" s="10">
        <v>55.6</v>
      </c>
      <c r="BE1983" s="10">
        <v>0</v>
      </c>
      <c r="BF1983" s="10">
        <v>0</v>
      </c>
      <c r="BG1983" s="13">
        <v>45713</v>
      </c>
    </row>
    <row r="1984" spans="49:59" x14ac:dyDescent="0.3">
      <c r="AW1984" s="1">
        <v>23.1</v>
      </c>
      <c r="AX1984" s="1">
        <v>23.1</v>
      </c>
      <c r="AY1984" t="str">
        <v>CP-R80_HI782-0_0.0_LOT0941_PWW08.1_QC.xlsx</v>
      </c>
      <c r="AZ1984" t="str">
        <v>LOT0941</v>
      </c>
      <c r="BA1984" s="3">
        <v>23</v>
      </c>
      <c r="BB1984" t="str">
        <v>P/Prod</v>
      </c>
      <c r="BC1984">
        <v>60</v>
      </c>
      <c r="BD1984" s="10">
        <v>60</v>
      </c>
      <c r="BE1984" s="10">
        <v>0</v>
      </c>
      <c r="BF1984" s="10">
        <v>0</v>
      </c>
      <c r="BG1984" s="13">
        <v>45713</v>
      </c>
    </row>
    <row r="1985" spans="49:59" x14ac:dyDescent="0.3">
      <c r="AW1985" s="1">
        <v>23.1</v>
      </c>
      <c r="AX1985" s="1">
        <v>23.1</v>
      </c>
      <c r="AY1985" t="str">
        <v>CP-R80_HI782-0_0.0_LOT0941_PWW08.1_QC.xlsx</v>
      </c>
      <c r="AZ1985" t="str">
        <v>LOT0941</v>
      </c>
      <c r="BA1985" s="3">
        <v>23</v>
      </c>
      <c r="BB1985" t="str">
        <v>P/Prod</v>
      </c>
      <c r="BC1985">
        <v>60</v>
      </c>
      <c r="BD1985" s="10">
        <v>59.7</v>
      </c>
      <c r="BE1985" s="10">
        <v>0</v>
      </c>
      <c r="BF1985" s="10">
        <v>0</v>
      </c>
      <c r="BG1985" s="13">
        <v>45713</v>
      </c>
    </row>
    <row r="1986" spans="49:59" x14ac:dyDescent="0.3">
      <c r="AW1986" s="1">
        <v>23.1</v>
      </c>
      <c r="AX1986" s="1">
        <v>23.1</v>
      </c>
      <c r="AY1986" t="str">
        <v>CP-R80_HI782-0_0.0_LOT0941_PWW08.1_QC.xlsx</v>
      </c>
      <c r="AZ1986" t="str">
        <v>LOT0941</v>
      </c>
      <c r="BA1986" s="3">
        <v>23</v>
      </c>
      <c r="BB1986" t="str">
        <v>P/Prod</v>
      </c>
      <c r="BC1986">
        <v>60</v>
      </c>
      <c r="BD1986" s="10">
        <v>59.3</v>
      </c>
      <c r="BE1986" s="10">
        <v>59.3</v>
      </c>
      <c r="BF1986" s="10">
        <v>0</v>
      </c>
      <c r="BG1986" s="13">
        <v>45713</v>
      </c>
    </row>
    <row r="1987" spans="49:59" x14ac:dyDescent="0.3">
      <c r="AW1987" s="1">
        <v>23.1</v>
      </c>
      <c r="AX1987" s="1">
        <v>23.1</v>
      </c>
      <c r="AY1987" t="str">
        <v>CP-R80_HI782-0_0.0_LOT0941_PWW08.1_QC.xlsx</v>
      </c>
      <c r="AZ1987" t="str">
        <v>LOT0941</v>
      </c>
      <c r="BA1987" s="3">
        <v>23</v>
      </c>
      <c r="BB1987" t="str">
        <v>P/Prod</v>
      </c>
      <c r="BC1987">
        <v>60</v>
      </c>
      <c r="BD1987" s="10">
        <v>57.2</v>
      </c>
      <c r="BE1987" s="10">
        <v>57.2</v>
      </c>
      <c r="BF1987" s="10">
        <v>0</v>
      </c>
      <c r="BG1987" s="13">
        <v>45713</v>
      </c>
    </row>
    <row r="1988" spans="49:59" x14ac:dyDescent="0.3">
      <c r="AW1988" s="1">
        <v>23.1</v>
      </c>
      <c r="AX1988" s="1">
        <v>23.1</v>
      </c>
      <c r="AY1988" t="str">
        <v>CP-R80_HI782-0_0.0_LOT0941_PWW08.1_QC.xlsx</v>
      </c>
      <c r="AZ1988" t="str">
        <v>LOT0941</v>
      </c>
      <c r="BA1988" s="3">
        <v>23</v>
      </c>
      <c r="BB1988" t="str">
        <v>P/Prod</v>
      </c>
      <c r="BC1988">
        <v>60</v>
      </c>
      <c r="BD1988" s="10">
        <v>55.3</v>
      </c>
      <c r="BE1988" s="10">
        <v>55.3</v>
      </c>
      <c r="BF1988" s="10">
        <v>0</v>
      </c>
      <c r="BG1988" s="13">
        <v>45713</v>
      </c>
    </row>
    <row r="1989" spans="49:59" x14ac:dyDescent="0.3">
      <c r="AW1989" s="1">
        <v>23.1</v>
      </c>
      <c r="AX1989" s="1">
        <v>23.1</v>
      </c>
      <c r="AY1989" t="str">
        <v>CP-R80_HI782-0_0.0_LOT0941_PWW08.1_QC.xlsx</v>
      </c>
      <c r="AZ1989" t="str">
        <v>LOT0941</v>
      </c>
      <c r="BA1989" s="3">
        <v>23</v>
      </c>
      <c r="BB1989" t="str">
        <v>P/Prod</v>
      </c>
      <c r="BC1989">
        <v>60</v>
      </c>
      <c r="BD1989" s="10">
        <v>56.9</v>
      </c>
      <c r="BE1989" s="10">
        <v>57</v>
      </c>
      <c r="BF1989" s="10">
        <v>0</v>
      </c>
      <c r="BG1989" s="13">
        <v>45713</v>
      </c>
    </row>
    <row r="1990" spans="49:59" x14ac:dyDescent="0.3">
      <c r="AW1990" s="1">
        <v>23.1</v>
      </c>
      <c r="AX1990" s="1">
        <v>23.1</v>
      </c>
      <c r="AY1990" t="str">
        <v>CP-R80_HI782-0_0.0_LOT0941_PWW08.1_QC.xlsx</v>
      </c>
      <c r="AZ1990" t="str">
        <v>LOT0941</v>
      </c>
      <c r="BA1990" s="3">
        <v>23</v>
      </c>
      <c r="BB1990" t="str">
        <v>P/Prod</v>
      </c>
      <c r="BC1990">
        <v>60</v>
      </c>
      <c r="BD1990" s="10">
        <v>59.1</v>
      </c>
      <c r="BE1990" s="10">
        <v>59.1</v>
      </c>
      <c r="BF1990" s="10">
        <v>0</v>
      </c>
      <c r="BG1990" s="13">
        <v>45713</v>
      </c>
    </row>
    <row r="1991" spans="49:59" x14ac:dyDescent="0.3">
      <c r="AW1991" s="1">
        <v>23.1</v>
      </c>
      <c r="AX1991" s="1">
        <v>23.1</v>
      </c>
      <c r="AY1991" t="str">
        <v>CP-R80_HI782-0_0.0_LOT0941_PWW08.1_QC.xlsx</v>
      </c>
      <c r="AZ1991" t="str">
        <v>LOT0941</v>
      </c>
      <c r="BA1991" s="3">
        <v>23</v>
      </c>
      <c r="BB1991" t="str">
        <v>P/Prod</v>
      </c>
      <c r="BC1991">
        <v>60</v>
      </c>
      <c r="BD1991" s="10">
        <v>50.1</v>
      </c>
      <c r="BE1991" s="10">
        <v>50.2</v>
      </c>
      <c r="BF1991" s="10">
        <v>0</v>
      </c>
      <c r="BG1991" s="13">
        <v>45713</v>
      </c>
    </row>
    <row r="1992" spans="49:59" x14ac:dyDescent="0.3">
      <c r="AW1992" s="1">
        <v>23.1</v>
      </c>
      <c r="AX1992" s="1">
        <v>23.1</v>
      </c>
      <c r="AY1992" t="str">
        <v>CP-R80_HI782-0_0.0_LOT0941_PWW08.1_QC.xlsx</v>
      </c>
      <c r="AZ1992" t="str">
        <v>LOT0941</v>
      </c>
      <c r="BA1992" s="3">
        <v>23</v>
      </c>
      <c r="BB1992" t="str">
        <v>P/Prod</v>
      </c>
      <c r="BC1992">
        <v>60</v>
      </c>
      <c r="BD1992" s="10">
        <v>55.5</v>
      </c>
      <c r="BE1992" s="10">
        <v>56.4</v>
      </c>
      <c r="BF1992" s="10">
        <v>0</v>
      </c>
      <c r="BG1992" s="13">
        <v>45713</v>
      </c>
    </row>
    <row r="1993" spans="49:59" x14ac:dyDescent="0.3">
      <c r="AW1993" s="1">
        <v>23.1</v>
      </c>
      <c r="AX1993" s="1">
        <v>23.1</v>
      </c>
      <c r="AY1993" t="str">
        <v>CP-R80_HI782-0_0.0_LOT0941_PWW08.1_QC.xlsx</v>
      </c>
      <c r="AZ1993" t="str">
        <v>LOT0941</v>
      </c>
      <c r="BA1993" s="3">
        <v>23</v>
      </c>
      <c r="BB1993" t="str">
        <v>P/Prod</v>
      </c>
      <c r="BC1993">
        <v>60</v>
      </c>
      <c r="BD1993" s="10">
        <v>55.9</v>
      </c>
      <c r="BE1993" s="10">
        <v>55.9</v>
      </c>
      <c r="BF1993" s="10">
        <v>0</v>
      </c>
      <c r="BG1993" s="13">
        <v>45713</v>
      </c>
    </row>
    <row r="1994" spans="49:59" x14ac:dyDescent="0.3">
      <c r="AW1994" s="1">
        <v>23.1</v>
      </c>
      <c r="AX1994" s="1">
        <v>23.1</v>
      </c>
      <c r="AY1994" t="str">
        <v>CP-R80_HI782-0_0.0_LOT0941_PWW08.1_QC.xlsx</v>
      </c>
      <c r="AZ1994" t="str">
        <v>LOT0941</v>
      </c>
      <c r="BA1994" s="3">
        <v>23</v>
      </c>
      <c r="BB1994" t="str">
        <v>P/Prod</v>
      </c>
      <c r="BC1994">
        <v>60</v>
      </c>
      <c r="BD1994" s="10">
        <v>48.7</v>
      </c>
      <c r="BE1994" s="10">
        <v>48.6</v>
      </c>
      <c r="BF1994" s="10">
        <v>0</v>
      </c>
      <c r="BG1994" s="13">
        <v>45713</v>
      </c>
    </row>
    <row r="1995" spans="49:59" x14ac:dyDescent="0.3">
      <c r="AW1995" s="1">
        <v>23.1</v>
      </c>
      <c r="AX1995" s="1">
        <v>23.1</v>
      </c>
      <c r="AY1995" t="str">
        <v>CP-R80_HI782-0_0.0_LOT0941_PWW08.1_QC.xlsx</v>
      </c>
      <c r="AZ1995" t="str">
        <v>LOT0941</v>
      </c>
      <c r="BA1995" s="3">
        <v>23</v>
      </c>
      <c r="BB1995" t="str">
        <v>P/Prod</v>
      </c>
      <c r="BC1995">
        <v>60</v>
      </c>
      <c r="BD1995" s="10">
        <v>50.7</v>
      </c>
      <c r="BE1995" s="10">
        <v>50.7</v>
      </c>
      <c r="BF1995" s="10">
        <v>0</v>
      </c>
      <c r="BG1995" s="13">
        <v>45713</v>
      </c>
    </row>
    <row r="1996" spans="49:59" x14ac:dyDescent="0.3">
      <c r="AW1996" s="1">
        <v>23.1</v>
      </c>
      <c r="AX1996" s="1">
        <v>23.1</v>
      </c>
      <c r="AY1996" t="str">
        <v>CP-R80_HI782-0_0.0_LOT0941_PWW08.1_QC.xlsx</v>
      </c>
      <c r="AZ1996" t="str">
        <v>LOT0941</v>
      </c>
      <c r="BA1996" s="3">
        <v>23</v>
      </c>
      <c r="BB1996" t="str">
        <v>P/Prod</v>
      </c>
      <c r="BC1996">
        <v>60</v>
      </c>
      <c r="BD1996" s="10">
        <v>56.3</v>
      </c>
      <c r="BE1996" s="10">
        <v>56.3</v>
      </c>
      <c r="BF1996" s="10">
        <v>0</v>
      </c>
      <c r="BG1996" s="13">
        <v>45713</v>
      </c>
    </row>
    <row r="1997" spans="49:59" x14ac:dyDescent="0.3">
      <c r="AW1997" s="1">
        <v>23.1</v>
      </c>
      <c r="AX1997" s="1">
        <v>23.1</v>
      </c>
      <c r="AY1997" t="str">
        <v>CP-R80_HI782-0_0.0_LOT0941_PWW08.1_QC.xlsx</v>
      </c>
      <c r="AZ1997" t="str">
        <v>LOT0941</v>
      </c>
      <c r="BA1997" s="3">
        <v>23</v>
      </c>
      <c r="BB1997" t="str">
        <v>P/Prod</v>
      </c>
      <c r="BC1997">
        <v>60</v>
      </c>
      <c r="BD1997" s="10">
        <v>56.9</v>
      </c>
      <c r="BE1997" s="10">
        <v>56.9</v>
      </c>
      <c r="BF1997" s="10">
        <v>0</v>
      </c>
      <c r="BG1997" s="13">
        <v>45713</v>
      </c>
    </row>
    <row r="1998" spans="49:59" x14ac:dyDescent="0.3">
      <c r="AW1998" s="1">
        <v>23.1</v>
      </c>
      <c r="AX1998" s="1">
        <v>23.1</v>
      </c>
      <c r="AY1998" t="str">
        <v>CP-R80_HI782-0_0.0_LOT0941_PWW08.1_QC.xlsx</v>
      </c>
      <c r="AZ1998" t="str">
        <v>LOT0941</v>
      </c>
      <c r="BA1998" s="3">
        <v>23</v>
      </c>
      <c r="BB1998" t="str">
        <v>P/Prod</v>
      </c>
      <c r="BC1998">
        <v>60</v>
      </c>
      <c r="BD1998" s="10">
        <v>55.4</v>
      </c>
      <c r="BE1998" s="10">
        <v>55.4</v>
      </c>
      <c r="BF1998" s="10">
        <v>0</v>
      </c>
      <c r="BG1998" s="13">
        <v>45713</v>
      </c>
    </row>
    <row r="1999" spans="49:59" x14ac:dyDescent="0.3">
      <c r="AW1999" s="1">
        <v>23.1</v>
      </c>
      <c r="AX1999" s="1">
        <v>23.1</v>
      </c>
      <c r="AY1999" t="str">
        <v>CP-R80_HI782-0_0.0_LOT0941_PWW08.1_QC.xlsx</v>
      </c>
      <c r="AZ1999" t="str">
        <v>LOT0941</v>
      </c>
      <c r="BA1999" s="3">
        <v>23</v>
      </c>
      <c r="BB1999" t="str">
        <v>P/Prod</v>
      </c>
      <c r="BC1999">
        <v>60</v>
      </c>
      <c r="BD1999" s="10">
        <v>55.7</v>
      </c>
      <c r="BE1999" s="10">
        <v>0</v>
      </c>
      <c r="BF1999" s="10">
        <v>0</v>
      </c>
      <c r="BG1999" s="13">
        <v>45713</v>
      </c>
    </row>
    <row r="2000" spans="49:59" x14ac:dyDescent="0.3">
      <c r="AW2000" s="1">
        <v>23.1</v>
      </c>
      <c r="AX2000" s="1">
        <v>23.1</v>
      </c>
      <c r="AY2000" t="str">
        <v>CP-R80_HI782-0_0.0_LOT0941_PWW08.1_QC.xlsx</v>
      </c>
      <c r="AZ2000" t="str">
        <v>LOT0941</v>
      </c>
      <c r="BA2000" s="3">
        <v>23</v>
      </c>
      <c r="BB2000" t="str">
        <v>P/Prod</v>
      </c>
      <c r="BC2000">
        <v>60</v>
      </c>
      <c r="BD2000" s="10">
        <v>55.4</v>
      </c>
      <c r="BE2000" s="10">
        <v>0</v>
      </c>
      <c r="BF2000" s="10">
        <v>0</v>
      </c>
      <c r="BG2000" s="13">
        <v>45713</v>
      </c>
    </row>
    <row r="2001" spans="49:59" x14ac:dyDescent="0.3">
      <c r="AW2001" s="1">
        <v>23.1</v>
      </c>
      <c r="AX2001" s="1">
        <v>23.1</v>
      </c>
      <c r="AY2001" t="str">
        <v>CP-R80_HI782-0_0.0_LOT0941_PWW08.1_QC.xlsx</v>
      </c>
      <c r="AZ2001" t="str">
        <v>LOT0941</v>
      </c>
      <c r="BA2001" s="3">
        <v>23</v>
      </c>
      <c r="BB2001" t="str">
        <v>P/Prod</v>
      </c>
      <c r="BC2001">
        <v>60</v>
      </c>
      <c r="BD2001" s="10">
        <v>52.7</v>
      </c>
      <c r="BE2001" s="10">
        <v>0</v>
      </c>
      <c r="BF2001" s="10">
        <v>0</v>
      </c>
      <c r="BG2001" s="13">
        <v>45713</v>
      </c>
    </row>
    <row r="2002" spans="49:59" x14ac:dyDescent="0.3">
      <c r="AW2002" s="1">
        <v>23.1</v>
      </c>
      <c r="AX2002" s="1">
        <v>23.1</v>
      </c>
      <c r="AY2002" t="str">
        <v>CP-R80_HI782-0_0.0_LOT0941_PWW08.1_QC.xlsx</v>
      </c>
      <c r="AZ2002" t="str">
        <v>LOT0941</v>
      </c>
      <c r="BA2002" s="3">
        <v>23</v>
      </c>
      <c r="BB2002" t="str">
        <v>P/Prod</v>
      </c>
      <c r="BC2002">
        <v>60</v>
      </c>
      <c r="BD2002" s="10">
        <v>54.7</v>
      </c>
      <c r="BE2002" s="10">
        <v>0</v>
      </c>
      <c r="BF2002" s="10">
        <v>0</v>
      </c>
      <c r="BG2002" s="13">
        <v>45713</v>
      </c>
    </row>
    <row r="2003" spans="49:59" x14ac:dyDescent="0.3">
      <c r="AW2003" s="1">
        <v>23.1</v>
      </c>
      <c r="AX2003" s="1">
        <v>23.1</v>
      </c>
      <c r="AY2003" t="str">
        <v>CP-R80_HI782-0_0.0_LOT0941_PWW08.1_QC.xlsx</v>
      </c>
      <c r="AZ2003" t="str">
        <v>LOT0941</v>
      </c>
      <c r="BA2003" s="3">
        <v>23</v>
      </c>
      <c r="BB2003" t="str">
        <v>P/Prod</v>
      </c>
      <c r="BC2003">
        <v>0</v>
      </c>
      <c r="BD2003" s="10">
        <v>0.1</v>
      </c>
      <c r="BE2003" s="10">
        <v>0</v>
      </c>
      <c r="BF2003" s="10">
        <v>0</v>
      </c>
      <c r="BG2003" s="13">
        <v>45714</v>
      </c>
    </row>
    <row r="2004" spans="49:59" x14ac:dyDescent="0.3">
      <c r="AW2004" s="1">
        <v>23.1</v>
      </c>
      <c r="AX2004" s="1">
        <v>23.1</v>
      </c>
      <c r="AY2004" t="str">
        <v>CP-R80_HI782-0_0.0_LOT0941_PWW08.1_QC.xlsx</v>
      </c>
      <c r="AZ2004" t="str">
        <v>LOT0941</v>
      </c>
      <c r="BA2004" s="3">
        <v>23</v>
      </c>
      <c r="BB2004" t="str">
        <v>P/Prod</v>
      </c>
      <c r="BC2004">
        <v>0</v>
      </c>
      <c r="BD2004" s="10">
        <v>0</v>
      </c>
      <c r="BE2004" s="10">
        <v>0</v>
      </c>
      <c r="BF2004" s="10">
        <v>0</v>
      </c>
      <c r="BG2004" s="13">
        <v>45714</v>
      </c>
    </row>
    <row r="2005" spans="49:59" x14ac:dyDescent="0.3">
      <c r="AW2005" s="1">
        <v>23.1</v>
      </c>
      <c r="AX2005" s="1">
        <v>23.1</v>
      </c>
      <c r="AY2005" t="str">
        <v>CP-R80_HI782-0_0.0_LOT0941_PWW08.1_QC.xlsx</v>
      </c>
      <c r="AZ2005" t="str">
        <v>LOT0941</v>
      </c>
      <c r="BA2005" s="3">
        <v>23</v>
      </c>
      <c r="BB2005" t="str">
        <v>P/Prod</v>
      </c>
      <c r="BC2005">
        <v>0</v>
      </c>
      <c r="BD2005" s="10">
        <v>0</v>
      </c>
      <c r="BE2005" s="10">
        <v>0</v>
      </c>
      <c r="BF2005" s="10">
        <v>0</v>
      </c>
      <c r="BG2005" s="13">
        <v>45714</v>
      </c>
    </row>
    <row r="2006" spans="49:59" x14ac:dyDescent="0.3">
      <c r="AW2006" s="1">
        <v>23.1</v>
      </c>
      <c r="AX2006" s="1">
        <v>23.1</v>
      </c>
      <c r="AY2006" t="str">
        <v>CP-R80_HI782-0_0.0_LOT0941_PWW08.1_QC.xlsx</v>
      </c>
      <c r="AZ2006" t="str">
        <v>LOT0941</v>
      </c>
      <c r="BA2006" s="3">
        <v>23</v>
      </c>
      <c r="BB2006" t="str">
        <v>P/Prod</v>
      </c>
      <c r="BC2006">
        <v>0</v>
      </c>
      <c r="BD2006" s="10">
        <v>0</v>
      </c>
      <c r="BE2006" s="10">
        <v>0</v>
      </c>
      <c r="BF2006" s="10">
        <v>0</v>
      </c>
      <c r="BG2006" s="13">
        <v>45714</v>
      </c>
    </row>
    <row r="2007" spans="49:59" x14ac:dyDescent="0.3">
      <c r="AW2007" s="1">
        <v>23.1</v>
      </c>
      <c r="AX2007" s="1">
        <v>23.1</v>
      </c>
      <c r="AY2007" t="str">
        <v>CP-R80_HI782-0_0.0_LOT0941_PWW08.1_QC.xlsx</v>
      </c>
      <c r="AZ2007" t="str">
        <v>LOT0941</v>
      </c>
      <c r="BA2007" s="3">
        <v>23</v>
      </c>
      <c r="BB2007" t="str">
        <v>P/Prod</v>
      </c>
      <c r="BC2007">
        <v>0</v>
      </c>
      <c r="BD2007" s="10">
        <v>0</v>
      </c>
      <c r="BE2007" s="10">
        <v>0</v>
      </c>
      <c r="BF2007" s="10">
        <v>0</v>
      </c>
      <c r="BG2007" s="13">
        <v>45714</v>
      </c>
    </row>
    <row r="2008" spans="49:59" x14ac:dyDescent="0.3">
      <c r="AW2008" s="1">
        <v>23.1</v>
      </c>
      <c r="AX2008" s="1">
        <v>23.1</v>
      </c>
      <c r="AY2008" t="str">
        <v>CP-R80_HI782-0_0.0_LOT0941_PWW08.1_QC.xlsx</v>
      </c>
      <c r="AZ2008" t="str">
        <v>LOT0941</v>
      </c>
      <c r="BA2008" s="3">
        <v>23</v>
      </c>
      <c r="BB2008" t="str">
        <v>P/Prod</v>
      </c>
      <c r="BC2008">
        <v>0</v>
      </c>
      <c r="BD2008" s="10">
        <v>0</v>
      </c>
      <c r="BE2008" s="10">
        <v>0</v>
      </c>
      <c r="BF2008" s="10">
        <v>0</v>
      </c>
      <c r="BG2008" s="13">
        <v>45714</v>
      </c>
    </row>
    <row r="2009" spans="49:59" x14ac:dyDescent="0.3">
      <c r="AW2009" s="1">
        <v>23.1</v>
      </c>
      <c r="AX2009" s="1">
        <v>23.1</v>
      </c>
      <c r="AY2009" t="str">
        <v>CP-R80_HI782-0_0.0_LOT0941_PWW08.1_QC.xlsx</v>
      </c>
      <c r="AZ2009" t="str">
        <v>LOT0941</v>
      </c>
      <c r="BA2009" s="3">
        <v>23</v>
      </c>
      <c r="BB2009" t="str">
        <v>P/Prod</v>
      </c>
      <c r="BC2009">
        <v>15</v>
      </c>
      <c r="BD2009" s="10">
        <v>16</v>
      </c>
      <c r="BE2009" s="10">
        <v>16.100000000000001</v>
      </c>
      <c r="BF2009" s="10">
        <v>0</v>
      </c>
      <c r="BG2009" s="13">
        <v>45714</v>
      </c>
    </row>
    <row r="2010" spans="49:59" x14ac:dyDescent="0.3">
      <c r="AW2010" s="1">
        <v>23.1</v>
      </c>
      <c r="AX2010" s="1">
        <v>23.1</v>
      </c>
      <c r="AY2010" t="str">
        <v>CP-R80_HI782-0_0.0_LOT0941_PWW08.1_QC.xlsx</v>
      </c>
      <c r="AZ2010" t="str">
        <v>LOT0941</v>
      </c>
      <c r="BA2010" s="3">
        <v>23</v>
      </c>
      <c r="BB2010" t="str">
        <v>P/Prod</v>
      </c>
      <c r="BC2010">
        <v>15</v>
      </c>
      <c r="BD2010" s="10">
        <v>14.8</v>
      </c>
      <c r="BE2010" s="10">
        <v>14.9</v>
      </c>
      <c r="BF2010" s="10">
        <v>0</v>
      </c>
      <c r="BG2010" s="13">
        <v>45714</v>
      </c>
    </row>
    <row r="2011" spans="49:59" x14ac:dyDescent="0.3">
      <c r="AW2011" s="1">
        <v>23.1</v>
      </c>
      <c r="AX2011" s="1">
        <v>23.1</v>
      </c>
      <c r="AY2011" t="str">
        <v>CP-R80_HI782-0_0.0_LOT0941_PWW08.1_QC.xlsx</v>
      </c>
      <c r="AZ2011" t="str">
        <v>LOT0941</v>
      </c>
      <c r="BA2011" s="3">
        <v>23</v>
      </c>
      <c r="BB2011" t="str">
        <v>P/Prod</v>
      </c>
      <c r="BC2011">
        <v>15</v>
      </c>
      <c r="BD2011" s="10">
        <v>15.4</v>
      </c>
      <c r="BE2011" s="10">
        <v>15.5</v>
      </c>
      <c r="BF2011" s="10">
        <v>0</v>
      </c>
      <c r="BG2011" s="13">
        <v>45714</v>
      </c>
    </row>
    <row r="2012" spans="49:59" x14ac:dyDescent="0.3">
      <c r="AW2012" s="1">
        <v>23.1</v>
      </c>
      <c r="AX2012" s="1">
        <v>23.1</v>
      </c>
      <c r="AY2012" t="str">
        <v>CP-R80_HI782-0_0.0_LOT0941_PWW08.1_QC.xlsx</v>
      </c>
      <c r="AZ2012" t="str">
        <v>LOT0941</v>
      </c>
      <c r="BA2012" s="3">
        <v>23</v>
      </c>
      <c r="BB2012" t="str">
        <v>P/Prod</v>
      </c>
      <c r="BC2012">
        <v>15</v>
      </c>
      <c r="BD2012" s="10">
        <v>14.3</v>
      </c>
      <c r="BE2012" s="10">
        <v>14.2</v>
      </c>
      <c r="BF2012" s="10">
        <v>0</v>
      </c>
      <c r="BG2012" s="13">
        <v>45714</v>
      </c>
    </row>
    <row r="2013" spans="49:59" x14ac:dyDescent="0.3">
      <c r="AW2013" s="1">
        <v>23.1</v>
      </c>
      <c r="AX2013" s="1">
        <v>23.1</v>
      </c>
      <c r="AY2013" t="str">
        <v>CP-R80_HI782-0_0.0_LOT0941_PWW08.1_QC.xlsx</v>
      </c>
      <c r="AZ2013" t="str">
        <v>LOT0941</v>
      </c>
      <c r="BA2013" s="3">
        <v>23</v>
      </c>
      <c r="BB2013" t="str">
        <v>P/Prod</v>
      </c>
      <c r="BC2013">
        <v>15</v>
      </c>
      <c r="BD2013" s="10">
        <v>15.6</v>
      </c>
      <c r="BE2013" s="10">
        <v>15.4</v>
      </c>
      <c r="BF2013" s="10">
        <v>0</v>
      </c>
      <c r="BG2013" s="13">
        <v>45714</v>
      </c>
    </row>
    <row r="2014" spans="49:59" x14ac:dyDescent="0.3">
      <c r="AW2014" s="1">
        <v>23.1</v>
      </c>
      <c r="AX2014" s="1">
        <v>23.1</v>
      </c>
      <c r="AY2014" t="str">
        <v>CP-R80_HI782-0_0.0_LOT0941_PWW08.1_QC.xlsx</v>
      </c>
      <c r="AZ2014" t="str">
        <v>LOT0941</v>
      </c>
      <c r="BA2014" s="3">
        <v>23</v>
      </c>
      <c r="BB2014" t="str">
        <v>P/Prod</v>
      </c>
      <c r="BC2014">
        <v>15</v>
      </c>
      <c r="BD2014" s="10">
        <v>13.9</v>
      </c>
      <c r="BE2014" s="10">
        <v>13.9</v>
      </c>
      <c r="BF2014" s="10">
        <v>0</v>
      </c>
      <c r="BG2014" s="13">
        <v>45714</v>
      </c>
    </row>
    <row r="2015" spans="49:59" x14ac:dyDescent="0.3">
      <c r="AW2015" s="1">
        <v>23.1</v>
      </c>
      <c r="AX2015" s="1">
        <v>23.1</v>
      </c>
      <c r="AY2015" t="str">
        <v>CP-R80_HI782-0_0.0_LOT0941_PWW08.1_QC.xlsx</v>
      </c>
      <c r="AZ2015" t="str">
        <v>LOT0941</v>
      </c>
      <c r="BA2015" s="3">
        <v>23</v>
      </c>
      <c r="BB2015" t="str">
        <v>P/Prod</v>
      </c>
      <c r="BC2015">
        <v>15</v>
      </c>
      <c r="BD2015" s="10">
        <v>12.7</v>
      </c>
      <c r="BE2015" s="10">
        <v>12.8</v>
      </c>
      <c r="BF2015" s="10">
        <v>0</v>
      </c>
      <c r="BG2015" s="13">
        <v>45714</v>
      </c>
    </row>
    <row r="2016" spans="49:59" x14ac:dyDescent="0.3">
      <c r="AW2016" s="1">
        <v>23.1</v>
      </c>
      <c r="AX2016" s="1">
        <v>23.1</v>
      </c>
      <c r="AY2016" t="str">
        <v>CP-R80_HI782-0_0.0_LOT0941_PWW08.1_QC.xlsx</v>
      </c>
      <c r="AZ2016" t="str">
        <v>LOT0941</v>
      </c>
      <c r="BA2016" s="3">
        <v>23</v>
      </c>
      <c r="BB2016" t="str">
        <v>P/Prod</v>
      </c>
      <c r="BC2016">
        <v>15</v>
      </c>
      <c r="BD2016" s="10">
        <v>13.8</v>
      </c>
      <c r="BE2016" s="10">
        <v>13.8</v>
      </c>
      <c r="BF2016" s="10">
        <v>0</v>
      </c>
      <c r="BG2016" s="13">
        <v>45714</v>
      </c>
    </row>
    <row r="2017" spans="49:59" x14ac:dyDescent="0.3">
      <c r="AW2017" s="1">
        <v>23.1</v>
      </c>
      <c r="AX2017" s="1">
        <v>23.1</v>
      </c>
      <c r="AY2017" t="str">
        <v>CP-R80_HI782-0_0.0_LOT0941_PWW08.1_QC.xlsx</v>
      </c>
      <c r="AZ2017" t="str">
        <v>LOT0941</v>
      </c>
      <c r="BA2017" s="3">
        <v>23</v>
      </c>
      <c r="BB2017" t="str">
        <v>P/Prod</v>
      </c>
      <c r="BC2017">
        <v>15</v>
      </c>
      <c r="BD2017" s="10">
        <v>13.9</v>
      </c>
      <c r="BE2017" s="10">
        <v>13.6</v>
      </c>
      <c r="BF2017" s="10">
        <v>0</v>
      </c>
      <c r="BG2017" s="13">
        <v>45714</v>
      </c>
    </row>
    <row r="2018" spans="49:59" x14ac:dyDescent="0.3">
      <c r="AW2018" s="1">
        <v>23.1</v>
      </c>
      <c r="AX2018" s="1">
        <v>23.1</v>
      </c>
      <c r="AY2018" t="str">
        <v>CP-R80_HI782-0_0.0_LOT0941_PWW08.1_QC.xlsx</v>
      </c>
      <c r="AZ2018" t="str">
        <v>LOT0941</v>
      </c>
      <c r="BA2018" s="3">
        <v>23</v>
      </c>
      <c r="BB2018" t="str">
        <v>P/Prod</v>
      </c>
      <c r="BC2018">
        <v>15</v>
      </c>
      <c r="BD2018" s="10">
        <v>13.5</v>
      </c>
      <c r="BE2018" s="10">
        <v>13.5</v>
      </c>
      <c r="BF2018" s="10">
        <v>0</v>
      </c>
      <c r="BG2018" s="13">
        <v>45714</v>
      </c>
    </row>
    <row r="2019" spans="49:59" x14ac:dyDescent="0.3">
      <c r="AW2019" s="1">
        <v>23.1</v>
      </c>
      <c r="AX2019" s="1">
        <v>23.1</v>
      </c>
      <c r="AY2019" t="str">
        <v>CP-R80_HI782-0_0.0_LOT0941_PWW08.1_QC.xlsx</v>
      </c>
      <c r="AZ2019" t="str">
        <v>LOT0941</v>
      </c>
      <c r="BA2019" s="3">
        <v>23</v>
      </c>
      <c r="BB2019" t="str">
        <v>P/Prod</v>
      </c>
      <c r="BC2019">
        <v>15</v>
      </c>
      <c r="BD2019" s="10">
        <v>13.9</v>
      </c>
      <c r="BE2019" s="10">
        <v>0</v>
      </c>
      <c r="BF2019" s="10">
        <v>0</v>
      </c>
      <c r="BG2019" s="13">
        <v>45714</v>
      </c>
    </row>
    <row r="2020" spans="49:59" x14ac:dyDescent="0.3">
      <c r="AW2020" s="1">
        <v>23.1</v>
      </c>
      <c r="AX2020" s="1">
        <v>23.1</v>
      </c>
      <c r="AY2020" t="str">
        <v>CP-R80_HI782-0_0.0_LOT0941_PWW08.1_QC.xlsx</v>
      </c>
      <c r="AZ2020" t="str">
        <v>LOT0941</v>
      </c>
      <c r="BA2020" s="3">
        <v>23</v>
      </c>
      <c r="BB2020" t="str">
        <v>P/Prod</v>
      </c>
      <c r="BC2020">
        <v>15</v>
      </c>
      <c r="BD2020" s="10">
        <v>12.9</v>
      </c>
      <c r="BE2020" s="10">
        <v>0</v>
      </c>
      <c r="BF2020" s="10">
        <v>0</v>
      </c>
      <c r="BG2020" s="13">
        <v>45714</v>
      </c>
    </row>
    <row r="2021" spans="49:59" x14ac:dyDescent="0.3">
      <c r="AW2021" s="1">
        <v>23.1</v>
      </c>
      <c r="AX2021" s="1">
        <v>23.1</v>
      </c>
      <c r="AY2021" t="str">
        <v>CP-R80_HI782-0_0.0_LOT0941_PWW08.1_QC.xlsx</v>
      </c>
      <c r="AZ2021" t="str">
        <v>LOT0941</v>
      </c>
      <c r="BA2021" s="3">
        <v>23</v>
      </c>
      <c r="BB2021" t="str">
        <v>P/Prod</v>
      </c>
      <c r="BC2021">
        <v>15</v>
      </c>
      <c r="BD2021" s="10">
        <v>12.6</v>
      </c>
      <c r="BE2021" s="10">
        <v>0</v>
      </c>
      <c r="BF2021" s="10">
        <v>0</v>
      </c>
      <c r="BG2021" s="13">
        <v>45714</v>
      </c>
    </row>
    <row r="2022" spans="49:59" x14ac:dyDescent="0.3">
      <c r="AW2022" s="1">
        <v>23.1</v>
      </c>
      <c r="AX2022" s="1">
        <v>23.1</v>
      </c>
      <c r="AY2022" t="str">
        <v>CP-R80_HI782-0_0.0_LOT0941_PWW08.1_QC.xlsx</v>
      </c>
      <c r="AZ2022" t="str">
        <v>LOT0941</v>
      </c>
      <c r="BA2022" s="3">
        <v>23</v>
      </c>
      <c r="BB2022" t="str">
        <v>P/Prod</v>
      </c>
      <c r="BC2022">
        <v>15</v>
      </c>
      <c r="BD2022" s="10">
        <v>13.2</v>
      </c>
      <c r="BE2022" s="10">
        <v>0</v>
      </c>
      <c r="BF2022" s="10">
        <v>0</v>
      </c>
      <c r="BG2022" s="13">
        <v>45714</v>
      </c>
    </row>
    <row r="2023" spans="49:59" x14ac:dyDescent="0.3">
      <c r="AW2023" s="1">
        <v>23.1</v>
      </c>
      <c r="AX2023" s="1">
        <v>23.1</v>
      </c>
      <c r="AY2023" t="str">
        <v>CP-R80_HI782-0_0.0_LOT0941_PWW08.1_QC.xlsx</v>
      </c>
      <c r="AZ2023" t="str">
        <v>LOT0941</v>
      </c>
      <c r="BA2023" s="3">
        <v>23</v>
      </c>
      <c r="BB2023" t="str">
        <v>P/Prod</v>
      </c>
      <c r="BC2023">
        <v>15</v>
      </c>
      <c r="BD2023" s="10">
        <v>15</v>
      </c>
      <c r="BE2023" s="10">
        <v>0</v>
      </c>
      <c r="BF2023" s="10">
        <v>0</v>
      </c>
      <c r="BG2023" s="13">
        <v>45714</v>
      </c>
    </row>
    <row r="2024" spans="49:59" x14ac:dyDescent="0.3">
      <c r="AW2024" s="1">
        <v>23.1</v>
      </c>
      <c r="AX2024" s="1">
        <v>23.1</v>
      </c>
      <c r="AY2024" t="str">
        <v>CP-R80_HI782-0_0.0_LOT0941_PWW08.1_QC.xlsx</v>
      </c>
      <c r="AZ2024" t="str">
        <v>LOT0941</v>
      </c>
      <c r="BA2024" s="3">
        <v>23</v>
      </c>
      <c r="BB2024" t="str">
        <v>P/Prod</v>
      </c>
      <c r="BC2024">
        <v>15</v>
      </c>
      <c r="BD2024" s="10">
        <v>15.8</v>
      </c>
      <c r="BE2024" s="10">
        <v>15.6</v>
      </c>
      <c r="BF2024" s="10">
        <v>0</v>
      </c>
      <c r="BG2024" s="13">
        <v>45714</v>
      </c>
    </row>
    <row r="2025" spans="49:59" x14ac:dyDescent="0.3">
      <c r="AW2025" s="1">
        <v>23.1</v>
      </c>
      <c r="AX2025" s="1">
        <v>23.1</v>
      </c>
      <c r="AY2025" t="str">
        <v>CP-R80_HI782-0_0.0_LOT0941_PWW08.1_QC.xlsx</v>
      </c>
      <c r="AZ2025" t="str">
        <v>LOT0941</v>
      </c>
      <c r="BA2025" s="3">
        <v>23</v>
      </c>
      <c r="BB2025" t="str">
        <v>P/Prod</v>
      </c>
      <c r="BC2025">
        <v>15</v>
      </c>
      <c r="BD2025" s="10">
        <v>15</v>
      </c>
      <c r="BE2025" s="10">
        <v>15.2</v>
      </c>
      <c r="BF2025" s="10">
        <v>0</v>
      </c>
      <c r="BG2025" s="13">
        <v>45714</v>
      </c>
    </row>
    <row r="2026" spans="49:59" x14ac:dyDescent="0.3">
      <c r="AW2026" s="1">
        <v>23.1</v>
      </c>
      <c r="AX2026" s="1">
        <v>23.1</v>
      </c>
      <c r="AY2026" t="str">
        <v>CP-R80_HI782-0_0.0_LOT0941_PWW08.1_QC.xlsx</v>
      </c>
      <c r="AZ2026" t="str">
        <v>LOT0941</v>
      </c>
      <c r="BA2026" s="3">
        <v>23</v>
      </c>
      <c r="BB2026" t="str">
        <v>P/Prod</v>
      </c>
      <c r="BC2026">
        <v>15</v>
      </c>
      <c r="BD2026" s="10">
        <v>14.7</v>
      </c>
      <c r="BE2026" s="10">
        <v>14.8</v>
      </c>
      <c r="BF2026" s="10">
        <v>0</v>
      </c>
      <c r="BG2026" s="13">
        <v>45714</v>
      </c>
    </row>
    <row r="2027" spans="49:59" x14ac:dyDescent="0.3">
      <c r="AW2027" s="1">
        <v>23.1</v>
      </c>
      <c r="AX2027" s="1">
        <v>23.1</v>
      </c>
      <c r="AY2027" t="str">
        <v>CP-R80_HI782-0_0.0_LOT0941_PWW08.1_QC.xlsx</v>
      </c>
      <c r="AZ2027" t="str">
        <v>LOT0941</v>
      </c>
      <c r="BA2027" s="3">
        <v>23</v>
      </c>
      <c r="BB2027" t="str">
        <v>P/Prod</v>
      </c>
      <c r="BC2027">
        <v>15</v>
      </c>
      <c r="BD2027" s="10">
        <v>14.1</v>
      </c>
      <c r="BE2027" s="10">
        <v>14.2</v>
      </c>
      <c r="BF2027" s="10">
        <v>0</v>
      </c>
      <c r="BG2027" s="13">
        <v>45714</v>
      </c>
    </row>
    <row r="2028" spans="49:59" x14ac:dyDescent="0.3">
      <c r="AW2028" s="1">
        <v>23.1</v>
      </c>
      <c r="AX2028" s="1">
        <v>23.1</v>
      </c>
      <c r="AY2028" t="str">
        <v>CP-R80_HI782-0_0.0_LOT0941_PWW08.1_QC.xlsx</v>
      </c>
      <c r="AZ2028" t="str">
        <v>LOT0941</v>
      </c>
      <c r="BA2028" s="3">
        <v>23</v>
      </c>
      <c r="BB2028" t="str">
        <v>P/Prod</v>
      </c>
      <c r="BC2028">
        <v>15</v>
      </c>
      <c r="BD2028" s="10">
        <v>12.9</v>
      </c>
      <c r="BE2028" s="10">
        <v>0</v>
      </c>
      <c r="BF2028" s="10">
        <v>0</v>
      </c>
      <c r="BG2028" s="13">
        <v>45714</v>
      </c>
    </row>
    <row r="2029" spans="49:59" x14ac:dyDescent="0.3">
      <c r="AW2029" s="1">
        <v>23.1</v>
      </c>
      <c r="AX2029" s="1">
        <v>23.1</v>
      </c>
      <c r="AY2029" t="str">
        <v>CP-R80_HI782-0_0.0_LOT0941_PWW08.1_QC.xlsx</v>
      </c>
      <c r="AZ2029" t="str">
        <v>LOT0941</v>
      </c>
      <c r="BA2029" s="3">
        <v>23</v>
      </c>
      <c r="BB2029" t="str">
        <v>P/Prod</v>
      </c>
      <c r="BC2029">
        <v>35</v>
      </c>
      <c r="BD2029" s="10">
        <v>33.700000000000003</v>
      </c>
      <c r="BE2029" s="10">
        <v>33.799999999999997</v>
      </c>
      <c r="BF2029" s="10">
        <v>0</v>
      </c>
      <c r="BG2029" s="13">
        <v>45714</v>
      </c>
    </row>
    <row r="2030" spans="49:59" x14ac:dyDescent="0.3">
      <c r="AW2030" s="1">
        <v>23.1</v>
      </c>
      <c r="AX2030" s="1">
        <v>23.1</v>
      </c>
      <c r="AY2030" t="str">
        <v>CP-R80_HI782-0_0.0_LOT0941_PWW08.1_QC.xlsx</v>
      </c>
      <c r="AZ2030" t="str">
        <v>LOT0941</v>
      </c>
      <c r="BA2030" s="3">
        <v>23</v>
      </c>
      <c r="BB2030" t="str">
        <v>P/Prod</v>
      </c>
      <c r="BC2030">
        <v>35</v>
      </c>
      <c r="BD2030" s="10">
        <v>32.4</v>
      </c>
      <c r="BE2030" s="10">
        <v>32.6</v>
      </c>
      <c r="BF2030" s="10">
        <v>0</v>
      </c>
      <c r="BG2030" s="13">
        <v>45714</v>
      </c>
    </row>
    <row r="2031" spans="49:59" x14ac:dyDescent="0.3">
      <c r="AW2031" s="1">
        <v>23.1</v>
      </c>
      <c r="AX2031" s="1">
        <v>23.1</v>
      </c>
      <c r="AY2031" t="str">
        <v>CP-R80_HI782-0_0.0_LOT0941_PWW08.1_QC.xlsx</v>
      </c>
      <c r="AZ2031" t="str">
        <v>LOT0941</v>
      </c>
      <c r="BA2031" s="3">
        <v>23</v>
      </c>
      <c r="BB2031" t="str">
        <v>P/Prod</v>
      </c>
      <c r="BC2031">
        <v>35</v>
      </c>
      <c r="BD2031" s="10">
        <v>31.5</v>
      </c>
      <c r="BE2031" s="10">
        <v>31.5</v>
      </c>
      <c r="BF2031" s="10">
        <v>0</v>
      </c>
      <c r="BG2031" s="13">
        <v>45714</v>
      </c>
    </row>
    <row r="2032" spans="49:59" x14ac:dyDescent="0.3">
      <c r="AW2032" s="1">
        <v>23.1</v>
      </c>
      <c r="AX2032" s="1">
        <v>23.1</v>
      </c>
      <c r="AY2032" t="str">
        <v>CP-R80_HI782-0_0.0_LOT0941_PWW08.1_QC.xlsx</v>
      </c>
      <c r="AZ2032" t="str">
        <v>LOT0941</v>
      </c>
      <c r="BA2032" s="3">
        <v>23</v>
      </c>
      <c r="BB2032" t="str">
        <v>P/Prod</v>
      </c>
      <c r="BC2032">
        <v>35</v>
      </c>
      <c r="BD2032" s="10">
        <v>33.799999999999997</v>
      </c>
      <c r="BE2032" s="10">
        <v>34</v>
      </c>
      <c r="BF2032" s="10">
        <v>0</v>
      </c>
      <c r="BG2032" s="13">
        <v>45714</v>
      </c>
    </row>
    <row r="2033" spans="49:59" x14ac:dyDescent="0.3">
      <c r="AW2033" s="1">
        <v>23.1</v>
      </c>
      <c r="AX2033" s="1">
        <v>23.1</v>
      </c>
      <c r="AY2033" t="str">
        <v>CP-R80_HI782-0_0.0_LOT0941_PWW08.1_QC.xlsx</v>
      </c>
      <c r="AZ2033" t="str">
        <v>LOT0941</v>
      </c>
      <c r="BA2033" s="3">
        <v>23</v>
      </c>
      <c r="BB2033" t="str">
        <v>P/Prod</v>
      </c>
      <c r="BC2033">
        <v>35</v>
      </c>
      <c r="BD2033" s="10">
        <v>35.700000000000003</v>
      </c>
      <c r="BE2033" s="10">
        <v>35.700000000000003</v>
      </c>
      <c r="BF2033" s="10">
        <v>0</v>
      </c>
      <c r="BG2033" s="13">
        <v>45714</v>
      </c>
    </row>
    <row r="2034" spans="49:59" x14ac:dyDescent="0.3">
      <c r="AW2034" s="1">
        <v>23.1</v>
      </c>
      <c r="AX2034" s="1">
        <v>23.1</v>
      </c>
      <c r="AY2034" t="str">
        <v>CP-R80_HI782-0_0.0_LOT0941_PWW08.1_QC.xlsx</v>
      </c>
      <c r="AZ2034" t="str">
        <v>LOT0941</v>
      </c>
      <c r="BA2034" s="3">
        <v>23</v>
      </c>
      <c r="BB2034" t="str">
        <v>P/Prod</v>
      </c>
      <c r="BC2034">
        <v>35</v>
      </c>
      <c r="BD2034" s="10">
        <v>35</v>
      </c>
      <c r="BE2034" s="10">
        <v>35</v>
      </c>
      <c r="BF2034" s="10">
        <v>0</v>
      </c>
      <c r="BG2034" s="13">
        <v>45714</v>
      </c>
    </row>
    <row r="2035" spans="49:59" x14ac:dyDescent="0.3">
      <c r="AW2035" s="1">
        <v>23.1</v>
      </c>
      <c r="AX2035" s="1">
        <v>23.1</v>
      </c>
      <c r="AY2035" t="str">
        <v>CP-R80_HI782-0_0.0_LOT0941_PWW08.1_QC.xlsx</v>
      </c>
      <c r="AZ2035" t="str">
        <v>LOT0941</v>
      </c>
      <c r="BA2035" s="3">
        <v>23</v>
      </c>
      <c r="BB2035" t="str">
        <v>P/Prod</v>
      </c>
      <c r="BC2035">
        <v>35</v>
      </c>
      <c r="BD2035" s="10">
        <v>31.3</v>
      </c>
      <c r="BE2035" s="10">
        <v>31.4</v>
      </c>
      <c r="BF2035" s="10">
        <v>0</v>
      </c>
      <c r="BG2035" s="13">
        <v>45714</v>
      </c>
    </row>
    <row r="2036" spans="49:59" x14ac:dyDescent="0.3">
      <c r="AW2036" s="1">
        <v>23.1</v>
      </c>
      <c r="AX2036" s="1">
        <v>23.1</v>
      </c>
      <c r="AY2036" t="str">
        <v>CP-R80_HI782-0_0.0_LOT0941_PWW08.1_QC.xlsx</v>
      </c>
      <c r="AZ2036" t="str">
        <v>LOT0941</v>
      </c>
      <c r="BA2036" s="3">
        <v>23</v>
      </c>
      <c r="BB2036" t="str">
        <v>P/Prod</v>
      </c>
      <c r="BC2036">
        <v>35</v>
      </c>
      <c r="BD2036" s="10">
        <v>30.4</v>
      </c>
      <c r="BE2036" s="10">
        <v>30.5</v>
      </c>
      <c r="BF2036" s="10">
        <v>0</v>
      </c>
      <c r="BG2036" s="13">
        <v>45714</v>
      </c>
    </row>
    <row r="2037" spans="49:59" x14ac:dyDescent="0.3">
      <c r="AW2037" s="1">
        <v>23.1</v>
      </c>
      <c r="AX2037" s="1">
        <v>23.1</v>
      </c>
      <c r="AY2037" t="str">
        <v>CP-R80_HI782-0_0.0_LOT0941_PWW08.1_QC.xlsx</v>
      </c>
      <c r="AZ2037" t="str">
        <v>LOT0941</v>
      </c>
      <c r="BA2037" s="3">
        <v>23</v>
      </c>
      <c r="BB2037" t="str">
        <v>P/Prod</v>
      </c>
      <c r="BC2037">
        <v>35</v>
      </c>
      <c r="BD2037" s="10">
        <v>33.5</v>
      </c>
      <c r="BE2037" s="10">
        <v>33.700000000000003</v>
      </c>
      <c r="BF2037" s="10">
        <v>0</v>
      </c>
      <c r="BG2037" s="13">
        <v>45714</v>
      </c>
    </row>
    <row r="2038" spans="49:59" x14ac:dyDescent="0.3">
      <c r="AW2038" s="1">
        <v>23.1</v>
      </c>
      <c r="AX2038" s="1">
        <v>23.1</v>
      </c>
      <c r="AY2038" t="str">
        <v>CP-R80_HI782-0_0.0_LOT0941_PWW08.1_QC.xlsx</v>
      </c>
      <c r="AZ2038" t="str">
        <v>LOT0941</v>
      </c>
      <c r="BA2038" s="3">
        <v>23</v>
      </c>
      <c r="BB2038" t="str">
        <v>P/Prod</v>
      </c>
      <c r="BC2038">
        <v>35</v>
      </c>
      <c r="BD2038" s="10">
        <v>31.3</v>
      </c>
      <c r="BE2038" s="10">
        <v>31.5</v>
      </c>
      <c r="BF2038" s="10">
        <v>0</v>
      </c>
      <c r="BG2038" s="13">
        <v>45714</v>
      </c>
    </row>
    <row r="2039" spans="49:59" x14ac:dyDescent="0.3">
      <c r="AW2039" s="1">
        <v>23.1</v>
      </c>
      <c r="AX2039" s="1">
        <v>23.1</v>
      </c>
      <c r="AY2039" t="str">
        <v>CP-R80_HI782-0_0.0_LOT0941_PWW08.1_QC.xlsx</v>
      </c>
      <c r="AZ2039" t="str">
        <v>LOT0941</v>
      </c>
      <c r="BA2039" s="3">
        <v>23</v>
      </c>
      <c r="BB2039" t="str">
        <v>P/Prod</v>
      </c>
      <c r="BC2039">
        <v>35</v>
      </c>
      <c r="BD2039" s="10">
        <v>33.1</v>
      </c>
      <c r="BE2039" s="10">
        <v>33.200000000000003</v>
      </c>
      <c r="BF2039" s="10">
        <v>0</v>
      </c>
      <c r="BG2039" s="13">
        <v>45714</v>
      </c>
    </row>
    <row r="2040" spans="49:59" x14ac:dyDescent="0.3">
      <c r="AW2040" s="1">
        <v>23.1</v>
      </c>
      <c r="AX2040" s="1">
        <v>23.1</v>
      </c>
      <c r="AY2040" t="str">
        <v>CP-R80_HI782-0_0.0_LOT0941_PWW08.1_QC.xlsx</v>
      </c>
      <c r="AZ2040" t="str">
        <v>LOT0941</v>
      </c>
      <c r="BA2040" s="3">
        <v>23</v>
      </c>
      <c r="BB2040" t="str">
        <v>P/Prod</v>
      </c>
      <c r="BC2040">
        <v>35</v>
      </c>
      <c r="BD2040" s="10">
        <v>32.1</v>
      </c>
      <c r="BE2040" s="10">
        <v>32.200000000000003</v>
      </c>
      <c r="BF2040" s="10">
        <v>0</v>
      </c>
      <c r="BG2040" s="13">
        <v>45714</v>
      </c>
    </row>
    <row r="2041" spans="49:59" x14ac:dyDescent="0.3">
      <c r="AW2041" s="1">
        <v>23.1</v>
      </c>
      <c r="AX2041" s="1">
        <v>23.1</v>
      </c>
      <c r="AY2041" t="str">
        <v>CP-R80_HI782-0_0.0_LOT0941_PWW08.1_QC.xlsx</v>
      </c>
      <c r="AZ2041" t="str">
        <v>LOT0941</v>
      </c>
      <c r="BA2041" s="3">
        <v>23</v>
      </c>
      <c r="BB2041" t="str">
        <v>P/Prod</v>
      </c>
      <c r="BC2041">
        <v>35</v>
      </c>
      <c r="BD2041" s="10">
        <v>32.700000000000003</v>
      </c>
      <c r="BE2041" s="10">
        <v>0</v>
      </c>
      <c r="BF2041" s="10">
        <v>0</v>
      </c>
      <c r="BG2041" s="13">
        <v>45714</v>
      </c>
    </row>
    <row r="2042" spans="49:59" x14ac:dyDescent="0.3">
      <c r="AW2042" s="1">
        <v>23.1</v>
      </c>
      <c r="AX2042" s="1">
        <v>23.1</v>
      </c>
      <c r="AY2042" t="str">
        <v>CP-R80_HI782-0_0.0_LOT0941_PWW08.1_QC.xlsx</v>
      </c>
      <c r="AZ2042" t="str">
        <v>LOT0941</v>
      </c>
      <c r="BA2042" s="3">
        <v>23</v>
      </c>
      <c r="BB2042" t="str">
        <v>P/Prod</v>
      </c>
      <c r="BC2042">
        <v>35</v>
      </c>
      <c r="BD2042" s="10">
        <v>31.6</v>
      </c>
      <c r="BE2042" s="10">
        <v>0</v>
      </c>
      <c r="BF2042" s="10">
        <v>0</v>
      </c>
      <c r="BG2042" s="13">
        <v>45714</v>
      </c>
    </row>
    <row r="2043" spans="49:59" x14ac:dyDescent="0.3">
      <c r="AW2043" s="1">
        <v>23.1</v>
      </c>
      <c r="AX2043" s="1">
        <v>23.1</v>
      </c>
      <c r="AY2043" t="str">
        <v>CP-R80_HI782-0_0.0_LOT0941_PWW08.1_QC.xlsx</v>
      </c>
      <c r="AZ2043" t="str">
        <v>LOT0941</v>
      </c>
      <c r="BA2043" s="3">
        <v>23</v>
      </c>
      <c r="BB2043" t="str">
        <v>P/Prod</v>
      </c>
      <c r="BC2043">
        <v>35</v>
      </c>
      <c r="BD2043" s="10">
        <v>33.5</v>
      </c>
      <c r="BE2043" s="10">
        <v>0</v>
      </c>
      <c r="BF2043" s="10">
        <v>0</v>
      </c>
      <c r="BG2043" s="13">
        <v>45714</v>
      </c>
    </row>
    <row r="2044" spans="49:59" x14ac:dyDescent="0.3">
      <c r="AW2044" s="1">
        <v>23.1</v>
      </c>
      <c r="AX2044" s="1">
        <v>23.1</v>
      </c>
      <c r="AY2044" t="str">
        <v>CP-R80_HI782-0_0.0_LOT0941_PWW08.1_QC.xlsx</v>
      </c>
      <c r="AZ2044" t="str">
        <v>LOT0941</v>
      </c>
      <c r="BA2044" s="3">
        <v>23</v>
      </c>
      <c r="BB2044" t="str">
        <v>P/Prod</v>
      </c>
      <c r="BC2044">
        <v>35</v>
      </c>
      <c r="BD2044" s="10">
        <v>32.4</v>
      </c>
      <c r="BE2044" s="10">
        <v>0</v>
      </c>
      <c r="BF2044" s="10">
        <v>0</v>
      </c>
      <c r="BG2044" s="13">
        <v>45714</v>
      </c>
    </row>
    <row r="2045" spans="49:59" x14ac:dyDescent="0.3">
      <c r="AW2045" s="1">
        <v>23.1</v>
      </c>
      <c r="AX2045" s="1">
        <v>23.1</v>
      </c>
      <c r="AY2045" t="str">
        <v>CP-R80_HI782-0_0.0_LOT0941_PWW08.1_QC.xlsx</v>
      </c>
      <c r="AZ2045" t="str">
        <v>LOT0941</v>
      </c>
      <c r="BA2045" s="3">
        <v>23</v>
      </c>
      <c r="BB2045" t="str">
        <v>P/Prod</v>
      </c>
      <c r="BC2045">
        <v>35</v>
      </c>
      <c r="BD2045" s="10">
        <v>34.799999999999997</v>
      </c>
      <c r="BE2045" s="10">
        <v>0</v>
      </c>
      <c r="BF2045" s="10">
        <v>0</v>
      </c>
      <c r="BG2045" s="13">
        <v>45714</v>
      </c>
    </row>
    <row r="2046" spans="49:59" x14ac:dyDescent="0.3">
      <c r="AW2046" s="1">
        <v>23.1</v>
      </c>
      <c r="AX2046" s="1">
        <v>23.1</v>
      </c>
      <c r="AY2046" t="str">
        <v>CP-R80_HI782-0_0.0_LOT0941_PWW08.1_QC.xlsx</v>
      </c>
      <c r="AZ2046" t="str">
        <v>LOT0941</v>
      </c>
      <c r="BA2046" s="3">
        <v>23</v>
      </c>
      <c r="BB2046" t="str">
        <v>P/Prod</v>
      </c>
      <c r="BC2046">
        <v>35</v>
      </c>
      <c r="BD2046" s="10">
        <v>35.200000000000003</v>
      </c>
      <c r="BE2046" s="10">
        <v>0</v>
      </c>
      <c r="BF2046" s="10">
        <v>0</v>
      </c>
      <c r="BG2046" s="13">
        <v>45714</v>
      </c>
    </row>
    <row r="2047" spans="49:59" x14ac:dyDescent="0.3">
      <c r="AW2047" s="1">
        <v>23.1</v>
      </c>
      <c r="AX2047" s="1">
        <v>23.1</v>
      </c>
      <c r="AY2047" t="str">
        <v>CP-R80_HI782-0_0.0_LOT0941_PWW08.1_QC.xlsx</v>
      </c>
      <c r="AZ2047" t="str">
        <v>LOT0941</v>
      </c>
      <c r="BA2047" s="3">
        <v>23</v>
      </c>
      <c r="BB2047" t="str">
        <v>P/Prod</v>
      </c>
      <c r="BC2047">
        <v>35</v>
      </c>
      <c r="BD2047" s="10">
        <v>32.700000000000003</v>
      </c>
      <c r="BE2047" s="10">
        <v>32.5</v>
      </c>
      <c r="BF2047" s="10">
        <v>0</v>
      </c>
      <c r="BG2047" s="13">
        <v>45714</v>
      </c>
    </row>
    <row r="2048" spans="49:59" x14ac:dyDescent="0.3">
      <c r="AW2048" s="1">
        <v>23.1</v>
      </c>
      <c r="AX2048" s="1">
        <v>23.1</v>
      </c>
      <c r="AY2048" t="str">
        <v>CP-R80_HI782-0_0.0_LOT0941_PWW08.1_QC.xlsx</v>
      </c>
      <c r="AZ2048" t="str">
        <v>LOT0941</v>
      </c>
      <c r="BA2048" s="3">
        <v>23</v>
      </c>
      <c r="BB2048" t="str">
        <v>P/Prod</v>
      </c>
      <c r="BC2048">
        <v>35</v>
      </c>
      <c r="BD2048" s="10">
        <v>33.700000000000003</v>
      </c>
      <c r="BE2048" s="10">
        <v>34.200000000000003</v>
      </c>
      <c r="BF2048" s="10">
        <v>0</v>
      </c>
      <c r="BG2048" s="13">
        <v>45714</v>
      </c>
    </row>
    <row r="2049" spans="49:59" x14ac:dyDescent="0.3">
      <c r="AW2049" s="1">
        <v>23.1</v>
      </c>
      <c r="AX2049" s="1">
        <v>23.1</v>
      </c>
      <c r="AY2049" t="str">
        <v>CP-R80_HI782-0_0.0_LOT0941_PWW08.1_QC.xlsx</v>
      </c>
      <c r="AZ2049" t="str">
        <v>LOT0941</v>
      </c>
      <c r="BA2049" s="3">
        <v>23</v>
      </c>
      <c r="BB2049" t="str">
        <v>P/Prod</v>
      </c>
      <c r="BC2049">
        <v>35</v>
      </c>
      <c r="BD2049" s="10">
        <v>33.5</v>
      </c>
      <c r="BE2049" s="10">
        <v>33.4</v>
      </c>
      <c r="BF2049" s="10">
        <v>0</v>
      </c>
      <c r="BG2049" s="13">
        <v>45714</v>
      </c>
    </row>
    <row r="2050" spans="49:59" x14ac:dyDescent="0.3">
      <c r="AW2050" s="1">
        <v>23.1</v>
      </c>
      <c r="AX2050" s="1">
        <v>23.1</v>
      </c>
      <c r="AY2050" t="str">
        <v>CP-R80_HI782-0_0.0_LOT0941_PWW08.1_QC.xlsx</v>
      </c>
      <c r="AZ2050" t="str">
        <v>LOT0941</v>
      </c>
      <c r="BA2050" s="3">
        <v>23</v>
      </c>
      <c r="BB2050" t="str">
        <v>P/Prod</v>
      </c>
      <c r="BC2050">
        <v>60</v>
      </c>
      <c r="BD2050" s="10">
        <v>55.6</v>
      </c>
      <c r="BE2050" s="10">
        <v>55.8</v>
      </c>
      <c r="BF2050" s="10">
        <v>0</v>
      </c>
      <c r="BG2050" s="13">
        <v>45714</v>
      </c>
    </row>
    <row r="2051" spans="49:59" x14ac:dyDescent="0.3">
      <c r="AW2051" s="1">
        <v>23.1</v>
      </c>
      <c r="AX2051" s="1">
        <v>23.1</v>
      </c>
      <c r="AY2051" t="str">
        <v>CP-R80_HI782-0_0.0_LOT0941_PWW08.1_QC.xlsx</v>
      </c>
      <c r="AZ2051" t="str">
        <v>LOT0941</v>
      </c>
      <c r="BA2051" s="3">
        <v>23</v>
      </c>
      <c r="BB2051" t="str">
        <v>P/Prod</v>
      </c>
      <c r="BC2051">
        <v>60</v>
      </c>
      <c r="BD2051" s="10">
        <v>56</v>
      </c>
      <c r="BE2051" s="10">
        <v>56.4</v>
      </c>
      <c r="BF2051" s="10">
        <v>0</v>
      </c>
      <c r="BG2051" s="13">
        <v>45714</v>
      </c>
    </row>
    <row r="2052" spans="49:59" x14ac:dyDescent="0.3">
      <c r="AW2052" s="1">
        <v>23.1</v>
      </c>
      <c r="AX2052" s="1">
        <v>23.1</v>
      </c>
      <c r="AY2052" t="str">
        <v>CP-R80_HI782-0_0.0_LOT0941_PWW08.1_QC.xlsx</v>
      </c>
      <c r="AZ2052" t="str">
        <v>LOT0941</v>
      </c>
      <c r="BA2052" s="3">
        <v>23</v>
      </c>
      <c r="BB2052" t="str">
        <v>P/Prod</v>
      </c>
      <c r="BC2052">
        <v>60</v>
      </c>
      <c r="BD2052" s="10">
        <v>56.2</v>
      </c>
      <c r="BE2052" s="10">
        <v>56.8</v>
      </c>
      <c r="BF2052" s="10">
        <v>0</v>
      </c>
      <c r="BG2052" s="13">
        <v>45714</v>
      </c>
    </row>
    <row r="2053" spans="49:59" x14ac:dyDescent="0.3">
      <c r="AW2053" s="1">
        <v>23.1</v>
      </c>
      <c r="AX2053" s="1">
        <v>23.1</v>
      </c>
      <c r="AY2053" t="str">
        <v>CP-R80_HI782-0_0.0_LOT0941_PWW08.1_QC.xlsx</v>
      </c>
      <c r="AZ2053" t="str">
        <v>LOT0941</v>
      </c>
      <c r="BA2053" s="3">
        <v>23</v>
      </c>
      <c r="BB2053" t="str">
        <v>P/Prod</v>
      </c>
      <c r="BC2053">
        <v>60</v>
      </c>
      <c r="BD2053" s="10">
        <v>61.4</v>
      </c>
      <c r="BE2053" s="10">
        <v>61.3</v>
      </c>
      <c r="BF2053" s="10">
        <v>0</v>
      </c>
      <c r="BG2053" s="13">
        <v>45714</v>
      </c>
    </row>
    <row r="2054" spans="49:59" x14ac:dyDescent="0.3">
      <c r="AW2054" s="1">
        <v>23.1</v>
      </c>
      <c r="AX2054" s="1">
        <v>23.1</v>
      </c>
      <c r="AY2054" t="str">
        <v>CP-R80_HI782-0_0.0_LOT0941_PWW08.1_QC.xlsx</v>
      </c>
      <c r="AZ2054" t="str">
        <v>LOT0941</v>
      </c>
      <c r="BA2054" s="3">
        <v>23</v>
      </c>
      <c r="BB2054" t="str">
        <v>P/Prod</v>
      </c>
      <c r="BC2054">
        <v>60</v>
      </c>
      <c r="BD2054" s="10">
        <v>60.3</v>
      </c>
      <c r="BE2054" s="10">
        <v>60.3</v>
      </c>
      <c r="BF2054" s="10">
        <v>0</v>
      </c>
      <c r="BG2054" s="13">
        <v>45714</v>
      </c>
    </row>
    <row r="2055" spans="49:59" x14ac:dyDescent="0.3">
      <c r="AW2055" s="1">
        <v>23.1</v>
      </c>
      <c r="AX2055" s="1">
        <v>23.1</v>
      </c>
      <c r="AY2055" t="str">
        <v>CP-R80_HI782-0_0.0_LOT0941_PWW08.1_QC.xlsx</v>
      </c>
      <c r="AZ2055" t="str">
        <v>LOT0941</v>
      </c>
      <c r="BA2055" s="3">
        <v>23</v>
      </c>
      <c r="BB2055" t="str">
        <v>P/Prod</v>
      </c>
      <c r="BC2055">
        <v>60</v>
      </c>
      <c r="BD2055" s="10">
        <v>59</v>
      </c>
      <c r="BE2055" s="10">
        <v>59.1</v>
      </c>
      <c r="BF2055" s="10">
        <v>0</v>
      </c>
      <c r="BG2055" s="13">
        <v>45714</v>
      </c>
    </row>
    <row r="2056" spans="49:59" x14ac:dyDescent="0.3">
      <c r="AW2056" s="1">
        <v>23.1</v>
      </c>
      <c r="AX2056" s="1">
        <v>23.1</v>
      </c>
      <c r="AY2056" t="str">
        <v>CP-R80_HI782-0_0.0_LOT0941_PWW08.1_QC.xlsx</v>
      </c>
      <c r="AZ2056" t="str">
        <v>LOT0941</v>
      </c>
      <c r="BA2056" s="3">
        <v>23</v>
      </c>
      <c r="BB2056" t="str">
        <v>P/Prod</v>
      </c>
      <c r="BC2056">
        <v>60</v>
      </c>
      <c r="BD2056" s="10">
        <v>57.2</v>
      </c>
      <c r="BE2056" s="10">
        <v>57</v>
      </c>
      <c r="BF2056" s="10">
        <v>0</v>
      </c>
      <c r="BG2056" s="13">
        <v>45714</v>
      </c>
    </row>
    <row r="2057" spans="49:59" x14ac:dyDescent="0.3">
      <c r="AW2057" s="1">
        <v>23.1</v>
      </c>
      <c r="AX2057" s="1">
        <v>23.1</v>
      </c>
      <c r="AY2057" t="str">
        <v>CP-R80_HI782-0_0.0_LOT0941_PWW08.1_QC.xlsx</v>
      </c>
      <c r="AZ2057" t="str">
        <v>LOT0941</v>
      </c>
      <c r="BA2057" s="3">
        <v>23</v>
      </c>
      <c r="BB2057" t="str">
        <v>P/Prod</v>
      </c>
      <c r="BC2057">
        <v>60</v>
      </c>
      <c r="BD2057" s="10">
        <v>53.6</v>
      </c>
      <c r="BE2057" s="10">
        <v>53.8</v>
      </c>
      <c r="BF2057" s="10">
        <v>0</v>
      </c>
      <c r="BG2057" s="13">
        <v>45714</v>
      </c>
    </row>
    <row r="2058" spans="49:59" x14ac:dyDescent="0.3">
      <c r="AW2058" s="1">
        <v>23.1</v>
      </c>
      <c r="AX2058" s="1">
        <v>23.1</v>
      </c>
      <c r="AY2058" t="str">
        <v>CP-R80_HI782-0_0.0_LOT0941_PWW08.1_QC.xlsx</v>
      </c>
      <c r="AZ2058" t="str">
        <v>LOT0941</v>
      </c>
      <c r="BA2058" s="3">
        <v>23</v>
      </c>
      <c r="BB2058" t="str">
        <v>P/Prod</v>
      </c>
      <c r="BC2058">
        <v>60</v>
      </c>
      <c r="BD2058" s="10">
        <v>57.6</v>
      </c>
      <c r="BE2058" s="10">
        <v>57.9</v>
      </c>
      <c r="BF2058" s="10">
        <v>0</v>
      </c>
      <c r="BG2058" s="13">
        <v>45714</v>
      </c>
    </row>
    <row r="2059" spans="49:59" x14ac:dyDescent="0.3">
      <c r="AW2059" s="1">
        <v>23.1</v>
      </c>
      <c r="AX2059" s="1">
        <v>23.1</v>
      </c>
      <c r="AY2059" t="str">
        <v>CP-R80_HI782-0_0.0_LOT0941_PWW08.1_QC.xlsx</v>
      </c>
      <c r="AZ2059" t="str">
        <v>LOT0941</v>
      </c>
      <c r="BA2059" s="3">
        <v>23</v>
      </c>
      <c r="BB2059" t="str">
        <v>P/Prod</v>
      </c>
      <c r="BC2059">
        <v>60</v>
      </c>
      <c r="BD2059" s="10">
        <v>57</v>
      </c>
      <c r="BE2059" s="10">
        <v>0</v>
      </c>
      <c r="BF2059" s="10">
        <v>0</v>
      </c>
      <c r="BG2059" s="13">
        <v>45714</v>
      </c>
    </row>
    <row r="2060" spans="49:59" x14ac:dyDescent="0.3">
      <c r="AW2060" s="1">
        <v>23.1</v>
      </c>
      <c r="AX2060" s="1">
        <v>23.1</v>
      </c>
      <c r="AY2060" t="str">
        <v>CP-R80_HI782-0_0.0_LOT0941_PWW08.1_QC.xlsx</v>
      </c>
      <c r="AZ2060" t="str">
        <v>LOT0941</v>
      </c>
      <c r="BA2060" s="3">
        <v>23</v>
      </c>
      <c r="BB2060" t="str">
        <v>P/Prod</v>
      </c>
      <c r="BC2060">
        <v>60</v>
      </c>
      <c r="BD2060" s="10">
        <v>55.1</v>
      </c>
      <c r="BE2060" s="10">
        <v>55.9</v>
      </c>
      <c r="BF2060" s="10">
        <v>0</v>
      </c>
      <c r="BG2060" s="13">
        <v>45714</v>
      </c>
    </row>
    <row r="2061" spans="49:59" x14ac:dyDescent="0.3">
      <c r="AW2061" s="1">
        <v>23.1</v>
      </c>
      <c r="AX2061" s="1">
        <v>23.1</v>
      </c>
      <c r="AY2061" t="str">
        <v>CP-R80_HI782-0_0.0_LOT0941_PWW08.1_QC.xlsx</v>
      </c>
      <c r="AZ2061" t="str">
        <v>LOT0941</v>
      </c>
      <c r="BA2061" s="3">
        <v>23</v>
      </c>
      <c r="BB2061" t="str">
        <v>P/Prod</v>
      </c>
      <c r="BC2061">
        <v>60</v>
      </c>
      <c r="BD2061" s="10">
        <v>56.6</v>
      </c>
      <c r="BE2061" s="10">
        <v>56.7</v>
      </c>
      <c r="BF2061" s="10">
        <v>0</v>
      </c>
      <c r="BG2061" s="13">
        <v>45714</v>
      </c>
    </row>
    <row r="2062" spans="49:59" x14ac:dyDescent="0.3">
      <c r="AW2062" s="1">
        <v>23.1</v>
      </c>
      <c r="AX2062" s="1">
        <v>23.1</v>
      </c>
      <c r="AY2062" t="str">
        <v>CP-R80_HI782-0_0.0_LOT0941_PWW08.1_QC.xlsx</v>
      </c>
      <c r="AZ2062" t="str">
        <v>LOT0941</v>
      </c>
      <c r="BA2062" s="3">
        <v>23</v>
      </c>
      <c r="BB2062" t="str">
        <v>P/Prod</v>
      </c>
      <c r="BC2062">
        <v>60</v>
      </c>
      <c r="BD2062" s="10">
        <v>58.4</v>
      </c>
      <c r="BE2062" s="10">
        <v>59.1</v>
      </c>
      <c r="BF2062" s="10">
        <v>0</v>
      </c>
      <c r="BG2062" s="13">
        <v>45714</v>
      </c>
    </row>
    <row r="2063" spans="49:59" x14ac:dyDescent="0.3">
      <c r="AW2063" s="1">
        <v>23.1</v>
      </c>
      <c r="AX2063" s="1">
        <v>23.1</v>
      </c>
      <c r="AY2063" t="str">
        <v>CP-R80_HI782-0_0.0_LOT0941_PWW08.1_QC.xlsx</v>
      </c>
      <c r="AZ2063" t="str">
        <v>LOT0941</v>
      </c>
      <c r="BA2063" s="3">
        <v>23</v>
      </c>
      <c r="BB2063" t="str">
        <v>P/Prod</v>
      </c>
      <c r="BC2063">
        <v>60</v>
      </c>
      <c r="BD2063" s="10">
        <v>55.7</v>
      </c>
      <c r="BE2063" s="10">
        <v>56.5</v>
      </c>
      <c r="BF2063" s="10">
        <v>0</v>
      </c>
      <c r="BG2063" s="13">
        <v>45714</v>
      </c>
    </row>
    <row r="2064" spans="49:59" x14ac:dyDescent="0.3">
      <c r="AW2064" s="1">
        <v>23.1</v>
      </c>
      <c r="AX2064" s="1">
        <v>23.1</v>
      </c>
      <c r="AY2064" t="str">
        <v>CP-R80_HI782-0_0.0_LOT0941_PWW08.1_QC.xlsx</v>
      </c>
      <c r="AZ2064" t="str">
        <v>LOT0941</v>
      </c>
      <c r="BA2064" s="3">
        <v>23</v>
      </c>
      <c r="BB2064" t="str">
        <v>P/Prod</v>
      </c>
      <c r="BC2064">
        <v>60</v>
      </c>
      <c r="BD2064" s="10">
        <v>57.1</v>
      </c>
      <c r="BE2064" s="10">
        <v>57.6</v>
      </c>
      <c r="BF2064" s="10">
        <v>0</v>
      </c>
      <c r="BG2064" s="13">
        <v>45714</v>
      </c>
    </row>
    <row r="2065" spans="49:59" x14ac:dyDescent="0.3">
      <c r="AW2065" s="1">
        <v>23.1</v>
      </c>
      <c r="AX2065" s="1">
        <v>23.1</v>
      </c>
      <c r="AY2065" t="str">
        <v>CP-R80_HI782-0_0.0_LOT0941_PWW08.1_QC.xlsx</v>
      </c>
      <c r="AZ2065" t="str">
        <v>LOT0941</v>
      </c>
      <c r="BA2065" s="3">
        <v>23</v>
      </c>
      <c r="BB2065" t="str">
        <v>P/Prod</v>
      </c>
      <c r="BC2065">
        <v>60</v>
      </c>
      <c r="BD2065" s="10">
        <v>57.5</v>
      </c>
      <c r="BE2065" s="10">
        <v>57.1</v>
      </c>
      <c r="BF2065" s="10">
        <v>0</v>
      </c>
      <c r="BG2065" s="13">
        <v>45714</v>
      </c>
    </row>
    <row r="2066" spans="49:59" x14ac:dyDescent="0.3">
      <c r="AW2066" s="1">
        <v>23.1</v>
      </c>
      <c r="AX2066" s="1">
        <v>23.1</v>
      </c>
      <c r="AY2066" t="str">
        <v>CP-R80_HI782-0_0.0_LOT0941_PWW08.1_QC.xlsx</v>
      </c>
      <c r="AZ2066" t="str">
        <v>LOT0941</v>
      </c>
      <c r="BA2066" s="3">
        <v>23</v>
      </c>
      <c r="BB2066" t="str">
        <v>P/Prod</v>
      </c>
      <c r="BC2066">
        <v>60</v>
      </c>
      <c r="BD2066" s="10">
        <v>56.5</v>
      </c>
      <c r="BE2066" s="10">
        <v>0</v>
      </c>
      <c r="BF2066" s="10">
        <v>0</v>
      </c>
      <c r="BG2066" s="13">
        <v>45714</v>
      </c>
    </row>
    <row r="2067" spans="49:59" x14ac:dyDescent="0.3">
      <c r="AW2067" s="1">
        <v>23.1</v>
      </c>
      <c r="AX2067" s="1">
        <v>23.1</v>
      </c>
      <c r="AY2067" t="str">
        <v>CP-R80_HI782-0_0.0_LOT0941_PWW08.1_QC.xlsx</v>
      </c>
      <c r="AZ2067" t="str">
        <v>LOT0941</v>
      </c>
      <c r="BA2067" s="3">
        <v>23</v>
      </c>
      <c r="BB2067" t="str">
        <v>P/Prod</v>
      </c>
      <c r="BC2067">
        <v>60</v>
      </c>
      <c r="BD2067" s="10">
        <v>55.9</v>
      </c>
      <c r="BE2067" s="10">
        <v>0</v>
      </c>
      <c r="BF2067" s="10">
        <v>0</v>
      </c>
      <c r="BG2067" s="13">
        <v>45714</v>
      </c>
    </row>
    <row r="2068" spans="49:59" x14ac:dyDescent="0.3">
      <c r="AW2068" s="1">
        <v>23.1</v>
      </c>
      <c r="AX2068" s="1">
        <v>23.1</v>
      </c>
      <c r="AY2068" t="str">
        <v>CP-R80_HI782-0_0.0_LOT0941_PWW08.1_QC.xlsx</v>
      </c>
      <c r="AZ2068" t="str">
        <v>LOT0941</v>
      </c>
      <c r="BA2068" s="3">
        <v>23</v>
      </c>
      <c r="BB2068" t="str">
        <v>P/Prod</v>
      </c>
      <c r="BC2068">
        <v>60</v>
      </c>
      <c r="BD2068" s="10">
        <v>55.7</v>
      </c>
      <c r="BE2068" s="10">
        <v>0</v>
      </c>
      <c r="BF2068" s="10">
        <v>0</v>
      </c>
      <c r="BG2068" s="13">
        <v>45714</v>
      </c>
    </row>
    <row r="2069" spans="49:59" x14ac:dyDescent="0.3">
      <c r="AW2069" s="1">
        <v>23.1</v>
      </c>
      <c r="AX2069" s="1">
        <v>23.1</v>
      </c>
      <c r="AY2069" t="str">
        <v>CP-R80_HI782-0_0.0_LOT0941_PWW08.1_QC.xlsx</v>
      </c>
      <c r="AZ2069" t="str">
        <v>LOT0941</v>
      </c>
      <c r="BA2069" s="3">
        <v>23</v>
      </c>
      <c r="BB2069" t="str">
        <v>P/Prod</v>
      </c>
      <c r="BC2069">
        <v>60</v>
      </c>
      <c r="BD2069" s="10">
        <v>56.7</v>
      </c>
      <c r="BE2069" s="10">
        <v>0</v>
      </c>
      <c r="BF2069" s="10">
        <v>0</v>
      </c>
      <c r="BG2069" s="13">
        <v>45714</v>
      </c>
    </row>
    <row r="2070" spans="49:59" x14ac:dyDescent="0.3">
      <c r="AW2070" s="1">
        <v>23.1</v>
      </c>
      <c r="AX2070" s="1">
        <v>23.1</v>
      </c>
      <c r="AY2070" t="str">
        <v>CP-R80_HI782-0_0.0_LOT0941_PWW08.1_QC.xlsx</v>
      </c>
      <c r="AZ2070" t="str">
        <v>LOT0941</v>
      </c>
      <c r="BA2070" s="3">
        <v>23</v>
      </c>
      <c r="BB2070" t="str">
        <v>P/Prod</v>
      </c>
      <c r="BC2070">
        <v>60</v>
      </c>
      <c r="BD2070" s="10">
        <v>55.5</v>
      </c>
      <c r="BE2070" s="10">
        <v>0</v>
      </c>
      <c r="BF2070" s="10">
        <v>0</v>
      </c>
      <c r="BG2070" s="13">
        <v>45714</v>
      </c>
    </row>
    <row r="2071" spans="49:59" x14ac:dyDescent="0.3">
      <c r="AW2071" s="1">
        <v>23.1</v>
      </c>
      <c r="AX2071" s="1">
        <v>23.1</v>
      </c>
      <c r="AY2071" t="str">
        <v>CP-R80_HI782-0_0.0_LOT0941_PWW08.1_QC.xlsx</v>
      </c>
      <c r="AZ2071" t="str">
        <v>LOT0941</v>
      </c>
      <c r="BA2071" s="3">
        <v>23</v>
      </c>
      <c r="BB2071" t="str">
        <v>P/Prod</v>
      </c>
      <c r="BC2071">
        <v>0</v>
      </c>
      <c r="BD2071" s="10">
        <v>0</v>
      </c>
      <c r="BE2071" s="10">
        <v>0</v>
      </c>
      <c r="BF2071" s="10">
        <v>0</v>
      </c>
      <c r="BG2071" s="13">
        <v>45715</v>
      </c>
    </row>
    <row r="2072" spans="49:59" x14ac:dyDescent="0.3">
      <c r="AW2072" s="1">
        <v>23.1</v>
      </c>
      <c r="AX2072" s="1">
        <v>23.1</v>
      </c>
      <c r="AY2072" t="str">
        <v>CP-R80_HI782-0_0.0_LOT0941_PWW08.1_QC.xlsx</v>
      </c>
      <c r="AZ2072" t="str">
        <v>LOT0941</v>
      </c>
      <c r="BA2072" s="3">
        <v>23</v>
      </c>
      <c r="BB2072" t="str">
        <v>P/Prod</v>
      </c>
      <c r="BC2072">
        <v>0</v>
      </c>
      <c r="BD2072" s="10">
        <v>0</v>
      </c>
      <c r="BE2072" s="10">
        <v>0</v>
      </c>
      <c r="BF2072" s="10">
        <v>0</v>
      </c>
      <c r="BG2072" s="13">
        <v>45715</v>
      </c>
    </row>
    <row r="2073" spans="49:59" x14ac:dyDescent="0.3">
      <c r="AW2073" s="1">
        <v>23.1</v>
      </c>
      <c r="AX2073" s="1">
        <v>23.1</v>
      </c>
      <c r="AY2073" t="str">
        <v>CP-R80_HI782-0_0.0_LOT0941_PWW08.1_QC.xlsx</v>
      </c>
      <c r="AZ2073" t="str">
        <v>LOT0941</v>
      </c>
      <c r="BA2073" s="3">
        <v>23</v>
      </c>
      <c r="BB2073" t="str">
        <v>P/Prod</v>
      </c>
      <c r="BC2073">
        <v>0</v>
      </c>
      <c r="BD2073" s="10">
        <v>0</v>
      </c>
      <c r="BE2073" s="10">
        <v>0</v>
      </c>
      <c r="BF2073" s="10">
        <v>0</v>
      </c>
      <c r="BG2073" s="13">
        <v>45715</v>
      </c>
    </row>
    <row r="2074" spans="49:59" x14ac:dyDescent="0.3">
      <c r="AW2074" s="1">
        <v>23.1</v>
      </c>
      <c r="AX2074" s="1">
        <v>23.1</v>
      </c>
      <c r="AY2074" t="str">
        <v>CP-R80_HI782-0_0.0_LOT0941_PWW08.1_QC.xlsx</v>
      </c>
      <c r="AZ2074" t="str">
        <v>LOT0941</v>
      </c>
      <c r="BA2074" s="3">
        <v>23</v>
      </c>
      <c r="BB2074" t="str">
        <v>P/Prod</v>
      </c>
      <c r="BC2074">
        <v>0</v>
      </c>
      <c r="BD2074" s="10">
        <v>0</v>
      </c>
      <c r="BE2074" s="10">
        <v>0</v>
      </c>
      <c r="BF2074" s="10">
        <v>0</v>
      </c>
      <c r="BG2074" s="13">
        <v>45715</v>
      </c>
    </row>
    <row r="2075" spans="49:59" x14ac:dyDescent="0.3">
      <c r="AW2075" s="1">
        <v>23.1</v>
      </c>
      <c r="AX2075" s="1">
        <v>23.1</v>
      </c>
      <c r="AY2075" t="str">
        <v>CP-R80_HI782-0_0.0_LOT0941_PWW08.1_QC.xlsx</v>
      </c>
      <c r="AZ2075" t="str">
        <v>LOT0941</v>
      </c>
      <c r="BA2075" s="3">
        <v>23</v>
      </c>
      <c r="BB2075" t="str">
        <v>P/Prod</v>
      </c>
      <c r="BC2075">
        <v>0</v>
      </c>
      <c r="BD2075" s="10">
        <v>0</v>
      </c>
      <c r="BE2075" s="10">
        <v>0</v>
      </c>
      <c r="BF2075" s="10">
        <v>0</v>
      </c>
      <c r="BG2075" s="13">
        <v>45715</v>
      </c>
    </row>
    <row r="2076" spans="49:59" x14ac:dyDescent="0.3">
      <c r="AW2076" s="1">
        <v>23.1</v>
      </c>
      <c r="AX2076" s="1">
        <v>23.1</v>
      </c>
      <c r="AY2076" t="str">
        <v>CP-R80_HI782-0_0.0_LOT0941_PWW08.1_QC.xlsx</v>
      </c>
      <c r="AZ2076" t="str">
        <v>LOT0941</v>
      </c>
      <c r="BA2076" s="3">
        <v>23</v>
      </c>
      <c r="BB2076" t="str">
        <v>P/Prod</v>
      </c>
      <c r="BC2076">
        <v>15</v>
      </c>
      <c r="BD2076" s="10">
        <v>16</v>
      </c>
      <c r="BE2076" s="10">
        <v>16.2</v>
      </c>
      <c r="BF2076" s="10">
        <v>0</v>
      </c>
      <c r="BG2076" s="13">
        <v>45715</v>
      </c>
    </row>
    <row r="2077" spans="49:59" x14ac:dyDescent="0.3">
      <c r="AW2077" s="1">
        <v>23.1</v>
      </c>
      <c r="AX2077" s="1">
        <v>23.1</v>
      </c>
      <c r="AY2077" t="str">
        <v>CP-R80_HI782-0_0.0_LOT0941_PWW08.1_QC.xlsx</v>
      </c>
      <c r="AZ2077" t="str">
        <v>LOT0941</v>
      </c>
      <c r="BA2077" s="3">
        <v>23</v>
      </c>
      <c r="BB2077" t="str">
        <v>P/Prod</v>
      </c>
      <c r="BC2077">
        <v>15</v>
      </c>
      <c r="BD2077" s="10">
        <v>15.8</v>
      </c>
      <c r="BE2077" s="10">
        <v>16</v>
      </c>
      <c r="BF2077" s="10">
        <v>0</v>
      </c>
      <c r="BG2077" s="13">
        <v>45715</v>
      </c>
    </row>
    <row r="2078" spans="49:59" x14ac:dyDescent="0.3">
      <c r="AW2078" s="1">
        <v>23.1</v>
      </c>
      <c r="AX2078" s="1">
        <v>23.1</v>
      </c>
      <c r="AY2078" t="str">
        <v>CP-R80_HI782-0_0.0_LOT0941_PWW08.1_QC.xlsx</v>
      </c>
      <c r="AZ2078" t="str">
        <v>LOT0941</v>
      </c>
      <c r="BA2078" s="3">
        <v>23</v>
      </c>
      <c r="BB2078" t="str">
        <v>P/Prod</v>
      </c>
      <c r="BC2078">
        <v>15</v>
      </c>
      <c r="BD2078" s="10">
        <v>16.7</v>
      </c>
      <c r="BE2078" s="10">
        <v>16.899999999999999</v>
      </c>
      <c r="BF2078" s="10">
        <v>0</v>
      </c>
      <c r="BG2078" s="13">
        <v>45715</v>
      </c>
    </row>
    <row r="2079" spans="49:59" x14ac:dyDescent="0.3">
      <c r="AW2079" s="1">
        <v>23.1</v>
      </c>
      <c r="AX2079" s="1">
        <v>23.1</v>
      </c>
      <c r="AY2079" t="str">
        <v>CP-R80_HI782-0_0.0_LOT0941_PWW08.1_QC.xlsx</v>
      </c>
      <c r="AZ2079" t="str">
        <v>LOT0941</v>
      </c>
      <c r="BA2079" s="3">
        <v>23</v>
      </c>
      <c r="BB2079" t="str">
        <v>P/Prod</v>
      </c>
      <c r="BC2079">
        <v>15</v>
      </c>
      <c r="BD2079" s="10">
        <v>16.8</v>
      </c>
      <c r="BE2079" s="10">
        <v>16.7</v>
      </c>
      <c r="BF2079" s="10">
        <v>0</v>
      </c>
      <c r="BG2079" s="13">
        <v>45715</v>
      </c>
    </row>
    <row r="2080" spans="49:59" x14ac:dyDescent="0.3">
      <c r="AW2080" s="1">
        <v>23.1</v>
      </c>
      <c r="AX2080" s="1">
        <v>23.1</v>
      </c>
      <c r="AY2080" t="str">
        <v>CP-R80_HI782-0_0.0_LOT0941_PWW08.1_QC.xlsx</v>
      </c>
      <c r="AZ2080" t="str">
        <v>LOT0941</v>
      </c>
      <c r="BA2080" s="3">
        <v>23</v>
      </c>
      <c r="BB2080" t="str">
        <v>P/Prod</v>
      </c>
      <c r="BC2080">
        <v>15</v>
      </c>
      <c r="BD2080" s="10">
        <v>14.3</v>
      </c>
      <c r="BE2080" s="10">
        <v>14.2</v>
      </c>
      <c r="BF2080" s="10">
        <v>0</v>
      </c>
      <c r="BG2080" s="13">
        <v>45715</v>
      </c>
    </row>
    <row r="2081" spans="49:59" x14ac:dyDescent="0.3">
      <c r="AW2081" s="1">
        <v>23.1</v>
      </c>
      <c r="AX2081" s="1">
        <v>23.1</v>
      </c>
      <c r="AY2081" t="str">
        <v>CP-R80_HI782-0_0.0_LOT0941_PWW08.1_QC.xlsx</v>
      </c>
      <c r="AZ2081" t="str">
        <v>LOT0941</v>
      </c>
      <c r="BA2081" s="3">
        <v>23</v>
      </c>
      <c r="BB2081" t="str">
        <v>P/Prod</v>
      </c>
      <c r="BC2081">
        <v>15</v>
      </c>
      <c r="BD2081" s="10">
        <v>13.4</v>
      </c>
      <c r="BE2081" s="10">
        <v>13.4</v>
      </c>
      <c r="BF2081" s="10">
        <v>0</v>
      </c>
      <c r="BG2081" s="13">
        <v>45715</v>
      </c>
    </row>
    <row r="2082" spans="49:59" x14ac:dyDescent="0.3">
      <c r="AW2082" s="1">
        <v>23.1</v>
      </c>
      <c r="AX2082" s="1">
        <v>23.1</v>
      </c>
      <c r="AY2082" t="str">
        <v>CP-R80_HI782-0_0.0_LOT0941_PWW08.1_QC.xlsx</v>
      </c>
      <c r="AZ2082" t="str">
        <v>LOT0941</v>
      </c>
      <c r="BA2082" s="3">
        <v>23</v>
      </c>
      <c r="BB2082" t="str">
        <v>P/Prod</v>
      </c>
      <c r="BC2082">
        <v>15</v>
      </c>
      <c r="BD2082" s="10">
        <v>13.6</v>
      </c>
      <c r="BE2082" s="10">
        <v>13.6</v>
      </c>
      <c r="BF2082" s="10">
        <v>0</v>
      </c>
      <c r="BG2082" s="13">
        <v>45715</v>
      </c>
    </row>
    <row r="2083" spans="49:59" x14ac:dyDescent="0.3">
      <c r="AW2083" s="1">
        <v>23.1</v>
      </c>
      <c r="AX2083" s="1">
        <v>23.1</v>
      </c>
      <c r="AY2083" t="str">
        <v>CP-R80_HI782-0_0.0_LOT0941_PWW08.1_QC.xlsx</v>
      </c>
      <c r="AZ2083" t="str">
        <v>LOT0941</v>
      </c>
      <c r="BA2083" s="3">
        <v>23</v>
      </c>
      <c r="BB2083" t="str">
        <v>P/Prod</v>
      </c>
      <c r="BC2083">
        <v>15</v>
      </c>
      <c r="BD2083" s="10">
        <v>14.3</v>
      </c>
      <c r="BE2083" s="10">
        <v>14.5</v>
      </c>
      <c r="BF2083" s="10">
        <v>0</v>
      </c>
      <c r="BG2083" s="13">
        <v>45715</v>
      </c>
    </row>
    <row r="2084" spans="49:59" x14ac:dyDescent="0.3">
      <c r="AW2084" s="1">
        <v>23.1</v>
      </c>
      <c r="AX2084" s="1">
        <v>23.1</v>
      </c>
      <c r="AY2084" t="str">
        <v>CP-R80_HI782-0_0.0_LOT0941_PWW08.1_QC.xlsx</v>
      </c>
      <c r="AZ2084" t="str">
        <v>LOT0941</v>
      </c>
      <c r="BA2084" s="3">
        <v>23</v>
      </c>
      <c r="BB2084" t="str">
        <v>P/Prod</v>
      </c>
      <c r="BC2084">
        <v>15</v>
      </c>
      <c r="BD2084" s="10">
        <v>15.6</v>
      </c>
      <c r="BE2084" s="10">
        <v>15.6</v>
      </c>
      <c r="BF2084" s="10">
        <v>0</v>
      </c>
      <c r="BG2084" s="13">
        <v>45715</v>
      </c>
    </row>
    <row r="2085" spans="49:59" x14ac:dyDescent="0.3">
      <c r="AW2085" s="1">
        <v>23.1</v>
      </c>
      <c r="AX2085" s="1">
        <v>23.1</v>
      </c>
      <c r="AY2085" t="str">
        <v>CP-R80_HI782-0_0.0_LOT0941_PWW08.1_QC.xlsx</v>
      </c>
      <c r="AZ2085" t="str">
        <v>LOT0941</v>
      </c>
      <c r="BA2085" s="3">
        <v>23</v>
      </c>
      <c r="BB2085" t="str">
        <v>P/Prod</v>
      </c>
      <c r="BC2085">
        <v>15</v>
      </c>
      <c r="BD2085" s="10">
        <v>13.9</v>
      </c>
      <c r="BE2085" s="10">
        <v>14</v>
      </c>
      <c r="BF2085" s="10">
        <v>0</v>
      </c>
      <c r="BG2085" s="13">
        <v>45715</v>
      </c>
    </row>
    <row r="2086" spans="49:59" x14ac:dyDescent="0.3">
      <c r="AW2086" s="1">
        <v>23.1</v>
      </c>
      <c r="AX2086" s="1">
        <v>23.1</v>
      </c>
      <c r="AY2086" t="str">
        <v>CP-R80_HI782-0_0.0_LOT0941_PWW08.1_QC.xlsx</v>
      </c>
      <c r="AZ2086" t="str">
        <v>LOT0941</v>
      </c>
      <c r="BA2086" s="3">
        <v>23</v>
      </c>
      <c r="BB2086" t="str">
        <v>P/Prod</v>
      </c>
      <c r="BC2086">
        <v>15</v>
      </c>
      <c r="BD2086" s="10">
        <v>14.6</v>
      </c>
      <c r="BE2086" s="10">
        <v>14.6</v>
      </c>
      <c r="BF2086" s="10">
        <v>0</v>
      </c>
      <c r="BG2086" s="13">
        <v>45715</v>
      </c>
    </row>
    <row r="2087" spans="49:59" x14ac:dyDescent="0.3">
      <c r="AW2087" s="1">
        <v>23.1</v>
      </c>
      <c r="AX2087" s="1">
        <v>23.1</v>
      </c>
      <c r="AY2087" t="str">
        <v>CP-R80_HI782-0_0.0_LOT0941_PWW08.1_QC.xlsx</v>
      </c>
      <c r="AZ2087" t="str">
        <v>LOT0941</v>
      </c>
      <c r="BA2087" s="3">
        <v>23</v>
      </c>
      <c r="BB2087" t="str">
        <v>P/Prod</v>
      </c>
      <c r="BC2087">
        <v>15</v>
      </c>
      <c r="BD2087" s="10">
        <v>16.600000000000001</v>
      </c>
      <c r="BE2087" s="10">
        <v>16.7</v>
      </c>
      <c r="BF2087" s="10">
        <v>0</v>
      </c>
      <c r="BG2087" s="13">
        <v>45715</v>
      </c>
    </row>
    <row r="2088" spans="49:59" x14ac:dyDescent="0.3">
      <c r="AW2088" s="1">
        <v>23.1</v>
      </c>
      <c r="AX2088" s="1">
        <v>23.1</v>
      </c>
      <c r="AY2088" t="str">
        <v>CP-R80_HI782-0_0.0_LOT0941_PWW08.1_QC.xlsx</v>
      </c>
      <c r="AZ2088" t="str">
        <v>LOT0941</v>
      </c>
      <c r="BA2088" s="3">
        <v>23</v>
      </c>
      <c r="BB2088" t="str">
        <v>P/Prod</v>
      </c>
      <c r="BC2088">
        <v>15</v>
      </c>
      <c r="BD2088" s="10">
        <v>14.6</v>
      </c>
      <c r="BE2088" s="10">
        <v>14.2</v>
      </c>
      <c r="BF2088" s="10">
        <v>0</v>
      </c>
      <c r="BG2088" s="13">
        <v>45715</v>
      </c>
    </row>
    <row r="2089" spans="49:59" x14ac:dyDescent="0.3">
      <c r="AW2089" s="1">
        <v>23.1</v>
      </c>
      <c r="AX2089" s="1">
        <v>23.1</v>
      </c>
      <c r="AY2089" t="str">
        <v>CP-R80_HI782-0_0.0_LOT0941_PWW08.1_QC.xlsx</v>
      </c>
      <c r="AZ2089" t="str">
        <v>LOT0941</v>
      </c>
      <c r="BA2089" s="3">
        <v>23</v>
      </c>
      <c r="BB2089" t="str">
        <v>P/Prod</v>
      </c>
      <c r="BC2089">
        <v>15</v>
      </c>
      <c r="BD2089" s="10">
        <v>15.3</v>
      </c>
      <c r="BE2089" s="10">
        <v>15.4</v>
      </c>
      <c r="BF2089" s="10">
        <v>0</v>
      </c>
      <c r="BG2089" s="13">
        <v>45715</v>
      </c>
    </row>
    <row r="2090" spans="49:59" x14ac:dyDescent="0.3">
      <c r="AW2090" s="1">
        <v>23.1</v>
      </c>
      <c r="AX2090" s="1">
        <v>23.1</v>
      </c>
      <c r="AY2090" t="str">
        <v>CP-R80_HI782-0_0.0_LOT0941_PWW08.1_QC.xlsx</v>
      </c>
      <c r="AZ2090" t="str">
        <v>LOT0941</v>
      </c>
      <c r="BA2090" s="3">
        <v>23</v>
      </c>
      <c r="BB2090" t="str">
        <v>P/Prod</v>
      </c>
      <c r="BC2090">
        <v>35</v>
      </c>
      <c r="BD2090" s="10">
        <v>33.299999999999997</v>
      </c>
      <c r="BE2090" s="10">
        <v>33.4</v>
      </c>
      <c r="BF2090" s="10">
        <v>0</v>
      </c>
      <c r="BG2090" s="13">
        <v>45715</v>
      </c>
    </row>
    <row r="2091" spans="49:59" x14ac:dyDescent="0.3">
      <c r="AW2091" s="1">
        <v>23.1</v>
      </c>
      <c r="AX2091" s="1">
        <v>23.1</v>
      </c>
      <c r="AY2091" t="str">
        <v>CP-R80_HI782-0_0.0_LOT0941_PWW08.1_QC.xlsx</v>
      </c>
      <c r="AZ2091" t="str">
        <v>LOT0941</v>
      </c>
      <c r="BA2091" s="3">
        <v>23</v>
      </c>
      <c r="BB2091" t="str">
        <v>P/Prod</v>
      </c>
      <c r="BC2091">
        <v>35</v>
      </c>
      <c r="BD2091" s="10">
        <v>32.6</v>
      </c>
      <c r="BE2091" s="10">
        <v>32.9</v>
      </c>
      <c r="BF2091" s="10">
        <v>0</v>
      </c>
      <c r="BG2091" s="13">
        <v>45715</v>
      </c>
    </row>
    <row r="2092" spans="49:59" x14ac:dyDescent="0.3">
      <c r="AW2092" s="1">
        <v>23.1</v>
      </c>
      <c r="AX2092" s="1">
        <v>23.1</v>
      </c>
      <c r="AY2092" t="str">
        <v>CP-R80_HI782-0_0.0_LOT0941_PWW08.1_QC.xlsx</v>
      </c>
      <c r="AZ2092" t="str">
        <v>LOT0941</v>
      </c>
      <c r="BA2092" s="3">
        <v>23</v>
      </c>
      <c r="BB2092" t="str">
        <v>P/Prod</v>
      </c>
      <c r="BC2092">
        <v>35</v>
      </c>
      <c r="BD2092" s="10">
        <v>37.299999999999997</v>
      </c>
      <c r="BE2092" s="10">
        <v>37.299999999999997</v>
      </c>
      <c r="BF2092" s="10">
        <v>0</v>
      </c>
      <c r="BG2092" s="13">
        <v>45715</v>
      </c>
    </row>
    <row r="2093" spans="49:59" x14ac:dyDescent="0.3">
      <c r="AW2093" s="1">
        <v>23.1</v>
      </c>
      <c r="AX2093" s="1">
        <v>23.1</v>
      </c>
      <c r="AY2093" t="str">
        <v>CP-R80_HI782-0_0.0_LOT0941_PWW08.1_QC.xlsx</v>
      </c>
      <c r="AZ2093" t="str">
        <v>LOT0941</v>
      </c>
      <c r="BA2093" s="3">
        <v>23</v>
      </c>
      <c r="BB2093" t="str">
        <v>P/Prod</v>
      </c>
      <c r="BC2093">
        <v>35</v>
      </c>
      <c r="BD2093" s="10">
        <v>35.6</v>
      </c>
      <c r="BE2093" s="10">
        <v>35.799999999999997</v>
      </c>
      <c r="BF2093" s="10">
        <v>0</v>
      </c>
      <c r="BG2093" s="13">
        <v>45715</v>
      </c>
    </row>
    <row r="2094" spans="49:59" x14ac:dyDescent="0.3">
      <c r="AW2094" s="1">
        <v>23.1</v>
      </c>
      <c r="AX2094" s="1">
        <v>23.1</v>
      </c>
      <c r="AY2094" t="str">
        <v>CP-R80_HI782-0_0.0_LOT0941_PWW08.1_QC.xlsx</v>
      </c>
      <c r="AZ2094" t="str">
        <v>LOT0941</v>
      </c>
      <c r="BA2094" s="3">
        <v>23</v>
      </c>
      <c r="BB2094" t="str">
        <v>P/Prod</v>
      </c>
      <c r="BC2094">
        <v>35</v>
      </c>
      <c r="BD2094" s="10">
        <v>34.6</v>
      </c>
      <c r="BE2094" s="10">
        <v>34.9</v>
      </c>
      <c r="BF2094" s="10">
        <v>0</v>
      </c>
      <c r="BG2094" s="13">
        <v>45715</v>
      </c>
    </row>
    <row r="2095" spans="49:59" x14ac:dyDescent="0.3">
      <c r="AW2095" s="1">
        <v>23.1</v>
      </c>
      <c r="AX2095" s="1">
        <v>23.1</v>
      </c>
      <c r="AY2095" t="str">
        <v>CP-R80_HI782-0_0.0_LOT0941_PWW08.1_QC.xlsx</v>
      </c>
      <c r="AZ2095" t="str">
        <v>LOT0941</v>
      </c>
      <c r="BA2095" s="3">
        <v>23</v>
      </c>
      <c r="BB2095" t="str">
        <v>P/Prod</v>
      </c>
      <c r="BC2095">
        <v>35</v>
      </c>
      <c r="BD2095" s="10">
        <v>34.6</v>
      </c>
      <c r="BE2095" s="10">
        <v>34.700000000000003</v>
      </c>
      <c r="BF2095" s="10">
        <v>0</v>
      </c>
      <c r="BG2095" s="13">
        <v>45715</v>
      </c>
    </row>
    <row r="2096" spans="49:59" x14ac:dyDescent="0.3">
      <c r="AW2096" s="1">
        <v>23.1</v>
      </c>
      <c r="AX2096" s="1">
        <v>23.1</v>
      </c>
      <c r="AY2096" t="str">
        <v>CP-R80_HI782-0_0.0_LOT0941_PWW08.1_QC.xlsx</v>
      </c>
      <c r="AZ2096" t="str">
        <v>LOT0941</v>
      </c>
      <c r="BA2096" s="3">
        <v>23</v>
      </c>
      <c r="BB2096" t="str">
        <v>P/Prod</v>
      </c>
      <c r="BC2096">
        <v>35</v>
      </c>
      <c r="BD2096" s="10">
        <v>35.1</v>
      </c>
      <c r="BE2096" s="10">
        <v>35.5</v>
      </c>
      <c r="BF2096" s="10">
        <v>0</v>
      </c>
      <c r="BG2096" s="13">
        <v>45715</v>
      </c>
    </row>
    <row r="2097" spans="49:59" x14ac:dyDescent="0.3">
      <c r="AW2097" s="1">
        <v>23.1</v>
      </c>
      <c r="AX2097" s="1">
        <v>23.1</v>
      </c>
      <c r="AY2097" t="str">
        <v>CP-R80_HI782-0_0.0_LOT0941_PWW08.1_QC.xlsx</v>
      </c>
      <c r="AZ2097" t="str">
        <v>LOT0941</v>
      </c>
      <c r="BA2097" s="3">
        <v>23</v>
      </c>
      <c r="BB2097" t="str">
        <v>P/Prod</v>
      </c>
      <c r="BC2097">
        <v>35</v>
      </c>
      <c r="BD2097" s="10">
        <v>33.6</v>
      </c>
      <c r="BE2097" s="10">
        <v>33.6</v>
      </c>
      <c r="BF2097" s="10">
        <v>0</v>
      </c>
      <c r="BG2097" s="13">
        <v>45715</v>
      </c>
    </row>
    <row r="2098" spans="49:59" x14ac:dyDescent="0.3">
      <c r="AW2098" s="1">
        <v>23.1</v>
      </c>
      <c r="AX2098" s="1">
        <v>23.1</v>
      </c>
      <c r="AY2098" t="str">
        <v>CP-R80_HI782-0_0.0_LOT0941_PWW08.1_QC.xlsx</v>
      </c>
      <c r="AZ2098" t="str">
        <v>LOT0941</v>
      </c>
      <c r="BA2098" s="3">
        <v>23</v>
      </c>
      <c r="BB2098" t="str">
        <v>P/Prod</v>
      </c>
      <c r="BC2098">
        <v>35</v>
      </c>
      <c r="BD2098" s="10">
        <v>34.200000000000003</v>
      </c>
      <c r="BE2098" s="10">
        <v>34.4</v>
      </c>
      <c r="BF2098" s="10">
        <v>0</v>
      </c>
      <c r="BG2098" s="13">
        <v>45715</v>
      </c>
    </row>
    <row r="2099" spans="49:59" x14ac:dyDescent="0.3">
      <c r="AW2099" s="1">
        <v>23.1</v>
      </c>
      <c r="AX2099" s="1">
        <v>23.1</v>
      </c>
      <c r="AY2099" t="str">
        <v>CP-R80_HI782-0_0.0_LOT0941_PWW08.1_QC.xlsx</v>
      </c>
      <c r="AZ2099" t="str">
        <v>LOT0941</v>
      </c>
      <c r="BA2099" s="3">
        <v>23</v>
      </c>
      <c r="BB2099" t="str">
        <v>P/Prod</v>
      </c>
      <c r="BC2099">
        <v>35</v>
      </c>
      <c r="BD2099" s="10">
        <v>35.6</v>
      </c>
      <c r="BE2099" s="10">
        <v>35.9</v>
      </c>
      <c r="BF2099" s="10">
        <v>0</v>
      </c>
      <c r="BG2099" s="13">
        <v>45715</v>
      </c>
    </row>
    <row r="2100" spans="49:59" x14ac:dyDescent="0.3">
      <c r="AW2100" s="1">
        <v>23.1</v>
      </c>
      <c r="AX2100" s="1">
        <v>23.1</v>
      </c>
      <c r="AY2100" t="str">
        <v>CP-R80_HI782-0_0.0_LOT0941_PWW08.1_QC.xlsx</v>
      </c>
      <c r="AZ2100" t="str">
        <v>LOT0941</v>
      </c>
      <c r="BA2100" s="3">
        <v>23</v>
      </c>
      <c r="BB2100" t="str">
        <v>P/Prod</v>
      </c>
      <c r="BC2100">
        <v>35</v>
      </c>
      <c r="BD2100" s="10">
        <v>34.9</v>
      </c>
      <c r="BE2100" s="10">
        <v>35.200000000000003</v>
      </c>
      <c r="BF2100" s="10">
        <v>0</v>
      </c>
      <c r="BG2100" s="13">
        <v>45715</v>
      </c>
    </row>
    <row r="2101" spans="49:59" x14ac:dyDescent="0.3">
      <c r="AW2101" s="1">
        <v>23.1</v>
      </c>
      <c r="AX2101" s="1">
        <v>23.1</v>
      </c>
      <c r="AY2101" t="str">
        <v>CP-R80_HI782-0_0.0_LOT0941_PWW08.1_QC.xlsx</v>
      </c>
      <c r="AZ2101" t="str">
        <v>LOT0941</v>
      </c>
      <c r="BA2101" s="3">
        <v>23</v>
      </c>
      <c r="BB2101" t="str">
        <v>P/Prod</v>
      </c>
      <c r="BC2101">
        <v>35</v>
      </c>
      <c r="BD2101" s="10">
        <v>34.200000000000003</v>
      </c>
      <c r="BE2101" s="10">
        <v>34.9</v>
      </c>
      <c r="BF2101" s="10">
        <v>0</v>
      </c>
      <c r="BG2101" s="13">
        <v>45715</v>
      </c>
    </row>
    <row r="2102" spans="49:59" x14ac:dyDescent="0.3">
      <c r="AW2102" s="1">
        <v>23.1</v>
      </c>
      <c r="AX2102" s="1">
        <v>23.1</v>
      </c>
      <c r="AY2102" t="str">
        <v>CP-R80_HI782-0_0.0_LOT0941_PWW08.1_QC.xlsx</v>
      </c>
      <c r="AZ2102" t="str">
        <v>LOT0941</v>
      </c>
      <c r="BA2102" s="3">
        <v>23</v>
      </c>
      <c r="BB2102" t="str">
        <v>P/Prod</v>
      </c>
      <c r="BC2102">
        <v>35</v>
      </c>
      <c r="BD2102" s="10">
        <v>37.9</v>
      </c>
      <c r="BE2102" s="10">
        <v>38.4</v>
      </c>
      <c r="BF2102" s="10">
        <v>0</v>
      </c>
      <c r="BG2102" s="13">
        <v>45715</v>
      </c>
    </row>
    <row r="2103" spans="49:59" x14ac:dyDescent="0.3">
      <c r="AW2103" s="1">
        <v>23.1</v>
      </c>
      <c r="AX2103" s="1">
        <v>23.1</v>
      </c>
      <c r="AY2103" t="str">
        <v>CP-R80_HI782-0_0.0_LOT0941_PWW08.1_QC.xlsx</v>
      </c>
      <c r="AZ2103" t="str">
        <v>LOT0941</v>
      </c>
      <c r="BA2103" s="3">
        <v>23</v>
      </c>
      <c r="BB2103" t="str">
        <v>P/Prod</v>
      </c>
      <c r="BC2103">
        <v>35</v>
      </c>
      <c r="BD2103" s="10">
        <v>35.700000000000003</v>
      </c>
      <c r="BE2103" s="10">
        <v>35.6</v>
      </c>
      <c r="BF2103" s="10">
        <v>0</v>
      </c>
      <c r="BG2103" s="13">
        <v>45715</v>
      </c>
    </row>
    <row r="2104" spans="49:59" x14ac:dyDescent="0.3">
      <c r="AW2104" s="1">
        <v>23.1</v>
      </c>
      <c r="AX2104" s="1">
        <v>23.1</v>
      </c>
      <c r="AY2104" t="str">
        <v>CP-R80_HI782-0_0.0_LOT0941_PWW08.1_QC.xlsx</v>
      </c>
      <c r="AZ2104" t="str">
        <v>LOT0941</v>
      </c>
      <c r="BA2104" s="3">
        <v>23</v>
      </c>
      <c r="BB2104" t="str">
        <v>P/Prod</v>
      </c>
      <c r="BC2104">
        <v>60</v>
      </c>
      <c r="BD2104" s="10">
        <v>60.6</v>
      </c>
      <c r="BE2104" s="10">
        <v>60.8</v>
      </c>
      <c r="BF2104" s="10">
        <v>0</v>
      </c>
      <c r="BG2104" s="13">
        <v>45715</v>
      </c>
    </row>
    <row r="2105" spans="49:59" x14ac:dyDescent="0.3">
      <c r="AW2105" s="1">
        <v>23.1</v>
      </c>
      <c r="AX2105" s="1">
        <v>23.1</v>
      </c>
      <c r="AY2105" t="str">
        <v>CP-R80_HI782-0_0.0_LOT0941_PWW08.1_QC.xlsx</v>
      </c>
      <c r="AZ2105" t="str">
        <v>LOT0941</v>
      </c>
      <c r="BA2105" s="3">
        <v>23</v>
      </c>
      <c r="BB2105" t="str">
        <v>P/Prod</v>
      </c>
      <c r="BC2105">
        <v>60</v>
      </c>
      <c r="BD2105" s="10">
        <v>55.4</v>
      </c>
      <c r="BE2105" s="10">
        <v>55.5</v>
      </c>
      <c r="BF2105" s="10">
        <v>0</v>
      </c>
      <c r="BG2105" s="13">
        <v>45715</v>
      </c>
    </row>
    <row r="2106" spans="49:59" x14ac:dyDescent="0.3">
      <c r="AW2106" s="1">
        <v>23.1</v>
      </c>
      <c r="AX2106" s="1">
        <v>23.1</v>
      </c>
      <c r="AY2106" t="str">
        <v>CP-R80_HI782-0_0.0_LOT0941_PWW08.1_QC.xlsx</v>
      </c>
      <c r="AZ2106" t="str">
        <v>LOT0941</v>
      </c>
      <c r="BA2106" s="3">
        <v>23</v>
      </c>
      <c r="BB2106" t="str">
        <v>P/Prod</v>
      </c>
      <c r="BC2106">
        <v>60</v>
      </c>
      <c r="BD2106" s="10">
        <v>59.2</v>
      </c>
      <c r="BE2106" s="10">
        <v>59.3</v>
      </c>
      <c r="BF2106" s="10">
        <v>0</v>
      </c>
      <c r="BG2106" s="13">
        <v>45715</v>
      </c>
    </row>
    <row r="2107" spans="49:59" x14ac:dyDescent="0.3">
      <c r="AW2107" s="1">
        <v>23.1</v>
      </c>
      <c r="AX2107" s="1">
        <v>23.1</v>
      </c>
      <c r="AY2107" t="str">
        <v>CP-R80_HI782-0_0.0_LOT0941_PWW08.1_QC.xlsx</v>
      </c>
      <c r="AZ2107" t="str">
        <v>LOT0941</v>
      </c>
      <c r="BA2107" s="3">
        <v>23</v>
      </c>
      <c r="BB2107" t="str">
        <v>P/Prod</v>
      </c>
      <c r="BC2107">
        <v>60</v>
      </c>
      <c r="BD2107" s="10">
        <v>60.4</v>
      </c>
      <c r="BE2107" s="10">
        <v>60.9</v>
      </c>
      <c r="BF2107" s="10">
        <v>0</v>
      </c>
      <c r="BG2107" s="13">
        <v>45715</v>
      </c>
    </row>
    <row r="2108" spans="49:59" x14ac:dyDescent="0.3">
      <c r="AW2108" s="1">
        <v>23.1</v>
      </c>
      <c r="AX2108" s="1">
        <v>23.1</v>
      </c>
      <c r="AY2108" t="str">
        <v>CP-R80_HI782-0_0.0_LOT0941_PWW08.1_QC.xlsx</v>
      </c>
      <c r="AZ2108" t="str">
        <v>LOT0941</v>
      </c>
      <c r="BA2108" s="3">
        <v>23</v>
      </c>
      <c r="BB2108" t="str">
        <v>P/Prod</v>
      </c>
      <c r="BC2108">
        <v>60</v>
      </c>
      <c r="BD2108" s="10">
        <v>56.5</v>
      </c>
      <c r="BE2108" s="10">
        <v>57.3</v>
      </c>
      <c r="BF2108" s="10">
        <v>0</v>
      </c>
      <c r="BG2108" s="13">
        <v>45715</v>
      </c>
    </row>
    <row r="2109" spans="49:59" x14ac:dyDescent="0.3">
      <c r="AW2109" s="1">
        <v>23.1</v>
      </c>
      <c r="AX2109" s="1">
        <v>23.1</v>
      </c>
      <c r="AY2109" t="str">
        <v>CP-R80_HI782-0_0.0_LOT0941_PWW08.1_QC.xlsx</v>
      </c>
      <c r="AZ2109" t="str">
        <v>LOT0941</v>
      </c>
      <c r="BA2109" s="3">
        <v>23</v>
      </c>
      <c r="BB2109" t="str">
        <v>P/Prod</v>
      </c>
      <c r="BC2109">
        <v>60</v>
      </c>
      <c r="BD2109" s="10">
        <v>53.6</v>
      </c>
      <c r="BE2109" s="10">
        <v>53.7</v>
      </c>
      <c r="BF2109" s="10">
        <v>0</v>
      </c>
      <c r="BG2109" s="13">
        <v>45715</v>
      </c>
    </row>
    <row r="2110" spans="49:59" x14ac:dyDescent="0.3">
      <c r="AW2110" s="1">
        <v>23.1</v>
      </c>
      <c r="AX2110" s="1">
        <v>23.1</v>
      </c>
      <c r="AY2110" t="str">
        <v>CP-R80_HI782-0_0.0_LOT0941_PWW08.1_QC.xlsx</v>
      </c>
      <c r="AZ2110" t="str">
        <v>LOT0941</v>
      </c>
      <c r="BA2110" s="3">
        <v>23</v>
      </c>
      <c r="BB2110" t="str">
        <v>P/Prod</v>
      </c>
      <c r="BC2110">
        <v>60</v>
      </c>
      <c r="BD2110" s="10">
        <v>53.9</v>
      </c>
      <c r="BE2110" s="10">
        <v>54</v>
      </c>
      <c r="BF2110" s="10">
        <v>0</v>
      </c>
      <c r="BG2110" s="13">
        <v>45715</v>
      </c>
    </row>
    <row r="2111" spans="49:59" x14ac:dyDescent="0.3">
      <c r="AW2111" s="1">
        <v>23.1</v>
      </c>
      <c r="AX2111" s="1">
        <v>23.1</v>
      </c>
      <c r="AY2111" t="str">
        <v>CP-R80_HI782-0_0.0_LOT0941_PWW08.1_QC.xlsx</v>
      </c>
      <c r="AZ2111" t="str">
        <v>LOT0941</v>
      </c>
      <c r="BA2111" s="3">
        <v>23</v>
      </c>
      <c r="BB2111" t="str">
        <v>P/Prod</v>
      </c>
      <c r="BC2111">
        <v>60</v>
      </c>
      <c r="BD2111" s="10">
        <v>55.8</v>
      </c>
      <c r="BE2111" s="10">
        <v>55.9</v>
      </c>
      <c r="BF2111" s="10">
        <v>0</v>
      </c>
      <c r="BG2111" s="13">
        <v>45715</v>
      </c>
    </row>
    <row r="2112" spans="49:59" x14ac:dyDescent="0.3">
      <c r="AW2112" s="1">
        <v>23.1</v>
      </c>
      <c r="AX2112" s="1">
        <v>23.1</v>
      </c>
      <c r="AY2112" t="str">
        <v>CP-R80_HI782-0_0.0_LOT0941_PWW08.1_QC.xlsx</v>
      </c>
      <c r="AZ2112" t="str">
        <v>LOT0941</v>
      </c>
      <c r="BA2112" s="3">
        <v>23</v>
      </c>
      <c r="BB2112" t="str">
        <v>P/Prod</v>
      </c>
      <c r="BC2112">
        <v>60</v>
      </c>
      <c r="BD2112" s="10">
        <v>55.7</v>
      </c>
      <c r="BE2112" s="10">
        <v>55.8</v>
      </c>
      <c r="BF2112" s="10">
        <v>0</v>
      </c>
      <c r="BG2112" s="13">
        <v>45715</v>
      </c>
    </row>
    <row r="2113" spans="49:59" x14ac:dyDescent="0.3">
      <c r="AW2113" s="1">
        <v>23.1</v>
      </c>
      <c r="AX2113" s="1">
        <v>23.1</v>
      </c>
      <c r="AY2113" t="str">
        <v>CP-R80_HI782-0_0.0_LOT0941_PWW08.1_QC.xlsx</v>
      </c>
      <c r="AZ2113" t="str">
        <v>LOT0941</v>
      </c>
      <c r="BA2113" s="3">
        <v>23</v>
      </c>
      <c r="BB2113" t="str">
        <v>P/Prod</v>
      </c>
      <c r="BC2113">
        <v>60</v>
      </c>
      <c r="BD2113" s="10">
        <v>56.3</v>
      </c>
      <c r="BE2113" s="10">
        <v>56.2</v>
      </c>
      <c r="BF2113" s="10">
        <v>0</v>
      </c>
      <c r="BG2113" s="13">
        <v>45715</v>
      </c>
    </row>
    <row r="2114" spans="49:59" x14ac:dyDescent="0.3">
      <c r="AW2114" s="1">
        <v>23.1</v>
      </c>
      <c r="AX2114" s="1">
        <v>23.1</v>
      </c>
      <c r="AY2114" t="str">
        <v>CP-R80_HI782-0_0.0_LOT0941_PWW08.1_QC.xlsx</v>
      </c>
      <c r="AZ2114" t="str">
        <v>LOT0941</v>
      </c>
      <c r="BA2114" s="3">
        <v>23</v>
      </c>
      <c r="BB2114" t="str">
        <v>P/Prod</v>
      </c>
      <c r="BC2114">
        <v>60</v>
      </c>
      <c r="BD2114" s="10">
        <v>53.6</v>
      </c>
      <c r="BE2114" s="10">
        <v>53.8</v>
      </c>
      <c r="BF2114" s="10">
        <v>0</v>
      </c>
      <c r="BG2114" s="13">
        <v>45715</v>
      </c>
    </row>
    <row r="2115" spans="49:59" x14ac:dyDescent="0.3">
      <c r="AW2115" s="1">
        <v>23.1</v>
      </c>
      <c r="AX2115" s="1">
        <v>23.1</v>
      </c>
      <c r="AY2115" t="str">
        <v>CP-R80_HI782-0_0.0_LOT0941_PWW08.1_QC.xlsx</v>
      </c>
      <c r="AZ2115" t="str">
        <v>LOT0941</v>
      </c>
      <c r="BA2115" s="3">
        <v>23</v>
      </c>
      <c r="BB2115" t="str">
        <v>P/Prod</v>
      </c>
      <c r="BC2115">
        <v>60</v>
      </c>
      <c r="BD2115" s="10">
        <v>55.3</v>
      </c>
      <c r="BE2115" s="10">
        <v>55.4</v>
      </c>
      <c r="BF2115" s="10">
        <v>0</v>
      </c>
      <c r="BG2115" s="13">
        <v>45715</v>
      </c>
    </row>
    <row r="2116" spans="49:59" x14ac:dyDescent="0.3">
      <c r="AW2116" s="1">
        <v>23.1</v>
      </c>
      <c r="AX2116" s="1">
        <v>23.1</v>
      </c>
      <c r="AY2116" t="str">
        <v>CP-R80_HI782-0_0.0_LOT0941_PWW08.1_QC.xlsx</v>
      </c>
      <c r="AZ2116" t="str">
        <v>LOT0941</v>
      </c>
      <c r="BA2116" s="3">
        <v>23</v>
      </c>
      <c r="BB2116" t="str">
        <v>P/Prod</v>
      </c>
      <c r="BC2116">
        <v>60</v>
      </c>
      <c r="BD2116" s="10">
        <v>56.2</v>
      </c>
      <c r="BE2116" s="10">
        <v>56.8</v>
      </c>
      <c r="BF2116" s="10">
        <v>0</v>
      </c>
      <c r="BG2116" s="13">
        <v>45715</v>
      </c>
    </row>
    <row r="2117" spans="49:59" x14ac:dyDescent="0.3">
      <c r="AW2117" s="1">
        <v>23.1</v>
      </c>
      <c r="AX2117" s="1">
        <v>23.1</v>
      </c>
      <c r="AY2117" t="str">
        <v>CP-R80_HI782-0_0.0_LOT0941_PWW08.1_QC.xlsx</v>
      </c>
      <c r="AZ2117" t="str">
        <v>LOT0941</v>
      </c>
      <c r="BA2117" s="3">
        <v>23</v>
      </c>
      <c r="BB2117" t="str">
        <v>P/Prod</v>
      </c>
      <c r="BC2117">
        <v>60</v>
      </c>
      <c r="BD2117" s="10">
        <v>54.7</v>
      </c>
      <c r="BE2117" s="10">
        <v>55.6</v>
      </c>
      <c r="BF2117" s="10">
        <v>0</v>
      </c>
      <c r="BG2117" s="13">
        <v>45715</v>
      </c>
    </row>
    <row r="2118" spans="49:59" x14ac:dyDescent="0.3">
      <c r="AW2118" s="1">
        <v>23.1</v>
      </c>
      <c r="AX2118" s="1">
        <v>23.1</v>
      </c>
      <c r="AY2118" t="str">
        <v>CP-R80_HI782-0_0.0_LOT0941_PWW08.1_QC.xlsx</v>
      </c>
      <c r="AZ2118" t="str">
        <v>LOT0941</v>
      </c>
      <c r="BA2118" s="3">
        <v>23</v>
      </c>
      <c r="BB2118" t="str">
        <v>P/Prod</v>
      </c>
      <c r="BC2118">
        <v>60</v>
      </c>
      <c r="BD2118" s="10">
        <v>62.1</v>
      </c>
      <c r="BE2118" s="10">
        <v>62.5</v>
      </c>
      <c r="BF2118" s="10">
        <v>0</v>
      </c>
      <c r="BG2118" s="13">
        <v>45715</v>
      </c>
    </row>
    <row r="2119" spans="49:59" x14ac:dyDescent="0.3">
      <c r="AW2119" s="1">
        <v>23.1</v>
      </c>
      <c r="AX2119" s="1">
        <v>23.1</v>
      </c>
      <c r="AY2119" t="str">
        <v>CP-R80_HI782-0_0.0_LOT0941_PWW08.1_QC.xlsx</v>
      </c>
      <c r="AZ2119" t="str">
        <v>LOT0941</v>
      </c>
      <c r="BA2119" s="3">
        <v>23</v>
      </c>
      <c r="BB2119" t="str">
        <v>P/Prod</v>
      </c>
      <c r="BC2119">
        <v>60</v>
      </c>
      <c r="BD2119" s="10">
        <v>57.9</v>
      </c>
      <c r="BE2119" s="10">
        <v>57.9</v>
      </c>
      <c r="BF2119" s="10">
        <v>0</v>
      </c>
      <c r="BG2119" s="13">
        <v>45715</v>
      </c>
    </row>
    <row r="2120" spans="49:59" x14ac:dyDescent="0.3">
      <c r="AW2120" s="1">
        <v>23.1</v>
      </c>
      <c r="AX2120" s="1">
        <v>23.1</v>
      </c>
      <c r="AY2120" t="str">
        <v>CP-R80_HI782-0_0.0_LOT0941_PWW08.1_QC.xlsx</v>
      </c>
      <c r="AZ2120" t="str">
        <v>LOT0941</v>
      </c>
      <c r="BA2120" s="3">
        <v>23</v>
      </c>
      <c r="BB2120" t="str">
        <v>P/Prod</v>
      </c>
      <c r="BC2120">
        <v>60</v>
      </c>
      <c r="BD2120" s="10">
        <v>55.7</v>
      </c>
      <c r="BE2120" s="10">
        <v>55.8</v>
      </c>
      <c r="BF2120" s="10">
        <v>0</v>
      </c>
      <c r="BG2120" s="13">
        <v>45715</v>
      </c>
    </row>
    <row r="2121" spans="49:59" x14ac:dyDescent="0.3">
      <c r="AW2121" s="1">
        <v>23.1</v>
      </c>
      <c r="AX2121" s="1">
        <v>23.1</v>
      </c>
      <c r="AY2121" t="str">
        <v>CP-R80_HI782-0_0.0_LOT0941_PWW08.1_QC.xlsx</v>
      </c>
      <c r="AZ2121" t="str">
        <v>LOT0941</v>
      </c>
      <c r="BA2121" s="3">
        <v>23</v>
      </c>
      <c r="BB2121" t="str">
        <v>P/Prod</v>
      </c>
      <c r="BC2121">
        <v>60</v>
      </c>
      <c r="BD2121" s="10">
        <v>59.7</v>
      </c>
      <c r="BE2121" s="10">
        <v>60.8</v>
      </c>
      <c r="BF2121" s="10">
        <v>0</v>
      </c>
      <c r="BG2121" s="13">
        <v>45715</v>
      </c>
    </row>
    <row r="2122" spans="49:59" x14ac:dyDescent="0.3">
      <c r="AW2122" s="1">
        <v>23.1</v>
      </c>
      <c r="AX2122" s="1">
        <v>23.1</v>
      </c>
      <c r="AY2122" t="str">
        <v>CP-R80_HI782-0_0.0_LOT0941_PWW08.1_QC.xlsx</v>
      </c>
      <c r="AZ2122" t="str">
        <v>LOT0941</v>
      </c>
      <c r="BA2122" s="3">
        <v>23</v>
      </c>
      <c r="BB2122" t="str">
        <v>P/Prod</v>
      </c>
      <c r="BC2122">
        <v>15</v>
      </c>
      <c r="BD2122" s="10">
        <v>13.5</v>
      </c>
      <c r="BE2122" s="10">
        <v>13.6</v>
      </c>
      <c r="BF2122" s="10">
        <v>0</v>
      </c>
      <c r="BG2122" s="13">
        <v>45716</v>
      </c>
    </row>
    <row r="2123" spans="49:59" x14ac:dyDescent="0.3">
      <c r="AW2123" s="1">
        <v>23.1</v>
      </c>
      <c r="AX2123" s="1">
        <v>23.1</v>
      </c>
      <c r="AY2123" t="str">
        <v>CP-R80_HI782-0_0.0_LOT0941_PWW08.1_QC.xlsx</v>
      </c>
      <c r="AZ2123" t="str">
        <v>LOT0941</v>
      </c>
      <c r="BA2123" s="3">
        <v>23</v>
      </c>
      <c r="BB2123" t="str">
        <v>P/Prod</v>
      </c>
      <c r="BC2123">
        <v>15</v>
      </c>
      <c r="BD2123" s="10">
        <v>15</v>
      </c>
      <c r="BE2123" s="10">
        <v>15.2</v>
      </c>
      <c r="BF2123" s="10">
        <v>0</v>
      </c>
      <c r="BG2123" s="13">
        <v>45716</v>
      </c>
    </row>
    <row r="2124" spans="49:59" x14ac:dyDescent="0.3">
      <c r="AW2124" s="1">
        <v>23.1</v>
      </c>
      <c r="AX2124" s="1">
        <v>23.1</v>
      </c>
      <c r="AY2124" t="str">
        <v>CP-R80_HI782-0_0.0_LOT0941_PWW08.1_QC.xlsx</v>
      </c>
      <c r="AZ2124" t="str">
        <v>LOT0941</v>
      </c>
      <c r="BA2124" s="3">
        <v>23</v>
      </c>
      <c r="BB2124" t="str">
        <v>P/Prod</v>
      </c>
      <c r="BC2124">
        <v>15</v>
      </c>
      <c r="BD2124" s="10">
        <v>13.3</v>
      </c>
      <c r="BE2124" s="10">
        <v>13.6</v>
      </c>
      <c r="BF2124" s="10">
        <v>0</v>
      </c>
      <c r="BG2124" s="13">
        <v>45716</v>
      </c>
    </row>
    <row r="2125" spans="49:59" x14ac:dyDescent="0.3">
      <c r="AW2125" s="1">
        <v>23.1</v>
      </c>
      <c r="AX2125" s="1">
        <v>23.1</v>
      </c>
      <c r="AY2125" t="str">
        <v>CP-R80_HI782-0_0.0_LOT0941_PWW08.1_QC.xlsx</v>
      </c>
      <c r="AZ2125" t="str">
        <v>LOT0941</v>
      </c>
      <c r="BA2125" s="3">
        <v>23</v>
      </c>
      <c r="BB2125" t="str">
        <v>P/Prod</v>
      </c>
      <c r="BC2125">
        <v>15</v>
      </c>
      <c r="BD2125" s="10">
        <v>13.1</v>
      </c>
      <c r="BE2125" s="10">
        <v>13.4</v>
      </c>
      <c r="BF2125" s="10">
        <v>0</v>
      </c>
      <c r="BG2125" s="13">
        <v>45716</v>
      </c>
    </row>
    <row r="2126" spans="49:59" x14ac:dyDescent="0.3">
      <c r="AW2126" s="1">
        <v>23.1</v>
      </c>
      <c r="AX2126" s="1">
        <v>23.1</v>
      </c>
      <c r="AY2126" t="str">
        <v>CP-R80_HI782-0_0.0_LOT0941_PWW08.1_QC.xlsx</v>
      </c>
      <c r="AZ2126" t="str">
        <v>LOT0941</v>
      </c>
      <c r="BA2126" s="3">
        <v>23</v>
      </c>
      <c r="BB2126" t="str">
        <v>P/Prod</v>
      </c>
      <c r="BC2126">
        <v>15</v>
      </c>
      <c r="BD2126" s="10">
        <v>12.7</v>
      </c>
      <c r="BE2126" s="10">
        <v>12.8</v>
      </c>
      <c r="BF2126" s="10">
        <v>0</v>
      </c>
      <c r="BG2126" s="13">
        <v>45716</v>
      </c>
    </row>
    <row r="2127" spans="49:59" x14ac:dyDescent="0.3">
      <c r="AW2127" s="1">
        <v>23.1</v>
      </c>
      <c r="AX2127" s="1">
        <v>23.1</v>
      </c>
      <c r="AY2127" t="str">
        <v>CP-R80_HI782-0_0.0_LOT0941_PWW08.1_QC.xlsx</v>
      </c>
      <c r="AZ2127" t="str">
        <v>LOT0941</v>
      </c>
      <c r="BA2127" s="3">
        <v>23</v>
      </c>
      <c r="BB2127" t="str">
        <v>P/Prod</v>
      </c>
      <c r="BC2127">
        <v>15</v>
      </c>
      <c r="BD2127" s="10">
        <v>14.8</v>
      </c>
      <c r="BE2127" s="10">
        <v>14.7</v>
      </c>
      <c r="BF2127" s="10">
        <v>0</v>
      </c>
      <c r="BG2127" s="13">
        <v>45716</v>
      </c>
    </row>
    <row r="2128" spans="49:59" x14ac:dyDescent="0.3">
      <c r="AW2128" s="1">
        <v>23.1</v>
      </c>
      <c r="AX2128" s="1">
        <v>23.1</v>
      </c>
      <c r="AY2128" t="str">
        <v>CP-R80_HI782-0_0.0_LOT0941_PWW08.1_QC.xlsx</v>
      </c>
      <c r="AZ2128" t="str">
        <v>LOT0941</v>
      </c>
      <c r="BA2128" s="3">
        <v>23</v>
      </c>
      <c r="BB2128" t="str">
        <v>P/Prod</v>
      </c>
      <c r="BC2128">
        <v>35</v>
      </c>
      <c r="BD2128" s="10">
        <v>32.6</v>
      </c>
      <c r="BE2128" s="10">
        <v>32.799999999999997</v>
      </c>
      <c r="BF2128" s="10">
        <v>0</v>
      </c>
      <c r="BG2128" s="13">
        <v>45716</v>
      </c>
    </row>
    <row r="2129" spans="49:59" x14ac:dyDescent="0.3">
      <c r="AW2129" s="1">
        <v>23.1</v>
      </c>
      <c r="AX2129" s="1">
        <v>23.1</v>
      </c>
      <c r="AY2129" t="str">
        <v>CP-R80_HI782-0_0.0_LOT0941_PWW08.1_QC.xlsx</v>
      </c>
      <c r="AZ2129" t="str">
        <v>LOT0941</v>
      </c>
      <c r="BA2129" s="3">
        <v>23</v>
      </c>
      <c r="BB2129" t="str">
        <v>P/Prod</v>
      </c>
      <c r="BC2129">
        <v>35</v>
      </c>
      <c r="BD2129" s="10">
        <v>31.5</v>
      </c>
      <c r="BE2129" s="10">
        <v>33</v>
      </c>
      <c r="BF2129" s="10">
        <v>0</v>
      </c>
      <c r="BG2129" s="13">
        <v>45716</v>
      </c>
    </row>
    <row r="2130" spans="49:59" x14ac:dyDescent="0.3">
      <c r="AW2130" s="1">
        <v>23.1</v>
      </c>
      <c r="AX2130" s="1">
        <v>23.1</v>
      </c>
      <c r="AY2130" t="str">
        <v>CP-R80_HI782-0_0.0_LOT0941_PWW08.1_QC.xlsx</v>
      </c>
      <c r="AZ2130" t="str">
        <v>LOT0941</v>
      </c>
      <c r="BA2130" s="3">
        <v>23</v>
      </c>
      <c r="BB2130" t="str">
        <v>P/Prod</v>
      </c>
      <c r="BC2130">
        <v>35</v>
      </c>
      <c r="BD2130" s="10">
        <v>31.5</v>
      </c>
      <c r="BE2130" s="10">
        <v>33</v>
      </c>
      <c r="BF2130" s="10">
        <v>0</v>
      </c>
      <c r="BG2130" s="13">
        <v>45716</v>
      </c>
    </row>
    <row r="2131" spans="49:59" x14ac:dyDescent="0.3">
      <c r="AW2131" s="1">
        <v>23.1</v>
      </c>
      <c r="AX2131" s="1">
        <v>23.1</v>
      </c>
      <c r="AY2131" t="str">
        <v>CP-R80_HI782-0_0.0_LOT0941_PWW08.1_QC.xlsx</v>
      </c>
      <c r="AZ2131" t="str">
        <v>LOT0941</v>
      </c>
      <c r="BA2131" s="3">
        <v>23</v>
      </c>
      <c r="BB2131" t="str">
        <v>P/Prod</v>
      </c>
      <c r="BC2131">
        <v>35</v>
      </c>
      <c r="BD2131" s="10">
        <v>32.299999999999997</v>
      </c>
      <c r="BE2131" s="10">
        <v>33</v>
      </c>
      <c r="BF2131" s="10">
        <v>0</v>
      </c>
      <c r="BG2131" s="13">
        <v>45716</v>
      </c>
    </row>
    <row r="2132" spans="49:59" x14ac:dyDescent="0.3">
      <c r="AW2132" s="1">
        <v>23.1</v>
      </c>
      <c r="AX2132" s="1">
        <v>23.1</v>
      </c>
      <c r="AY2132" t="str">
        <v>CP-R80_HI782-0_0.0_LOT0941_PWW08.1_QC.xlsx</v>
      </c>
      <c r="AZ2132" t="str">
        <v>LOT0941</v>
      </c>
      <c r="BA2132" s="3">
        <v>23</v>
      </c>
      <c r="BB2132" t="str">
        <v>P/Prod</v>
      </c>
      <c r="BC2132">
        <v>35</v>
      </c>
      <c r="BD2132" s="10">
        <v>33.1</v>
      </c>
      <c r="BE2132" s="10">
        <v>33.200000000000003</v>
      </c>
      <c r="BF2132" s="10">
        <v>0</v>
      </c>
      <c r="BG2132" s="13">
        <v>45716</v>
      </c>
    </row>
    <row r="2133" spans="49:59" x14ac:dyDescent="0.3">
      <c r="AW2133" s="1">
        <v>23.1</v>
      </c>
      <c r="AX2133" s="1">
        <v>23.1</v>
      </c>
      <c r="AY2133" t="str">
        <v>CP-R80_HI782-0_0.0_LOT0941_PWW08.1_QC.xlsx</v>
      </c>
      <c r="AZ2133" t="str">
        <v>LOT0941</v>
      </c>
      <c r="BA2133" s="3">
        <v>23</v>
      </c>
      <c r="BB2133" t="str">
        <v>P/Prod</v>
      </c>
      <c r="BC2133">
        <v>35</v>
      </c>
      <c r="BD2133" s="10">
        <v>35.299999999999997</v>
      </c>
      <c r="BE2133" s="10">
        <v>35.6</v>
      </c>
      <c r="BF2133" s="10">
        <v>0</v>
      </c>
      <c r="BG2133" s="13">
        <v>45716</v>
      </c>
    </row>
    <row r="2134" spans="49:59" x14ac:dyDescent="0.3">
      <c r="AW2134" s="1">
        <v>23.1</v>
      </c>
      <c r="AX2134" s="1">
        <v>23.1</v>
      </c>
      <c r="AY2134" t="str">
        <v>CP-R80_HI782-0_0.0_LOT0941_PWW08.1_QC.xlsx</v>
      </c>
      <c r="AZ2134" t="str">
        <v>LOT0941</v>
      </c>
      <c r="BA2134" s="3">
        <v>23</v>
      </c>
      <c r="BB2134" t="str">
        <v>P/Prod</v>
      </c>
      <c r="BC2134">
        <v>60</v>
      </c>
      <c r="BD2134" s="10">
        <v>56.2</v>
      </c>
      <c r="BE2134" s="10">
        <v>55.9</v>
      </c>
      <c r="BF2134" s="10">
        <v>0</v>
      </c>
      <c r="BG2134" s="13">
        <v>45716</v>
      </c>
    </row>
    <row r="2135" spans="49:59" x14ac:dyDescent="0.3">
      <c r="AW2135" s="1">
        <v>23.1</v>
      </c>
      <c r="AX2135" s="1">
        <v>23.1</v>
      </c>
      <c r="AY2135" t="str">
        <v>CP-R80_HI782-0_0.0_LOT0941_PWW08.1_QC.xlsx</v>
      </c>
      <c r="AZ2135" t="str">
        <v>LOT0941</v>
      </c>
      <c r="BA2135" s="3">
        <v>23</v>
      </c>
      <c r="BB2135" t="str">
        <v>P/Prod</v>
      </c>
      <c r="BC2135">
        <v>60</v>
      </c>
      <c r="BD2135" s="10">
        <v>55.1</v>
      </c>
      <c r="BE2135" s="10">
        <v>55.4</v>
      </c>
      <c r="BF2135" s="10">
        <v>0</v>
      </c>
      <c r="BG2135" s="13">
        <v>45716</v>
      </c>
    </row>
    <row r="2136" spans="49:59" x14ac:dyDescent="0.3">
      <c r="AW2136" s="1">
        <v>23.1</v>
      </c>
      <c r="AX2136" s="1">
        <v>23.1</v>
      </c>
      <c r="AY2136" t="str">
        <v>CP-R80_HI782-0_0.0_LOT0941_PWW08.1_QC.xlsx</v>
      </c>
      <c r="AZ2136" t="str">
        <v>LOT0941</v>
      </c>
      <c r="BA2136" s="3">
        <v>23</v>
      </c>
      <c r="BB2136" t="str">
        <v>P/Prod</v>
      </c>
      <c r="BC2136">
        <v>60</v>
      </c>
      <c r="BD2136" s="10">
        <v>60</v>
      </c>
      <c r="BE2136" s="10">
        <v>60</v>
      </c>
      <c r="BF2136" s="10">
        <v>0</v>
      </c>
      <c r="BG2136" s="13">
        <v>45716</v>
      </c>
    </row>
    <row r="2137" spans="49:59" x14ac:dyDescent="0.3">
      <c r="AW2137" s="1">
        <v>23.1</v>
      </c>
      <c r="AX2137" s="1">
        <v>23.1</v>
      </c>
      <c r="AY2137" t="str">
        <v>CP-R80_HI782-0_0.0_LOT0941_PWW08.1_QC.xlsx</v>
      </c>
      <c r="AZ2137" t="str">
        <v>LOT0941</v>
      </c>
      <c r="BA2137" s="3">
        <v>23</v>
      </c>
      <c r="BB2137" t="str">
        <v>P/Prod</v>
      </c>
      <c r="BC2137">
        <v>60</v>
      </c>
      <c r="BD2137" s="10">
        <v>53.4</v>
      </c>
      <c r="BE2137" s="10">
        <v>53.4</v>
      </c>
      <c r="BF2137" s="10">
        <v>0</v>
      </c>
      <c r="BG2137" s="13">
        <v>45716</v>
      </c>
    </row>
    <row r="2138" spans="49:59" x14ac:dyDescent="0.3">
      <c r="AW2138" s="1">
        <v>23.1</v>
      </c>
      <c r="AX2138" s="1">
        <v>23.1</v>
      </c>
      <c r="AY2138" t="str">
        <v>CP-R80_HI782-0_0.0_LOT0941_PWW08.1_QC.xlsx</v>
      </c>
      <c r="AZ2138" t="str">
        <v>LOT0941</v>
      </c>
      <c r="BA2138" s="3">
        <v>23</v>
      </c>
      <c r="BB2138" t="str">
        <v>P/Prod</v>
      </c>
      <c r="BC2138">
        <v>60</v>
      </c>
      <c r="BD2138" s="10">
        <v>57.2</v>
      </c>
      <c r="BE2138" s="10">
        <v>57.5</v>
      </c>
      <c r="BF2138" s="10">
        <v>0</v>
      </c>
      <c r="BG2138" s="13">
        <v>45716</v>
      </c>
    </row>
    <row r="2139" spans="49:59" x14ac:dyDescent="0.3">
      <c r="AW2139" s="1">
        <v>23.1</v>
      </c>
      <c r="AX2139" s="1">
        <v>23.1</v>
      </c>
      <c r="AY2139" t="str">
        <v>CP-R80_HI782-0_0.0_LOT0941_PWW08.1_QC.xlsx</v>
      </c>
      <c r="AZ2139" t="str">
        <v>LOT0941</v>
      </c>
      <c r="BA2139" s="3">
        <v>23</v>
      </c>
      <c r="BB2139" t="str">
        <v>P/Prod</v>
      </c>
      <c r="BC2139">
        <v>60</v>
      </c>
      <c r="BD2139" s="10">
        <v>54</v>
      </c>
      <c r="BE2139" s="10">
        <v>59</v>
      </c>
      <c r="BF2139" s="10">
        <v>0</v>
      </c>
      <c r="BG2139" s="13">
        <v>45716</v>
      </c>
    </row>
    <row r="2140" spans="49:59" x14ac:dyDescent="0.3">
      <c r="AW2140" s="1">
        <v>24.1</v>
      </c>
      <c r="AX2140" s="1">
        <v>24.1</v>
      </c>
      <c r="AY2140" t="str">
        <v>CP-R80_HI782-0_0.0_LOT0970_PWW.12.1_QC.xlsx</v>
      </c>
      <c r="AZ2140" t="str">
        <v>LOT0970</v>
      </c>
      <c r="BA2140" s="3">
        <v>24</v>
      </c>
      <c r="BB2140" t="str">
        <v>P/Prod</v>
      </c>
      <c r="BC2140">
        <v>0</v>
      </c>
      <c r="BD2140" s="10">
        <v>0</v>
      </c>
      <c r="BE2140" s="10">
        <v>0</v>
      </c>
      <c r="BF2140" s="10">
        <v>0</v>
      </c>
      <c r="BG2140" s="13">
        <v>45740</v>
      </c>
    </row>
    <row r="2141" spans="49:59" x14ac:dyDescent="0.3">
      <c r="AW2141" s="1">
        <v>24.1</v>
      </c>
      <c r="AX2141" s="1">
        <v>24.1</v>
      </c>
      <c r="AY2141" t="str">
        <v>CP-R80_HI782-0_0.0_LOT0970_PWW.12.1_QC.xlsx</v>
      </c>
      <c r="AZ2141" t="str">
        <v>LOT0970</v>
      </c>
      <c r="BA2141" s="3">
        <v>24</v>
      </c>
      <c r="BB2141" t="str">
        <v>P/Prod</v>
      </c>
      <c r="BC2141">
        <v>0</v>
      </c>
      <c r="BD2141" s="10">
        <v>0</v>
      </c>
      <c r="BE2141" s="10">
        <v>0</v>
      </c>
      <c r="BF2141" s="10">
        <v>0</v>
      </c>
      <c r="BG2141" s="13">
        <v>45740</v>
      </c>
    </row>
    <row r="2142" spans="49:59" x14ac:dyDescent="0.3">
      <c r="AW2142" s="1">
        <v>24.1</v>
      </c>
      <c r="AX2142" s="1">
        <v>24.1</v>
      </c>
      <c r="AY2142" t="str">
        <v>CP-R80_HI782-0_0.0_LOT0970_PWW.12.1_QC.xlsx</v>
      </c>
      <c r="AZ2142" t="str">
        <v>LOT0970</v>
      </c>
      <c r="BA2142" s="3">
        <v>24</v>
      </c>
      <c r="BB2142" t="str">
        <v>P/Prod</v>
      </c>
      <c r="BC2142">
        <v>0</v>
      </c>
      <c r="BD2142" s="10">
        <v>0</v>
      </c>
      <c r="BE2142" s="10">
        <v>0</v>
      </c>
      <c r="BF2142" s="10">
        <v>0</v>
      </c>
      <c r="BG2142" s="13">
        <v>45740</v>
      </c>
    </row>
    <row r="2143" spans="49:59" x14ac:dyDescent="0.3">
      <c r="AW2143" s="1">
        <v>24.1</v>
      </c>
      <c r="AX2143" s="1">
        <v>24.1</v>
      </c>
      <c r="AY2143" t="str">
        <v>CP-R80_HI782-0_0.0_LOT0970_PWW.12.1_QC.xlsx</v>
      </c>
      <c r="AZ2143" t="str">
        <v>LOT0970</v>
      </c>
      <c r="BA2143" s="3">
        <v>24</v>
      </c>
      <c r="BB2143" t="str">
        <v>P/Prod</v>
      </c>
      <c r="BC2143">
        <v>15</v>
      </c>
      <c r="BD2143" s="10">
        <v>16.600000000000001</v>
      </c>
      <c r="BE2143" s="10">
        <v>16.600000000000001</v>
      </c>
      <c r="BF2143" s="10">
        <v>0</v>
      </c>
      <c r="BG2143" s="13">
        <v>45740</v>
      </c>
    </row>
    <row r="2144" spans="49:59" x14ac:dyDescent="0.3">
      <c r="AW2144" s="1">
        <v>24.1</v>
      </c>
      <c r="AX2144" s="1">
        <v>24.1</v>
      </c>
      <c r="AY2144" t="str">
        <v>CP-R80_HI782-0_0.0_LOT0970_PWW.12.1_QC.xlsx</v>
      </c>
      <c r="AZ2144" t="str">
        <v>LOT0970</v>
      </c>
      <c r="BA2144" s="3">
        <v>24</v>
      </c>
      <c r="BB2144" t="str">
        <v>P/Prod</v>
      </c>
      <c r="BC2144">
        <v>15</v>
      </c>
      <c r="BD2144" s="10">
        <v>17.7</v>
      </c>
      <c r="BE2144" s="10">
        <v>17.7</v>
      </c>
      <c r="BF2144" s="10">
        <v>0</v>
      </c>
      <c r="BG2144" s="13">
        <v>45740</v>
      </c>
    </row>
    <row r="2145" spans="49:59" x14ac:dyDescent="0.3">
      <c r="AW2145" s="1">
        <v>24.1</v>
      </c>
      <c r="AX2145" s="1">
        <v>24.1</v>
      </c>
      <c r="AY2145" t="str">
        <v>CP-R80_HI782-0_0.0_LOT0970_PWW.12.1_QC.xlsx</v>
      </c>
      <c r="AZ2145" t="str">
        <v>LOT0970</v>
      </c>
      <c r="BA2145" s="3">
        <v>24</v>
      </c>
      <c r="BB2145" t="str">
        <v>P/Prod</v>
      </c>
      <c r="BC2145">
        <v>15</v>
      </c>
      <c r="BD2145" s="10">
        <v>15.8</v>
      </c>
      <c r="BE2145" s="10">
        <v>15.8</v>
      </c>
      <c r="BF2145" s="10">
        <v>0</v>
      </c>
      <c r="BG2145" s="13">
        <v>45740</v>
      </c>
    </row>
    <row r="2146" spans="49:59" x14ac:dyDescent="0.3">
      <c r="AW2146" s="1">
        <v>24.1</v>
      </c>
      <c r="AX2146" s="1">
        <v>24.1</v>
      </c>
      <c r="AY2146" t="str">
        <v>CP-R80_HI782-0_0.0_LOT0970_PWW.12.1_QC.xlsx</v>
      </c>
      <c r="AZ2146" t="str">
        <v>LOT0970</v>
      </c>
      <c r="BA2146" s="3">
        <v>24</v>
      </c>
      <c r="BB2146" t="str">
        <v>P/Prod</v>
      </c>
      <c r="BC2146">
        <v>15</v>
      </c>
      <c r="BD2146" s="10">
        <v>15.9</v>
      </c>
      <c r="BE2146" s="10">
        <v>16.100000000000001</v>
      </c>
      <c r="BF2146" s="10">
        <v>0</v>
      </c>
      <c r="BG2146" s="13">
        <v>45740</v>
      </c>
    </row>
    <row r="2147" spans="49:59" x14ac:dyDescent="0.3">
      <c r="AW2147" s="1">
        <v>24.1</v>
      </c>
      <c r="AX2147" s="1">
        <v>24.1</v>
      </c>
      <c r="AY2147" t="str">
        <v>CP-R80_HI782-0_0.0_LOT0970_PWW.12.1_QC.xlsx</v>
      </c>
      <c r="AZ2147" t="str">
        <v>LOT0970</v>
      </c>
      <c r="BA2147" s="3">
        <v>24</v>
      </c>
      <c r="BB2147" t="str">
        <v>P/Prod</v>
      </c>
      <c r="BC2147">
        <v>15</v>
      </c>
      <c r="BD2147" s="10">
        <v>14.8</v>
      </c>
      <c r="BE2147" s="10">
        <v>14.8</v>
      </c>
      <c r="BF2147" s="10">
        <v>0</v>
      </c>
      <c r="BG2147" s="13">
        <v>45740</v>
      </c>
    </row>
    <row r="2148" spans="49:59" x14ac:dyDescent="0.3">
      <c r="AW2148" s="1">
        <v>24.1</v>
      </c>
      <c r="AX2148" s="1">
        <v>24.1</v>
      </c>
      <c r="AY2148" t="str">
        <v>CP-R80_HI782-0_0.0_LOT0970_PWW.12.1_QC.xlsx</v>
      </c>
      <c r="AZ2148" t="str">
        <v>LOT0970</v>
      </c>
      <c r="BA2148" s="3">
        <v>24</v>
      </c>
      <c r="BB2148" t="str">
        <v>P/Prod</v>
      </c>
      <c r="BC2148">
        <v>15</v>
      </c>
      <c r="BD2148" s="10">
        <v>16.3</v>
      </c>
      <c r="BE2148" s="10">
        <v>16.399999999999999</v>
      </c>
      <c r="BF2148" s="10">
        <v>0</v>
      </c>
      <c r="BG2148" s="13">
        <v>45740</v>
      </c>
    </row>
    <row r="2149" spans="49:59" x14ac:dyDescent="0.3">
      <c r="AW2149" s="1">
        <v>24.1</v>
      </c>
      <c r="AX2149" s="1">
        <v>24.1</v>
      </c>
      <c r="AY2149" t="str">
        <v>CP-R80_HI782-0_0.0_LOT0970_PWW.12.1_QC.xlsx</v>
      </c>
      <c r="AZ2149" t="str">
        <v>LOT0970</v>
      </c>
      <c r="BA2149" s="3">
        <v>24</v>
      </c>
      <c r="BB2149" t="str">
        <v>P/Prod</v>
      </c>
      <c r="BC2149">
        <v>15</v>
      </c>
      <c r="BD2149" s="10">
        <v>16.600000000000001</v>
      </c>
      <c r="BE2149" s="10">
        <v>16.899999999999999</v>
      </c>
      <c r="BF2149" s="10">
        <v>0</v>
      </c>
      <c r="BG2149" s="13">
        <v>45740</v>
      </c>
    </row>
    <row r="2150" spans="49:59" x14ac:dyDescent="0.3">
      <c r="AW2150" s="1">
        <v>24.1</v>
      </c>
      <c r="AX2150" s="1">
        <v>24.1</v>
      </c>
      <c r="AY2150" t="str">
        <v>CP-R80_HI782-0_0.0_LOT0970_PWW.12.1_QC.xlsx</v>
      </c>
      <c r="AZ2150" t="str">
        <v>LOT0970</v>
      </c>
      <c r="BA2150" s="3">
        <v>24</v>
      </c>
      <c r="BB2150" t="str">
        <v>P/Prod</v>
      </c>
      <c r="BC2150">
        <v>15</v>
      </c>
      <c r="BD2150" s="10">
        <v>15.6</v>
      </c>
      <c r="BE2150" s="10">
        <v>15.7</v>
      </c>
      <c r="BF2150" s="10">
        <v>0</v>
      </c>
      <c r="BG2150" s="13">
        <v>45740</v>
      </c>
    </row>
    <row r="2151" spans="49:59" x14ac:dyDescent="0.3">
      <c r="AW2151" s="1">
        <v>24.1</v>
      </c>
      <c r="AX2151" s="1">
        <v>24.1</v>
      </c>
      <c r="AY2151" t="str">
        <v>CP-R80_HI782-0_0.0_LOT0970_PWW.12.1_QC.xlsx</v>
      </c>
      <c r="AZ2151" t="str">
        <v>LOT0970</v>
      </c>
      <c r="BA2151" s="3">
        <v>24</v>
      </c>
      <c r="BB2151" t="str">
        <v>P/Prod</v>
      </c>
      <c r="BC2151">
        <v>15</v>
      </c>
      <c r="BD2151" s="10">
        <v>16.100000000000001</v>
      </c>
      <c r="BE2151" s="10">
        <v>16.2</v>
      </c>
      <c r="BF2151" s="10">
        <v>0</v>
      </c>
      <c r="BG2151" s="13">
        <v>45740</v>
      </c>
    </row>
    <row r="2152" spans="49:59" x14ac:dyDescent="0.3">
      <c r="AW2152" s="1">
        <v>24.1</v>
      </c>
      <c r="AX2152" s="1">
        <v>24.1</v>
      </c>
      <c r="AY2152" t="str">
        <v>CP-R80_HI782-0_0.0_LOT0970_PWW.12.1_QC.xlsx</v>
      </c>
      <c r="AZ2152" t="str">
        <v>LOT0970</v>
      </c>
      <c r="BA2152" s="3">
        <v>24</v>
      </c>
      <c r="BB2152" t="str">
        <v>P/Prod</v>
      </c>
      <c r="BC2152">
        <v>15</v>
      </c>
      <c r="BD2152" s="10">
        <v>16.3</v>
      </c>
      <c r="BE2152" s="10">
        <v>16.3</v>
      </c>
      <c r="BF2152" s="10">
        <v>0</v>
      </c>
      <c r="BG2152" s="13">
        <v>45740</v>
      </c>
    </row>
    <row r="2153" spans="49:59" x14ac:dyDescent="0.3">
      <c r="AW2153" s="1">
        <v>24.1</v>
      </c>
      <c r="AX2153" s="1">
        <v>24.1</v>
      </c>
      <c r="AY2153" t="str">
        <v>CP-R80_HI782-0_0.0_LOT0970_PWW.12.1_QC.xlsx</v>
      </c>
      <c r="AZ2153" t="str">
        <v>LOT0970</v>
      </c>
      <c r="BA2153" s="3">
        <v>24</v>
      </c>
      <c r="BB2153" t="str">
        <v>P/Prod</v>
      </c>
      <c r="BC2153">
        <v>15</v>
      </c>
      <c r="BD2153" s="10">
        <v>18</v>
      </c>
      <c r="BE2153" s="10">
        <v>18</v>
      </c>
      <c r="BF2153" s="10">
        <v>0</v>
      </c>
      <c r="BG2153" s="13">
        <v>45740</v>
      </c>
    </row>
    <row r="2154" spans="49:59" x14ac:dyDescent="0.3">
      <c r="AW2154" s="1">
        <v>24.1</v>
      </c>
      <c r="AX2154" s="1">
        <v>24.1</v>
      </c>
      <c r="AY2154" t="str">
        <v>CP-R80_HI782-0_0.0_LOT0970_PWW.12.1_QC.xlsx</v>
      </c>
      <c r="AZ2154" t="str">
        <v>LOT0970</v>
      </c>
      <c r="BA2154" s="3">
        <v>24</v>
      </c>
      <c r="BB2154" t="str">
        <v>P/Prod</v>
      </c>
      <c r="BC2154">
        <v>15</v>
      </c>
      <c r="BD2154" s="10">
        <v>17</v>
      </c>
      <c r="BE2154" s="10">
        <v>17</v>
      </c>
      <c r="BF2154" s="10">
        <v>0</v>
      </c>
      <c r="BG2154" s="13">
        <v>45740</v>
      </c>
    </row>
    <row r="2155" spans="49:59" x14ac:dyDescent="0.3">
      <c r="AW2155" s="1">
        <v>24.1</v>
      </c>
      <c r="AX2155" s="1">
        <v>24.1</v>
      </c>
      <c r="AY2155" t="str">
        <v>CP-R80_HI782-0_0.0_LOT0970_PWW.12.1_QC.xlsx</v>
      </c>
      <c r="AZ2155" t="str">
        <v>LOT0970</v>
      </c>
      <c r="BA2155" s="3">
        <v>24</v>
      </c>
      <c r="BB2155" t="str">
        <v>P/Prod</v>
      </c>
      <c r="BC2155">
        <v>15</v>
      </c>
      <c r="BD2155" s="10">
        <v>15.4</v>
      </c>
      <c r="BE2155" s="10">
        <v>15.5</v>
      </c>
      <c r="BF2155" s="10">
        <v>0</v>
      </c>
      <c r="BG2155" s="13">
        <v>45740</v>
      </c>
    </row>
    <row r="2156" spans="49:59" x14ac:dyDescent="0.3">
      <c r="AW2156" s="1">
        <v>24.1</v>
      </c>
      <c r="AX2156" s="1">
        <v>24.1</v>
      </c>
      <c r="AY2156" t="str">
        <v>CP-R80_HI782-0_0.0_LOT0970_PWW.12.1_QC.xlsx</v>
      </c>
      <c r="AZ2156" t="str">
        <v>LOT0970</v>
      </c>
      <c r="BA2156" s="3">
        <v>24</v>
      </c>
      <c r="BB2156" t="str">
        <v>P/Prod</v>
      </c>
      <c r="BC2156">
        <v>15</v>
      </c>
      <c r="BD2156" s="10">
        <v>15.6</v>
      </c>
      <c r="BE2156" s="10">
        <v>15.5</v>
      </c>
      <c r="BF2156" s="10">
        <v>0</v>
      </c>
      <c r="BG2156" s="13">
        <v>45740</v>
      </c>
    </row>
    <row r="2157" spans="49:59" x14ac:dyDescent="0.3">
      <c r="AW2157" s="1">
        <v>24.1</v>
      </c>
      <c r="AX2157" s="1">
        <v>24.1</v>
      </c>
      <c r="AY2157" t="str">
        <v>CP-R80_HI782-0_0.0_LOT0970_PWW.12.1_QC.xlsx</v>
      </c>
      <c r="AZ2157" t="str">
        <v>LOT0970</v>
      </c>
      <c r="BA2157" s="3">
        <v>24</v>
      </c>
      <c r="BB2157" t="str">
        <v>P/Prod</v>
      </c>
      <c r="BC2157">
        <v>15</v>
      </c>
      <c r="BD2157" s="10">
        <v>14.3</v>
      </c>
      <c r="BE2157" s="10">
        <v>14.4</v>
      </c>
      <c r="BF2157" s="10">
        <v>0</v>
      </c>
      <c r="BG2157" s="13">
        <v>45740</v>
      </c>
    </row>
    <row r="2158" spans="49:59" x14ac:dyDescent="0.3">
      <c r="AW2158" s="1">
        <v>24.1</v>
      </c>
      <c r="AX2158" s="1">
        <v>24.1</v>
      </c>
      <c r="AY2158" t="str">
        <v>CP-R80_HI782-0_0.0_LOT0970_PWW.12.1_QC.xlsx</v>
      </c>
      <c r="AZ2158" t="str">
        <v>LOT0970</v>
      </c>
      <c r="BA2158" s="3">
        <v>24</v>
      </c>
      <c r="BB2158" t="str">
        <v>P/Prod</v>
      </c>
      <c r="BC2158">
        <v>15</v>
      </c>
      <c r="BD2158" s="10">
        <v>14.4</v>
      </c>
      <c r="BE2158" s="10">
        <v>14.5</v>
      </c>
      <c r="BF2158" s="10">
        <v>0</v>
      </c>
      <c r="BG2158" s="13">
        <v>45740</v>
      </c>
    </row>
    <row r="2159" spans="49:59" x14ac:dyDescent="0.3">
      <c r="AW2159" s="1">
        <v>24.1</v>
      </c>
      <c r="AX2159" s="1">
        <v>24.1</v>
      </c>
      <c r="AY2159" t="str">
        <v>CP-R80_HI782-0_0.0_LOT0970_PWW.12.1_QC.xlsx</v>
      </c>
      <c r="AZ2159" t="str">
        <v>LOT0970</v>
      </c>
      <c r="BA2159" s="3">
        <v>24</v>
      </c>
      <c r="BB2159" t="str">
        <v>P/Prod</v>
      </c>
      <c r="BC2159">
        <v>15</v>
      </c>
      <c r="BD2159" s="10">
        <v>17.5</v>
      </c>
      <c r="BE2159" s="10">
        <v>17.600000000000001</v>
      </c>
      <c r="BF2159" s="10">
        <v>0</v>
      </c>
      <c r="BG2159" s="13">
        <v>45740</v>
      </c>
    </row>
    <row r="2160" spans="49:59" x14ac:dyDescent="0.3">
      <c r="AW2160" s="1">
        <v>24.1</v>
      </c>
      <c r="AX2160" s="1">
        <v>24.1</v>
      </c>
      <c r="AY2160" t="str">
        <v>CP-R80_HI782-0_0.0_LOT0970_PWW.12.1_QC.xlsx</v>
      </c>
      <c r="AZ2160" t="str">
        <v>LOT0970</v>
      </c>
      <c r="BA2160" s="3">
        <v>24</v>
      </c>
      <c r="BB2160" t="str">
        <v>P/Prod</v>
      </c>
      <c r="BC2160">
        <v>15</v>
      </c>
      <c r="BD2160" s="10">
        <v>16</v>
      </c>
      <c r="BE2160" s="10">
        <v>16</v>
      </c>
      <c r="BF2160" s="10">
        <v>0</v>
      </c>
      <c r="BG2160" s="13">
        <v>45740</v>
      </c>
    </row>
    <row r="2161" spans="49:59" x14ac:dyDescent="0.3">
      <c r="AW2161" s="1">
        <v>24.1</v>
      </c>
      <c r="AX2161" s="1">
        <v>24.1</v>
      </c>
      <c r="AY2161" t="str">
        <v>CP-R80_HI782-0_0.0_LOT0970_PWW.12.1_QC.xlsx</v>
      </c>
      <c r="AZ2161" t="str">
        <v>LOT0970</v>
      </c>
      <c r="BA2161" s="3">
        <v>24</v>
      </c>
      <c r="BB2161" t="str">
        <v>P/Prod</v>
      </c>
      <c r="BC2161">
        <v>15</v>
      </c>
      <c r="BD2161" s="10">
        <v>15.8</v>
      </c>
      <c r="BE2161" s="10">
        <v>15.9</v>
      </c>
      <c r="BF2161" s="10">
        <v>0</v>
      </c>
      <c r="BG2161" s="13">
        <v>45740</v>
      </c>
    </row>
    <row r="2162" spans="49:59" x14ac:dyDescent="0.3">
      <c r="AW2162" s="1">
        <v>24.1</v>
      </c>
      <c r="AX2162" s="1">
        <v>24.1</v>
      </c>
      <c r="AY2162" t="str">
        <v>CP-R80_HI782-0_0.0_LOT0970_PWW.12.1_QC.xlsx</v>
      </c>
      <c r="AZ2162" t="str">
        <v>LOT0970</v>
      </c>
      <c r="BA2162" s="3">
        <v>24</v>
      </c>
      <c r="BB2162" t="str">
        <v>P/Prod</v>
      </c>
      <c r="BC2162">
        <v>35</v>
      </c>
      <c r="BD2162" s="10">
        <v>38.700000000000003</v>
      </c>
      <c r="BE2162" s="10">
        <v>39</v>
      </c>
      <c r="BF2162" s="10">
        <v>0</v>
      </c>
      <c r="BG2162" s="13">
        <v>45740</v>
      </c>
    </row>
    <row r="2163" spans="49:59" x14ac:dyDescent="0.3">
      <c r="AW2163" s="1">
        <v>24.1</v>
      </c>
      <c r="AX2163" s="1">
        <v>24.1</v>
      </c>
      <c r="AY2163" t="str">
        <v>CP-R80_HI782-0_0.0_LOT0970_PWW.12.1_QC.xlsx</v>
      </c>
      <c r="AZ2163" t="str">
        <v>LOT0970</v>
      </c>
      <c r="BA2163" s="3">
        <v>24</v>
      </c>
      <c r="BB2163" t="str">
        <v>P/Prod</v>
      </c>
      <c r="BC2163">
        <v>35</v>
      </c>
      <c r="BD2163" s="10">
        <v>38.9</v>
      </c>
      <c r="BE2163" s="10">
        <v>39</v>
      </c>
      <c r="BF2163" s="10">
        <v>0</v>
      </c>
      <c r="BG2163" s="13">
        <v>45740</v>
      </c>
    </row>
    <row r="2164" spans="49:59" x14ac:dyDescent="0.3">
      <c r="AW2164" s="1">
        <v>24.1</v>
      </c>
      <c r="AX2164" s="1">
        <v>24.1</v>
      </c>
      <c r="AY2164" t="str">
        <v>CP-R80_HI782-0_0.0_LOT0970_PWW.12.1_QC.xlsx</v>
      </c>
      <c r="AZ2164" t="str">
        <v>LOT0970</v>
      </c>
      <c r="BA2164" s="3">
        <v>24</v>
      </c>
      <c r="BB2164" t="str">
        <v>P/Prod</v>
      </c>
      <c r="BC2164">
        <v>35</v>
      </c>
      <c r="BD2164" s="10">
        <v>37.1</v>
      </c>
      <c r="BE2164" s="10">
        <v>37.200000000000003</v>
      </c>
      <c r="BF2164" s="10">
        <v>0</v>
      </c>
      <c r="BG2164" s="13">
        <v>45740</v>
      </c>
    </row>
    <row r="2165" spans="49:59" x14ac:dyDescent="0.3">
      <c r="AW2165" s="1">
        <v>24.1</v>
      </c>
      <c r="AX2165" s="1">
        <v>24.1</v>
      </c>
      <c r="AY2165" t="str">
        <v>CP-R80_HI782-0_0.0_LOT0970_PWW.12.1_QC.xlsx</v>
      </c>
      <c r="AZ2165" t="str">
        <v>LOT0970</v>
      </c>
      <c r="BA2165" s="3">
        <v>24</v>
      </c>
      <c r="BB2165" t="str">
        <v>P/Prod</v>
      </c>
      <c r="BC2165">
        <v>35</v>
      </c>
      <c r="BD2165" s="10">
        <v>37</v>
      </c>
      <c r="BE2165" s="10">
        <v>37</v>
      </c>
      <c r="BF2165" s="10">
        <v>0</v>
      </c>
      <c r="BG2165" s="13">
        <v>45740</v>
      </c>
    </row>
    <row r="2166" spans="49:59" x14ac:dyDescent="0.3">
      <c r="AW2166" s="1">
        <v>24.1</v>
      </c>
      <c r="AX2166" s="1">
        <v>24.1</v>
      </c>
      <c r="AY2166" t="str">
        <v>CP-R80_HI782-0_0.0_LOT0970_PWW.12.1_QC.xlsx</v>
      </c>
      <c r="AZ2166" t="str">
        <v>LOT0970</v>
      </c>
      <c r="BA2166" s="3">
        <v>24</v>
      </c>
      <c r="BB2166" t="str">
        <v>P/Prod</v>
      </c>
      <c r="BC2166">
        <v>35</v>
      </c>
      <c r="BD2166" s="10">
        <v>38</v>
      </c>
      <c r="BE2166" s="10">
        <v>38.1</v>
      </c>
      <c r="BF2166" s="10">
        <v>0</v>
      </c>
      <c r="BG2166" s="13">
        <v>45740</v>
      </c>
    </row>
    <row r="2167" spans="49:59" x14ac:dyDescent="0.3">
      <c r="AW2167" s="1">
        <v>24.1</v>
      </c>
      <c r="AX2167" s="1">
        <v>24.1</v>
      </c>
      <c r="AY2167" t="str">
        <v>CP-R80_HI782-0_0.0_LOT0970_PWW.12.1_QC.xlsx</v>
      </c>
      <c r="AZ2167" t="str">
        <v>LOT0970</v>
      </c>
      <c r="BA2167" s="3">
        <v>24</v>
      </c>
      <c r="BB2167" t="str">
        <v>P/Prod</v>
      </c>
      <c r="BC2167">
        <v>35</v>
      </c>
      <c r="BD2167" s="10">
        <v>46.8</v>
      </c>
      <c r="BE2167" s="10">
        <v>47.2</v>
      </c>
      <c r="BF2167" s="10">
        <v>0</v>
      </c>
      <c r="BG2167" s="13">
        <v>45740</v>
      </c>
    </row>
    <row r="2168" spans="49:59" x14ac:dyDescent="0.3">
      <c r="AW2168" s="1">
        <v>24.1</v>
      </c>
      <c r="AX2168" s="1">
        <v>24.1</v>
      </c>
      <c r="AY2168" t="str">
        <v>CP-R80_HI782-0_0.0_LOT0970_PWW.12.1_QC.xlsx</v>
      </c>
      <c r="AZ2168" t="str">
        <v>LOT0970</v>
      </c>
      <c r="BA2168" s="3">
        <v>24</v>
      </c>
      <c r="BB2168" t="str">
        <v>P/Prod</v>
      </c>
      <c r="BC2168">
        <v>35</v>
      </c>
      <c r="BD2168" s="10">
        <v>41.1</v>
      </c>
      <c r="BE2168" s="10">
        <v>41.1</v>
      </c>
      <c r="BF2168" s="10">
        <v>0</v>
      </c>
      <c r="BG2168" s="13">
        <v>45740</v>
      </c>
    </row>
    <row r="2169" spans="49:59" x14ac:dyDescent="0.3">
      <c r="AW2169" s="1">
        <v>24.1</v>
      </c>
      <c r="AX2169" s="1">
        <v>24.1</v>
      </c>
      <c r="AY2169" t="str">
        <v>CP-R80_HI782-0_0.0_LOT0970_PWW.12.1_QC.xlsx</v>
      </c>
      <c r="AZ2169" t="str">
        <v>LOT0970</v>
      </c>
      <c r="BA2169" s="3">
        <v>24</v>
      </c>
      <c r="BB2169" t="str">
        <v>P/Prod</v>
      </c>
      <c r="BC2169">
        <v>35</v>
      </c>
      <c r="BD2169" s="10">
        <v>39.200000000000003</v>
      </c>
      <c r="BE2169" s="10">
        <v>38.700000000000003</v>
      </c>
      <c r="BF2169" s="10">
        <v>0</v>
      </c>
      <c r="BG2169" s="13">
        <v>45740</v>
      </c>
    </row>
    <row r="2170" spans="49:59" x14ac:dyDescent="0.3">
      <c r="AW2170" s="1">
        <v>24.1</v>
      </c>
      <c r="AX2170" s="1">
        <v>24.1</v>
      </c>
      <c r="AY2170" t="str">
        <v>CP-R80_HI782-0_0.0_LOT0970_PWW.12.1_QC.xlsx</v>
      </c>
      <c r="AZ2170" t="str">
        <v>LOT0970</v>
      </c>
      <c r="BA2170" s="3">
        <v>24</v>
      </c>
      <c r="BB2170" t="str">
        <v>P/Prod</v>
      </c>
      <c r="BC2170">
        <v>35</v>
      </c>
      <c r="BD2170" s="10">
        <v>38</v>
      </c>
      <c r="BE2170" s="10">
        <v>38.200000000000003</v>
      </c>
      <c r="BF2170" s="10">
        <v>0</v>
      </c>
      <c r="BG2170" s="13">
        <v>45740</v>
      </c>
    </row>
    <row r="2171" spans="49:59" x14ac:dyDescent="0.3">
      <c r="AW2171" s="1">
        <v>24.1</v>
      </c>
      <c r="AX2171" s="1">
        <v>24.1</v>
      </c>
      <c r="AY2171" t="str">
        <v>CP-R80_HI782-0_0.0_LOT0970_PWW.12.1_QC.xlsx</v>
      </c>
      <c r="AZ2171" t="str">
        <v>LOT0970</v>
      </c>
      <c r="BA2171" s="3">
        <v>24</v>
      </c>
      <c r="BB2171" t="str">
        <v>P/Prod</v>
      </c>
      <c r="BC2171">
        <v>35</v>
      </c>
      <c r="BD2171" s="10">
        <v>37.200000000000003</v>
      </c>
      <c r="BE2171" s="10">
        <v>37.299999999999997</v>
      </c>
      <c r="BF2171" s="10">
        <v>0</v>
      </c>
      <c r="BG2171" s="13">
        <v>45740</v>
      </c>
    </row>
    <row r="2172" spans="49:59" x14ac:dyDescent="0.3">
      <c r="AW2172" s="1">
        <v>24.1</v>
      </c>
      <c r="AX2172" s="1">
        <v>24.1</v>
      </c>
      <c r="AY2172" t="str">
        <v>CP-R80_HI782-0_0.0_LOT0970_PWW.12.1_QC.xlsx</v>
      </c>
      <c r="AZ2172" t="str">
        <v>LOT0970</v>
      </c>
      <c r="BA2172" s="3">
        <v>24</v>
      </c>
      <c r="BB2172" t="str">
        <v>P/Prod</v>
      </c>
      <c r="BC2172">
        <v>35</v>
      </c>
      <c r="BD2172" s="10">
        <v>38.200000000000003</v>
      </c>
      <c r="BE2172" s="10">
        <v>38.299999999999997</v>
      </c>
      <c r="BF2172" s="10">
        <v>0</v>
      </c>
      <c r="BG2172" s="13">
        <v>45740</v>
      </c>
    </row>
    <row r="2173" spans="49:59" x14ac:dyDescent="0.3">
      <c r="AW2173" s="1">
        <v>24.1</v>
      </c>
      <c r="AX2173" s="1">
        <v>24.1</v>
      </c>
      <c r="AY2173" t="str">
        <v>CP-R80_HI782-0_0.0_LOT0970_PWW.12.1_QC.xlsx</v>
      </c>
      <c r="AZ2173" t="str">
        <v>LOT0970</v>
      </c>
      <c r="BA2173" s="3">
        <v>24</v>
      </c>
      <c r="BB2173" t="str">
        <v>P/Prod</v>
      </c>
      <c r="BC2173">
        <v>35</v>
      </c>
      <c r="BD2173" s="10">
        <v>38.4</v>
      </c>
      <c r="BE2173" s="10">
        <v>38.6</v>
      </c>
      <c r="BF2173" s="10">
        <v>0</v>
      </c>
      <c r="BG2173" s="13">
        <v>45740</v>
      </c>
    </row>
    <row r="2174" spans="49:59" x14ac:dyDescent="0.3">
      <c r="AW2174" s="1">
        <v>24.1</v>
      </c>
      <c r="AX2174" s="1">
        <v>24.1</v>
      </c>
      <c r="AY2174" t="str">
        <v>CP-R80_HI782-0_0.0_LOT0970_PWW.12.1_QC.xlsx</v>
      </c>
      <c r="AZ2174" t="str">
        <v>LOT0970</v>
      </c>
      <c r="BA2174" s="3">
        <v>24</v>
      </c>
      <c r="BB2174" t="str">
        <v>P/Prod</v>
      </c>
      <c r="BC2174">
        <v>35</v>
      </c>
      <c r="BD2174" s="10">
        <v>35.299999999999997</v>
      </c>
      <c r="BE2174" s="10">
        <v>35.299999999999997</v>
      </c>
      <c r="BF2174" s="10">
        <v>0</v>
      </c>
      <c r="BG2174" s="13">
        <v>45740</v>
      </c>
    </row>
    <row r="2175" spans="49:59" x14ac:dyDescent="0.3">
      <c r="AW2175" s="1">
        <v>24.1</v>
      </c>
      <c r="AX2175" s="1">
        <v>24.1</v>
      </c>
      <c r="AY2175" t="str">
        <v>CP-R80_HI782-0_0.0_LOT0970_PWW.12.1_QC.xlsx</v>
      </c>
      <c r="AZ2175" t="str">
        <v>LOT0970</v>
      </c>
      <c r="BA2175" s="3">
        <v>24</v>
      </c>
      <c r="BB2175" t="str">
        <v>P/Prod</v>
      </c>
      <c r="BC2175">
        <v>35</v>
      </c>
      <c r="BD2175" s="10">
        <v>40.700000000000003</v>
      </c>
      <c r="BE2175" s="10">
        <v>40.6</v>
      </c>
      <c r="BF2175" s="10">
        <v>0</v>
      </c>
      <c r="BG2175" s="13">
        <v>45740</v>
      </c>
    </row>
    <row r="2176" spans="49:59" x14ac:dyDescent="0.3">
      <c r="AW2176" s="1">
        <v>24.1</v>
      </c>
      <c r="AX2176" s="1">
        <v>24.1</v>
      </c>
      <c r="AY2176" t="str">
        <v>CP-R80_HI782-0_0.0_LOT0970_PWW.12.1_QC.xlsx</v>
      </c>
      <c r="AZ2176" t="str">
        <v>LOT0970</v>
      </c>
      <c r="BA2176" s="3">
        <v>24</v>
      </c>
      <c r="BB2176" t="str">
        <v>P/Prod</v>
      </c>
      <c r="BC2176">
        <v>35</v>
      </c>
      <c r="BD2176" s="10">
        <v>38.200000000000003</v>
      </c>
      <c r="BE2176" s="10">
        <v>38.4</v>
      </c>
      <c r="BF2176" s="10">
        <v>0</v>
      </c>
      <c r="BG2176" s="13">
        <v>45740</v>
      </c>
    </row>
    <row r="2177" spans="49:59" x14ac:dyDescent="0.3">
      <c r="AW2177" s="1">
        <v>24.1</v>
      </c>
      <c r="AX2177" s="1">
        <v>24.1</v>
      </c>
      <c r="AY2177" t="str">
        <v>CP-R80_HI782-0_0.0_LOT0970_PWW.12.1_QC.xlsx</v>
      </c>
      <c r="AZ2177" t="str">
        <v>LOT0970</v>
      </c>
      <c r="BA2177" s="3">
        <v>24</v>
      </c>
      <c r="BB2177" t="str">
        <v>P/Prod</v>
      </c>
      <c r="BC2177">
        <v>35</v>
      </c>
      <c r="BD2177" s="10">
        <v>35.700000000000003</v>
      </c>
      <c r="BE2177" s="10">
        <v>35.700000000000003</v>
      </c>
      <c r="BF2177" s="10">
        <v>0</v>
      </c>
      <c r="BG2177" s="13">
        <v>45740</v>
      </c>
    </row>
    <row r="2178" spans="49:59" x14ac:dyDescent="0.3">
      <c r="AW2178" s="1">
        <v>24.1</v>
      </c>
      <c r="AX2178" s="1">
        <v>24.1</v>
      </c>
      <c r="AY2178" t="str">
        <v>CP-R80_HI782-0_0.0_LOT0970_PWW.12.1_QC.xlsx</v>
      </c>
      <c r="AZ2178" t="str">
        <v>LOT0970</v>
      </c>
      <c r="BA2178" s="3">
        <v>24</v>
      </c>
      <c r="BB2178" t="str">
        <v>P/Prod</v>
      </c>
      <c r="BC2178">
        <v>35</v>
      </c>
      <c r="BD2178" s="10">
        <v>37.9</v>
      </c>
      <c r="BE2178" s="10">
        <v>37.9</v>
      </c>
      <c r="BF2178" s="10">
        <v>0</v>
      </c>
      <c r="BG2178" s="13">
        <v>45740</v>
      </c>
    </row>
    <row r="2179" spans="49:59" x14ac:dyDescent="0.3">
      <c r="AW2179" s="1">
        <v>24.1</v>
      </c>
      <c r="AX2179" s="1">
        <v>24.1</v>
      </c>
      <c r="AY2179" t="str">
        <v>CP-R80_HI782-0_0.0_LOT0970_PWW.12.1_QC.xlsx</v>
      </c>
      <c r="AZ2179" t="str">
        <v>LOT0970</v>
      </c>
      <c r="BA2179" s="3">
        <v>24</v>
      </c>
      <c r="BB2179" t="str">
        <v>P/Prod</v>
      </c>
      <c r="BC2179">
        <v>35</v>
      </c>
      <c r="BD2179" s="10">
        <v>38</v>
      </c>
      <c r="BE2179" s="10">
        <v>38.4</v>
      </c>
      <c r="BF2179" s="10">
        <v>0</v>
      </c>
      <c r="BG2179" s="13">
        <v>45740</v>
      </c>
    </row>
    <row r="2180" spans="49:59" x14ac:dyDescent="0.3">
      <c r="AW2180" s="1">
        <v>24.1</v>
      </c>
      <c r="AX2180" s="1">
        <v>24.1</v>
      </c>
      <c r="AY2180" t="str">
        <v>CP-R80_HI782-0_0.0_LOT0970_PWW.12.1_QC.xlsx</v>
      </c>
      <c r="AZ2180" t="str">
        <v>LOT0970</v>
      </c>
      <c r="BA2180" s="3">
        <v>24</v>
      </c>
      <c r="BB2180" t="str">
        <v>P/Prod</v>
      </c>
      <c r="BC2180">
        <v>35</v>
      </c>
      <c r="BD2180" s="10">
        <v>38.700000000000003</v>
      </c>
      <c r="BE2180" s="10">
        <v>38.700000000000003</v>
      </c>
      <c r="BF2180" s="10">
        <v>0</v>
      </c>
      <c r="BG2180" s="13">
        <v>45740</v>
      </c>
    </row>
    <row r="2181" spans="49:59" x14ac:dyDescent="0.3">
      <c r="AW2181" s="1">
        <v>24.1</v>
      </c>
      <c r="AX2181" s="1">
        <v>24.1</v>
      </c>
      <c r="AY2181" t="str">
        <v>CP-R80_HI782-0_0.0_LOT0970_PWW.12.1_QC.xlsx</v>
      </c>
      <c r="AZ2181" t="str">
        <v>LOT0970</v>
      </c>
      <c r="BA2181" s="3">
        <v>24</v>
      </c>
      <c r="BB2181" t="str">
        <v>P/Prod</v>
      </c>
      <c r="BC2181">
        <v>35</v>
      </c>
      <c r="BD2181" s="10">
        <v>38.6</v>
      </c>
      <c r="BE2181" s="10">
        <v>38.799999999999997</v>
      </c>
      <c r="BF2181" s="10">
        <v>0</v>
      </c>
      <c r="BG2181" s="13">
        <v>45740</v>
      </c>
    </row>
    <row r="2182" spans="49:59" x14ac:dyDescent="0.3">
      <c r="AW2182" s="1">
        <v>24.1</v>
      </c>
      <c r="AX2182" s="1">
        <v>24.1</v>
      </c>
      <c r="AY2182" t="str">
        <v>CP-R80_HI782-0_0.0_LOT0970_PWW.12.1_QC.xlsx</v>
      </c>
      <c r="AZ2182" t="str">
        <v>LOT0970</v>
      </c>
      <c r="BA2182" s="3">
        <v>24</v>
      </c>
      <c r="BB2182" t="str">
        <v>P/Prod</v>
      </c>
      <c r="BC2182">
        <v>35</v>
      </c>
      <c r="BD2182" s="10">
        <v>36.6</v>
      </c>
      <c r="BE2182" s="10">
        <v>36.700000000000003</v>
      </c>
      <c r="BF2182" s="10">
        <v>0</v>
      </c>
      <c r="BG2182" s="13">
        <v>45740</v>
      </c>
    </row>
    <row r="2183" spans="49:59" x14ac:dyDescent="0.3">
      <c r="AW2183" s="1">
        <v>24.1</v>
      </c>
      <c r="AX2183" s="1">
        <v>24.1</v>
      </c>
      <c r="AY2183" t="str">
        <v>CP-R80_HI782-0_0.0_LOT0970_PWW.12.1_QC.xlsx</v>
      </c>
      <c r="AZ2183" t="str">
        <v>LOT0970</v>
      </c>
      <c r="BA2183" s="3">
        <v>24</v>
      </c>
      <c r="BB2183" t="str">
        <v>P/Prod</v>
      </c>
      <c r="BC2183">
        <v>35</v>
      </c>
      <c r="BD2183" s="10">
        <v>38</v>
      </c>
      <c r="BE2183" s="10">
        <v>38</v>
      </c>
      <c r="BF2183" s="10">
        <v>0</v>
      </c>
      <c r="BG2183" s="13">
        <v>45740</v>
      </c>
    </row>
    <row r="2184" spans="49:59" x14ac:dyDescent="0.3">
      <c r="AW2184" s="1">
        <v>24.1</v>
      </c>
      <c r="AX2184" s="1">
        <v>24.1</v>
      </c>
      <c r="AY2184" t="str">
        <v>CP-R80_HI782-0_0.0_LOT0970_PWW.12.1_QC.xlsx</v>
      </c>
      <c r="AZ2184" t="str">
        <v>LOT0970</v>
      </c>
      <c r="BA2184" s="3">
        <v>24</v>
      </c>
      <c r="BB2184" t="str">
        <v>P/Prod</v>
      </c>
      <c r="BC2184">
        <v>35</v>
      </c>
      <c r="BD2184" s="10">
        <v>38.200000000000003</v>
      </c>
      <c r="BE2184" s="10">
        <v>38.200000000000003</v>
      </c>
      <c r="BF2184" s="10">
        <v>0</v>
      </c>
      <c r="BG2184" s="13">
        <v>45740</v>
      </c>
    </row>
    <row r="2185" spans="49:59" x14ac:dyDescent="0.3">
      <c r="AW2185" s="1">
        <v>24.1</v>
      </c>
      <c r="AX2185" s="1">
        <v>24.1</v>
      </c>
      <c r="AY2185" t="str">
        <v>CP-R80_HI782-0_0.0_LOT0970_PWW.12.1_QC.xlsx</v>
      </c>
      <c r="AZ2185" t="str">
        <v>LOT0970</v>
      </c>
      <c r="BA2185" s="3">
        <v>24</v>
      </c>
      <c r="BB2185" t="str">
        <v>P/Prod</v>
      </c>
      <c r="BC2185">
        <v>60</v>
      </c>
      <c r="BD2185" s="10">
        <v>59.3</v>
      </c>
      <c r="BE2185" s="10">
        <v>59.2</v>
      </c>
      <c r="BF2185" s="10">
        <v>0</v>
      </c>
      <c r="BG2185" s="13">
        <v>45740</v>
      </c>
    </row>
    <row r="2186" spans="49:59" x14ac:dyDescent="0.3">
      <c r="AW2186" s="1">
        <v>24.1</v>
      </c>
      <c r="AX2186" s="1">
        <v>24.1</v>
      </c>
      <c r="AY2186" t="str">
        <v>CP-R80_HI782-0_0.0_LOT0970_PWW.12.1_QC.xlsx</v>
      </c>
      <c r="AZ2186" t="str">
        <v>LOT0970</v>
      </c>
      <c r="BA2186" s="3">
        <v>24</v>
      </c>
      <c r="BB2186" t="str">
        <v>P/Prod</v>
      </c>
      <c r="BC2186">
        <v>60</v>
      </c>
      <c r="BD2186" s="10">
        <v>63.4</v>
      </c>
      <c r="BE2186" s="10">
        <v>63.6</v>
      </c>
      <c r="BF2186" s="10">
        <v>0</v>
      </c>
      <c r="BG2186" s="13">
        <v>45740</v>
      </c>
    </row>
    <row r="2187" spans="49:59" x14ac:dyDescent="0.3">
      <c r="AW2187" s="1">
        <v>24.1</v>
      </c>
      <c r="AX2187" s="1">
        <v>24.1</v>
      </c>
      <c r="AY2187" t="str">
        <v>CP-R80_HI782-0_0.0_LOT0970_PWW.12.1_QC.xlsx</v>
      </c>
      <c r="AZ2187" t="str">
        <v>LOT0970</v>
      </c>
      <c r="BA2187" s="3">
        <v>24</v>
      </c>
      <c r="BB2187" t="str">
        <v>P/Prod</v>
      </c>
      <c r="BC2187">
        <v>60</v>
      </c>
      <c r="BD2187" s="10">
        <v>63.1</v>
      </c>
      <c r="BE2187" s="10">
        <v>63.3</v>
      </c>
      <c r="BF2187" s="10">
        <v>0</v>
      </c>
      <c r="BG2187" s="13">
        <v>45740</v>
      </c>
    </row>
    <row r="2188" spans="49:59" x14ac:dyDescent="0.3">
      <c r="AW2188" s="1">
        <v>24.1</v>
      </c>
      <c r="AX2188" s="1">
        <v>24.1</v>
      </c>
      <c r="AY2188" t="str">
        <v>CP-R80_HI782-0_0.0_LOT0970_PWW.12.1_QC.xlsx</v>
      </c>
      <c r="AZ2188" t="str">
        <v>LOT0970</v>
      </c>
      <c r="BA2188" s="3">
        <v>24</v>
      </c>
      <c r="BB2188" t="str">
        <v>P/Prod</v>
      </c>
      <c r="BC2188">
        <v>60</v>
      </c>
      <c r="BD2188" s="10">
        <v>64.8</v>
      </c>
      <c r="BE2188" s="10">
        <v>64.400000000000006</v>
      </c>
      <c r="BF2188" s="10">
        <v>0</v>
      </c>
      <c r="BG2188" s="13">
        <v>45740</v>
      </c>
    </row>
    <row r="2189" spans="49:59" x14ac:dyDescent="0.3">
      <c r="AW2189" s="1">
        <v>24.1</v>
      </c>
      <c r="AX2189" s="1">
        <v>24.1</v>
      </c>
      <c r="AY2189" t="str">
        <v>CP-R80_HI782-0_0.0_LOT0970_PWW.12.1_QC.xlsx</v>
      </c>
      <c r="AZ2189" t="str">
        <v>LOT0970</v>
      </c>
      <c r="BA2189" s="3">
        <v>24</v>
      </c>
      <c r="BB2189" t="str">
        <v>P/Prod</v>
      </c>
      <c r="BC2189">
        <v>60</v>
      </c>
      <c r="BD2189" s="10">
        <v>64</v>
      </c>
      <c r="BE2189" s="10">
        <v>64.5</v>
      </c>
      <c r="BF2189" s="10">
        <v>0</v>
      </c>
      <c r="BG2189" s="13">
        <v>45740</v>
      </c>
    </row>
    <row r="2190" spans="49:59" x14ac:dyDescent="0.3">
      <c r="AW2190" s="1">
        <v>24.1</v>
      </c>
      <c r="AX2190" s="1">
        <v>24.1</v>
      </c>
      <c r="AY2190" t="str">
        <v>CP-R80_HI782-0_0.0_LOT0970_PWW.12.1_QC.xlsx</v>
      </c>
      <c r="AZ2190" t="str">
        <v>LOT0970</v>
      </c>
      <c r="BA2190" s="3">
        <v>24</v>
      </c>
      <c r="BB2190" t="str">
        <v>P/Prod</v>
      </c>
      <c r="BC2190">
        <v>60</v>
      </c>
      <c r="BD2190" s="10">
        <v>63</v>
      </c>
      <c r="BE2190" s="10">
        <v>63.9</v>
      </c>
      <c r="BF2190" s="10">
        <v>0</v>
      </c>
      <c r="BG2190" s="13">
        <v>45740</v>
      </c>
    </row>
    <row r="2191" spans="49:59" x14ac:dyDescent="0.3">
      <c r="AW2191" s="1">
        <v>24.1</v>
      </c>
      <c r="AX2191" s="1">
        <v>24.1</v>
      </c>
      <c r="AY2191" t="str">
        <v>CP-R80_HI782-0_0.0_LOT0970_PWW.12.1_QC.xlsx</v>
      </c>
      <c r="AZ2191" t="str">
        <v>LOT0970</v>
      </c>
      <c r="BA2191" s="3">
        <v>24</v>
      </c>
      <c r="BB2191" t="str">
        <v>P/Prod</v>
      </c>
      <c r="BC2191">
        <v>60</v>
      </c>
      <c r="BD2191" s="10">
        <v>62.3</v>
      </c>
      <c r="BE2191" s="10">
        <v>62.3</v>
      </c>
      <c r="BF2191" s="10">
        <v>0</v>
      </c>
      <c r="BG2191" s="13">
        <v>45740</v>
      </c>
    </row>
    <row r="2192" spans="49:59" x14ac:dyDescent="0.3">
      <c r="AW2192" s="1">
        <v>24.1</v>
      </c>
      <c r="AX2192" s="1">
        <v>24.1</v>
      </c>
      <c r="AY2192" t="str">
        <v>CP-R80_HI782-0_0.0_LOT0970_PWW.12.1_QC.xlsx</v>
      </c>
      <c r="AZ2192" t="str">
        <v>LOT0970</v>
      </c>
      <c r="BA2192" s="3">
        <v>24</v>
      </c>
      <c r="BB2192" t="str">
        <v>P/Prod</v>
      </c>
      <c r="BC2192">
        <v>60</v>
      </c>
      <c r="BD2192" s="10">
        <v>58.9</v>
      </c>
      <c r="BE2192" s="10">
        <v>61.5</v>
      </c>
      <c r="BF2192" s="10">
        <v>0</v>
      </c>
      <c r="BG2192" s="13">
        <v>45740</v>
      </c>
    </row>
    <row r="2193" spans="49:59" x14ac:dyDescent="0.3">
      <c r="AW2193" s="1">
        <v>24.1</v>
      </c>
      <c r="AX2193" s="1">
        <v>24.1</v>
      </c>
      <c r="AY2193" t="str">
        <v>CP-R80_HI782-0_0.0_LOT0970_PWW.12.1_QC.xlsx</v>
      </c>
      <c r="AZ2193" t="str">
        <v>LOT0970</v>
      </c>
      <c r="BA2193" s="3">
        <v>24</v>
      </c>
      <c r="BB2193" t="str">
        <v>P/Prod</v>
      </c>
      <c r="BC2193">
        <v>60</v>
      </c>
      <c r="BD2193" s="10">
        <v>64.2</v>
      </c>
      <c r="BE2193" s="10">
        <v>63.7</v>
      </c>
      <c r="BF2193" s="10">
        <v>0</v>
      </c>
      <c r="BG2193" s="13">
        <v>45740</v>
      </c>
    </row>
    <row r="2194" spans="49:59" x14ac:dyDescent="0.3">
      <c r="AW2194" s="1">
        <v>24.1</v>
      </c>
      <c r="AX2194" s="1">
        <v>24.1</v>
      </c>
      <c r="AY2194" t="str">
        <v>CP-R80_HI782-0_0.0_LOT0970_PWW.12.1_QC.xlsx</v>
      </c>
      <c r="AZ2194" t="str">
        <v>LOT0970</v>
      </c>
      <c r="BA2194" s="3">
        <v>24</v>
      </c>
      <c r="BB2194" t="str">
        <v>P/Prod</v>
      </c>
      <c r="BC2194">
        <v>60</v>
      </c>
      <c r="BD2194" s="10">
        <v>61.8</v>
      </c>
      <c r="BE2194" s="10">
        <v>61.4</v>
      </c>
      <c r="BF2194" s="10">
        <v>0</v>
      </c>
      <c r="BG2194" s="13">
        <v>45740</v>
      </c>
    </row>
    <row r="2195" spans="49:59" x14ac:dyDescent="0.3">
      <c r="AW2195" s="1">
        <v>24.1</v>
      </c>
      <c r="AX2195" s="1">
        <v>24.1</v>
      </c>
      <c r="AY2195" t="str">
        <v>CP-R80_HI782-0_0.0_LOT0970_PWW.12.1_QC.xlsx</v>
      </c>
      <c r="AZ2195" t="str">
        <v>LOT0970</v>
      </c>
      <c r="BA2195" s="3">
        <v>24</v>
      </c>
      <c r="BB2195" t="str">
        <v>P/Prod</v>
      </c>
      <c r="BC2195">
        <v>60</v>
      </c>
      <c r="BD2195" s="10">
        <v>63.1</v>
      </c>
      <c r="BE2195" s="10">
        <v>63.9</v>
      </c>
      <c r="BF2195" s="10">
        <v>0</v>
      </c>
      <c r="BG2195" s="13">
        <v>45740</v>
      </c>
    </row>
    <row r="2196" spans="49:59" x14ac:dyDescent="0.3">
      <c r="AW2196" s="1">
        <v>24.1</v>
      </c>
      <c r="AX2196" s="1">
        <v>24.1</v>
      </c>
      <c r="AY2196" t="str">
        <v>CP-R80_HI782-0_0.0_LOT0970_PWW.12.1_QC.xlsx</v>
      </c>
      <c r="AZ2196" t="str">
        <v>LOT0970</v>
      </c>
      <c r="BA2196" s="3">
        <v>24</v>
      </c>
      <c r="BB2196" t="str">
        <v>P/Prod</v>
      </c>
      <c r="BC2196">
        <v>60</v>
      </c>
      <c r="BD2196" s="10">
        <v>64.400000000000006</v>
      </c>
      <c r="BE2196" s="10">
        <v>64</v>
      </c>
      <c r="BF2196" s="10">
        <v>0</v>
      </c>
      <c r="BG2196" s="13">
        <v>45740</v>
      </c>
    </row>
    <row r="2197" spans="49:59" x14ac:dyDescent="0.3">
      <c r="AW2197" s="1">
        <v>24.1</v>
      </c>
      <c r="AX2197" s="1">
        <v>24.1</v>
      </c>
      <c r="AY2197" t="str">
        <v>CP-R80_HI782-0_0.0_LOT0970_PWW.12.1_QC.xlsx</v>
      </c>
      <c r="AZ2197" t="str">
        <v>LOT0970</v>
      </c>
      <c r="BA2197" s="3">
        <v>24</v>
      </c>
      <c r="BB2197" t="str">
        <v>P/Prod</v>
      </c>
      <c r="BC2197">
        <v>60</v>
      </c>
      <c r="BD2197" s="10">
        <v>63.3</v>
      </c>
      <c r="BE2197" s="10">
        <v>63.9</v>
      </c>
      <c r="BF2197" s="10">
        <v>0</v>
      </c>
      <c r="BG2197" s="13">
        <v>45740</v>
      </c>
    </row>
    <row r="2198" spans="49:59" x14ac:dyDescent="0.3">
      <c r="AW2198" s="1">
        <v>24.1</v>
      </c>
      <c r="AX2198" s="1">
        <v>24.1</v>
      </c>
      <c r="AY2198" t="str">
        <v>CP-R80_HI782-0_0.0_LOT0970_PWW.12.1_QC.xlsx</v>
      </c>
      <c r="AZ2198" t="str">
        <v>LOT0970</v>
      </c>
      <c r="BA2198" s="3">
        <v>24</v>
      </c>
      <c r="BB2198" t="str">
        <v>P/Prod</v>
      </c>
      <c r="BC2198">
        <v>60</v>
      </c>
      <c r="BD2198" s="10">
        <v>59.5</v>
      </c>
      <c r="BE2198" s="10">
        <v>59.4</v>
      </c>
      <c r="BF2198" s="10">
        <v>0</v>
      </c>
      <c r="BG2198" s="13">
        <v>45740</v>
      </c>
    </row>
    <row r="2199" spans="49:59" x14ac:dyDescent="0.3">
      <c r="AW2199" s="1">
        <v>24.1</v>
      </c>
      <c r="AX2199" s="1">
        <v>24.1</v>
      </c>
      <c r="AY2199" t="str">
        <v>CP-R80_HI782-0_0.0_LOT0970_PWW.12.1_QC.xlsx</v>
      </c>
      <c r="AZ2199" t="str">
        <v>LOT0970</v>
      </c>
      <c r="BA2199" s="3">
        <v>24</v>
      </c>
      <c r="BB2199" t="str">
        <v>P/Prod</v>
      </c>
      <c r="BC2199">
        <v>60</v>
      </c>
      <c r="BD2199" s="10">
        <v>61.4</v>
      </c>
      <c r="BE2199" s="10">
        <v>61</v>
      </c>
      <c r="BF2199" s="10">
        <v>0</v>
      </c>
      <c r="BG2199" s="13">
        <v>45740</v>
      </c>
    </row>
    <row r="2200" spans="49:59" x14ac:dyDescent="0.3">
      <c r="AW2200" s="1">
        <v>24.1</v>
      </c>
      <c r="AX2200" s="1">
        <v>24.1</v>
      </c>
      <c r="AY2200" t="str">
        <v>CP-R80_HI782-0_0.0_LOT0970_PWW.12.1_QC.xlsx</v>
      </c>
      <c r="AZ2200" t="str">
        <v>LOT0970</v>
      </c>
      <c r="BA2200" s="3">
        <v>24</v>
      </c>
      <c r="BB2200" t="str">
        <v>P/Prod</v>
      </c>
      <c r="BC2200">
        <v>60</v>
      </c>
      <c r="BD2200" s="10">
        <v>62.3</v>
      </c>
      <c r="BE2200" s="10">
        <v>62</v>
      </c>
      <c r="BF2200" s="10">
        <v>0</v>
      </c>
      <c r="BG2200" s="13">
        <v>45740</v>
      </c>
    </row>
    <row r="2201" spans="49:59" x14ac:dyDescent="0.3">
      <c r="AW2201" s="1">
        <v>24.1</v>
      </c>
      <c r="AX2201" s="1">
        <v>24.1</v>
      </c>
      <c r="AY2201" t="str">
        <v>CP-R80_HI782-0_0.0_LOT0970_PWW.12.1_QC.xlsx</v>
      </c>
      <c r="AZ2201" t="str">
        <v>LOT0970</v>
      </c>
      <c r="BA2201" s="3">
        <v>24</v>
      </c>
      <c r="BB2201" t="str">
        <v>P/Prod</v>
      </c>
      <c r="BC2201">
        <v>60</v>
      </c>
      <c r="BD2201" s="10">
        <v>64.2</v>
      </c>
      <c r="BE2201" s="10">
        <v>64.2</v>
      </c>
      <c r="BF2201" s="10">
        <v>0</v>
      </c>
      <c r="BG2201" s="13">
        <v>45740</v>
      </c>
    </row>
    <row r="2202" spans="49:59" x14ac:dyDescent="0.3">
      <c r="AW2202" s="1">
        <v>24.1</v>
      </c>
      <c r="AX2202" s="1">
        <v>24.1</v>
      </c>
      <c r="AY2202" t="str">
        <v>CP-R80_HI782-0_0.0_LOT0970_PWW.12.1_QC.xlsx</v>
      </c>
      <c r="AZ2202" t="str">
        <v>LOT0970</v>
      </c>
      <c r="BA2202" s="3">
        <v>24</v>
      </c>
      <c r="BB2202" t="str">
        <v>P/Prod</v>
      </c>
      <c r="BC2202">
        <v>60</v>
      </c>
      <c r="BD2202" s="10">
        <v>63.1</v>
      </c>
      <c r="BE2202" s="10">
        <v>62.1</v>
      </c>
      <c r="BF2202" s="10">
        <v>0</v>
      </c>
      <c r="BG2202" s="13">
        <v>45740</v>
      </c>
    </row>
    <row r="2203" spans="49:59" x14ac:dyDescent="0.3">
      <c r="AW2203" s="1">
        <v>24.1</v>
      </c>
      <c r="AX2203" s="1">
        <v>24.1</v>
      </c>
      <c r="AY2203" t="str">
        <v>CP-R80_HI782-0_0.0_LOT0970_PWW.12.1_QC.xlsx</v>
      </c>
      <c r="AZ2203" t="str">
        <v>LOT0970</v>
      </c>
      <c r="BA2203" s="3">
        <v>24</v>
      </c>
      <c r="BB2203" t="str">
        <v>P/Prod</v>
      </c>
      <c r="BC2203">
        <v>60</v>
      </c>
      <c r="BD2203" s="10">
        <v>64.900000000000006</v>
      </c>
      <c r="BE2203" s="10">
        <v>64.599999999999994</v>
      </c>
      <c r="BF2203" s="10">
        <v>0</v>
      </c>
      <c r="BG2203" s="13">
        <v>45740</v>
      </c>
    </row>
    <row r="2204" spans="49:59" x14ac:dyDescent="0.3">
      <c r="AW2204" s="1">
        <v>24.1</v>
      </c>
      <c r="AX2204" s="1">
        <v>24.1</v>
      </c>
      <c r="AY2204" t="str">
        <v>CP-R80_HI782-0_0.0_LOT0970_PWW.12.1_QC.xlsx</v>
      </c>
      <c r="AZ2204" t="str">
        <v>LOT0970</v>
      </c>
      <c r="BA2204" s="3">
        <v>24</v>
      </c>
      <c r="BB2204" t="str">
        <v>P/Prod</v>
      </c>
      <c r="BC2204">
        <v>60</v>
      </c>
      <c r="BD2204" s="10">
        <v>59.8</v>
      </c>
      <c r="BE2204" s="10">
        <v>60</v>
      </c>
      <c r="BF2204" s="10">
        <v>0</v>
      </c>
      <c r="BG2204" s="13">
        <v>45740</v>
      </c>
    </row>
    <row r="2205" spans="49:59" x14ac:dyDescent="0.3">
      <c r="AW2205" s="1">
        <v>24.1</v>
      </c>
      <c r="AX2205" s="1">
        <v>24.1</v>
      </c>
      <c r="AY2205" t="str">
        <v>CP-R80_HI782-0_0.0_LOT0970_PWW.12.1_QC.xlsx</v>
      </c>
      <c r="AZ2205" t="str">
        <v>LOT0970</v>
      </c>
      <c r="BA2205" s="3">
        <v>24</v>
      </c>
      <c r="BB2205" t="str">
        <v>P/Prod</v>
      </c>
      <c r="BC2205">
        <v>0</v>
      </c>
      <c r="BD2205" s="10">
        <v>0</v>
      </c>
      <c r="BE2205" s="10">
        <v>0</v>
      </c>
      <c r="BF2205" s="10">
        <v>0</v>
      </c>
      <c r="BG2205" s="13">
        <v>45741</v>
      </c>
    </row>
    <row r="2206" spans="49:59" x14ac:dyDescent="0.3">
      <c r="AW2206" s="1">
        <v>24.1</v>
      </c>
      <c r="AX2206" s="1">
        <v>24.1</v>
      </c>
      <c r="AY2206" t="str">
        <v>CP-R80_HI782-0_0.0_LOT0970_PWW.12.1_QC.xlsx</v>
      </c>
      <c r="AZ2206" t="str">
        <v>LOT0970</v>
      </c>
      <c r="BA2206" s="3">
        <v>24</v>
      </c>
      <c r="BB2206" t="str">
        <v>P/Prod</v>
      </c>
      <c r="BC2206">
        <v>0</v>
      </c>
      <c r="BD2206" s="10">
        <v>0</v>
      </c>
      <c r="BE2206" s="10">
        <v>0</v>
      </c>
      <c r="BF2206" s="10">
        <v>0</v>
      </c>
      <c r="BG2206" s="13">
        <v>45741</v>
      </c>
    </row>
    <row r="2207" spans="49:59" x14ac:dyDescent="0.3">
      <c r="AW2207" s="1">
        <v>24.1</v>
      </c>
      <c r="AX2207" s="1">
        <v>24.1</v>
      </c>
      <c r="AY2207" t="str">
        <v>CP-R80_HI782-0_0.0_LOT0970_PWW.12.1_QC.xlsx</v>
      </c>
      <c r="AZ2207" t="str">
        <v>LOT0970</v>
      </c>
      <c r="BA2207" s="3">
        <v>24</v>
      </c>
      <c r="BB2207" t="str">
        <v>P/Prod</v>
      </c>
      <c r="BC2207">
        <v>0</v>
      </c>
      <c r="BD2207" s="10">
        <v>0</v>
      </c>
      <c r="BE2207" s="10">
        <v>0</v>
      </c>
      <c r="BF2207" s="10">
        <v>0</v>
      </c>
      <c r="BG2207" s="13">
        <v>45741</v>
      </c>
    </row>
    <row r="2208" spans="49:59" x14ac:dyDescent="0.3">
      <c r="AW2208" s="1">
        <v>24.1</v>
      </c>
      <c r="AX2208" s="1">
        <v>24.1</v>
      </c>
      <c r="AY2208" t="str">
        <v>CP-R80_HI782-0_0.0_LOT0970_PWW.12.1_QC.xlsx</v>
      </c>
      <c r="AZ2208" t="str">
        <v>LOT0970</v>
      </c>
      <c r="BA2208" s="3">
        <v>24</v>
      </c>
      <c r="BB2208" t="str">
        <v>P/Prod</v>
      </c>
      <c r="BC2208">
        <v>0</v>
      </c>
      <c r="BD2208" s="10">
        <v>0.1</v>
      </c>
      <c r="BE2208" s="10">
        <v>0</v>
      </c>
      <c r="BF2208" s="10">
        <v>0</v>
      </c>
      <c r="BG2208" s="13">
        <v>45741</v>
      </c>
    </row>
    <row r="2209" spans="49:59" x14ac:dyDescent="0.3">
      <c r="AW2209" s="1">
        <v>24.1</v>
      </c>
      <c r="AX2209" s="1">
        <v>24.1</v>
      </c>
      <c r="AY2209" t="str">
        <v>CP-R80_HI782-0_0.0_LOT0970_PWW.12.1_QC.xlsx</v>
      </c>
      <c r="AZ2209" t="str">
        <v>LOT0970</v>
      </c>
      <c r="BA2209" s="3">
        <v>24</v>
      </c>
      <c r="BB2209" t="str">
        <v>P/Prod</v>
      </c>
      <c r="BC2209">
        <v>0</v>
      </c>
      <c r="BD2209" s="10">
        <v>0</v>
      </c>
      <c r="BE2209" s="10">
        <v>0</v>
      </c>
      <c r="BF2209" s="10">
        <v>0</v>
      </c>
      <c r="BG2209" s="13">
        <v>45741</v>
      </c>
    </row>
    <row r="2210" spans="49:59" x14ac:dyDescent="0.3">
      <c r="AW2210" s="1">
        <v>24.1</v>
      </c>
      <c r="AX2210" s="1">
        <v>24.1</v>
      </c>
      <c r="AY2210" t="str">
        <v>CP-R80_HI782-0_0.0_LOT0970_PWW.12.1_QC.xlsx</v>
      </c>
      <c r="AZ2210" t="str">
        <v>LOT0970</v>
      </c>
      <c r="BA2210" s="3">
        <v>24</v>
      </c>
      <c r="BB2210" t="str">
        <v>P/Prod</v>
      </c>
      <c r="BC2210">
        <v>15</v>
      </c>
      <c r="BD2210" s="10">
        <v>14.2</v>
      </c>
      <c r="BE2210" s="10">
        <v>14.4</v>
      </c>
      <c r="BF2210" s="10">
        <v>0</v>
      </c>
      <c r="BG2210" s="13">
        <v>45741</v>
      </c>
    </row>
    <row r="2211" spans="49:59" x14ac:dyDescent="0.3">
      <c r="AW2211" s="1">
        <v>24.1</v>
      </c>
      <c r="AX2211" s="1">
        <v>24.1</v>
      </c>
      <c r="AY2211" t="str">
        <v>CP-R80_HI782-0_0.0_LOT0970_PWW.12.1_QC.xlsx</v>
      </c>
      <c r="AZ2211" t="str">
        <v>LOT0970</v>
      </c>
      <c r="BA2211" s="3">
        <v>24</v>
      </c>
      <c r="BB2211" t="str">
        <v>P/Prod</v>
      </c>
      <c r="BC2211">
        <v>15</v>
      </c>
      <c r="BD2211" s="10">
        <v>16.2</v>
      </c>
      <c r="BE2211" s="10">
        <v>16.3</v>
      </c>
      <c r="BF2211" s="10">
        <v>0</v>
      </c>
      <c r="BG2211" s="13">
        <v>45741</v>
      </c>
    </row>
    <row r="2212" spans="49:59" x14ac:dyDescent="0.3">
      <c r="AW2212" s="1">
        <v>24.1</v>
      </c>
      <c r="AX2212" s="1">
        <v>24.1</v>
      </c>
      <c r="AY2212" t="str">
        <v>CP-R80_HI782-0_0.0_LOT0970_PWW.12.1_QC.xlsx</v>
      </c>
      <c r="AZ2212" t="str">
        <v>LOT0970</v>
      </c>
      <c r="BA2212" s="3">
        <v>24</v>
      </c>
      <c r="BB2212" t="str">
        <v>P/Prod</v>
      </c>
      <c r="BC2212">
        <v>15</v>
      </c>
      <c r="BD2212" s="10">
        <v>16.600000000000001</v>
      </c>
      <c r="BE2212" s="10">
        <v>16.3</v>
      </c>
      <c r="BF2212" s="10">
        <v>0</v>
      </c>
      <c r="BG2212" s="13">
        <v>45741</v>
      </c>
    </row>
    <row r="2213" spans="49:59" x14ac:dyDescent="0.3">
      <c r="AW2213" s="1">
        <v>24.1</v>
      </c>
      <c r="AX2213" s="1">
        <v>24.1</v>
      </c>
      <c r="AY2213" t="str">
        <v>CP-R80_HI782-0_0.0_LOT0970_PWW.12.1_QC.xlsx</v>
      </c>
      <c r="AZ2213" t="str">
        <v>LOT0970</v>
      </c>
      <c r="BA2213" s="3">
        <v>24</v>
      </c>
      <c r="BB2213" t="str">
        <v>P/Prod</v>
      </c>
      <c r="BC2213">
        <v>15</v>
      </c>
      <c r="BD2213" s="10">
        <v>16.5</v>
      </c>
      <c r="BE2213" s="10">
        <v>16.5</v>
      </c>
      <c r="BF2213" s="10">
        <v>0</v>
      </c>
      <c r="BG2213" s="13">
        <v>45741</v>
      </c>
    </row>
    <row r="2214" spans="49:59" x14ac:dyDescent="0.3">
      <c r="AW2214" s="1">
        <v>24.1</v>
      </c>
      <c r="AX2214" s="1">
        <v>24.1</v>
      </c>
      <c r="AY2214" t="str">
        <v>CP-R80_HI782-0_0.0_LOT0970_PWW.12.1_QC.xlsx</v>
      </c>
      <c r="AZ2214" t="str">
        <v>LOT0970</v>
      </c>
      <c r="BA2214" s="3">
        <v>24</v>
      </c>
      <c r="BB2214" t="str">
        <v>P/Prod</v>
      </c>
      <c r="BC2214">
        <v>15</v>
      </c>
      <c r="BD2214" s="10">
        <v>16.8</v>
      </c>
      <c r="BE2214" s="10">
        <v>16.8</v>
      </c>
      <c r="BF2214" s="10">
        <v>0</v>
      </c>
      <c r="BG2214" s="13">
        <v>45741</v>
      </c>
    </row>
    <row r="2215" spans="49:59" x14ac:dyDescent="0.3">
      <c r="AW2215" s="1">
        <v>24.1</v>
      </c>
      <c r="AX2215" s="1">
        <v>24.1</v>
      </c>
      <c r="AY2215" t="str">
        <v>CP-R80_HI782-0_0.0_LOT0970_PWW.12.1_QC.xlsx</v>
      </c>
      <c r="AZ2215" t="str">
        <v>LOT0970</v>
      </c>
      <c r="BA2215" s="3">
        <v>24</v>
      </c>
      <c r="BB2215" t="str">
        <v>P/Prod</v>
      </c>
      <c r="BC2215">
        <v>15</v>
      </c>
      <c r="BD2215" s="10">
        <v>16.8</v>
      </c>
      <c r="BE2215" s="10">
        <v>16.899999999999999</v>
      </c>
      <c r="BF2215" s="10">
        <v>0</v>
      </c>
      <c r="BG2215" s="13">
        <v>45741</v>
      </c>
    </row>
    <row r="2216" spans="49:59" x14ac:dyDescent="0.3">
      <c r="AW2216" s="1">
        <v>24.1</v>
      </c>
      <c r="AX2216" s="1">
        <v>24.1</v>
      </c>
      <c r="AY2216" t="str">
        <v>CP-R80_HI782-0_0.0_LOT0970_PWW.12.1_QC.xlsx</v>
      </c>
      <c r="AZ2216" t="str">
        <v>LOT0970</v>
      </c>
      <c r="BA2216" s="3">
        <v>24</v>
      </c>
      <c r="BB2216" t="str">
        <v>P/Prod</v>
      </c>
      <c r="BC2216">
        <v>15</v>
      </c>
      <c r="BD2216" s="10">
        <v>15.8</v>
      </c>
      <c r="BE2216" s="10">
        <v>15.8</v>
      </c>
      <c r="BF2216" s="10">
        <v>0</v>
      </c>
      <c r="BG2216" s="13">
        <v>45741</v>
      </c>
    </row>
    <row r="2217" spans="49:59" x14ac:dyDescent="0.3">
      <c r="AW2217" s="1">
        <v>24.1</v>
      </c>
      <c r="AX2217" s="1">
        <v>24.1</v>
      </c>
      <c r="AY2217" t="str">
        <v>CP-R80_HI782-0_0.0_LOT0970_PWW.12.1_QC.xlsx</v>
      </c>
      <c r="AZ2217" t="str">
        <v>LOT0970</v>
      </c>
      <c r="BA2217" s="3">
        <v>24</v>
      </c>
      <c r="BB2217" t="str">
        <v>P/Prod</v>
      </c>
      <c r="BC2217">
        <v>15</v>
      </c>
      <c r="BD2217" s="10">
        <v>16.2</v>
      </c>
      <c r="BE2217" s="10">
        <v>16.3</v>
      </c>
      <c r="BF2217" s="10">
        <v>0</v>
      </c>
      <c r="BG2217" s="13">
        <v>45741</v>
      </c>
    </row>
    <row r="2218" spans="49:59" x14ac:dyDescent="0.3">
      <c r="AW2218" s="1">
        <v>24.1</v>
      </c>
      <c r="AX2218" s="1">
        <v>24.1</v>
      </c>
      <c r="AY2218" t="str">
        <v>CP-R80_HI782-0_0.0_LOT0970_PWW.12.1_QC.xlsx</v>
      </c>
      <c r="AZ2218" t="str">
        <v>LOT0970</v>
      </c>
      <c r="BA2218" s="3">
        <v>24</v>
      </c>
      <c r="BB2218" t="str">
        <v>P/Prod</v>
      </c>
      <c r="BC2218">
        <v>15</v>
      </c>
      <c r="BD2218" s="10">
        <v>15.2</v>
      </c>
      <c r="BE2218" s="10">
        <v>15.3</v>
      </c>
      <c r="BF2218" s="10">
        <v>0</v>
      </c>
      <c r="BG2218" s="13">
        <v>45741</v>
      </c>
    </row>
    <row r="2219" spans="49:59" x14ac:dyDescent="0.3">
      <c r="AW2219" s="1">
        <v>24.1</v>
      </c>
      <c r="AX2219" s="1">
        <v>24.1</v>
      </c>
      <c r="AY2219" t="str">
        <v>CP-R80_HI782-0_0.0_LOT0970_PWW.12.1_QC.xlsx</v>
      </c>
      <c r="AZ2219" t="str">
        <v>LOT0970</v>
      </c>
      <c r="BA2219" s="3">
        <v>24</v>
      </c>
      <c r="BB2219" t="str">
        <v>P/Prod</v>
      </c>
      <c r="BC2219">
        <v>15</v>
      </c>
      <c r="BD2219" s="10">
        <v>16</v>
      </c>
      <c r="BE2219" s="10">
        <v>15.8</v>
      </c>
      <c r="BF2219" s="10">
        <v>0</v>
      </c>
      <c r="BG2219" s="13">
        <v>45741</v>
      </c>
    </row>
    <row r="2220" spans="49:59" x14ac:dyDescent="0.3">
      <c r="AW2220" s="1">
        <v>24.1</v>
      </c>
      <c r="AX2220" s="1">
        <v>24.1</v>
      </c>
      <c r="AY2220" t="str">
        <v>CP-R80_HI782-0_0.0_LOT0970_PWW.12.1_QC.xlsx</v>
      </c>
      <c r="AZ2220" t="str">
        <v>LOT0970</v>
      </c>
      <c r="BA2220" s="3">
        <v>24</v>
      </c>
      <c r="BB2220" t="str">
        <v>P/Prod</v>
      </c>
      <c r="BC2220">
        <v>15</v>
      </c>
      <c r="BD2220" s="10">
        <v>16.3</v>
      </c>
      <c r="BE2220" s="10">
        <v>16.3</v>
      </c>
      <c r="BF2220" s="10">
        <v>0</v>
      </c>
      <c r="BG2220" s="13">
        <v>45741</v>
      </c>
    </row>
    <row r="2221" spans="49:59" x14ac:dyDescent="0.3">
      <c r="AW2221" s="1">
        <v>24.1</v>
      </c>
      <c r="AX2221" s="1">
        <v>24.1</v>
      </c>
      <c r="AY2221" t="str">
        <v>CP-R80_HI782-0_0.0_LOT0970_PWW.12.1_QC.xlsx</v>
      </c>
      <c r="AZ2221" t="str">
        <v>LOT0970</v>
      </c>
      <c r="BA2221" s="3">
        <v>24</v>
      </c>
      <c r="BB2221" t="str">
        <v>P/Prod</v>
      </c>
      <c r="BC2221">
        <v>15</v>
      </c>
      <c r="BD2221" s="10">
        <v>15.1</v>
      </c>
      <c r="BE2221" s="10">
        <v>15.2</v>
      </c>
      <c r="BF2221" s="10">
        <v>0</v>
      </c>
      <c r="BG2221" s="13">
        <v>45741</v>
      </c>
    </row>
    <row r="2222" spans="49:59" x14ac:dyDescent="0.3">
      <c r="AW2222" s="1">
        <v>24.1</v>
      </c>
      <c r="AX2222" s="1">
        <v>24.1</v>
      </c>
      <c r="AY2222" t="str">
        <v>CP-R80_HI782-0_0.0_LOT0970_PWW.12.1_QC.xlsx</v>
      </c>
      <c r="AZ2222" t="str">
        <v>LOT0970</v>
      </c>
      <c r="BA2222" s="3">
        <v>24</v>
      </c>
      <c r="BB2222" t="str">
        <v>P/Prod</v>
      </c>
      <c r="BC2222">
        <v>15</v>
      </c>
      <c r="BD2222" s="10">
        <v>16.7</v>
      </c>
      <c r="BE2222" s="10">
        <v>16.600000000000001</v>
      </c>
      <c r="BF2222" s="10">
        <v>0</v>
      </c>
      <c r="BG2222" s="13">
        <v>45741</v>
      </c>
    </row>
    <row r="2223" spans="49:59" x14ac:dyDescent="0.3">
      <c r="AW2223" s="1">
        <v>24.1</v>
      </c>
      <c r="AX2223" s="1">
        <v>24.1</v>
      </c>
      <c r="AY2223" t="str">
        <v>CP-R80_HI782-0_0.0_LOT0970_PWW.12.1_QC.xlsx</v>
      </c>
      <c r="AZ2223" t="str">
        <v>LOT0970</v>
      </c>
      <c r="BA2223" s="3">
        <v>24</v>
      </c>
      <c r="BB2223" t="str">
        <v>P/Prod</v>
      </c>
      <c r="BC2223">
        <v>15</v>
      </c>
      <c r="BD2223" s="10">
        <v>16.100000000000001</v>
      </c>
      <c r="BE2223" s="10">
        <v>16.3</v>
      </c>
      <c r="BF2223" s="10">
        <v>0</v>
      </c>
      <c r="BG2223" s="13">
        <v>45741</v>
      </c>
    </row>
    <row r="2224" spans="49:59" x14ac:dyDescent="0.3">
      <c r="AW2224" s="1">
        <v>24.1</v>
      </c>
      <c r="AX2224" s="1">
        <v>24.1</v>
      </c>
      <c r="AY2224" t="str">
        <v>CP-R80_HI782-0_0.0_LOT0970_PWW.12.1_QC.xlsx</v>
      </c>
      <c r="AZ2224" t="str">
        <v>LOT0970</v>
      </c>
      <c r="BA2224" s="3">
        <v>24</v>
      </c>
      <c r="BB2224" t="str">
        <v>P/Prod</v>
      </c>
      <c r="BC2224">
        <v>15</v>
      </c>
      <c r="BD2224" s="10">
        <v>16.600000000000001</v>
      </c>
      <c r="BE2224" s="10">
        <v>16.600000000000001</v>
      </c>
      <c r="BF2224" s="10">
        <v>0</v>
      </c>
      <c r="BG2224" s="13">
        <v>45741</v>
      </c>
    </row>
    <row r="2225" spans="49:59" x14ac:dyDescent="0.3">
      <c r="AW2225" s="1">
        <v>24.1</v>
      </c>
      <c r="AX2225" s="1">
        <v>24.1</v>
      </c>
      <c r="AY2225" t="str">
        <v>CP-R80_HI782-0_0.0_LOT0970_PWW.12.1_QC.xlsx</v>
      </c>
      <c r="AZ2225" t="str">
        <v>LOT0970</v>
      </c>
      <c r="BA2225" s="3">
        <v>24</v>
      </c>
      <c r="BB2225" t="str">
        <v>P/Prod</v>
      </c>
      <c r="BC2225">
        <v>15</v>
      </c>
      <c r="BD2225" s="10">
        <v>16.8</v>
      </c>
      <c r="BE2225" s="10">
        <v>16.899999999999999</v>
      </c>
      <c r="BF2225" s="10">
        <v>0</v>
      </c>
      <c r="BG2225" s="13">
        <v>45741</v>
      </c>
    </row>
    <row r="2226" spans="49:59" x14ac:dyDescent="0.3">
      <c r="AW2226" s="1">
        <v>24.1</v>
      </c>
      <c r="AX2226" s="1">
        <v>24.1</v>
      </c>
      <c r="AY2226" t="str">
        <v>CP-R80_HI782-0_0.0_LOT0970_PWW.12.1_QC.xlsx</v>
      </c>
      <c r="AZ2226" t="str">
        <v>LOT0970</v>
      </c>
      <c r="BA2226" s="3">
        <v>24</v>
      </c>
      <c r="BB2226" t="str">
        <v>P/Prod</v>
      </c>
      <c r="BC2226">
        <v>35</v>
      </c>
      <c r="BD2226" s="10">
        <v>40.9</v>
      </c>
      <c r="BE2226" s="10">
        <v>41.3</v>
      </c>
      <c r="BF2226" s="10">
        <v>0</v>
      </c>
      <c r="BG2226" s="13">
        <v>45741</v>
      </c>
    </row>
    <row r="2227" spans="49:59" x14ac:dyDescent="0.3">
      <c r="AW2227" s="1">
        <v>24.1</v>
      </c>
      <c r="AX2227" s="1">
        <v>24.1</v>
      </c>
      <c r="AY2227" t="str">
        <v>CP-R80_HI782-0_0.0_LOT0970_PWW.12.1_QC.xlsx</v>
      </c>
      <c r="AZ2227" t="str">
        <v>LOT0970</v>
      </c>
      <c r="BA2227" s="3">
        <v>24</v>
      </c>
      <c r="BB2227" t="str">
        <v>P/Prod</v>
      </c>
      <c r="BC2227">
        <v>35</v>
      </c>
      <c r="BD2227" s="10">
        <v>38.700000000000003</v>
      </c>
      <c r="BE2227" s="10">
        <v>38.5</v>
      </c>
      <c r="BF2227" s="10">
        <v>0</v>
      </c>
      <c r="BG2227" s="13">
        <v>45741</v>
      </c>
    </row>
    <row r="2228" spans="49:59" x14ac:dyDescent="0.3">
      <c r="AW2228" s="1">
        <v>24.1</v>
      </c>
      <c r="AX2228" s="1">
        <v>24.1</v>
      </c>
      <c r="AY2228" t="str">
        <v>CP-R80_HI782-0_0.0_LOT0970_PWW.12.1_QC.xlsx</v>
      </c>
      <c r="AZ2228" t="str">
        <v>LOT0970</v>
      </c>
      <c r="BA2228" s="3">
        <v>24</v>
      </c>
      <c r="BB2228" t="str">
        <v>P/Prod</v>
      </c>
      <c r="BC2228">
        <v>35</v>
      </c>
      <c r="BD2228" s="10">
        <v>38.200000000000003</v>
      </c>
      <c r="BE2228" s="10">
        <v>38.299999999999997</v>
      </c>
      <c r="BF2228" s="10">
        <v>0</v>
      </c>
      <c r="BG2228" s="13">
        <v>45741</v>
      </c>
    </row>
    <row r="2229" spans="49:59" x14ac:dyDescent="0.3">
      <c r="AW2229" s="1">
        <v>24.1</v>
      </c>
      <c r="AX2229" s="1">
        <v>24.1</v>
      </c>
      <c r="AY2229" t="str">
        <v>CP-R80_HI782-0_0.0_LOT0970_PWW.12.1_QC.xlsx</v>
      </c>
      <c r="AZ2229" t="str">
        <v>LOT0970</v>
      </c>
      <c r="BA2229" s="3">
        <v>24</v>
      </c>
      <c r="BB2229" t="str">
        <v>P/Prod</v>
      </c>
      <c r="BC2229">
        <v>35</v>
      </c>
      <c r="BD2229" s="10">
        <v>37.700000000000003</v>
      </c>
      <c r="BE2229" s="10">
        <v>37.700000000000003</v>
      </c>
      <c r="BF2229" s="10">
        <v>0</v>
      </c>
      <c r="BG2229" s="13">
        <v>45741</v>
      </c>
    </row>
    <row r="2230" spans="49:59" x14ac:dyDescent="0.3">
      <c r="AW2230" s="1">
        <v>24.1</v>
      </c>
      <c r="AX2230" s="1">
        <v>24.1</v>
      </c>
      <c r="AY2230" t="str">
        <v>CP-R80_HI782-0_0.0_LOT0970_PWW.12.1_QC.xlsx</v>
      </c>
      <c r="AZ2230" t="str">
        <v>LOT0970</v>
      </c>
      <c r="BA2230" s="3">
        <v>24</v>
      </c>
      <c r="BB2230" t="str">
        <v>P/Prod</v>
      </c>
      <c r="BC2230">
        <v>35</v>
      </c>
      <c r="BD2230" s="10">
        <v>39</v>
      </c>
      <c r="BE2230" s="10">
        <v>39.200000000000003</v>
      </c>
      <c r="BF2230" s="10">
        <v>0</v>
      </c>
      <c r="BG2230" s="13">
        <v>45741</v>
      </c>
    </row>
    <row r="2231" spans="49:59" x14ac:dyDescent="0.3">
      <c r="AW2231" s="1">
        <v>24.1</v>
      </c>
      <c r="AX2231" s="1">
        <v>24.1</v>
      </c>
      <c r="AY2231" t="str">
        <v>CP-R80_HI782-0_0.0_LOT0970_PWW.12.1_QC.xlsx</v>
      </c>
      <c r="AZ2231" t="str">
        <v>LOT0970</v>
      </c>
      <c r="BA2231" s="3">
        <v>24</v>
      </c>
      <c r="BB2231" t="str">
        <v>P/Prod</v>
      </c>
      <c r="BC2231">
        <v>35</v>
      </c>
      <c r="BD2231" s="10">
        <v>41.5</v>
      </c>
      <c r="BE2231" s="10">
        <v>41.6</v>
      </c>
      <c r="BF2231" s="10">
        <v>0</v>
      </c>
      <c r="BG2231" s="13">
        <v>45741</v>
      </c>
    </row>
    <row r="2232" spans="49:59" x14ac:dyDescent="0.3">
      <c r="AW2232" s="1">
        <v>24.1</v>
      </c>
      <c r="AX2232" s="1">
        <v>24.1</v>
      </c>
      <c r="AY2232" t="str">
        <v>CP-R80_HI782-0_0.0_LOT0970_PWW.12.1_QC.xlsx</v>
      </c>
      <c r="AZ2232" t="str">
        <v>LOT0970</v>
      </c>
      <c r="BA2232" s="3">
        <v>24</v>
      </c>
      <c r="BB2232" t="str">
        <v>P/Prod</v>
      </c>
      <c r="BC2232">
        <v>35</v>
      </c>
      <c r="BD2232" s="10">
        <v>38.299999999999997</v>
      </c>
      <c r="BE2232" s="10">
        <v>38.4</v>
      </c>
      <c r="BF2232" s="10">
        <v>0</v>
      </c>
      <c r="BG2232" s="13">
        <v>45741</v>
      </c>
    </row>
    <row r="2233" spans="49:59" x14ac:dyDescent="0.3">
      <c r="AW2233" s="1">
        <v>24.1</v>
      </c>
      <c r="AX2233" s="1">
        <v>24.1</v>
      </c>
      <c r="AY2233" t="str">
        <v>CP-R80_HI782-0_0.0_LOT0970_PWW.12.1_QC.xlsx</v>
      </c>
      <c r="AZ2233" t="str">
        <v>LOT0970</v>
      </c>
      <c r="BA2233" s="3">
        <v>24</v>
      </c>
      <c r="BB2233" t="str">
        <v>P/Prod</v>
      </c>
      <c r="BC2233">
        <v>35</v>
      </c>
      <c r="BD2233" s="10">
        <v>39.9</v>
      </c>
      <c r="BE2233" s="10">
        <v>39.9</v>
      </c>
      <c r="BF2233" s="10">
        <v>0</v>
      </c>
      <c r="BG2233" s="13">
        <v>45741</v>
      </c>
    </row>
    <row r="2234" spans="49:59" x14ac:dyDescent="0.3">
      <c r="AW2234" s="1">
        <v>24.1</v>
      </c>
      <c r="AX2234" s="1">
        <v>24.1</v>
      </c>
      <c r="AY2234" t="str">
        <v>CP-R80_HI782-0_0.0_LOT0970_PWW.12.1_QC.xlsx</v>
      </c>
      <c r="AZ2234" t="str">
        <v>LOT0970</v>
      </c>
      <c r="BA2234" s="3">
        <v>24</v>
      </c>
      <c r="BB2234" t="str">
        <v>P/Prod</v>
      </c>
      <c r="BC2234">
        <v>35</v>
      </c>
      <c r="BD2234" s="10">
        <v>38</v>
      </c>
      <c r="BE2234" s="10">
        <v>38.1</v>
      </c>
      <c r="BF2234" s="10">
        <v>0</v>
      </c>
      <c r="BG2234" s="13">
        <v>45741</v>
      </c>
    </row>
    <row r="2235" spans="49:59" x14ac:dyDescent="0.3">
      <c r="AW2235" s="1">
        <v>24.1</v>
      </c>
      <c r="AX2235" s="1">
        <v>24.1</v>
      </c>
      <c r="AY2235" t="str">
        <v>CP-R80_HI782-0_0.0_LOT0970_PWW.12.1_QC.xlsx</v>
      </c>
      <c r="AZ2235" t="str">
        <v>LOT0970</v>
      </c>
      <c r="BA2235" s="3">
        <v>24</v>
      </c>
      <c r="BB2235" t="str">
        <v>P/Prod</v>
      </c>
      <c r="BC2235">
        <v>35</v>
      </c>
      <c r="BD2235" s="10">
        <v>39</v>
      </c>
      <c r="BE2235" s="10">
        <v>39.200000000000003</v>
      </c>
      <c r="BF2235" s="10">
        <v>0</v>
      </c>
      <c r="BG2235" s="13">
        <v>45741</v>
      </c>
    </row>
    <row r="2236" spans="49:59" x14ac:dyDescent="0.3">
      <c r="AW2236" s="1">
        <v>24.1</v>
      </c>
      <c r="AX2236" s="1">
        <v>24.1</v>
      </c>
      <c r="AY2236" t="str">
        <v>CP-R80_HI782-0_0.0_LOT0970_PWW.12.1_QC.xlsx</v>
      </c>
      <c r="AZ2236" t="str">
        <v>LOT0970</v>
      </c>
      <c r="BA2236" s="3">
        <v>24</v>
      </c>
      <c r="BB2236" t="str">
        <v>P/Prod</v>
      </c>
      <c r="BC2236">
        <v>35</v>
      </c>
      <c r="BD2236" s="10">
        <v>39.1</v>
      </c>
      <c r="BE2236" s="10">
        <v>39.299999999999997</v>
      </c>
      <c r="BF2236" s="10">
        <v>0</v>
      </c>
      <c r="BG2236" s="13">
        <v>45741</v>
      </c>
    </row>
    <row r="2237" spans="49:59" x14ac:dyDescent="0.3">
      <c r="AW2237" s="1">
        <v>24.1</v>
      </c>
      <c r="AX2237" s="1">
        <v>24.1</v>
      </c>
      <c r="AY2237" t="str">
        <v>CP-R80_HI782-0_0.0_LOT0970_PWW.12.1_QC.xlsx</v>
      </c>
      <c r="AZ2237" t="str">
        <v>LOT0970</v>
      </c>
      <c r="BA2237" s="3">
        <v>24</v>
      </c>
      <c r="BB2237" t="str">
        <v>P/Prod</v>
      </c>
      <c r="BC2237">
        <v>35</v>
      </c>
      <c r="BD2237" s="10">
        <v>39.4</v>
      </c>
      <c r="BE2237" s="10">
        <v>39.700000000000003</v>
      </c>
      <c r="BF2237" s="10">
        <v>0</v>
      </c>
      <c r="BG2237" s="13">
        <v>45741</v>
      </c>
    </row>
    <row r="2238" spans="49:59" x14ac:dyDescent="0.3">
      <c r="AW2238" s="1">
        <v>24.1</v>
      </c>
      <c r="AX2238" s="1">
        <v>24.1</v>
      </c>
      <c r="AY2238" t="str">
        <v>CP-R80_HI782-0_0.0_LOT0970_PWW.12.1_QC.xlsx</v>
      </c>
      <c r="AZ2238" t="str">
        <v>LOT0970</v>
      </c>
      <c r="BA2238" s="3">
        <v>24</v>
      </c>
      <c r="BB2238" t="str">
        <v>P/Prod</v>
      </c>
      <c r="BC2238">
        <v>35</v>
      </c>
      <c r="BD2238" s="10">
        <v>38.5</v>
      </c>
      <c r="BE2238" s="10">
        <v>38.6</v>
      </c>
      <c r="BF2238" s="10">
        <v>0</v>
      </c>
      <c r="BG2238" s="13">
        <v>45741</v>
      </c>
    </row>
    <row r="2239" spans="49:59" x14ac:dyDescent="0.3">
      <c r="AW2239" s="1">
        <v>24.1</v>
      </c>
      <c r="AX2239" s="1">
        <v>24.1</v>
      </c>
      <c r="AY2239" t="str">
        <v>CP-R80_HI782-0_0.0_LOT0970_PWW.12.1_QC.xlsx</v>
      </c>
      <c r="AZ2239" t="str">
        <v>LOT0970</v>
      </c>
      <c r="BA2239" s="3">
        <v>24</v>
      </c>
      <c r="BB2239" t="str">
        <v>P/Prod</v>
      </c>
      <c r="BC2239">
        <v>35</v>
      </c>
      <c r="BD2239" s="10">
        <v>38.5</v>
      </c>
      <c r="BE2239" s="10">
        <v>38.6</v>
      </c>
      <c r="BF2239" s="10">
        <v>0</v>
      </c>
      <c r="BG2239" s="13">
        <v>45741</v>
      </c>
    </row>
    <row r="2240" spans="49:59" x14ac:dyDescent="0.3">
      <c r="AW2240" s="1">
        <v>24.1</v>
      </c>
      <c r="AX2240" s="1">
        <v>24.1</v>
      </c>
      <c r="AY2240" t="str">
        <v>CP-R80_HI782-0_0.0_LOT0970_PWW.12.1_QC.xlsx</v>
      </c>
      <c r="AZ2240" t="str">
        <v>LOT0970</v>
      </c>
      <c r="BA2240" s="3">
        <v>24</v>
      </c>
      <c r="BB2240" t="str">
        <v>P/Prod</v>
      </c>
      <c r="BC2240">
        <v>35</v>
      </c>
      <c r="BD2240" s="10">
        <v>39.799999999999997</v>
      </c>
      <c r="BE2240" s="10">
        <v>39.799999999999997</v>
      </c>
      <c r="BF2240" s="10">
        <v>0</v>
      </c>
      <c r="BG2240" s="13">
        <v>45741</v>
      </c>
    </row>
    <row r="2241" spans="49:59" x14ac:dyDescent="0.3">
      <c r="AW2241" s="1">
        <v>24.1</v>
      </c>
      <c r="AX2241" s="1">
        <v>24.1</v>
      </c>
      <c r="AY2241" t="str">
        <v>CP-R80_HI782-0_0.0_LOT0970_PWW.12.1_QC.xlsx</v>
      </c>
      <c r="AZ2241" t="str">
        <v>LOT0970</v>
      </c>
      <c r="BA2241" s="3">
        <v>24</v>
      </c>
      <c r="BB2241" t="str">
        <v>P/Prod</v>
      </c>
      <c r="BC2241">
        <v>35</v>
      </c>
      <c r="BD2241" s="10">
        <v>38.1</v>
      </c>
      <c r="BE2241" s="10">
        <v>38.1</v>
      </c>
      <c r="BF2241" s="10">
        <v>0</v>
      </c>
      <c r="BG2241" s="13">
        <v>45741</v>
      </c>
    </row>
    <row r="2242" spans="49:59" x14ac:dyDescent="0.3">
      <c r="AW2242" s="1">
        <v>24.1</v>
      </c>
      <c r="AX2242" s="1">
        <v>24.1</v>
      </c>
      <c r="AY2242" t="str">
        <v>CP-R80_HI782-0_0.0_LOT0970_PWW.12.1_QC.xlsx</v>
      </c>
      <c r="AZ2242" t="str">
        <v>LOT0970</v>
      </c>
      <c r="BA2242" s="3">
        <v>24</v>
      </c>
      <c r="BB2242" t="str">
        <v>P/Prod</v>
      </c>
      <c r="BC2242">
        <v>35</v>
      </c>
      <c r="BD2242" s="10">
        <v>37.1</v>
      </c>
      <c r="BE2242" s="10">
        <v>37.200000000000003</v>
      </c>
      <c r="BF2242" s="10">
        <v>0</v>
      </c>
      <c r="BG2242" s="13">
        <v>45741</v>
      </c>
    </row>
    <row r="2243" spans="49:59" x14ac:dyDescent="0.3">
      <c r="AW2243" s="1">
        <v>24.1</v>
      </c>
      <c r="AX2243" s="1">
        <v>24.1</v>
      </c>
      <c r="AY2243" t="str">
        <v>CP-R80_HI782-0_0.0_LOT0970_PWW.12.1_QC.xlsx</v>
      </c>
      <c r="AZ2243" t="str">
        <v>LOT0970</v>
      </c>
      <c r="BA2243" s="3">
        <v>24</v>
      </c>
      <c r="BB2243" t="str">
        <v>P/Prod</v>
      </c>
      <c r="BC2243">
        <v>35</v>
      </c>
      <c r="BD2243" s="10">
        <v>38.6</v>
      </c>
      <c r="BE2243" s="10">
        <v>38.700000000000003</v>
      </c>
      <c r="BF2243" s="10">
        <v>0</v>
      </c>
      <c r="BG2243" s="13">
        <v>45741</v>
      </c>
    </row>
    <row r="2244" spans="49:59" x14ac:dyDescent="0.3">
      <c r="AW2244" s="1">
        <v>24.1</v>
      </c>
      <c r="AX2244" s="1">
        <v>24.1</v>
      </c>
      <c r="AY2244" t="str">
        <v>CP-R80_HI782-0_0.0_LOT0970_PWW.12.1_QC.xlsx</v>
      </c>
      <c r="AZ2244" t="str">
        <v>LOT0970</v>
      </c>
      <c r="BA2244" s="3">
        <v>24</v>
      </c>
      <c r="BB2244" t="str">
        <v>P/Prod</v>
      </c>
      <c r="BC2244">
        <v>35</v>
      </c>
      <c r="BD2244" s="10">
        <v>38.299999999999997</v>
      </c>
      <c r="BE2244" s="10">
        <v>38.299999999999997</v>
      </c>
      <c r="BF2244" s="10">
        <v>0</v>
      </c>
      <c r="BG2244" s="13">
        <v>45741</v>
      </c>
    </row>
    <row r="2245" spans="49:59" x14ac:dyDescent="0.3">
      <c r="AW2245" s="1">
        <v>24.1</v>
      </c>
      <c r="AX2245" s="1">
        <v>24.1</v>
      </c>
      <c r="AY2245" t="str">
        <v>CP-R80_HI782-0_0.0_LOT0970_PWW.12.1_QC.xlsx</v>
      </c>
      <c r="AZ2245" t="str">
        <v>LOT0970</v>
      </c>
      <c r="BA2245" s="3">
        <v>24</v>
      </c>
      <c r="BB2245" t="str">
        <v>P/Prod</v>
      </c>
      <c r="BC2245">
        <v>35</v>
      </c>
      <c r="BD2245" s="10">
        <v>36.700000000000003</v>
      </c>
      <c r="BE2245" s="10">
        <v>36.700000000000003</v>
      </c>
      <c r="BF2245" s="10">
        <v>0</v>
      </c>
      <c r="BG2245" s="13">
        <v>45741</v>
      </c>
    </row>
    <row r="2246" spans="49:59" x14ac:dyDescent="0.3">
      <c r="AW2246" s="1">
        <v>24.1</v>
      </c>
      <c r="AX2246" s="1">
        <v>24.1</v>
      </c>
      <c r="AY2246" t="str">
        <v>CP-R80_HI782-0_0.0_LOT0970_PWW.12.1_QC.xlsx</v>
      </c>
      <c r="AZ2246" t="str">
        <v>LOT0970</v>
      </c>
      <c r="BA2246" s="3">
        <v>24</v>
      </c>
      <c r="BB2246" t="str">
        <v>P/Prod</v>
      </c>
      <c r="BC2246">
        <v>35</v>
      </c>
      <c r="BD2246" s="10">
        <v>37.1</v>
      </c>
      <c r="BE2246" s="10">
        <v>36.9</v>
      </c>
      <c r="BF2246" s="10">
        <v>0</v>
      </c>
      <c r="BG2246" s="13">
        <v>45741</v>
      </c>
    </row>
    <row r="2247" spans="49:59" x14ac:dyDescent="0.3">
      <c r="AW2247" s="1">
        <v>24.1</v>
      </c>
      <c r="AX2247" s="1">
        <v>24.1</v>
      </c>
      <c r="AY2247" t="str">
        <v>CP-R80_HI782-0_0.0_LOT0970_PWW.12.1_QC.xlsx</v>
      </c>
      <c r="AZ2247" t="str">
        <v>LOT0970</v>
      </c>
      <c r="BA2247" s="3">
        <v>24</v>
      </c>
      <c r="BB2247" t="str">
        <v>P/Prod</v>
      </c>
      <c r="BC2247">
        <v>35</v>
      </c>
      <c r="BD2247" s="10">
        <v>38</v>
      </c>
      <c r="BE2247" s="10">
        <v>37.9</v>
      </c>
      <c r="BF2247" s="10">
        <v>0</v>
      </c>
      <c r="BG2247" s="13">
        <v>45741</v>
      </c>
    </row>
    <row r="2248" spans="49:59" x14ac:dyDescent="0.3">
      <c r="AW2248" s="1">
        <v>24.1</v>
      </c>
      <c r="AX2248" s="1">
        <v>24.1</v>
      </c>
      <c r="AY2248" t="str">
        <v>CP-R80_HI782-0_0.0_LOT0970_PWW.12.1_QC.xlsx</v>
      </c>
      <c r="AZ2248" t="str">
        <v>LOT0970</v>
      </c>
      <c r="BA2248" s="3">
        <v>24</v>
      </c>
      <c r="BB2248" t="str">
        <v>P/Prod</v>
      </c>
      <c r="BC2248">
        <v>35</v>
      </c>
      <c r="BD2248" s="10">
        <v>38.700000000000003</v>
      </c>
      <c r="BE2248" s="10">
        <v>38.9</v>
      </c>
      <c r="BF2248" s="10">
        <v>0</v>
      </c>
      <c r="BG2248" s="13">
        <v>45741</v>
      </c>
    </row>
    <row r="2249" spans="49:59" x14ac:dyDescent="0.3">
      <c r="AW2249" s="1">
        <v>24.1</v>
      </c>
      <c r="AX2249" s="1">
        <v>24.1</v>
      </c>
      <c r="AY2249" t="str">
        <v>CP-R80_HI782-0_0.0_LOT0970_PWW.12.1_QC.xlsx</v>
      </c>
      <c r="AZ2249" t="str">
        <v>LOT0970</v>
      </c>
      <c r="BA2249" s="3">
        <v>24</v>
      </c>
      <c r="BB2249" t="str">
        <v>P/Prod</v>
      </c>
      <c r="BC2249">
        <v>60</v>
      </c>
      <c r="BD2249" s="10">
        <v>61.2</v>
      </c>
      <c r="BE2249" s="10">
        <v>61.3</v>
      </c>
      <c r="BF2249" s="10">
        <v>0</v>
      </c>
      <c r="BG2249" s="13">
        <v>45741</v>
      </c>
    </row>
    <row r="2250" spans="49:59" x14ac:dyDescent="0.3">
      <c r="AW2250" s="1">
        <v>24.1</v>
      </c>
      <c r="AX2250" s="1">
        <v>24.1</v>
      </c>
      <c r="AY2250" t="str">
        <v>CP-R80_HI782-0_0.0_LOT0970_PWW.12.1_QC.xlsx</v>
      </c>
      <c r="AZ2250" t="str">
        <v>LOT0970</v>
      </c>
      <c r="BA2250" s="3">
        <v>24</v>
      </c>
      <c r="BB2250" t="str">
        <v>P/Prod</v>
      </c>
      <c r="BC2250">
        <v>60</v>
      </c>
      <c r="BD2250" s="10">
        <v>64</v>
      </c>
      <c r="BE2250" s="10">
        <v>64</v>
      </c>
      <c r="BF2250" s="10">
        <v>0</v>
      </c>
      <c r="BG2250" s="13">
        <v>45741</v>
      </c>
    </row>
    <row r="2251" spans="49:59" x14ac:dyDescent="0.3">
      <c r="AW2251" s="1">
        <v>24.1</v>
      </c>
      <c r="AX2251" s="1">
        <v>24.1</v>
      </c>
      <c r="AY2251" t="str">
        <v>CP-R80_HI782-0_0.0_LOT0970_PWW.12.1_QC.xlsx</v>
      </c>
      <c r="AZ2251" t="str">
        <v>LOT0970</v>
      </c>
      <c r="BA2251" s="3">
        <v>24</v>
      </c>
      <c r="BB2251" t="str">
        <v>P/Prod</v>
      </c>
      <c r="BC2251">
        <v>60</v>
      </c>
      <c r="BD2251" s="10">
        <v>55.3</v>
      </c>
      <c r="BE2251" s="10">
        <v>55.6</v>
      </c>
      <c r="BF2251" s="10">
        <v>0</v>
      </c>
      <c r="BG2251" s="13">
        <v>45741</v>
      </c>
    </row>
    <row r="2252" spans="49:59" x14ac:dyDescent="0.3">
      <c r="AW2252" s="1">
        <v>24.1</v>
      </c>
      <c r="AX2252" s="1">
        <v>24.1</v>
      </c>
      <c r="AY2252" t="str">
        <v>CP-R80_HI782-0_0.0_LOT0970_PWW.12.1_QC.xlsx</v>
      </c>
      <c r="AZ2252" t="str">
        <v>LOT0970</v>
      </c>
      <c r="BA2252" s="3">
        <v>24</v>
      </c>
      <c r="BB2252" t="str">
        <v>P/Prod</v>
      </c>
      <c r="BC2252">
        <v>60</v>
      </c>
      <c r="BD2252" s="10">
        <v>60.3</v>
      </c>
      <c r="BE2252" s="10">
        <v>60.1</v>
      </c>
      <c r="BF2252" s="10">
        <v>0</v>
      </c>
      <c r="BG2252" s="13">
        <v>45741</v>
      </c>
    </row>
    <row r="2253" spans="49:59" x14ac:dyDescent="0.3">
      <c r="AW2253" s="1">
        <v>24.1</v>
      </c>
      <c r="AX2253" s="1">
        <v>24.1</v>
      </c>
      <c r="AY2253" t="str">
        <v>CP-R80_HI782-0_0.0_LOT0970_PWW.12.1_QC.xlsx</v>
      </c>
      <c r="AZ2253" t="str">
        <v>LOT0970</v>
      </c>
      <c r="BA2253" s="3">
        <v>24</v>
      </c>
      <c r="BB2253" t="str">
        <v>P/Prod</v>
      </c>
      <c r="BC2253">
        <v>60</v>
      </c>
      <c r="BD2253" s="10">
        <v>60.8</v>
      </c>
      <c r="BE2253" s="10">
        <v>60.4</v>
      </c>
      <c r="BF2253" s="10">
        <v>0</v>
      </c>
      <c r="BG2253" s="13">
        <v>45741</v>
      </c>
    </row>
    <row r="2254" spans="49:59" x14ac:dyDescent="0.3">
      <c r="AW2254" s="1">
        <v>24.1</v>
      </c>
      <c r="AX2254" s="1">
        <v>24.1</v>
      </c>
      <c r="AY2254" t="str">
        <v>CP-R80_HI782-0_0.0_LOT0970_PWW.12.1_QC.xlsx</v>
      </c>
      <c r="AZ2254" t="str">
        <v>LOT0970</v>
      </c>
      <c r="BA2254" s="3">
        <v>24</v>
      </c>
      <c r="BB2254" t="str">
        <v>P/Prod</v>
      </c>
      <c r="BC2254">
        <v>60</v>
      </c>
      <c r="BD2254" s="10">
        <v>60.4</v>
      </c>
      <c r="BE2254" s="10">
        <v>60.1</v>
      </c>
      <c r="BF2254" s="10">
        <v>0</v>
      </c>
      <c r="BG2254" s="13">
        <v>45741</v>
      </c>
    </row>
    <row r="2255" spans="49:59" x14ac:dyDescent="0.3">
      <c r="AW2255" s="1">
        <v>24.1</v>
      </c>
      <c r="AX2255" s="1">
        <v>24.1</v>
      </c>
      <c r="AY2255" t="str">
        <v>CP-R80_HI782-0_0.0_LOT0970_PWW.12.1_QC.xlsx</v>
      </c>
      <c r="AZ2255" t="str">
        <v>LOT0970</v>
      </c>
      <c r="BA2255" s="3">
        <v>24</v>
      </c>
      <c r="BB2255" t="str">
        <v>P/Prod</v>
      </c>
      <c r="BC2255">
        <v>60</v>
      </c>
      <c r="BD2255" s="10">
        <v>62.4</v>
      </c>
      <c r="BE2255" s="10">
        <v>62.3</v>
      </c>
      <c r="BF2255" s="10">
        <v>0</v>
      </c>
      <c r="BG2255" s="13">
        <v>45741</v>
      </c>
    </row>
    <row r="2256" spans="49:59" x14ac:dyDescent="0.3">
      <c r="AW2256" s="1">
        <v>24.1</v>
      </c>
      <c r="AX2256" s="1">
        <v>24.1</v>
      </c>
      <c r="AY2256" t="str">
        <v>CP-R80_HI782-0_0.0_LOT0970_PWW.12.1_QC.xlsx</v>
      </c>
      <c r="AZ2256" t="str">
        <v>LOT0970</v>
      </c>
      <c r="BA2256" s="3">
        <v>24</v>
      </c>
      <c r="BB2256" t="str">
        <v>P/Prod</v>
      </c>
      <c r="BC2256">
        <v>60</v>
      </c>
      <c r="BD2256" s="10">
        <v>56.9</v>
      </c>
      <c r="BE2256" s="10">
        <v>56.8</v>
      </c>
      <c r="BF2256" s="10">
        <v>0</v>
      </c>
      <c r="BG2256" s="13">
        <v>45741</v>
      </c>
    </row>
    <row r="2257" spans="49:59" x14ac:dyDescent="0.3">
      <c r="AW2257" s="1">
        <v>24.1</v>
      </c>
      <c r="AX2257" s="1">
        <v>24.1</v>
      </c>
      <c r="AY2257" t="str">
        <v>CP-R80_HI782-0_0.0_LOT0970_PWW.12.1_QC.xlsx</v>
      </c>
      <c r="AZ2257" t="str">
        <v>LOT0970</v>
      </c>
      <c r="BA2257" s="3">
        <v>24</v>
      </c>
      <c r="BB2257" t="str">
        <v>P/Prod</v>
      </c>
      <c r="BC2257">
        <v>60</v>
      </c>
      <c r="BD2257" s="10">
        <v>56.3</v>
      </c>
      <c r="BE2257" s="10">
        <v>56.5</v>
      </c>
      <c r="BF2257" s="10">
        <v>0</v>
      </c>
      <c r="BG2257" s="13">
        <v>45741</v>
      </c>
    </row>
    <row r="2258" spans="49:59" x14ac:dyDescent="0.3">
      <c r="AW2258" s="1">
        <v>24.1</v>
      </c>
      <c r="AX2258" s="1">
        <v>24.1</v>
      </c>
      <c r="AY2258" t="str">
        <v>CP-R80_HI782-0_0.0_LOT0970_PWW.12.1_QC.xlsx</v>
      </c>
      <c r="AZ2258" t="str">
        <v>LOT0970</v>
      </c>
      <c r="BA2258" s="3">
        <v>24</v>
      </c>
      <c r="BB2258" t="str">
        <v>P/Prod</v>
      </c>
      <c r="BC2258">
        <v>60</v>
      </c>
      <c r="BD2258" s="10">
        <v>59.1</v>
      </c>
      <c r="BE2258" s="10">
        <v>60.3</v>
      </c>
      <c r="BF2258" s="10">
        <v>0</v>
      </c>
      <c r="BG2258" s="13">
        <v>45741</v>
      </c>
    </row>
    <row r="2259" spans="49:59" x14ac:dyDescent="0.3">
      <c r="AW2259" s="1">
        <v>24.1</v>
      </c>
      <c r="AX2259" s="1">
        <v>24.1</v>
      </c>
      <c r="AY2259" t="str">
        <v>CP-R80_HI782-0_0.0_LOT0970_PWW.12.1_QC.xlsx</v>
      </c>
      <c r="AZ2259" t="str">
        <v>LOT0970</v>
      </c>
      <c r="BA2259" s="3">
        <v>24</v>
      </c>
      <c r="BB2259" t="str">
        <v>P/Prod</v>
      </c>
      <c r="BC2259">
        <v>60</v>
      </c>
      <c r="BD2259" s="10">
        <v>58.5</v>
      </c>
      <c r="BE2259" s="10">
        <v>58.6</v>
      </c>
      <c r="BF2259" s="10">
        <v>0</v>
      </c>
      <c r="BG2259" s="13">
        <v>45741</v>
      </c>
    </row>
    <row r="2260" spans="49:59" x14ac:dyDescent="0.3">
      <c r="AW2260" s="1">
        <v>24.1</v>
      </c>
      <c r="AX2260" s="1">
        <v>24.1</v>
      </c>
      <c r="AY2260" t="str">
        <v>CP-R80_HI782-0_0.0_LOT0970_PWW.12.1_QC.xlsx</v>
      </c>
      <c r="AZ2260" t="str">
        <v>LOT0970</v>
      </c>
      <c r="BA2260" s="3">
        <v>24</v>
      </c>
      <c r="BB2260" t="str">
        <v>P/Prod</v>
      </c>
      <c r="BC2260">
        <v>60</v>
      </c>
      <c r="BD2260" s="10">
        <v>63.5</v>
      </c>
      <c r="BE2260" s="10">
        <v>63.6</v>
      </c>
      <c r="BF2260" s="10">
        <v>0</v>
      </c>
      <c r="BG2260" s="13">
        <v>45741</v>
      </c>
    </row>
    <row r="2261" spans="49:59" x14ac:dyDescent="0.3">
      <c r="AW2261" s="1">
        <v>24.1</v>
      </c>
      <c r="AX2261" s="1">
        <v>24.1</v>
      </c>
      <c r="AY2261" t="str">
        <v>CP-R80_HI782-0_0.0_LOT0970_PWW.12.1_QC.xlsx</v>
      </c>
      <c r="AZ2261" t="str">
        <v>LOT0970</v>
      </c>
      <c r="BA2261" s="3">
        <v>24</v>
      </c>
      <c r="BB2261" t="str">
        <v>P/Prod</v>
      </c>
      <c r="BC2261">
        <v>60</v>
      </c>
      <c r="BD2261" s="10">
        <v>60.6</v>
      </c>
      <c r="BE2261" s="10">
        <v>61</v>
      </c>
      <c r="BF2261" s="10">
        <v>0</v>
      </c>
      <c r="BG2261" s="13">
        <v>45741</v>
      </c>
    </row>
    <row r="2262" spans="49:59" x14ac:dyDescent="0.3">
      <c r="AW2262" s="1">
        <v>24.1</v>
      </c>
      <c r="AX2262" s="1">
        <v>24.1</v>
      </c>
      <c r="AY2262" t="str">
        <v>CP-R80_HI782-0_0.0_LOT0970_PWW.12.1_QC.xlsx</v>
      </c>
      <c r="AZ2262" t="str">
        <v>LOT0970</v>
      </c>
      <c r="BA2262" s="3">
        <v>24</v>
      </c>
      <c r="BB2262" t="str">
        <v>P/Prod</v>
      </c>
      <c r="BC2262">
        <v>60</v>
      </c>
      <c r="BD2262" s="10">
        <v>63.4</v>
      </c>
      <c r="BE2262" s="10">
        <v>63.6</v>
      </c>
      <c r="BF2262" s="10">
        <v>0</v>
      </c>
      <c r="BG2262" s="13">
        <v>45741</v>
      </c>
    </row>
    <row r="2263" spans="49:59" x14ac:dyDescent="0.3">
      <c r="AW2263" s="1">
        <v>24.1</v>
      </c>
      <c r="AX2263" s="1">
        <v>24.1</v>
      </c>
      <c r="AY2263" t="str">
        <v>CP-R80_HI782-0_0.0_LOT0970_PWW.12.1_QC.xlsx</v>
      </c>
      <c r="AZ2263" t="str">
        <v>LOT0970</v>
      </c>
      <c r="BA2263" s="3">
        <v>24</v>
      </c>
      <c r="BB2263" t="str">
        <v>P/Prod</v>
      </c>
      <c r="BC2263">
        <v>60</v>
      </c>
      <c r="BD2263" s="10">
        <v>64.7</v>
      </c>
      <c r="BE2263" s="10">
        <v>64.8</v>
      </c>
      <c r="BF2263" s="10">
        <v>0</v>
      </c>
      <c r="BG2263" s="13">
        <v>45741</v>
      </c>
    </row>
    <row r="2264" spans="49:59" x14ac:dyDescent="0.3">
      <c r="AW2264" s="1">
        <v>24.1</v>
      </c>
      <c r="AX2264" s="1">
        <v>24.1</v>
      </c>
      <c r="AY2264" t="str">
        <v>CP-R80_HI782-0_0.0_LOT0970_PWW.12.1_QC.xlsx</v>
      </c>
      <c r="AZ2264" t="str">
        <v>LOT0970</v>
      </c>
      <c r="BA2264" s="3">
        <v>24</v>
      </c>
      <c r="BB2264" t="str">
        <v>P/Prod</v>
      </c>
      <c r="BC2264">
        <v>60</v>
      </c>
      <c r="BD2264" s="10">
        <v>62.2</v>
      </c>
      <c r="BE2264" s="10">
        <v>62.8</v>
      </c>
      <c r="BF2264" s="10">
        <v>0</v>
      </c>
      <c r="BG2264" s="13">
        <v>45741</v>
      </c>
    </row>
    <row r="2265" spans="49:59" x14ac:dyDescent="0.3">
      <c r="AW2265" s="1">
        <v>24.1</v>
      </c>
      <c r="AX2265" s="1">
        <v>24.1</v>
      </c>
      <c r="AY2265" t="str">
        <v>CP-R80_HI782-0_0.0_LOT0970_PWW.12.1_QC.xlsx</v>
      </c>
      <c r="AZ2265" t="str">
        <v>LOT0970</v>
      </c>
      <c r="BA2265" s="3">
        <v>24</v>
      </c>
      <c r="BB2265" t="str">
        <v>P/Prod</v>
      </c>
      <c r="BC2265">
        <v>60</v>
      </c>
      <c r="BD2265" s="10">
        <v>59.8</v>
      </c>
      <c r="BE2265" s="10">
        <v>59.6</v>
      </c>
      <c r="BF2265" s="10">
        <v>0</v>
      </c>
      <c r="BG2265" s="13">
        <v>45741</v>
      </c>
    </row>
    <row r="2266" spans="49:59" x14ac:dyDescent="0.3">
      <c r="AW2266" s="1">
        <v>24.1</v>
      </c>
      <c r="AX2266" s="1">
        <v>24.1</v>
      </c>
      <c r="AY2266" t="str">
        <v>CP-R80_HI782-0_0.0_LOT0970_PWW.12.1_QC.xlsx</v>
      </c>
      <c r="AZ2266" t="str">
        <v>LOT0970</v>
      </c>
      <c r="BA2266" s="3">
        <v>24</v>
      </c>
      <c r="BB2266" t="str">
        <v>P/Prod</v>
      </c>
      <c r="BC2266">
        <v>60</v>
      </c>
      <c r="BD2266" s="10">
        <v>62.5</v>
      </c>
      <c r="BE2266" s="10">
        <v>62.4</v>
      </c>
      <c r="BF2266" s="10">
        <v>0</v>
      </c>
      <c r="BG2266" s="13">
        <v>45741</v>
      </c>
    </row>
    <row r="2267" spans="49:59" x14ac:dyDescent="0.3">
      <c r="AW2267" s="1">
        <v>24.1</v>
      </c>
      <c r="AX2267" s="1">
        <v>24.1</v>
      </c>
      <c r="AY2267" t="str">
        <v>CP-R80_HI782-0_0.0_LOT0970_PWW.12.1_QC.xlsx</v>
      </c>
      <c r="AZ2267" t="str">
        <v>LOT0970</v>
      </c>
      <c r="BA2267" s="3">
        <v>24</v>
      </c>
      <c r="BB2267" t="str">
        <v>P/Prod</v>
      </c>
      <c r="BC2267">
        <v>0</v>
      </c>
      <c r="BD2267" s="10">
        <v>0</v>
      </c>
      <c r="BE2267" s="10">
        <v>0</v>
      </c>
      <c r="BF2267" s="10">
        <v>0</v>
      </c>
      <c r="BG2267" s="13">
        <v>45742</v>
      </c>
    </row>
    <row r="2268" spans="49:59" x14ac:dyDescent="0.3">
      <c r="AW2268" s="1">
        <v>24.1</v>
      </c>
      <c r="AX2268" s="1">
        <v>24.1</v>
      </c>
      <c r="AY2268" t="str">
        <v>CP-R80_HI782-0_0.0_LOT0970_PWW.12.1_QC.xlsx</v>
      </c>
      <c r="AZ2268" t="str">
        <v>LOT0970</v>
      </c>
      <c r="BA2268" s="3">
        <v>24</v>
      </c>
      <c r="BB2268" t="str">
        <v>P/Prod</v>
      </c>
      <c r="BC2268">
        <v>0</v>
      </c>
      <c r="BD2268" s="10">
        <v>0</v>
      </c>
      <c r="BE2268" s="10">
        <v>0.1</v>
      </c>
      <c r="BF2268" s="10">
        <v>0</v>
      </c>
      <c r="BG2268" s="13">
        <v>45742</v>
      </c>
    </row>
    <row r="2269" spans="49:59" x14ac:dyDescent="0.3">
      <c r="AW2269" s="1">
        <v>24.1</v>
      </c>
      <c r="AX2269" s="1">
        <v>24.1</v>
      </c>
      <c r="AY2269" t="str">
        <v>CP-R80_HI782-0_0.0_LOT0970_PWW.12.1_QC.xlsx</v>
      </c>
      <c r="AZ2269" t="str">
        <v>LOT0970</v>
      </c>
      <c r="BA2269" s="3">
        <v>24</v>
      </c>
      <c r="BB2269" t="str">
        <v>P/Prod</v>
      </c>
      <c r="BC2269">
        <v>15</v>
      </c>
      <c r="BD2269" s="10">
        <v>15.1</v>
      </c>
      <c r="BE2269" s="10">
        <v>15</v>
      </c>
      <c r="BF2269" s="10">
        <v>0</v>
      </c>
      <c r="BG2269" s="13">
        <v>45742</v>
      </c>
    </row>
    <row r="2270" spans="49:59" x14ac:dyDescent="0.3">
      <c r="AW2270" s="1">
        <v>24.1</v>
      </c>
      <c r="AX2270" s="1">
        <v>24.1</v>
      </c>
      <c r="AY2270" t="str">
        <v>CP-R80_HI782-0_0.0_LOT0970_PWW.12.1_QC.xlsx</v>
      </c>
      <c r="AZ2270" t="str">
        <v>LOT0970</v>
      </c>
      <c r="BA2270" s="3">
        <v>24</v>
      </c>
      <c r="BB2270" t="str">
        <v>P/Prod</v>
      </c>
      <c r="BC2270">
        <v>15</v>
      </c>
      <c r="BD2270" s="10">
        <v>14.6</v>
      </c>
      <c r="BE2270" s="10">
        <v>14.6</v>
      </c>
      <c r="BF2270" s="10">
        <v>0</v>
      </c>
      <c r="BG2270" s="13">
        <v>45742</v>
      </c>
    </row>
    <row r="2271" spans="49:59" x14ac:dyDescent="0.3">
      <c r="AW2271" s="1">
        <v>24.1</v>
      </c>
      <c r="AX2271" s="1">
        <v>24.1</v>
      </c>
      <c r="AY2271" t="str">
        <v>CP-R80_HI782-0_0.0_LOT0970_PWW.12.1_QC.xlsx</v>
      </c>
      <c r="AZ2271" t="str">
        <v>LOT0970</v>
      </c>
      <c r="BA2271" s="3">
        <v>24</v>
      </c>
      <c r="BB2271" t="str">
        <v>P/Prod</v>
      </c>
      <c r="BC2271">
        <v>15</v>
      </c>
      <c r="BD2271" s="10">
        <v>14</v>
      </c>
      <c r="BE2271" s="10">
        <v>14.3</v>
      </c>
      <c r="BF2271" s="10">
        <v>0</v>
      </c>
      <c r="BG2271" s="13">
        <v>45742</v>
      </c>
    </row>
    <row r="2272" spans="49:59" x14ac:dyDescent="0.3">
      <c r="AW2272" s="1">
        <v>24.1</v>
      </c>
      <c r="AX2272" s="1">
        <v>24.1</v>
      </c>
      <c r="AY2272" t="str">
        <v>CP-R80_HI782-0_0.0_LOT0970_PWW.12.1_QC.xlsx</v>
      </c>
      <c r="AZ2272" t="str">
        <v>LOT0970</v>
      </c>
      <c r="BA2272" s="3">
        <v>24</v>
      </c>
      <c r="BB2272" t="str">
        <v>P/Prod</v>
      </c>
      <c r="BC2272">
        <v>15</v>
      </c>
      <c r="BD2272" s="10">
        <v>16.5</v>
      </c>
      <c r="BE2272" s="10">
        <v>16.5</v>
      </c>
      <c r="BF2272" s="10">
        <v>0</v>
      </c>
      <c r="BG2272" s="13">
        <v>45742</v>
      </c>
    </row>
    <row r="2273" spans="49:59" x14ac:dyDescent="0.3">
      <c r="AW2273" s="1">
        <v>24.1</v>
      </c>
      <c r="AX2273" s="1">
        <v>24.1</v>
      </c>
      <c r="AY2273" t="str">
        <v>CP-R80_HI782-0_0.0_LOT0970_PWW.12.1_QC.xlsx</v>
      </c>
      <c r="AZ2273" t="str">
        <v>LOT0970</v>
      </c>
      <c r="BA2273" s="3">
        <v>24</v>
      </c>
      <c r="BB2273" t="str">
        <v>P/Prod</v>
      </c>
      <c r="BC2273">
        <v>15</v>
      </c>
      <c r="BD2273" s="10">
        <v>16.399999999999999</v>
      </c>
      <c r="BE2273" s="10">
        <v>16.399999999999999</v>
      </c>
      <c r="BF2273" s="10">
        <v>0</v>
      </c>
      <c r="BG2273" s="13">
        <v>45742</v>
      </c>
    </row>
    <row r="2274" spans="49:59" x14ac:dyDescent="0.3">
      <c r="AW2274" s="1">
        <v>24.1</v>
      </c>
      <c r="AX2274" s="1">
        <v>24.1</v>
      </c>
      <c r="AY2274" t="str">
        <v>CP-R80_HI782-0_0.0_LOT0970_PWW.12.1_QC.xlsx</v>
      </c>
      <c r="AZ2274" t="str">
        <v>LOT0970</v>
      </c>
      <c r="BA2274" s="3">
        <v>24</v>
      </c>
      <c r="BB2274" t="str">
        <v>P/Prod</v>
      </c>
      <c r="BC2274">
        <v>15</v>
      </c>
      <c r="BD2274" s="10">
        <v>13.8</v>
      </c>
      <c r="BE2274" s="10">
        <v>14</v>
      </c>
      <c r="BF2274" s="10">
        <v>0</v>
      </c>
      <c r="BG2274" s="13">
        <v>45742</v>
      </c>
    </row>
    <row r="2275" spans="49:59" x14ac:dyDescent="0.3">
      <c r="AW2275" s="1">
        <v>24.1</v>
      </c>
      <c r="AX2275" s="1">
        <v>24.1</v>
      </c>
      <c r="AY2275" t="str">
        <v>CP-R80_HI782-0_0.0_LOT0970_PWW.12.1_QC.xlsx</v>
      </c>
      <c r="AZ2275" t="str">
        <v>LOT0970</v>
      </c>
      <c r="BA2275" s="3">
        <v>24</v>
      </c>
      <c r="BB2275" t="str">
        <v>P/Prod</v>
      </c>
      <c r="BC2275">
        <v>15</v>
      </c>
      <c r="BD2275" s="10">
        <v>16.3</v>
      </c>
      <c r="BE2275" s="10">
        <v>16.399999999999999</v>
      </c>
      <c r="BF2275" s="10">
        <v>0</v>
      </c>
      <c r="BG2275" s="13">
        <v>45742</v>
      </c>
    </row>
    <row r="2276" spans="49:59" x14ac:dyDescent="0.3">
      <c r="AW2276" s="1">
        <v>24.1</v>
      </c>
      <c r="AX2276" s="1">
        <v>24.1</v>
      </c>
      <c r="AY2276" t="str">
        <v>CP-R80_HI782-0_0.0_LOT0970_PWW.12.1_QC.xlsx</v>
      </c>
      <c r="AZ2276" t="str">
        <v>LOT0970</v>
      </c>
      <c r="BA2276" s="3">
        <v>24</v>
      </c>
      <c r="BB2276" t="str">
        <v>P/Prod</v>
      </c>
      <c r="BC2276">
        <v>15</v>
      </c>
      <c r="BD2276" s="10">
        <v>13.4</v>
      </c>
      <c r="BE2276" s="10">
        <v>13.3</v>
      </c>
      <c r="BF2276" s="10">
        <v>0</v>
      </c>
      <c r="BG2276" s="13">
        <v>45742</v>
      </c>
    </row>
    <row r="2277" spans="49:59" x14ac:dyDescent="0.3">
      <c r="AW2277" s="1">
        <v>24.1</v>
      </c>
      <c r="AX2277" s="1">
        <v>24.1</v>
      </c>
      <c r="AY2277" t="str">
        <v>CP-R80_HI782-0_0.0_LOT0970_PWW.12.1_QC.xlsx</v>
      </c>
      <c r="AZ2277" t="str">
        <v>LOT0970</v>
      </c>
      <c r="BA2277" s="3">
        <v>24</v>
      </c>
      <c r="BB2277" t="str">
        <v>P/Prod</v>
      </c>
      <c r="BC2277">
        <v>15</v>
      </c>
      <c r="BD2277" s="10">
        <v>15.9</v>
      </c>
      <c r="BE2277" s="10">
        <v>15.8</v>
      </c>
      <c r="BF2277" s="10">
        <v>0</v>
      </c>
      <c r="BG2277" s="13">
        <v>45742</v>
      </c>
    </row>
    <row r="2278" spans="49:59" x14ac:dyDescent="0.3">
      <c r="AW2278" s="1">
        <v>24.1</v>
      </c>
      <c r="AX2278" s="1">
        <v>24.1</v>
      </c>
      <c r="AY2278" t="str">
        <v>CP-R80_HI782-0_0.0_LOT0970_PWW.12.1_QC.xlsx</v>
      </c>
      <c r="AZ2278" t="str">
        <v>LOT0970</v>
      </c>
      <c r="BA2278" s="3">
        <v>24</v>
      </c>
      <c r="BB2278" t="str">
        <v>P/Prod</v>
      </c>
      <c r="BC2278">
        <v>15</v>
      </c>
      <c r="BD2278" s="10">
        <v>16.399999999999999</v>
      </c>
      <c r="BE2278" s="10">
        <v>16.5</v>
      </c>
      <c r="BF2278" s="10">
        <v>0</v>
      </c>
      <c r="BG2278" s="13">
        <v>45742</v>
      </c>
    </row>
    <row r="2279" spans="49:59" x14ac:dyDescent="0.3">
      <c r="AW2279" s="1">
        <v>24.1</v>
      </c>
      <c r="AX2279" s="1">
        <v>24.1</v>
      </c>
      <c r="AY2279" t="str">
        <v>CP-R80_HI782-0_0.0_LOT0970_PWW.12.1_QC.xlsx</v>
      </c>
      <c r="AZ2279" t="str">
        <v>LOT0970</v>
      </c>
      <c r="BA2279" s="3">
        <v>24</v>
      </c>
      <c r="BB2279" t="str">
        <v>P/Prod</v>
      </c>
      <c r="BC2279">
        <v>15</v>
      </c>
      <c r="BD2279" s="10">
        <v>14.6</v>
      </c>
      <c r="BE2279" s="10">
        <v>14.4</v>
      </c>
      <c r="BF2279" s="10">
        <v>0</v>
      </c>
      <c r="BG2279" s="13">
        <v>45742</v>
      </c>
    </row>
    <row r="2280" spans="49:59" x14ac:dyDescent="0.3">
      <c r="AW2280" s="1">
        <v>24.1</v>
      </c>
      <c r="AX2280" s="1">
        <v>24.1</v>
      </c>
      <c r="AY2280" t="str">
        <v>CP-R80_HI782-0_0.0_LOT0970_PWW.12.1_QC.xlsx</v>
      </c>
      <c r="AZ2280" t="str">
        <v>LOT0970</v>
      </c>
      <c r="BA2280" s="3">
        <v>24</v>
      </c>
      <c r="BB2280" t="str">
        <v>P/Prod</v>
      </c>
      <c r="BC2280">
        <v>15</v>
      </c>
      <c r="BD2280" s="10">
        <v>14.8</v>
      </c>
      <c r="BE2280" s="10">
        <v>14.8</v>
      </c>
      <c r="BF2280" s="10">
        <v>0</v>
      </c>
      <c r="BG2280" s="13">
        <v>45742</v>
      </c>
    </row>
    <row r="2281" spans="49:59" x14ac:dyDescent="0.3">
      <c r="AW2281" s="1">
        <v>24.1</v>
      </c>
      <c r="AX2281" s="1">
        <v>24.1</v>
      </c>
      <c r="AY2281" t="str">
        <v>CP-R80_HI782-0_0.0_LOT0970_PWW.12.1_QC.xlsx</v>
      </c>
      <c r="AZ2281" t="str">
        <v>LOT0970</v>
      </c>
      <c r="BA2281" s="3">
        <v>24</v>
      </c>
      <c r="BB2281" t="str">
        <v>P/Prod</v>
      </c>
      <c r="BC2281">
        <v>15</v>
      </c>
      <c r="BD2281" s="10">
        <v>16.899999999999999</v>
      </c>
      <c r="BE2281" s="10">
        <v>16.899999999999999</v>
      </c>
      <c r="BF2281" s="10">
        <v>0</v>
      </c>
      <c r="BG2281" s="13">
        <v>45742</v>
      </c>
    </row>
    <row r="2282" spans="49:59" x14ac:dyDescent="0.3">
      <c r="AW2282" s="1">
        <v>24.1</v>
      </c>
      <c r="AX2282" s="1">
        <v>24.1</v>
      </c>
      <c r="AY2282" t="str">
        <v>CP-R80_HI782-0_0.0_LOT0970_PWW.12.1_QC.xlsx</v>
      </c>
      <c r="AZ2282" t="str">
        <v>LOT0970</v>
      </c>
      <c r="BA2282" s="3">
        <v>24</v>
      </c>
      <c r="BB2282" t="str">
        <v>P/Prod</v>
      </c>
      <c r="BC2282">
        <v>15</v>
      </c>
      <c r="BD2282" s="10">
        <v>15.9</v>
      </c>
      <c r="BE2282" s="10">
        <v>16</v>
      </c>
      <c r="BF2282" s="10">
        <v>0</v>
      </c>
      <c r="BG2282" s="13">
        <v>45742</v>
      </c>
    </row>
    <row r="2283" spans="49:59" x14ac:dyDescent="0.3">
      <c r="AW2283" s="1">
        <v>24.1</v>
      </c>
      <c r="AX2283" s="1">
        <v>24.1</v>
      </c>
      <c r="AY2283" t="str">
        <v>CP-R80_HI782-0_0.0_LOT0970_PWW.12.1_QC.xlsx</v>
      </c>
      <c r="AZ2283" t="str">
        <v>LOT0970</v>
      </c>
      <c r="BA2283" s="3">
        <v>24</v>
      </c>
      <c r="BB2283" t="str">
        <v>P/Prod</v>
      </c>
      <c r="BC2283">
        <v>15</v>
      </c>
      <c r="BD2283" s="10">
        <v>16</v>
      </c>
      <c r="BE2283" s="10">
        <v>16</v>
      </c>
      <c r="BF2283" s="10">
        <v>0</v>
      </c>
      <c r="BG2283" s="13">
        <v>45742</v>
      </c>
    </row>
    <row r="2284" spans="49:59" x14ac:dyDescent="0.3">
      <c r="AW2284" s="1">
        <v>24.1</v>
      </c>
      <c r="AX2284" s="1">
        <v>24.1</v>
      </c>
      <c r="AY2284" t="str">
        <v>CP-R80_HI782-0_0.0_LOT0970_PWW.12.1_QC.xlsx</v>
      </c>
      <c r="AZ2284" t="str">
        <v>LOT0970</v>
      </c>
      <c r="BA2284" s="3">
        <v>24</v>
      </c>
      <c r="BB2284" t="str">
        <v>P/Prod</v>
      </c>
      <c r="BC2284">
        <v>15</v>
      </c>
      <c r="BD2284" s="10">
        <v>14.6</v>
      </c>
      <c r="BE2284" s="10">
        <v>14.5</v>
      </c>
      <c r="BF2284" s="10">
        <v>0</v>
      </c>
      <c r="BG2284" s="13">
        <v>45742</v>
      </c>
    </row>
    <row r="2285" spans="49:59" x14ac:dyDescent="0.3">
      <c r="AW2285" s="1">
        <v>24.1</v>
      </c>
      <c r="AX2285" s="1">
        <v>24.1</v>
      </c>
      <c r="AY2285" t="str">
        <v>CP-R80_HI782-0_0.0_LOT0970_PWW.12.1_QC.xlsx</v>
      </c>
      <c r="AZ2285" t="str">
        <v>LOT0970</v>
      </c>
      <c r="BA2285" s="3">
        <v>24</v>
      </c>
      <c r="BB2285" t="str">
        <v>P/Prod</v>
      </c>
      <c r="BC2285">
        <v>15</v>
      </c>
      <c r="BD2285" s="10">
        <v>14.6</v>
      </c>
      <c r="BE2285" s="10">
        <v>14.6</v>
      </c>
      <c r="BF2285" s="10">
        <v>0</v>
      </c>
      <c r="BG2285" s="13">
        <v>45742</v>
      </c>
    </row>
    <row r="2286" spans="49:59" x14ac:dyDescent="0.3">
      <c r="AW2286" s="1">
        <v>24.1</v>
      </c>
      <c r="AX2286" s="1">
        <v>24.1</v>
      </c>
      <c r="AY2286" t="str">
        <v>CP-R80_HI782-0_0.0_LOT0970_PWW.12.1_QC.xlsx</v>
      </c>
      <c r="AZ2286" t="str">
        <v>LOT0970</v>
      </c>
      <c r="BA2286" s="3">
        <v>24</v>
      </c>
      <c r="BB2286" t="str">
        <v>P/Prod</v>
      </c>
      <c r="BC2286">
        <v>15</v>
      </c>
      <c r="BD2286" s="10">
        <v>16.7</v>
      </c>
      <c r="BE2286" s="10">
        <v>16.7</v>
      </c>
      <c r="BF2286" s="10">
        <v>0</v>
      </c>
      <c r="BG2286" s="13">
        <v>45742</v>
      </c>
    </row>
    <row r="2287" spans="49:59" x14ac:dyDescent="0.3">
      <c r="AW2287" s="1">
        <v>24.1</v>
      </c>
      <c r="AX2287" s="1">
        <v>24.1</v>
      </c>
      <c r="AY2287" t="str">
        <v>CP-R80_HI782-0_0.0_LOT0970_PWW.12.1_QC.xlsx</v>
      </c>
      <c r="AZ2287" t="str">
        <v>LOT0970</v>
      </c>
      <c r="BA2287" s="3">
        <v>24</v>
      </c>
      <c r="BB2287" t="str">
        <v>P/Prod</v>
      </c>
      <c r="BC2287">
        <v>15</v>
      </c>
      <c r="BD2287" s="10">
        <v>15.5</v>
      </c>
      <c r="BE2287" s="10">
        <v>15.6</v>
      </c>
      <c r="BF2287" s="10">
        <v>0</v>
      </c>
      <c r="BG2287" s="13">
        <v>45742</v>
      </c>
    </row>
    <row r="2288" spans="49:59" x14ac:dyDescent="0.3">
      <c r="AW2288" s="1">
        <v>24.1</v>
      </c>
      <c r="AX2288" s="1">
        <v>24.1</v>
      </c>
      <c r="AY2288" t="str">
        <v>CP-R80_HI782-0_0.0_LOT0970_PWW.12.1_QC.xlsx</v>
      </c>
      <c r="AZ2288" t="str">
        <v>LOT0970</v>
      </c>
      <c r="BA2288" s="3">
        <v>24</v>
      </c>
      <c r="BB2288" t="str">
        <v>P/Prod</v>
      </c>
      <c r="BC2288">
        <v>15</v>
      </c>
      <c r="BD2288" s="10">
        <v>15</v>
      </c>
      <c r="BE2288" s="10">
        <v>15</v>
      </c>
      <c r="BF2288" s="10">
        <v>0</v>
      </c>
      <c r="BG2288" s="13">
        <v>45742</v>
      </c>
    </row>
    <row r="2289" spans="49:59" x14ac:dyDescent="0.3">
      <c r="AW2289" s="1">
        <v>24.1</v>
      </c>
      <c r="AX2289" s="1">
        <v>24.1</v>
      </c>
      <c r="AY2289" t="str">
        <v>CP-R80_HI782-0_0.0_LOT0970_PWW.12.1_QC.xlsx</v>
      </c>
      <c r="AZ2289" t="str">
        <v>LOT0970</v>
      </c>
      <c r="BA2289" s="3">
        <v>24</v>
      </c>
      <c r="BB2289" t="str">
        <v>P/Prod</v>
      </c>
      <c r="BC2289">
        <v>35</v>
      </c>
      <c r="BD2289" s="10">
        <v>38.200000000000003</v>
      </c>
      <c r="BE2289" s="10">
        <v>38.4</v>
      </c>
      <c r="BF2289" s="10">
        <v>0</v>
      </c>
      <c r="BG2289" s="13">
        <v>45742</v>
      </c>
    </row>
    <row r="2290" spans="49:59" x14ac:dyDescent="0.3">
      <c r="AW2290" s="1">
        <v>24.1</v>
      </c>
      <c r="AX2290" s="1">
        <v>24.1</v>
      </c>
      <c r="AY2290" t="str">
        <v>CP-R80_HI782-0_0.0_LOT0970_PWW.12.1_QC.xlsx</v>
      </c>
      <c r="AZ2290" t="str">
        <v>LOT0970</v>
      </c>
      <c r="BA2290" s="3">
        <v>24</v>
      </c>
      <c r="BB2290" t="str">
        <v>P/Prod</v>
      </c>
      <c r="BC2290">
        <v>35</v>
      </c>
      <c r="BD2290" s="10">
        <v>35.700000000000003</v>
      </c>
      <c r="BE2290" s="10">
        <v>35.799999999999997</v>
      </c>
      <c r="BF2290" s="10">
        <v>0</v>
      </c>
      <c r="BG2290" s="13">
        <v>45742</v>
      </c>
    </row>
    <row r="2291" spans="49:59" x14ac:dyDescent="0.3">
      <c r="AW2291" s="1">
        <v>24.1</v>
      </c>
      <c r="AX2291" s="1">
        <v>24.1</v>
      </c>
      <c r="AY2291" t="str">
        <v>CP-R80_HI782-0_0.0_LOT0970_PWW.12.1_QC.xlsx</v>
      </c>
      <c r="AZ2291" t="str">
        <v>LOT0970</v>
      </c>
      <c r="BA2291" s="3">
        <v>24</v>
      </c>
      <c r="BB2291" t="str">
        <v>P/Prod</v>
      </c>
      <c r="BC2291">
        <v>35</v>
      </c>
      <c r="BD2291" s="10">
        <v>37.9</v>
      </c>
      <c r="BE2291" s="10">
        <v>38</v>
      </c>
      <c r="BF2291" s="10">
        <v>0</v>
      </c>
      <c r="BG2291" s="13">
        <v>45742</v>
      </c>
    </row>
    <row r="2292" spans="49:59" x14ac:dyDescent="0.3">
      <c r="AW2292" s="1">
        <v>24.1</v>
      </c>
      <c r="AX2292" s="1">
        <v>24.1</v>
      </c>
      <c r="AY2292" t="str">
        <v>CP-R80_HI782-0_0.0_LOT0970_PWW.12.1_QC.xlsx</v>
      </c>
      <c r="AZ2292" t="str">
        <v>LOT0970</v>
      </c>
      <c r="BA2292" s="3">
        <v>24</v>
      </c>
      <c r="BB2292" t="str">
        <v>P/Prod</v>
      </c>
      <c r="BC2292">
        <v>35</v>
      </c>
      <c r="BD2292" s="10">
        <v>37.799999999999997</v>
      </c>
      <c r="BE2292" s="10">
        <v>37.9</v>
      </c>
      <c r="BF2292" s="10">
        <v>0</v>
      </c>
      <c r="BG2292" s="13">
        <v>45742</v>
      </c>
    </row>
    <row r="2293" spans="49:59" x14ac:dyDescent="0.3">
      <c r="AW2293" s="1">
        <v>24.1</v>
      </c>
      <c r="AX2293" s="1">
        <v>24.1</v>
      </c>
      <c r="AY2293" t="str">
        <v>CP-R80_HI782-0_0.0_LOT0970_PWW.12.1_QC.xlsx</v>
      </c>
      <c r="AZ2293" t="str">
        <v>LOT0970</v>
      </c>
      <c r="BA2293" s="3">
        <v>24</v>
      </c>
      <c r="BB2293" t="str">
        <v>P/Prod</v>
      </c>
      <c r="BC2293">
        <v>35</v>
      </c>
      <c r="BD2293" s="10">
        <v>39.799999999999997</v>
      </c>
      <c r="BE2293" s="10">
        <v>40.200000000000003</v>
      </c>
      <c r="BF2293" s="10">
        <v>0</v>
      </c>
      <c r="BG2293" s="13">
        <v>45742</v>
      </c>
    </row>
    <row r="2294" spans="49:59" x14ac:dyDescent="0.3">
      <c r="AW2294" s="1">
        <v>24.1</v>
      </c>
      <c r="AX2294" s="1">
        <v>24.1</v>
      </c>
      <c r="AY2294" t="str">
        <v>CP-R80_HI782-0_0.0_LOT0970_PWW.12.1_QC.xlsx</v>
      </c>
      <c r="AZ2294" t="str">
        <v>LOT0970</v>
      </c>
      <c r="BA2294" s="3">
        <v>24</v>
      </c>
      <c r="BB2294" t="str">
        <v>P/Prod</v>
      </c>
      <c r="BC2294">
        <v>35</v>
      </c>
      <c r="BD2294" s="10">
        <v>39.799999999999997</v>
      </c>
      <c r="BE2294" s="10">
        <v>40.200000000000003</v>
      </c>
      <c r="BF2294" s="10">
        <v>0</v>
      </c>
      <c r="BG2294" s="13">
        <v>45742</v>
      </c>
    </row>
    <row r="2295" spans="49:59" x14ac:dyDescent="0.3">
      <c r="AW2295" s="1">
        <v>24.1</v>
      </c>
      <c r="AX2295" s="1">
        <v>24.1</v>
      </c>
      <c r="AY2295" t="str">
        <v>CP-R80_HI782-0_0.0_LOT0970_PWW.12.1_QC.xlsx</v>
      </c>
      <c r="AZ2295" t="str">
        <v>LOT0970</v>
      </c>
      <c r="BA2295" s="3">
        <v>24</v>
      </c>
      <c r="BB2295" t="str">
        <v>P/Prod</v>
      </c>
      <c r="BC2295">
        <v>35</v>
      </c>
      <c r="BD2295" s="10">
        <v>37.700000000000003</v>
      </c>
      <c r="BE2295" s="10">
        <v>37.799999999999997</v>
      </c>
      <c r="BF2295" s="10">
        <v>0</v>
      </c>
      <c r="BG2295" s="13">
        <v>45742</v>
      </c>
    </row>
    <row r="2296" spans="49:59" x14ac:dyDescent="0.3">
      <c r="AW2296" s="1">
        <v>24.1</v>
      </c>
      <c r="AX2296" s="1">
        <v>24.1</v>
      </c>
      <c r="AY2296" t="str">
        <v>CP-R80_HI782-0_0.0_LOT0970_PWW.12.1_QC.xlsx</v>
      </c>
      <c r="AZ2296" t="str">
        <v>LOT0970</v>
      </c>
      <c r="BA2296" s="3">
        <v>24</v>
      </c>
      <c r="BB2296" t="str">
        <v>P/Prod</v>
      </c>
      <c r="BC2296">
        <v>35</v>
      </c>
      <c r="BD2296" s="10">
        <v>34.799999999999997</v>
      </c>
      <c r="BE2296" s="10">
        <v>34.799999999999997</v>
      </c>
      <c r="BF2296" s="10">
        <v>0</v>
      </c>
      <c r="BG2296" s="13">
        <v>45742</v>
      </c>
    </row>
    <row r="2297" spans="49:59" x14ac:dyDescent="0.3">
      <c r="AW2297" s="1">
        <v>24.1</v>
      </c>
      <c r="AX2297" s="1">
        <v>24.1</v>
      </c>
      <c r="AY2297" t="str">
        <v>CP-R80_HI782-0_0.0_LOT0970_PWW.12.1_QC.xlsx</v>
      </c>
      <c r="AZ2297" t="str">
        <v>LOT0970</v>
      </c>
      <c r="BA2297" s="3">
        <v>24</v>
      </c>
      <c r="BB2297" t="str">
        <v>P/Prod</v>
      </c>
      <c r="BC2297">
        <v>35</v>
      </c>
      <c r="BD2297" s="10">
        <v>38.200000000000003</v>
      </c>
      <c r="BE2297" s="10">
        <v>38.1</v>
      </c>
      <c r="BF2297" s="10">
        <v>0</v>
      </c>
      <c r="BG2297" s="13">
        <v>45742</v>
      </c>
    </row>
    <row r="2298" spans="49:59" x14ac:dyDescent="0.3">
      <c r="AW2298" s="1">
        <v>24.1</v>
      </c>
      <c r="AX2298" s="1">
        <v>24.1</v>
      </c>
      <c r="AY2298" t="str">
        <v>CP-R80_HI782-0_0.0_LOT0970_PWW.12.1_QC.xlsx</v>
      </c>
      <c r="AZ2298" t="str">
        <v>LOT0970</v>
      </c>
      <c r="BA2298" s="3">
        <v>24</v>
      </c>
      <c r="BB2298" t="str">
        <v>P/Prod</v>
      </c>
      <c r="BC2298">
        <v>35</v>
      </c>
      <c r="BD2298" s="10">
        <v>37.1</v>
      </c>
      <c r="BE2298" s="10">
        <v>37</v>
      </c>
      <c r="BF2298" s="10">
        <v>0</v>
      </c>
      <c r="BG2298" s="13">
        <v>45742</v>
      </c>
    </row>
    <row r="2299" spans="49:59" x14ac:dyDescent="0.3">
      <c r="AW2299" s="1">
        <v>24.1</v>
      </c>
      <c r="AX2299" s="1">
        <v>24.1</v>
      </c>
      <c r="AY2299" t="str">
        <v>CP-R80_HI782-0_0.0_LOT0970_PWW.12.1_QC.xlsx</v>
      </c>
      <c r="AZ2299" t="str">
        <v>LOT0970</v>
      </c>
      <c r="BA2299" s="3">
        <v>24</v>
      </c>
      <c r="BB2299" t="str">
        <v>P/Prod</v>
      </c>
      <c r="BC2299">
        <v>35</v>
      </c>
      <c r="BD2299" s="10">
        <v>32.799999999999997</v>
      </c>
      <c r="BE2299" s="10">
        <v>32.700000000000003</v>
      </c>
      <c r="BF2299" s="10">
        <v>0</v>
      </c>
      <c r="BG2299" s="13">
        <v>45742</v>
      </c>
    </row>
    <row r="2300" spans="49:59" x14ac:dyDescent="0.3">
      <c r="AW2300" s="1">
        <v>24.1</v>
      </c>
      <c r="AX2300" s="1">
        <v>24.1</v>
      </c>
      <c r="AY2300" t="str">
        <v>CP-R80_HI782-0_0.0_LOT0970_PWW.12.1_QC.xlsx</v>
      </c>
      <c r="AZ2300" t="str">
        <v>LOT0970</v>
      </c>
      <c r="BA2300" s="3">
        <v>24</v>
      </c>
      <c r="BB2300" t="str">
        <v>P/Prod</v>
      </c>
      <c r="BC2300">
        <v>35</v>
      </c>
      <c r="BD2300" s="10">
        <v>37.4</v>
      </c>
      <c r="BE2300" s="10">
        <v>38.1</v>
      </c>
      <c r="BF2300" s="10">
        <v>0</v>
      </c>
      <c r="BG2300" s="13">
        <v>45742</v>
      </c>
    </row>
    <row r="2301" spans="49:59" x14ac:dyDescent="0.3">
      <c r="AW2301" s="1">
        <v>24.1</v>
      </c>
      <c r="AX2301" s="1">
        <v>24.1</v>
      </c>
      <c r="AY2301" t="str">
        <v>CP-R80_HI782-0_0.0_LOT0970_PWW.12.1_QC.xlsx</v>
      </c>
      <c r="AZ2301" t="str">
        <v>LOT0970</v>
      </c>
      <c r="BA2301" s="3">
        <v>24</v>
      </c>
      <c r="BB2301" t="str">
        <v>P/Prod</v>
      </c>
      <c r="BC2301">
        <v>35</v>
      </c>
      <c r="BD2301" s="10">
        <v>35</v>
      </c>
      <c r="BE2301" s="10">
        <v>35.5</v>
      </c>
      <c r="BF2301" s="10">
        <v>0</v>
      </c>
      <c r="BG2301" s="13">
        <v>45742</v>
      </c>
    </row>
    <row r="2302" spans="49:59" x14ac:dyDescent="0.3">
      <c r="AW2302" s="1">
        <v>24.1</v>
      </c>
      <c r="AX2302" s="1">
        <v>24.1</v>
      </c>
      <c r="AY2302" t="str">
        <v>CP-R80_HI782-0_0.0_LOT0970_PWW.12.1_QC.xlsx</v>
      </c>
      <c r="AZ2302" t="str">
        <v>LOT0970</v>
      </c>
      <c r="BA2302" s="3">
        <v>24</v>
      </c>
      <c r="BB2302" t="str">
        <v>P/Prod</v>
      </c>
      <c r="BC2302">
        <v>35</v>
      </c>
      <c r="BD2302" s="10">
        <v>34.6</v>
      </c>
      <c r="BE2302" s="10">
        <v>34.9</v>
      </c>
      <c r="BF2302" s="10">
        <v>0</v>
      </c>
      <c r="BG2302" s="13">
        <v>45742</v>
      </c>
    </row>
    <row r="2303" spans="49:59" x14ac:dyDescent="0.3">
      <c r="AW2303" s="1">
        <v>24.1</v>
      </c>
      <c r="AX2303" s="1">
        <v>24.1</v>
      </c>
      <c r="AY2303" t="str">
        <v>CP-R80_HI782-0_0.0_LOT0970_PWW.12.1_QC.xlsx</v>
      </c>
      <c r="AZ2303" t="str">
        <v>LOT0970</v>
      </c>
      <c r="BA2303" s="3">
        <v>24</v>
      </c>
      <c r="BB2303" t="str">
        <v>P/Prod</v>
      </c>
      <c r="BC2303">
        <v>35</v>
      </c>
      <c r="BD2303" s="10">
        <v>33.9</v>
      </c>
      <c r="BE2303" s="10">
        <v>33.9</v>
      </c>
      <c r="BF2303" s="10">
        <v>0</v>
      </c>
      <c r="BG2303" s="13">
        <v>45742</v>
      </c>
    </row>
    <row r="2304" spans="49:59" x14ac:dyDescent="0.3">
      <c r="AW2304" s="1">
        <v>24.1</v>
      </c>
      <c r="AX2304" s="1">
        <v>24.1</v>
      </c>
      <c r="AY2304" t="str">
        <v>CP-R80_HI782-0_0.0_LOT0970_PWW.12.1_QC.xlsx</v>
      </c>
      <c r="AZ2304" t="str">
        <v>LOT0970</v>
      </c>
      <c r="BA2304" s="3">
        <v>24</v>
      </c>
      <c r="BB2304" t="str">
        <v>P/Prod</v>
      </c>
      <c r="BC2304">
        <v>35</v>
      </c>
      <c r="BD2304" s="10">
        <v>35.700000000000003</v>
      </c>
      <c r="BE2304" s="10">
        <v>35.799999999999997</v>
      </c>
      <c r="BF2304" s="10">
        <v>0</v>
      </c>
      <c r="BG2304" s="13">
        <v>45742</v>
      </c>
    </row>
    <row r="2305" spans="49:59" x14ac:dyDescent="0.3">
      <c r="AW2305" s="1">
        <v>24.1</v>
      </c>
      <c r="AX2305" s="1">
        <v>24.1</v>
      </c>
      <c r="AY2305" t="str">
        <v>CP-R80_HI782-0_0.0_LOT0970_PWW.12.1_QC.xlsx</v>
      </c>
      <c r="AZ2305" t="str">
        <v>LOT0970</v>
      </c>
      <c r="BA2305" s="3">
        <v>24</v>
      </c>
      <c r="BB2305" t="str">
        <v>P/Prod</v>
      </c>
      <c r="BC2305">
        <v>35</v>
      </c>
      <c r="BD2305" s="10">
        <v>33.200000000000003</v>
      </c>
      <c r="BE2305" s="10">
        <v>33.1</v>
      </c>
      <c r="BF2305" s="10">
        <v>0</v>
      </c>
      <c r="BG2305" s="13">
        <v>45742</v>
      </c>
    </row>
    <row r="2306" spans="49:59" x14ac:dyDescent="0.3">
      <c r="AW2306" s="1">
        <v>24.1</v>
      </c>
      <c r="AX2306" s="1">
        <v>24.1</v>
      </c>
      <c r="AY2306" t="str">
        <v>CP-R80_HI782-0_0.0_LOT0970_PWW.12.1_QC.xlsx</v>
      </c>
      <c r="AZ2306" t="str">
        <v>LOT0970</v>
      </c>
      <c r="BA2306" s="3">
        <v>24</v>
      </c>
      <c r="BB2306" t="str">
        <v>P/Prod</v>
      </c>
      <c r="BC2306">
        <v>35</v>
      </c>
      <c r="BD2306" s="10">
        <v>32.1</v>
      </c>
      <c r="BE2306" s="10">
        <v>32.200000000000003</v>
      </c>
      <c r="BF2306" s="10">
        <v>0</v>
      </c>
      <c r="BG2306" s="13">
        <v>45742</v>
      </c>
    </row>
    <row r="2307" spans="49:59" x14ac:dyDescent="0.3">
      <c r="AW2307" s="1">
        <v>24.1</v>
      </c>
      <c r="AX2307" s="1">
        <v>24.1</v>
      </c>
      <c r="AY2307" t="str">
        <v>CP-R80_HI782-0_0.0_LOT0970_PWW.12.1_QC.xlsx</v>
      </c>
      <c r="AZ2307" t="str">
        <v>LOT0970</v>
      </c>
      <c r="BA2307" s="3">
        <v>24</v>
      </c>
      <c r="BB2307" t="str">
        <v>P/Prod</v>
      </c>
      <c r="BC2307">
        <v>35</v>
      </c>
      <c r="BD2307" s="10">
        <v>35.799999999999997</v>
      </c>
      <c r="BE2307" s="10">
        <v>35.9</v>
      </c>
      <c r="BF2307" s="10">
        <v>0</v>
      </c>
      <c r="BG2307" s="13">
        <v>45742</v>
      </c>
    </row>
    <row r="2308" spans="49:59" x14ac:dyDescent="0.3">
      <c r="AW2308" s="1">
        <v>24.1</v>
      </c>
      <c r="AX2308" s="1">
        <v>24.1</v>
      </c>
      <c r="AY2308" t="str">
        <v>CP-R80_HI782-0_0.0_LOT0970_PWW.12.1_QC.xlsx</v>
      </c>
      <c r="AZ2308" t="str">
        <v>LOT0970</v>
      </c>
      <c r="BA2308" s="3">
        <v>24</v>
      </c>
      <c r="BB2308" t="str">
        <v>P/Prod</v>
      </c>
      <c r="BC2308">
        <v>35</v>
      </c>
      <c r="BD2308" s="10">
        <v>35.6</v>
      </c>
      <c r="BE2308" s="10">
        <v>35.700000000000003</v>
      </c>
      <c r="BF2308" s="10">
        <v>0</v>
      </c>
      <c r="BG2308" s="13">
        <v>45742</v>
      </c>
    </row>
    <row r="2309" spans="49:59" x14ac:dyDescent="0.3">
      <c r="AW2309" s="1">
        <v>24.1</v>
      </c>
      <c r="AX2309" s="1">
        <v>24.1</v>
      </c>
      <c r="AY2309" t="str">
        <v>CP-R80_HI782-0_0.0_LOT0970_PWW.12.1_QC.xlsx</v>
      </c>
      <c r="AZ2309" t="str">
        <v>LOT0970</v>
      </c>
      <c r="BA2309" s="3">
        <v>24</v>
      </c>
      <c r="BB2309" t="str">
        <v>P/Prod</v>
      </c>
      <c r="BC2309">
        <v>35</v>
      </c>
      <c r="BD2309" s="10">
        <v>35</v>
      </c>
      <c r="BE2309" s="10">
        <v>35</v>
      </c>
      <c r="BF2309" s="10">
        <v>0</v>
      </c>
      <c r="BG2309" s="13">
        <v>45742</v>
      </c>
    </row>
    <row r="2310" spans="49:59" x14ac:dyDescent="0.3">
      <c r="AW2310" s="1">
        <v>24.1</v>
      </c>
      <c r="AX2310" s="1">
        <v>24.1</v>
      </c>
      <c r="AY2310" t="str">
        <v>CP-R80_HI782-0_0.0_LOT0970_PWW.12.1_QC.xlsx</v>
      </c>
      <c r="AZ2310" t="str">
        <v>LOT0970</v>
      </c>
      <c r="BA2310" s="3">
        <v>24</v>
      </c>
      <c r="BB2310" t="str">
        <v>P/Prod</v>
      </c>
      <c r="BC2310">
        <v>60</v>
      </c>
      <c r="BD2310" s="10">
        <v>56.4</v>
      </c>
      <c r="BE2310" s="10">
        <v>56.5</v>
      </c>
      <c r="BF2310" s="10">
        <v>0</v>
      </c>
      <c r="BG2310" s="13">
        <v>45742</v>
      </c>
    </row>
    <row r="2311" spans="49:59" x14ac:dyDescent="0.3">
      <c r="AW2311" s="1">
        <v>24.1</v>
      </c>
      <c r="AX2311" s="1">
        <v>24.1</v>
      </c>
      <c r="AY2311" t="str">
        <v>CP-R80_HI782-0_0.0_LOT0970_PWW.12.1_QC.xlsx</v>
      </c>
      <c r="AZ2311" t="str">
        <v>LOT0970</v>
      </c>
      <c r="BA2311" s="3">
        <v>24</v>
      </c>
      <c r="BB2311" t="str">
        <v>P/Prod</v>
      </c>
      <c r="BC2311">
        <v>60</v>
      </c>
      <c r="BD2311" s="10">
        <v>64.599999999999994</v>
      </c>
      <c r="BE2311" s="10">
        <v>64.3</v>
      </c>
      <c r="BF2311" s="10">
        <v>0</v>
      </c>
      <c r="BG2311" s="13">
        <v>45742</v>
      </c>
    </row>
    <row r="2312" spans="49:59" x14ac:dyDescent="0.3">
      <c r="AW2312" s="1">
        <v>24.1</v>
      </c>
      <c r="AX2312" s="1">
        <v>24.1</v>
      </c>
      <c r="AY2312" t="str">
        <v>CP-R80_HI782-0_0.0_LOT0970_PWW.12.1_QC.xlsx</v>
      </c>
      <c r="AZ2312" t="str">
        <v>LOT0970</v>
      </c>
      <c r="BA2312" s="3">
        <v>24</v>
      </c>
      <c r="BB2312" t="str">
        <v>P/Prod</v>
      </c>
      <c r="BC2312">
        <v>60</v>
      </c>
      <c r="BD2312" s="10">
        <v>63</v>
      </c>
      <c r="BE2312" s="10">
        <v>63.5</v>
      </c>
      <c r="BF2312" s="10">
        <v>0</v>
      </c>
      <c r="BG2312" s="13">
        <v>45742</v>
      </c>
    </row>
    <row r="2313" spans="49:59" x14ac:dyDescent="0.3">
      <c r="AW2313" s="1">
        <v>24.1</v>
      </c>
      <c r="AX2313" s="1">
        <v>24.1</v>
      </c>
      <c r="AY2313" t="str">
        <v>CP-R80_HI782-0_0.0_LOT0970_PWW.12.1_QC.xlsx</v>
      </c>
      <c r="AZ2313" t="str">
        <v>LOT0970</v>
      </c>
      <c r="BA2313" s="3">
        <v>24</v>
      </c>
      <c r="BB2313" t="str">
        <v>P/Prod</v>
      </c>
      <c r="BC2313">
        <v>60</v>
      </c>
      <c r="BD2313" s="10">
        <v>61.6</v>
      </c>
      <c r="BE2313" s="10">
        <v>61.3</v>
      </c>
      <c r="BF2313" s="10">
        <v>0</v>
      </c>
      <c r="BG2313" s="13">
        <v>45742</v>
      </c>
    </row>
    <row r="2314" spans="49:59" x14ac:dyDescent="0.3">
      <c r="AW2314" s="1">
        <v>24.1</v>
      </c>
      <c r="AX2314" s="1">
        <v>24.1</v>
      </c>
      <c r="AY2314" t="str">
        <v>CP-R80_HI782-0_0.0_LOT0970_PWW.12.1_QC.xlsx</v>
      </c>
      <c r="AZ2314" t="str">
        <v>LOT0970</v>
      </c>
      <c r="BA2314" s="3">
        <v>24</v>
      </c>
      <c r="BB2314" t="str">
        <v>P/Prod</v>
      </c>
      <c r="BC2314">
        <v>60</v>
      </c>
      <c r="BD2314" s="10">
        <v>60.3</v>
      </c>
      <c r="BE2314" s="10">
        <v>60.4</v>
      </c>
      <c r="BF2314" s="10">
        <v>0</v>
      </c>
      <c r="BG2314" s="13">
        <v>45742</v>
      </c>
    </row>
    <row r="2315" spans="49:59" x14ac:dyDescent="0.3">
      <c r="AW2315" s="1">
        <v>24.1</v>
      </c>
      <c r="AX2315" s="1">
        <v>24.1</v>
      </c>
      <c r="AY2315" t="str">
        <v>CP-R80_HI782-0_0.0_LOT0970_PWW.12.1_QC.xlsx</v>
      </c>
      <c r="AZ2315" t="str">
        <v>LOT0970</v>
      </c>
      <c r="BA2315" s="3">
        <v>24</v>
      </c>
      <c r="BB2315" t="str">
        <v>P/Prod</v>
      </c>
      <c r="BC2315">
        <v>60</v>
      </c>
      <c r="BD2315" s="10">
        <v>58.3</v>
      </c>
      <c r="BE2315" s="10">
        <v>58.5</v>
      </c>
      <c r="BF2315" s="10">
        <v>0</v>
      </c>
      <c r="BG2315" s="13">
        <v>45742</v>
      </c>
    </row>
    <row r="2316" spans="49:59" x14ac:dyDescent="0.3">
      <c r="AW2316" s="1">
        <v>24.1</v>
      </c>
      <c r="AX2316" s="1">
        <v>24.1</v>
      </c>
      <c r="AY2316" t="str">
        <v>CP-R80_HI782-0_0.0_LOT0970_PWW.12.1_QC.xlsx</v>
      </c>
      <c r="AZ2316" t="str">
        <v>LOT0970</v>
      </c>
      <c r="BA2316" s="3">
        <v>24</v>
      </c>
      <c r="BB2316" t="str">
        <v>P/Prod</v>
      </c>
      <c r="BC2316">
        <v>60</v>
      </c>
      <c r="BD2316" s="10">
        <v>60.7</v>
      </c>
      <c r="BE2316" s="10">
        <v>60.6</v>
      </c>
      <c r="BF2316" s="10">
        <v>0</v>
      </c>
      <c r="BG2316" s="13">
        <v>45742</v>
      </c>
    </row>
    <row r="2317" spans="49:59" x14ac:dyDescent="0.3">
      <c r="AW2317" s="1">
        <v>24.1</v>
      </c>
      <c r="AX2317" s="1">
        <v>24.1</v>
      </c>
      <c r="AY2317" t="str">
        <v>CP-R80_HI782-0_0.0_LOT0970_PWW.12.1_QC.xlsx</v>
      </c>
      <c r="AZ2317" t="str">
        <v>LOT0970</v>
      </c>
      <c r="BA2317" s="3">
        <v>24</v>
      </c>
      <c r="BB2317" t="str">
        <v>P/Prod</v>
      </c>
      <c r="BC2317">
        <v>60</v>
      </c>
      <c r="BD2317" s="10">
        <v>61.3</v>
      </c>
      <c r="BE2317" s="10">
        <v>61.3</v>
      </c>
      <c r="BF2317" s="10">
        <v>0</v>
      </c>
      <c r="BG2317" s="13">
        <v>45742</v>
      </c>
    </row>
    <row r="2318" spans="49:59" x14ac:dyDescent="0.3">
      <c r="AW2318" s="1">
        <v>24.1</v>
      </c>
      <c r="AX2318" s="1">
        <v>24.1</v>
      </c>
      <c r="AY2318" t="str">
        <v>CP-R80_HI782-0_0.0_LOT0970_PWW.12.1_QC.xlsx</v>
      </c>
      <c r="AZ2318" t="str">
        <v>LOT0970</v>
      </c>
      <c r="BA2318" s="3">
        <v>24</v>
      </c>
      <c r="BB2318" t="str">
        <v>P/Prod</v>
      </c>
      <c r="BC2318">
        <v>60</v>
      </c>
      <c r="BD2318" s="10">
        <v>56.9</v>
      </c>
      <c r="BE2318" s="10">
        <v>57</v>
      </c>
      <c r="BF2318" s="10">
        <v>0</v>
      </c>
      <c r="BG2318" s="13">
        <v>45742</v>
      </c>
    </row>
    <row r="2319" spans="49:59" x14ac:dyDescent="0.3">
      <c r="AW2319" s="1">
        <v>24.1</v>
      </c>
      <c r="AX2319" s="1">
        <v>24.1</v>
      </c>
      <c r="AY2319" t="str">
        <v>CP-R80_HI782-0_0.0_LOT0970_PWW.12.1_QC.xlsx</v>
      </c>
      <c r="AZ2319" t="str">
        <v>LOT0970</v>
      </c>
      <c r="BA2319" s="3">
        <v>24</v>
      </c>
      <c r="BB2319" t="str">
        <v>P/Prod</v>
      </c>
      <c r="BC2319">
        <v>60</v>
      </c>
      <c r="BD2319" s="10">
        <v>59.6</v>
      </c>
      <c r="BE2319" s="10">
        <v>59.6</v>
      </c>
      <c r="BF2319" s="10">
        <v>0</v>
      </c>
      <c r="BG2319" s="13">
        <v>45742</v>
      </c>
    </row>
    <row r="2320" spans="49:59" x14ac:dyDescent="0.3">
      <c r="AW2320" s="1">
        <v>24.1</v>
      </c>
      <c r="AX2320" s="1">
        <v>24.1</v>
      </c>
      <c r="AY2320" t="str">
        <v>CP-R80_HI782-0_0.0_LOT0970_PWW.12.1_QC.xlsx</v>
      </c>
      <c r="AZ2320" t="str">
        <v>LOT0970</v>
      </c>
      <c r="BA2320" s="3">
        <v>24</v>
      </c>
      <c r="BB2320" t="str">
        <v>P/Prod</v>
      </c>
      <c r="BC2320">
        <v>60</v>
      </c>
      <c r="BD2320" s="10">
        <v>55.8</v>
      </c>
      <c r="BE2320" s="10">
        <v>55.9</v>
      </c>
      <c r="BF2320" s="10">
        <v>0</v>
      </c>
      <c r="BG2320" s="13">
        <v>45742</v>
      </c>
    </row>
    <row r="2321" spans="49:59" x14ac:dyDescent="0.3">
      <c r="AW2321" s="1">
        <v>24.1</v>
      </c>
      <c r="AX2321" s="1">
        <v>24.1</v>
      </c>
      <c r="AY2321" t="str">
        <v>CP-R80_HI782-0_0.0_LOT0970_PWW.12.1_QC.xlsx</v>
      </c>
      <c r="AZ2321" t="str">
        <v>LOT0970</v>
      </c>
      <c r="BA2321" s="3">
        <v>24</v>
      </c>
      <c r="BB2321" t="str">
        <v>P/Prod</v>
      </c>
      <c r="BC2321">
        <v>60</v>
      </c>
      <c r="BD2321" s="10">
        <v>57.4</v>
      </c>
      <c r="BE2321" s="10">
        <v>57.8</v>
      </c>
      <c r="BF2321" s="10">
        <v>0</v>
      </c>
      <c r="BG2321" s="13">
        <v>45742</v>
      </c>
    </row>
    <row r="2322" spans="49:59" x14ac:dyDescent="0.3">
      <c r="AW2322" s="1">
        <v>24.1</v>
      </c>
      <c r="AX2322" s="1">
        <v>24.1</v>
      </c>
      <c r="AY2322" t="str">
        <v>CP-R80_HI782-0_0.0_LOT0970_PWW.12.1_QC.xlsx</v>
      </c>
      <c r="AZ2322" t="str">
        <v>LOT0970</v>
      </c>
      <c r="BA2322" s="3">
        <v>24</v>
      </c>
      <c r="BB2322" t="str">
        <v>P/Prod</v>
      </c>
      <c r="BC2322">
        <v>60</v>
      </c>
      <c r="BD2322" s="10">
        <v>57.2</v>
      </c>
      <c r="BE2322" s="10">
        <v>57.7</v>
      </c>
      <c r="BF2322" s="10">
        <v>0</v>
      </c>
      <c r="BG2322" s="13">
        <v>45742</v>
      </c>
    </row>
    <row r="2323" spans="49:59" x14ac:dyDescent="0.3">
      <c r="AW2323" s="1">
        <v>24.1</v>
      </c>
      <c r="AX2323" s="1">
        <v>24.1</v>
      </c>
      <c r="AY2323" t="str">
        <v>CP-R80_HI782-0_0.0_LOT0970_PWW.12.1_QC.xlsx</v>
      </c>
      <c r="AZ2323" t="str">
        <v>LOT0970</v>
      </c>
      <c r="BA2323" s="3">
        <v>24</v>
      </c>
      <c r="BB2323" t="str">
        <v>P/Prod</v>
      </c>
      <c r="BC2323">
        <v>60</v>
      </c>
      <c r="BD2323" s="10">
        <v>58.7</v>
      </c>
      <c r="BE2323" s="10">
        <v>60.1</v>
      </c>
      <c r="BF2323" s="10">
        <v>0</v>
      </c>
      <c r="BG2323" s="13">
        <v>45742</v>
      </c>
    </row>
    <row r="2324" spans="49:59" x14ac:dyDescent="0.3">
      <c r="AW2324" s="1">
        <v>24.1</v>
      </c>
      <c r="AX2324" s="1">
        <v>24.1</v>
      </c>
      <c r="AY2324" t="str">
        <v>CP-R80_HI782-0_0.0_LOT0970_PWW.12.1_QC.xlsx</v>
      </c>
      <c r="AZ2324" t="str">
        <v>LOT0970</v>
      </c>
      <c r="BA2324" s="3">
        <v>24</v>
      </c>
      <c r="BB2324" t="str">
        <v>P/Prod</v>
      </c>
      <c r="BC2324">
        <v>60</v>
      </c>
      <c r="BD2324" s="10">
        <v>55.1</v>
      </c>
      <c r="BE2324" s="10">
        <v>55.6</v>
      </c>
      <c r="BF2324" s="10">
        <v>0</v>
      </c>
      <c r="BG2324" s="13">
        <v>45742</v>
      </c>
    </row>
    <row r="2325" spans="49:59" x14ac:dyDescent="0.3">
      <c r="AW2325" s="1">
        <v>24.1</v>
      </c>
      <c r="AX2325" s="1">
        <v>24.1</v>
      </c>
      <c r="AY2325" t="str">
        <v>CP-R80_HI782-0_0.0_LOT0970_PWW.12.1_QC.xlsx</v>
      </c>
      <c r="AZ2325" t="str">
        <v>LOT0970</v>
      </c>
      <c r="BA2325" s="3">
        <v>24</v>
      </c>
      <c r="BB2325" t="str">
        <v>P/Prod</v>
      </c>
      <c r="BC2325">
        <v>60</v>
      </c>
      <c r="BD2325" s="10">
        <v>56.2</v>
      </c>
      <c r="BE2325" s="10">
        <v>56.3</v>
      </c>
      <c r="BF2325" s="10">
        <v>0</v>
      </c>
      <c r="BG2325" s="13">
        <v>45742</v>
      </c>
    </row>
    <row r="2326" spans="49:59" x14ac:dyDescent="0.3">
      <c r="AW2326" s="1">
        <v>24.1</v>
      </c>
      <c r="AX2326" s="1">
        <v>24.1</v>
      </c>
      <c r="AY2326" t="str">
        <v>CP-R80_HI782-0_0.0_LOT0970_PWW.12.1_QC.xlsx</v>
      </c>
      <c r="AZ2326" t="str">
        <v>LOT0970</v>
      </c>
      <c r="BA2326" s="3">
        <v>24</v>
      </c>
      <c r="BB2326" t="str">
        <v>P/Prod</v>
      </c>
      <c r="BC2326">
        <v>60</v>
      </c>
      <c r="BD2326" s="10">
        <v>55.2</v>
      </c>
      <c r="BE2326" s="10">
        <v>55.9</v>
      </c>
      <c r="BF2326" s="10">
        <v>0</v>
      </c>
      <c r="BG2326" s="13">
        <v>45742</v>
      </c>
    </row>
    <row r="2327" spans="49:59" x14ac:dyDescent="0.3">
      <c r="AW2327" s="1">
        <v>24.1</v>
      </c>
      <c r="AX2327" s="1">
        <v>24.1</v>
      </c>
      <c r="AY2327" t="str">
        <v>CP-R80_HI782-0_0.0_LOT0970_PWW.12.1_QC.xlsx</v>
      </c>
      <c r="AZ2327" t="str">
        <v>LOT0970</v>
      </c>
      <c r="BA2327" s="3">
        <v>24</v>
      </c>
      <c r="BB2327" t="str">
        <v>P/Prod</v>
      </c>
      <c r="BC2327">
        <v>60</v>
      </c>
      <c r="BD2327" s="10">
        <v>55.3</v>
      </c>
      <c r="BE2327" s="10">
        <v>55.1</v>
      </c>
      <c r="BF2327" s="10">
        <v>0</v>
      </c>
      <c r="BG2327" s="13">
        <v>45742</v>
      </c>
    </row>
    <row r="2328" spans="49:59" x14ac:dyDescent="0.3">
      <c r="AW2328" s="1">
        <v>24.1</v>
      </c>
      <c r="AX2328" s="1">
        <v>24.1</v>
      </c>
      <c r="AY2328" t="str">
        <v>CP-R80_HI782-0_0.0_LOT0970_PWW.12.1_QC.xlsx</v>
      </c>
      <c r="AZ2328" t="str">
        <v>LOT0970</v>
      </c>
      <c r="BA2328" s="3">
        <v>24</v>
      </c>
      <c r="BB2328" t="str">
        <v>P/Prod</v>
      </c>
      <c r="BC2328">
        <v>60</v>
      </c>
      <c r="BD2328" s="10">
        <v>57</v>
      </c>
      <c r="BE2328" s="10">
        <v>57.2</v>
      </c>
      <c r="BF2328" s="10">
        <v>0</v>
      </c>
      <c r="BG2328" s="13">
        <v>45742</v>
      </c>
    </row>
    <row r="2329" spans="49:59" x14ac:dyDescent="0.3">
      <c r="AW2329" s="1">
        <v>24.1</v>
      </c>
      <c r="AX2329" s="1">
        <v>24.1</v>
      </c>
      <c r="AY2329" t="str">
        <v>CP-R80_HI782-0_0.0_LOT0970_PWW.12.1_QC.xlsx</v>
      </c>
      <c r="AZ2329" t="str">
        <v>LOT0970</v>
      </c>
      <c r="BA2329" s="3">
        <v>24</v>
      </c>
      <c r="BB2329" t="str">
        <v>P/Prod</v>
      </c>
      <c r="BC2329">
        <v>60</v>
      </c>
      <c r="BD2329" s="10">
        <v>56.6</v>
      </c>
      <c r="BE2329" s="10">
        <v>56.8</v>
      </c>
      <c r="BF2329" s="10">
        <v>0</v>
      </c>
      <c r="BG2329" s="13">
        <v>45742</v>
      </c>
    </row>
    <row r="2330" spans="49:59" x14ac:dyDescent="0.3">
      <c r="AW2330" s="1">
        <v>25.1</v>
      </c>
      <c r="AX2330" s="1">
        <v>25.1</v>
      </c>
      <c r="AY2330" t="str">
        <v>CP-R80_HI782-0_0.0_LOT0972_PWW.12.2_QC.xlsx</v>
      </c>
      <c r="AZ2330" t="str">
        <v>LOT0972</v>
      </c>
      <c r="BA2330" s="3">
        <v>25</v>
      </c>
      <c r="BB2330" t="str">
        <v>P/Prod</v>
      </c>
      <c r="BC2330">
        <v>0</v>
      </c>
      <c r="BD2330" s="10">
        <v>0</v>
      </c>
      <c r="BE2330" s="10">
        <v>0</v>
      </c>
      <c r="BF2330" s="10">
        <v>0</v>
      </c>
      <c r="BG2330" s="13">
        <v>45743</v>
      </c>
    </row>
    <row r="2331" spans="49:59" x14ac:dyDescent="0.3">
      <c r="AW2331" s="1">
        <v>25.1</v>
      </c>
      <c r="AX2331" s="1">
        <v>25.1</v>
      </c>
      <c r="AY2331" t="str">
        <v>CP-R80_HI782-0_0.0_LOT0972_PWW.12.2_QC.xlsx</v>
      </c>
      <c r="AZ2331" t="str">
        <v>LOT0972</v>
      </c>
      <c r="BA2331" s="3">
        <v>25</v>
      </c>
      <c r="BB2331" t="str">
        <v>P/Prod</v>
      </c>
      <c r="BC2331">
        <v>0</v>
      </c>
      <c r="BD2331" s="10">
        <v>0</v>
      </c>
      <c r="BE2331" s="10">
        <v>0</v>
      </c>
      <c r="BF2331" s="10">
        <v>0</v>
      </c>
      <c r="BG2331" s="13">
        <v>45743</v>
      </c>
    </row>
    <row r="2332" spans="49:59" x14ac:dyDescent="0.3">
      <c r="AW2332" s="1">
        <v>25.1</v>
      </c>
      <c r="AX2332" s="1">
        <v>25.1</v>
      </c>
      <c r="AY2332" t="str">
        <v>CP-R80_HI782-0_0.0_LOT0972_PWW.12.2_QC.xlsx</v>
      </c>
      <c r="AZ2332" t="str">
        <v>LOT0972</v>
      </c>
      <c r="BA2332" s="3">
        <v>25</v>
      </c>
      <c r="BB2332" t="str">
        <v>P/Prod</v>
      </c>
      <c r="BC2332">
        <v>15</v>
      </c>
      <c r="BD2332" s="10">
        <v>17</v>
      </c>
      <c r="BE2332" s="10">
        <v>16.899999999999999</v>
      </c>
      <c r="BF2332" s="10">
        <v>0</v>
      </c>
      <c r="BG2332" s="13">
        <v>45743</v>
      </c>
    </row>
    <row r="2333" spans="49:59" x14ac:dyDescent="0.3">
      <c r="AW2333" s="1">
        <v>24.1</v>
      </c>
      <c r="AX2333" s="1">
        <v>24.1</v>
      </c>
      <c r="AY2333" t="str">
        <v>CP-R80_HI782-0_0.0_LOT0970_PWW.12.1_QC.xlsx</v>
      </c>
      <c r="AZ2333" t="str">
        <v>LOT0970</v>
      </c>
      <c r="BA2333" s="3">
        <v>24</v>
      </c>
      <c r="BB2333" t="str">
        <v>P/FINAL</v>
      </c>
      <c r="BC2333">
        <v>15</v>
      </c>
      <c r="BD2333" s="10">
        <v>14.1</v>
      </c>
      <c r="BE2333" s="10">
        <v>14.2</v>
      </c>
      <c r="BF2333" s="10">
        <v>0</v>
      </c>
      <c r="BG2333" s="13">
        <v>45743</v>
      </c>
    </row>
    <row r="2334" spans="49:59" x14ac:dyDescent="0.3">
      <c r="AW2334" s="1">
        <v>24.1</v>
      </c>
      <c r="AX2334" s="1">
        <v>24.1</v>
      </c>
      <c r="AY2334" t="str">
        <v>CP-R80_HI782-0_0.0_LOT0970_PWW.12.1_QC.xlsx</v>
      </c>
      <c r="AZ2334" t="str">
        <v>LOT0970</v>
      </c>
      <c r="BA2334" s="3">
        <v>24</v>
      </c>
      <c r="BB2334" t="str">
        <v>P/FINAL</v>
      </c>
      <c r="BC2334">
        <v>15</v>
      </c>
      <c r="BD2334" s="10">
        <v>14.6</v>
      </c>
      <c r="BE2334" s="10">
        <v>14.6</v>
      </c>
      <c r="BF2334" s="10">
        <v>0</v>
      </c>
      <c r="BG2334" s="13">
        <v>45743</v>
      </c>
    </row>
    <row r="2335" spans="49:59" x14ac:dyDescent="0.3">
      <c r="AW2335" s="1">
        <v>25.1</v>
      </c>
      <c r="AX2335" s="1">
        <v>25.1</v>
      </c>
      <c r="AY2335" t="str">
        <v>CP-R80_HI782-0_0.0_LOT0972_PWW.12.2_QC.xlsx</v>
      </c>
      <c r="AZ2335" t="str">
        <v>LOT0972</v>
      </c>
      <c r="BA2335" s="3">
        <v>25</v>
      </c>
      <c r="BB2335" t="str">
        <v>P/Prod</v>
      </c>
      <c r="BC2335">
        <v>15</v>
      </c>
      <c r="BD2335" s="10">
        <v>17.5</v>
      </c>
      <c r="BE2335" s="10">
        <v>17.5</v>
      </c>
      <c r="BF2335" s="10">
        <v>0</v>
      </c>
      <c r="BG2335" s="13">
        <v>45743</v>
      </c>
    </row>
    <row r="2336" spans="49:59" x14ac:dyDescent="0.3">
      <c r="AW2336" s="1">
        <v>24.1</v>
      </c>
      <c r="AX2336" s="1">
        <v>24.1</v>
      </c>
      <c r="AY2336" t="str">
        <v>CP-R80_HI782-0_0.0_LOT0970_PWW.12.1_QC.xlsx</v>
      </c>
      <c r="AZ2336" t="str">
        <v>LOT0970</v>
      </c>
      <c r="BA2336" s="3">
        <v>24</v>
      </c>
      <c r="BB2336" t="str">
        <v>P/FINAL</v>
      </c>
      <c r="BC2336">
        <v>15</v>
      </c>
      <c r="BD2336" s="10">
        <v>15.1</v>
      </c>
      <c r="BE2336" s="10">
        <v>15</v>
      </c>
      <c r="BF2336" s="10">
        <v>0</v>
      </c>
      <c r="BG2336" s="13">
        <v>45743</v>
      </c>
    </row>
    <row r="2337" spans="49:59" x14ac:dyDescent="0.3">
      <c r="AW2337" s="1">
        <v>24.1</v>
      </c>
      <c r="AX2337" s="1">
        <v>24.1</v>
      </c>
      <c r="AY2337" t="str">
        <v>CP-R80_HI782-0_0.0_LOT0970_PWW.12.1_QC.xlsx</v>
      </c>
      <c r="AZ2337" t="str">
        <v>LOT0970</v>
      </c>
      <c r="BA2337" s="3">
        <v>24</v>
      </c>
      <c r="BB2337" t="str">
        <v>P/FINAL</v>
      </c>
      <c r="BC2337">
        <v>15</v>
      </c>
      <c r="BD2337" s="10">
        <v>16</v>
      </c>
      <c r="BE2337" s="10">
        <v>16</v>
      </c>
      <c r="BF2337" s="10">
        <v>0</v>
      </c>
      <c r="BG2337" s="13">
        <v>45743</v>
      </c>
    </row>
    <row r="2338" spans="49:59" x14ac:dyDescent="0.3">
      <c r="AW2338" s="1">
        <v>25.1</v>
      </c>
      <c r="AX2338" s="1">
        <v>25.1</v>
      </c>
      <c r="AY2338" t="str">
        <v>CP-R80_HI782-0_0.0_LOT0972_PWW.12.2_QC.xlsx</v>
      </c>
      <c r="AZ2338" t="str">
        <v>LOT0972</v>
      </c>
      <c r="BA2338" s="3">
        <v>25</v>
      </c>
      <c r="BB2338" t="str">
        <v>P/Prod</v>
      </c>
      <c r="BC2338">
        <v>15</v>
      </c>
      <c r="BD2338" s="10">
        <v>15.1</v>
      </c>
      <c r="BE2338" s="10">
        <v>15.1</v>
      </c>
      <c r="BF2338" s="10">
        <v>0</v>
      </c>
      <c r="BG2338" s="13">
        <v>45743</v>
      </c>
    </row>
    <row r="2339" spans="49:59" x14ac:dyDescent="0.3">
      <c r="AW2339" s="1">
        <v>25.1</v>
      </c>
      <c r="AX2339" s="1">
        <v>25.1</v>
      </c>
      <c r="AY2339" t="str">
        <v>CP-R80_HI782-0_0.0_LOT0972_PWW.12.2_QC.xlsx</v>
      </c>
      <c r="AZ2339" t="str">
        <v>LOT0972</v>
      </c>
      <c r="BA2339" s="3">
        <v>25</v>
      </c>
      <c r="BB2339" t="str">
        <v>P/Prod</v>
      </c>
      <c r="BC2339">
        <v>15</v>
      </c>
      <c r="BD2339" s="10">
        <v>14.8</v>
      </c>
      <c r="BE2339" s="10">
        <v>14.9</v>
      </c>
      <c r="BF2339" s="10">
        <v>0</v>
      </c>
      <c r="BG2339" s="13">
        <v>45743</v>
      </c>
    </row>
    <row r="2340" spans="49:59" x14ac:dyDescent="0.3">
      <c r="AW2340" s="1">
        <v>25.1</v>
      </c>
      <c r="AX2340" s="1">
        <v>25.1</v>
      </c>
      <c r="AY2340" t="str">
        <v>CP-R80_HI782-0_0.0_LOT0972_PWW.12.2_QC.xlsx</v>
      </c>
      <c r="AZ2340" t="str">
        <v>LOT0972</v>
      </c>
      <c r="BA2340" s="3">
        <v>25</v>
      </c>
      <c r="BB2340" t="str">
        <v>P/Prod</v>
      </c>
      <c r="BC2340">
        <v>35</v>
      </c>
      <c r="BD2340" s="10">
        <v>34.6</v>
      </c>
      <c r="BE2340" s="10">
        <v>34.700000000000003</v>
      </c>
      <c r="BF2340" s="10">
        <v>0</v>
      </c>
      <c r="BG2340" s="13">
        <v>45743</v>
      </c>
    </row>
    <row r="2341" spans="49:59" x14ac:dyDescent="0.3">
      <c r="AW2341" s="1">
        <v>25.1</v>
      </c>
      <c r="AX2341" s="1">
        <v>25.1</v>
      </c>
      <c r="AY2341" t="str">
        <v>CP-R80_HI782-0_0.0_LOT0972_PWW.12.2_QC.xlsx</v>
      </c>
      <c r="AZ2341" t="str">
        <v>LOT0972</v>
      </c>
      <c r="BA2341" s="3">
        <v>25</v>
      </c>
      <c r="BB2341" t="str">
        <v>P/Prod</v>
      </c>
      <c r="BC2341">
        <v>35</v>
      </c>
      <c r="BD2341" s="10">
        <v>37.799999999999997</v>
      </c>
      <c r="BE2341" s="10">
        <v>37.9</v>
      </c>
      <c r="BF2341" s="10">
        <v>0</v>
      </c>
      <c r="BG2341" s="13">
        <v>45743</v>
      </c>
    </row>
    <row r="2342" spans="49:59" x14ac:dyDescent="0.3">
      <c r="AW2342" s="1">
        <v>25.1</v>
      </c>
      <c r="AX2342" s="1">
        <v>25.1</v>
      </c>
      <c r="AY2342" t="str">
        <v>CP-R80_HI782-0_0.0_LOT0972_PWW.12.2_QC.xlsx</v>
      </c>
      <c r="AZ2342" t="str">
        <v>LOT0972</v>
      </c>
      <c r="BA2342" s="3">
        <v>25</v>
      </c>
      <c r="BB2342" t="str">
        <v>P/Prod</v>
      </c>
      <c r="BC2342">
        <v>35</v>
      </c>
      <c r="BD2342" s="10">
        <v>36.200000000000003</v>
      </c>
      <c r="BE2342" s="10">
        <v>36.299999999999997</v>
      </c>
      <c r="BF2342" s="10">
        <v>0</v>
      </c>
      <c r="BG2342" s="13">
        <v>45743</v>
      </c>
    </row>
    <row r="2343" spans="49:59" x14ac:dyDescent="0.3">
      <c r="AW2343" s="1">
        <v>25.1</v>
      </c>
      <c r="AX2343" s="1">
        <v>25.1</v>
      </c>
      <c r="AY2343" t="str">
        <v>CP-R80_HI782-0_0.0_LOT0972_PWW.12.2_QC.xlsx</v>
      </c>
      <c r="AZ2343" t="str">
        <v>LOT0972</v>
      </c>
      <c r="BA2343" s="3">
        <v>25</v>
      </c>
      <c r="BB2343" t="str">
        <v>P/Prod</v>
      </c>
      <c r="BC2343">
        <v>35</v>
      </c>
      <c r="BD2343" s="10">
        <v>37.5</v>
      </c>
      <c r="BE2343" s="10">
        <v>37.6</v>
      </c>
      <c r="BF2343" s="10">
        <v>0</v>
      </c>
      <c r="BG2343" s="13">
        <v>45743</v>
      </c>
    </row>
    <row r="2344" spans="49:59" x14ac:dyDescent="0.3">
      <c r="AW2344" s="1">
        <v>24.1</v>
      </c>
      <c r="AX2344" s="1">
        <v>24.1</v>
      </c>
      <c r="AY2344" t="str">
        <v>CP-R80_HI782-0_0.0_LOT0970_PWW.12.1_QC.xlsx</v>
      </c>
      <c r="AZ2344" t="str">
        <v>LOT0970</v>
      </c>
      <c r="BA2344" s="3">
        <v>24</v>
      </c>
      <c r="BB2344" t="str">
        <v>P/FINAL</v>
      </c>
      <c r="BC2344">
        <v>35</v>
      </c>
      <c r="BD2344" s="10">
        <v>35</v>
      </c>
      <c r="BE2344" s="10">
        <v>35.1</v>
      </c>
      <c r="BF2344" s="10">
        <v>0</v>
      </c>
      <c r="BG2344" s="13">
        <v>45743</v>
      </c>
    </row>
    <row r="2345" spans="49:59" x14ac:dyDescent="0.3">
      <c r="AW2345" s="1">
        <v>24.1</v>
      </c>
      <c r="AX2345" s="1">
        <v>24.1</v>
      </c>
      <c r="AY2345" t="str">
        <v>CP-R80_HI782-0_0.0_LOT0970_PWW.12.1_QC.xlsx</v>
      </c>
      <c r="AZ2345" t="str">
        <v>LOT0970</v>
      </c>
      <c r="BA2345" s="3">
        <v>24</v>
      </c>
      <c r="BB2345" t="str">
        <v>P/FINAL</v>
      </c>
      <c r="BC2345">
        <v>35</v>
      </c>
      <c r="BD2345" s="10">
        <v>37.700000000000003</v>
      </c>
      <c r="BE2345" s="10">
        <v>37.9</v>
      </c>
      <c r="BF2345" s="10">
        <v>0</v>
      </c>
      <c r="BG2345" s="13">
        <v>45743</v>
      </c>
    </row>
    <row r="2346" spans="49:59" x14ac:dyDescent="0.3">
      <c r="AW2346" s="1">
        <v>24.1</v>
      </c>
      <c r="AX2346" s="1">
        <v>24.1</v>
      </c>
      <c r="AY2346" t="str">
        <v>CP-R80_HI782-0_0.0_LOT0970_PWW.12.1_QC.xlsx</v>
      </c>
      <c r="AZ2346" t="str">
        <v>LOT0970</v>
      </c>
      <c r="BA2346" s="3">
        <v>24</v>
      </c>
      <c r="BB2346" t="str">
        <v>P/FINAL</v>
      </c>
      <c r="BC2346">
        <v>35</v>
      </c>
      <c r="BD2346" s="10">
        <v>35.299999999999997</v>
      </c>
      <c r="BE2346" s="10">
        <v>35.200000000000003</v>
      </c>
      <c r="BF2346" s="10">
        <v>0</v>
      </c>
      <c r="BG2346" s="13">
        <v>45743</v>
      </c>
    </row>
    <row r="2347" spans="49:59" x14ac:dyDescent="0.3">
      <c r="AW2347" s="1">
        <v>24.1</v>
      </c>
      <c r="AX2347" s="1">
        <v>24.1</v>
      </c>
      <c r="AY2347" t="str">
        <v>CP-R80_HI782-0_0.0_LOT0970_PWW.12.1_QC.xlsx</v>
      </c>
      <c r="AZ2347" t="str">
        <v>LOT0970</v>
      </c>
      <c r="BA2347" s="3">
        <v>24</v>
      </c>
      <c r="BB2347" t="str">
        <v>P/FINAL</v>
      </c>
      <c r="BC2347">
        <v>35</v>
      </c>
      <c r="BD2347" s="10">
        <v>35.5</v>
      </c>
      <c r="BE2347" s="10">
        <v>35.700000000000003</v>
      </c>
      <c r="BF2347" s="10">
        <v>0</v>
      </c>
      <c r="BG2347" s="13">
        <v>45743</v>
      </c>
    </row>
    <row r="2348" spans="49:59" x14ac:dyDescent="0.3">
      <c r="AW2348" s="1">
        <v>24.1</v>
      </c>
      <c r="AX2348" s="1">
        <v>24.1</v>
      </c>
      <c r="AY2348" t="str">
        <v>CP-R80_HI782-0_0.0_LOT0970_PWW.12.1_QC.xlsx</v>
      </c>
      <c r="AZ2348" t="str">
        <v>LOT0970</v>
      </c>
      <c r="BA2348" s="3">
        <v>24</v>
      </c>
      <c r="BB2348" t="str">
        <v>P/FINAL</v>
      </c>
      <c r="BC2348">
        <v>60</v>
      </c>
      <c r="BD2348" s="10">
        <v>63.8</v>
      </c>
      <c r="BE2348" s="10">
        <v>63.8</v>
      </c>
      <c r="BF2348" s="10">
        <v>0</v>
      </c>
      <c r="BG2348" s="13">
        <v>45743</v>
      </c>
    </row>
    <row r="2349" spans="49:59" x14ac:dyDescent="0.3">
      <c r="AW2349" s="1">
        <v>25.1</v>
      </c>
      <c r="AX2349" s="1">
        <v>25.1</v>
      </c>
      <c r="AY2349" t="str">
        <v>CP-R80_HI782-0_0.0_LOT0972_PWW.12.2_QC.xlsx</v>
      </c>
      <c r="AZ2349" t="str">
        <v>LOT0972</v>
      </c>
      <c r="BA2349" s="3">
        <v>25</v>
      </c>
      <c r="BB2349" t="str">
        <v>P/Prod</v>
      </c>
      <c r="BC2349">
        <v>60</v>
      </c>
      <c r="BD2349" s="10">
        <v>58.6</v>
      </c>
      <c r="BE2349" s="10">
        <v>58.9</v>
      </c>
      <c r="BF2349" s="10">
        <v>0</v>
      </c>
      <c r="BG2349" s="13">
        <v>45743</v>
      </c>
    </row>
    <row r="2350" spans="49:59" x14ac:dyDescent="0.3">
      <c r="AW2350" s="1">
        <v>24.1</v>
      </c>
      <c r="AX2350" s="1">
        <v>24.1</v>
      </c>
      <c r="AY2350" t="str">
        <v>CP-R80_HI782-0_0.0_LOT0970_PWW.12.1_QC.xlsx</v>
      </c>
      <c r="AZ2350" t="str">
        <v>LOT0970</v>
      </c>
      <c r="BA2350" s="3">
        <v>24</v>
      </c>
      <c r="BB2350" t="str">
        <v>P/FINAL</v>
      </c>
      <c r="BC2350">
        <v>60</v>
      </c>
      <c r="BD2350" s="10">
        <v>60.6</v>
      </c>
      <c r="BE2350" s="10">
        <v>60.7</v>
      </c>
      <c r="BF2350" s="10">
        <v>0</v>
      </c>
      <c r="BG2350" s="13">
        <v>45743</v>
      </c>
    </row>
    <row r="2351" spans="49:59" x14ac:dyDescent="0.3">
      <c r="AW2351" s="1">
        <v>25.1</v>
      </c>
      <c r="AX2351" s="1">
        <v>25.1</v>
      </c>
      <c r="AY2351" t="str">
        <v>CP-R80_HI782-0_0.0_LOT0972_PWW.12.2_QC.xlsx</v>
      </c>
      <c r="AZ2351" t="str">
        <v>LOT0972</v>
      </c>
      <c r="BA2351" s="3">
        <v>25</v>
      </c>
      <c r="BB2351" t="str">
        <v>P/Prod</v>
      </c>
      <c r="BC2351">
        <v>60</v>
      </c>
      <c r="BD2351" s="10">
        <v>61.3</v>
      </c>
      <c r="BE2351" s="10">
        <v>61.3</v>
      </c>
      <c r="BF2351" s="10">
        <v>0</v>
      </c>
      <c r="BG2351" s="13">
        <v>45743</v>
      </c>
    </row>
    <row r="2352" spans="49:59" x14ac:dyDescent="0.3">
      <c r="AW2352" s="1">
        <v>25.1</v>
      </c>
      <c r="AX2352" s="1">
        <v>25.1</v>
      </c>
      <c r="AY2352" t="str">
        <v>CP-R80_HI782-0_0.0_LOT0972_PWW.12.2_QC.xlsx</v>
      </c>
      <c r="AZ2352" t="str">
        <v>LOT0972</v>
      </c>
      <c r="BA2352" s="3">
        <v>25</v>
      </c>
      <c r="BB2352" t="str">
        <v>P/Prod</v>
      </c>
      <c r="BC2352">
        <v>60</v>
      </c>
      <c r="BD2352" s="10">
        <v>55.6</v>
      </c>
      <c r="BE2352" s="10">
        <v>56.3</v>
      </c>
      <c r="BF2352" s="10">
        <v>0</v>
      </c>
      <c r="BG2352" s="13">
        <v>45743</v>
      </c>
    </row>
    <row r="2353" spans="49:59" x14ac:dyDescent="0.3">
      <c r="AW2353" s="1">
        <v>24.1</v>
      </c>
      <c r="AX2353" s="1">
        <v>24.1</v>
      </c>
      <c r="AY2353" t="str">
        <v>CP-R80_HI782-0_0.0_LOT0970_PWW.12.1_QC.xlsx</v>
      </c>
      <c r="AZ2353" t="str">
        <v>LOT0970</v>
      </c>
      <c r="BA2353" s="3">
        <v>24</v>
      </c>
      <c r="BB2353" t="str">
        <v>P/FINAL</v>
      </c>
      <c r="BC2353">
        <v>60</v>
      </c>
      <c r="BD2353" s="10">
        <v>57.8</v>
      </c>
      <c r="BE2353" s="10">
        <v>57.9</v>
      </c>
      <c r="BF2353" s="10">
        <v>0</v>
      </c>
      <c r="BG2353" s="13">
        <v>45743</v>
      </c>
    </row>
    <row r="2354" spans="49:59" x14ac:dyDescent="0.3">
      <c r="AW2354" s="1">
        <v>24.1</v>
      </c>
      <c r="AX2354" s="1">
        <v>24.1</v>
      </c>
      <c r="AY2354" t="str">
        <v>CP-R80_HI782-0_0.0_LOT0970_PWW.12.1_QC.xlsx</v>
      </c>
      <c r="AZ2354" t="str">
        <v>LOT0970</v>
      </c>
      <c r="BA2354" s="3">
        <v>24</v>
      </c>
      <c r="BB2354" t="str">
        <v>P/FINAL</v>
      </c>
      <c r="BC2354">
        <v>60</v>
      </c>
      <c r="BD2354" s="10">
        <v>60.3</v>
      </c>
      <c r="BE2354" s="10">
        <v>60.4</v>
      </c>
      <c r="BF2354" s="10">
        <v>0</v>
      </c>
      <c r="BG2354" s="13">
        <v>45743</v>
      </c>
    </row>
    <row r="2355" spans="49:59" x14ac:dyDescent="0.3">
      <c r="AW2355" s="1">
        <v>25.1</v>
      </c>
      <c r="AX2355" s="1">
        <v>25.1</v>
      </c>
      <c r="AY2355" t="str">
        <v>CP-R80_HI782-0_0.0_LOT0972_PWW.12.2_QC.xlsx</v>
      </c>
      <c r="AZ2355" t="str">
        <v>LOT0972</v>
      </c>
      <c r="BA2355" s="3">
        <v>25</v>
      </c>
      <c r="BB2355" t="str">
        <v>P/Prod</v>
      </c>
      <c r="BC2355">
        <v>60</v>
      </c>
      <c r="BD2355" s="10">
        <v>56.6</v>
      </c>
      <c r="BE2355" s="10">
        <v>56.8</v>
      </c>
      <c r="BF2355" s="10">
        <v>0</v>
      </c>
      <c r="BG2355" s="13">
        <v>45743</v>
      </c>
    </row>
    <row r="2356" spans="49:59" x14ac:dyDescent="0.3">
      <c r="AW2356" s="1">
        <v>25.1</v>
      </c>
      <c r="AX2356" s="1">
        <v>25.1</v>
      </c>
      <c r="AY2356" t="str">
        <v>CP-R80_HI782-0_0.0_LOT0972_PWW.12.2_QC.xlsx</v>
      </c>
      <c r="AZ2356" t="str">
        <v>LOT0972</v>
      </c>
      <c r="BA2356" s="3">
        <v>25</v>
      </c>
      <c r="BB2356" t="str">
        <v>P/FINAL</v>
      </c>
      <c r="BC2356">
        <v>0</v>
      </c>
      <c r="BD2356" s="10">
        <v>0</v>
      </c>
      <c r="BE2356" s="10">
        <v>0</v>
      </c>
      <c r="BF2356" s="10">
        <v>0</v>
      </c>
      <c r="BG2356" s="13">
        <v>45744</v>
      </c>
    </row>
    <row r="2357" spans="49:59" x14ac:dyDescent="0.3">
      <c r="AW2357" s="1">
        <v>25.1</v>
      </c>
      <c r="AX2357" s="1">
        <v>25.1</v>
      </c>
      <c r="AY2357" t="str">
        <v>CP-R80_HI782-0_0.0_LOT0972_PWW.12.2_QC.xlsx</v>
      </c>
      <c r="AZ2357" t="str">
        <v>LOT0972</v>
      </c>
      <c r="BA2357" s="3">
        <v>25</v>
      </c>
      <c r="BB2357" t="str">
        <v>P/FINAL</v>
      </c>
      <c r="BC2357">
        <v>0</v>
      </c>
      <c r="BD2357" s="10">
        <v>0</v>
      </c>
      <c r="BE2357" s="10">
        <v>0</v>
      </c>
      <c r="BF2357" s="10">
        <v>0</v>
      </c>
      <c r="BG2357" s="13">
        <v>45744</v>
      </c>
    </row>
    <row r="2358" spans="49:59" x14ac:dyDescent="0.3">
      <c r="AW2358" s="1">
        <v>25.1</v>
      </c>
      <c r="AX2358" s="1">
        <v>25.1</v>
      </c>
      <c r="AY2358" t="str">
        <v>CP-R80_HI782-0_0.0_LOT0972_PWW.12.2_QC.xlsx</v>
      </c>
      <c r="AZ2358" t="str">
        <v>LOT0972</v>
      </c>
      <c r="BA2358" s="3">
        <v>25</v>
      </c>
      <c r="BB2358" t="str">
        <v>P/Prod</v>
      </c>
      <c r="BC2358">
        <v>15</v>
      </c>
      <c r="BD2358" s="10">
        <v>17.600000000000001</v>
      </c>
      <c r="BE2358" s="10">
        <v>17.7</v>
      </c>
      <c r="BF2358" s="10">
        <v>0</v>
      </c>
      <c r="BG2358" s="13">
        <v>45744</v>
      </c>
    </row>
    <row r="2359" spans="49:59" x14ac:dyDescent="0.3">
      <c r="AW2359" s="1">
        <v>25.1</v>
      </c>
      <c r="AX2359" s="1">
        <v>25.1</v>
      </c>
      <c r="AY2359" t="str">
        <v>CP-R80_HI782-0_0.0_LOT0972_PWW.12.2_QC.xlsx</v>
      </c>
      <c r="AZ2359" t="str">
        <v>LOT0972</v>
      </c>
      <c r="BA2359" s="3">
        <v>25</v>
      </c>
      <c r="BB2359" t="str">
        <v>P/FINAL</v>
      </c>
      <c r="BC2359">
        <v>15</v>
      </c>
      <c r="BD2359" s="10">
        <v>17.2</v>
      </c>
      <c r="BE2359" s="10">
        <v>17.2</v>
      </c>
      <c r="BF2359" s="10">
        <v>0</v>
      </c>
      <c r="BG2359" s="13">
        <v>45744</v>
      </c>
    </row>
    <row r="2360" spans="49:59" x14ac:dyDescent="0.3">
      <c r="AW2360" s="1">
        <v>25.1</v>
      </c>
      <c r="AX2360" s="1">
        <v>25.1</v>
      </c>
      <c r="AY2360" t="str">
        <v>CP-R80_HI782-0_0.0_LOT0972_PWW.12.2_QC.xlsx</v>
      </c>
      <c r="AZ2360" t="str">
        <v>LOT0972</v>
      </c>
      <c r="BA2360" s="3">
        <v>25</v>
      </c>
      <c r="BB2360" t="str">
        <v>P/FINAL</v>
      </c>
      <c r="BC2360">
        <v>15</v>
      </c>
      <c r="BD2360" s="10">
        <v>14.4</v>
      </c>
      <c r="BE2360" s="10">
        <v>14.5</v>
      </c>
      <c r="BF2360" s="10">
        <v>0</v>
      </c>
      <c r="BG2360" s="13">
        <v>45744</v>
      </c>
    </row>
    <row r="2361" spans="49:59" x14ac:dyDescent="0.3">
      <c r="AW2361" s="1">
        <v>25.1</v>
      </c>
      <c r="AX2361" s="1">
        <v>25.1</v>
      </c>
      <c r="AY2361" t="str">
        <v>CP-R80_HI782-0_0.0_LOT0972_PWW.12.2_QC.xlsx</v>
      </c>
      <c r="AZ2361" t="str">
        <v>LOT0972</v>
      </c>
      <c r="BA2361" s="3">
        <v>25</v>
      </c>
      <c r="BB2361" t="str">
        <v>P/FINAL</v>
      </c>
      <c r="BC2361">
        <v>15</v>
      </c>
      <c r="BD2361" s="10">
        <v>15.6</v>
      </c>
      <c r="BE2361" s="10">
        <v>15.7</v>
      </c>
      <c r="BF2361" s="10">
        <v>0</v>
      </c>
      <c r="BG2361" s="13">
        <v>45744</v>
      </c>
    </row>
    <row r="2362" spans="49:59" x14ac:dyDescent="0.3">
      <c r="AW2362" s="1">
        <v>25.1</v>
      </c>
      <c r="AX2362" s="1">
        <v>25.1</v>
      </c>
      <c r="AY2362" t="str">
        <v>CP-R80_HI782-0_0.0_LOT0972_PWW.12.2_QC.xlsx</v>
      </c>
      <c r="AZ2362" t="str">
        <v>LOT0972</v>
      </c>
      <c r="BA2362" s="3">
        <v>25</v>
      </c>
      <c r="BB2362" t="str">
        <v>P/FINAL</v>
      </c>
      <c r="BC2362">
        <v>15</v>
      </c>
      <c r="BD2362" s="10">
        <v>13.6</v>
      </c>
      <c r="BE2362" s="10">
        <v>13.8</v>
      </c>
      <c r="BF2362" s="10">
        <v>0</v>
      </c>
      <c r="BG2362" s="13">
        <v>45744</v>
      </c>
    </row>
    <row r="2363" spans="49:59" x14ac:dyDescent="0.3">
      <c r="AW2363" s="1">
        <v>25.1</v>
      </c>
      <c r="AX2363" s="1">
        <v>25.1</v>
      </c>
      <c r="AY2363" t="str">
        <v>CP-R80_HI782-0_0.0_LOT0972_PWW.12.2_QC.xlsx</v>
      </c>
      <c r="AZ2363" t="str">
        <v>LOT0972</v>
      </c>
      <c r="BA2363" s="3">
        <v>25</v>
      </c>
      <c r="BB2363" t="str">
        <v>P/FINAL</v>
      </c>
      <c r="BC2363">
        <v>15</v>
      </c>
      <c r="BD2363" s="10">
        <v>14.8</v>
      </c>
      <c r="BE2363" s="10">
        <v>14.9</v>
      </c>
      <c r="BF2363" s="10">
        <v>0</v>
      </c>
      <c r="BG2363" s="13">
        <v>45744</v>
      </c>
    </row>
    <row r="2364" spans="49:59" x14ac:dyDescent="0.3">
      <c r="AW2364" s="1">
        <v>25.1</v>
      </c>
      <c r="AX2364" s="1">
        <v>25.1</v>
      </c>
      <c r="AY2364" t="str">
        <v>CP-R80_HI782-0_0.0_LOT0972_PWW.12.2_QC.xlsx</v>
      </c>
      <c r="AZ2364" t="str">
        <v>LOT0972</v>
      </c>
      <c r="BA2364" s="3">
        <v>25</v>
      </c>
      <c r="BB2364" t="str">
        <v>P/Prod</v>
      </c>
      <c r="BC2364">
        <v>15</v>
      </c>
      <c r="BD2364" s="10">
        <v>16.8</v>
      </c>
      <c r="BE2364" s="10">
        <v>16.7</v>
      </c>
      <c r="BF2364" s="10">
        <v>0</v>
      </c>
      <c r="BG2364" s="13">
        <v>45744</v>
      </c>
    </row>
    <row r="2365" spans="49:59" x14ac:dyDescent="0.3">
      <c r="AW2365" s="1">
        <v>25.1</v>
      </c>
      <c r="AX2365" s="1">
        <v>25.1</v>
      </c>
      <c r="AY2365" t="str">
        <v>CP-R80_HI782-0_0.0_LOT0972_PWW.12.2_QC.xlsx</v>
      </c>
      <c r="AZ2365" t="str">
        <v>LOT0972</v>
      </c>
      <c r="BA2365" s="3">
        <v>25</v>
      </c>
      <c r="BB2365" t="str">
        <v>P/FINAL</v>
      </c>
      <c r="BC2365">
        <v>15</v>
      </c>
      <c r="BD2365" s="10">
        <v>17.3</v>
      </c>
      <c r="BE2365" s="10">
        <v>17.5</v>
      </c>
      <c r="BF2365" s="10">
        <v>0</v>
      </c>
      <c r="BG2365" s="13">
        <v>45744</v>
      </c>
    </row>
    <row r="2366" spans="49:59" x14ac:dyDescent="0.3">
      <c r="AW2366" s="1">
        <v>25.1</v>
      </c>
      <c r="AX2366" s="1">
        <v>25.1</v>
      </c>
      <c r="AY2366" t="str">
        <v>CP-R80_HI782-0_0.0_LOT0972_PWW.12.2_QC.xlsx</v>
      </c>
      <c r="AZ2366" t="str">
        <v>LOT0972</v>
      </c>
      <c r="BA2366" s="3">
        <v>25</v>
      </c>
      <c r="BB2366" t="str">
        <v>P/Prod</v>
      </c>
      <c r="BC2366">
        <v>15</v>
      </c>
      <c r="BD2366" s="10">
        <v>16.8</v>
      </c>
      <c r="BE2366" s="10">
        <v>16.7</v>
      </c>
      <c r="BF2366" s="10">
        <v>0</v>
      </c>
      <c r="BG2366" s="13">
        <v>45744</v>
      </c>
    </row>
    <row r="2367" spans="49:59" x14ac:dyDescent="0.3">
      <c r="AW2367" s="1">
        <v>25.1</v>
      </c>
      <c r="AX2367" s="1">
        <v>25.1</v>
      </c>
      <c r="AY2367" t="str">
        <v>CP-R80_HI782-0_0.0_LOT0972_PWW.12.2_QC.xlsx</v>
      </c>
      <c r="AZ2367" t="str">
        <v>LOT0972</v>
      </c>
      <c r="BA2367" s="3">
        <v>25</v>
      </c>
      <c r="BB2367" t="str">
        <v>P/FINAL</v>
      </c>
      <c r="BC2367">
        <v>15</v>
      </c>
      <c r="BD2367" s="10">
        <v>15.9</v>
      </c>
      <c r="BE2367" s="10">
        <v>16.2</v>
      </c>
      <c r="BF2367" s="10">
        <v>0</v>
      </c>
      <c r="BG2367" s="13">
        <v>45744</v>
      </c>
    </row>
    <row r="2368" spans="49:59" x14ac:dyDescent="0.3">
      <c r="AW2368" s="1">
        <v>25.1</v>
      </c>
      <c r="AX2368" s="1">
        <v>25.1</v>
      </c>
      <c r="AY2368" t="str">
        <v>CP-R80_HI782-0_0.0_LOT0972_PWW.12.2_QC.xlsx</v>
      </c>
      <c r="AZ2368" t="str">
        <v>LOT0972</v>
      </c>
      <c r="BA2368" s="3">
        <v>25</v>
      </c>
      <c r="BB2368" t="str">
        <v>P/FINAL</v>
      </c>
      <c r="BC2368">
        <v>15</v>
      </c>
      <c r="BD2368" s="10">
        <v>16.899999999999999</v>
      </c>
      <c r="BE2368" s="10">
        <v>16.899999999999999</v>
      </c>
      <c r="BF2368" s="10">
        <v>0</v>
      </c>
      <c r="BG2368" s="13">
        <v>45744</v>
      </c>
    </row>
    <row r="2369" spans="49:59" x14ac:dyDescent="0.3">
      <c r="AW2369" s="1">
        <v>25.1</v>
      </c>
      <c r="AX2369" s="1">
        <v>25.1</v>
      </c>
      <c r="AY2369" t="str">
        <v>CP-R80_HI782-0_0.0_LOT0972_PWW.12.2_QC.xlsx</v>
      </c>
      <c r="AZ2369" t="str">
        <v>LOT0972</v>
      </c>
      <c r="BA2369" s="3">
        <v>25</v>
      </c>
      <c r="BB2369" t="str">
        <v>P/FINAL</v>
      </c>
      <c r="BC2369">
        <v>15</v>
      </c>
      <c r="BD2369" s="10">
        <v>15.2</v>
      </c>
      <c r="BE2369" s="10">
        <v>15.3</v>
      </c>
      <c r="BF2369" s="10">
        <v>0</v>
      </c>
      <c r="BG2369" s="13">
        <v>45744</v>
      </c>
    </row>
    <row r="2370" spans="49:59" x14ac:dyDescent="0.3">
      <c r="AW2370" s="1">
        <v>25.1</v>
      </c>
      <c r="AX2370" s="1">
        <v>25.1</v>
      </c>
      <c r="AY2370" t="str">
        <v>CP-R80_HI782-0_0.0_LOT0972_PWW.12.2_QC.xlsx</v>
      </c>
      <c r="AZ2370" t="str">
        <v>LOT0972</v>
      </c>
      <c r="BA2370" s="3">
        <v>25</v>
      </c>
      <c r="BB2370" t="str">
        <v>P/FINAL</v>
      </c>
      <c r="BC2370">
        <v>15</v>
      </c>
      <c r="BD2370" s="10">
        <v>14.3</v>
      </c>
      <c r="BE2370" s="10">
        <v>14.4</v>
      </c>
      <c r="BF2370" s="10">
        <v>0</v>
      </c>
      <c r="BG2370" s="13">
        <v>45744</v>
      </c>
    </row>
    <row r="2371" spans="49:59" x14ac:dyDescent="0.3">
      <c r="AW2371" s="1">
        <v>25.1</v>
      </c>
      <c r="AX2371" s="1">
        <v>25.1</v>
      </c>
      <c r="AY2371" t="str">
        <v>CP-R80_HI782-0_0.0_LOT0972_PWW.12.2_QC.xlsx</v>
      </c>
      <c r="AZ2371" t="str">
        <v>LOT0972</v>
      </c>
      <c r="BA2371" s="3">
        <v>25</v>
      </c>
      <c r="BB2371" t="str">
        <v>P/FINAL</v>
      </c>
      <c r="BC2371">
        <v>15</v>
      </c>
      <c r="BD2371" s="10">
        <v>16.7</v>
      </c>
      <c r="BE2371" s="10">
        <v>16.600000000000001</v>
      </c>
      <c r="BF2371" s="10">
        <v>0</v>
      </c>
      <c r="BG2371" s="13">
        <v>45744</v>
      </c>
    </row>
    <row r="2372" spans="49:59" x14ac:dyDescent="0.3">
      <c r="AW2372" s="1">
        <v>25.1</v>
      </c>
      <c r="AX2372" s="1">
        <v>25.1</v>
      </c>
      <c r="AY2372" t="str">
        <v>CP-R80_HI782-0_0.0_LOT0972_PWW.12.2_QC.xlsx</v>
      </c>
      <c r="AZ2372" t="str">
        <v>LOT0972</v>
      </c>
      <c r="BA2372" s="3">
        <v>25</v>
      </c>
      <c r="BB2372" t="str">
        <v>P/FINAL</v>
      </c>
      <c r="BC2372">
        <v>15</v>
      </c>
      <c r="BD2372" s="10">
        <v>16</v>
      </c>
      <c r="BE2372" s="10">
        <v>16</v>
      </c>
      <c r="BF2372" s="10">
        <v>0</v>
      </c>
      <c r="BG2372" s="13">
        <v>45744</v>
      </c>
    </row>
    <row r="2373" spans="49:59" x14ac:dyDescent="0.3">
      <c r="AW2373" s="1">
        <v>25.1</v>
      </c>
      <c r="AX2373" s="1">
        <v>25.1</v>
      </c>
      <c r="AY2373" t="str">
        <v>CP-R80_HI782-0_0.0_LOT0972_PWW.12.2_QC.xlsx</v>
      </c>
      <c r="AZ2373" t="str">
        <v>LOT0972</v>
      </c>
      <c r="BA2373" s="3">
        <v>25</v>
      </c>
      <c r="BB2373" t="str">
        <v>P/FINAL</v>
      </c>
      <c r="BC2373">
        <v>15</v>
      </c>
      <c r="BD2373" s="10">
        <v>14.3</v>
      </c>
      <c r="BE2373" s="10">
        <v>14.3</v>
      </c>
      <c r="BF2373" s="10">
        <v>0</v>
      </c>
      <c r="BG2373" s="13">
        <v>45744</v>
      </c>
    </row>
    <row r="2374" spans="49:59" x14ac:dyDescent="0.3">
      <c r="AW2374" s="1">
        <v>25.1</v>
      </c>
      <c r="AX2374" s="1">
        <v>25.1</v>
      </c>
      <c r="AY2374" t="str">
        <v>CP-R80_HI782-0_0.0_LOT0972_PWW.12.2_QC.xlsx</v>
      </c>
      <c r="AZ2374" t="str">
        <v>LOT0972</v>
      </c>
      <c r="BA2374" s="3">
        <v>25</v>
      </c>
      <c r="BB2374" t="str">
        <v>P/FINAL</v>
      </c>
      <c r="BC2374">
        <v>15</v>
      </c>
      <c r="BD2374" s="10">
        <v>14.4</v>
      </c>
      <c r="BE2374" s="10">
        <v>14.5</v>
      </c>
      <c r="BF2374" s="10">
        <v>0</v>
      </c>
      <c r="BG2374" s="13">
        <v>45744</v>
      </c>
    </row>
    <row r="2375" spans="49:59" x14ac:dyDescent="0.3">
      <c r="AW2375" s="1">
        <v>25.1</v>
      </c>
      <c r="AX2375" s="1">
        <v>25.1</v>
      </c>
      <c r="AY2375" t="str">
        <v>CP-R80_HI782-0_0.0_LOT0972_PWW.12.2_QC.xlsx</v>
      </c>
      <c r="AZ2375" t="str">
        <v>LOT0972</v>
      </c>
      <c r="BA2375" s="3">
        <v>25</v>
      </c>
      <c r="BB2375" t="str">
        <v>P/FINAL</v>
      </c>
      <c r="BC2375">
        <v>35</v>
      </c>
      <c r="BD2375" s="10">
        <v>36</v>
      </c>
      <c r="BE2375" s="10">
        <v>36.1</v>
      </c>
      <c r="BF2375" s="10">
        <v>0</v>
      </c>
      <c r="BG2375" s="13">
        <v>45744</v>
      </c>
    </row>
    <row r="2376" spans="49:59" x14ac:dyDescent="0.3">
      <c r="AW2376" s="1">
        <v>25.1</v>
      </c>
      <c r="AX2376" s="1">
        <v>25.1</v>
      </c>
      <c r="AY2376" t="str">
        <v>CP-R80_HI782-0_0.0_LOT0972_PWW.12.2_QC.xlsx</v>
      </c>
      <c r="AZ2376" t="str">
        <v>LOT0972</v>
      </c>
      <c r="BA2376" s="3">
        <v>25</v>
      </c>
      <c r="BB2376" t="str">
        <v>P/FINAL</v>
      </c>
      <c r="BC2376">
        <v>35</v>
      </c>
      <c r="BD2376" s="10">
        <v>36.5</v>
      </c>
      <c r="BE2376" s="10">
        <v>37</v>
      </c>
      <c r="BF2376" s="10">
        <v>0</v>
      </c>
      <c r="BG2376" s="13">
        <v>45744</v>
      </c>
    </row>
    <row r="2377" spans="49:59" x14ac:dyDescent="0.3">
      <c r="AW2377" s="1">
        <v>25.1</v>
      </c>
      <c r="AX2377" s="1">
        <v>25.1</v>
      </c>
      <c r="AY2377" t="str">
        <v>CP-R80_HI782-0_0.0_LOT0972_PWW.12.2_QC.xlsx</v>
      </c>
      <c r="AZ2377" t="str">
        <v>LOT0972</v>
      </c>
      <c r="BA2377" s="3">
        <v>25</v>
      </c>
      <c r="BB2377" t="str">
        <v>P/FINAL</v>
      </c>
      <c r="BC2377">
        <v>35</v>
      </c>
      <c r="BD2377" s="10">
        <v>38.4</v>
      </c>
      <c r="BE2377" s="10">
        <v>38.799999999999997</v>
      </c>
      <c r="BF2377" s="10">
        <v>0</v>
      </c>
      <c r="BG2377" s="13">
        <v>45744</v>
      </c>
    </row>
    <row r="2378" spans="49:59" x14ac:dyDescent="0.3">
      <c r="AW2378" s="1">
        <v>25.1</v>
      </c>
      <c r="AX2378" s="1">
        <v>25.1</v>
      </c>
      <c r="AY2378" t="str">
        <v>CP-R80_HI782-0_0.0_LOT0972_PWW.12.2_QC.xlsx</v>
      </c>
      <c r="AZ2378" t="str">
        <v>LOT0972</v>
      </c>
      <c r="BA2378" s="3">
        <v>25</v>
      </c>
      <c r="BB2378" t="str">
        <v>P/FINAL</v>
      </c>
      <c r="BC2378">
        <v>35</v>
      </c>
      <c r="BD2378" s="10">
        <v>35.200000000000003</v>
      </c>
      <c r="BE2378" s="10">
        <v>35.799999999999997</v>
      </c>
      <c r="BF2378" s="10">
        <v>0</v>
      </c>
      <c r="BG2378" s="13">
        <v>45744</v>
      </c>
    </row>
    <row r="2379" spans="49:59" x14ac:dyDescent="0.3">
      <c r="AW2379" s="1">
        <v>25.1</v>
      </c>
      <c r="AX2379" s="1">
        <v>25.1</v>
      </c>
      <c r="AY2379" t="str">
        <v>CP-R80_HI782-0_0.0_LOT0972_PWW.12.2_QC.xlsx</v>
      </c>
      <c r="AZ2379" t="str">
        <v>LOT0972</v>
      </c>
      <c r="BA2379" s="3">
        <v>25</v>
      </c>
      <c r="BB2379" t="str">
        <v>P/FINAL</v>
      </c>
      <c r="BC2379">
        <v>35</v>
      </c>
      <c r="BD2379" s="10">
        <v>37.799999999999997</v>
      </c>
      <c r="BE2379" s="10">
        <v>38</v>
      </c>
      <c r="BF2379" s="10">
        <v>0</v>
      </c>
      <c r="BG2379" s="13">
        <v>45744</v>
      </c>
    </row>
    <row r="2380" spans="49:59" x14ac:dyDescent="0.3">
      <c r="AW2380" s="1">
        <v>25.1</v>
      </c>
      <c r="AX2380" s="1">
        <v>25.1</v>
      </c>
      <c r="AY2380" t="str">
        <v>CP-R80_HI782-0_0.0_LOT0972_PWW.12.2_QC.xlsx</v>
      </c>
      <c r="AZ2380" t="str">
        <v>LOT0972</v>
      </c>
      <c r="BA2380" s="3">
        <v>25</v>
      </c>
      <c r="BB2380" t="str">
        <v>P/FINAL</v>
      </c>
      <c r="BC2380">
        <v>35</v>
      </c>
      <c r="BD2380" s="10">
        <v>37.1</v>
      </c>
      <c r="BE2380" s="10">
        <v>37.200000000000003</v>
      </c>
      <c r="BF2380" s="10">
        <v>0</v>
      </c>
      <c r="BG2380" s="13">
        <v>45744</v>
      </c>
    </row>
    <row r="2381" spans="49:59" x14ac:dyDescent="0.3">
      <c r="AW2381" s="1">
        <v>25.1</v>
      </c>
      <c r="AX2381" s="1">
        <v>25.1</v>
      </c>
      <c r="AY2381" t="str">
        <v>CP-R80_HI782-0_0.0_LOT0972_PWW.12.2_QC.xlsx</v>
      </c>
      <c r="AZ2381" t="str">
        <v>LOT0972</v>
      </c>
      <c r="BA2381" s="3">
        <v>25</v>
      </c>
      <c r="BB2381" t="str">
        <v>P/Prod</v>
      </c>
      <c r="BC2381">
        <v>35</v>
      </c>
      <c r="BD2381" s="10">
        <v>37.1</v>
      </c>
      <c r="BE2381" s="10">
        <v>37.200000000000003</v>
      </c>
      <c r="BF2381" s="10">
        <v>0</v>
      </c>
      <c r="BG2381" s="13">
        <v>45744</v>
      </c>
    </row>
    <row r="2382" spans="49:59" x14ac:dyDescent="0.3">
      <c r="AW2382" s="1">
        <v>25.1</v>
      </c>
      <c r="AX2382" s="1">
        <v>25.1</v>
      </c>
      <c r="AY2382" t="str">
        <v>CP-R80_HI782-0_0.0_LOT0972_PWW.12.2_QC.xlsx</v>
      </c>
      <c r="AZ2382" t="str">
        <v>LOT0972</v>
      </c>
      <c r="BA2382" s="3">
        <v>25</v>
      </c>
      <c r="BB2382" t="str">
        <v>P/FINAL</v>
      </c>
      <c r="BC2382">
        <v>35</v>
      </c>
      <c r="BD2382" s="10">
        <v>36.700000000000003</v>
      </c>
      <c r="BE2382" s="10">
        <v>36.6</v>
      </c>
      <c r="BF2382" s="10">
        <v>0</v>
      </c>
      <c r="BG2382" s="13">
        <v>45744</v>
      </c>
    </row>
    <row r="2383" spans="49:59" x14ac:dyDescent="0.3">
      <c r="AW2383" s="1">
        <v>25.1</v>
      </c>
      <c r="AX2383" s="1">
        <v>25.1</v>
      </c>
      <c r="AY2383" t="str">
        <v>CP-R80_HI782-0_0.0_LOT0972_PWW.12.2_QC.xlsx</v>
      </c>
      <c r="AZ2383" t="str">
        <v>LOT0972</v>
      </c>
      <c r="BA2383" s="3">
        <v>25</v>
      </c>
      <c r="BB2383" t="str">
        <v>P/FINAL</v>
      </c>
      <c r="BC2383">
        <v>35</v>
      </c>
      <c r="BD2383" s="10">
        <v>37.700000000000003</v>
      </c>
      <c r="BE2383" s="10">
        <v>37.6</v>
      </c>
      <c r="BF2383" s="10">
        <v>0</v>
      </c>
      <c r="BG2383" s="13">
        <v>45744</v>
      </c>
    </row>
    <row r="2384" spans="49:59" x14ac:dyDescent="0.3">
      <c r="AW2384" s="1">
        <v>25.1</v>
      </c>
      <c r="AX2384" s="1">
        <v>25.1</v>
      </c>
      <c r="AY2384" t="str">
        <v>CP-R80_HI782-0_0.0_LOT0972_PWW.12.2_QC.xlsx</v>
      </c>
      <c r="AZ2384" t="str">
        <v>LOT0972</v>
      </c>
      <c r="BA2384" s="3">
        <v>25</v>
      </c>
      <c r="BB2384" t="str">
        <v>P/FINAL</v>
      </c>
      <c r="BC2384">
        <v>35</v>
      </c>
      <c r="BD2384" s="10">
        <v>38.1</v>
      </c>
      <c r="BE2384" s="10">
        <v>38.1</v>
      </c>
      <c r="BF2384" s="10">
        <v>0</v>
      </c>
      <c r="BG2384" s="13">
        <v>45744</v>
      </c>
    </row>
    <row r="2385" spans="49:59" x14ac:dyDescent="0.3">
      <c r="AW2385" s="1">
        <v>25.1</v>
      </c>
      <c r="AX2385" s="1">
        <v>25.1</v>
      </c>
      <c r="AY2385" t="str">
        <v>CP-R80_HI782-0_0.0_LOT0972_PWW.12.2_QC.xlsx</v>
      </c>
      <c r="AZ2385" t="str">
        <v>LOT0972</v>
      </c>
      <c r="BA2385" s="3">
        <v>25</v>
      </c>
      <c r="BB2385" t="str">
        <v>P/FINAL</v>
      </c>
      <c r="BC2385">
        <v>35</v>
      </c>
      <c r="BD2385" s="10">
        <v>37.5</v>
      </c>
      <c r="BE2385" s="10">
        <v>37.4</v>
      </c>
      <c r="BF2385" s="10">
        <v>0</v>
      </c>
      <c r="BG2385" s="13">
        <v>45744</v>
      </c>
    </row>
    <row r="2386" spans="49:59" x14ac:dyDescent="0.3">
      <c r="AW2386" s="1">
        <v>25.1</v>
      </c>
      <c r="AX2386" s="1">
        <v>25.1</v>
      </c>
      <c r="AY2386" t="str">
        <v>CP-R80_HI782-0_0.0_LOT0972_PWW.12.2_QC.xlsx</v>
      </c>
      <c r="AZ2386" t="str">
        <v>LOT0972</v>
      </c>
      <c r="BA2386" s="3">
        <v>25</v>
      </c>
      <c r="BB2386" t="str">
        <v>P/FINAL</v>
      </c>
      <c r="BC2386">
        <v>35</v>
      </c>
      <c r="BD2386" s="10">
        <v>36.6</v>
      </c>
      <c r="BE2386" s="10">
        <v>36.200000000000003</v>
      </c>
      <c r="BF2386" s="10">
        <v>0</v>
      </c>
      <c r="BG2386" s="13">
        <v>45744</v>
      </c>
    </row>
    <row r="2387" spans="49:59" x14ac:dyDescent="0.3">
      <c r="AW2387" s="1">
        <v>25.1</v>
      </c>
      <c r="AX2387" s="1">
        <v>25.1</v>
      </c>
      <c r="AY2387" t="str">
        <v>CP-R80_HI782-0_0.0_LOT0972_PWW.12.2_QC.xlsx</v>
      </c>
      <c r="AZ2387" t="str">
        <v>LOT0972</v>
      </c>
      <c r="BA2387" s="3">
        <v>25</v>
      </c>
      <c r="BB2387" t="str">
        <v>P/Prod</v>
      </c>
      <c r="BC2387">
        <v>35</v>
      </c>
      <c r="BD2387" s="10">
        <v>34.6</v>
      </c>
      <c r="BE2387" s="10">
        <v>34.700000000000003</v>
      </c>
      <c r="BF2387" s="10">
        <v>0</v>
      </c>
      <c r="BG2387" s="13">
        <v>45744</v>
      </c>
    </row>
    <row r="2388" spans="49:59" x14ac:dyDescent="0.3">
      <c r="AW2388" s="1">
        <v>25.1</v>
      </c>
      <c r="AX2388" s="1">
        <v>25.1</v>
      </c>
      <c r="AY2388" t="str">
        <v>CP-R80_HI782-0_0.0_LOT0972_PWW.12.2_QC.xlsx</v>
      </c>
      <c r="AZ2388" t="str">
        <v>LOT0972</v>
      </c>
      <c r="BA2388" s="3">
        <v>25</v>
      </c>
      <c r="BB2388" t="str">
        <v>P/FINAL</v>
      </c>
      <c r="BC2388">
        <v>35</v>
      </c>
      <c r="BD2388" s="10">
        <v>31.4</v>
      </c>
      <c r="BE2388" s="10">
        <v>31.5</v>
      </c>
      <c r="BF2388" s="10">
        <v>0</v>
      </c>
      <c r="BG2388" s="13">
        <v>45744</v>
      </c>
    </row>
    <row r="2389" spans="49:59" x14ac:dyDescent="0.3">
      <c r="AW2389" s="1">
        <v>25.1</v>
      </c>
      <c r="AX2389" s="1">
        <v>25.1</v>
      </c>
      <c r="AY2389" t="str">
        <v>CP-R80_HI782-0_0.0_LOT0972_PWW.12.2_QC.xlsx</v>
      </c>
      <c r="AZ2389" t="str">
        <v>LOT0972</v>
      </c>
      <c r="BA2389" s="3">
        <v>25</v>
      </c>
      <c r="BB2389" t="str">
        <v>P/FINAL</v>
      </c>
      <c r="BC2389">
        <v>35</v>
      </c>
      <c r="BD2389" s="10">
        <v>37.1</v>
      </c>
      <c r="BE2389" s="10">
        <v>37.1</v>
      </c>
      <c r="BF2389" s="10">
        <v>0</v>
      </c>
      <c r="BG2389" s="13">
        <v>45744</v>
      </c>
    </row>
    <row r="2390" spans="49:59" x14ac:dyDescent="0.3">
      <c r="AW2390" s="1">
        <v>25.1</v>
      </c>
      <c r="AX2390" s="1">
        <v>25.1</v>
      </c>
      <c r="AY2390" t="str">
        <v>CP-R80_HI782-0_0.0_LOT0972_PWW.12.2_QC.xlsx</v>
      </c>
      <c r="AZ2390" t="str">
        <v>LOT0972</v>
      </c>
      <c r="BA2390" s="3">
        <v>25</v>
      </c>
      <c r="BB2390" t="str">
        <v>P/FINAL</v>
      </c>
      <c r="BC2390">
        <v>35</v>
      </c>
      <c r="BD2390" s="10">
        <v>36.299999999999997</v>
      </c>
      <c r="BE2390" s="10">
        <v>36.200000000000003</v>
      </c>
      <c r="BF2390" s="10">
        <v>0</v>
      </c>
      <c r="BG2390" s="13">
        <v>45744</v>
      </c>
    </row>
    <row r="2391" spans="49:59" x14ac:dyDescent="0.3">
      <c r="AW2391" s="1">
        <v>25.1</v>
      </c>
      <c r="AX2391" s="1">
        <v>25.1</v>
      </c>
      <c r="AY2391" t="str">
        <v>CP-R80_HI782-0_0.0_LOT0972_PWW.12.2_QC.xlsx</v>
      </c>
      <c r="AZ2391" t="str">
        <v>LOT0972</v>
      </c>
      <c r="BA2391" s="3">
        <v>25</v>
      </c>
      <c r="BB2391" t="str">
        <v>P/FINAL</v>
      </c>
      <c r="BC2391">
        <v>35</v>
      </c>
      <c r="BD2391" s="10">
        <v>35.299999999999997</v>
      </c>
      <c r="BE2391" s="10">
        <v>35.5</v>
      </c>
      <c r="BF2391" s="10">
        <v>0</v>
      </c>
      <c r="BG2391" s="13">
        <v>45744</v>
      </c>
    </row>
    <row r="2392" spans="49:59" x14ac:dyDescent="0.3">
      <c r="AW2392" s="1">
        <v>25.1</v>
      </c>
      <c r="AX2392" s="1">
        <v>25.1</v>
      </c>
      <c r="AY2392" t="str">
        <v>CP-R80_HI782-0_0.0_LOT0972_PWW.12.2_QC.xlsx</v>
      </c>
      <c r="AZ2392" t="str">
        <v>LOT0972</v>
      </c>
      <c r="BA2392" s="3">
        <v>25</v>
      </c>
      <c r="BB2392" t="str">
        <v>P/FINAL</v>
      </c>
      <c r="BC2392">
        <v>35</v>
      </c>
      <c r="BD2392" s="10">
        <v>36.1</v>
      </c>
      <c r="BE2392" s="10">
        <v>36</v>
      </c>
      <c r="BF2392" s="10">
        <v>0</v>
      </c>
      <c r="BG2392" s="13">
        <v>45744</v>
      </c>
    </row>
    <row r="2393" spans="49:59" x14ac:dyDescent="0.3">
      <c r="AW2393" s="1">
        <v>25.1</v>
      </c>
      <c r="AX2393" s="1">
        <v>25.1</v>
      </c>
      <c r="AY2393" t="str">
        <v>CP-R80_HI782-0_0.0_LOT0972_PWW.12.2_QC.xlsx</v>
      </c>
      <c r="AZ2393" t="str">
        <v>LOT0972</v>
      </c>
      <c r="BA2393" s="3">
        <v>25</v>
      </c>
      <c r="BB2393" t="str">
        <v>P/FINAL</v>
      </c>
      <c r="BC2393">
        <v>60</v>
      </c>
      <c r="BD2393" s="10">
        <v>62.6</v>
      </c>
      <c r="BE2393" s="10">
        <v>62.3</v>
      </c>
      <c r="BF2393" s="10">
        <v>0</v>
      </c>
      <c r="BG2393" s="13">
        <v>45744</v>
      </c>
    </row>
    <row r="2394" spans="49:59" x14ac:dyDescent="0.3">
      <c r="AW2394" s="1">
        <v>25.1</v>
      </c>
      <c r="AX2394" s="1">
        <v>25.1</v>
      </c>
      <c r="AY2394" t="str">
        <v>CP-R80_HI782-0_0.0_LOT0972_PWW.12.2_QC.xlsx</v>
      </c>
      <c r="AZ2394" t="str">
        <v>LOT0972</v>
      </c>
      <c r="BA2394" s="3">
        <v>25</v>
      </c>
      <c r="BB2394" t="str">
        <v>P/FINAL</v>
      </c>
      <c r="BC2394">
        <v>60</v>
      </c>
      <c r="BD2394" s="10">
        <v>59.7</v>
      </c>
      <c r="BE2394" s="10">
        <v>60.3</v>
      </c>
      <c r="BF2394" s="10">
        <v>0</v>
      </c>
      <c r="BG2394" s="13">
        <v>45744</v>
      </c>
    </row>
    <row r="2395" spans="49:59" x14ac:dyDescent="0.3">
      <c r="AW2395" s="1">
        <v>25.1</v>
      </c>
      <c r="AX2395" s="1">
        <v>25.1</v>
      </c>
      <c r="AY2395" t="str">
        <v>CP-R80_HI782-0_0.0_LOT0972_PWW.12.2_QC.xlsx</v>
      </c>
      <c r="AZ2395" t="str">
        <v>LOT0972</v>
      </c>
      <c r="BA2395" s="3">
        <v>25</v>
      </c>
      <c r="BB2395" t="str">
        <v>P/FINAL</v>
      </c>
      <c r="BC2395">
        <v>60</v>
      </c>
      <c r="BD2395" s="10">
        <v>58.6</v>
      </c>
      <c r="BE2395" s="10">
        <v>59.1</v>
      </c>
      <c r="BF2395" s="10">
        <v>0</v>
      </c>
      <c r="BG2395" s="13">
        <v>45744</v>
      </c>
    </row>
    <row r="2396" spans="49:59" x14ac:dyDescent="0.3">
      <c r="AW2396" s="1">
        <v>25.1</v>
      </c>
      <c r="AX2396" s="1">
        <v>25.1</v>
      </c>
      <c r="AY2396" t="str">
        <v>CP-R80_HI782-0_0.0_LOT0972_PWW.12.2_QC.xlsx</v>
      </c>
      <c r="AZ2396" t="str">
        <v>LOT0972</v>
      </c>
      <c r="BA2396" s="3">
        <v>25</v>
      </c>
      <c r="BB2396" t="str">
        <v>P/FINAL</v>
      </c>
      <c r="BC2396">
        <v>60</v>
      </c>
      <c r="BD2396" s="10">
        <v>59.9</v>
      </c>
      <c r="BE2396" s="10">
        <v>62.3</v>
      </c>
      <c r="BF2396" s="10">
        <v>0</v>
      </c>
      <c r="BG2396" s="13">
        <v>45744</v>
      </c>
    </row>
    <row r="2397" spans="49:59" x14ac:dyDescent="0.3">
      <c r="AW2397" s="1">
        <v>25.1</v>
      </c>
      <c r="AX2397" s="1">
        <v>25.1</v>
      </c>
      <c r="AY2397" t="str">
        <v>CP-R80_HI782-0_0.0_LOT0972_PWW.12.2_QC.xlsx</v>
      </c>
      <c r="AZ2397" t="str">
        <v>LOT0972</v>
      </c>
      <c r="BA2397" s="3">
        <v>25</v>
      </c>
      <c r="BB2397" t="str">
        <v>P/FINAL</v>
      </c>
      <c r="BC2397">
        <v>60</v>
      </c>
      <c r="BD2397" s="10">
        <v>58.3</v>
      </c>
      <c r="BE2397" s="10">
        <v>58.6</v>
      </c>
      <c r="BF2397" s="10">
        <v>0</v>
      </c>
      <c r="BG2397" s="13">
        <v>45744</v>
      </c>
    </row>
    <row r="2398" spans="49:59" x14ac:dyDescent="0.3">
      <c r="AW2398" s="1">
        <v>25.1</v>
      </c>
      <c r="AX2398" s="1">
        <v>25.1</v>
      </c>
      <c r="AY2398" t="str">
        <v>CP-R80_HI782-0_0.0_LOT0972_PWW.12.2_QC.xlsx</v>
      </c>
      <c r="AZ2398" t="str">
        <v>LOT0972</v>
      </c>
      <c r="BA2398" s="3">
        <v>25</v>
      </c>
      <c r="BB2398" t="str">
        <v>P/FINAL</v>
      </c>
      <c r="BC2398">
        <v>60</v>
      </c>
      <c r="BD2398" s="10">
        <v>59.2</v>
      </c>
      <c r="BE2398" s="10">
        <v>59.6</v>
      </c>
      <c r="BF2398" s="10">
        <v>0</v>
      </c>
      <c r="BG2398" s="13">
        <v>45744</v>
      </c>
    </row>
    <row r="2399" spans="49:59" x14ac:dyDescent="0.3">
      <c r="AW2399" s="1">
        <v>25.1</v>
      </c>
      <c r="AX2399" s="1">
        <v>25.1</v>
      </c>
      <c r="AY2399" t="str">
        <v>CP-R80_HI782-0_0.0_LOT0972_PWW.12.2_QC.xlsx</v>
      </c>
      <c r="AZ2399" t="str">
        <v>LOT0972</v>
      </c>
      <c r="BA2399" s="3">
        <v>25</v>
      </c>
      <c r="BB2399" t="str">
        <v>P/FINAL</v>
      </c>
      <c r="BC2399">
        <v>60</v>
      </c>
      <c r="BD2399" s="10">
        <v>64.900000000000006</v>
      </c>
      <c r="BE2399" s="10">
        <v>64.2</v>
      </c>
      <c r="BF2399" s="10">
        <v>0</v>
      </c>
      <c r="BG2399" s="13">
        <v>45744</v>
      </c>
    </row>
    <row r="2400" spans="49:59" x14ac:dyDescent="0.3">
      <c r="AW2400" s="1">
        <v>25.1</v>
      </c>
      <c r="AX2400" s="1">
        <v>25.1</v>
      </c>
      <c r="AY2400" t="str">
        <v>CP-R80_HI782-0_0.0_LOT0972_PWW.12.2_QC.xlsx</v>
      </c>
      <c r="AZ2400" t="str">
        <v>LOT0972</v>
      </c>
      <c r="BA2400" s="3">
        <v>25</v>
      </c>
      <c r="BB2400" t="str">
        <v>P/FINAL</v>
      </c>
      <c r="BC2400">
        <v>60</v>
      </c>
      <c r="BD2400" s="10">
        <v>58.8</v>
      </c>
      <c r="BE2400" s="10">
        <v>58.7</v>
      </c>
      <c r="BF2400" s="10">
        <v>0</v>
      </c>
      <c r="BG2400" s="13">
        <v>45744</v>
      </c>
    </row>
    <row r="2401" spans="49:59" x14ac:dyDescent="0.3">
      <c r="AW2401" s="1">
        <v>25.1</v>
      </c>
      <c r="AX2401" s="1">
        <v>25.1</v>
      </c>
      <c r="AY2401" t="str">
        <v>CP-R80_HI782-0_0.0_LOT0972_PWW.12.2_QC.xlsx</v>
      </c>
      <c r="AZ2401" t="str">
        <v>LOT0972</v>
      </c>
      <c r="BA2401" s="3">
        <v>25</v>
      </c>
      <c r="BB2401" t="str">
        <v>P/FINAL</v>
      </c>
      <c r="BC2401">
        <v>60</v>
      </c>
      <c r="BD2401" s="10">
        <v>57.2</v>
      </c>
      <c r="BE2401" s="10">
        <v>57.2</v>
      </c>
      <c r="BF2401" s="10">
        <v>0</v>
      </c>
      <c r="BG2401" s="13">
        <v>45744</v>
      </c>
    </row>
    <row r="2402" spans="49:59" x14ac:dyDescent="0.3">
      <c r="AW2402" s="1">
        <v>25.1</v>
      </c>
      <c r="AX2402" s="1">
        <v>25.1</v>
      </c>
      <c r="AY2402" t="str">
        <v>CP-R80_HI782-0_0.0_LOT0972_PWW.12.2_QC.xlsx</v>
      </c>
      <c r="AZ2402" t="str">
        <v>LOT0972</v>
      </c>
      <c r="BA2402" s="3">
        <v>25</v>
      </c>
      <c r="BB2402" t="str">
        <v>P/FINAL</v>
      </c>
      <c r="BC2402">
        <v>60</v>
      </c>
      <c r="BD2402" s="10">
        <v>60.1</v>
      </c>
      <c r="BE2402" s="10">
        <v>60</v>
      </c>
      <c r="BF2402" s="10">
        <v>0</v>
      </c>
      <c r="BG2402" s="13">
        <v>45744</v>
      </c>
    </row>
    <row r="2403" spans="49:59" x14ac:dyDescent="0.3">
      <c r="AW2403" s="1">
        <v>25.1</v>
      </c>
      <c r="AX2403" s="1">
        <v>25.1</v>
      </c>
      <c r="AY2403" t="str">
        <v>CP-R80_HI782-0_0.0_LOT0972_PWW.12.2_QC.xlsx</v>
      </c>
      <c r="AZ2403" t="str">
        <v>LOT0972</v>
      </c>
      <c r="BA2403" s="3">
        <v>25</v>
      </c>
      <c r="BB2403" t="str">
        <v>P/Prod</v>
      </c>
      <c r="BC2403">
        <v>60</v>
      </c>
      <c r="BD2403" s="10">
        <v>58.9</v>
      </c>
      <c r="BE2403" s="10">
        <v>59.2</v>
      </c>
      <c r="BF2403" s="10">
        <v>0</v>
      </c>
      <c r="BG2403" s="13">
        <v>45744</v>
      </c>
    </row>
    <row r="2404" spans="49:59" x14ac:dyDescent="0.3">
      <c r="AW2404" s="1">
        <v>25.1</v>
      </c>
      <c r="AX2404" s="1">
        <v>25.1</v>
      </c>
      <c r="AY2404" t="str">
        <v>CP-R80_HI782-0_0.0_LOT0972_PWW.12.2_QC.xlsx</v>
      </c>
      <c r="AZ2404" t="str">
        <v>LOT0972</v>
      </c>
      <c r="BA2404" s="3">
        <v>25</v>
      </c>
      <c r="BB2404" t="str">
        <v>P/Prod</v>
      </c>
      <c r="BC2404">
        <v>60</v>
      </c>
      <c r="BD2404" s="10">
        <v>55.9</v>
      </c>
      <c r="BE2404" s="10">
        <v>55.8</v>
      </c>
      <c r="BF2404" s="10">
        <v>0</v>
      </c>
      <c r="BG2404" s="13">
        <v>45744</v>
      </c>
    </row>
    <row r="2405" spans="49:59" x14ac:dyDescent="0.3">
      <c r="AW2405" s="1">
        <v>25.1</v>
      </c>
      <c r="AX2405" s="1">
        <v>25.1</v>
      </c>
      <c r="AY2405" t="str">
        <v>CP-R80_HI782-0_0.0_LOT0972_PWW.12.2_QC.xlsx</v>
      </c>
      <c r="AZ2405" t="str">
        <v>LOT0972</v>
      </c>
      <c r="BA2405" s="3">
        <v>25</v>
      </c>
      <c r="BB2405" t="str">
        <v>P/FINAL</v>
      </c>
      <c r="BC2405">
        <v>60</v>
      </c>
      <c r="BD2405" s="10">
        <v>61.1</v>
      </c>
      <c r="BE2405" s="10">
        <v>60.7</v>
      </c>
      <c r="BF2405" s="10">
        <v>0</v>
      </c>
      <c r="BG2405" s="13">
        <v>45744</v>
      </c>
    </row>
    <row r="2406" spans="49:59" x14ac:dyDescent="0.3">
      <c r="AW2406" s="1">
        <v>25.1</v>
      </c>
      <c r="AX2406" s="1">
        <v>25.1</v>
      </c>
      <c r="AY2406" t="str">
        <v>CP-R80_HI782-0_0.0_LOT0972_PWW.12.2_QC.xlsx</v>
      </c>
      <c r="AZ2406" t="str">
        <v>LOT0972</v>
      </c>
      <c r="BA2406" s="3">
        <v>25</v>
      </c>
      <c r="BB2406" t="str">
        <v>P/FINAL</v>
      </c>
      <c r="BC2406">
        <v>60</v>
      </c>
      <c r="BD2406" s="10">
        <v>58.7</v>
      </c>
      <c r="BE2406" s="10">
        <v>58.7</v>
      </c>
      <c r="BF2406" s="10">
        <v>0</v>
      </c>
      <c r="BG2406" s="13">
        <v>45744</v>
      </c>
    </row>
    <row r="2407" spans="49:59" x14ac:dyDescent="0.3">
      <c r="AW2407" s="1">
        <v>25.1</v>
      </c>
      <c r="AX2407" s="1">
        <v>25.1</v>
      </c>
      <c r="AY2407" t="str">
        <v>CP-R80_HI782-0_0.0_LOT0972_PWW.12.2_QC.xlsx</v>
      </c>
      <c r="AZ2407" t="str">
        <v>LOT0972</v>
      </c>
      <c r="BA2407" s="3">
        <v>25</v>
      </c>
      <c r="BB2407" t="str">
        <v>P/FINAL</v>
      </c>
      <c r="BC2407">
        <v>60</v>
      </c>
      <c r="BD2407" s="10">
        <v>61.8</v>
      </c>
      <c r="BE2407" s="10">
        <v>61.9</v>
      </c>
      <c r="BF2407" s="10">
        <v>0</v>
      </c>
      <c r="BG2407" s="13">
        <v>45744</v>
      </c>
    </row>
    <row r="2408" spans="49:59" x14ac:dyDescent="0.3">
      <c r="AW2408" s="1">
        <v>25.1</v>
      </c>
      <c r="AX2408" s="1">
        <v>25.1</v>
      </c>
      <c r="AY2408" t="str">
        <v>CP-R80_HI782-0_0.0_LOT0972_PWW.12.2_QC.xlsx</v>
      </c>
      <c r="AZ2408" t="str">
        <v>LOT0972</v>
      </c>
      <c r="BA2408" s="3">
        <v>25</v>
      </c>
      <c r="BB2408" t="str">
        <v>P/FINAL</v>
      </c>
      <c r="BC2408">
        <v>15</v>
      </c>
      <c r="BD2408" s="10">
        <v>14.9</v>
      </c>
      <c r="BE2408" s="10">
        <v>15</v>
      </c>
      <c r="BF2408" s="10">
        <v>0</v>
      </c>
      <c r="BG2408" s="13">
        <v>45747</v>
      </c>
    </row>
    <row r="2409" spans="49:59" x14ac:dyDescent="0.3">
      <c r="AW2409" s="1">
        <v>25.1</v>
      </c>
      <c r="AX2409" s="1">
        <v>25.1</v>
      </c>
      <c r="AY2409" t="str">
        <v>CP-R80_HI782-0_0.0_LOT0972_PWW.12.2_QC.xlsx</v>
      </c>
      <c r="AZ2409" t="str">
        <v>LOT0972</v>
      </c>
      <c r="BA2409" s="3">
        <v>25</v>
      </c>
      <c r="BB2409" t="str">
        <v>P/FINAL</v>
      </c>
      <c r="BC2409">
        <v>15</v>
      </c>
      <c r="BD2409" s="10">
        <v>16.8</v>
      </c>
      <c r="BE2409" s="10">
        <v>16.7</v>
      </c>
      <c r="BF2409" s="10">
        <v>0</v>
      </c>
      <c r="BG2409" s="13">
        <v>45747</v>
      </c>
    </row>
    <row r="2410" spans="49:59" x14ac:dyDescent="0.3">
      <c r="AW2410" s="1">
        <v>25.1</v>
      </c>
      <c r="AX2410" s="1">
        <v>25.1</v>
      </c>
      <c r="AY2410" t="str">
        <v>CP-R80_HI782-0_0.0_LOT0972_PWW.12.2_QC.xlsx</v>
      </c>
      <c r="AZ2410" t="str">
        <v>LOT0972</v>
      </c>
      <c r="BA2410" s="3">
        <v>25</v>
      </c>
      <c r="BB2410" t="str">
        <v>P/FINAL</v>
      </c>
      <c r="BC2410">
        <v>15</v>
      </c>
      <c r="BD2410" s="10">
        <v>9.4</v>
      </c>
      <c r="BE2410" s="10">
        <v>9.5</v>
      </c>
      <c r="BF2410" s="10">
        <v>0</v>
      </c>
      <c r="BG2410" s="13">
        <v>45747</v>
      </c>
    </row>
    <row r="2411" spans="49:59" x14ac:dyDescent="0.3">
      <c r="AW2411" s="1">
        <v>25.1</v>
      </c>
      <c r="AX2411" s="1">
        <v>25.1</v>
      </c>
      <c r="AY2411" t="str">
        <v>CP-R80_HI782-0_0.0_LOT0972_PWW.12.2_QC.xlsx</v>
      </c>
      <c r="AZ2411" t="str">
        <v>LOT0972</v>
      </c>
      <c r="BA2411" s="3">
        <v>25</v>
      </c>
      <c r="BB2411" t="str">
        <v>P/FINAL</v>
      </c>
      <c r="BC2411">
        <v>15</v>
      </c>
      <c r="BD2411" s="10">
        <v>15.7</v>
      </c>
      <c r="BE2411" s="10">
        <v>15.8</v>
      </c>
      <c r="BF2411" s="10">
        <v>0</v>
      </c>
      <c r="BG2411" s="13">
        <v>45747</v>
      </c>
    </row>
    <row r="2412" spans="49:59" x14ac:dyDescent="0.3">
      <c r="AW2412" s="1">
        <v>25.1</v>
      </c>
      <c r="AX2412" s="1">
        <v>25.1</v>
      </c>
      <c r="AY2412" t="str">
        <v>CP-R80_HI782-0_0.0_LOT0972_PWW.12.2_QC.xlsx</v>
      </c>
      <c r="AZ2412" t="str">
        <v>LOT0972</v>
      </c>
      <c r="BA2412" s="3">
        <v>25</v>
      </c>
      <c r="BB2412" t="str">
        <v>P/FINAL</v>
      </c>
      <c r="BC2412">
        <v>15</v>
      </c>
      <c r="BD2412" s="10">
        <v>15.2</v>
      </c>
      <c r="BE2412" s="10">
        <v>15.2</v>
      </c>
      <c r="BF2412" s="10">
        <v>0</v>
      </c>
      <c r="BG2412" s="13">
        <v>45747</v>
      </c>
    </row>
    <row r="2413" spans="49:59" x14ac:dyDescent="0.3">
      <c r="AW2413" s="1">
        <v>25.1</v>
      </c>
      <c r="AX2413" s="1">
        <v>25.1</v>
      </c>
      <c r="AY2413" t="str">
        <v>CP-R80_HI782-0_0.0_LOT0972_PWW.12.2_QC.xlsx</v>
      </c>
      <c r="AZ2413" t="str">
        <v>LOT0972</v>
      </c>
      <c r="BA2413" s="3">
        <v>25</v>
      </c>
      <c r="BB2413" t="str">
        <v>P/FINAL</v>
      </c>
      <c r="BC2413">
        <v>15</v>
      </c>
      <c r="BD2413" s="10">
        <v>15.1</v>
      </c>
      <c r="BE2413" s="10">
        <v>15.2</v>
      </c>
      <c r="BF2413" s="10">
        <v>0</v>
      </c>
      <c r="BG2413" s="13">
        <v>45747</v>
      </c>
    </row>
    <row r="2414" spans="49:59" x14ac:dyDescent="0.3">
      <c r="AW2414" s="1">
        <v>25.1</v>
      </c>
      <c r="AX2414" s="1">
        <v>25.1</v>
      </c>
      <c r="AY2414" t="str">
        <v>CP-R80_HI782-0_0.0_LOT0972_PWW.12.2_QC.xlsx</v>
      </c>
      <c r="AZ2414" t="str">
        <v>LOT0972</v>
      </c>
      <c r="BA2414" s="3">
        <v>25</v>
      </c>
      <c r="BB2414" t="str">
        <v>P/FINAL</v>
      </c>
      <c r="BC2414">
        <v>15</v>
      </c>
      <c r="BD2414" s="10">
        <v>17.100000000000001</v>
      </c>
      <c r="BE2414" s="10">
        <v>17.100000000000001</v>
      </c>
      <c r="BF2414" s="10">
        <v>0</v>
      </c>
      <c r="BG2414" s="13">
        <v>45747</v>
      </c>
    </row>
    <row r="2415" spans="49:59" x14ac:dyDescent="0.3">
      <c r="AW2415" s="1">
        <v>25.1</v>
      </c>
      <c r="AX2415" s="1">
        <v>25.1</v>
      </c>
      <c r="AY2415" t="str">
        <v>CP-R80_HI782-0_0.0_LOT0972_PWW.12.2_QC.xlsx</v>
      </c>
      <c r="AZ2415" t="str">
        <v>LOT0972</v>
      </c>
      <c r="BA2415" s="3">
        <v>25</v>
      </c>
      <c r="BB2415" t="str">
        <v>P/FINAL</v>
      </c>
      <c r="BC2415">
        <v>15</v>
      </c>
      <c r="BD2415" s="10">
        <v>16.600000000000001</v>
      </c>
      <c r="BE2415" s="10">
        <v>16.399999999999999</v>
      </c>
      <c r="BF2415" s="10">
        <v>0</v>
      </c>
      <c r="BG2415" s="13">
        <v>45747</v>
      </c>
    </row>
    <row r="2416" spans="49:59" x14ac:dyDescent="0.3">
      <c r="AW2416" s="1">
        <v>25.1</v>
      </c>
      <c r="AX2416" s="1">
        <v>25.1</v>
      </c>
      <c r="AY2416" t="str">
        <v>CP-R80_HI782-0_0.0_LOT0972_PWW.12.2_QC.xlsx</v>
      </c>
      <c r="AZ2416" t="str">
        <v>LOT0972</v>
      </c>
      <c r="BA2416" s="3">
        <v>25</v>
      </c>
      <c r="BB2416" t="str">
        <v>P/FINAL</v>
      </c>
      <c r="BC2416">
        <v>15</v>
      </c>
      <c r="BD2416" s="10">
        <v>16.3</v>
      </c>
      <c r="BE2416" s="10">
        <v>16.399999999999999</v>
      </c>
      <c r="BF2416" s="10">
        <v>0</v>
      </c>
      <c r="BG2416" s="13">
        <v>45747</v>
      </c>
    </row>
    <row r="2417" spans="49:59" x14ac:dyDescent="0.3">
      <c r="AW2417" s="1">
        <v>25.1</v>
      </c>
      <c r="AX2417" s="1">
        <v>25.1</v>
      </c>
      <c r="AY2417" t="str">
        <v>CP-R80_HI782-0_0.0_LOT0972_PWW.12.2_QC.xlsx</v>
      </c>
      <c r="AZ2417" t="str">
        <v>LOT0972</v>
      </c>
      <c r="BA2417" s="3">
        <v>25</v>
      </c>
      <c r="BB2417" t="str">
        <v>P/FINAL</v>
      </c>
      <c r="BC2417">
        <v>15</v>
      </c>
      <c r="BD2417" s="10">
        <v>16</v>
      </c>
      <c r="BE2417" s="10">
        <v>16</v>
      </c>
      <c r="BF2417" s="10">
        <v>0</v>
      </c>
      <c r="BG2417" s="13">
        <v>45747</v>
      </c>
    </row>
    <row r="2418" spans="49:59" x14ac:dyDescent="0.3">
      <c r="AW2418" s="1">
        <v>25.1</v>
      </c>
      <c r="AX2418" s="1">
        <v>25.1</v>
      </c>
      <c r="AY2418" t="str">
        <v>CP-R80_HI782-0_0.0_LOT0972_PWW.12.2_QC.xlsx</v>
      </c>
      <c r="AZ2418" t="str">
        <v>LOT0972</v>
      </c>
      <c r="BA2418" s="3">
        <v>25</v>
      </c>
      <c r="BB2418" t="str">
        <v>P/FINAL</v>
      </c>
      <c r="BC2418">
        <v>15</v>
      </c>
      <c r="BD2418" s="10">
        <v>15.8</v>
      </c>
      <c r="BE2418" s="10">
        <v>15.9</v>
      </c>
      <c r="BF2418" s="10">
        <v>0</v>
      </c>
      <c r="BG2418" s="13">
        <v>45747</v>
      </c>
    </row>
    <row r="2419" spans="49:59" x14ac:dyDescent="0.3">
      <c r="AW2419" s="1">
        <v>25.1</v>
      </c>
      <c r="AX2419" s="1">
        <v>25.1</v>
      </c>
      <c r="AY2419" t="str">
        <v>CP-R80_HI782-0_0.0_LOT0972_PWW.12.2_QC.xlsx</v>
      </c>
      <c r="AZ2419" t="str">
        <v>LOT0972</v>
      </c>
      <c r="BA2419" s="3">
        <v>25</v>
      </c>
      <c r="BB2419" t="str">
        <v>P/FINAL</v>
      </c>
      <c r="BC2419">
        <v>15</v>
      </c>
      <c r="BD2419" s="10">
        <v>14.4</v>
      </c>
      <c r="BE2419" s="10">
        <v>14.4</v>
      </c>
      <c r="BF2419" s="10">
        <v>0</v>
      </c>
      <c r="BG2419" s="13">
        <v>45747</v>
      </c>
    </row>
    <row r="2420" spans="49:59" x14ac:dyDescent="0.3">
      <c r="AW2420" s="1">
        <v>25.1</v>
      </c>
      <c r="AX2420" s="1">
        <v>25.1</v>
      </c>
      <c r="AY2420" t="str">
        <v>CP-R80_HI782-0_0.0_LOT0972_PWW.12.2_QC.xlsx</v>
      </c>
      <c r="AZ2420" t="str">
        <v>LOT0972</v>
      </c>
      <c r="BA2420" s="3">
        <v>25</v>
      </c>
      <c r="BB2420" t="str">
        <v>P/FINAL</v>
      </c>
      <c r="BC2420">
        <v>35</v>
      </c>
      <c r="BD2420" s="10">
        <v>34.9</v>
      </c>
      <c r="BE2420" s="10">
        <v>35.200000000000003</v>
      </c>
      <c r="BF2420" s="10">
        <v>0</v>
      </c>
      <c r="BG2420" s="13">
        <v>45747</v>
      </c>
    </row>
    <row r="2421" spans="49:59" x14ac:dyDescent="0.3">
      <c r="AW2421" s="1">
        <v>25.1</v>
      </c>
      <c r="AX2421" s="1">
        <v>25.1</v>
      </c>
      <c r="AY2421" t="str">
        <v>CP-R80_HI782-0_0.0_LOT0972_PWW.12.2_QC.xlsx</v>
      </c>
      <c r="AZ2421" t="str">
        <v>LOT0972</v>
      </c>
      <c r="BA2421" s="3">
        <v>25</v>
      </c>
      <c r="BB2421" t="str">
        <v>P/FINAL</v>
      </c>
      <c r="BC2421">
        <v>35</v>
      </c>
      <c r="BD2421" s="10">
        <v>36.9</v>
      </c>
      <c r="BE2421" s="10">
        <v>37</v>
      </c>
      <c r="BF2421" s="10">
        <v>0</v>
      </c>
      <c r="BG2421" s="13">
        <v>45747</v>
      </c>
    </row>
    <row r="2422" spans="49:59" x14ac:dyDescent="0.3">
      <c r="AW2422" s="1">
        <v>25.1</v>
      </c>
      <c r="AX2422" s="1">
        <v>25.1</v>
      </c>
      <c r="AY2422" t="str">
        <v>CP-R80_HI782-0_0.0_LOT0972_PWW.12.2_QC.xlsx</v>
      </c>
      <c r="AZ2422" t="str">
        <v>LOT0972</v>
      </c>
      <c r="BA2422" s="3">
        <v>25</v>
      </c>
      <c r="BB2422" t="str">
        <v>P/FINAL</v>
      </c>
      <c r="BC2422">
        <v>35</v>
      </c>
      <c r="BD2422" s="10">
        <v>38</v>
      </c>
      <c r="BE2422" s="10">
        <v>38.299999999999997</v>
      </c>
      <c r="BF2422" s="10">
        <v>0</v>
      </c>
      <c r="BG2422" s="13">
        <v>45747</v>
      </c>
    </row>
    <row r="2423" spans="49:59" x14ac:dyDescent="0.3">
      <c r="AW2423" s="1">
        <v>25.1</v>
      </c>
      <c r="AX2423" s="1">
        <v>25.1</v>
      </c>
      <c r="AY2423" t="str">
        <v>CP-R80_HI782-0_0.0_LOT0972_PWW.12.2_QC.xlsx</v>
      </c>
      <c r="AZ2423" t="str">
        <v>LOT0972</v>
      </c>
      <c r="BA2423" s="3">
        <v>25</v>
      </c>
      <c r="BB2423" t="str">
        <v>P/FINAL</v>
      </c>
      <c r="BC2423">
        <v>35</v>
      </c>
      <c r="BD2423" s="10">
        <v>33.299999999999997</v>
      </c>
      <c r="BE2423" s="10">
        <v>33.4</v>
      </c>
      <c r="BF2423" s="10">
        <v>0</v>
      </c>
      <c r="BG2423" s="13">
        <v>45747</v>
      </c>
    </row>
    <row r="2424" spans="49:59" x14ac:dyDescent="0.3">
      <c r="AW2424" s="1">
        <v>25.1</v>
      </c>
      <c r="AX2424" s="1">
        <v>25.1</v>
      </c>
      <c r="AY2424" t="str">
        <v>CP-R80_HI782-0_0.0_LOT0972_PWW.12.2_QC.xlsx</v>
      </c>
      <c r="AZ2424" t="str">
        <v>LOT0972</v>
      </c>
      <c r="BA2424" s="3">
        <v>25</v>
      </c>
      <c r="BB2424" t="str">
        <v>P/FINAL</v>
      </c>
      <c r="BC2424">
        <v>35</v>
      </c>
      <c r="BD2424" s="10">
        <v>34.9</v>
      </c>
      <c r="BE2424" s="10">
        <v>35.200000000000003</v>
      </c>
      <c r="BF2424" s="10">
        <v>0</v>
      </c>
      <c r="BG2424" s="13">
        <v>45747</v>
      </c>
    </row>
    <row r="2425" spans="49:59" x14ac:dyDescent="0.3">
      <c r="AW2425" s="1">
        <v>25.1</v>
      </c>
      <c r="AX2425" s="1">
        <v>25.1</v>
      </c>
      <c r="AY2425" t="str">
        <v>CP-R80_HI782-0_0.0_LOT0972_PWW.12.2_QC.xlsx</v>
      </c>
      <c r="AZ2425" t="str">
        <v>LOT0972</v>
      </c>
      <c r="BA2425" s="3">
        <v>25</v>
      </c>
      <c r="BB2425" t="str">
        <v>P/FINAL</v>
      </c>
      <c r="BC2425">
        <v>35</v>
      </c>
      <c r="BD2425" s="10">
        <v>37.5</v>
      </c>
      <c r="BE2425" s="10">
        <v>37.5</v>
      </c>
      <c r="BF2425" s="10">
        <v>0</v>
      </c>
      <c r="BG2425" s="13">
        <v>45747</v>
      </c>
    </row>
    <row r="2426" spans="49:59" x14ac:dyDescent="0.3">
      <c r="AW2426" s="1">
        <v>25.1</v>
      </c>
      <c r="AX2426" s="1">
        <v>25.1</v>
      </c>
      <c r="AY2426" t="str">
        <v>CP-R80_HI782-0_0.0_LOT0972_PWW.12.2_QC.xlsx</v>
      </c>
      <c r="AZ2426" t="str">
        <v>LOT0972</v>
      </c>
      <c r="BA2426" s="3">
        <v>25</v>
      </c>
      <c r="BB2426" t="str">
        <v>P/FINAL</v>
      </c>
      <c r="BC2426">
        <v>35</v>
      </c>
      <c r="BD2426" s="10">
        <v>39.5</v>
      </c>
      <c r="BE2426" s="10">
        <v>39.6</v>
      </c>
      <c r="BF2426" s="10">
        <v>0</v>
      </c>
      <c r="BG2426" s="13">
        <v>45747</v>
      </c>
    </row>
    <row r="2427" spans="49:59" x14ac:dyDescent="0.3">
      <c r="AW2427" s="1">
        <v>25.1</v>
      </c>
      <c r="AX2427" s="1">
        <v>25.1</v>
      </c>
      <c r="AY2427" t="str">
        <v>CP-R80_HI782-0_0.0_LOT0972_PWW.12.2_QC.xlsx</v>
      </c>
      <c r="AZ2427" t="str">
        <v>LOT0972</v>
      </c>
      <c r="BA2427" s="3">
        <v>25</v>
      </c>
      <c r="BB2427" t="str">
        <v>P/FINAL</v>
      </c>
      <c r="BC2427">
        <v>35</v>
      </c>
      <c r="BD2427" s="10">
        <v>37.200000000000003</v>
      </c>
      <c r="BE2427" s="10">
        <v>37.299999999999997</v>
      </c>
      <c r="BF2427" s="10">
        <v>0</v>
      </c>
      <c r="BG2427" s="13">
        <v>45747</v>
      </c>
    </row>
    <row r="2428" spans="49:59" x14ac:dyDescent="0.3">
      <c r="AW2428" s="1">
        <v>25.1</v>
      </c>
      <c r="AX2428" s="1">
        <v>25.1</v>
      </c>
      <c r="AY2428" t="str">
        <v>CP-R80_HI782-0_0.0_LOT0972_PWW.12.2_QC.xlsx</v>
      </c>
      <c r="AZ2428" t="str">
        <v>LOT0972</v>
      </c>
      <c r="BA2428" s="3">
        <v>25</v>
      </c>
      <c r="BB2428" t="str">
        <v>P/FINAL</v>
      </c>
      <c r="BC2428">
        <v>35</v>
      </c>
      <c r="BD2428" s="10">
        <v>35.799999999999997</v>
      </c>
      <c r="BE2428" s="10">
        <v>35.9</v>
      </c>
      <c r="BF2428" s="10">
        <v>0</v>
      </c>
      <c r="BG2428" s="13">
        <v>45747</v>
      </c>
    </row>
    <row r="2429" spans="49:59" x14ac:dyDescent="0.3">
      <c r="AW2429" s="1">
        <v>25.1</v>
      </c>
      <c r="AX2429" s="1">
        <v>25.1</v>
      </c>
      <c r="AY2429" t="str">
        <v>CP-R80_HI782-0_0.0_LOT0972_PWW.12.2_QC.xlsx</v>
      </c>
      <c r="AZ2429" t="str">
        <v>LOT0972</v>
      </c>
      <c r="BA2429" s="3">
        <v>25</v>
      </c>
      <c r="BB2429" t="str">
        <v>P/FINAL</v>
      </c>
      <c r="BC2429">
        <v>35</v>
      </c>
      <c r="BD2429" s="10">
        <v>35.299999999999997</v>
      </c>
      <c r="BE2429" s="10">
        <v>35.4</v>
      </c>
      <c r="BF2429" s="10">
        <v>0</v>
      </c>
      <c r="BG2429" s="13">
        <v>45747</v>
      </c>
    </row>
    <row r="2430" spans="49:59" x14ac:dyDescent="0.3">
      <c r="AW2430" s="1">
        <v>25.1</v>
      </c>
      <c r="AX2430" s="1">
        <v>25.1</v>
      </c>
      <c r="AY2430" t="str">
        <v>CP-R80_HI782-0_0.0_LOT0972_PWW.12.2_QC.xlsx</v>
      </c>
      <c r="AZ2430" t="str">
        <v>LOT0972</v>
      </c>
      <c r="BA2430" s="3">
        <v>25</v>
      </c>
      <c r="BB2430" t="str">
        <v>P/FINAL</v>
      </c>
      <c r="BC2430">
        <v>35</v>
      </c>
      <c r="BD2430" s="10">
        <v>36.1</v>
      </c>
      <c r="BE2430" s="10">
        <v>36.1</v>
      </c>
      <c r="BF2430" s="10">
        <v>0</v>
      </c>
      <c r="BG2430" s="13">
        <v>45747</v>
      </c>
    </row>
    <row r="2431" spans="49:59" x14ac:dyDescent="0.3">
      <c r="AW2431" s="1">
        <v>25.1</v>
      </c>
      <c r="AX2431" s="1">
        <v>25.1</v>
      </c>
      <c r="AY2431" t="str">
        <v>CP-R80_HI782-0_0.0_LOT0972_PWW.12.2_QC.xlsx</v>
      </c>
      <c r="AZ2431" t="str">
        <v>LOT0972</v>
      </c>
      <c r="BA2431" s="3">
        <v>25</v>
      </c>
      <c r="BB2431" t="str">
        <v>P/FINAL</v>
      </c>
      <c r="BC2431">
        <v>35</v>
      </c>
      <c r="BD2431" s="10">
        <v>36</v>
      </c>
      <c r="BE2431" s="10">
        <v>36</v>
      </c>
      <c r="BF2431" s="10">
        <v>0</v>
      </c>
      <c r="BG2431" s="13">
        <v>45747</v>
      </c>
    </row>
    <row r="2432" spans="49:59" x14ac:dyDescent="0.3">
      <c r="AW2432" s="1">
        <v>25.1</v>
      </c>
      <c r="AX2432" s="1">
        <v>25.1</v>
      </c>
      <c r="AY2432" t="str">
        <v>CP-R80_HI782-0_0.0_LOT0972_PWW.12.2_QC.xlsx</v>
      </c>
      <c r="AZ2432" t="str">
        <v>LOT0972</v>
      </c>
      <c r="BA2432" s="3">
        <v>25</v>
      </c>
      <c r="BB2432" t="str">
        <v>P/FINAL</v>
      </c>
      <c r="BC2432">
        <v>60</v>
      </c>
      <c r="BD2432" s="10">
        <v>60.3</v>
      </c>
      <c r="BE2432" s="10">
        <v>60.5</v>
      </c>
      <c r="BF2432" s="10">
        <v>0</v>
      </c>
      <c r="BG2432" s="13">
        <v>45747</v>
      </c>
    </row>
    <row r="2433" spans="49:59" x14ac:dyDescent="0.3">
      <c r="AW2433" s="1">
        <v>25.1</v>
      </c>
      <c r="AX2433" s="1">
        <v>25.1</v>
      </c>
      <c r="AY2433" t="str">
        <v>CP-R80_HI782-0_0.0_LOT0972_PWW.12.2_QC.xlsx</v>
      </c>
      <c r="AZ2433" t="str">
        <v>LOT0972</v>
      </c>
      <c r="BA2433" s="3">
        <v>25</v>
      </c>
      <c r="BB2433" t="str">
        <v>P/FINAL</v>
      </c>
      <c r="BC2433">
        <v>60</v>
      </c>
      <c r="BD2433" s="10">
        <v>56.3</v>
      </c>
      <c r="BE2433" s="10">
        <v>56.8</v>
      </c>
      <c r="BF2433" s="10">
        <v>0</v>
      </c>
      <c r="BG2433" s="13">
        <v>45747</v>
      </c>
    </row>
    <row r="2434" spans="49:59" x14ac:dyDescent="0.3">
      <c r="AW2434" s="1">
        <v>25.1</v>
      </c>
      <c r="AX2434" s="1">
        <v>25.1</v>
      </c>
      <c r="AY2434" t="str">
        <v>CP-R80_HI782-0_0.0_LOT0972_PWW.12.2_QC.xlsx</v>
      </c>
      <c r="AZ2434" t="str">
        <v>LOT0972</v>
      </c>
      <c r="BA2434" s="3">
        <v>25</v>
      </c>
      <c r="BB2434" t="str">
        <v>P/FINAL</v>
      </c>
      <c r="BC2434">
        <v>60</v>
      </c>
      <c r="BD2434" s="10">
        <v>55.6</v>
      </c>
      <c r="BE2434" s="10">
        <v>55.7</v>
      </c>
      <c r="BF2434" s="10">
        <v>0</v>
      </c>
      <c r="BG2434" s="13">
        <v>45747</v>
      </c>
    </row>
    <row r="2435" spans="49:59" x14ac:dyDescent="0.3">
      <c r="AW2435" s="1">
        <v>25.1</v>
      </c>
      <c r="AX2435" s="1">
        <v>25.1</v>
      </c>
      <c r="AY2435" t="str">
        <v>CP-R80_HI782-0_0.0_LOT0972_PWW.12.2_QC.xlsx</v>
      </c>
      <c r="AZ2435" t="str">
        <v>LOT0972</v>
      </c>
      <c r="BA2435" s="3">
        <v>25</v>
      </c>
      <c r="BB2435" t="str">
        <v>P/FINAL</v>
      </c>
      <c r="BC2435">
        <v>60</v>
      </c>
      <c r="BD2435" s="10">
        <v>59.2</v>
      </c>
      <c r="BE2435" s="10">
        <v>59.7</v>
      </c>
      <c r="BF2435" s="10">
        <v>0</v>
      </c>
      <c r="BG2435" s="13">
        <v>45747</v>
      </c>
    </row>
    <row r="2436" spans="49:59" x14ac:dyDescent="0.3">
      <c r="AW2436" s="1">
        <v>25.1</v>
      </c>
      <c r="AX2436" s="1">
        <v>25.1</v>
      </c>
      <c r="AY2436" t="str">
        <v>CP-R80_HI782-0_0.0_LOT0972_PWW.12.2_QC.xlsx</v>
      </c>
      <c r="AZ2436" t="str">
        <v>LOT0972</v>
      </c>
      <c r="BA2436" s="3">
        <v>25</v>
      </c>
      <c r="BB2436" t="str">
        <v>P/FINAL</v>
      </c>
      <c r="BC2436">
        <v>60</v>
      </c>
      <c r="BD2436" s="10">
        <v>62.3</v>
      </c>
      <c r="BE2436" s="10">
        <v>62.8</v>
      </c>
      <c r="BF2436" s="10">
        <v>0</v>
      </c>
      <c r="BG2436" s="13">
        <v>45747</v>
      </c>
    </row>
    <row r="2437" spans="49:59" x14ac:dyDescent="0.3">
      <c r="AW2437" s="1">
        <v>25.1</v>
      </c>
      <c r="AX2437" s="1">
        <v>25.1</v>
      </c>
      <c r="AY2437" t="str">
        <v>CP-R80_HI782-0_0.0_LOT0972_PWW.12.2_QC.xlsx</v>
      </c>
      <c r="AZ2437" t="str">
        <v>LOT0972</v>
      </c>
      <c r="BA2437" s="3">
        <v>25</v>
      </c>
      <c r="BB2437" t="str">
        <v>P/FINAL</v>
      </c>
      <c r="BC2437">
        <v>60</v>
      </c>
      <c r="BD2437" s="10">
        <v>59.5</v>
      </c>
      <c r="BE2437" s="10">
        <v>59.5</v>
      </c>
      <c r="BF2437" s="10">
        <v>0</v>
      </c>
      <c r="BG2437" s="13">
        <v>45747</v>
      </c>
    </row>
    <row r="2438" spans="49:59" x14ac:dyDescent="0.3">
      <c r="AW2438" s="1">
        <v>25.1</v>
      </c>
      <c r="AX2438" s="1">
        <v>25.1</v>
      </c>
      <c r="AY2438" t="str">
        <v>CP-R80_HI782-0_0.0_LOT0972_PWW.12.2_QC.xlsx</v>
      </c>
      <c r="AZ2438" t="str">
        <v>LOT0972</v>
      </c>
      <c r="BA2438" s="3">
        <v>25</v>
      </c>
      <c r="BB2438" t="str">
        <v>P/FINAL</v>
      </c>
      <c r="BC2438">
        <v>60</v>
      </c>
      <c r="BD2438" s="10">
        <v>51.4</v>
      </c>
      <c r="BE2438" s="10">
        <v>51.6</v>
      </c>
      <c r="BF2438" s="10">
        <v>0</v>
      </c>
      <c r="BG2438" s="13">
        <v>45747</v>
      </c>
    </row>
    <row r="2439" spans="49:59" x14ac:dyDescent="0.3">
      <c r="AW2439" s="1">
        <v>25.1</v>
      </c>
      <c r="AX2439" s="1">
        <v>25.1</v>
      </c>
      <c r="AY2439" t="str">
        <v>CP-R80_HI782-0_0.0_LOT0972_PWW.12.2_QC.xlsx</v>
      </c>
      <c r="AZ2439" t="str">
        <v>LOT0972</v>
      </c>
      <c r="BA2439" s="3">
        <v>25</v>
      </c>
      <c r="BB2439" t="str">
        <v>P/FINAL</v>
      </c>
      <c r="BC2439">
        <v>60</v>
      </c>
      <c r="BD2439" s="10">
        <v>56.9</v>
      </c>
      <c r="BE2439" s="10">
        <v>57.3</v>
      </c>
      <c r="BF2439" s="10">
        <v>0</v>
      </c>
      <c r="BG2439" s="13">
        <v>45747</v>
      </c>
    </row>
    <row r="2440" spans="49:59" x14ac:dyDescent="0.3">
      <c r="AW2440" s="1">
        <v>25.1</v>
      </c>
      <c r="AX2440" s="1">
        <v>25.1</v>
      </c>
      <c r="AY2440" t="str">
        <v>CP-R80_HI782-0_0.0_LOT0972_PWW.12.2_QC.xlsx</v>
      </c>
      <c r="AZ2440" t="str">
        <v>LOT0972</v>
      </c>
      <c r="BA2440" s="3">
        <v>25</v>
      </c>
      <c r="BB2440" t="str">
        <v>P/FINAL</v>
      </c>
      <c r="BC2440">
        <v>60</v>
      </c>
      <c r="BD2440" s="10">
        <v>58.6</v>
      </c>
      <c r="BE2440" s="10">
        <v>59.3</v>
      </c>
      <c r="BF2440" s="10">
        <v>0</v>
      </c>
      <c r="BG2440" s="13">
        <v>45747</v>
      </c>
    </row>
    <row r="2441" spans="49:59" x14ac:dyDescent="0.3">
      <c r="AW2441" s="1">
        <v>25.1</v>
      </c>
      <c r="AX2441" s="1">
        <v>25.1</v>
      </c>
      <c r="AY2441" t="str">
        <v>CP-R80_HI782-0_0.0_LOT0972_PWW.12.2_QC.xlsx</v>
      </c>
      <c r="AZ2441" t="str">
        <v>LOT0972</v>
      </c>
      <c r="BA2441" s="3">
        <v>25</v>
      </c>
      <c r="BB2441" t="str">
        <v>P/FINAL</v>
      </c>
      <c r="BC2441">
        <v>60</v>
      </c>
      <c r="BD2441" s="10">
        <v>59.4</v>
      </c>
      <c r="BE2441" s="10">
        <v>59.4</v>
      </c>
      <c r="BF2441" s="10">
        <v>0</v>
      </c>
      <c r="BG2441" s="13">
        <v>45747</v>
      </c>
    </row>
    <row r="2442" spans="49:59" x14ac:dyDescent="0.3">
      <c r="AW2442" s="1">
        <v>25.1</v>
      </c>
      <c r="AX2442" s="1">
        <v>25.1</v>
      </c>
      <c r="AY2442" t="str">
        <v>CP-R80_HI782-0_0.0_LOT0972_PWW.12.2_QC.xlsx</v>
      </c>
      <c r="AZ2442" t="str">
        <v>LOT0972</v>
      </c>
      <c r="BA2442" s="3">
        <v>25</v>
      </c>
      <c r="BB2442" t="str">
        <v>P/FINAL</v>
      </c>
      <c r="BC2442">
        <v>0</v>
      </c>
      <c r="BD2442" s="10">
        <v>0</v>
      </c>
      <c r="BE2442" s="10">
        <v>0</v>
      </c>
      <c r="BF2442" s="10">
        <v>0</v>
      </c>
      <c r="BG2442" s="13">
        <v>45748</v>
      </c>
    </row>
    <row r="2443" spans="49:59" x14ac:dyDescent="0.3">
      <c r="AW2443" s="1">
        <v>25.1</v>
      </c>
      <c r="AX2443" s="1">
        <v>25.1</v>
      </c>
      <c r="AY2443" t="str">
        <v>CP-R80_HI782-0_0.0_LOT0972_PWW.12.2_QC.xlsx</v>
      </c>
      <c r="AZ2443" t="str">
        <v>LOT0972</v>
      </c>
      <c r="BA2443" s="3">
        <v>25</v>
      </c>
      <c r="BB2443" t="str">
        <v>P/FINAL</v>
      </c>
      <c r="BC2443">
        <v>0</v>
      </c>
      <c r="BD2443" s="10">
        <v>0</v>
      </c>
      <c r="BE2443" s="10">
        <v>0</v>
      </c>
      <c r="BF2443" s="10">
        <v>0</v>
      </c>
      <c r="BG2443" s="13">
        <v>45748</v>
      </c>
    </row>
    <row r="2444" spans="49:59" x14ac:dyDescent="0.3">
      <c r="AW2444" s="1">
        <v>25.1</v>
      </c>
      <c r="AX2444" s="1">
        <v>25.1</v>
      </c>
      <c r="AY2444" t="str">
        <v>CP-R80_HI782-0_0.0_LOT0972_PWW.12.2_QC.xlsx</v>
      </c>
      <c r="AZ2444" t="str">
        <v>LOT0972</v>
      </c>
      <c r="BA2444" s="3">
        <v>25</v>
      </c>
      <c r="BB2444" t="str">
        <v>P/FINAL</v>
      </c>
      <c r="BC2444">
        <v>15</v>
      </c>
      <c r="BD2444" s="10">
        <v>17.100000000000001</v>
      </c>
      <c r="BE2444" s="10">
        <v>17</v>
      </c>
      <c r="BF2444" s="10">
        <v>0</v>
      </c>
      <c r="BG2444" s="13">
        <v>45748</v>
      </c>
    </row>
    <row r="2445" spans="49:59" x14ac:dyDescent="0.3">
      <c r="AW2445" s="1">
        <v>25.1</v>
      </c>
      <c r="AX2445" s="1">
        <v>25.1</v>
      </c>
      <c r="AY2445" t="str">
        <v>CP-R80_HI782-0_0.0_LOT0972_PWW.12.2_QC.xlsx</v>
      </c>
      <c r="AZ2445" t="str">
        <v>LOT0972</v>
      </c>
      <c r="BA2445" s="3">
        <v>25</v>
      </c>
      <c r="BB2445" t="str">
        <v>P/FINAL</v>
      </c>
      <c r="BC2445">
        <v>15</v>
      </c>
      <c r="BD2445" s="10">
        <v>17.2</v>
      </c>
      <c r="BE2445" s="10">
        <v>17.5</v>
      </c>
      <c r="BF2445" s="10">
        <v>0</v>
      </c>
      <c r="BG2445" s="13">
        <v>45748</v>
      </c>
    </row>
    <row r="2446" spans="49:59" x14ac:dyDescent="0.3">
      <c r="AW2446" s="1">
        <v>25.1</v>
      </c>
      <c r="AX2446" s="1">
        <v>25.1</v>
      </c>
      <c r="AY2446" t="str">
        <v>CP-R80_HI782-0_0.0_LOT0972_PWW.12.2_QC.xlsx</v>
      </c>
      <c r="AZ2446" t="str">
        <v>LOT0972</v>
      </c>
      <c r="BA2446" s="3">
        <v>25</v>
      </c>
      <c r="BB2446" t="str">
        <v>P/FINAL</v>
      </c>
      <c r="BC2446">
        <v>15</v>
      </c>
      <c r="BD2446" s="10">
        <v>17.7</v>
      </c>
      <c r="BE2446" s="10">
        <v>17.7</v>
      </c>
      <c r="BF2446" s="10">
        <v>0</v>
      </c>
      <c r="BG2446" s="13">
        <v>45748</v>
      </c>
    </row>
    <row r="2447" spans="49:59" x14ac:dyDescent="0.3">
      <c r="AW2447" s="1">
        <v>25.1</v>
      </c>
      <c r="AX2447" s="1">
        <v>25.1</v>
      </c>
      <c r="AY2447" t="str">
        <v>CP-R80_HI782-0_0.0_LOT0972_PWW.12.2_QC.xlsx</v>
      </c>
      <c r="AZ2447" t="str">
        <v>LOT0972</v>
      </c>
      <c r="BA2447" s="3">
        <v>25</v>
      </c>
      <c r="BB2447" t="str">
        <v>P/FINAL</v>
      </c>
      <c r="BC2447">
        <v>15</v>
      </c>
      <c r="BD2447" s="10">
        <v>14.4</v>
      </c>
      <c r="BE2447" s="10">
        <v>14.4</v>
      </c>
      <c r="BF2447" s="10">
        <v>0</v>
      </c>
      <c r="BG2447" s="13">
        <v>45748</v>
      </c>
    </row>
    <row r="2448" spans="49:59" x14ac:dyDescent="0.3">
      <c r="AW2448" s="1">
        <v>25.1</v>
      </c>
      <c r="AX2448" s="1">
        <v>25.1</v>
      </c>
      <c r="AY2448" t="str">
        <v>CP-R80_HI782-0_0.0_LOT0972_PWW.12.2_QC.xlsx</v>
      </c>
      <c r="AZ2448" t="str">
        <v>LOT0972</v>
      </c>
      <c r="BA2448" s="3">
        <v>25</v>
      </c>
      <c r="BB2448" t="str">
        <v>P/FINAL</v>
      </c>
      <c r="BC2448">
        <v>35</v>
      </c>
      <c r="BD2448" s="10">
        <v>38.200000000000003</v>
      </c>
      <c r="BE2448" s="10">
        <v>38.299999999999997</v>
      </c>
      <c r="BF2448" s="10">
        <v>0</v>
      </c>
      <c r="BG2448" s="13">
        <v>45748</v>
      </c>
    </row>
    <row r="2449" spans="49:59" x14ac:dyDescent="0.3">
      <c r="AW2449" s="1">
        <v>25.1</v>
      </c>
      <c r="AX2449" s="1">
        <v>25.1</v>
      </c>
      <c r="AY2449" t="str">
        <v>CP-R80_HI782-0_0.0_LOT0972_PWW.12.2_QC.xlsx</v>
      </c>
      <c r="AZ2449" t="str">
        <v>LOT0972</v>
      </c>
      <c r="BA2449" s="3">
        <v>25</v>
      </c>
      <c r="BB2449" t="str">
        <v>P/FINAL</v>
      </c>
      <c r="BC2449">
        <v>35</v>
      </c>
      <c r="BD2449" s="10">
        <v>38.6</v>
      </c>
      <c r="BE2449" s="10">
        <v>38.6</v>
      </c>
      <c r="BF2449" s="10">
        <v>0</v>
      </c>
      <c r="BG2449" s="13">
        <v>45748</v>
      </c>
    </row>
    <row r="2450" spans="49:59" x14ac:dyDescent="0.3">
      <c r="AW2450" s="1">
        <v>25.1</v>
      </c>
      <c r="AX2450" s="1">
        <v>25.1</v>
      </c>
      <c r="AY2450" t="str">
        <v>CP-R80_HI782-0_0.0_LOT0972_PWW.12.2_QC.xlsx</v>
      </c>
      <c r="AZ2450" t="str">
        <v>LOT0972</v>
      </c>
      <c r="BA2450" s="3">
        <v>25</v>
      </c>
      <c r="BB2450" t="str">
        <v>P/FINAL</v>
      </c>
      <c r="BC2450">
        <v>35</v>
      </c>
      <c r="BD2450" s="10">
        <v>38.5</v>
      </c>
      <c r="BE2450" s="10">
        <v>38.299999999999997</v>
      </c>
      <c r="BF2450" s="10">
        <v>0</v>
      </c>
      <c r="BG2450" s="13">
        <v>45748</v>
      </c>
    </row>
    <row r="2451" spans="49:59" x14ac:dyDescent="0.3">
      <c r="AW2451" s="1">
        <v>25.1</v>
      </c>
      <c r="AX2451" s="1">
        <v>25.1</v>
      </c>
      <c r="AY2451" t="str">
        <v>CP-R80_HI782-0_0.0_LOT0972_PWW.12.2_QC.xlsx</v>
      </c>
      <c r="AZ2451" t="str">
        <v>LOT0972</v>
      </c>
      <c r="BA2451" s="3">
        <v>25</v>
      </c>
      <c r="BB2451" t="str">
        <v>P/FINAL</v>
      </c>
      <c r="BC2451">
        <v>35</v>
      </c>
      <c r="BD2451" s="10">
        <v>38.4</v>
      </c>
      <c r="BE2451" s="10">
        <v>38.5</v>
      </c>
      <c r="BF2451" s="10">
        <v>0</v>
      </c>
      <c r="BG2451" s="13">
        <v>45748</v>
      </c>
    </row>
    <row r="2452" spans="49:59" x14ac:dyDescent="0.3">
      <c r="AW2452" s="1">
        <v>25.1</v>
      </c>
      <c r="AX2452" s="1">
        <v>25.1</v>
      </c>
      <c r="AY2452" t="str">
        <v>CP-R80_HI782-0_0.0_LOT0972_PWW.12.2_QC.xlsx</v>
      </c>
      <c r="AZ2452" t="str">
        <v>LOT0972</v>
      </c>
      <c r="BA2452" s="3">
        <v>25</v>
      </c>
      <c r="BB2452" t="str">
        <v>P/FINAL</v>
      </c>
      <c r="BC2452">
        <v>60</v>
      </c>
      <c r="BD2452" s="10">
        <v>63.6</v>
      </c>
      <c r="BE2452" s="10">
        <v>63.5</v>
      </c>
      <c r="BF2452" s="10">
        <v>0</v>
      </c>
      <c r="BG2452" s="13">
        <v>45748</v>
      </c>
    </row>
    <row r="2453" spans="49:59" x14ac:dyDescent="0.3">
      <c r="AW2453" s="1">
        <v>25.1</v>
      </c>
      <c r="AX2453" s="1">
        <v>25.1</v>
      </c>
      <c r="AY2453" t="str">
        <v>CP-R80_HI782-0_0.0_LOT0972_PWW.12.2_QC.xlsx</v>
      </c>
      <c r="AZ2453" t="str">
        <v>LOT0972</v>
      </c>
      <c r="BA2453" s="3">
        <v>25</v>
      </c>
      <c r="BB2453" t="str">
        <v>P/FINAL</v>
      </c>
      <c r="BC2453">
        <v>60</v>
      </c>
      <c r="BD2453" s="10">
        <v>62.5</v>
      </c>
      <c r="BE2453" s="10">
        <v>63.1</v>
      </c>
      <c r="BF2453" s="10">
        <v>0</v>
      </c>
      <c r="BG2453" s="13">
        <v>45748</v>
      </c>
    </row>
    <row r="2454" spans="49:59" x14ac:dyDescent="0.3">
      <c r="AW2454" s="1">
        <v>25.1</v>
      </c>
      <c r="AX2454" s="1">
        <v>25.1</v>
      </c>
      <c r="AY2454" t="str">
        <v>CP-R80_HI782-0_0.0_LOT0972_PWW.12.2_QC.xlsx</v>
      </c>
      <c r="AZ2454" t="str">
        <v>LOT0972</v>
      </c>
      <c r="BA2454" s="3">
        <v>25</v>
      </c>
      <c r="BB2454" t="str">
        <v>P/FINAL</v>
      </c>
      <c r="BC2454">
        <v>60</v>
      </c>
      <c r="BD2454" s="10">
        <v>55.6</v>
      </c>
      <c r="BE2454" s="10">
        <v>55.7</v>
      </c>
      <c r="BF2454" s="10">
        <v>0</v>
      </c>
      <c r="BG2454" s="13">
        <v>45748</v>
      </c>
    </row>
    <row r="2455" spans="49:59" x14ac:dyDescent="0.3">
      <c r="AW2455" s="1">
        <v>25.1</v>
      </c>
      <c r="AX2455" s="1">
        <v>25.1</v>
      </c>
      <c r="AY2455" t="str">
        <v>CP-R80_HI782-0_0.0_LOT0972_PWW.12.2_QC.xlsx</v>
      </c>
      <c r="AZ2455" t="str">
        <v>LOT0972</v>
      </c>
      <c r="BA2455" s="3">
        <v>25</v>
      </c>
      <c r="BB2455" t="str">
        <v>P/FINAL</v>
      </c>
      <c r="BC2455">
        <v>60</v>
      </c>
      <c r="BD2455" s="10">
        <v>59.7</v>
      </c>
      <c r="BE2455" s="10">
        <v>60</v>
      </c>
      <c r="BF2455" s="10">
        <v>0</v>
      </c>
      <c r="BG2455" s="13">
        <v>45748</v>
      </c>
    </row>
    <row r="2456" spans="49:59" x14ac:dyDescent="0.3">
      <c r="AW2456" s="1">
        <v>25.1</v>
      </c>
      <c r="AX2456" s="1">
        <v>25.1</v>
      </c>
      <c r="AY2456" t="str">
        <v>CP-R80_HI782-0_0.0_LOT0972_PWW.12.2_QC.xlsx</v>
      </c>
      <c r="AZ2456" t="str">
        <v>LOT0972</v>
      </c>
      <c r="BA2456" s="3">
        <v>25</v>
      </c>
      <c r="BB2456" t="str">
        <v>P/FINAL</v>
      </c>
      <c r="BC2456">
        <v>60</v>
      </c>
      <c r="BD2456" s="10">
        <v>55.6</v>
      </c>
      <c r="BE2456" s="10">
        <v>55.7</v>
      </c>
      <c r="BF2456" s="10">
        <v>0</v>
      </c>
      <c r="BG2456" s="13">
        <v>45748</v>
      </c>
    </row>
    <row r="2457" spans="49:59" x14ac:dyDescent="0.3">
      <c r="AW2457" s="1">
        <v>21.1</v>
      </c>
      <c r="AX2457" s="1">
        <v>21.1</v>
      </c>
      <c r="AY2457" t="str">
        <v>CP-R80_HI782-0_0.0_LOT0894_PWW.03.1_QC.xlsx</v>
      </c>
      <c r="AZ2457" t="str">
        <v>LOT0894</v>
      </c>
      <c r="BA2457" s="3">
        <v>21</v>
      </c>
      <c r="BB2457" t="str">
        <v>P/Prod</v>
      </c>
      <c r="BC2457">
        <v>0</v>
      </c>
      <c r="BD2457" s="10">
        <v>0</v>
      </c>
      <c r="BE2457" s="10">
        <v>0</v>
      </c>
      <c r="BF2457" s="10">
        <v>0</v>
      </c>
      <c r="BG2457" s="13" t="e">
        <v>#VALUE!</v>
      </c>
    </row>
    <row r="2458" spans="49:59" x14ac:dyDescent="0.3">
      <c r="AW2458" s="1">
        <v>21.1</v>
      </c>
      <c r="AX2458" s="1">
        <v>21.1</v>
      </c>
      <c r="AY2458" t="str">
        <v>CP-R80_HI782-0_0.0_LOT0894_PWW.03.1_QC.xlsx</v>
      </c>
      <c r="AZ2458" t="str">
        <v>LOT0894</v>
      </c>
      <c r="BA2458" s="3">
        <v>21</v>
      </c>
      <c r="BB2458" t="str">
        <v>P/Prod</v>
      </c>
      <c r="BC2458">
        <v>0</v>
      </c>
      <c r="BD2458" s="10">
        <v>0</v>
      </c>
      <c r="BE2458" s="10">
        <v>0</v>
      </c>
      <c r="BF2458" s="10">
        <v>0</v>
      </c>
      <c r="BG2458" s="13" t="e">
        <v>#VALUE!</v>
      </c>
    </row>
    <row r="2459" spans="49:59" x14ac:dyDescent="0.3">
      <c r="AW2459" s="1">
        <v>21.1</v>
      </c>
      <c r="AX2459" s="1">
        <v>21.1</v>
      </c>
      <c r="AY2459" t="str">
        <v>CP-R80_HI782-0_0.0_LOT0894_PWW.03.1_QC.xlsx</v>
      </c>
      <c r="AZ2459" t="str">
        <v>LOT0894</v>
      </c>
      <c r="BA2459" s="3">
        <v>21</v>
      </c>
      <c r="BB2459" t="str">
        <v>P/Prod</v>
      </c>
      <c r="BC2459">
        <v>60</v>
      </c>
      <c r="BD2459" s="10">
        <v>62.1</v>
      </c>
      <c r="BE2459" s="10">
        <v>0</v>
      </c>
      <c r="BF2459" s="10">
        <v>0</v>
      </c>
      <c r="BG2459" s="13" t="e">
        <v>#VALUE!</v>
      </c>
    </row>
    <row r="2460" spans="49:59" x14ac:dyDescent="0.3">
      <c r="AW2460" s="1">
        <v>21.1</v>
      </c>
      <c r="AX2460" s="1">
        <v>21.1</v>
      </c>
      <c r="AY2460" t="str">
        <v>CP-R80_HI782-0_0.0_LOT0894_PWW.03.1_QC.xlsx</v>
      </c>
      <c r="AZ2460" t="str">
        <v>LOT0894</v>
      </c>
      <c r="BA2460" s="3">
        <v>21</v>
      </c>
      <c r="BB2460" t="str">
        <v>P/Prod</v>
      </c>
      <c r="BC2460">
        <v>60</v>
      </c>
      <c r="BD2460" s="10">
        <v>60.6</v>
      </c>
      <c r="BE2460" s="10">
        <v>0</v>
      </c>
      <c r="BF2460" s="10">
        <v>0</v>
      </c>
      <c r="BG2460" s="13" t="e">
        <v>#VALUE!</v>
      </c>
    </row>
  </sheetData>
  <mergeCells count="6">
    <mergeCell ref="G1:I1"/>
    <mergeCell ref="AL10:AT10"/>
    <mergeCell ref="K10:S10"/>
    <mergeCell ref="T10:AB10"/>
    <mergeCell ref="AC10:AK10"/>
    <mergeCell ref="F10:J10"/>
  </mergeCells>
  <conditionalFormatting sqref="M12:M38">
    <cfRule type="colorScale" priority="2">
      <colorScale>
        <cfvo type="num" val="35"/>
        <cfvo type="num" val="50"/>
        <cfvo type="num" val="65"/>
        <color rgb="FFFF0000"/>
        <color rgb="FFFFFF00"/>
        <color rgb="FF00B050"/>
      </colorScale>
    </cfRule>
  </conditionalFormatting>
  <conditionalFormatting sqref="O12:O38">
    <cfRule type="colorScale" priority="3">
      <colorScale>
        <cfvo type="num" val="30"/>
        <cfvo type="percentile" val="40"/>
        <cfvo type="num" val="50"/>
        <color rgb="FF00B050"/>
        <color rgb="FFFFFF00"/>
        <color rgb="FFFF0000"/>
      </colorScale>
    </cfRule>
  </conditionalFormatting>
  <conditionalFormatting sqref="Q12:Q38">
    <cfRule type="colorScale" priority="4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conditionalFormatting sqref="S12:S38">
    <cfRule type="colorScale" priority="1">
      <colorScale>
        <cfvo type="num" val="0"/>
        <cfvo type="num" val="1"/>
        <color rgb="FF00B050"/>
        <color rgb="FFFF0000"/>
      </colorScale>
    </cfRule>
  </conditionalFormatting>
  <conditionalFormatting sqref="V12:V38">
    <cfRule type="colorScale" priority="26">
      <colorScale>
        <cfvo type="num" val="35"/>
        <cfvo type="num" val="50"/>
        <cfvo type="num" val="65"/>
        <color rgb="FFFF0000"/>
        <color rgb="FFFFFF00"/>
        <color rgb="FF00B050"/>
      </colorScale>
    </cfRule>
  </conditionalFormatting>
  <conditionalFormatting sqref="X12:X38">
    <cfRule type="colorScale" priority="27">
      <colorScale>
        <cfvo type="num" val="30"/>
        <cfvo type="percentile" val="40"/>
        <cfvo type="num" val="50"/>
        <color rgb="FF00B050"/>
        <color rgb="FFFFFF00"/>
        <color rgb="FFFF0000"/>
      </colorScale>
    </cfRule>
  </conditionalFormatting>
  <conditionalFormatting sqref="Z12:Z38">
    <cfRule type="colorScale" priority="28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conditionalFormatting sqref="AB12:AB38">
    <cfRule type="colorScale" priority="25">
      <colorScale>
        <cfvo type="num" val="0"/>
        <cfvo type="num" val="1"/>
        <color rgb="FF00B050"/>
        <color rgb="FFFF0000"/>
      </colorScale>
    </cfRule>
  </conditionalFormatting>
  <conditionalFormatting sqref="AE12:AE38">
    <cfRule type="colorScale" priority="10">
      <colorScale>
        <cfvo type="num" val="35"/>
        <cfvo type="num" val="50"/>
        <cfvo type="num" val="65"/>
        <color rgb="FFFF0000"/>
        <color rgb="FFFFFF00"/>
        <color rgb="FF00B050"/>
      </colorScale>
    </cfRule>
  </conditionalFormatting>
  <conditionalFormatting sqref="AG12:AG38">
    <cfRule type="colorScale" priority="11">
      <colorScale>
        <cfvo type="num" val="30"/>
        <cfvo type="percentile" val="40"/>
        <cfvo type="num" val="50"/>
        <color rgb="FF00B050"/>
        <color rgb="FFFFFF00"/>
        <color rgb="FFFF0000"/>
      </colorScale>
    </cfRule>
  </conditionalFormatting>
  <conditionalFormatting sqref="AI12:AI38">
    <cfRule type="colorScale" priority="12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conditionalFormatting sqref="AK12:AK38">
    <cfRule type="colorScale" priority="9">
      <colorScale>
        <cfvo type="num" val="0"/>
        <cfvo type="num" val="1"/>
        <color rgb="FF00B050"/>
        <color rgb="FFFF0000"/>
      </colorScale>
    </cfRule>
  </conditionalFormatting>
  <conditionalFormatting sqref="AN12:AN38">
    <cfRule type="colorScale" priority="6">
      <colorScale>
        <cfvo type="num" val="35"/>
        <cfvo type="num" val="50"/>
        <cfvo type="num" val="65"/>
        <color rgb="FFFF0000"/>
        <color rgb="FFFFFF00"/>
        <color rgb="FF00B050"/>
      </colorScale>
    </cfRule>
  </conditionalFormatting>
  <conditionalFormatting sqref="AP12:AP38">
    <cfRule type="colorScale" priority="7">
      <colorScale>
        <cfvo type="num" val="30"/>
        <cfvo type="percentile" val="40"/>
        <cfvo type="num" val="50"/>
        <color rgb="FF00B050"/>
        <color rgb="FFFFFF00"/>
        <color rgb="FFFF0000"/>
      </colorScale>
    </cfRule>
  </conditionalFormatting>
  <conditionalFormatting sqref="AR12:AR38">
    <cfRule type="colorScale" priority="8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conditionalFormatting sqref="AT12:AT38">
    <cfRule type="colorScale" priority="5">
      <colorScale>
        <cfvo type="num" val="0"/>
        <cfvo type="num" val="1"/>
        <color rgb="FF00B050"/>
        <color rgb="FFFF0000"/>
      </colorScale>
    </cfRule>
  </conditionalFormatting>
  <dataValidations count="2">
    <dataValidation type="list" showInputMessage="1" showErrorMessage="1" sqref="F2:F7" xr:uid="{1CF3AA59-BBD6-403E-B1DA-05F51B5481D5}">
      <formula1>_xlfn.ANCHORARRAY($B$2)</formula1>
    </dataValidation>
    <dataValidation type="list" showInputMessage="1" showErrorMessage="1" sqref="E2:E7" xr:uid="{C6B5B73B-3A00-4087-BEAF-05F8BF5C748C}">
      <formula1>_xlfn.ANCHORARRAY($A$2)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3F530-C631-4B12-954D-5BDAD13C69E0}">
  <dimension ref="A1:A2"/>
  <sheetViews>
    <sheetView zoomScale="145" zoomScaleNormal="145" workbookViewId="0">
      <selection activeCell="A3" sqref="A3"/>
    </sheetView>
  </sheetViews>
  <sheetFormatPr defaultRowHeight="14.4" x14ac:dyDescent="0.3"/>
  <cols>
    <col min="1" max="1" width="13.21875" customWidth="1"/>
  </cols>
  <sheetData>
    <row r="1" spans="1:1" x14ac:dyDescent="0.3">
      <c r="A1" t="s">
        <v>890</v>
      </c>
    </row>
    <row r="2" spans="1:1" x14ac:dyDescent="0.3">
      <c r="A2" t="s">
        <v>2769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4313D-55C2-4012-B736-6B11F66BF938}">
  <dimension ref="A1:DA27"/>
  <sheetViews>
    <sheetView topLeftCell="A4" workbookViewId="0">
      <selection activeCell="A21" sqref="A21"/>
    </sheetView>
  </sheetViews>
  <sheetFormatPr defaultRowHeight="14.4" x14ac:dyDescent="0.3"/>
  <cols>
    <col min="1" max="1" width="50.21875" bestFit="1" customWidth="1"/>
    <col min="2" max="8" width="10.77734375" hidden="1" customWidth="1"/>
    <col min="9" max="9" width="11" hidden="1" customWidth="1"/>
    <col min="10" max="10" width="10.88671875" hidden="1" customWidth="1"/>
    <col min="11" max="11" width="15.77734375" hidden="1" customWidth="1"/>
    <col min="12" max="12" width="11.77734375" hidden="1" customWidth="1"/>
    <col min="13" max="13" width="12.33203125" bestFit="1" customWidth="1"/>
    <col min="14" max="14" width="13.44140625" bestFit="1" customWidth="1"/>
    <col min="15" max="16" width="11.88671875" bestFit="1" customWidth="1"/>
    <col min="17" max="17" width="12.5546875" bestFit="1" customWidth="1"/>
    <col min="18" max="21" width="11.77734375" bestFit="1" customWidth="1"/>
    <col min="22" max="22" width="12" bestFit="1" customWidth="1"/>
    <col min="23" max="23" width="12.109375" bestFit="1" customWidth="1"/>
    <col min="24" max="24" width="12.88671875" bestFit="1" customWidth="1"/>
    <col min="25" max="25" width="12" bestFit="1" customWidth="1"/>
    <col min="26" max="100" width="11.77734375" bestFit="1" customWidth="1"/>
    <col min="101" max="105" width="12.77734375" bestFit="1" customWidth="1"/>
  </cols>
  <sheetData>
    <row r="1" spans="1:105" x14ac:dyDescent="0.3">
      <c r="A1" t="s">
        <v>891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s="34" t="s">
        <v>196</v>
      </c>
      <c r="N1" s="34" t="s">
        <v>197</v>
      </c>
      <c r="O1" s="34" t="s">
        <v>198</v>
      </c>
      <c r="P1" s="34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  <c r="AB1" t="s">
        <v>211</v>
      </c>
      <c r="AC1" t="s">
        <v>212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10</v>
      </c>
      <c r="AK1" t="s">
        <v>11</v>
      </c>
      <c r="AL1" t="s">
        <v>12</v>
      </c>
      <c r="AM1" t="s">
        <v>13</v>
      </c>
      <c r="AN1" t="s">
        <v>14</v>
      </c>
      <c r="AO1" t="s">
        <v>15</v>
      </c>
      <c r="AP1" t="s">
        <v>16</v>
      </c>
      <c r="AQ1" t="s">
        <v>17</v>
      </c>
      <c r="AR1" t="s">
        <v>18</v>
      </c>
      <c r="AS1" t="s">
        <v>19</v>
      </c>
      <c r="AT1" t="s">
        <v>20</v>
      </c>
      <c r="AU1" t="s">
        <v>21</v>
      </c>
      <c r="AV1" t="s">
        <v>22</v>
      </c>
      <c r="AW1" t="s">
        <v>23</v>
      </c>
      <c r="AX1" t="s">
        <v>24</v>
      </c>
      <c r="AY1" t="s">
        <v>25</v>
      </c>
      <c r="AZ1" t="s">
        <v>26</v>
      </c>
      <c r="BA1" t="s">
        <v>27</v>
      </c>
      <c r="BB1" t="s">
        <v>28</v>
      </c>
      <c r="BC1" t="s">
        <v>29</v>
      </c>
      <c r="BD1" t="s">
        <v>30</v>
      </c>
      <c r="BE1" t="s">
        <v>31</v>
      </c>
      <c r="BF1" t="s">
        <v>32</v>
      </c>
      <c r="BG1" t="s">
        <v>33</v>
      </c>
      <c r="BH1" t="s">
        <v>34</v>
      </c>
      <c r="BI1" t="s">
        <v>35</v>
      </c>
      <c r="BJ1" t="s">
        <v>36</v>
      </c>
      <c r="BK1" t="s">
        <v>37</v>
      </c>
      <c r="BL1" t="s">
        <v>38</v>
      </c>
      <c r="BM1" t="s">
        <v>39</v>
      </c>
      <c r="BN1" t="s">
        <v>40</v>
      </c>
      <c r="BO1" t="s">
        <v>41</v>
      </c>
      <c r="BP1" t="s">
        <v>42</v>
      </c>
      <c r="BQ1" t="s">
        <v>43</v>
      </c>
      <c r="BR1" t="s">
        <v>44</v>
      </c>
      <c r="BS1" t="s">
        <v>45</v>
      </c>
      <c r="BT1" t="s">
        <v>46</v>
      </c>
      <c r="BU1" t="s">
        <v>47</v>
      </c>
      <c r="BV1" t="s">
        <v>48</v>
      </c>
      <c r="BW1" t="s">
        <v>49</v>
      </c>
      <c r="BX1" t="s">
        <v>50</v>
      </c>
      <c r="BY1" t="s">
        <v>51</v>
      </c>
      <c r="BZ1" t="s">
        <v>52</v>
      </c>
      <c r="CA1" t="s">
        <v>53</v>
      </c>
      <c r="CB1" t="s">
        <v>54</v>
      </c>
      <c r="CC1" t="s">
        <v>55</v>
      </c>
      <c r="CD1" t="s">
        <v>56</v>
      </c>
      <c r="CE1" t="s">
        <v>57</v>
      </c>
      <c r="CF1" t="s">
        <v>58</v>
      </c>
      <c r="CG1" t="s">
        <v>59</v>
      </c>
      <c r="CH1" t="s">
        <v>60</v>
      </c>
      <c r="CI1" t="s">
        <v>61</v>
      </c>
      <c r="CJ1" t="s">
        <v>62</v>
      </c>
      <c r="CK1" t="s">
        <v>63</v>
      </c>
      <c r="CL1" t="s">
        <v>64</v>
      </c>
      <c r="CM1" t="s">
        <v>65</v>
      </c>
      <c r="CN1" t="s">
        <v>66</v>
      </c>
      <c r="CO1" t="s">
        <v>67</v>
      </c>
      <c r="CP1" t="s">
        <v>68</v>
      </c>
      <c r="CQ1" t="s">
        <v>69</v>
      </c>
      <c r="CR1" t="s">
        <v>70</v>
      </c>
      <c r="CS1" t="s">
        <v>71</v>
      </c>
      <c r="CT1" t="s">
        <v>72</v>
      </c>
      <c r="CU1" t="s">
        <v>73</v>
      </c>
      <c r="CV1" t="s">
        <v>74</v>
      </c>
      <c r="CW1" t="s">
        <v>75</v>
      </c>
      <c r="CX1" t="s">
        <v>76</v>
      </c>
      <c r="CY1" t="s">
        <v>77</v>
      </c>
      <c r="CZ1" t="s">
        <v>78</v>
      </c>
      <c r="DA1" t="s">
        <v>79</v>
      </c>
    </row>
    <row r="2" spans="1:105" x14ac:dyDescent="0.3">
      <c r="A2" t="s">
        <v>1313</v>
      </c>
      <c r="C2" t="s">
        <v>80</v>
      </c>
      <c r="D2" t="s">
        <v>2</v>
      </c>
      <c r="E2" t="s">
        <v>81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s="34" t="s">
        <v>928</v>
      </c>
      <c r="N2" s="34" t="s">
        <v>929</v>
      </c>
      <c r="O2" s="34" t="s">
        <v>89</v>
      </c>
      <c r="P2" s="34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s">
        <v>100</v>
      </c>
      <c r="AA2" t="s">
        <v>101</v>
      </c>
      <c r="AB2" t="s">
        <v>102</v>
      </c>
      <c r="AC2" t="s">
        <v>103</v>
      </c>
    </row>
    <row r="3" spans="1:105" x14ac:dyDescent="0.3">
      <c r="A3" t="s">
        <v>1336</v>
      </c>
      <c r="C3" t="s">
        <v>80</v>
      </c>
      <c r="D3" t="s">
        <v>2</v>
      </c>
      <c r="E3" t="s">
        <v>81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87</v>
      </c>
      <c r="L3" t="s">
        <v>88</v>
      </c>
      <c r="M3" s="34" t="s">
        <v>928</v>
      </c>
      <c r="N3" s="34" t="s">
        <v>896</v>
      </c>
      <c r="O3" s="34" t="s">
        <v>89</v>
      </c>
      <c r="P3" s="34" t="s">
        <v>90</v>
      </c>
      <c r="Q3" t="s">
        <v>91</v>
      </c>
      <c r="R3" t="s">
        <v>92</v>
      </c>
      <c r="S3" t="s">
        <v>93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s">
        <v>100</v>
      </c>
      <c r="AA3" t="s">
        <v>101</v>
      </c>
      <c r="AB3" t="s">
        <v>102</v>
      </c>
      <c r="AC3" t="s">
        <v>103</v>
      </c>
    </row>
    <row r="4" spans="1:105" x14ac:dyDescent="0.3">
      <c r="A4" t="s">
        <v>1341</v>
      </c>
      <c r="C4" t="s">
        <v>80</v>
      </c>
      <c r="D4" t="s">
        <v>2</v>
      </c>
      <c r="E4" t="s">
        <v>81</v>
      </c>
      <c r="F4" t="s">
        <v>82</v>
      </c>
      <c r="G4" t="s">
        <v>83</v>
      </c>
      <c r="H4" t="s">
        <v>84</v>
      </c>
      <c r="I4" t="s">
        <v>85</v>
      </c>
      <c r="J4" t="s">
        <v>86</v>
      </c>
      <c r="K4" t="s">
        <v>87</v>
      </c>
      <c r="L4" t="s">
        <v>88</v>
      </c>
      <c r="M4" s="34" t="s">
        <v>2763</v>
      </c>
      <c r="N4" s="34" t="s">
        <v>896</v>
      </c>
      <c r="O4" s="34" t="s">
        <v>89</v>
      </c>
      <c r="P4" s="34" t="s">
        <v>90</v>
      </c>
      <c r="Q4" t="s">
        <v>91</v>
      </c>
      <c r="R4" t="s">
        <v>92</v>
      </c>
      <c r="S4" t="s">
        <v>93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s">
        <v>100</v>
      </c>
      <c r="AA4" t="s">
        <v>101</v>
      </c>
      <c r="AB4" t="s">
        <v>102</v>
      </c>
      <c r="AC4" t="s">
        <v>103</v>
      </c>
    </row>
    <row r="5" spans="1:105" x14ac:dyDescent="0.3">
      <c r="A5" t="s">
        <v>1357</v>
      </c>
      <c r="C5" t="s">
        <v>80</v>
      </c>
      <c r="D5" t="s">
        <v>2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s="34" t="s">
        <v>928</v>
      </c>
      <c r="N5" s="34" t="s">
        <v>896</v>
      </c>
      <c r="O5" s="34" t="s">
        <v>89</v>
      </c>
      <c r="P5" s="34" t="s">
        <v>90</v>
      </c>
      <c r="Q5" t="s">
        <v>91</v>
      </c>
      <c r="R5" t="s">
        <v>92</v>
      </c>
      <c r="S5" t="s">
        <v>93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103</v>
      </c>
    </row>
    <row r="6" spans="1:105" x14ac:dyDescent="0.3">
      <c r="A6" t="s">
        <v>1361</v>
      </c>
      <c r="C6" t="s">
        <v>80</v>
      </c>
      <c r="D6" t="s">
        <v>2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s="34" t="s">
        <v>2767</v>
      </c>
      <c r="N6" s="34" t="s">
        <v>892</v>
      </c>
      <c r="O6" s="34" t="s">
        <v>893</v>
      </c>
      <c r="P6" s="34" t="s">
        <v>894</v>
      </c>
      <c r="Q6" t="s">
        <v>91</v>
      </c>
      <c r="R6" t="s">
        <v>92</v>
      </c>
      <c r="S6" t="s">
        <v>93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s">
        <v>100</v>
      </c>
      <c r="AA6" t="s">
        <v>101</v>
      </c>
      <c r="AB6" t="s">
        <v>102</v>
      </c>
      <c r="AC6" t="s">
        <v>103</v>
      </c>
    </row>
    <row r="7" spans="1:105" x14ac:dyDescent="0.3">
      <c r="A7" t="s">
        <v>1366</v>
      </c>
      <c r="C7" t="s">
        <v>80</v>
      </c>
      <c r="D7" t="s">
        <v>2</v>
      </c>
      <c r="E7" t="s">
        <v>81</v>
      </c>
      <c r="F7" t="s">
        <v>82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s="34" t="s">
        <v>2764</v>
      </c>
      <c r="N7" s="34" t="s">
        <v>896</v>
      </c>
      <c r="O7" s="34" t="s">
        <v>89</v>
      </c>
      <c r="P7" s="34" t="s">
        <v>90</v>
      </c>
      <c r="Q7" t="s">
        <v>91</v>
      </c>
      <c r="R7" t="s">
        <v>92</v>
      </c>
      <c r="S7" t="s">
        <v>93</v>
      </c>
      <c r="T7" t="s">
        <v>94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s">
        <v>100</v>
      </c>
      <c r="AA7" t="s">
        <v>101</v>
      </c>
      <c r="AB7" t="s">
        <v>102</v>
      </c>
      <c r="AC7" t="s">
        <v>103</v>
      </c>
    </row>
    <row r="8" spans="1:105" x14ac:dyDescent="0.3">
      <c r="A8" t="s">
        <v>1369</v>
      </c>
      <c r="C8" t="s">
        <v>80</v>
      </c>
      <c r="D8" t="s">
        <v>2</v>
      </c>
      <c r="E8" t="s">
        <v>81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s="34" t="s">
        <v>928</v>
      </c>
      <c r="N8" s="34" t="s">
        <v>896</v>
      </c>
      <c r="O8" s="34" t="s">
        <v>89</v>
      </c>
      <c r="P8" s="34" t="s">
        <v>90</v>
      </c>
      <c r="Q8" t="s">
        <v>91</v>
      </c>
      <c r="R8" t="s">
        <v>92</v>
      </c>
      <c r="S8" t="s">
        <v>93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s">
        <v>100</v>
      </c>
      <c r="AA8" t="s">
        <v>101</v>
      </c>
      <c r="AB8" t="s">
        <v>102</v>
      </c>
      <c r="AC8" t="s">
        <v>103</v>
      </c>
    </row>
    <row r="9" spans="1:105" x14ac:dyDescent="0.3">
      <c r="A9" t="s">
        <v>1378</v>
      </c>
      <c r="C9" t="s">
        <v>80</v>
      </c>
      <c r="D9" t="s">
        <v>2</v>
      </c>
      <c r="E9" t="s">
        <v>81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s="34" t="s">
        <v>928</v>
      </c>
      <c r="N9" s="34" t="s">
        <v>896</v>
      </c>
      <c r="O9" s="34" t="s">
        <v>89</v>
      </c>
      <c r="P9" s="34" t="s">
        <v>90</v>
      </c>
      <c r="Q9" t="s">
        <v>91</v>
      </c>
      <c r="R9" t="s">
        <v>92</v>
      </c>
      <c r="S9" t="s">
        <v>93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s">
        <v>100</v>
      </c>
      <c r="AA9" t="s">
        <v>101</v>
      </c>
      <c r="AB9" t="s">
        <v>102</v>
      </c>
      <c r="AC9" t="s">
        <v>103</v>
      </c>
    </row>
    <row r="10" spans="1:105" x14ac:dyDescent="0.3">
      <c r="A10" t="s">
        <v>1387</v>
      </c>
      <c r="C10" t="s">
        <v>80</v>
      </c>
      <c r="D10" t="s">
        <v>2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s="34" t="s">
        <v>895</v>
      </c>
      <c r="N10" s="34" t="s">
        <v>896</v>
      </c>
      <c r="O10" s="34" t="s">
        <v>89</v>
      </c>
      <c r="P10" s="34" t="s">
        <v>90</v>
      </c>
      <c r="Q10" t="s">
        <v>91</v>
      </c>
      <c r="R10" t="s">
        <v>92</v>
      </c>
      <c r="S10" t="s">
        <v>93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s">
        <v>100</v>
      </c>
      <c r="AA10" t="s">
        <v>101</v>
      </c>
      <c r="AB10" t="s">
        <v>102</v>
      </c>
      <c r="AC10" t="s">
        <v>103</v>
      </c>
    </row>
    <row r="11" spans="1:105" x14ac:dyDescent="0.3">
      <c r="A11" t="s">
        <v>1395</v>
      </c>
      <c r="C11" t="s">
        <v>80</v>
      </c>
      <c r="D11" t="s">
        <v>2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87</v>
      </c>
      <c r="L11" t="s">
        <v>88</v>
      </c>
      <c r="M11" s="34" t="s">
        <v>928</v>
      </c>
      <c r="N11" s="34" t="s">
        <v>896</v>
      </c>
      <c r="O11" s="34" t="s">
        <v>89</v>
      </c>
      <c r="P11" s="34" t="s">
        <v>90</v>
      </c>
      <c r="Q11" t="s">
        <v>91</v>
      </c>
      <c r="R11" t="s">
        <v>92</v>
      </c>
      <c r="S11" t="s">
        <v>93</v>
      </c>
      <c r="T11" t="s">
        <v>94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 t="s">
        <v>100</v>
      </c>
      <c r="AA11" t="s">
        <v>101</v>
      </c>
      <c r="AB11" t="s">
        <v>102</v>
      </c>
      <c r="AC11" t="s">
        <v>103</v>
      </c>
    </row>
    <row r="12" spans="1:105" x14ac:dyDescent="0.3">
      <c r="A12" t="s">
        <v>1420</v>
      </c>
      <c r="C12" t="s">
        <v>80</v>
      </c>
      <c r="D12" t="s">
        <v>2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  <c r="M12" s="34" t="s">
        <v>2766</v>
      </c>
      <c r="N12" s="34" t="s">
        <v>892</v>
      </c>
      <c r="O12" s="34" t="s">
        <v>893</v>
      </c>
      <c r="P12" s="34" t="s">
        <v>894</v>
      </c>
      <c r="Q12" t="s">
        <v>91</v>
      </c>
      <c r="R12" t="s">
        <v>92</v>
      </c>
      <c r="S12" t="s">
        <v>93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s">
        <v>100</v>
      </c>
      <c r="AA12" t="s">
        <v>101</v>
      </c>
      <c r="AB12" t="s">
        <v>102</v>
      </c>
      <c r="AC12" t="s">
        <v>103</v>
      </c>
    </row>
    <row r="13" spans="1:105" x14ac:dyDescent="0.3">
      <c r="A13" t="s">
        <v>1423</v>
      </c>
      <c r="C13" t="s">
        <v>80</v>
      </c>
      <c r="D13" t="s">
        <v>2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  <c r="J13" t="s">
        <v>86</v>
      </c>
      <c r="K13" t="s">
        <v>87</v>
      </c>
      <c r="L13" t="s">
        <v>88</v>
      </c>
      <c r="M13" s="34" t="s">
        <v>928</v>
      </c>
      <c r="N13" s="34" t="s">
        <v>896</v>
      </c>
      <c r="O13" s="34" t="s">
        <v>89</v>
      </c>
      <c r="P13" s="34" t="s">
        <v>90</v>
      </c>
      <c r="Q13" t="s">
        <v>91</v>
      </c>
      <c r="R13" t="s">
        <v>92</v>
      </c>
      <c r="S13" t="s">
        <v>93</v>
      </c>
      <c r="T13" t="s">
        <v>94</v>
      </c>
      <c r="U13" t="s">
        <v>95</v>
      </c>
      <c r="V13" t="s">
        <v>96</v>
      </c>
      <c r="W13" t="s">
        <v>97</v>
      </c>
      <c r="X13" t="s">
        <v>98</v>
      </c>
      <c r="Y13" t="s">
        <v>99</v>
      </c>
      <c r="Z13" t="s">
        <v>100</v>
      </c>
      <c r="AA13" t="s">
        <v>101</v>
      </c>
      <c r="AB13" t="s">
        <v>102</v>
      </c>
      <c r="AC13" t="s">
        <v>103</v>
      </c>
    </row>
    <row r="14" spans="1:105" x14ac:dyDescent="0.3">
      <c r="A14" t="s">
        <v>1436</v>
      </c>
      <c r="C14" t="s">
        <v>80</v>
      </c>
      <c r="D14" t="s">
        <v>2</v>
      </c>
      <c r="E14" t="s">
        <v>81</v>
      </c>
      <c r="F14" t="s">
        <v>82</v>
      </c>
      <c r="G14" t="s">
        <v>83</v>
      </c>
      <c r="H14" t="s">
        <v>84</v>
      </c>
      <c r="I14" t="s">
        <v>85</v>
      </c>
      <c r="J14" t="s">
        <v>86</v>
      </c>
      <c r="K14" t="s">
        <v>87</v>
      </c>
      <c r="L14" t="s">
        <v>88</v>
      </c>
      <c r="M14" s="34" t="s">
        <v>928</v>
      </c>
      <c r="N14" s="34" t="s">
        <v>896</v>
      </c>
      <c r="O14" s="34" t="s">
        <v>89</v>
      </c>
      <c r="P14" s="34" t="s">
        <v>90</v>
      </c>
      <c r="Q14" t="s">
        <v>91</v>
      </c>
      <c r="R14" t="s">
        <v>92</v>
      </c>
      <c r="S14" t="s">
        <v>93</v>
      </c>
      <c r="T14" t="s">
        <v>94</v>
      </c>
      <c r="U14" t="s">
        <v>95</v>
      </c>
      <c r="V14" t="s">
        <v>96</v>
      </c>
      <c r="W14" t="s">
        <v>97</v>
      </c>
      <c r="X14" t="s">
        <v>98</v>
      </c>
      <c r="Y14" t="s">
        <v>99</v>
      </c>
      <c r="Z14" t="s">
        <v>100</v>
      </c>
      <c r="AA14" t="s">
        <v>101</v>
      </c>
      <c r="AB14" t="s">
        <v>102</v>
      </c>
      <c r="AC14" t="s">
        <v>103</v>
      </c>
    </row>
    <row r="15" spans="1:105" x14ac:dyDescent="0.3">
      <c r="A15" t="s">
        <v>1439</v>
      </c>
      <c r="C15" t="s">
        <v>80</v>
      </c>
      <c r="D15" t="s">
        <v>2</v>
      </c>
      <c r="E15" t="s">
        <v>81</v>
      </c>
      <c r="F15" t="s">
        <v>82</v>
      </c>
      <c r="G15" t="s">
        <v>83</v>
      </c>
      <c r="H15" t="s">
        <v>84</v>
      </c>
      <c r="I15" t="s">
        <v>85</v>
      </c>
      <c r="J15" t="s">
        <v>86</v>
      </c>
      <c r="K15" t="s">
        <v>87</v>
      </c>
      <c r="L15" t="s">
        <v>88</v>
      </c>
      <c r="M15" s="34" t="s">
        <v>928</v>
      </c>
      <c r="N15" s="34" t="s">
        <v>896</v>
      </c>
      <c r="O15" s="34" t="s">
        <v>89</v>
      </c>
      <c r="P15" s="34" t="s">
        <v>90</v>
      </c>
      <c r="Q15" t="s">
        <v>91</v>
      </c>
      <c r="R15" t="s">
        <v>92</v>
      </c>
      <c r="S15" t="s">
        <v>93</v>
      </c>
      <c r="T15" t="s">
        <v>94</v>
      </c>
      <c r="U15" t="s">
        <v>95</v>
      </c>
      <c r="V15" t="s">
        <v>96</v>
      </c>
      <c r="W15" t="s">
        <v>97</v>
      </c>
      <c r="X15" t="s">
        <v>98</v>
      </c>
      <c r="Y15" t="s">
        <v>99</v>
      </c>
      <c r="Z15" t="s">
        <v>100</v>
      </c>
      <c r="AA15" t="s">
        <v>101</v>
      </c>
      <c r="AB15" t="s">
        <v>102</v>
      </c>
      <c r="AC15" t="s">
        <v>103</v>
      </c>
    </row>
    <row r="16" spans="1:105" x14ac:dyDescent="0.3">
      <c r="A16" t="s">
        <v>1440</v>
      </c>
      <c r="C16" t="s">
        <v>80</v>
      </c>
      <c r="D16" t="s">
        <v>2</v>
      </c>
      <c r="E16" t="s">
        <v>81</v>
      </c>
      <c r="F16" t="s">
        <v>82</v>
      </c>
      <c r="G16" t="s">
        <v>83</v>
      </c>
      <c r="H16" t="s">
        <v>84</v>
      </c>
      <c r="I16" t="s">
        <v>85</v>
      </c>
      <c r="J16" t="s">
        <v>86</v>
      </c>
      <c r="K16" t="s">
        <v>87</v>
      </c>
      <c r="L16" t="s">
        <v>88</v>
      </c>
      <c r="M16" s="34" t="s">
        <v>928</v>
      </c>
      <c r="N16" s="34" t="s">
        <v>896</v>
      </c>
      <c r="O16" s="34" t="s">
        <v>89</v>
      </c>
      <c r="P16" s="34" t="s">
        <v>90</v>
      </c>
      <c r="Q16" t="s">
        <v>91</v>
      </c>
      <c r="R16" t="s">
        <v>92</v>
      </c>
      <c r="S16" t="s">
        <v>93</v>
      </c>
      <c r="T16" t="s">
        <v>94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 t="s">
        <v>100</v>
      </c>
      <c r="AA16" t="s">
        <v>101</v>
      </c>
      <c r="AB16" t="s">
        <v>102</v>
      </c>
      <c r="AC16" t="s">
        <v>103</v>
      </c>
    </row>
    <row r="17" spans="1:29" x14ac:dyDescent="0.3">
      <c r="A17" t="s">
        <v>1452</v>
      </c>
      <c r="C17" t="s">
        <v>80</v>
      </c>
      <c r="D17" t="s">
        <v>2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  <c r="K17" t="s">
        <v>87</v>
      </c>
      <c r="L17" t="s">
        <v>88</v>
      </c>
      <c r="M17" s="34" t="s">
        <v>928</v>
      </c>
      <c r="N17" s="34" t="s">
        <v>896</v>
      </c>
      <c r="O17" s="34" t="s">
        <v>89</v>
      </c>
      <c r="P17" s="34" t="s">
        <v>90</v>
      </c>
      <c r="Q17" t="s">
        <v>91</v>
      </c>
      <c r="R17" t="s">
        <v>92</v>
      </c>
      <c r="S17" t="s">
        <v>93</v>
      </c>
      <c r="T17" t="s">
        <v>94</v>
      </c>
      <c r="U17" t="s">
        <v>95</v>
      </c>
      <c r="V17" t="s">
        <v>96</v>
      </c>
      <c r="W17" t="s">
        <v>97</v>
      </c>
      <c r="X17" t="s">
        <v>98</v>
      </c>
      <c r="Y17" t="s">
        <v>99</v>
      </c>
      <c r="Z17" t="s">
        <v>100</v>
      </c>
      <c r="AA17" t="s">
        <v>101</v>
      </c>
      <c r="AB17" t="s">
        <v>102</v>
      </c>
      <c r="AC17" t="s">
        <v>103</v>
      </c>
    </row>
    <row r="18" spans="1:29" x14ac:dyDescent="0.3">
      <c r="A18" t="s">
        <v>1456</v>
      </c>
      <c r="C18" t="s">
        <v>80</v>
      </c>
      <c r="D18" t="s">
        <v>2</v>
      </c>
      <c r="E18" t="s">
        <v>81</v>
      </c>
      <c r="F18" t="s">
        <v>82</v>
      </c>
      <c r="G18" t="s">
        <v>83</v>
      </c>
      <c r="H18" t="s">
        <v>84</v>
      </c>
      <c r="I18" t="s">
        <v>85</v>
      </c>
      <c r="J18" t="s">
        <v>86</v>
      </c>
      <c r="K18" t="s">
        <v>87</v>
      </c>
      <c r="L18" t="s">
        <v>88</v>
      </c>
      <c r="M18" s="34" t="s">
        <v>928</v>
      </c>
      <c r="N18" s="34" t="s">
        <v>896</v>
      </c>
      <c r="O18" s="34" t="s">
        <v>89</v>
      </c>
      <c r="P18" s="34" t="s">
        <v>90</v>
      </c>
      <c r="Q18" t="s">
        <v>91</v>
      </c>
      <c r="R18" t="s">
        <v>92</v>
      </c>
      <c r="S18" t="s">
        <v>93</v>
      </c>
      <c r="T18" t="s">
        <v>94</v>
      </c>
      <c r="U18" t="s">
        <v>95</v>
      </c>
      <c r="V18" t="s">
        <v>96</v>
      </c>
      <c r="W18" t="s">
        <v>97</v>
      </c>
      <c r="X18" t="s">
        <v>98</v>
      </c>
      <c r="Y18" t="s">
        <v>99</v>
      </c>
      <c r="Z18" t="s">
        <v>100</v>
      </c>
      <c r="AA18" t="s">
        <v>101</v>
      </c>
      <c r="AB18" t="s">
        <v>102</v>
      </c>
      <c r="AC18" t="s">
        <v>103</v>
      </c>
    </row>
    <row r="19" spans="1:29" x14ac:dyDescent="0.3">
      <c r="A19" t="s">
        <v>1460</v>
      </c>
      <c r="C19" t="s">
        <v>80</v>
      </c>
      <c r="D19" t="s">
        <v>2</v>
      </c>
      <c r="E19" t="s">
        <v>81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  <c r="M19" s="34" t="s">
        <v>2766</v>
      </c>
      <c r="N19" s="34" t="s">
        <v>892</v>
      </c>
      <c r="O19" s="34" t="s">
        <v>893</v>
      </c>
      <c r="P19" s="34" t="s">
        <v>894</v>
      </c>
      <c r="Q19" t="s">
        <v>91</v>
      </c>
      <c r="R19" t="s">
        <v>92</v>
      </c>
      <c r="S19" t="s">
        <v>93</v>
      </c>
      <c r="T19" t="s">
        <v>94</v>
      </c>
      <c r="U19" t="s">
        <v>95</v>
      </c>
      <c r="V19" t="s">
        <v>96</v>
      </c>
      <c r="W19" t="s">
        <v>97</v>
      </c>
      <c r="X19" t="s">
        <v>98</v>
      </c>
      <c r="Y19" t="s">
        <v>99</v>
      </c>
      <c r="Z19" t="s">
        <v>100</v>
      </c>
      <c r="AA19" t="s">
        <v>101</v>
      </c>
      <c r="AB19" t="s">
        <v>102</v>
      </c>
      <c r="AC19" t="s">
        <v>103</v>
      </c>
    </row>
    <row r="20" spans="1:29" x14ac:dyDescent="0.3">
      <c r="A20" t="s">
        <v>1462</v>
      </c>
      <c r="C20" t="s">
        <v>80</v>
      </c>
      <c r="D20" t="s">
        <v>2</v>
      </c>
      <c r="E20" t="s">
        <v>81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87</v>
      </c>
      <c r="L20" t="s">
        <v>88</v>
      </c>
      <c r="M20" s="34" t="s">
        <v>928</v>
      </c>
      <c r="N20" s="34" t="s">
        <v>896</v>
      </c>
      <c r="O20" s="34" t="s">
        <v>89</v>
      </c>
      <c r="P20" s="34" t="s">
        <v>90</v>
      </c>
      <c r="Q20" t="s">
        <v>91</v>
      </c>
      <c r="R20" t="s">
        <v>92</v>
      </c>
      <c r="S20" t="s">
        <v>93</v>
      </c>
      <c r="T20" t="s">
        <v>94</v>
      </c>
      <c r="U20" t="s">
        <v>95</v>
      </c>
      <c r="V20" t="s">
        <v>96</v>
      </c>
      <c r="W20" t="s">
        <v>97</v>
      </c>
      <c r="X20" t="s">
        <v>98</v>
      </c>
      <c r="Y20" t="s">
        <v>99</v>
      </c>
      <c r="Z20" t="s">
        <v>100</v>
      </c>
      <c r="AA20" t="s">
        <v>101</v>
      </c>
      <c r="AB20" t="s">
        <v>102</v>
      </c>
      <c r="AC20" t="s">
        <v>103</v>
      </c>
    </row>
    <row r="21" spans="1:29" x14ac:dyDescent="0.3">
      <c r="A21" t="s">
        <v>1486</v>
      </c>
      <c r="C21" t="s">
        <v>80</v>
      </c>
      <c r="D21" t="s">
        <v>2</v>
      </c>
      <c r="E21" t="s">
        <v>81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s="34" t="s">
        <v>2766</v>
      </c>
      <c r="N21" s="34" t="s">
        <v>892</v>
      </c>
      <c r="O21" s="34" t="s">
        <v>893</v>
      </c>
      <c r="P21" s="34" t="s">
        <v>894</v>
      </c>
      <c r="Q21" t="s">
        <v>91</v>
      </c>
      <c r="R21" t="s">
        <v>92</v>
      </c>
      <c r="S21" t="s">
        <v>93</v>
      </c>
      <c r="T21" t="s">
        <v>94</v>
      </c>
      <c r="U21" t="s">
        <v>95</v>
      </c>
      <c r="V21" t="s">
        <v>96</v>
      </c>
      <c r="W21" t="s">
        <v>97</v>
      </c>
      <c r="X21" t="s">
        <v>98</v>
      </c>
      <c r="Y21" t="s">
        <v>99</v>
      </c>
      <c r="Z21" t="s">
        <v>100</v>
      </c>
      <c r="AA21" t="s">
        <v>101</v>
      </c>
      <c r="AB21" t="s">
        <v>102</v>
      </c>
      <c r="AC21" t="s">
        <v>103</v>
      </c>
    </row>
    <row r="22" spans="1:29" x14ac:dyDescent="0.3">
      <c r="A22" t="s">
        <v>1512</v>
      </c>
      <c r="C22" t="s">
        <v>80</v>
      </c>
      <c r="D22" t="s">
        <v>2</v>
      </c>
      <c r="E22" t="s">
        <v>81</v>
      </c>
      <c r="F22" t="s">
        <v>82</v>
      </c>
      <c r="G22" t="s">
        <v>83</v>
      </c>
      <c r="H22" t="s">
        <v>84</v>
      </c>
      <c r="I22" t="s">
        <v>85</v>
      </c>
      <c r="J22" t="s">
        <v>86</v>
      </c>
      <c r="K22" t="s">
        <v>87</v>
      </c>
      <c r="L22" t="s">
        <v>88</v>
      </c>
      <c r="M22" s="34" t="s">
        <v>928</v>
      </c>
      <c r="N22" s="34" t="s">
        <v>896</v>
      </c>
      <c r="O22" s="34" t="s">
        <v>89</v>
      </c>
      <c r="P22" s="34" t="s">
        <v>90</v>
      </c>
      <c r="Q22" t="s">
        <v>91</v>
      </c>
      <c r="R22" t="s">
        <v>92</v>
      </c>
      <c r="S22" t="s">
        <v>93</v>
      </c>
      <c r="T22" t="s">
        <v>94</v>
      </c>
      <c r="U22" t="s">
        <v>95</v>
      </c>
      <c r="V22" t="s">
        <v>96</v>
      </c>
      <c r="W22" t="s">
        <v>97</v>
      </c>
      <c r="X22" t="s">
        <v>98</v>
      </c>
      <c r="Y22" t="s">
        <v>99</v>
      </c>
      <c r="Z22" t="s">
        <v>100</v>
      </c>
      <c r="AA22" t="s">
        <v>101</v>
      </c>
      <c r="AB22" t="s">
        <v>102</v>
      </c>
      <c r="AC22" t="s">
        <v>103</v>
      </c>
    </row>
    <row r="23" spans="1:29" x14ac:dyDescent="0.3">
      <c r="A23" t="s">
        <v>1548</v>
      </c>
      <c r="C23" t="s">
        <v>80</v>
      </c>
      <c r="D23" t="s">
        <v>2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  <c r="L23" t="s">
        <v>88</v>
      </c>
      <c r="M23" s="34" t="s">
        <v>2768</v>
      </c>
      <c r="N23" s="34" t="s">
        <v>892</v>
      </c>
      <c r="O23" s="34" t="s">
        <v>893</v>
      </c>
      <c r="P23" s="34" t="s">
        <v>894</v>
      </c>
      <c r="Q23" t="s">
        <v>91</v>
      </c>
      <c r="R23" t="s">
        <v>92</v>
      </c>
      <c r="S23" t="s">
        <v>93</v>
      </c>
      <c r="T23" t="s">
        <v>94</v>
      </c>
      <c r="U23" t="s">
        <v>95</v>
      </c>
      <c r="V23" t="s">
        <v>96</v>
      </c>
      <c r="W23" t="s">
        <v>97</v>
      </c>
      <c r="X23" t="s">
        <v>98</v>
      </c>
      <c r="Y23" t="s">
        <v>99</v>
      </c>
      <c r="Z23" t="s">
        <v>100</v>
      </c>
      <c r="AA23" t="s">
        <v>101</v>
      </c>
      <c r="AB23" t="s">
        <v>102</v>
      </c>
      <c r="AC23" t="s">
        <v>103</v>
      </c>
    </row>
    <row r="24" spans="1:29" x14ac:dyDescent="0.3">
      <c r="A24" t="s">
        <v>1580</v>
      </c>
      <c r="C24" t="s">
        <v>80</v>
      </c>
      <c r="D24" t="s">
        <v>2</v>
      </c>
      <c r="E24" t="s">
        <v>81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t="s">
        <v>88</v>
      </c>
      <c r="M24" s="34" t="s">
        <v>928</v>
      </c>
      <c r="N24" s="34" t="s">
        <v>929</v>
      </c>
      <c r="O24" s="34" t="s">
        <v>89</v>
      </c>
      <c r="P24" s="34" t="s">
        <v>90</v>
      </c>
      <c r="Q24" t="s">
        <v>91</v>
      </c>
      <c r="R24" t="s">
        <v>92</v>
      </c>
      <c r="S24" t="s">
        <v>93</v>
      </c>
      <c r="T24" t="s">
        <v>94</v>
      </c>
      <c r="U24" t="s">
        <v>95</v>
      </c>
      <c r="V24" t="s">
        <v>96</v>
      </c>
      <c r="W24" t="s">
        <v>97</v>
      </c>
      <c r="X24" t="s">
        <v>98</v>
      </c>
      <c r="Y24" t="s">
        <v>99</v>
      </c>
      <c r="Z24" t="s">
        <v>100</v>
      </c>
      <c r="AA24" t="s">
        <v>101</v>
      </c>
      <c r="AB24" t="s">
        <v>102</v>
      </c>
      <c r="AC24" t="s">
        <v>103</v>
      </c>
    </row>
    <row r="25" spans="1:29" x14ac:dyDescent="0.3">
      <c r="A25" t="s">
        <v>1635</v>
      </c>
      <c r="C25" t="s">
        <v>80</v>
      </c>
      <c r="D25" t="s">
        <v>2</v>
      </c>
      <c r="E25" t="s">
        <v>81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s="34" t="s">
        <v>928</v>
      </c>
      <c r="N25" s="34" t="s">
        <v>2765</v>
      </c>
      <c r="O25" s="34" t="s">
        <v>89</v>
      </c>
      <c r="P25" s="34" t="s">
        <v>90</v>
      </c>
      <c r="Q25" t="s">
        <v>91</v>
      </c>
      <c r="R25" t="s">
        <v>92</v>
      </c>
      <c r="S25" t="s">
        <v>93</v>
      </c>
      <c r="T25" t="s">
        <v>94</v>
      </c>
      <c r="U25" t="s">
        <v>95</v>
      </c>
      <c r="V25" t="s">
        <v>96</v>
      </c>
      <c r="W25" t="s">
        <v>97</v>
      </c>
      <c r="X25" t="s">
        <v>98</v>
      </c>
      <c r="Y25" t="s">
        <v>99</v>
      </c>
      <c r="Z25" t="s">
        <v>100</v>
      </c>
      <c r="AA25" t="s">
        <v>101</v>
      </c>
      <c r="AB25" t="s">
        <v>102</v>
      </c>
      <c r="AC25" t="s">
        <v>103</v>
      </c>
    </row>
    <row r="26" spans="1:29" x14ac:dyDescent="0.3">
      <c r="A26" t="s">
        <v>1314</v>
      </c>
      <c r="C26" t="s">
        <v>80</v>
      </c>
      <c r="D26" t="s">
        <v>2</v>
      </c>
      <c r="E26" t="s">
        <v>81</v>
      </c>
      <c r="F26" t="s">
        <v>82</v>
      </c>
      <c r="G26" t="s">
        <v>83</v>
      </c>
      <c r="H26" t="s">
        <v>84</v>
      </c>
      <c r="I26" t="s">
        <v>85</v>
      </c>
      <c r="J26" t="s">
        <v>86</v>
      </c>
      <c r="K26" t="s">
        <v>87</v>
      </c>
      <c r="L26" t="s">
        <v>88</v>
      </c>
      <c r="M26" s="34" t="s">
        <v>2763</v>
      </c>
      <c r="N26" s="34" t="s">
        <v>896</v>
      </c>
      <c r="O26" s="34" t="s">
        <v>89</v>
      </c>
      <c r="P26" s="34" t="s">
        <v>90</v>
      </c>
      <c r="Q26" t="s">
        <v>91</v>
      </c>
      <c r="R26" t="s">
        <v>92</v>
      </c>
      <c r="S26" t="s">
        <v>93</v>
      </c>
      <c r="T26" t="s">
        <v>94</v>
      </c>
      <c r="U26" t="s">
        <v>95</v>
      </c>
      <c r="V26" t="s">
        <v>96</v>
      </c>
      <c r="W26" t="s">
        <v>97</v>
      </c>
      <c r="X26" t="s">
        <v>98</v>
      </c>
      <c r="Y26" t="s">
        <v>99</v>
      </c>
      <c r="Z26" t="s">
        <v>100</v>
      </c>
      <c r="AA26" t="s">
        <v>101</v>
      </c>
      <c r="AB26" t="s">
        <v>102</v>
      </c>
      <c r="AC26" t="s">
        <v>103</v>
      </c>
    </row>
    <row r="27" spans="1:29" x14ac:dyDescent="0.3">
      <c r="A27" t="s">
        <v>1319</v>
      </c>
      <c r="C27" t="s">
        <v>80</v>
      </c>
      <c r="D27" t="s">
        <v>2</v>
      </c>
      <c r="E27" t="s">
        <v>81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87</v>
      </c>
      <c r="L27" t="s">
        <v>88</v>
      </c>
      <c r="M27" s="34" t="s">
        <v>2763</v>
      </c>
      <c r="N27" s="34" t="s">
        <v>896</v>
      </c>
      <c r="O27" s="34" t="s">
        <v>89</v>
      </c>
      <c r="P27" s="34" t="s">
        <v>90</v>
      </c>
      <c r="Q27" t="s">
        <v>91</v>
      </c>
      <c r="R27" t="s">
        <v>92</v>
      </c>
      <c r="S27" t="s">
        <v>93</v>
      </c>
      <c r="T27" t="s">
        <v>94</v>
      </c>
      <c r="U27" t="s">
        <v>95</v>
      </c>
      <c r="V27" t="s">
        <v>96</v>
      </c>
      <c r="W27" t="s">
        <v>97</v>
      </c>
      <c r="X27" t="s">
        <v>98</v>
      </c>
      <c r="Y27" t="s">
        <v>99</v>
      </c>
      <c r="Z27" t="s">
        <v>100</v>
      </c>
      <c r="AA27" t="s">
        <v>101</v>
      </c>
      <c r="AB27" t="s">
        <v>102</v>
      </c>
      <c r="AC27" t="s">
        <v>103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2325-1ED3-4675-B3AC-D25EE2EC8698}">
  <dimension ref="A1:CZ2957"/>
  <sheetViews>
    <sheetView workbookViewId="0">
      <selection activeCell="F3" sqref="F3"/>
    </sheetView>
  </sheetViews>
  <sheetFormatPr defaultRowHeight="14.4" x14ac:dyDescent="0.3"/>
  <cols>
    <col min="1" max="1" width="50.21875" bestFit="1" customWidth="1"/>
    <col min="2" max="2" width="10.44140625" bestFit="1" customWidth="1"/>
    <col min="3" max="3" width="11.33203125" style="10" bestFit="1" customWidth="1"/>
    <col min="4" max="4" width="4.21875" bestFit="1" customWidth="1"/>
    <col min="5" max="5" width="10.33203125" bestFit="1" customWidth="1"/>
    <col min="6" max="6" width="27.88671875" style="12" bestFit="1" customWidth="1"/>
    <col min="7" max="7" width="10.33203125" bestFit="1" customWidth="1"/>
    <col min="8" max="8" width="27.88671875" style="12" bestFit="1" customWidth="1"/>
    <col min="9" max="9" width="13.109375" bestFit="1" customWidth="1"/>
    <col min="10" max="10" width="18" bestFit="1" customWidth="1"/>
    <col min="11" max="11" width="7.77734375" bestFit="1" customWidth="1"/>
    <col min="12" max="13" width="14.5546875" bestFit="1" customWidth="1"/>
    <col min="14" max="15" width="14.109375" bestFit="1" customWidth="1"/>
    <col min="16" max="16" width="14.77734375" bestFit="1" customWidth="1"/>
    <col min="17" max="19" width="6.88671875" bestFit="1" customWidth="1"/>
    <col min="20" max="20" width="8.33203125" bestFit="1" customWidth="1"/>
    <col min="21" max="21" width="14.21875" bestFit="1" customWidth="1"/>
    <col min="22" max="22" width="14.33203125" bestFit="1" customWidth="1"/>
    <col min="23" max="23" width="15.109375" bestFit="1" customWidth="1"/>
    <col min="24" max="24" width="28.33203125" bestFit="1" customWidth="1"/>
    <col min="25" max="25" width="11.77734375" bestFit="1" customWidth="1"/>
    <col min="26" max="26" width="6.33203125" bestFit="1" customWidth="1"/>
    <col min="27" max="27" width="16.5546875" bestFit="1" customWidth="1"/>
    <col min="28" max="28" width="80.88671875" bestFit="1" customWidth="1"/>
    <col min="29" max="98" width="11.44140625" bestFit="1" customWidth="1"/>
    <col min="99" max="101" width="12.44140625" bestFit="1" customWidth="1"/>
    <col min="102" max="104" width="12.44140625" customWidth="1"/>
    <col min="105" max="107" width="12.44140625" bestFit="1" customWidth="1"/>
    <col min="108" max="112" width="10.21875" bestFit="1" customWidth="1"/>
    <col min="113" max="114" width="12.44140625" bestFit="1" customWidth="1"/>
    <col min="115" max="117" width="12.44140625" customWidth="1"/>
    <col min="118" max="120" width="12.44140625" bestFit="1" customWidth="1"/>
    <col min="121" max="121" width="12.77734375" bestFit="1" customWidth="1"/>
    <col min="122" max="122" width="11.77734375" bestFit="1" customWidth="1"/>
    <col min="123" max="127" width="12.77734375" bestFit="1" customWidth="1"/>
    <col min="128" max="132" width="12.44140625" bestFit="1" customWidth="1"/>
    <col min="133" max="140" width="12.77734375" bestFit="1" customWidth="1"/>
    <col min="141" max="144" width="12.77734375" customWidth="1"/>
    <col min="145" max="146" width="12.77734375" bestFit="1" customWidth="1"/>
    <col min="147" max="170" width="11.77734375" bestFit="1" customWidth="1"/>
    <col min="171" max="175" width="12.77734375" bestFit="1" customWidth="1"/>
  </cols>
  <sheetData>
    <row r="1" spans="1:104" x14ac:dyDescent="0.3">
      <c r="A1" t="s">
        <v>1313</v>
      </c>
      <c r="B1" t="s">
        <v>80</v>
      </c>
      <c r="C1" s="10" t="s">
        <v>2</v>
      </c>
      <c r="D1" t="s">
        <v>81</v>
      </c>
      <c r="E1" t="s">
        <v>82</v>
      </c>
      <c r="F1" s="12" t="s">
        <v>83</v>
      </c>
      <c r="G1" t="s">
        <v>84</v>
      </c>
      <c r="H1" s="12" t="s">
        <v>85</v>
      </c>
      <c r="I1" t="s">
        <v>86</v>
      </c>
      <c r="J1" t="s">
        <v>87</v>
      </c>
      <c r="K1" t="s">
        <v>88</v>
      </c>
      <c r="L1" t="s">
        <v>928</v>
      </c>
      <c r="M1" t="s">
        <v>929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5</v>
      </c>
      <c r="AD1" t="s">
        <v>6</v>
      </c>
      <c r="AE1" t="s">
        <v>7</v>
      </c>
      <c r="AF1" t="s">
        <v>8</v>
      </c>
      <c r="AG1" t="s">
        <v>9</v>
      </c>
      <c r="AH1" t="s">
        <v>10</v>
      </c>
      <c r="AI1" t="s">
        <v>11</v>
      </c>
      <c r="AJ1" t="s">
        <v>12</v>
      </c>
      <c r="AK1" t="s">
        <v>13</v>
      </c>
      <c r="AL1" t="s">
        <v>14</v>
      </c>
      <c r="AM1" t="s">
        <v>15</v>
      </c>
      <c r="AN1" t="s">
        <v>16</v>
      </c>
      <c r="AO1" t="s">
        <v>17</v>
      </c>
      <c r="AP1" t="s">
        <v>18</v>
      </c>
      <c r="AQ1" t="s">
        <v>19</v>
      </c>
      <c r="AR1" t="s">
        <v>20</v>
      </c>
      <c r="AS1" t="s">
        <v>21</v>
      </c>
      <c r="AT1" t="s">
        <v>22</v>
      </c>
      <c r="AU1" t="s">
        <v>23</v>
      </c>
      <c r="AV1" t="s">
        <v>24</v>
      </c>
      <c r="AW1" t="s">
        <v>25</v>
      </c>
      <c r="AX1" t="s">
        <v>26</v>
      </c>
      <c r="AY1" t="s">
        <v>27</v>
      </c>
      <c r="AZ1" t="s">
        <v>28</v>
      </c>
      <c r="BA1" t="s">
        <v>29</v>
      </c>
      <c r="BB1" t="s">
        <v>30</v>
      </c>
      <c r="BC1" t="s">
        <v>31</v>
      </c>
      <c r="BD1" t="s">
        <v>32</v>
      </c>
      <c r="BE1" t="s">
        <v>33</v>
      </c>
      <c r="BF1" t="s">
        <v>34</v>
      </c>
      <c r="BG1" t="s">
        <v>35</v>
      </c>
      <c r="BH1" t="s">
        <v>36</v>
      </c>
      <c r="BI1" t="s">
        <v>37</v>
      </c>
      <c r="BJ1" t="s">
        <v>38</v>
      </c>
      <c r="BK1" t="s">
        <v>39</v>
      </c>
      <c r="BL1" t="s">
        <v>40</v>
      </c>
      <c r="BM1" t="s">
        <v>41</v>
      </c>
      <c r="BN1" t="s">
        <v>42</v>
      </c>
      <c r="BO1" t="s">
        <v>43</v>
      </c>
      <c r="BP1" t="s">
        <v>44</v>
      </c>
      <c r="BQ1" t="s">
        <v>45</v>
      </c>
      <c r="BR1" t="s">
        <v>46</v>
      </c>
      <c r="BS1" t="s">
        <v>47</v>
      </c>
      <c r="BT1" t="s">
        <v>48</v>
      </c>
      <c r="BU1" t="s">
        <v>49</v>
      </c>
      <c r="BV1" t="s">
        <v>50</v>
      </c>
      <c r="BW1" t="s">
        <v>51</v>
      </c>
      <c r="BX1" t="s">
        <v>52</v>
      </c>
      <c r="BY1" t="s">
        <v>53</v>
      </c>
      <c r="BZ1" t="s">
        <v>54</v>
      </c>
      <c r="CA1" t="s">
        <v>55</v>
      </c>
      <c r="CB1" t="s">
        <v>56</v>
      </c>
      <c r="CC1" t="s">
        <v>57</v>
      </c>
      <c r="CD1" t="s">
        <v>58</v>
      </c>
      <c r="CE1" t="s">
        <v>59</v>
      </c>
      <c r="CF1" t="s">
        <v>60</v>
      </c>
      <c r="CG1" t="s">
        <v>61</v>
      </c>
      <c r="CH1" t="s">
        <v>62</v>
      </c>
      <c r="CI1" t="s">
        <v>63</v>
      </c>
      <c r="CJ1" t="s">
        <v>64</v>
      </c>
      <c r="CK1" t="s">
        <v>65</v>
      </c>
      <c r="CL1" t="s">
        <v>66</v>
      </c>
      <c r="CM1" t="s">
        <v>67</v>
      </c>
      <c r="CN1" t="s">
        <v>68</v>
      </c>
      <c r="CO1" t="s">
        <v>69</v>
      </c>
      <c r="CP1" t="s">
        <v>70</v>
      </c>
      <c r="CQ1" t="s">
        <v>71</v>
      </c>
      <c r="CR1" t="s">
        <v>72</v>
      </c>
      <c r="CS1" t="s">
        <v>73</v>
      </c>
      <c r="CT1" t="s">
        <v>74</v>
      </c>
      <c r="CU1" t="s">
        <v>75</v>
      </c>
      <c r="CV1" t="s">
        <v>76</v>
      </c>
      <c r="CW1" t="s">
        <v>77</v>
      </c>
      <c r="CX1" t="s">
        <v>78</v>
      </c>
      <c r="CY1" t="s">
        <v>79</v>
      </c>
      <c r="CZ1" t="s">
        <v>357</v>
      </c>
    </row>
    <row r="2" spans="1:104" x14ac:dyDescent="0.3">
      <c r="A2" t="s">
        <v>1314</v>
      </c>
      <c r="B2">
        <v>1</v>
      </c>
      <c r="C2">
        <v>0</v>
      </c>
      <c r="D2">
        <v>14</v>
      </c>
      <c r="E2" t="s">
        <v>110</v>
      </c>
      <c r="F2" s="12">
        <v>45264</v>
      </c>
      <c r="G2" t="s">
        <v>815</v>
      </c>
      <c r="H2" s="12">
        <v>45264</v>
      </c>
      <c r="I2" t="s">
        <v>372</v>
      </c>
      <c r="J2" t="s">
        <v>425</v>
      </c>
      <c r="L2">
        <v>0.6</v>
      </c>
      <c r="P2" t="s">
        <v>106</v>
      </c>
      <c r="Q2" t="s">
        <v>106</v>
      </c>
      <c r="R2" t="s">
        <v>106</v>
      </c>
      <c r="S2" t="s">
        <v>106</v>
      </c>
      <c r="T2" t="s">
        <v>1315</v>
      </c>
      <c r="U2" t="s">
        <v>106</v>
      </c>
      <c r="V2" t="s">
        <v>106</v>
      </c>
      <c r="W2" t="s">
        <v>490</v>
      </c>
      <c r="X2" t="s">
        <v>106</v>
      </c>
      <c r="Y2" t="s">
        <v>108</v>
      </c>
      <c r="Z2" t="s">
        <v>105</v>
      </c>
      <c r="AA2" t="s">
        <v>1316</v>
      </c>
      <c r="AB2" t="s">
        <v>106</v>
      </c>
    </row>
    <row r="3" spans="1:104" x14ac:dyDescent="0.3">
      <c r="A3" t="s">
        <v>1314</v>
      </c>
      <c r="B3">
        <v>1</v>
      </c>
      <c r="C3">
        <v>0</v>
      </c>
      <c r="D3">
        <v>13</v>
      </c>
      <c r="E3" t="s">
        <v>110</v>
      </c>
      <c r="F3" s="12">
        <v>45264</v>
      </c>
      <c r="G3" t="s">
        <v>813</v>
      </c>
      <c r="H3" s="12">
        <v>45264</v>
      </c>
      <c r="I3" t="s">
        <v>372</v>
      </c>
      <c r="J3" t="s">
        <v>425</v>
      </c>
      <c r="L3">
        <v>0.5</v>
      </c>
      <c r="P3" t="s">
        <v>106</v>
      </c>
      <c r="Q3" t="s">
        <v>106</v>
      </c>
      <c r="R3" t="s">
        <v>106</v>
      </c>
      <c r="S3" t="s">
        <v>1317</v>
      </c>
      <c r="T3" t="s">
        <v>1318</v>
      </c>
      <c r="U3" t="s">
        <v>106</v>
      </c>
      <c r="V3" t="s">
        <v>106</v>
      </c>
      <c r="W3" t="s">
        <v>490</v>
      </c>
      <c r="X3" t="s">
        <v>106</v>
      </c>
      <c r="Y3" t="s">
        <v>108</v>
      </c>
      <c r="Z3" t="s">
        <v>105</v>
      </c>
      <c r="AA3" t="s">
        <v>1316</v>
      </c>
      <c r="AB3" t="s">
        <v>106</v>
      </c>
    </row>
    <row r="4" spans="1:104" x14ac:dyDescent="0.3">
      <c r="A4" t="s">
        <v>1314</v>
      </c>
      <c r="B4">
        <v>2</v>
      </c>
      <c r="C4">
        <v>15</v>
      </c>
      <c r="D4">
        <v>10</v>
      </c>
      <c r="E4" t="s">
        <v>308</v>
      </c>
      <c r="F4" s="12">
        <v>45264</v>
      </c>
      <c r="G4" t="s">
        <v>1665</v>
      </c>
      <c r="H4" s="12" t="s">
        <v>106</v>
      </c>
      <c r="I4" t="s">
        <v>106</v>
      </c>
      <c r="J4" t="s">
        <v>106</v>
      </c>
      <c r="L4">
        <v>16.5</v>
      </c>
      <c r="P4" t="s">
        <v>106</v>
      </c>
      <c r="Q4" t="s">
        <v>106</v>
      </c>
      <c r="R4" t="s">
        <v>106</v>
      </c>
      <c r="S4" t="s">
        <v>106</v>
      </c>
      <c r="T4" t="s">
        <v>937</v>
      </c>
      <c r="U4" t="s">
        <v>106</v>
      </c>
      <c r="V4" t="s">
        <v>106</v>
      </c>
      <c r="W4" t="s">
        <v>490</v>
      </c>
      <c r="X4" t="s">
        <v>106</v>
      </c>
      <c r="Y4" t="s">
        <v>108</v>
      </c>
      <c r="Z4" t="s">
        <v>109</v>
      </c>
      <c r="AA4" t="s">
        <v>1322</v>
      </c>
      <c r="AB4" t="s">
        <v>106</v>
      </c>
    </row>
    <row r="5" spans="1:104" x14ac:dyDescent="0.3">
      <c r="A5" t="s">
        <v>1314</v>
      </c>
      <c r="B5">
        <v>2</v>
      </c>
      <c r="C5">
        <v>15</v>
      </c>
      <c r="D5">
        <v>11</v>
      </c>
      <c r="E5" t="s">
        <v>110</v>
      </c>
      <c r="F5" s="12">
        <v>45264</v>
      </c>
      <c r="G5" t="s">
        <v>1666</v>
      </c>
      <c r="H5" s="12">
        <v>45264</v>
      </c>
      <c r="I5" t="s">
        <v>372</v>
      </c>
      <c r="J5" t="s">
        <v>425</v>
      </c>
      <c r="L5">
        <v>16.899999999999999</v>
      </c>
      <c r="P5" t="s">
        <v>106</v>
      </c>
      <c r="Q5" t="s">
        <v>106</v>
      </c>
      <c r="R5" t="s">
        <v>106</v>
      </c>
      <c r="S5" t="s">
        <v>1667</v>
      </c>
      <c r="T5" t="s">
        <v>448</v>
      </c>
      <c r="U5" t="s">
        <v>106</v>
      </c>
      <c r="V5" t="s">
        <v>106</v>
      </c>
      <c r="W5" t="s">
        <v>490</v>
      </c>
      <c r="X5" t="s">
        <v>106</v>
      </c>
      <c r="Y5" t="s">
        <v>108</v>
      </c>
      <c r="Z5" t="s">
        <v>109</v>
      </c>
      <c r="AA5" t="s">
        <v>1322</v>
      </c>
      <c r="AB5" t="s">
        <v>106</v>
      </c>
    </row>
    <row r="6" spans="1:104" x14ac:dyDescent="0.3">
      <c r="A6" t="s">
        <v>1314</v>
      </c>
      <c r="B6">
        <v>2</v>
      </c>
      <c r="C6">
        <v>15</v>
      </c>
      <c r="D6">
        <v>12</v>
      </c>
      <c r="E6" t="s">
        <v>110</v>
      </c>
      <c r="F6" s="12">
        <v>45264</v>
      </c>
      <c r="G6" t="s">
        <v>1666</v>
      </c>
      <c r="H6" s="12">
        <v>45264</v>
      </c>
      <c r="I6" t="s">
        <v>372</v>
      </c>
      <c r="J6" t="s">
        <v>425</v>
      </c>
      <c r="L6">
        <v>17.2</v>
      </c>
      <c r="P6" t="s">
        <v>106</v>
      </c>
      <c r="Q6" t="s">
        <v>106</v>
      </c>
      <c r="R6" t="s">
        <v>106</v>
      </c>
      <c r="S6" t="s">
        <v>106</v>
      </c>
      <c r="T6" t="s">
        <v>1668</v>
      </c>
      <c r="U6" t="s">
        <v>106</v>
      </c>
      <c r="V6" t="s">
        <v>106</v>
      </c>
      <c r="W6" t="s">
        <v>490</v>
      </c>
      <c r="X6" t="s">
        <v>106</v>
      </c>
      <c r="Y6" t="s">
        <v>108</v>
      </c>
      <c r="Z6" t="s">
        <v>109</v>
      </c>
      <c r="AA6" t="s">
        <v>1322</v>
      </c>
      <c r="AB6" t="s">
        <v>106</v>
      </c>
    </row>
    <row r="7" spans="1:104" x14ac:dyDescent="0.3">
      <c r="A7" t="s">
        <v>1314</v>
      </c>
      <c r="B7">
        <v>2</v>
      </c>
      <c r="C7">
        <v>15</v>
      </c>
      <c r="D7">
        <v>9</v>
      </c>
      <c r="E7" t="s">
        <v>308</v>
      </c>
      <c r="F7" s="12">
        <v>45264</v>
      </c>
      <c r="G7" t="s">
        <v>1665</v>
      </c>
      <c r="H7" s="12" t="s">
        <v>106</v>
      </c>
      <c r="I7" t="s">
        <v>106</v>
      </c>
      <c r="J7" t="s">
        <v>106</v>
      </c>
      <c r="L7">
        <v>17</v>
      </c>
      <c r="P7" t="s">
        <v>106</v>
      </c>
      <c r="Q7" t="s">
        <v>106</v>
      </c>
      <c r="R7" t="s">
        <v>106</v>
      </c>
      <c r="S7" t="s">
        <v>1669</v>
      </c>
      <c r="T7" t="s">
        <v>1558</v>
      </c>
      <c r="U7" t="s">
        <v>429</v>
      </c>
      <c r="V7" t="s">
        <v>106</v>
      </c>
      <c r="W7" t="s">
        <v>490</v>
      </c>
      <c r="X7" t="s">
        <v>106</v>
      </c>
      <c r="Y7" t="s">
        <v>108</v>
      </c>
      <c r="Z7" t="s">
        <v>109</v>
      </c>
      <c r="AA7" t="s">
        <v>1322</v>
      </c>
      <c r="AB7" t="s">
        <v>106</v>
      </c>
    </row>
    <row r="8" spans="1:104" x14ac:dyDescent="0.3">
      <c r="A8" t="s">
        <v>1314</v>
      </c>
      <c r="B8">
        <v>3</v>
      </c>
      <c r="C8">
        <v>35</v>
      </c>
      <c r="D8">
        <v>7</v>
      </c>
      <c r="E8" t="s">
        <v>110</v>
      </c>
      <c r="F8" s="12">
        <v>45264</v>
      </c>
      <c r="G8" t="s">
        <v>2158</v>
      </c>
      <c r="H8" s="12">
        <v>45264</v>
      </c>
      <c r="I8" t="s">
        <v>372</v>
      </c>
      <c r="J8" t="s">
        <v>425</v>
      </c>
      <c r="L8">
        <v>37</v>
      </c>
      <c r="P8" t="s">
        <v>106</v>
      </c>
      <c r="Q8" t="s">
        <v>106</v>
      </c>
      <c r="R8" t="s">
        <v>106</v>
      </c>
      <c r="S8" t="s">
        <v>2279</v>
      </c>
      <c r="T8" t="s">
        <v>1728</v>
      </c>
      <c r="U8" t="s">
        <v>106</v>
      </c>
      <c r="V8" t="s">
        <v>106</v>
      </c>
      <c r="W8" t="s">
        <v>490</v>
      </c>
      <c r="X8" t="s">
        <v>106</v>
      </c>
      <c r="Y8" t="s">
        <v>108</v>
      </c>
      <c r="Z8" t="s">
        <v>108</v>
      </c>
      <c r="AA8" t="s">
        <v>2280</v>
      </c>
      <c r="AB8" t="s">
        <v>106</v>
      </c>
    </row>
    <row r="9" spans="1:104" x14ac:dyDescent="0.3">
      <c r="A9" t="s">
        <v>1314</v>
      </c>
      <c r="B9">
        <v>3</v>
      </c>
      <c r="C9">
        <v>35</v>
      </c>
      <c r="D9">
        <v>5</v>
      </c>
      <c r="E9" t="s">
        <v>308</v>
      </c>
      <c r="F9" s="12">
        <v>45264</v>
      </c>
      <c r="G9" t="s">
        <v>1546</v>
      </c>
      <c r="H9" s="12" t="s">
        <v>106</v>
      </c>
      <c r="I9" t="s">
        <v>106</v>
      </c>
      <c r="J9" t="s">
        <v>106</v>
      </c>
      <c r="L9">
        <v>38.6</v>
      </c>
      <c r="P9" t="s">
        <v>106</v>
      </c>
      <c r="Q9" t="s">
        <v>106</v>
      </c>
      <c r="R9" t="s">
        <v>106</v>
      </c>
      <c r="S9" t="s">
        <v>2281</v>
      </c>
      <c r="T9" t="s">
        <v>2260</v>
      </c>
      <c r="U9" t="s">
        <v>106</v>
      </c>
      <c r="V9" t="s">
        <v>106</v>
      </c>
      <c r="W9" t="s">
        <v>490</v>
      </c>
      <c r="X9" t="s">
        <v>106</v>
      </c>
      <c r="Y9" t="s">
        <v>108</v>
      </c>
      <c r="Z9" t="s">
        <v>108</v>
      </c>
      <c r="AA9" t="s">
        <v>2280</v>
      </c>
      <c r="AB9" t="s">
        <v>106</v>
      </c>
    </row>
    <row r="10" spans="1:104" x14ac:dyDescent="0.3">
      <c r="A10" t="s">
        <v>1314</v>
      </c>
      <c r="B10">
        <v>3</v>
      </c>
      <c r="C10">
        <v>35</v>
      </c>
      <c r="D10">
        <v>6</v>
      </c>
      <c r="E10" t="s">
        <v>308</v>
      </c>
      <c r="F10" s="12">
        <v>45264</v>
      </c>
      <c r="G10" t="s">
        <v>2158</v>
      </c>
      <c r="H10" s="12" t="s">
        <v>106</v>
      </c>
      <c r="I10" t="s">
        <v>106</v>
      </c>
      <c r="J10" t="s">
        <v>106</v>
      </c>
      <c r="L10">
        <v>38.5</v>
      </c>
      <c r="P10" t="s">
        <v>106</v>
      </c>
      <c r="Q10" t="s">
        <v>106</v>
      </c>
      <c r="R10" t="s">
        <v>106</v>
      </c>
      <c r="S10" t="s">
        <v>106</v>
      </c>
      <c r="T10" t="s">
        <v>716</v>
      </c>
      <c r="U10" t="s">
        <v>106</v>
      </c>
      <c r="V10" t="s">
        <v>106</v>
      </c>
      <c r="W10" t="s">
        <v>490</v>
      </c>
      <c r="X10" t="s">
        <v>106</v>
      </c>
      <c r="Y10" t="s">
        <v>108</v>
      </c>
      <c r="Z10" t="s">
        <v>108</v>
      </c>
      <c r="AA10" t="s">
        <v>2280</v>
      </c>
      <c r="AB10" t="s">
        <v>106</v>
      </c>
    </row>
    <row r="11" spans="1:104" x14ac:dyDescent="0.3">
      <c r="A11" t="s">
        <v>1314</v>
      </c>
      <c r="B11">
        <v>3</v>
      </c>
      <c r="C11">
        <v>35</v>
      </c>
      <c r="D11">
        <v>8</v>
      </c>
      <c r="E11" t="s">
        <v>110</v>
      </c>
      <c r="F11" s="12">
        <v>45264</v>
      </c>
      <c r="G11" t="s">
        <v>2282</v>
      </c>
      <c r="H11" s="12">
        <v>45264</v>
      </c>
      <c r="I11" t="s">
        <v>372</v>
      </c>
      <c r="J11" t="s">
        <v>425</v>
      </c>
      <c r="L11">
        <v>37.1</v>
      </c>
      <c r="P11" t="s">
        <v>106</v>
      </c>
      <c r="Q11" t="s">
        <v>106</v>
      </c>
      <c r="R11" t="s">
        <v>106</v>
      </c>
      <c r="S11" t="s">
        <v>106</v>
      </c>
      <c r="T11" t="s">
        <v>2283</v>
      </c>
      <c r="U11" t="s">
        <v>106</v>
      </c>
      <c r="V11" t="s">
        <v>106</v>
      </c>
      <c r="W11" t="s">
        <v>490</v>
      </c>
      <c r="X11" t="s">
        <v>106</v>
      </c>
      <c r="Y11" t="s">
        <v>108</v>
      </c>
      <c r="Z11" t="s">
        <v>108</v>
      </c>
      <c r="AA11" t="s">
        <v>2280</v>
      </c>
      <c r="AB11" t="s">
        <v>106</v>
      </c>
    </row>
    <row r="12" spans="1:104" x14ac:dyDescent="0.3">
      <c r="A12" t="s">
        <v>1314</v>
      </c>
      <c r="B12">
        <v>4</v>
      </c>
      <c r="C12">
        <v>60</v>
      </c>
      <c r="D12">
        <v>3</v>
      </c>
      <c r="E12" t="s">
        <v>110</v>
      </c>
      <c r="F12" s="12">
        <v>45264</v>
      </c>
      <c r="G12" t="s">
        <v>1542</v>
      </c>
      <c r="H12" s="12">
        <v>45264</v>
      </c>
      <c r="I12" t="s">
        <v>372</v>
      </c>
      <c r="J12" t="s">
        <v>425</v>
      </c>
      <c r="L12">
        <v>62.1</v>
      </c>
      <c r="P12" t="s">
        <v>106</v>
      </c>
      <c r="Q12" t="s">
        <v>106</v>
      </c>
      <c r="R12" t="s">
        <v>106</v>
      </c>
      <c r="S12" t="s">
        <v>2609</v>
      </c>
      <c r="T12" t="s">
        <v>2610</v>
      </c>
      <c r="U12" t="s">
        <v>106</v>
      </c>
      <c r="V12" t="s">
        <v>106</v>
      </c>
      <c r="W12" t="s">
        <v>490</v>
      </c>
      <c r="X12" t="s">
        <v>106</v>
      </c>
      <c r="Y12" t="s">
        <v>108</v>
      </c>
      <c r="Z12" t="s">
        <v>104</v>
      </c>
      <c r="AA12" t="s">
        <v>1322</v>
      </c>
      <c r="AB12" t="s">
        <v>106</v>
      </c>
    </row>
    <row r="13" spans="1:104" x14ac:dyDescent="0.3">
      <c r="A13" t="s">
        <v>1314</v>
      </c>
      <c r="B13">
        <v>4</v>
      </c>
      <c r="C13">
        <v>60</v>
      </c>
      <c r="D13">
        <v>4</v>
      </c>
      <c r="E13" t="s">
        <v>110</v>
      </c>
      <c r="F13" s="12">
        <v>45264</v>
      </c>
      <c r="G13" t="s">
        <v>1542</v>
      </c>
      <c r="H13" s="12">
        <v>45264</v>
      </c>
      <c r="I13" t="s">
        <v>372</v>
      </c>
      <c r="J13" t="s">
        <v>425</v>
      </c>
      <c r="L13">
        <v>64.7</v>
      </c>
      <c r="P13" t="s">
        <v>106</v>
      </c>
      <c r="Q13" t="s">
        <v>106</v>
      </c>
      <c r="R13" t="s">
        <v>106</v>
      </c>
      <c r="S13" t="s">
        <v>106</v>
      </c>
      <c r="T13" t="s">
        <v>2180</v>
      </c>
      <c r="U13" t="s">
        <v>106</v>
      </c>
      <c r="V13" t="s">
        <v>106</v>
      </c>
      <c r="W13" t="s">
        <v>490</v>
      </c>
      <c r="X13" t="s">
        <v>106</v>
      </c>
      <c r="Y13" t="s">
        <v>108</v>
      </c>
      <c r="Z13" t="s">
        <v>104</v>
      </c>
      <c r="AA13" t="s">
        <v>1322</v>
      </c>
      <c r="AB13" t="s">
        <v>106</v>
      </c>
    </row>
    <row r="14" spans="1:104" x14ac:dyDescent="0.3">
      <c r="A14" t="s">
        <v>1314</v>
      </c>
      <c r="B14">
        <v>4</v>
      </c>
      <c r="C14">
        <v>60</v>
      </c>
      <c r="D14">
        <v>2</v>
      </c>
      <c r="E14" t="s">
        <v>308</v>
      </c>
      <c r="F14" s="12">
        <v>45264</v>
      </c>
      <c r="G14" t="s">
        <v>2045</v>
      </c>
      <c r="H14" s="12" t="s">
        <v>106</v>
      </c>
      <c r="I14" t="s">
        <v>106</v>
      </c>
      <c r="J14" t="s">
        <v>106</v>
      </c>
      <c r="L14">
        <v>64.3</v>
      </c>
      <c r="P14" t="s">
        <v>106</v>
      </c>
      <c r="Q14" t="s">
        <v>106</v>
      </c>
      <c r="R14" t="s">
        <v>106</v>
      </c>
      <c r="S14" t="s">
        <v>106</v>
      </c>
      <c r="T14" t="s">
        <v>2547</v>
      </c>
      <c r="U14" t="s">
        <v>106</v>
      </c>
      <c r="V14" t="s">
        <v>106</v>
      </c>
      <c r="W14" t="s">
        <v>490</v>
      </c>
      <c r="X14" t="s">
        <v>106</v>
      </c>
      <c r="Y14" t="s">
        <v>108</v>
      </c>
      <c r="Z14" t="s">
        <v>104</v>
      </c>
      <c r="AA14" t="s">
        <v>1322</v>
      </c>
      <c r="AB14" t="s">
        <v>106</v>
      </c>
    </row>
    <row r="15" spans="1:104" x14ac:dyDescent="0.3">
      <c r="A15" t="s">
        <v>1314</v>
      </c>
      <c r="B15">
        <v>4</v>
      </c>
      <c r="C15">
        <v>60</v>
      </c>
      <c r="D15">
        <v>1</v>
      </c>
      <c r="E15" t="s">
        <v>308</v>
      </c>
      <c r="F15" s="12">
        <v>45264</v>
      </c>
      <c r="G15" t="s">
        <v>2611</v>
      </c>
      <c r="H15" s="12" t="s">
        <v>106</v>
      </c>
      <c r="I15" t="s">
        <v>106</v>
      </c>
      <c r="J15" t="s">
        <v>106</v>
      </c>
      <c r="L15">
        <v>62.1</v>
      </c>
      <c r="P15" t="s">
        <v>106</v>
      </c>
      <c r="Q15" t="s">
        <v>106</v>
      </c>
      <c r="R15" t="s">
        <v>106</v>
      </c>
      <c r="S15" t="s">
        <v>2612</v>
      </c>
      <c r="T15" t="s">
        <v>2460</v>
      </c>
      <c r="U15" t="s">
        <v>106</v>
      </c>
      <c r="V15" t="s">
        <v>106</v>
      </c>
      <c r="W15" t="s">
        <v>490</v>
      </c>
      <c r="X15" t="s">
        <v>106</v>
      </c>
      <c r="Y15" t="s">
        <v>108</v>
      </c>
      <c r="Z15" t="s">
        <v>104</v>
      </c>
      <c r="AA15" t="s">
        <v>1322</v>
      </c>
      <c r="AB15" t="s">
        <v>106</v>
      </c>
    </row>
    <row r="16" spans="1:104" x14ac:dyDescent="0.3">
      <c r="A16" t="s">
        <v>1319</v>
      </c>
      <c r="B16">
        <v>1</v>
      </c>
      <c r="C16">
        <v>0</v>
      </c>
      <c r="D16">
        <v>13</v>
      </c>
      <c r="E16" t="s">
        <v>110</v>
      </c>
      <c r="F16" s="12">
        <v>45265</v>
      </c>
      <c r="G16" t="s">
        <v>1107</v>
      </c>
      <c r="H16" s="12" t="s">
        <v>106</v>
      </c>
      <c r="I16" t="s">
        <v>106</v>
      </c>
      <c r="J16" t="s">
        <v>106</v>
      </c>
      <c r="L16">
        <v>0.4</v>
      </c>
      <c r="P16" t="s">
        <v>106</v>
      </c>
      <c r="Q16" t="s">
        <v>106</v>
      </c>
      <c r="R16" t="s">
        <v>106</v>
      </c>
      <c r="S16" t="s">
        <v>1320</v>
      </c>
      <c r="T16" t="s">
        <v>764</v>
      </c>
      <c r="U16" t="s">
        <v>106</v>
      </c>
      <c r="V16" t="s">
        <v>106</v>
      </c>
      <c r="W16" t="s">
        <v>1321</v>
      </c>
      <c r="X16" t="s">
        <v>106</v>
      </c>
      <c r="Y16" t="s">
        <v>108</v>
      </c>
      <c r="Z16" t="s">
        <v>105</v>
      </c>
      <c r="AA16" t="s">
        <v>1322</v>
      </c>
      <c r="AB16" t="s">
        <v>106</v>
      </c>
    </row>
    <row r="17" spans="1:28" x14ac:dyDescent="0.3">
      <c r="A17" t="s">
        <v>1319</v>
      </c>
      <c r="B17">
        <v>1</v>
      </c>
      <c r="C17">
        <v>0</v>
      </c>
      <c r="D17">
        <v>14</v>
      </c>
      <c r="E17" t="s">
        <v>110</v>
      </c>
      <c r="F17" s="12">
        <v>45265</v>
      </c>
      <c r="G17" t="s">
        <v>328</v>
      </c>
      <c r="H17" s="12" t="s">
        <v>106</v>
      </c>
      <c r="I17" t="s">
        <v>106</v>
      </c>
      <c r="J17" t="s">
        <v>106</v>
      </c>
      <c r="L17">
        <v>0.5</v>
      </c>
      <c r="P17" t="s">
        <v>106</v>
      </c>
      <c r="Q17" t="s">
        <v>106</v>
      </c>
      <c r="R17" t="s">
        <v>106</v>
      </c>
      <c r="S17" t="s">
        <v>106</v>
      </c>
      <c r="T17" t="s">
        <v>1323</v>
      </c>
      <c r="U17" t="s">
        <v>106</v>
      </c>
      <c r="V17" t="s">
        <v>106</v>
      </c>
      <c r="W17" t="s">
        <v>1321</v>
      </c>
      <c r="X17" t="s">
        <v>106</v>
      </c>
      <c r="Y17" t="s">
        <v>108</v>
      </c>
      <c r="Z17" t="s">
        <v>105</v>
      </c>
      <c r="AA17" t="s">
        <v>1322</v>
      </c>
      <c r="AB17" t="s">
        <v>106</v>
      </c>
    </row>
    <row r="18" spans="1:28" x14ac:dyDescent="0.3">
      <c r="A18" t="s">
        <v>1319</v>
      </c>
      <c r="B18">
        <v>2</v>
      </c>
      <c r="C18">
        <v>15</v>
      </c>
      <c r="D18">
        <v>7</v>
      </c>
      <c r="E18" t="s">
        <v>110</v>
      </c>
      <c r="F18" s="12">
        <v>45265</v>
      </c>
      <c r="G18" t="s">
        <v>320</v>
      </c>
      <c r="H18" s="12" t="s">
        <v>106</v>
      </c>
      <c r="I18" t="s">
        <v>106</v>
      </c>
      <c r="J18" t="s">
        <v>106</v>
      </c>
      <c r="L18">
        <v>15.1</v>
      </c>
      <c r="P18" t="s">
        <v>106</v>
      </c>
      <c r="Q18" t="s">
        <v>106</v>
      </c>
      <c r="R18" t="s">
        <v>106</v>
      </c>
      <c r="S18" t="s">
        <v>1349</v>
      </c>
      <c r="T18" t="s">
        <v>1670</v>
      </c>
      <c r="U18" t="s">
        <v>106</v>
      </c>
      <c r="V18" t="s">
        <v>106</v>
      </c>
      <c r="W18" t="s">
        <v>1321</v>
      </c>
      <c r="X18" t="s">
        <v>106</v>
      </c>
      <c r="Y18" t="s">
        <v>108</v>
      </c>
      <c r="Z18" t="s">
        <v>109</v>
      </c>
      <c r="AA18" t="s">
        <v>1322</v>
      </c>
      <c r="AB18" t="s">
        <v>106</v>
      </c>
    </row>
    <row r="19" spans="1:28" x14ac:dyDescent="0.3">
      <c r="A19" t="s">
        <v>1319</v>
      </c>
      <c r="B19">
        <v>2</v>
      </c>
      <c r="C19">
        <v>15</v>
      </c>
      <c r="D19">
        <v>8</v>
      </c>
      <c r="E19" t="s">
        <v>110</v>
      </c>
      <c r="F19" s="12">
        <v>45265</v>
      </c>
      <c r="G19" t="s">
        <v>329</v>
      </c>
      <c r="H19" s="12" t="s">
        <v>106</v>
      </c>
      <c r="I19" t="s">
        <v>106</v>
      </c>
      <c r="J19" t="s">
        <v>106</v>
      </c>
      <c r="L19">
        <v>15.8</v>
      </c>
      <c r="P19" t="s">
        <v>106</v>
      </c>
      <c r="Q19" t="s">
        <v>106</v>
      </c>
      <c r="R19" t="s">
        <v>106</v>
      </c>
      <c r="S19" t="s">
        <v>106</v>
      </c>
      <c r="T19" t="s">
        <v>1671</v>
      </c>
      <c r="U19" t="s">
        <v>106</v>
      </c>
      <c r="V19" t="s">
        <v>106</v>
      </c>
      <c r="W19" t="s">
        <v>1321</v>
      </c>
      <c r="X19" t="s">
        <v>106</v>
      </c>
      <c r="Y19" t="s">
        <v>108</v>
      </c>
      <c r="Z19" t="s">
        <v>109</v>
      </c>
      <c r="AA19" t="s">
        <v>1322</v>
      </c>
      <c r="AB19" t="s">
        <v>106</v>
      </c>
    </row>
    <row r="20" spans="1:28" x14ac:dyDescent="0.3">
      <c r="A20" t="s">
        <v>1319</v>
      </c>
      <c r="B20">
        <v>2</v>
      </c>
      <c r="C20">
        <v>15</v>
      </c>
      <c r="D20">
        <v>2</v>
      </c>
      <c r="E20" t="s">
        <v>308</v>
      </c>
      <c r="F20" s="12">
        <v>45265</v>
      </c>
      <c r="G20" t="s">
        <v>396</v>
      </c>
      <c r="H20" s="12" t="s">
        <v>106</v>
      </c>
      <c r="I20" t="s">
        <v>106</v>
      </c>
      <c r="J20" t="s">
        <v>106</v>
      </c>
      <c r="L20">
        <v>13.4</v>
      </c>
      <c r="P20" t="s">
        <v>106</v>
      </c>
      <c r="Q20" t="s">
        <v>106</v>
      </c>
      <c r="R20" t="s">
        <v>106</v>
      </c>
      <c r="S20" t="s">
        <v>106</v>
      </c>
      <c r="T20" t="s">
        <v>1105</v>
      </c>
      <c r="U20" t="s">
        <v>106</v>
      </c>
      <c r="V20" t="s">
        <v>106</v>
      </c>
      <c r="W20" t="s">
        <v>1321</v>
      </c>
      <c r="X20" t="s">
        <v>106</v>
      </c>
      <c r="Y20" t="s">
        <v>108</v>
      </c>
      <c r="Z20" t="s">
        <v>109</v>
      </c>
      <c r="AA20" t="s">
        <v>1322</v>
      </c>
      <c r="AB20" t="s">
        <v>106</v>
      </c>
    </row>
    <row r="21" spans="1:28" x14ac:dyDescent="0.3">
      <c r="A21" t="s">
        <v>1319</v>
      </c>
      <c r="B21">
        <v>2</v>
      </c>
      <c r="C21">
        <v>15</v>
      </c>
      <c r="D21">
        <v>1</v>
      </c>
      <c r="E21" t="s">
        <v>308</v>
      </c>
      <c r="F21" s="12">
        <v>45265</v>
      </c>
      <c r="G21" t="s">
        <v>396</v>
      </c>
      <c r="H21" s="12" t="s">
        <v>106</v>
      </c>
      <c r="I21" t="s">
        <v>106</v>
      </c>
      <c r="J21" t="s">
        <v>106</v>
      </c>
      <c r="L21">
        <v>13</v>
      </c>
      <c r="P21" t="s">
        <v>106</v>
      </c>
      <c r="Q21" t="s">
        <v>106</v>
      </c>
      <c r="R21" t="s">
        <v>106</v>
      </c>
      <c r="S21" t="s">
        <v>1672</v>
      </c>
      <c r="T21" t="s">
        <v>1547</v>
      </c>
      <c r="U21" t="s">
        <v>106</v>
      </c>
      <c r="V21" t="s">
        <v>106</v>
      </c>
      <c r="W21" t="s">
        <v>1321</v>
      </c>
      <c r="X21" t="s">
        <v>106</v>
      </c>
      <c r="Y21" t="s">
        <v>108</v>
      </c>
      <c r="Z21" t="s">
        <v>109</v>
      </c>
      <c r="AA21" t="s">
        <v>1322</v>
      </c>
      <c r="AB21" t="s">
        <v>106</v>
      </c>
    </row>
    <row r="22" spans="1:28" x14ac:dyDescent="0.3">
      <c r="A22" t="s">
        <v>1319</v>
      </c>
      <c r="B22">
        <v>3</v>
      </c>
      <c r="C22">
        <v>35</v>
      </c>
      <c r="D22">
        <v>3</v>
      </c>
      <c r="E22" t="s">
        <v>308</v>
      </c>
      <c r="F22" s="12">
        <v>45265</v>
      </c>
      <c r="G22" t="s">
        <v>783</v>
      </c>
      <c r="H22" s="12" t="s">
        <v>106</v>
      </c>
      <c r="I22" t="s">
        <v>106</v>
      </c>
      <c r="J22" t="s">
        <v>106</v>
      </c>
      <c r="L22">
        <v>34.799999999999997</v>
      </c>
      <c r="P22" t="s">
        <v>106</v>
      </c>
      <c r="Q22" t="s">
        <v>106</v>
      </c>
      <c r="R22" t="s">
        <v>106</v>
      </c>
      <c r="S22" t="s">
        <v>1678</v>
      </c>
      <c r="T22" t="s">
        <v>615</v>
      </c>
      <c r="U22" t="s">
        <v>106</v>
      </c>
      <c r="V22" t="s">
        <v>106</v>
      </c>
      <c r="W22" t="s">
        <v>1321</v>
      </c>
      <c r="X22" t="s">
        <v>106</v>
      </c>
      <c r="Y22" t="s">
        <v>108</v>
      </c>
      <c r="Z22" t="s">
        <v>108</v>
      </c>
      <c r="AA22" t="s">
        <v>1322</v>
      </c>
      <c r="AB22" t="s">
        <v>106</v>
      </c>
    </row>
    <row r="23" spans="1:28" x14ac:dyDescent="0.3">
      <c r="A23" t="s">
        <v>1319</v>
      </c>
      <c r="B23">
        <v>3</v>
      </c>
      <c r="C23">
        <v>35</v>
      </c>
      <c r="D23">
        <v>10</v>
      </c>
      <c r="E23" t="s">
        <v>110</v>
      </c>
      <c r="F23" s="12">
        <v>45265</v>
      </c>
      <c r="G23" t="s">
        <v>415</v>
      </c>
      <c r="H23" s="12" t="s">
        <v>106</v>
      </c>
      <c r="I23" t="s">
        <v>106</v>
      </c>
      <c r="J23" t="s">
        <v>106</v>
      </c>
      <c r="L23">
        <v>36.9</v>
      </c>
      <c r="P23" t="s">
        <v>106</v>
      </c>
      <c r="Q23" t="s">
        <v>106</v>
      </c>
      <c r="R23" t="s">
        <v>106</v>
      </c>
      <c r="S23" t="s">
        <v>106</v>
      </c>
      <c r="T23" t="s">
        <v>522</v>
      </c>
      <c r="U23" t="s">
        <v>106</v>
      </c>
      <c r="V23" t="s">
        <v>106</v>
      </c>
      <c r="W23" t="s">
        <v>1321</v>
      </c>
      <c r="X23" t="s">
        <v>106</v>
      </c>
      <c r="Y23" t="s">
        <v>108</v>
      </c>
      <c r="Z23" t="s">
        <v>108</v>
      </c>
      <c r="AA23" t="s">
        <v>2280</v>
      </c>
      <c r="AB23" t="s">
        <v>106</v>
      </c>
    </row>
    <row r="24" spans="1:28" x14ac:dyDescent="0.3">
      <c r="A24" t="s">
        <v>1319</v>
      </c>
      <c r="B24">
        <v>3</v>
      </c>
      <c r="C24">
        <v>35</v>
      </c>
      <c r="D24">
        <v>4</v>
      </c>
      <c r="E24" t="s">
        <v>308</v>
      </c>
      <c r="F24" s="12">
        <v>45265</v>
      </c>
      <c r="G24" t="s">
        <v>783</v>
      </c>
      <c r="H24" s="12" t="s">
        <v>106</v>
      </c>
      <c r="I24" t="s">
        <v>106</v>
      </c>
      <c r="J24" t="s">
        <v>106</v>
      </c>
      <c r="L24">
        <v>35.299999999999997</v>
      </c>
      <c r="P24" t="s">
        <v>106</v>
      </c>
      <c r="Q24" t="s">
        <v>106</v>
      </c>
      <c r="R24" t="s">
        <v>106</v>
      </c>
      <c r="S24" t="s">
        <v>106</v>
      </c>
      <c r="T24" t="s">
        <v>1555</v>
      </c>
      <c r="U24" t="s">
        <v>106</v>
      </c>
      <c r="V24" t="s">
        <v>106</v>
      </c>
      <c r="W24" t="s">
        <v>1321</v>
      </c>
      <c r="X24" t="s">
        <v>106</v>
      </c>
      <c r="Y24" t="s">
        <v>108</v>
      </c>
      <c r="Z24" t="s">
        <v>108</v>
      </c>
      <c r="AA24" t="s">
        <v>1322</v>
      </c>
      <c r="AB24" t="s">
        <v>106</v>
      </c>
    </row>
    <row r="25" spans="1:28" x14ac:dyDescent="0.3">
      <c r="A25" t="s">
        <v>1319</v>
      </c>
      <c r="B25">
        <v>3</v>
      </c>
      <c r="C25">
        <v>35</v>
      </c>
      <c r="D25">
        <v>9</v>
      </c>
      <c r="E25" t="s">
        <v>110</v>
      </c>
      <c r="F25" s="12">
        <v>45265</v>
      </c>
      <c r="G25" t="s">
        <v>762</v>
      </c>
      <c r="H25" s="12" t="s">
        <v>106</v>
      </c>
      <c r="I25" t="s">
        <v>106</v>
      </c>
      <c r="J25" t="s">
        <v>106</v>
      </c>
      <c r="L25">
        <v>38.299999999999997</v>
      </c>
      <c r="P25" t="s">
        <v>106</v>
      </c>
      <c r="Q25" t="s">
        <v>106</v>
      </c>
      <c r="R25" t="s">
        <v>106</v>
      </c>
      <c r="S25" t="s">
        <v>1717</v>
      </c>
      <c r="T25" t="s">
        <v>2284</v>
      </c>
      <c r="U25" t="s">
        <v>106</v>
      </c>
      <c r="V25" t="s">
        <v>106</v>
      </c>
      <c r="W25" t="s">
        <v>1321</v>
      </c>
      <c r="X25" t="s">
        <v>106</v>
      </c>
      <c r="Y25" t="s">
        <v>108</v>
      </c>
      <c r="Z25" t="s">
        <v>108</v>
      </c>
      <c r="AA25" t="s">
        <v>2280</v>
      </c>
      <c r="AB25" t="s">
        <v>106</v>
      </c>
    </row>
    <row r="26" spans="1:28" x14ac:dyDescent="0.3">
      <c r="A26" t="s">
        <v>1319</v>
      </c>
      <c r="B26">
        <v>4</v>
      </c>
      <c r="C26">
        <v>60</v>
      </c>
      <c r="D26">
        <v>12</v>
      </c>
      <c r="E26" t="s">
        <v>110</v>
      </c>
      <c r="F26" s="12">
        <v>45265</v>
      </c>
      <c r="G26" t="s">
        <v>408</v>
      </c>
      <c r="H26" s="12" t="s">
        <v>106</v>
      </c>
      <c r="I26" t="s">
        <v>106</v>
      </c>
      <c r="J26" t="s">
        <v>106</v>
      </c>
      <c r="L26">
        <v>64.7</v>
      </c>
      <c r="P26" t="s">
        <v>106</v>
      </c>
      <c r="Q26" t="s">
        <v>106</v>
      </c>
      <c r="R26" t="s">
        <v>106</v>
      </c>
      <c r="S26" t="s">
        <v>106</v>
      </c>
      <c r="T26" t="s">
        <v>2613</v>
      </c>
      <c r="U26" t="s">
        <v>106</v>
      </c>
      <c r="V26" t="s">
        <v>106</v>
      </c>
      <c r="W26" t="s">
        <v>1321</v>
      </c>
      <c r="X26" t="s">
        <v>106</v>
      </c>
      <c r="Y26" t="s">
        <v>108</v>
      </c>
      <c r="Z26" t="s">
        <v>104</v>
      </c>
      <c r="AA26" t="s">
        <v>1322</v>
      </c>
      <c r="AB26" t="s">
        <v>106</v>
      </c>
    </row>
    <row r="27" spans="1:28" x14ac:dyDescent="0.3">
      <c r="A27" t="s">
        <v>1319</v>
      </c>
      <c r="B27">
        <v>4</v>
      </c>
      <c r="C27">
        <v>60</v>
      </c>
      <c r="D27">
        <v>5</v>
      </c>
      <c r="E27" t="s">
        <v>308</v>
      </c>
      <c r="F27" s="12">
        <v>45265</v>
      </c>
      <c r="G27" t="s">
        <v>388</v>
      </c>
      <c r="H27" s="12" t="s">
        <v>106</v>
      </c>
      <c r="I27" t="s">
        <v>106</v>
      </c>
      <c r="J27" t="s">
        <v>106</v>
      </c>
      <c r="L27">
        <v>60.4</v>
      </c>
      <c r="P27" t="s">
        <v>106</v>
      </c>
      <c r="Q27" t="s">
        <v>106</v>
      </c>
      <c r="R27" t="s">
        <v>106</v>
      </c>
      <c r="S27" t="s">
        <v>1744</v>
      </c>
      <c r="T27" t="s">
        <v>882</v>
      </c>
      <c r="U27" t="s">
        <v>106</v>
      </c>
      <c r="V27" t="s">
        <v>106</v>
      </c>
      <c r="W27" t="s">
        <v>1321</v>
      </c>
      <c r="X27" t="s">
        <v>106</v>
      </c>
      <c r="Y27" t="s">
        <v>108</v>
      </c>
      <c r="Z27" t="s">
        <v>104</v>
      </c>
      <c r="AA27" t="s">
        <v>1322</v>
      </c>
      <c r="AB27" t="s">
        <v>106</v>
      </c>
    </row>
    <row r="28" spans="1:28" x14ac:dyDescent="0.3">
      <c r="A28" t="s">
        <v>1319</v>
      </c>
      <c r="B28">
        <v>4</v>
      </c>
      <c r="C28">
        <v>60</v>
      </c>
      <c r="D28">
        <v>11</v>
      </c>
      <c r="E28" t="s">
        <v>110</v>
      </c>
      <c r="F28" s="12">
        <v>45265</v>
      </c>
      <c r="G28" t="s">
        <v>577</v>
      </c>
      <c r="H28" s="12" t="s">
        <v>106</v>
      </c>
      <c r="I28" t="s">
        <v>106</v>
      </c>
      <c r="J28" t="s">
        <v>106</v>
      </c>
      <c r="L28">
        <v>62.2</v>
      </c>
      <c r="P28" t="s">
        <v>106</v>
      </c>
      <c r="Q28" t="s">
        <v>106</v>
      </c>
      <c r="R28" t="s">
        <v>106</v>
      </c>
      <c r="S28" t="s">
        <v>1541</v>
      </c>
      <c r="T28" t="s">
        <v>2614</v>
      </c>
      <c r="U28" t="s">
        <v>106</v>
      </c>
      <c r="V28" t="s">
        <v>106</v>
      </c>
      <c r="W28" t="s">
        <v>1321</v>
      </c>
      <c r="X28" t="s">
        <v>106</v>
      </c>
      <c r="Y28" t="s">
        <v>108</v>
      </c>
      <c r="Z28" t="s">
        <v>104</v>
      </c>
      <c r="AA28" t="s">
        <v>1322</v>
      </c>
      <c r="AB28" t="s">
        <v>106</v>
      </c>
    </row>
    <row r="29" spans="1:28" x14ac:dyDescent="0.3">
      <c r="A29" t="s">
        <v>1319</v>
      </c>
      <c r="B29">
        <v>4</v>
      </c>
      <c r="C29">
        <v>60</v>
      </c>
      <c r="D29">
        <v>6</v>
      </c>
      <c r="E29" t="s">
        <v>308</v>
      </c>
      <c r="F29" s="12">
        <v>45265</v>
      </c>
      <c r="G29" t="s">
        <v>387</v>
      </c>
      <c r="H29" s="12" t="s">
        <v>106</v>
      </c>
      <c r="I29" t="s">
        <v>106</v>
      </c>
      <c r="J29" t="s">
        <v>106</v>
      </c>
      <c r="L29">
        <v>59.4</v>
      </c>
      <c r="P29" t="s">
        <v>106</v>
      </c>
      <c r="Q29" t="s">
        <v>106</v>
      </c>
      <c r="R29" t="s">
        <v>106</v>
      </c>
      <c r="S29" t="s">
        <v>106</v>
      </c>
      <c r="T29" t="s">
        <v>828</v>
      </c>
      <c r="U29" t="s">
        <v>106</v>
      </c>
      <c r="V29" t="s">
        <v>106</v>
      </c>
      <c r="W29" t="s">
        <v>1321</v>
      </c>
      <c r="X29" t="s">
        <v>106</v>
      </c>
      <c r="Y29" t="s">
        <v>108</v>
      </c>
      <c r="Z29" t="s">
        <v>104</v>
      </c>
      <c r="AA29" t="s">
        <v>1322</v>
      </c>
      <c r="AB29" t="s">
        <v>106</v>
      </c>
    </row>
    <row r="30" spans="1:28" x14ac:dyDescent="0.3">
      <c r="A30" t="s">
        <v>1314</v>
      </c>
      <c r="B30">
        <v>1</v>
      </c>
      <c r="C30">
        <v>0</v>
      </c>
      <c r="D30">
        <v>26</v>
      </c>
      <c r="E30" t="s">
        <v>128</v>
      </c>
      <c r="F30" s="12">
        <v>45299</v>
      </c>
      <c r="G30" t="s">
        <v>372</v>
      </c>
      <c r="H30" s="12">
        <v>45299</v>
      </c>
      <c r="I30" t="s">
        <v>595</v>
      </c>
      <c r="J30" t="s">
        <v>1324</v>
      </c>
      <c r="L30">
        <v>0.4</v>
      </c>
      <c r="P30" t="s">
        <v>106</v>
      </c>
      <c r="Q30" t="s">
        <v>106</v>
      </c>
      <c r="R30" t="s">
        <v>106</v>
      </c>
      <c r="S30" t="s">
        <v>1325</v>
      </c>
      <c r="T30" t="s">
        <v>1326</v>
      </c>
      <c r="U30" t="s">
        <v>106</v>
      </c>
      <c r="V30" t="s">
        <v>105</v>
      </c>
      <c r="W30" t="s">
        <v>1321</v>
      </c>
      <c r="X30" t="s">
        <v>106</v>
      </c>
      <c r="Y30" t="s">
        <v>108</v>
      </c>
      <c r="Z30" t="s">
        <v>105</v>
      </c>
      <c r="AA30" t="s">
        <v>438</v>
      </c>
      <c r="AB30" t="s">
        <v>106</v>
      </c>
    </row>
    <row r="31" spans="1:28" x14ac:dyDescent="0.3">
      <c r="A31" t="s">
        <v>1314</v>
      </c>
      <c r="B31">
        <v>1</v>
      </c>
      <c r="C31">
        <v>0</v>
      </c>
      <c r="D31">
        <v>27</v>
      </c>
      <c r="E31" t="s">
        <v>128</v>
      </c>
      <c r="F31" s="12">
        <v>45299</v>
      </c>
      <c r="G31" t="s">
        <v>1327</v>
      </c>
      <c r="H31" s="12">
        <v>45299</v>
      </c>
      <c r="I31" t="s">
        <v>595</v>
      </c>
      <c r="J31" t="s">
        <v>1324</v>
      </c>
      <c r="L31">
        <v>0.4</v>
      </c>
      <c r="P31" t="s">
        <v>106</v>
      </c>
      <c r="Q31" t="s">
        <v>106</v>
      </c>
      <c r="R31" t="s">
        <v>106</v>
      </c>
      <c r="S31" t="s">
        <v>106</v>
      </c>
      <c r="T31" t="s">
        <v>1328</v>
      </c>
      <c r="U31" t="s">
        <v>106</v>
      </c>
      <c r="V31" t="s">
        <v>105</v>
      </c>
      <c r="W31" t="s">
        <v>1321</v>
      </c>
      <c r="X31" t="s">
        <v>106</v>
      </c>
      <c r="Y31" t="s">
        <v>108</v>
      </c>
      <c r="Z31" t="s">
        <v>105</v>
      </c>
      <c r="AA31" t="s">
        <v>438</v>
      </c>
      <c r="AB31" t="s">
        <v>106</v>
      </c>
    </row>
    <row r="32" spans="1:28" x14ac:dyDescent="0.3">
      <c r="A32" t="s">
        <v>1314</v>
      </c>
      <c r="B32">
        <v>1</v>
      </c>
      <c r="C32">
        <v>0</v>
      </c>
      <c r="D32">
        <v>38</v>
      </c>
      <c r="E32" t="s">
        <v>128</v>
      </c>
      <c r="F32" s="12">
        <v>45299</v>
      </c>
      <c r="G32" t="s">
        <v>735</v>
      </c>
      <c r="H32" s="12">
        <v>45299</v>
      </c>
      <c r="I32" t="s">
        <v>449</v>
      </c>
      <c r="J32" t="s">
        <v>459</v>
      </c>
      <c r="L32">
        <v>0.4</v>
      </c>
      <c r="P32" t="s">
        <v>106</v>
      </c>
      <c r="Q32" t="s">
        <v>106</v>
      </c>
      <c r="R32" t="s">
        <v>106</v>
      </c>
      <c r="S32" t="s">
        <v>106</v>
      </c>
      <c r="T32" t="s">
        <v>721</v>
      </c>
      <c r="U32" t="s">
        <v>106</v>
      </c>
      <c r="V32" t="s">
        <v>105</v>
      </c>
      <c r="W32" t="s">
        <v>443</v>
      </c>
      <c r="X32" t="s">
        <v>106</v>
      </c>
      <c r="Y32" t="s">
        <v>108</v>
      </c>
      <c r="Z32" t="s">
        <v>105</v>
      </c>
      <c r="AA32" t="s">
        <v>438</v>
      </c>
      <c r="AB32" t="s">
        <v>106</v>
      </c>
    </row>
    <row r="33" spans="1:28" x14ac:dyDescent="0.3">
      <c r="A33" t="s">
        <v>1314</v>
      </c>
      <c r="B33">
        <v>1</v>
      </c>
      <c r="C33">
        <v>0</v>
      </c>
      <c r="D33">
        <v>37</v>
      </c>
      <c r="E33" t="s">
        <v>128</v>
      </c>
      <c r="F33" s="12">
        <v>45299</v>
      </c>
      <c r="G33" t="s">
        <v>735</v>
      </c>
      <c r="H33" s="12">
        <v>45299</v>
      </c>
      <c r="I33" t="s">
        <v>449</v>
      </c>
      <c r="J33" t="s">
        <v>459</v>
      </c>
      <c r="L33">
        <v>0.6</v>
      </c>
      <c r="P33" t="s">
        <v>106</v>
      </c>
      <c r="Q33" t="s">
        <v>106</v>
      </c>
      <c r="R33" t="s">
        <v>106</v>
      </c>
      <c r="S33" t="s">
        <v>1115</v>
      </c>
      <c r="T33" t="s">
        <v>1329</v>
      </c>
      <c r="U33" t="s">
        <v>106</v>
      </c>
      <c r="V33" t="s">
        <v>105</v>
      </c>
      <c r="W33" t="s">
        <v>443</v>
      </c>
      <c r="X33" t="s">
        <v>106</v>
      </c>
      <c r="Y33" t="s">
        <v>108</v>
      </c>
      <c r="Z33" t="s">
        <v>105</v>
      </c>
      <c r="AA33" t="s">
        <v>438</v>
      </c>
      <c r="AB33" t="s">
        <v>106</v>
      </c>
    </row>
    <row r="34" spans="1:28" x14ac:dyDescent="0.3">
      <c r="A34" t="s">
        <v>1314</v>
      </c>
      <c r="B34">
        <v>2</v>
      </c>
      <c r="C34">
        <v>15</v>
      </c>
      <c r="D34">
        <v>32</v>
      </c>
      <c r="E34" t="s">
        <v>128</v>
      </c>
      <c r="F34" s="12">
        <v>45299</v>
      </c>
      <c r="G34" t="s">
        <v>1250</v>
      </c>
      <c r="H34" s="12">
        <v>45299</v>
      </c>
      <c r="I34" t="s">
        <v>449</v>
      </c>
      <c r="J34" t="s">
        <v>459</v>
      </c>
      <c r="L34">
        <v>16.600000000000001</v>
      </c>
      <c r="P34" t="s">
        <v>106</v>
      </c>
      <c r="Q34" t="s">
        <v>106</v>
      </c>
      <c r="R34" t="s">
        <v>106</v>
      </c>
      <c r="S34" t="s">
        <v>106</v>
      </c>
      <c r="T34" t="s">
        <v>1673</v>
      </c>
      <c r="U34" t="s">
        <v>106</v>
      </c>
      <c r="V34" t="s">
        <v>105</v>
      </c>
      <c r="W34" t="s">
        <v>443</v>
      </c>
      <c r="X34" t="s">
        <v>106</v>
      </c>
      <c r="Y34" t="s">
        <v>108</v>
      </c>
      <c r="Z34" t="s">
        <v>109</v>
      </c>
      <c r="AA34" t="s">
        <v>1674</v>
      </c>
      <c r="AB34" t="s">
        <v>106</v>
      </c>
    </row>
    <row r="35" spans="1:28" x14ac:dyDescent="0.3">
      <c r="A35" t="s">
        <v>1314</v>
      </c>
      <c r="B35">
        <v>2</v>
      </c>
      <c r="C35">
        <v>15</v>
      </c>
      <c r="D35">
        <v>22</v>
      </c>
      <c r="E35" t="s">
        <v>128</v>
      </c>
      <c r="F35" s="12">
        <v>45299</v>
      </c>
      <c r="G35" t="s">
        <v>1421</v>
      </c>
      <c r="H35" s="12">
        <v>45299</v>
      </c>
      <c r="I35" t="s">
        <v>595</v>
      </c>
      <c r="J35" t="s">
        <v>1324</v>
      </c>
      <c r="L35">
        <v>17.2</v>
      </c>
      <c r="P35" t="s">
        <v>106</v>
      </c>
      <c r="Q35" t="s">
        <v>106</v>
      </c>
      <c r="R35" t="s">
        <v>106</v>
      </c>
      <c r="S35" t="s">
        <v>106</v>
      </c>
      <c r="T35" t="s">
        <v>1675</v>
      </c>
      <c r="U35" t="s">
        <v>1477</v>
      </c>
      <c r="V35" t="s">
        <v>105</v>
      </c>
      <c r="W35" t="s">
        <v>1321</v>
      </c>
      <c r="X35" t="s">
        <v>106</v>
      </c>
      <c r="Y35" t="s">
        <v>108</v>
      </c>
      <c r="Z35" t="s">
        <v>109</v>
      </c>
      <c r="AA35" t="s">
        <v>1674</v>
      </c>
      <c r="AB35" t="s">
        <v>1332</v>
      </c>
    </row>
    <row r="36" spans="1:28" x14ac:dyDescent="0.3">
      <c r="A36" t="s">
        <v>1314</v>
      </c>
      <c r="B36">
        <v>2</v>
      </c>
      <c r="C36">
        <v>15</v>
      </c>
      <c r="D36">
        <v>21</v>
      </c>
      <c r="E36" t="s">
        <v>128</v>
      </c>
      <c r="F36" s="12">
        <v>45299</v>
      </c>
      <c r="G36" t="s">
        <v>834</v>
      </c>
      <c r="H36" s="12">
        <v>45299</v>
      </c>
      <c r="I36" t="s">
        <v>595</v>
      </c>
      <c r="J36" t="s">
        <v>1324</v>
      </c>
      <c r="L36">
        <v>17</v>
      </c>
      <c r="P36" t="s">
        <v>106</v>
      </c>
      <c r="Q36" t="s">
        <v>106</v>
      </c>
      <c r="R36" t="s">
        <v>106</v>
      </c>
      <c r="S36" t="s">
        <v>1656</v>
      </c>
      <c r="T36" t="s">
        <v>504</v>
      </c>
      <c r="U36" t="s">
        <v>106</v>
      </c>
      <c r="V36" t="s">
        <v>105</v>
      </c>
      <c r="W36" t="s">
        <v>1321</v>
      </c>
      <c r="X36" t="s">
        <v>106</v>
      </c>
      <c r="Y36" t="s">
        <v>108</v>
      </c>
      <c r="Z36" t="s">
        <v>109</v>
      </c>
      <c r="AA36" t="s">
        <v>1674</v>
      </c>
      <c r="AB36" t="s">
        <v>106</v>
      </c>
    </row>
    <row r="37" spans="1:28" x14ac:dyDescent="0.3">
      <c r="A37" t="s">
        <v>1314</v>
      </c>
      <c r="B37">
        <v>2</v>
      </c>
      <c r="C37">
        <v>15</v>
      </c>
      <c r="D37">
        <v>23</v>
      </c>
      <c r="E37" t="s">
        <v>128</v>
      </c>
      <c r="F37" s="12">
        <v>45299</v>
      </c>
      <c r="G37" t="s">
        <v>1676</v>
      </c>
      <c r="H37" s="12">
        <v>45299</v>
      </c>
      <c r="I37" t="s">
        <v>595</v>
      </c>
      <c r="J37" t="s">
        <v>1324</v>
      </c>
      <c r="L37">
        <v>15.7</v>
      </c>
      <c r="P37" t="s">
        <v>106</v>
      </c>
      <c r="Q37" t="s">
        <v>106</v>
      </c>
      <c r="R37" t="s">
        <v>106</v>
      </c>
      <c r="S37" t="s">
        <v>106</v>
      </c>
      <c r="T37" t="s">
        <v>1364</v>
      </c>
      <c r="U37" t="s">
        <v>429</v>
      </c>
      <c r="V37" t="s">
        <v>105</v>
      </c>
      <c r="W37" t="s">
        <v>1321</v>
      </c>
      <c r="X37" t="s">
        <v>106</v>
      </c>
      <c r="Y37" t="s">
        <v>108</v>
      </c>
      <c r="Z37" t="s">
        <v>109</v>
      </c>
      <c r="AA37" t="s">
        <v>1674</v>
      </c>
      <c r="AB37" t="s">
        <v>106</v>
      </c>
    </row>
    <row r="38" spans="1:28" x14ac:dyDescent="0.3">
      <c r="A38" t="s">
        <v>1314</v>
      </c>
      <c r="B38">
        <v>2</v>
      </c>
      <c r="C38">
        <v>15</v>
      </c>
      <c r="D38">
        <v>31</v>
      </c>
      <c r="E38" t="s">
        <v>128</v>
      </c>
      <c r="F38" s="12">
        <v>45299</v>
      </c>
      <c r="G38" t="s">
        <v>571</v>
      </c>
      <c r="H38" s="12">
        <v>45299</v>
      </c>
      <c r="I38" t="s">
        <v>449</v>
      </c>
      <c r="J38" t="s">
        <v>459</v>
      </c>
      <c r="L38">
        <v>17.2</v>
      </c>
      <c r="P38" t="s">
        <v>106</v>
      </c>
      <c r="Q38" t="s">
        <v>106</v>
      </c>
      <c r="R38" t="s">
        <v>106</v>
      </c>
      <c r="S38" t="s">
        <v>1677</v>
      </c>
      <c r="T38" t="s">
        <v>774</v>
      </c>
      <c r="U38" t="s">
        <v>106</v>
      </c>
      <c r="V38" t="s">
        <v>105</v>
      </c>
      <c r="W38" t="s">
        <v>443</v>
      </c>
      <c r="X38" t="s">
        <v>106</v>
      </c>
      <c r="Y38" t="s">
        <v>108</v>
      </c>
      <c r="Z38" t="s">
        <v>109</v>
      </c>
      <c r="AA38" t="s">
        <v>1674</v>
      </c>
      <c r="AB38" t="s">
        <v>106</v>
      </c>
    </row>
    <row r="39" spans="1:28" x14ac:dyDescent="0.3">
      <c r="A39" t="s">
        <v>1314</v>
      </c>
      <c r="B39">
        <v>2</v>
      </c>
      <c r="C39">
        <v>15</v>
      </c>
      <c r="D39">
        <v>15</v>
      </c>
      <c r="E39" t="s">
        <v>308</v>
      </c>
      <c r="F39" s="12">
        <v>45299</v>
      </c>
      <c r="G39" t="s">
        <v>533</v>
      </c>
      <c r="H39" s="12" t="s">
        <v>106</v>
      </c>
      <c r="I39" t="s">
        <v>106</v>
      </c>
      <c r="J39" t="s">
        <v>106</v>
      </c>
      <c r="L39">
        <v>16.7</v>
      </c>
      <c r="P39" t="s">
        <v>106</v>
      </c>
      <c r="Q39" t="s">
        <v>106</v>
      </c>
      <c r="R39" t="s">
        <v>106</v>
      </c>
      <c r="S39" t="s">
        <v>1678</v>
      </c>
      <c r="T39" t="s">
        <v>860</v>
      </c>
      <c r="U39" t="s">
        <v>106</v>
      </c>
      <c r="V39" t="s">
        <v>105</v>
      </c>
      <c r="W39" t="s">
        <v>1321</v>
      </c>
      <c r="X39" t="s">
        <v>106</v>
      </c>
      <c r="Y39" t="s">
        <v>108</v>
      </c>
      <c r="Z39" t="s">
        <v>109</v>
      </c>
      <c r="AA39" t="s">
        <v>1674</v>
      </c>
      <c r="AB39" t="s">
        <v>106</v>
      </c>
    </row>
    <row r="40" spans="1:28" x14ac:dyDescent="0.3">
      <c r="A40" t="s">
        <v>1314</v>
      </c>
      <c r="B40">
        <v>2</v>
      </c>
      <c r="C40">
        <v>15</v>
      </c>
      <c r="D40">
        <v>16</v>
      </c>
      <c r="E40" t="s">
        <v>308</v>
      </c>
      <c r="F40" s="12">
        <v>45299</v>
      </c>
      <c r="G40" t="s">
        <v>533</v>
      </c>
      <c r="H40" s="12" t="s">
        <v>106</v>
      </c>
      <c r="I40" t="s">
        <v>106</v>
      </c>
      <c r="J40" t="s">
        <v>106</v>
      </c>
      <c r="L40">
        <v>15.5</v>
      </c>
      <c r="P40" t="s">
        <v>106</v>
      </c>
      <c r="Q40" t="s">
        <v>106</v>
      </c>
      <c r="R40" t="s">
        <v>106</v>
      </c>
      <c r="S40" t="s">
        <v>106</v>
      </c>
      <c r="T40" t="s">
        <v>776</v>
      </c>
      <c r="U40" t="s">
        <v>106</v>
      </c>
      <c r="V40" t="s">
        <v>105</v>
      </c>
      <c r="W40" t="s">
        <v>1321</v>
      </c>
      <c r="X40" t="s">
        <v>106</v>
      </c>
      <c r="Y40" t="s">
        <v>108</v>
      </c>
      <c r="Z40" t="s">
        <v>109</v>
      </c>
      <c r="AA40" t="s">
        <v>1674</v>
      </c>
      <c r="AB40" t="s">
        <v>106</v>
      </c>
    </row>
    <row r="41" spans="1:28" x14ac:dyDescent="0.3">
      <c r="A41" t="s">
        <v>1314</v>
      </c>
      <c r="B41">
        <v>3</v>
      </c>
      <c r="C41">
        <v>35</v>
      </c>
      <c r="D41">
        <v>17</v>
      </c>
      <c r="E41" t="s">
        <v>308</v>
      </c>
      <c r="F41" s="12">
        <v>45299</v>
      </c>
      <c r="G41" t="s">
        <v>531</v>
      </c>
      <c r="H41" s="12" t="s">
        <v>106</v>
      </c>
      <c r="I41" t="s">
        <v>106</v>
      </c>
      <c r="J41" t="s">
        <v>106</v>
      </c>
      <c r="L41">
        <v>38.4</v>
      </c>
      <c r="P41" t="s">
        <v>106</v>
      </c>
      <c r="Q41" t="s">
        <v>106</v>
      </c>
      <c r="R41" t="s">
        <v>106</v>
      </c>
      <c r="S41" t="s">
        <v>1744</v>
      </c>
      <c r="T41" t="s">
        <v>1438</v>
      </c>
      <c r="U41" t="s">
        <v>106</v>
      </c>
      <c r="V41" t="s">
        <v>105</v>
      </c>
      <c r="W41" t="s">
        <v>1321</v>
      </c>
      <c r="X41" t="s">
        <v>106</v>
      </c>
      <c r="Y41" t="s">
        <v>108</v>
      </c>
      <c r="Z41" t="s">
        <v>108</v>
      </c>
      <c r="AA41" t="s">
        <v>1674</v>
      </c>
      <c r="AB41" t="s">
        <v>106</v>
      </c>
    </row>
    <row r="42" spans="1:28" x14ac:dyDescent="0.3">
      <c r="A42" t="s">
        <v>1314</v>
      </c>
      <c r="B42">
        <v>3</v>
      </c>
      <c r="C42">
        <v>35</v>
      </c>
      <c r="D42">
        <v>18</v>
      </c>
      <c r="E42" t="s">
        <v>308</v>
      </c>
      <c r="F42" s="12">
        <v>45299</v>
      </c>
      <c r="G42" t="s">
        <v>462</v>
      </c>
      <c r="H42" s="12" t="s">
        <v>106</v>
      </c>
      <c r="I42" t="s">
        <v>106</v>
      </c>
      <c r="J42" t="s">
        <v>106</v>
      </c>
      <c r="L42">
        <v>38.200000000000003</v>
      </c>
      <c r="P42" t="s">
        <v>106</v>
      </c>
      <c r="Q42" t="s">
        <v>106</v>
      </c>
      <c r="R42" t="s">
        <v>106</v>
      </c>
      <c r="S42" t="s">
        <v>106</v>
      </c>
      <c r="T42" t="s">
        <v>1280</v>
      </c>
      <c r="U42" t="s">
        <v>106</v>
      </c>
      <c r="V42" t="s">
        <v>105</v>
      </c>
      <c r="W42" t="s">
        <v>1321</v>
      </c>
      <c r="X42" t="s">
        <v>106</v>
      </c>
      <c r="Y42" t="s">
        <v>108</v>
      </c>
      <c r="Z42" t="s">
        <v>108</v>
      </c>
      <c r="AA42" t="s">
        <v>1674</v>
      </c>
      <c r="AB42" t="s">
        <v>106</v>
      </c>
    </row>
    <row r="43" spans="1:28" x14ac:dyDescent="0.3">
      <c r="A43" t="s">
        <v>1314</v>
      </c>
      <c r="B43">
        <v>3</v>
      </c>
      <c r="C43">
        <v>35</v>
      </c>
      <c r="D43">
        <v>25</v>
      </c>
      <c r="E43" t="s">
        <v>128</v>
      </c>
      <c r="F43" s="12">
        <v>45299</v>
      </c>
      <c r="G43" t="s">
        <v>1233</v>
      </c>
      <c r="H43" s="12">
        <v>45299</v>
      </c>
      <c r="I43" t="s">
        <v>595</v>
      </c>
      <c r="J43" t="s">
        <v>1324</v>
      </c>
      <c r="L43">
        <v>37.9</v>
      </c>
      <c r="P43" t="s">
        <v>106</v>
      </c>
      <c r="Q43" t="s">
        <v>106</v>
      </c>
      <c r="R43" t="s">
        <v>106</v>
      </c>
      <c r="S43" t="s">
        <v>106</v>
      </c>
      <c r="T43" t="s">
        <v>629</v>
      </c>
      <c r="U43" t="s">
        <v>1479</v>
      </c>
      <c r="V43" t="s">
        <v>105</v>
      </c>
      <c r="W43" t="s">
        <v>1321</v>
      </c>
      <c r="X43" t="s">
        <v>106</v>
      </c>
      <c r="Y43" t="s">
        <v>108</v>
      </c>
      <c r="Z43" t="s">
        <v>108</v>
      </c>
      <c r="AA43" t="s">
        <v>1674</v>
      </c>
      <c r="AB43" t="s">
        <v>106</v>
      </c>
    </row>
    <row r="44" spans="1:28" x14ac:dyDescent="0.3">
      <c r="A44" t="s">
        <v>1314</v>
      </c>
      <c r="B44">
        <v>3</v>
      </c>
      <c r="C44">
        <v>35</v>
      </c>
      <c r="D44">
        <v>24</v>
      </c>
      <c r="E44" t="s">
        <v>128</v>
      </c>
      <c r="F44" s="12">
        <v>45299</v>
      </c>
      <c r="G44" t="s">
        <v>1233</v>
      </c>
      <c r="H44" s="12">
        <v>45299</v>
      </c>
      <c r="I44" t="s">
        <v>595</v>
      </c>
      <c r="J44" t="s">
        <v>1324</v>
      </c>
      <c r="L44">
        <v>38.700000000000003</v>
      </c>
      <c r="P44" t="s">
        <v>106</v>
      </c>
      <c r="Q44" t="s">
        <v>106</v>
      </c>
      <c r="R44" t="s">
        <v>106</v>
      </c>
      <c r="S44" t="s">
        <v>1703</v>
      </c>
      <c r="T44" t="s">
        <v>2285</v>
      </c>
      <c r="U44" t="s">
        <v>904</v>
      </c>
      <c r="V44" t="s">
        <v>105</v>
      </c>
      <c r="W44" t="s">
        <v>1321</v>
      </c>
      <c r="X44" t="s">
        <v>106</v>
      </c>
      <c r="Y44" t="s">
        <v>108</v>
      </c>
      <c r="Z44" t="s">
        <v>108</v>
      </c>
      <c r="AA44" t="s">
        <v>1674</v>
      </c>
      <c r="AB44" t="s">
        <v>106</v>
      </c>
    </row>
    <row r="45" spans="1:28" x14ac:dyDescent="0.3">
      <c r="A45" t="s">
        <v>1314</v>
      </c>
      <c r="B45">
        <v>3</v>
      </c>
      <c r="C45">
        <v>35</v>
      </c>
      <c r="D45">
        <v>33</v>
      </c>
      <c r="E45" t="s">
        <v>128</v>
      </c>
      <c r="F45" s="12">
        <v>45299</v>
      </c>
      <c r="G45" t="s">
        <v>1152</v>
      </c>
      <c r="H45" s="12">
        <v>45299</v>
      </c>
      <c r="I45" t="s">
        <v>449</v>
      </c>
      <c r="J45" t="s">
        <v>459</v>
      </c>
      <c r="L45">
        <v>35.9</v>
      </c>
      <c r="P45" t="s">
        <v>106</v>
      </c>
      <c r="Q45" t="s">
        <v>106</v>
      </c>
      <c r="R45" t="s">
        <v>106</v>
      </c>
      <c r="S45" t="s">
        <v>1488</v>
      </c>
      <c r="T45" t="s">
        <v>2286</v>
      </c>
      <c r="U45" t="s">
        <v>106</v>
      </c>
      <c r="V45" t="s">
        <v>105</v>
      </c>
      <c r="W45" t="s">
        <v>443</v>
      </c>
      <c r="X45" t="s">
        <v>106</v>
      </c>
      <c r="Y45" t="s">
        <v>108</v>
      </c>
      <c r="Z45" t="s">
        <v>108</v>
      </c>
      <c r="AA45" t="s">
        <v>1674</v>
      </c>
      <c r="AB45" t="s">
        <v>106</v>
      </c>
    </row>
    <row r="46" spans="1:28" x14ac:dyDescent="0.3">
      <c r="A46" t="s">
        <v>1314</v>
      </c>
      <c r="B46">
        <v>3</v>
      </c>
      <c r="C46">
        <v>35</v>
      </c>
      <c r="D46">
        <v>39</v>
      </c>
      <c r="E46" t="s">
        <v>128</v>
      </c>
      <c r="F46" s="12">
        <v>45299</v>
      </c>
      <c r="G46" t="s">
        <v>2104</v>
      </c>
      <c r="H46" s="12">
        <v>45299</v>
      </c>
      <c r="I46" t="s">
        <v>449</v>
      </c>
      <c r="J46" t="s">
        <v>459</v>
      </c>
      <c r="L46">
        <v>38.700000000000003</v>
      </c>
      <c r="P46" t="s">
        <v>106</v>
      </c>
      <c r="Q46" t="s">
        <v>106</v>
      </c>
      <c r="R46" t="s">
        <v>106</v>
      </c>
      <c r="S46" t="s">
        <v>106</v>
      </c>
      <c r="T46" t="s">
        <v>721</v>
      </c>
      <c r="U46" t="s">
        <v>106</v>
      </c>
      <c r="V46" t="s">
        <v>105</v>
      </c>
      <c r="W46" t="s">
        <v>443</v>
      </c>
      <c r="X46" t="s">
        <v>106</v>
      </c>
      <c r="Y46" t="s">
        <v>108</v>
      </c>
      <c r="Z46" t="s">
        <v>108</v>
      </c>
      <c r="AA46" t="s">
        <v>1674</v>
      </c>
      <c r="AB46" t="s">
        <v>106</v>
      </c>
    </row>
    <row r="47" spans="1:28" x14ac:dyDescent="0.3">
      <c r="A47" t="s">
        <v>1314</v>
      </c>
      <c r="B47">
        <v>3</v>
      </c>
      <c r="C47">
        <v>35</v>
      </c>
      <c r="D47">
        <v>34</v>
      </c>
      <c r="E47" t="s">
        <v>128</v>
      </c>
      <c r="F47" s="12">
        <v>45299</v>
      </c>
      <c r="G47" t="s">
        <v>1157</v>
      </c>
      <c r="H47" s="12">
        <v>45299</v>
      </c>
      <c r="I47" t="s">
        <v>449</v>
      </c>
      <c r="J47" t="s">
        <v>459</v>
      </c>
      <c r="L47">
        <v>39.799999999999997</v>
      </c>
      <c r="P47" t="s">
        <v>106</v>
      </c>
      <c r="Q47" t="s">
        <v>106</v>
      </c>
      <c r="R47" t="s">
        <v>106</v>
      </c>
      <c r="S47" t="s">
        <v>106</v>
      </c>
      <c r="T47" t="s">
        <v>624</v>
      </c>
      <c r="U47" t="s">
        <v>106</v>
      </c>
      <c r="V47" t="s">
        <v>105</v>
      </c>
      <c r="W47" t="s">
        <v>443</v>
      </c>
      <c r="X47" t="s">
        <v>106</v>
      </c>
      <c r="Y47" t="s">
        <v>108</v>
      </c>
      <c r="Z47" t="s">
        <v>108</v>
      </c>
      <c r="AA47" t="s">
        <v>1674</v>
      </c>
      <c r="AB47" t="s">
        <v>106</v>
      </c>
    </row>
    <row r="48" spans="1:28" x14ac:dyDescent="0.3">
      <c r="A48" t="s">
        <v>1314</v>
      </c>
      <c r="B48">
        <v>4</v>
      </c>
      <c r="C48">
        <v>60</v>
      </c>
      <c r="D48">
        <v>35</v>
      </c>
      <c r="E48" t="s">
        <v>128</v>
      </c>
      <c r="F48" s="12">
        <v>45299</v>
      </c>
      <c r="G48" t="s">
        <v>1258</v>
      </c>
      <c r="H48" s="12">
        <v>45299</v>
      </c>
      <c r="I48" t="s">
        <v>449</v>
      </c>
      <c r="J48" t="s">
        <v>459</v>
      </c>
      <c r="L48">
        <v>64.7</v>
      </c>
      <c r="P48" t="s">
        <v>106</v>
      </c>
      <c r="Q48" t="s">
        <v>106</v>
      </c>
      <c r="R48" t="s">
        <v>106</v>
      </c>
      <c r="S48" t="s">
        <v>1541</v>
      </c>
      <c r="T48" t="s">
        <v>2615</v>
      </c>
      <c r="U48" t="s">
        <v>106</v>
      </c>
      <c r="V48" t="s">
        <v>105</v>
      </c>
      <c r="W48" t="s">
        <v>443</v>
      </c>
      <c r="X48" t="s">
        <v>106</v>
      </c>
      <c r="Y48" t="s">
        <v>108</v>
      </c>
      <c r="Z48" t="s">
        <v>104</v>
      </c>
      <c r="AA48" t="s">
        <v>1674</v>
      </c>
      <c r="AB48" t="s">
        <v>106</v>
      </c>
    </row>
    <row r="49" spans="1:28" x14ac:dyDescent="0.3">
      <c r="A49" t="s">
        <v>1314</v>
      </c>
      <c r="B49">
        <v>4</v>
      </c>
      <c r="C49">
        <v>60</v>
      </c>
      <c r="D49">
        <v>30</v>
      </c>
      <c r="E49" t="s">
        <v>128</v>
      </c>
      <c r="F49" s="12">
        <v>45299</v>
      </c>
      <c r="G49" t="s">
        <v>1240</v>
      </c>
      <c r="H49" s="12">
        <v>45299</v>
      </c>
      <c r="I49" t="s">
        <v>595</v>
      </c>
      <c r="J49" t="s">
        <v>1324</v>
      </c>
      <c r="L49">
        <v>64</v>
      </c>
      <c r="P49" t="s">
        <v>106</v>
      </c>
      <c r="Q49" t="s">
        <v>106</v>
      </c>
      <c r="R49" t="s">
        <v>106</v>
      </c>
      <c r="S49" t="s">
        <v>106</v>
      </c>
      <c r="T49" t="s">
        <v>666</v>
      </c>
      <c r="U49" t="s">
        <v>106</v>
      </c>
      <c r="V49" t="s">
        <v>105</v>
      </c>
      <c r="W49" t="s">
        <v>1321</v>
      </c>
      <c r="X49" t="s">
        <v>106</v>
      </c>
      <c r="Y49" t="s">
        <v>108</v>
      </c>
      <c r="Z49" t="s">
        <v>104</v>
      </c>
      <c r="AA49" t="s">
        <v>1674</v>
      </c>
      <c r="AB49" t="s">
        <v>106</v>
      </c>
    </row>
    <row r="50" spans="1:28" x14ac:dyDescent="0.3">
      <c r="A50" t="s">
        <v>1314</v>
      </c>
      <c r="B50">
        <v>4</v>
      </c>
      <c r="C50">
        <v>60</v>
      </c>
      <c r="D50">
        <v>20</v>
      </c>
      <c r="E50" t="s">
        <v>308</v>
      </c>
      <c r="F50" s="12">
        <v>45299</v>
      </c>
      <c r="G50" t="s">
        <v>462</v>
      </c>
      <c r="H50" s="12" t="s">
        <v>106</v>
      </c>
      <c r="I50" t="s">
        <v>106</v>
      </c>
      <c r="J50" t="s">
        <v>106</v>
      </c>
      <c r="L50">
        <v>61.4</v>
      </c>
      <c r="P50" t="s">
        <v>106</v>
      </c>
      <c r="Q50" t="s">
        <v>106</v>
      </c>
      <c r="R50" t="s">
        <v>106</v>
      </c>
      <c r="S50" t="s">
        <v>106</v>
      </c>
      <c r="T50" t="s">
        <v>981</v>
      </c>
      <c r="U50" t="s">
        <v>106</v>
      </c>
      <c r="V50" t="s">
        <v>105</v>
      </c>
      <c r="W50" t="s">
        <v>1321</v>
      </c>
      <c r="X50" t="s">
        <v>106</v>
      </c>
      <c r="Y50" t="s">
        <v>108</v>
      </c>
      <c r="Z50" t="s">
        <v>104</v>
      </c>
      <c r="AA50" t="s">
        <v>1674</v>
      </c>
      <c r="AB50" t="s">
        <v>106</v>
      </c>
    </row>
    <row r="51" spans="1:28" x14ac:dyDescent="0.3">
      <c r="A51" t="s">
        <v>1314</v>
      </c>
      <c r="B51">
        <v>4</v>
      </c>
      <c r="C51">
        <v>60</v>
      </c>
      <c r="D51">
        <v>28</v>
      </c>
      <c r="E51" t="s">
        <v>128</v>
      </c>
      <c r="F51" s="12">
        <v>45299</v>
      </c>
      <c r="G51" t="s">
        <v>1240</v>
      </c>
      <c r="H51" s="12">
        <v>45299</v>
      </c>
      <c r="I51" t="s">
        <v>595</v>
      </c>
      <c r="J51" t="s">
        <v>1324</v>
      </c>
      <c r="L51">
        <v>63.9</v>
      </c>
      <c r="P51" t="s">
        <v>106</v>
      </c>
      <c r="Q51" t="s">
        <v>106</v>
      </c>
      <c r="R51" t="s">
        <v>106</v>
      </c>
      <c r="S51" t="s">
        <v>1036</v>
      </c>
      <c r="T51" t="s">
        <v>2616</v>
      </c>
      <c r="U51" t="s">
        <v>106</v>
      </c>
      <c r="V51" t="s">
        <v>105</v>
      </c>
      <c r="W51" t="s">
        <v>1321</v>
      </c>
      <c r="X51" t="s">
        <v>106</v>
      </c>
      <c r="Y51" t="s">
        <v>108</v>
      </c>
      <c r="Z51" t="s">
        <v>104</v>
      </c>
      <c r="AA51" t="s">
        <v>1674</v>
      </c>
      <c r="AB51" t="s">
        <v>106</v>
      </c>
    </row>
    <row r="52" spans="1:28" x14ac:dyDescent="0.3">
      <c r="A52" t="s">
        <v>1314</v>
      </c>
      <c r="B52">
        <v>4</v>
      </c>
      <c r="C52">
        <v>60</v>
      </c>
      <c r="D52">
        <v>29</v>
      </c>
      <c r="E52" t="s">
        <v>128</v>
      </c>
      <c r="F52" s="12">
        <v>45299</v>
      </c>
      <c r="G52" t="s">
        <v>1240</v>
      </c>
      <c r="H52" s="12">
        <v>45299</v>
      </c>
      <c r="I52" t="s">
        <v>595</v>
      </c>
      <c r="J52" t="s">
        <v>1324</v>
      </c>
      <c r="L52">
        <v>65.099999999999994</v>
      </c>
      <c r="P52" t="s">
        <v>106</v>
      </c>
      <c r="Q52" t="s">
        <v>106</v>
      </c>
      <c r="R52" t="s">
        <v>106</v>
      </c>
      <c r="S52" t="s">
        <v>106</v>
      </c>
      <c r="T52" t="s">
        <v>793</v>
      </c>
      <c r="U52" t="s">
        <v>106</v>
      </c>
      <c r="V52" t="s">
        <v>105</v>
      </c>
      <c r="W52" t="s">
        <v>1321</v>
      </c>
      <c r="X52" t="s">
        <v>106</v>
      </c>
      <c r="Y52" t="s">
        <v>108</v>
      </c>
      <c r="Z52" t="s">
        <v>104</v>
      </c>
      <c r="AA52" t="s">
        <v>1674</v>
      </c>
      <c r="AB52" t="s">
        <v>106</v>
      </c>
    </row>
    <row r="53" spans="1:28" x14ac:dyDescent="0.3">
      <c r="A53" t="s">
        <v>1314</v>
      </c>
      <c r="B53">
        <v>4</v>
      </c>
      <c r="C53">
        <v>60</v>
      </c>
      <c r="D53">
        <v>19</v>
      </c>
      <c r="E53" t="s">
        <v>308</v>
      </c>
      <c r="F53" s="12">
        <v>45299</v>
      </c>
      <c r="G53" t="s">
        <v>462</v>
      </c>
      <c r="H53" s="12" t="s">
        <v>106</v>
      </c>
      <c r="I53" t="s">
        <v>106</v>
      </c>
      <c r="J53" t="s">
        <v>106</v>
      </c>
      <c r="L53">
        <v>62.7</v>
      </c>
      <c r="P53" t="s">
        <v>106</v>
      </c>
      <c r="Q53" t="s">
        <v>106</v>
      </c>
      <c r="R53" t="s">
        <v>106</v>
      </c>
      <c r="S53" t="s">
        <v>974</v>
      </c>
      <c r="T53" t="s">
        <v>1425</v>
      </c>
      <c r="U53" t="s">
        <v>106</v>
      </c>
      <c r="V53" t="s">
        <v>105</v>
      </c>
      <c r="W53" t="s">
        <v>1321</v>
      </c>
      <c r="X53" t="s">
        <v>106</v>
      </c>
      <c r="Y53" t="s">
        <v>108</v>
      </c>
      <c r="Z53" t="s">
        <v>104</v>
      </c>
      <c r="AA53" t="s">
        <v>1674</v>
      </c>
      <c r="AB53" t="s">
        <v>106</v>
      </c>
    </row>
    <row r="54" spans="1:28" x14ac:dyDescent="0.3">
      <c r="A54" t="s">
        <v>1314</v>
      </c>
      <c r="B54">
        <v>4</v>
      </c>
      <c r="C54">
        <v>60</v>
      </c>
      <c r="D54">
        <v>36</v>
      </c>
      <c r="E54" t="s">
        <v>128</v>
      </c>
      <c r="F54" s="12">
        <v>45299</v>
      </c>
      <c r="G54" t="s">
        <v>1815</v>
      </c>
      <c r="H54" s="12">
        <v>45299</v>
      </c>
      <c r="I54" t="s">
        <v>449</v>
      </c>
      <c r="J54" t="s">
        <v>459</v>
      </c>
      <c r="L54">
        <v>64.599999999999994</v>
      </c>
      <c r="P54" t="s">
        <v>106</v>
      </c>
      <c r="Q54" t="s">
        <v>106</v>
      </c>
      <c r="R54" t="s">
        <v>106</v>
      </c>
      <c r="S54" t="s">
        <v>106</v>
      </c>
      <c r="T54" t="s">
        <v>2617</v>
      </c>
      <c r="U54" t="s">
        <v>106</v>
      </c>
      <c r="V54" t="s">
        <v>105</v>
      </c>
      <c r="W54" t="s">
        <v>443</v>
      </c>
      <c r="X54" t="s">
        <v>106</v>
      </c>
      <c r="Y54" t="s">
        <v>108</v>
      </c>
      <c r="Z54" t="s">
        <v>104</v>
      </c>
      <c r="AA54" t="s">
        <v>1674</v>
      </c>
      <c r="AB54" t="s">
        <v>106</v>
      </c>
    </row>
    <row r="55" spans="1:28" x14ac:dyDescent="0.3">
      <c r="A55" t="s">
        <v>1319</v>
      </c>
      <c r="B55">
        <v>1</v>
      </c>
      <c r="C55">
        <v>0</v>
      </c>
      <c r="D55">
        <v>22</v>
      </c>
      <c r="E55" t="s">
        <v>128</v>
      </c>
      <c r="F55" s="12">
        <v>45300</v>
      </c>
      <c r="G55" t="s">
        <v>869</v>
      </c>
      <c r="H55" s="12">
        <v>45299</v>
      </c>
      <c r="I55" t="s">
        <v>1330</v>
      </c>
      <c r="J55" t="s">
        <v>459</v>
      </c>
      <c r="L55">
        <v>0.4</v>
      </c>
      <c r="P55" t="s">
        <v>106</v>
      </c>
      <c r="Q55" t="s">
        <v>106</v>
      </c>
      <c r="R55" t="s">
        <v>106</v>
      </c>
      <c r="S55" t="s">
        <v>106</v>
      </c>
      <c r="T55" t="s">
        <v>1331</v>
      </c>
      <c r="U55" t="s">
        <v>106</v>
      </c>
      <c r="V55" t="s">
        <v>106</v>
      </c>
      <c r="W55" t="s">
        <v>1321</v>
      </c>
      <c r="X55" t="s">
        <v>106</v>
      </c>
      <c r="Y55" t="s">
        <v>108</v>
      </c>
      <c r="Z55" t="s">
        <v>105</v>
      </c>
      <c r="AA55" t="s">
        <v>438</v>
      </c>
      <c r="AB55" t="s">
        <v>106</v>
      </c>
    </row>
    <row r="56" spans="1:28" x14ac:dyDescent="0.3">
      <c r="A56" t="s">
        <v>1319</v>
      </c>
      <c r="B56">
        <v>1</v>
      </c>
      <c r="C56">
        <v>0</v>
      </c>
      <c r="D56">
        <v>21</v>
      </c>
      <c r="E56" t="s">
        <v>128</v>
      </c>
      <c r="F56" s="12">
        <v>45300</v>
      </c>
      <c r="G56" t="s">
        <v>869</v>
      </c>
      <c r="H56" s="12">
        <v>45299</v>
      </c>
      <c r="I56" t="s">
        <v>1330</v>
      </c>
      <c r="J56" t="s">
        <v>459</v>
      </c>
      <c r="L56">
        <v>0.4</v>
      </c>
      <c r="P56" t="s">
        <v>106</v>
      </c>
      <c r="Q56" t="s">
        <v>106</v>
      </c>
      <c r="R56" t="s">
        <v>106</v>
      </c>
      <c r="S56" t="s">
        <v>1104</v>
      </c>
      <c r="T56" t="s">
        <v>600</v>
      </c>
      <c r="U56" t="s">
        <v>106</v>
      </c>
      <c r="V56" t="s">
        <v>106</v>
      </c>
      <c r="W56" t="s">
        <v>1321</v>
      </c>
      <c r="X56" t="s">
        <v>106</v>
      </c>
      <c r="Y56" t="s">
        <v>108</v>
      </c>
      <c r="Z56" t="s">
        <v>105</v>
      </c>
      <c r="AA56" t="s">
        <v>438</v>
      </c>
      <c r="AB56" t="s">
        <v>1332</v>
      </c>
    </row>
    <row r="57" spans="1:28" x14ac:dyDescent="0.3">
      <c r="A57" t="s">
        <v>1319</v>
      </c>
      <c r="B57">
        <v>1</v>
      </c>
      <c r="C57">
        <v>0</v>
      </c>
      <c r="D57">
        <v>29</v>
      </c>
      <c r="E57" t="s">
        <v>128</v>
      </c>
      <c r="F57" s="12">
        <v>45300</v>
      </c>
      <c r="G57" t="s">
        <v>520</v>
      </c>
      <c r="H57" s="12">
        <v>45300</v>
      </c>
      <c r="I57" t="s">
        <v>1333</v>
      </c>
      <c r="J57" t="s">
        <v>1334</v>
      </c>
      <c r="L57">
        <v>0.6</v>
      </c>
      <c r="P57" t="s">
        <v>106</v>
      </c>
      <c r="Q57" t="s">
        <v>106</v>
      </c>
      <c r="R57" t="s">
        <v>106</v>
      </c>
      <c r="S57" t="s">
        <v>1335</v>
      </c>
      <c r="T57" t="s">
        <v>649</v>
      </c>
      <c r="U57" t="s">
        <v>106</v>
      </c>
      <c r="V57" t="s">
        <v>106</v>
      </c>
      <c r="W57" t="s">
        <v>1321</v>
      </c>
      <c r="X57" t="s">
        <v>106</v>
      </c>
      <c r="Y57" t="s">
        <v>108</v>
      </c>
      <c r="Z57" t="s">
        <v>105</v>
      </c>
      <c r="AA57" t="s">
        <v>438</v>
      </c>
      <c r="AB57" t="s">
        <v>1332</v>
      </c>
    </row>
    <row r="58" spans="1:28" x14ac:dyDescent="0.3">
      <c r="A58" t="s">
        <v>1319</v>
      </c>
      <c r="B58">
        <v>1</v>
      </c>
      <c r="C58">
        <v>0</v>
      </c>
      <c r="D58">
        <v>30</v>
      </c>
      <c r="E58" t="s">
        <v>128</v>
      </c>
      <c r="F58" s="12">
        <v>45300</v>
      </c>
      <c r="G58" t="s">
        <v>317</v>
      </c>
      <c r="H58" s="12">
        <v>45300</v>
      </c>
      <c r="I58" t="s">
        <v>1333</v>
      </c>
      <c r="J58" t="s">
        <v>1334</v>
      </c>
      <c r="L58">
        <v>0.7</v>
      </c>
      <c r="P58" t="s">
        <v>106</v>
      </c>
      <c r="Q58" t="s">
        <v>106</v>
      </c>
      <c r="R58" t="s">
        <v>106</v>
      </c>
      <c r="S58" t="s">
        <v>106</v>
      </c>
      <c r="T58" t="s">
        <v>118</v>
      </c>
      <c r="U58" t="s">
        <v>106</v>
      </c>
      <c r="V58" t="s">
        <v>106</v>
      </c>
      <c r="W58" t="s">
        <v>1321</v>
      </c>
      <c r="X58" t="s">
        <v>106</v>
      </c>
      <c r="Y58" t="s">
        <v>108</v>
      </c>
      <c r="Z58" t="s">
        <v>105</v>
      </c>
      <c r="AA58" t="s">
        <v>438</v>
      </c>
      <c r="AB58" t="s">
        <v>106</v>
      </c>
    </row>
    <row r="59" spans="1:28" x14ac:dyDescent="0.3">
      <c r="A59" t="s">
        <v>1319</v>
      </c>
      <c r="B59">
        <v>2</v>
      </c>
      <c r="C59">
        <v>15</v>
      </c>
      <c r="D59">
        <v>15</v>
      </c>
      <c r="E59" t="s">
        <v>308</v>
      </c>
      <c r="F59" s="12">
        <v>45300</v>
      </c>
      <c r="G59" t="s">
        <v>790</v>
      </c>
      <c r="H59" s="12" t="s">
        <v>106</v>
      </c>
      <c r="I59" t="s">
        <v>106</v>
      </c>
      <c r="J59" t="s">
        <v>106</v>
      </c>
      <c r="L59">
        <v>12.8</v>
      </c>
      <c r="P59" t="s">
        <v>106</v>
      </c>
      <c r="Q59" t="s">
        <v>106</v>
      </c>
      <c r="R59" t="s">
        <v>106</v>
      </c>
      <c r="S59" t="s">
        <v>1514</v>
      </c>
      <c r="T59" t="s">
        <v>727</v>
      </c>
      <c r="U59" t="s">
        <v>106</v>
      </c>
      <c r="V59" t="s">
        <v>106</v>
      </c>
      <c r="W59" t="s">
        <v>1321</v>
      </c>
      <c r="X59" t="s">
        <v>106</v>
      </c>
      <c r="Y59" t="s">
        <v>108</v>
      </c>
      <c r="Z59" t="s">
        <v>109</v>
      </c>
      <c r="AA59" t="s">
        <v>1679</v>
      </c>
      <c r="AB59" t="s">
        <v>1680</v>
      </c>
    </row>
    <row r="60" spans="1:28" x14ac:dyDescent="0.3">
      <c r="A60" t="s">
        <v>1319</v>
      </c>
      <c r="B60">
        <v>2</v>
      </c>
      <c r="C60">
        <v>15</v>
      </c>
      <c r="D60">
        <v>31</v>
      </c>
      <c r="E60" t="s">
        <v>128</v>
      </c>
      <c r="F60" s="12">
        <v>45300</v>
      </c>
      <c r="G60" t="s">
        <v>622</v>
      </c>
      <c r="H60" s="12">
        <v>45300</v>
      </c>
      <c r="I60" t="s">
        <v>1333</v>
      </c>
      <c r="J60" t="s">
        <v>1334</v>
      </c>
      <c r="L60">
        <v>16.399999999999999</v>
      </c>
      <c r="P60" t="s">
        <v>106</v>
      </c>
      <c r="Q60" t="s">
        <v>106</v>
      </c>
      <c r="R60" t="s">
        <v>106</v>
      </c>
      <c r="S60" t="s">
        <v>1681</v>
      </c>
      <c r="T60" t="s">
        <v>1682</v>
      </c>
      <c r="U60" t="s">
        <v>106</v>
      </c>
      <c r="V60" t="s">
        <v>106</v>
      </c>
      <c r="W60" t="s">
        <v>1321</v>
      </c>
      <c r="X60" t="s">
        <v>106</v>
      </c>
      <c r="Y60" t="s">
        <v>108</v>
      </c>
      <c r="Z60" t="s">
        <v>109</v>
      </c>
      <c r="AA60" t="s">
        <v>1679</v>
      </c>
      <c r="AB60" t="s">
        <v>106</v>
      </c>
    </row>
    <row r="61" spans="1:28" x14ac:dyDescent="0.3">
      <c r="A61" t="s">
        <v>1319</v>
      </c>
      <c r="B61">
        <v>2</v>
      </c>
      <c r="C61">
        <v>15</v>
      </c>
      <c r="D61">
        <v>32</v>
      </c>
      <c r="E61" t="s">
        <v>128</v>
      </c>
      <c r="F61" s="12">
        <v>45300</v>
      </c>
      <c r="G61" t="s">
        <v>397</v>
      </c>
      <c r="H61" s="12">
        <v>45300</v>
      </c>
      <c r="I61" t="s">
        <v>1333</v>
      </c>
      <c r="J61" t="s">
        <v>1334</v>
      </c>
      <c r="L61">
        <v>16</v>
      </c>
      <c r="P61" t="s">
        <v>106</v>
      </c>
      <c r="Q61" t="s">
        <v>106</v>
      </c>
      <c r="R61" t="s">
        <v>106</v>
      </c>
      <c r="S61" t="s">
        <v>106</v>
      </c>
      <c r="T61" t="s">
        <v>1683</v>
      </c>
      <c r="U61" t="s">
        <v>106</v>
      </c>
      <c r="V61" t="s">
        <v>106</v>
      </c>
      <c r="W61" t="s">
        <v>1321</v>
      </c>
      <c r="X61" t="s">
        <v>106</v>
      </c>
      <c r="Y61" t="s">
        <v>108</v>
      </c>
      <c r="Z61" t="s">
        <v>109</v>
      </c>
      <c r="AA61" t="s">
        <v>1679</v>
      </c>
      <c r="AB61" t="s">
        <v>106</v>
      </c>
    </row>
    <row r="62" spans="1:28" x14ac:dyDescent="0.3">
      <c r="A62" t="s">
        <v>1319</v>
      </c>
      <c r="B62">
        <v>2</v>
      </c>
      <c r="C62">
        <v>15</v>
      </c>
      <c r="D62">
        <v>23</v>
      </c>
      <c r="E62" t="s">
        <v>128</v>
      </c>
      <c r="F62" s="12">
        <v>45300</v>
      </c>
      <c r="G62" t="s">
        <v>524</v>
      </c>
      <c r="H62" s="12">
        <v>45299</v>
      </c>
      <c r="I62" t="s">
        <v>1330</v>
      </c>
      <c r="J62" t="s">
        <v>459</v>
      </c>
      <c r="L62">
        <v>16.2</v>
      </c>
      <c r="P62" t="s">
        <v>106</v>
      </c>
      <c r="Q62" t="s">
        <v>106</v>
      </c>
      <c r="R62" t="s">
        <v>106</v>
      </c>
      <c r="S62" t="s">
        <v>965</v>
      </c>
      <c r="T62" t="s">
        <v>1684</v>
      </c>
      <c r="U62" t="s">
        <v>106</v>
      </c>
      <c r="V62" t="s">
        <v>106</v>
      </c>
      <c r="W62" t="s">
        <v>1321</v>
      </c>
      <c r="X62" t="s">
        <v>106</v>
      </c>
      <c r="Y62" t="s">
        <v>108</v>
      </c>
      <c r="Z62" t="s">
        <v>109</v>
      </c>
      <c r="AA62" t="s">
        <v>1679</v>
      </c>
      <c r="AB62" t="s">
        <v>106</v>
      </c>
    </row>
    <row r="63" spans="1:28" x14ac:dyDescent="0.3">
      <c r="A63" t="s">
        <v>1319</v>
      </c>
      <c r="B63">
        <v>2</v>
      </c>
      <c r="C63">
        <v>15</v>
      </c>
      <c r="D63">
        <v>24</v>
      </c>
      <c r="E63" t="s">
        <v>128</v>
      </c>
      <c r="F63" s="12">
        <v>45300</v>
      </c>
      <c r="G63" t="s">
        <v>524</v>
      </c>
      <c r="H63" s="12">
        <v>45299</v>
      </c>
      <c r="I63" t="s">
        <v>1330</v>
      </c>
      <c r="J63" t="s">
        <v>459</v>
      </c>
      <c r="L63">
        <v>16.600000000000001</v>
      </c>
      <c r="P63" t="s">
        <v>106</v>
      </c>
      <c r="Q63" t="s">
        <v>106</v>
      </c>
      <c r="R63" t="s">
        <v>106</v>
      </c>
      <c r="S63" t="s">
        <v>106</v>
      </c>
      <c r="T63" t="s">
        <v>1685</v>
      </c>
      <c r="U63" t="s">
        <v>106</v>
      </c>
      <c r="V63" t="s">
        <v>106</v>
      </c>
      <c r="W63" t="s">
        <v>1321</v>
      </c>
      <c r="X63" t="s">
        <v>106</v>
      </c>
      <c r="Y63" t="s">
        <v>108</v>
      </c>
      <c r="Z63" t="s">
        <v>109</v>
      </c>
      <c r="AA63" t="s">
        <v>1679</v>
      </c>
      <c r="AB63" t="s">
        <v>106</v>
      </c>
    </row>
    <row r="64" spans="1:28" x14ac:dyDescent="0.3">
      <c r="A64" t="s">
        <v>1319</v>
      </c>
      <c r="B64">
        <v>2</v>
      </c>
      <c r="C64">
        <v>15</v>
      </c>
      <c r="D64">
        <v>16</v>
      </c>
      <c r="E64" t="s">
        <v>308</v>
      </c>
      <c r="F64" s="12">
        <v>45300</v>
      </c>
      <c r="G64" t="s">
        <v>503</v>
      </c>
      <c r="H64" s="12" t="s">
        <v>106</v>
      </c>
      <c r="I64" t="s">
        <v>106</v>
      </c>
      <c r="J64" t="s">
        <v>106</v>
      </c>
      <c r="L64">
        <v>14.2</v>
      </c>
      <c r="P64" t="s">
        <v>106</v>
      </c>
      <c r="Q64" t="s">
        <v>106</v>
      </c>
      <c r="R64" t="s">
        <v>106</v>
      </c>
      <c r="S64" t="s">
        <v>106</v>
      </c>
      <c r="T64" t="s">
        <v>855</v>
      </c>
      <c r="U64" t="s">
        <v>106</v>
      </c>
      <c r="V64" t="s">
        <v>106</v>
      </c>
      <c r="W64" t="s">
        <v>1321</v>
      </c>
      <c r="X64" t="s">
        <v>106</v>
      </c>
      <c r="Y64" t="s">
        <v>108</v>
      </c>
      <c r="Z64" t="s">
        <v>109</v>
      </c>
      <c r="AA64" t="s">
        <v>1679</v>
      </c>
      <c r="AB64" t="s">
        <v>1680</v>
      </c>
    </row>
    <row r="65" spans="1:28" x14ac:dyDescent="0.3">
      <c r="A65" t="s">
        <v>1319</v>
      </c>
      <c r="B65">
        <v>3</v>
      </c>
      <c r="C65">
        <v>35</v>
      </c>
      <c r="D65">
        <v>34</v>
      </c>
      <c r="E65" t="s">
        <v>128</v>
      </c>
      <c r="F65" s="12">
        <v>45300</v>
      </c>
      <c r="G65" t="s">
        <v>411</v>
      </c>
      <c r="H65" s="12">
        <v>45300</v>
      </c>
      <c r="I65" t="s">
        <v>1333</v>
      </c>
      <c r="J65" t="s">
        <v>1334</v>
      </c>
      <c r="L65">
        <v>37.700000000000003</v>
      </c>
      <c r="P65" t="s">
        <v>106</v>
      </c>
      <c r="Q65" t="s">
        <v>106</v>
      </c>
      <c r="R65" t="s">
        <v>106</v>
      </c>
      <c r="S65" t="s">
        <v>106</v>
      </c>
      <c r="T65" t="s">
        <v>597</v>
      </c>
      <c r="U65" t="s">
        <v>106</v>
      </c>
      <c r="V65" t="s">
        <v>106</v>
      </c>
      <c r="W65" t="s">
        <v>1321</v>
      </c>
      <c r="X65" t="s">
        <v>106</v>
      </c>
      <c r="Y65" t="s">
        <v>108</v>
      </c>
      <c r="Z65" t="s">
        <v>108</v>
      </c>
      <c r="AA65" t="s">
        <v>1679</v>
      </c>
      <c r="AB65" t="s">
        <v>106</v>
      </c>
    </row>
    <row r="66" spans="1:28" x14ac:dyDescent="0.3">
      <c r="A66" t="s">
        <v>1319</v>
      </c>
      <c r="B66">
        <v>3</v>
      </c>
      <c r="C66">
        <v>35</v>
      </c>
      <c r="D66">
        <v>33</v>
      </c>
      <c r="E66" t="s">
        <v>128</v>
      </c>
      <c r="F66" s="12">
        <v>45300</v>
      </c>
      <c r="G66" t="s">
        <v>387</v>
      </c>
      <c r="H66" s="12">
        <v>45300</v>
      </c>
      <c r="I66" t="s">
        <v>1333</v>
      </c>
      <c r="J66" t="s">
        <v>1334</v>
      </c>
      <c r="L66">
        <v>38</v>
      </c>
      <c r="P66" t="s">
        <v>106</v>
      </c>
      <c r="Q66" t="s">
        <v>106</v>
      </c>
      <c r="R66" t="s">
        <v>106</v>
      </c>
      <c r="S66" t="s">
        <v>1238</v>
      </c>
      <c r="T66" t="s">
        <v>2287</v>
      </c>
      <c r="U66" t="s">
        <v>106</v>
      </c>
      <c r="V66" t="s">
        <v>106</v>
      </c>
      <c r="W66" t="s">
        <v>1321</v>
      </c>
      <c r="X66" t="s">
        <v>106</v>
      </c>
      <c r="Y66" t="s">
        <v>108</v>
      </c>
      <c r="Z66" t="s">
        <v>108</v>
      </c>
      <c r="AA66" t="s">
        <v>1679</v>
      </c>
      <c r="AB66" t="s">
        <v>106</v>
      </c>
    </row>
    <row r="67" spans="1:28" x14ac:dyDescent="0.3">
      <c r="A67" t="s">
        <v>1319</v>
      </c>
      <c r="B67">
        <v>3</v>
      </c>
      <c r="C67">
        <v>35</v>
      </c>
      <c r="D67">
        <v>18</v>
      </c>
      <c r="E67" t="s">
        <v>308</v>
      </c>
      <c r="F67" s="12">
        <v>45300</v>
      </c>
      <c r="G67" t="s">
        <v>636</v>
      </c>
      <c r="H67" s="12" t="s">
        <v>106</v>
      </c>
      <c r="I67" t="s">
        <v>106</v>
      </c>
      <c r="J67" t="s">
        <v>106</v>
      </c>
      <c r="L67">
        <v>35.4</v>
      </c>
      <c r="P67" t="s">
        <v>106</v>
      </c>
      <c r="Q67" t="s">
        <v>106</v>
      </c>
      <c r="R67" t="s">
        <v>106</v>
      </c>
      <c r="S67" t="s">
        <v>106</v>
      </c>
      <c r="T67" t="s">
        <v>1661</v>
      </c>
      <c r="U67" t="s">
        <v>106</v>
      </c>
      <c r="V67" t="s">
        <v>106</v>
      </c>
      <c r="W67" t="s">
        <v>1321</v>
      </c>
      <c r="X67" t="s">
        <v>106</v>
      </c>
      <c r="Y67" t="s">
        <v>108</v>
      </c>
      <c r="Z67" t="s">
        <v>108</v>
      </c>
      <c r="AA67" t="s">
        <v>1679</v>
      </c>
      <c r="AB67" t="s">
        <v>1680</v>
      </c>
    </row>
    <row r="68" spans="1:28" x14ac:dyDescent="0.3">
      <c r="A68" t="s">
        <v>1319</v>
      </c>
      <c r="B68">
        <v>3</v>
      </c>
      <c r="C68">
        <v>35</v>
      </c>
      <c r="D68">
        <v>17</v>
      </c>
      <c r="E68" t="s">
        <v>308</v>
      </c>
      <c r="F68" s="12">
        <v>45300</v>
      </c>
      <c r="G68" t="s">
        <v>636</v>
      </c>
      <c r="H68" s="12" t="s">
        <v>106</v>
      </c>
      <c r="I68" t="s">
        <v>106</v>
      </c>
      <c r="J68" t="s">
        <v>106</v>
      </c>
      <c r="L68">
        <v>34.5</v>
      </c>
      <c r="P68" t="s">
        <v>106</v>
      </c>
      <c r="Q68" t="s">
        <v>106</v>
      </c>
      <c r="R68" t="s">
        <v>106</v>
      </c>
      <c r="S68" t="s">
        <v>2118</v>
      </c>
      <c r="T68" t="s">
        <v>599</v>
      </c>
      <c r="U68" t="s">
        <v>106</v>
      </c>
      <c r="V68" t="s">
        <v>106</v>
      </c>
      <c r="W68" t="s">
        <v>1321</v>
      </c>
      <c r="X68" t="s">
        <v>106</v>
      </c>
      <c r="Y68" t="s">
        <v>108</v>
      </c>
      <c r="Z68" t="s">
        <v>108</v>
      </c>
      <c r="AA68" t="s">
        <v>1679</v>
      </c>
      <c r="AB68" t="s">
        <v>1680</v>
      </c>
    </row>
    <row r="69" spans="1:28" x14ac:dyDescent="0.3">
      <c r="A69" t="s">
        <v>1319</v>
      </c>
      <c r="B69">
        <v>3</v>
      </c>
      <c r="C69">
        <v>35</v>
      </c>
      <c r="D69">
        <v>26</v>
      </c>
      <c r="E69" t="s">
        <v>128</v>
      </c>
      <c r="F69" s="12">
        <v>45300</v>
      </c>
      <c r="G69" t="s">
        <v>1746</v>
      </c>
      <c r="H69" s="12">
        <v>45299</v>
      </c>
      <c r="I69" t="s">
        <v>1330</v>
      </c>
      <c r="J69" t="s">
        <v>459</v>
      </c>
      <c r="L69">
        <v>38.6</v>
      </c>
      <c r="P69" t="s">
        <v>106</v>
      </c>
      <c r="Q69" t="s">
        <v>106</v>
      </c>
      <c r="R69" t="s">
        <v>106</v>
      </c>
      <c r="S69" t="s">
        <v>106</v>
      </c>
      <c r="T69" t="s">
        <v>2288</v>
      </c>
      <c r="U69" t="s">
        <v>106</v>
      </c>
      <c r="V69" t="s">
        <v>106</v>
      </c>
      <c r="W69" t="s">
        <v>1321</v>
      </c>
      <c r="X69" t="s">
        <v>106</v>
      </c>
      <c r="Y69" t="s">
        <v>108</v>
      </c>
      <c r="Z69" t="s">
        <v>108</v>
      </c>
      <c r="AA69" t="s">
        <v>1679</v>
      </c>
      <c r="AB69" t="s">
        <v>106</v>
      </c>
    </row>
    <row r="70" spans="1:28" x14ac:dyDescent="0.3">
      <c r="A70" t="s">
        <v>1319</v>
      </c>
      <c r="B70">
        <v>3</v>
      </c>
      <c r="C70">
        <v>35</v>
      </c>
      <c r="D70">
        <v>25</v>
      </c>
      <c r="E70" t="s">
        <v>128</v>
      </c>
      <c r="F70" s="12">
        <v>45300</v>
      </c>
      <c r="G70" t="s">
        <v>2289</v>
      </c>
      <c r="H70" s="12">
        <v>45299</v>
      </c>
      <c r="I70" t="s">
        <v>1330</v>
      </c>
      <c r="J70" t="s">
        <v>459</v>
      </c>
      <c r="L70">
        <v>36.4</v>
      </c>
      <c r="P70" t="s">
        <v>106</v>
      </c>
      <c r="Q70" t="s">
        <v>106</v>
      </c>
      <c r="R70" t="s">
        <v>106</v>
      </c>
      <c r="S70" t="s">
        <v>1197</v>
      </c>
      <c r="T70" t="s">
        <v>436</v>
      </c>
      <c r="U70" t="s">
        <v>106</v>
      </c>
      <c r="V70" t="s">
        <v>106</v>
      </c>
      <c r="W70" t="s">
        <v>1321</v>
      </c>
      <c r="X70" t="s">
        <v>106</v>
      </c>
      <c r="Y70" t="s">
        <v>108</v>
      </c>
      <c r="Z70" t="s">
        <v>108</v>
      </c>
      <c r="AA70" t="s">
        <v>1679</v>
      </c>
      <c r="AB70" t="s">
        <v>106</v>
      </c>
    </row>
    <row r="71" spans="1:28" x14ac:dyDescent="0.3">
      <c r="A71" t="s">
        <v>1319</v>
      </c>
      <c r="B71">
        <v>4</v>
      </c>
      <c r="C71">
        <v>60</v>
      </c>
      <c r="D71">
        <v>19</v>
      </c>
      <c r="E71" t="s">
        <v>308</v>
      </c>
      <c r="F71" s="12">
        <v>45300</v>
      </c>
      <c r="G71" t="s">
        <v>419</v>
      </c>
      <c r="H71" s="12" t="s">
        <v>106</v>
      </c>
      <c r="I71" t="s">
        <v>106</v>
      </c>
      <c r="J71" t="s">
        <v>106</v>
      </c>
      <c r="L71">
        <v>57.3</v>
      </c>
      <c r="P71" t="s">
        <v>106</v>
      </c>
      <c r="Q71" t="s">
        <v>106</v>
      </c>
      <c r="R71" t="s">
        <v>106</v>
      </c>
      <c r="S71" t="s">
        <v>106</v>
      </c>
      <c r="T71" t="s">
        <v>514</v>
      </c>
      <c r="U71" t="s">
        <v>106</v>
      </c>
      <c r="V71" t="s">
        <v>106</v>
      </c>
      <c r="W71" t="s">
        <v>1321</v>
      </c>
      <c r="X71" t="s">
        <v>106</v>
      </c>
      <c r="Y71" t="s">
        <v>108</v>
      </c>
      <c r="Z71" t="s">
        <v>104</v>
      </c>
      <c r="AA71" t="s">
        <v>1679</v>
      </c>
      <c r="AB71" t="s">
        <v>106</v>
      </c>
    </row>
    <row r="72" spans="1:28" x14ac:dyDescent="0.3">
      <c r="A72" t="s">
        <v>1319</v>
      </c>
      <c r="B72">
        <v>4</v>
      </c>
      <c r="C72">
        <v>60</v>
      </c>
      <c r="D72">
        <v>27</v>
      </c>
      <c r="E72" t="s">
        <v>128</v>
      </c>
      <c r="F72" s="12">
        <v>45300</v>
      </c>
      <c r="G72" t="s">
        <v>789</v>
      </c>
      <c r="H72" s="12">
        <v>45299</v>
      </c>
      <c r="I72" t="s">
        <v>1330</v>
      </c>
      <c r="J72" t="s">
        <v>459</v>
      </c>
      <c r="L72">
        <v>61.8</v>
      </c>
      <c r="P72" t="s">
        <v>106</v>
      </c>
      <c r="Q72" t="s">
        <v>106</v>
      </c>
      <c r="R72" t="s">
        <v>106</v>
      </c>
      <c r="S72" t="s">
        <v>970</v>
      </c>
      <c r="T72" t="s">
        <v>1675</v>
      </c>
      <c r="U72" t="s">
        <v>106</v>
      </c>
      <c r="V72" t="s">
        <v>106</v>
      </c>
      <c r="W72" t="s">
        <v>1321</v>
      </c>
      <c r="X72" t="s">
        <v>106</v>
      </c>
      <c r="Y72" t="s">
        <v>108</v>
      </c>
      <c r="Z72" t="s">
        <v>104</v>
      </c>
      <c r="AA72" t="s">
        <v>1679</v>
      </c>
      <c r="AB72" t="s">
        <v>106</v>
      </c>
    </row>
    <row r="73" spans="1:28" x14ac:dyDescent="0.3">
      <c r="A73" t="s">
        <v>1319</v>
      </c>
      <c r="B73">
        <v>4</v>
      </c>
      <c r="C73">
        <v>60</v>
      </c>
      <c r="D73">
        <v>28</v>
      </c>
      <c r="E73" t="s">
        <v>128</v>
      </c>
      <c r="F73" s="12">
        <v>45300</v>
      </c>
      <c r="G73" t="s">
        <v>789</v>
      </c>
      <c r="H73" s="12">
        <v>45299</v>
      </c>
      <c r="I73" t="s">
        <v>1330</v>
      </c>
      <c r="J73" t="s">
        <v>459</v>
      </c>
      <c r="L73">
        <v>62.6</v>
      </c>
      <c r="P73" t="s">
        <v>106</v>
      </c>
      <c r="Q73" t="s">
        <v>106</v>
      </c>
      <c r="R73" t="s">
        <v>106</v>
      </c>
      <c r="S73" t="s">
        <v>106</v>
      </c>
      <c r="T73" t="s">
        <v>2618</v>
      </c>
      <c r="U73" t="s">
        <v>106</v>
      </c>
      <c r="V73" t="s">
        <v>106</v>
      </c>
      <c r="W73" t="s">
        <v>1321</v>
      </c>
      <c r="X73" t="s">
        <v>106</v>
      </c>
      <c r="Y73" t="s">
        <v>108</v>
      </c>
      <c r="Z73" t="s">
        <v>104</v>
      </c>
      <c r="AA73" t="s">
        <v>1679</v>
      </c>
      <c r="AB73" t="s">
        <v>106</v>
      </c>
    </row>
    <row r="74" spans="1:28" x14ac:dyDescent="0.3">
      <c r="A74" t="s">
        <v>1319</v>
      </c>
      <c r="B74">
        <v>4</v>
      </c>
      <c r="C74">
        <v>60</v>
      </c>
      <c r="D74">
        <v>20</v>
      </c>
      <c r="E74" t="s">
        <v>308</v>
      </c>
      <c r="F74" s="12">
        <v>45300</v>
      </c>
      <c r="G74" t="s">
        <v>647</v>
      </c>
      <c r="H74" s="12" t="s">
        <v>106</v>
      </c>
      <c r="I74" t="s">
        <v>106</v>
      </c>
      <c r="J74" t="s">
        <v>106</v>
      </c>
      <c r="L74">
        <v>55.2</v>
      </c>
      <c r="P74" t="s">
        <v>106</v>
      </c>
      <c r="Q74" t="s">
        <v>106</v>
      </c>
      <c r="R74" t="s">
        <v>106</v>
      </c>
      <c r="S74" t="s">
        <v>1816</v>
      </c>
      <c r="T74" t="s">
        <v>1557</v>
      </c>
      <c r="U74" t="s">
        <v>106</v>
      </c>
      <c r="V74" t="s">
        <v>106</v>
      </c>
      <c r="W74" t="s">
        <v>1321</v>
      </c>
      <c r="X74" t="s">
        <v>106</v>
      </c>
      <c r="Y74" t="s">
        <v>108</v>
      </c>
      <c r="Z74" t="s">
        <v>104</v>
      </c>
      <c r="AA74" t="s">
        <v>1679</v>
      </c>
      <c r="AB74" t="s">
        <v>106</v>
      </c>
    </row>
    <row r="75" spans="1:28" x14ac:dyDescent="0.3">
      <c r="A75" t="s">
        <v>1319</v>
      </c>
      <c r="B75">
        <v>4</v>
      </c>
      <c r="C75">
        <v>60</v>
      </c>
      <c r="D75">
        <v>36</v>
      </c>
      <c r="E75" t="s">
        <v>128</v>
      </c>
      <c r="F75" s="12">
        <v>45300</v>
      </c>
      <c r="G75" t="s">
        <v>378</v>
      </c>
      <c r="H75" s="12">
        <v>45300</v>
      </c>
      <c r="I75" t="s">
        <v>1333</v>
      </c>
      <c r="J75" t="s">
        <v>1334</v>
      </c>
      <c r="L75">
        <v>63.4</v>
      </c>
      <c r="P75" t="s">
        <v>106</v>
      </c>
      <c r="Q75" t="s">
        <v>106</v>
      </c>
      <c r="R75" t="s">
        <v>106</v>
      </c>
      <c r="S75" t="s">
        <v>106</v>
      </c>
      <c r="T75" t="s">
        <v>2619</v>
      </c>
      <c r="U75" t="s">
        <v>106</v>
      </c>
      <c r="V75" t="s">
        <v>106</v>
      </c>
      <c r="W75" t="s">
        <v>1321</v>
      </c>
      <c r="X75" t="s">
        <v>106</v>
      </c>
      <c r="Y75" t="s">
        <v>108</v>
      </c>
      <c r="Z75" t="s">
        <v>104</v>
      </c>
      <c r="AA75" t="s">
        <v>1679</v>
      </c>
      <c r="AB75" t="s">
        <v>106</v>
      </c>
    </row>
    <row r="76" spans="1:28" x14ac:dyDescent="0.3">
      <c r="A76" t="s">
        <v>1319</v>
      </c>
      <c r="B76">
        <v>4</v>
      </c>
      <c r="C76">
        <v>60</v>
      </c>
      <c r="D76">
        <v>35</v>
      </c>
      <c r="E76" t="s">
        <v>128</v>
      </c>
      <c r="F76" s="12">
        <v>45300</v>
      </c>
      <c r="G76" t="s">
        <v>378</v>
      </c>
      <c r="H76" s="12">
        <v>45300</v>
      </c>
      <c r="I76" t="s">
        <v>1333</v>
      </c>
      <c r="J76" t="s">
        <v>1334</v>
      </c>
      <c r="L76">
        <v>61.9</v>
      </c>
      <c r="P76" t="s">
        <v>106</v>
      </c>
      <c r="Q76" t="s">
        <v>106</v>
      </c>
      <c r="R76" t="s">
        <v>106</v>
      </c>
      <c r="S76" t="s">
        <v>1442</v>
      </c>
      <c r="T76" t="s">
        <v>2620</v>
      </c>
      <c r="U76" t="s">
        <v>106</v>
      </c>
      <c r="V76" t="s">
        <v>106</v>
      </c>
      <c r="W76" t="s">
        <v>1321</v>
      </c>
      <c r="X76" t="s">
        <v>106</v>
      </c>
      <c r="Y76" t="s">
        <v>108</v>
      </c>
      <c r="Z76" t="s">
        <v>104</v>
      </c>
      <c r="AA76" t="s">
        <v>1679</v>
      </c>
      <c r="AB76" t="s">
        <v>106</v>
      </c>
    </row>
    <row r="77" spans="1:28" x14ac:dyDescent="0.3">
      <c r="A77" t="s">
        <v>1336</v>
      </c>
      <c r="B77">
        <v>1</v>
      </c>
      <c r="C77">
        <v>0</v>
      </c>
      <c r="D77">
        <v>14</v>
      </c>
      <c r="E77" t="s">
        <v>110</v>
      </c>
      <c r="F77" s="12">
        <v>45310</v>
      </c>
      <c r="G77" t="s">
        <v>1337</v>
      </c>
      <c r="H77" s="12" t="s">
        <v>106</v>
      </c>
      <c r="I77" t="s">
        <v>106</v>
      </c>
      <c r="J77" t="s">
        <v>106</v>
      </c>
      <c r="L77">
        <v>0</v>
      </c>
      <c r="P77" t="s">
        <v>106</v>
      </c>
      <c r="Q77" t="s">
        <v>106</v>
      </c>
      <c r="R77" t="s">
        <v>106</v>
      </c>
      <c r="S77" t="s">
        <v>106</v>
      </c>
      <c r="T77" t="s">
        <v>1338</v>
      </c>
      <c r="U77" t="s">
        <v>106</v>
      </c>
      <c r="V77" t="s">
        <v>106</v>
      </c>
      <c r="W77" t="s">
        <v>373</v>
      </c>
      <c r="X77" t="s">
        <v>106</v>
      </c>
      <c r="Y77" t="s">
        <v>108</v>
      </c>
      <c r="Z77" t="s">
        <v>105</v>
      </c>
      <c r="AA77" t="s">
        <v>106</v>
      </c>
      <c r="AB77" t="s">
        <v>106</v>
      </c>
    </row>
    <row r="78" spans="1:28" x14ac:dyDescent="0.3">
      <c r="A78" t="s">
        <v>1336</v>
      </c>
      <c r="B78">
        <v>1</v>
      </c>
      <c r="C78">
        <v>0</v>
      </c>
      <c r="D78">
        <v>13</v>
      </c>
      <c r="E78" t="s">
        <v>110</v>
      </c>
      <c r="F78" s="12">
        <v>45310</v>
      </c>
      <c r="G78" t="s">
        <v>475</v>
      </c>
      <c r="H78" s="12" t="s">
        <v>106</v>
      </c>
      <c r="I78" t="s">
        <v>106</v>
      </c>
      <c r="J78" t="s">
        <v>106</v>
      </c>
      <c r="L78">
        <v>0.1</v>
      </c>
      <c r="P78" t="s">
        <v>106</v>
      </c>
      <c r="Q78" t="s">
        <v>106</v>
      </c>
      <c r="R78" t="s">
        <v>106</v>
      </c>
      <c r="S78" t="s">
        <v>106</v>
      </c>
      <c r="T78" t="s">
        <v>685</v>
      </c>
      <c r="U78" t="s">
        <v>106</v>
      </c>
      <c r="V78" t="s">
        <v>106</v>
      </c>
      <c r="W78" t="s">
        <v>373</v>
      </c>
      <c r="X78" t="s">
        <v>106</v>
      </c>
      <c r="Y78" t="s">
        <v>108</v>
      </c>
      <c r="Z78" t="s">
        <v>105</v>
      </c>
      <c r="AA78" t="s">
        <v>106</v>
      </c>
      <c r="AB78" t="s">
        <v>106</v>
      </c>
    </row>
    <row r="79" spans="1:28" x14ac:dyDescent="0.3">
      <c r="A79" t="s">
        <v>1336</v>
      </c>
      <c r="B79">
        <v>2</v>
      </c>
      <c r="C79">
        <v>15</v>
      </c>
      <c r="D79">
        <v>6</v>
      </c>
      <c r="E79" t="s">
        <v>308</v>
      </c>
      <c r="F79" s="12">
        <v>45310</v>
      </c>
      <c r="G79" t="s">
        <v>1686</v>
      </c>
      <c r="H79" s="12" t="s">
        <v>106</v>
      </c>
      <c r="I79" t="s">
        <v>106</v>
      </c>
      <c r="J79" t="s">
        <v>106</v>
      </c>
      <c r="L79">
        <v>14.9</v>
      </c>
      <c r="P79" t="s">
        <v>106</v>
      </c>
      <c r="Q79" t="s">
        <v>106</v>
      </c>
      <c r="R79" t="s">
        <v>106</v>
      </c>
      <c r="S79" t="s">
        <v>106</v>
      </c>
      <c r="T79" t="s">
        <v>934</v>
      </c>
      <c r="U79" t="s">
        <v>106</v>
      </c>
      <c r="V79" t="s">
        <v>106</v>
      </c>
      <c r="W79" t="s">
        <v>373</v>
      </c>
      <c r="X79" t="s">
        <v>106</v>
      </c>
      <c r="Y79" t="s">
        <v>108</v>
      </c>
      <c r="Z79" t="s">
        <v>109</v>
      </c>
      <c r="AA79" t="s">
        <v>106</v>
      </c>
      <c r="AB79" t="s">
        <v>106</v>
      </c>
    </row>
    <row r="80" spans="1:28" x14ac:dyDescent="0.3">
      <c r="A80" t="s">
        <v>1336</v>
      </c>
      <c r="B80">
        <v>2</v>
      </c>
      <c r="C80">
        <v>15</v>
      </c>
      <c r="D80">
        <v>12</v>
      </c>
      <c r="E80" t="s">
        <v>128</v>
      </c>
      <c r="F80" s="12">
        <v>45310</v>
      </c>
      <c r="G80" t="s">
        <v>1437</v>
      </c>
      <c r="H80" s="12" t="s">
        <v>106</v>
      </c>
      <c r="I80" t="s">
        <v>106</v>
      </c>
      <c r="J80" t="s">
        <v>106</v>
      </c>
      <c r="L80">
        <v>18</v>
      </c>
      <c r="P80" t="s">
        <v>106</v>
      </c>
      <c r="Q80" t="s">
        <v>106</v>
      </c>
      <c r="R80" t="s">
        <v>106</v>
      </c>
      <c r="S80" t="s">
        <v>106</v>
      </c>
      <c r="T80" t="s">
        <v>1443</v>
      </c>
      <c r="U80" t="s">
        <v>106</v>
      </c>
      <c r="V80" t="s">
        <v>106</v>
      </c>
      <c r="W80" t="s">
        <v>373</v>
      </c>
      <c r="X80" t="s">
        <v>106</v>
      </c>
      <c r="Y80" t="s">
        <v>108</v>
      </c>
      <c r="Z80" t="s">
        <v>109</v>
      </c>
      <c r="AA80" t="s">
        <v>106</v>
      </c>
      <c r="AB80" t="s">
        <v>106</v>
      </c>
    </row>
    <row r="81" spans="1:28" x14ac:dyDescent="0.3">
      <c r="A81" t="s">
        <v>1336</v>
      </c>
      <c r="B81">
        <v>2</v>
      </c>
      <c r="C81">
        <v>15</v>
      </c>
      <c r="D81">
        <v>15</v>
      </c>
      <c r="E81" t="s">
        <v>110</v>
      </c>
      <c r="F81" s="12">
        <v>45310</v>
      </c>
      <c r="G81" t="s">
        <v>734</v>
      </c>
      <c r="H81" s="12" t="s">
        <v>106</v>
      </c>
      <c r="I81" t="s">
        <v>106</v>
      </c>
      <c r="J81" t="s">
        <v>106</v>
      </c>
      <c r="L81">
        <v>18.2</v>
      </c>
      <c r="P81" t="s">
        <v>106</v>
      </c>
      <c r="Q81" t="s">
        <v>106</v>
      </c>
      <c r="R81" t="s">
        <v>106</v>
      </c>
      <c r="S81" t="s">
        <v>106</v>
      </c>
      <c r="T81" t="s">
        <v>1687</v>
      </c>
      <c r="U81" t="s">
        <v>106</v>
      </c>
      <c r="V81" t="s">
        <v>106</v>
      </c>
      <c r="W81" t="s">
        <v>373</v>
      </c>
      <c r="X81" t="s">
        <v>106</v>
      </c>
      <c r="Y81" t="s">
        <v>108</v>
      </c>
      <c r="Z81" t="s">
        <v>109</v>
      </c>
      <c r="AA81" t="s">
        <v>106</v>
      </c>
      <c r="AB81" t="s">
        <v>106</v>
      </c>
    </row>
    <row r="82" spans="1:28" x14ac:dyDescent="0.3">
      <c r="A82" t="s">
        <v>1336</v>
      </c>
      <c r="B82">
        <v>3</v>
      </c>
      <c r="C82">
        <v>35</v>
      </c>
      <c r="D82">
        <v>1</v>
      </c>
      <c r="E82" t="s">
        <v>110</v>
      </c>
      <c r="F82" s="12">
        <v>45310</v>
      </c>
      <c r="G82" t="s">
        <v>460</v>
      </c>
      <c r="H82" s="12" t="s">
        <v>106</v>
      </c>
      <c r="I82" t="s">
        <v>106</v>
      </c>
      <c r="J82" t="s">
        <v>106</v>
      </c>
      <c r="L82">
        <v>38.1</v>
      </c>
      <c r="P82" t="s">
        <v>106</v>
      </c>
      <c r="Q82" t="s">
        <v>106</v>
      </c>
      <c r="R82" t="s">
        <v>106</v>
      </c>
      <c r="S82" t="s">
        <v>106</v>
      </c>
      <c r="T82" t="s">
        <v>1536</v>
      </c>
      <c r="U82" t="s">
        <v>106</v>
      </c>
      <c r="V82" t="s">
        <v>106</v>
      </c>
      <c r="W82" t="s">
        <v>373</v>
      </c>
      <c r="X82" t="s">
        <v>106</v>
      </c>
      <c r="Y82" t="s">
        <v>108</v>
      </c>
      <c r="Z82" t="s">
        <v>108</v>
      </c>
      <c r="AA82" t="s">
        <v>106</v>
      </c>
      <c r="AB82" t="s">
        <v>106</v>
      </c>
    </row>
    <row r="83" spans="1:28" x14ac:dyDescent="0.3">
      <c r="A83" t="s">
        <v>1336</v>
      </c>
      <c r="B83">
        <v>3</v>
      </c>
      <c r="C83">
        <v>35</v>
      </c>
      <c r="D83">
        <v>5</v>
      </c>
      <c r="E83" t="s">
        <v>308</v>
      </c>
      <c r="F83" s="12">
        <v>45310</v>
      </c>
      <c r="G83" t="s">
        <v>1273</v>
      </c>
      <c r="H83" s="12" t="s">
        <v>106</v>
      </c>
      <c r="I83" t="s">
        <v>106</v>
      </c>
      <c r="J83" t="s">
        <v>106</v>
      </c>
      <c r="L83">
        <v>34.4</v>
      </c>
      <c r="P83" t="s">
        <v>106</v>
      </c>
      <c r="Q83" t="s">
        <v>106</v>
      </c>
      <c r="R83" t="s">
        <v>106</v>
      </c>
      <c r="S83" t="s">
        <v>106</v>
      </c>
      <c r="T83" t="s">
        <v>757</v>
      </c>
      <c r="U83" t="s">
        <v>106</v>
      </c>
      <c r="V83" t="s">
        <v>106</v>
      </c>
      <c r="W83" t="s">
        <v>373</v>
      </c>
      <c r="X83" t="s">
        <v>106</v>
      </c>
      <c r="Y83" t="s">
        <v>108</v>
      </c>
      <c r="Z83" t="s">
        <v>108</v>
      </c>
      <c r="AA83" t="s">
        <v>106</v>
      </c>
      <c r="AB83" t="s">
        <v>106</v>
      </c>
    </row>
    <row r="84" spans="1:28" x14ac:dyDescent="0.3">
      <c r="A84" t="s">
        <v>1336</v>
      </c>
      <c r="B84">
        <v>3</v>
      </c>
      <c r="C84">
        <v>35</v>
      </c>
      <c r="D84">
        <v>8</v>
      </c>
      <c r="E84" t="s">
        <v>110</v>
      </c>
      <c r="F84" s="12">
        <v>45310</v>
      </c>
      <c r="G84" t="s">
        <v>2067</v>
      </c>
      <c r="H84" s="12" t="s">
        <v>106</v>
      </c>
      <c r="I84" t="s">
        <v>106</v>
      </c>
      <c r="J84" t="s">
        <v>106</v>
      </c>
      <c r="L84">
        <v>36</v>
      </c>
      <c r="P84" t="s">
        <v>106</v>
      </c>
      <c r="Q84" t="s">
        <v>106</v>
      </c>
      <c r="R84" t="s">
        <v>106</v>
      </c>
      <c r="S84" t="s">
        <v>106</v>
      </c>
      <c r="T84" t="s">
        <v>836</v>
      </c>
      <c r="U84" t="s">
        <v>106</v>
      </c>
      <c r="V84" t="s">
        <v>106</v>
      </c>
      <c r="W84" t="s">
        <v>373</v>
      </c>
      <c r="X84" t="s">
        <v>106</v>
      </c>
      <c r="Y84" t="s">
        <v>108</v>
      </c>
      <c r="Z84" t="s">
        <v>108</v>
      </c>
      <c r="AA84" t="s">
        <v>106</v>
      </c>
      <c r="AB84" t="s">
        <v>106</v>
      </c>
    </row>
    <row r="85" spans="1:28" x14ac:dyDescent="0.3">
      <c r="A85" t="s">
        <v>1336</v>
      </c>
      <c r="B85">
        <v>3</v>
      </c>
      <c r="C85">
        <v>35</v>
      </c>
      <c r="D85">
        <v>11</v>
      </c>
      <c r="E85" t="s">
        <v>110</v>
      </c>
      <c r="F85" s="12">
        <v>45310</v>
      </c>
      <c r="G85" t="s">
        <v>1401</v>
      </c>
      <c r="H85" s="12" t="s">
        <v>106</v>
      </c>
      <c r="I85" t="s">
        <v>106</v>
      </c>
      <c r="J85" t="s">
        <v>106</v>
      </c>
      <c r="L85">
        <v>36.700000000000003</v>
      </c>
      <c r="P85" t="s">
        <v>106</v>
      </c>
      <c r="Q85" t="s">
        <v>106</v>
      </c>
      <c r="R85" t="s">
        <v>106</v>
      </c>
      <c r="S85" t="s">
        <v>106</v>
      </c>
      <c r="T85" t="s">
        <v>924</v>
      </c>
      <c r="U85" t="s">
        <v>106</v>
      </c>
      <c r="V85" t="s">
        <v>106</v>
      </c>
      <c r="W85" t="s">
        <v>373</v>
      </c>
      <c r="X85" t="s">
        <v>106</v>
      </c>
      <c r="Y85" t="s">
        <v>108</v>
      </c>
      <c r="Z85" t="s">
        <v>108</v>
      </c>
      <c r="AA85" t="s">
        <v>106</v>
      </c>
      <c r="AB85" t="s">
        <v>106</v>
      </c>
    </row>
    <row r="86" spans="1:28" x14ac:dyDescent="0.3">
      <c r="A86" t="s">
        <v>1336</v>
      </c>
      <c r="B86">
        <v>3</v>
      </c>
      <c r="C86">
        <v>35</v>
      </c>
      <c r="D86">
        <v>3</v>
      </c>
      <c r="E86" t="s">
        <v>110</v>
      </c>
      <c r="F86" s="12">
        <v>45310</v>
      </c>
      <c r="G86" t="s">
        <v>858</v>
      </c>
      <c r="H86" s="12" t="s">
        <v>106</v>
      </c>
      <c r="I86" t="s">
        <v>106</v>
      </c>
      <c r="J86" t="s">
        <v>106</v>
      </c>
      <c r="L86">
        <v>37.1</v>
      </c>
      <c r="P86" t="s">
        <v>106</v>
      </c>
      <c r="Q86" t="s">
        <v>106</v>
      </c>
      <c r="R86" t="s">
        <v>106</v>
      </c>
      <c r="S86" t="s">
        <v>106</v>
      </c>
      <c r="T86" t="s">
        <v>2013</v>
      </c>
      <c r="U86" t="s">
        <v>106</v>
      </c>
      <c r="V86" t="s">
        <v>106</v>
      </c>
      <c r="W86" t="s">
        <v>373</v>
      </c>
      <c r="X86" t="s">
        <v>106</v>
      </c>
      <c r="Y86" t="s">
        <v>108</v>
      </c>
      <c r="Z86" t="s">
        <v>108</v>
      </c>
      <c r="AA86" t="s">
        <v>106</v>
      </c>
      <c r="AB86" t="s">
        <v>106</v>
      </c>
    </row>
    <row r="87" spans="1:28" x14ac:dyDescent="0.3">
      <c r="A87" t="s">
        <v>1336</v>
      </c>
      <c r="B87">
        <v>4</v>
      </c>
      <c r="C87">
        <v>60</v>
      </c>
      <c r="D87">
        <v>7</v>
      </c>
      <c r="E87" t="s">
        <v>308</v>
      </c>
      <c r="F87" s="12">
        <v>45310</v>
      </c>
      <c r="G87" t="s">
        <v>374</v>
      </c>
      <c r="H87" s="12" t="s">
        <v>106</v>
      </c>
      <c r="I87" t="s">
        <v>106</v>
      </c>
      <c r="J87" t="s">
        <v>106</v>
      </c>
      <c r="L87">
        <v>62.9</v>
      </c>
      <c r="P87" t="s">
        <v>106</v>
      </c>
      <c r="Q87" t="s">
        <v>106</v>
      </c>
      <c r="R87" t="s">
        <v>106</v>
      </c>
      <c r="S87" t="s">
        <v>106</v>
      </c>
      <c r="T87" t="s">
        <v>678</v>
      </c>
      <c r="U87" t="s">
        <v>106</v>
      </c>
      <c r="V87" t="s">
        <v>106</v>
      </c>
      <c r="W87" t="s">
        <v>373</v>
      </c>
      <c r="X87" t="s">
        <v>106</v>
      </c>
      <c r="Y87" t="s">
        <v>108</v>
      </c>
      <c r="Z87" t="s">
        <v>104</v>
      </c>
      <c r="AA87" t="s">
        <v>106</v>
      </c>
      <c r="AB87" t="s">
        <v>106</v>
      </c>
    </row>
    <row r="88" spans="1:28" x14ac:dyDescent="0.3">
      <c r="A88" t="s">
        <v>1336</v>
      </c>
      <c r="B88">
        <v>4</v>
      </c>
      <c r="C88">
        <v>60</v>
      </c>
      <c r="D88">
        <v>4</v>
      </c>
      <c r="E88" t="s">
        <v>110</v>
      </c>
      <c r="F88" s="12">
        <v>45310</v>
      </c>
      <c r="G88" t="s">
        <v>131</v>
      </c>
      <c r="H88" s="12" t="s">
        <v>106</v>
      </c>
      <c r="I88" t="s">
        <v>106</v>
      </c>
      <c r="J88" t="s">
        <v>106</v>
      </c>
      <c r="L88">
        <v>62.1</v>
      </c>
      <c r="P88" t="s">
        <v>106</v>
      </c>
      <c r="Q88" t="s">
        <v>106</v>
      </c>
      <c r="R88" t="s">
        <v>106</v>
      </c>
      <c r="S88" t="s">
        <v>106</v>
      </c>
      <c r="T88" t="s">
        <v>2547</v>
      </c>
      <c r="U88" t="s">
        <v>106</v>
      </c>
      <c r="V88" t="s">
        <v>106</v>
      </c>
      <c r="W88" t="s">
        <v>373</v>
      </c>
      <c r="X88" t="s">
        <v>106</v>
      </c>
      <c r="Y88" t="s">
        <v>108</v>
      </c>
      <c r="Z88" t="s">
        <v>104</v>
      </c>
      <c r="AA88" t="s">
        <v>106</v>
      </c>
      <c r="AB88" t="s">
        <v>106</v>
      </c>
    </row>
    <row r="89" spans="1:28" x14ac:dyDescent="0.3">
      <c r="A89" t="s">
        <v>1336</v>
      </c>
      <c r="B89">
        <v>4</v>
      </c>
      <c r="C89">
        <v>60</v>
      </c>
      <c r="D89">
        <v>2</v>
      </c>
      <c r="E89" t="s">
        <v>110</v>
      </c>
      <c r="F89" s="12">
        <v>45310</v>
      </c>
      <c r="G89" t="s">
        <v>856</v>
      </c>
      <c r="H89" s="12" t="s">
        <v>106</v>
      </c>
      <c r="I89" t="s">
        <v>106</v>
      </c>
      <c r="J89" t="s">
        <v>106</v>
      </c>
      <c r="L89">
        <v>62.6</v>
      </c>
      <c r="P89" t="s">
        <v>106</v>
      </c>
      <c r="Q89" t="s">
        <v>106</v>
      </c>
      <c r="R89" t="s">
        <v>106</v>
      </c>
      <c r="S89" t="s">
        <v>106</v>
      </c>
      <c r="T89" t="s">
        <v>1536</v>
      </c>
      <c r="U89" t="s">
        <v>106</v>
      </c>
      <c r="V89" t="s">
        <v>106</v>
      </c>
      <c r="W89" t="s">
        <v>373</v>
      </c>
      <c r="X89" t="s">
        <v>106</v>
      </c>
      <c r="Y89" t="s">
        <v>108</v>
      </c>
      <c r="Z89" t="s">
        <v>104</v>
      </c>
      <c r="AA89" t="s">
        <v>106</v>
      </c>
      <c r="AB89" t="s">
        <v>106</v>
      </c>
    </row>
    <row r="90" spans="1:28" x14ac:dyDescent="0.3">
      <c r="A90" t="s">
        <v>1336</v>
      </c>
      <c r="B90">
        <v>4</v>
      </c>
      <c r="C90">
        <v>60</v>
      </c>
      <c r="D90">
        <v>9</v>
      </c>
      <c r="E90" t="s">
        <v>110</v>
      </c>
      <c r="F90" s="12">
        <v>45310</v>
      </c>
      <c r="G90" t="s">
        <v>1160</v>
      </c>
      <c r="H90" s="12" t="s">
        <v>106</v>
      </c>
      <c r="I90" t="s">
        <v>106</v>
      </c>
      <c r="J90" t="s">
        <v>106</v>
      </c>
      <c r="L90">
        <v>59.9</v>
      </c>
      <c r="P90" t="s">
        <v>106</v>
      </c>
      <c r="Q90" t="s">
        <v>106</v>
      </c>
      <c r="R90" t="s">
        <v>106</v>
      </c>
      <c r="S90" t="s">
        <v>106</v>
      </c>
      <c r="T90" t="s">
        <v>690</v>
      </c>
      <c r="U90" t="s">
        <v>106</v>
      </c>
      <c r="V90" t="s">
        <v>106</v>
      </c>
      <c r="W90" t="s">
        <v>373</v>
      </c>
      <c r="X90" t="s">
        <v>106</v>
      </c>
      <c r="Y90" t="s">
        <v>108</v>
      </c>
      <c r="Z90" t="s">
        <v>104</v>
      </c>
      <c r="AA90" t="s">
        <v>106</v>
      </c>
      <c r="AB90" t="s">
        <v>106</v>
      </c>
    </row>
    <row r="91" spans="1:28" x14ac:dyDescent="0.3">
      <c r="A91" t="s">
        <v>1336</v>
      </c>
      <c r="B91">
        <v>4</v>
      </c>
      <c r="C91">
        <v>60</v>
      </c>
      <c r="D91">
        <v>10</v>
      </c>
      <c r="E91" t="s">
        <v>110</v>
      </c>
      <c r="F91" s="12">
        <v>45310</v>
      </c>
      <c r="G91" t="s">
        <v>375</v>
      </c>
      <c r="H91" s="12" t="s">
        <v>106</v>
      </c>
      <c r="I91" t="s">
        <v>106</v>
      </c>
      <c r="J91" t="s">
        <v>106</v>
      </c>
      <c r="L91">
        <v>62.3</v>
      </c>
      <c r="P91" t="s">
        <v>106</v>
      </c>
      <c r="Q91" t="s">
        <v>106</v>
      </c>
      <c r="R91" t="s">
        <v>106</v>
      </c>
      <c r="S91" t="s">
        <v>106</v>
      </c>
      <c r="T91" t="s">
        <v>2621</v>
      </c>
      <c r="U91" t="s">
        <v>106</v>
      </c>
      <c r="V91" t="s">
        <v>106</v>
      </c>
      <c r="W91" t="s">
        <v>373</v>
      </c>
      <c r="X91" t="s">
        <v>106</v>
      </c>
      <c r="Y91" t="s">
        <v>108</v>
      </c>
      <c r="Z91" t="s">
        <v>104</v>
      </c>
      <c r="AA91" t="s">
        <v>106</v>
      </c>
      <c r="AB91" t="s">
        <v>106</v>
      </c>
    </row>
    <row r="92" spans="1:28" x14ac:dyDescent="0.3">
      <c r="A92" t="s">
        <v>1336</v>
      </c>
      <c r="B92">
        <v>1</v>
      </c>
      <c r="C92">
        <v>0</v>
      </c>
      <c r="D92">
        <v>74</v>
      </c>
      <c r="E92" t="s">
        <v>128</v>
      </c>
      <c r="F92" s="12">
        <v>45313</v>
      </c>
      <c r="G92" t="s">
        <v>1233</v>
      </c>
      <c r="H92" s="12">
        <v>45313</v>
      </c>
      <c r="I92" t="s">
        <v>1339</v>
      </c>
      <c r="J92" t="s">
        <v>1334</v>
      </c>
      <c r="L92">
        <v>0</v>
      </c>
      <c r="P92" t="s">
        <v>106</v>
      </c>
      <c r="Q92" t="s">
        <v>106</v>
      </c>
      <c r="R92" t="s">
        <v>106</v>
      </c>
      <c r="S92" t="s">
        <v>106</v>
      </c>
      <c r="T92" t="s">
        <v>106</v>
      </c>
      <c r="U92" t="s">
        <v>106</v>
      </c>
      <c r="V92" t="s">
        <v>106</v>
      </c>
      <c r="W92" t="s">
        <v>490</v>
      </c>
      <c r="X92" t="s">
        <v>106</v>
      </c>
      <c r="Y92" t="s">
        <v>108</v>
      </c>
      <c r="Z92" t="s">
        <v>104</v>
      </c>
      <c r="AA92" t="s">
        <v>1340</v>
      </c>
      <c r="AB92" t="s">
        <v>106</v>
      </c>
    </row>
    <row r="93" spans="1:28" x14ac:dyDescent="0.3">
      <c r="A93" t="s">
        <v>1336</v>
      </c>
      <c r="B93">
        <v>2</v>
      </c>
      <c r="C93">
        <v>15</v>
      </c>
      <c r="D93">
        <v>54</v>
      </c>
      <c r="E93" t="s">
        <v>128</v>
      </c>
      <c r="F93" s="12">
        <v>45313</v>
      </c>
      <c r="G93" t="s">
        <v>786</v>
      </c>
      <c r="H93" s="12">
        <v>45310</v>
      </c>
      <c r="I93" t="s">
        <v>106</v>
      </c>
      <c r="J93" t="s">
        <v>106</v>
      </c>
      <c r="L93">
        <v>15.3</v>
      </c>
      <c r="P93" t="s">
        <v>106</v>
      </c>
      <c r="Q93" t="s">
        <v>106</v>
      </c>
      <c r="R93" t="s">
        <v>106</v>
      </c>
      <c r="S93" t="s">
        <v>106</v>
      </c>
      <c r="T93" t="s">
        <v>633</v>
      </c>
      <c r="U93" t="s">
        <v>106</v>
      </c>
      <c r="V93" t="s">
        <v>106</v>
      </c>
      <c r="W93" t="s">
        <v>373</v>
      </c>
      <c r="X93" t="s">
        <v>106</v>
      </c>
      <c r="Y93" t="s">
        <v>108</v>
      </c>
      <c r="Z93" t="s">
        <v>109</v>
      </c>
      <c r="AA93" t="s">
        <v>1340</v>
      </c>
      <c r="AB93" t="s">
        <v>106</v>
      </c>
    </row>
    <row r="94" spans="1:28" x14ac:dyDescent="0.3">
      <c r="A94" t="s">
        <v>1336</v>
      </c>
      <c r="B94">
        <v>2</v>
      </c>
      <c r="C94">
        <v>15</v>
      </c>
      <c r="D94">
        <v>38</v>
      </c>
      <c r="E94" t="s">
        <v>110</v>
      </c>
      <c r="F94" s="12">
        <v>45313</v>
      </c>
      <c r="G94" t="s">
        <v>1688</v>
      </c>
      <c r="H94" s="12">
        <v>45313</v>
      </c>
      <c r="I94" t="s">
        <v>1689</v>
      </c>
      <c r="J94" t="s">
        <v>1334</v>
      </c>
      <c r="L94">
        <v>15.7</v>
      </c>
      <c r="P94" t="s">
        <v>106</v>
      </c>
      <c r="Q94" t="s">
        <v>106</v>
      </c>
      <c r="R94" t="s">
        <v>106</v>
      </c>
      <c r="S94" t="s">
        <v>106</v>
      </c>
      <c r="T94" t="s">
        <v>1690</v>
      </c>
      <c r="U94" t="s">
        <v>106</v>
      </c>
      <c r="V94" t="s">
        <v>106</v>
      </c>
      <c r="W94" t="s">
        <v>443</v>
      </c>
      <c r="X94" t="s">
        <v>106</v>
      </c>
      <c r="Y94" t="s">
        <v>108</v>
      </c>
      <c r="Z94" t="s">
        <v>109</v>
      </c>
      <c r="AA94" t="s">
        <v>106</v>
      </c>
      <c r="AB94" t="s">
        <v>1691</v>
      </c>
    </row>
    <row r="95" spans="1:28" x14ac:dyDescent="0.3">
      <c r="A95" t="s">
        <v>1336</v>
      </c>
      <c r="B95">
        <v>2</v>
      </c>
      <c r="C95">
        <v>15</v>
      </c>
      <c r="D95">
        <v>64</v>
      </c>
      <c r="E95" t="s">
        <v>110</v>
      </c>
      <c r="F95" s="12">
        <v>45313</v>
      </c>
      <c r="G95" t="s">
        <v>309</v>
      </c>
      <c r="H95" s="12">
        <v>45313</v>
      </c>
      <c r="I95" t="s">
        <v>106</v>
      </c>
      <c r="J95" t="s">
        <v>1334</v>
      </c>
      <c r="L95">
        <v>16.100000000000001</v>
      </c>
      <c r="P95" t="s">
        <v>106</v>
      </c>
      <c r="Q95" t="s">
        <v>106</v>
      </c>
      <c r="R95" t="s">
        <v>106</v>
      </c>
      <c r="S95" t="s">
        <v>106</v>
      </c>
      <c r="T95" t="s">
        <v>1543</v>
      </c>
      <c r="U95" t="s">
        <v>106</v>
      </c>
      <c r="V95" t="s">
        <v>106</v>
      </c>
      <c r="W95" t="s">
        <v>373</v>
      </c>
      <c r="X95" t="s">
        <v>106</v>
      </c>
      <c r="Y95" t="s">
        <v>108</v>
      </c>
      <c r="Z95" t="s">
        <v>109</v>
      </c>
      <c r="AA95" t="s">
        <v>1340</v>
      </c>
      <c r="AB95" t="s">
        <v>1692</v>
      </c>
    </row>
    <row r="96" spans="1:28" x14ac:dyDescent="0.3">
      <c r="A96" t="s">
        <v>1336</v>
      </c>
      <c r="B96">
        <v>2</v>
      </c>
      <c r="C96">
        <v>15</v>
      </c>
      <c r="D96">
        <v>16</v>
      </c>
      <c r="E96" t="s">
        <v>128</v>
      </c>
      <c r="F96" s="12">
        <v>45313</v>
      </c>
      <c r="G96" t="s">
        <v>1693</v>
      </c>
      <c r="H96" s="12">
        <v>45313</v>
      </c>
      <c r="I96" t="s">
        <v>1689</v>
      </c>
      <c r="J96" t="s">
        <v>1334</v>
      </c>
      <c r="L96">
        <v>17.7</v>
      </c>
      <c r="P96" t="s">
        <v>106</v>
      </c>
      <c r="Q96" t="s">
        <v>106</v>
      </c>
      <c r="R96" t="s">
        <v>106</v>
      </c>
      <c r="S96" t="s">
        <v>106</v>
      </c>
      <c r="T96" t="s">
        <v>574</v>
      </c>
      <c r="U96" t="s">
        <v>106</v>
      </c>
      <c r="V96" t="s">
        <v>106</v>
      </c>
      <c r="W96" t="s">
        <v>443</v>
      </c>
      <c r="X96" t="s">
        <v>106</v>
      </c>
      <c r="Y96" t="s">
        <v>108</v>
      </c>
      <c r="Z96" t="s">
        <v>109</v>
      </c>
      <c r="AA96" t="s">
        <v>106</v>
      </c>
      <c r="AB96" t="s">
        <v>106</v>
      </c>
    </row>
    <row r="97" spans="1:28" x14ac:dyDescent="0.3">
      <c r="A97" t="s">
        <v>1336</v>
      </c>
      <c r="B97">
        <v>2</v>
      </c>
      <c r="C97">
        <v>15</v>
      </c>
      <c r="D97">
        <v>46</v>
      </c>
      <c r="E97" t="s">
        <v>128</v>
      </c>
      <c r="F97" s="12">
        <v>45313</v>
      </c>
      <c r="G97" t="s">
        <v>1694</v>
      </c>
      <c r="H97" s="12">
        <v>45313</v>
      </c>
      <c r="I97" t="s">
        <v>847</v>
      </c>
      <c r="J97" t="s">
        <v>1334</v>
      </c>
      <c r="L97">
        <v>16.100000000000001</v>
      </c>
      <c r="P97" t="s">
        <v>106</v>
      </c>
      <c r="Q97" t="s">
        <v>106</v>
      </c>
      <c r="R97" t="s">
        <v>106</v>
      </c>
      <c r="S97" t="s">
        <v>106</v>
      </c>
      <c r="T97" t="s">
        <v>1508</v>
      </c>
      <c r="U97" t="s">
        <v>106</v>
      </c>
      <c r="V97" t="s">
        <v>106</v>
      </c>
      <c r="W97" t="s">
        <v>443</v>
      </c>
      <c r="X97" t="s">
        <v>106</v>
      </c>
      <c r="Y97" t="s">
        <v>108</v>
      </c>
      <c r="Z97" t="s">
        <v>109</v>
      </c>
      <c r="AA97" t="s">
        <v>106</v>
      </c>
      <c r="AB97" t="s">
        <v>106</v>
      </c>
    </row>
    <row r="98" spans="1:28" x14ac:dyDescent="0.3">
      <c r="A98" t="s">
        <v>1336</v>
      </c>
      <c r="B98">
        <v>2</v>
      </c>
      <c r="C98">
        <v>15</v>
      </c>
      <c r="D98">
        <v>47</v>
      </c>
      <c r="E98" t="s">
        <v>128</v>
      </c>
      <c r="F98" s="12">
        <v>45313</v>
      </c>
      <c r="G98" t="s">
        <v>751</v>
      </c>
      <c r="H98" s="12">
        <v>45313</v>
      </c>
      <c r="I98" t="s">
        <v>1689</v>
      </c>
      <c r="J98" t="s">
        <v>1334</v>
      </c>
      <c r="L98">
        <v>16.2</v>
      </c>
      <c r="P98" t="s">
        <v>106</v>
      </c>
      <c r="Q98" t="s">
        <v>106</v>
      </c>
      <c r="R98" t="s">
        <v>106</v>
      </c>
      <c r="S98" t="s">
        <v>106</v>
      </c>
      <c r="T98" t="s">
        <v>799</v>
      </c>
      <c r="U98" t="s">
        <v>106</v>
      </c>
      <c r="V98" t="s">
        <v>106</v>
      </c>
      <c r="W98" t="s">
        <v>443</v>
      </c>
      <c r="X98" t="s">
        <v>106</v>
      </c>
      <c r="Y98" t="s">
        <v>108</v>
      </c>
      <c r="Z98" t="s">
        <v>109</v>
      </c>
      <c r="AA98" t="s">
        <v>106</v>
      </c>
      <c r="AB98" t="s">
        <v>106</v>
      </c>
    </row>
    <row r="99" spans="1:28" x14ac:dyDescent="0.3">
      <c r="A99" t="s">
        <v>1336</v>
      </c>
      <c r="B99">
        <v>2</v>
      </c>
      <c r="C99">
        <v>15</v>
      </c>
      <c r="D99">
        <v>25</v>
      </c>
      <c r="E99" t="s">
        <v>308</v>
      </c>
      <c r="F99" s="12">
        <v>45313</v>
      </c>
      <c r="G99" t="s">
        <v>1695</v>
      </c>
      <c r="H99" s="12">
        <v>45313</v>
      </c>
      <c r="I99" t="s">
        <v>1689</v>
      </c>
      <c r="J99" t="s">
        <v>1334</v>
      </c>
      <c r="L99">
        <v>13.8</v>
      </c>
      <c r="P99" t="s">
        <v>106</v>
      </c>
      <c r="Q99" t="s">
        <v>106</v>
      </c>
      <c r="R99" t="s">
        <v>106</v>
      </c>
      <c r="S99" t="s">
        <v>106</v>
      </c>
      <c r="T99" t="s">
        <v>1235</v>
      </c>
      <c r="U99" t="s">
        <v>106</v>
      </c>
      <c r="V99" t="s">
        <v>106</v>
      </c>
      <c r="W99" t="s">
        <v>443</v>
      </c>
      <c r="X99" t="s">
        <v>106</v>
      </c>
      <c r="Y99" t="s">
        <v>108</v>
      </c>
      <c r="Z99" t="s">
        <v>109</v>
      </c>
      <c r="AA99" t="s">
        <v>106</v>
      </c>
      <c r="AB99" t="s">
        <v>106</v>
      </c>
    </row>
    <row r="100" spans="1:28" x14ac:dyDescent="0.3">
      <c r="A100" t="s">
        <v>1336</v>
      </c>
      <c r="B100">
        <v>2</v>
      </c>
      <c r="C100">
        <v>15</v>
      </c>
      <c r="D100">
        <v>53</v>
      </c>
      <c r="E100" t="s">
        <v>128</v>
      </c>
      <c r="F100" s="12">
        <v>45313</v>
      </c>
      <c r="G100" t="s">
        <v>1696</v>
      </c>
      <c r="H100" s="12">
        <v>45310</v>
      </c>
      <c r="I100" t="s">
        <v>106</v>
      </c>
      <c r="J100" t="s">
        <v>106</v>
      </c>
      <c r="L100">
        <v>16.600000000000001</v>
      </c>
      <c r="P100" t="s">
        <v>106</v>
      </c>
      <c r="Q100" t="s">
        <v>107</v>
      </c>
      <c r="R100" t="s">
        <v>107</v>
      </c>
      <c r="S100" t="s">
        <v>106</v>
      </c>
      <c r="T100" t="s">
        <v>787</v>
      </c>
      <c r="U100" t="s">
        <v>106</v>
      </c>
      <c r="V100" t="s">
        <v>106</v>
      </c>
      <c r="W100" t="s">
        <v>373</v>
      </c>
      <c r="X100" t="s">
        <v>106</v>
      </c>
      <c r="Y100" t="s">
        <v>108</v>
      </c>
      <c r="Z100" t="s">
        <v>109</v>
      </c>
      <c r="AA100" t="s">
        <v>1340</v>
      </c>
      <c r="AB100" t="s">
        <v>106</v>
      </c>
    </row>
    <row r="101" spans="1:28" x14ac:dyDescent="0.3">
      <c r="A101" t="s">
        <v>1336</v>
      </c>
      <c r="B101">
        <v>2</v>
      </c>
      <c r="C101">
        <v>15</v>
      </c>
      <c r="D101">
        <v>67</v>
      </c>
      <c r="E101" t="s">
        <v>128</v>
      </c>
      <c r="F101" s="12">
        <v>45313</v>
      </c>
      <c r="G101" t="s">
        <v>830</v>
      </c>
      <c r="H101" s="12">
        <v>45313</v>
      </c>
      <c r="I101" t="s">
        <v>1339</v>
      </c>
      <c r="J101" t="s">
        <v>1334</v>
      </c>
      <c r="L101">
        <v>15.7</v>
      </c>
      <c r="P101" t="s">
        <v>106</v>
      </c>
      <c r="Q101" t="s">
        <v>106</v>
      </c>
      <c r="R101" t="s">
        <v>106</v>
      </c>
      <c r="S101" t="s">
        <v>106</v>
      </c>
      <c r="T101" t="s">
        <v>860</v>
      </c>
      <c r="U101" t="s">
        <v>106</v>
      </c>
      <c r="V101" t="s">
        <v>106</v>
      </c>
      <c r="W101" t="s">
        <v>373</v>
      </c>
      <c r="X101" t="s">
        <v>106</v>
      </c>
      <c r="Y101" t="s">
        <v>108</v>
      </c>
      <c r="Z101" t="s">
        <v>109</v>
      </c>
      <c r="AA101" t="s">
        <v>1340</v>
      </c>
      <c r="AB101" t="s">
        <v>106</v>
      </c>
    </row>
    <row r="102" spans="1:28" x14ac:dyDescent="0.3">
      <c r="A102" t="s">
        <v>1336</v>
      </c>
      <c r="B102">
        <v>2</v>
      </c>
      <c r="C102">
        <v>15</v>
      </c>
      <c r="D102">
        <v>52</v>
      </c>
      <c r="E102" t="s">
        <v>128</v>
      </c>
      <c r="F102" s="12">
        <v>45313</v>
      </c>
      <c r="G102" t="s">
        <v>467</v>
      </c>
      <c r="H102" s="12">
        <v>45313</v>
      </c>
      <c r="I102" t="s">
        <v>1697</v>
      </c>
      <c r="J102" t="s">
        <v>1334</v>
      </c>
      <c r="L102">
        <v>17.2</v>
      </c>
      <c r="P102" t="s">
        <v>106</v>
      </c>
      <c r="Q102" t="s">
        <v>106</v>
      </c>
      <c r="R102" t="s">
        <v>106</v>
      </c>
      <c r="S102" t="s">
        <v>106</v>
      </c>
      <c r="T102" t="s">
        <v>1698</v>
      </c>
      <c r="U102" t="s">
        <v>1699</v>
      </c>
      <c r="V102" t="s">
        <v>106</v>
      </c>
      <c r="W102" t="s">
        <v>443</v>
      </c>
      <c r="X102" t="s">
        <v>106</v>
      </c>
      <c r="Y102" t="s">
        <v>108</v>
      </c>
      <c r="Z102" t="s">
        <v>104</v>
      </c>
      <c r="AA102" t="s">
        <v>106</v>
      </c>
      <c r="AB102" t="s">
        <v>106</v>
      </c>
    </row>
    <row r="103" spans="1:28" x14ac:dyDescent="0.3">
      <c r="A103" t="s">
        <v>1336</v>
      </c>
      <c r="B103">
        <v>2</v>
      </c>
      <c r="C103">
        <v>15</v>
      </c>
      <c r="D103">
        <v>60</v>
      </c>
      <c r="E103" t="s">
        <v>128</v>
      </c>
      <c r="F103" s="12">
        <v>45313</v>
      </c>
      <c r="G103" t="s">
        <v>636</v>
      </c>
      <c r="H103" s="12">
        <v>45313</v>
      </c>
      <c r="I103" t="s">
        <v>488</v>
      </c>
      <c r="J103" t="s">
        <v>1334</v>
      </c>
      <c r="L103">
        <v>13.9</v>
      </c>
      <c r="P103" t="s">
        <v>106</v>
      </c>
      <c r="Q103" t="s">
        <v>106</v>
      </c>
      <c r="R103" t="s">
        <v>106</v>
      </c>
      <c r="S103" t="s">
        <v>106</v>
      </c>
      <c r="T103" t="s">
        <v>1700</v>
      </c>
      <c r="U103" t="s">
        <v>106</v>
      </c>
      <c r="V103" t="s">
        <v>106</v>
      </c>
      <c r="W103" t="s">
        <v>373</v>
      </c>
      <c r="X103" t="s">
        <v>106</v>
      </c>
      <c r="Y103" t="s">
        <v>108</v>
      </c>
      <c r="Z103" t="s">
        <v>109</v>
      </c>
      <c r="AA103" t="s">
        <v>1340</v>
      </c>
      <c r="AB103" t="s">
        <v>106</v>
      </c>
    </row>
    <row r="104" spans="1:28" x14ac:dyDescent="0.3">
      <c r="A104" t="s">
        <v>1336</v>
      </c>
      <c r="B104">
        <v>2</v>
      </c>
      <c r="C104">
        <v>15</v>
      </c>
      <c r="D104">
        <v>59</v>
      </c>
      <c r="E104" t="s">
        <v>128</v>
      </c>
      <c r="F104" s="12">
        <v>45313</v>
      </c>
      <c r="G104" t="s">
        <v>748</v>
      </c>
      <c r="H104" s="12">
        <v>45313</v>
      </c>
      <c r="I104" t="s">
        <v>488</v>
      </c>
      <c r="J104" t="s">
        <v>1334</v>
      </c>
      <c r="L104">
        <v>14.4</v>
      </c>
      <c r="P104" t="s">
        <v>106</v>
      </c>
      <c r="Q104" t="s">
        <v>106</v>
      </c>
      <c r="R104" t="s">
        <v>106</v>
      </c>
      <c r="S104" t="s">
        <v>106</v>
      </c>
      <c r="T104" t="s">
        <v>654</v>
      </c>
      <c r="U104" t="s">
        <v>106</v>
      </c>
      <c r="V104" t="s">
        <v>106</v>
      </c>
      <c r="W104" t="s">
        <v>373</v>
      </c>
      <c r="X104" t="s">
        <v>106</v>
      </c>
      <c r="Y104" t="s">
        <v>108</v>
      </c>
      <c r="Z104" t="s">
        <v>109</v>
      </c>
      <c r="AA104" t="s">
        <v>1340</v>
      </c>
      <c r="AB104" t="s">
        <v>106</v>
      </c>
    </row>
    <row r="105" spans="1:28" x14ac:dyDescent="0.3">
      <c r="A105" t="s">
        <v>1336</v>
      </c>
      <c r="B105">
        <v>2</v>
      </c>
      <c r="C105">
        <v>15</v>
      </c>
      <c r="D105">
        <v>17</v>
      </c>
      <c r="E105" t="s">
        <v>128</v>
      </c>
      <c r="F105" s="12">
        <v>45313</v>
      </c>
      <c r="G105" t="s">
        <v>1693</v>
      </c>
      <c r="H105" s="12">
        <v>45313</v>
      </c>
      <c r="I105" t="s">
        <v>1689</v>
      </c>
      <c r="J105" t="s">
        <v>1334</v>
      </c>
      <c r="L105">
        <v>17.8</v>
      </c>
      <c r="P105" t="s">
        <v>106</v>
      </c>
      <c r="Q105" t="s">
        <v>106</v>
      </c>
      <c r="R105" t="s">
        <v>106</v>
      </c>
      <c r="S105" t="s">
        <v>106</v>
      </c>
      <c r="T105" t="s">
        <v>1701</v>
      </c>
      <c r="U105" t="s">
        <v>106</v>
      </c>
      <c r="V105" t="s">
        <v>106</v>
      </c>
      <c r="W105" t="s">
        <v>443</v>
      </c>
      <c r="X105" t="s">
        <v>106</v>
      </c>
      <c r="Y105" t="s">
        <v>108</v>
      </c>
      <c r="Z105" t="s">
        <v>109</v>
      </c>
      <c r="AA105" t="s">
        <v>106</v>
      </c>
      <c r="AB105" t="s">
        <v>106</v>
      </c>
    </row>
    <row r="106" spans="1:28" x14ac:dyDescent="0.3">
      <c r="A106" t="s">
        <v>1336</v>
      </c>
      <c r="B106">
        <v>2</v>
      </c>
      <c r="C106">
        <v>15</v>
      </c>
      <c r="D106">
        <v>42</v>
      </c>
      <c r="E106" t="s">
        <v>128</v>
      </c>
      <c r="F106" s="12">
        <v>45313</v>
      </c>
      <c r="G106" t="s">
        <v>1702</v>
      </c>
      <c r="H106" s="12">
        <v>45313</v>
      </c>
      <c r="I106" t="s">
        <v>847</v>
      </c>
      <c r="J106" t="s">
        <v>1334</v>
      </c>
      <c r="L106">
        <v>16.100000000000001</v>
      </c>
      <c r="P106" t="s">
        <v>106</v>
      </c>
      <c r="Q106" t="s">
        <v>106</v>
      </c>
      <c r="R106" t="s">
        <v>106</v>
      </c>
      <c r="S106" t="s">
        <v>106</v>
      </c>
      <c r="T106" t="s">
        <v>1287</v>
      </c>
      <c r="U106" t="s">
        <v>1347</v>
      </c>
      <c r="V106" t="s">
        <v>106</v>
      </c>
      <c r="W106" t="s">
        <v>443</v>
      </c>
      <c r="X106" t="s">
        <v>106</v>
      </c>
      <c r="Y106" t="s">
        <v>108</v>
      </c>
      <c r="Z106" t="s">
        <v>109</v>
      </c>
      <c r="AA106" t="s">
        <v>106</v>
      </c>
      <c r="AB106" t="s">
        <v>106</v>
      </c>
    </row>
    <row r="107" spans="1:28" x14ac:dyDescent="0.3">
      <c r="A107" t="s">
        <v>1336</v>
      </c>
      <c r="B107">
        <v>2</v>
      </c>
      <c r="C107">
        <v>15</v>
      </c>
      <c r="D107">
        <v>68</v>
      </c>
      <c r="E107" t="s">
        <v>128</v>
      </c>
      <c r="F107" s="12">
        <v>45313</v>
      </c>
      <c r="G107" t="s">
        <v>398</v>
      </c>
      <c r="H107" s="12">
        <v>45313</v>
      </c>
      <c r="I107" t="s">
        <v>1339</v>
      </c>
      <c r="J107" t="s">
        <v>1334</v>
      </c>
      <c r="L107">
        <v>16</v>
      </c>
      <c r="P107" t="s">
        <v>106</v>
      </c>
      <c r="Q107" t="s">
        <v>106</v>
      </c>
      <c r="R107" t="s">
        <v>106</v>
      </c>
      <c r="S107" t="s">
        <v>106</v>
      </c>
      <c r="T107" t="s">
        <v>1372</v>
      </c>
      <c r="U107" t="s">
        <v>106</v>
      </c>
      <c r="V107" t="s">
        <v>106</v>
      </c>
      <c r="W107" t="s">
        <v>373</v>
      </c>
      <c r="X107" t="s">
        <v>106</v>
      </c>
      <c r="Y107" t="s">
        <v>108</v>
      </c>
      <c r="Z107" t="s">
        <v>109</v>
      </c>
      <c r="AA107" t="s">
        <v>1340</v>
      </c>
      <c r="AB107" t="s">
        <v>106</v>
      </c>
    </row>
    <row r="108" spans="1:28" x14ac:dyDescent="0.3">
      <c r="A108" t="s">
        <v>1336</v>
      </c>
      <c r="B108">
        <v>3</v>
      </c>
      <c r="C108">
        <v>35</v>
      </c>
      <c r="D108">
        <v>18</v>
      </c>
      <c r="E108" t="s">
        <v>128</v>
      </c>
      <c r="F108" s="12">
        <v>45313</v>
      </c>
      <c r="G108" t="s">
        <v>2111</v>
      </c>
      <c r="H108" s="12">
        <v>45313</v>
      </c>
      <c r="I108" t="s">
        <v>1689</v>
      </c>
      <c r="J108" t="s">
        <v>1334</v>
      </c>
      <c r="L108">
        <v>39</v>
      </c>
      <c r="P108" t="s">
        <v>106</v>
      </c>
      <c r="Q108" t="s">
        <v>106</v>
      </c>
      <c r="R108" t="s">
        <v>106</v>
      </c>
      <c r="S108" t="s">
        <v>106</v>
      </c>
      <c r="T108" t="s">
        <v>436</v>
      </c>
      <c r="U108" t="s">
        <v>106</v>
      </c>
      <c r="V108" t="s">
        <v>106</v>
      </c>
      <c r="W108" t="s">
        <v>443</v>
      </c>
      <c r="X108" t="s">
        <v>106</v>
      </c>
      <c r="Y108" t="s">
        <v>108</v>
      </c>
      <c r="Z108" t="s">
        <v>108</v>
      </c>
      <c r="AA108" t="s">
        <v>106</v>
      </c>
      <c r="AB108" t="s">
        <v>106</v>
      </c>
    </row>
    <row r="109" spans="1:28" x14ac:dyDescent="0.3">
      <c r="A109" t="s">
        <v>1336</v>
      </c>
      <c r="B109">
        <v>3</v>
      </c>
      <c r="C109">
        <v>35</v>
      </c>
      <c r="D109">
        <v>50</v>
      </c>
      <c r="E109" t="s">
        <v>128</v>
      </c>
      <c r="F109" s="12">
        <v>45313</v>
      </c>
      <c r="G109" t="s">
        <v>467</v>
      </c>
      <c r="H109" s="12">
        <v>45313</v>
      </c>
      <c r="I109" t="s">
        <v>1697</v>
      </c>
      <c r="J109" t="s">
        <v>1334</v>
      </c>
      <c r="L109">
        <v>35.700000000000003</v>
      </c>
      <c r="P109" t="s">
        <v>106</v>
      </c>
      <c r="Q109" t="s">
        <v>106</v>
      </c>
      <c r="R109" t="s">
        <v>106</v>
      </c>
      <c r="S109" t="s">
        <v>106</v>
      </c>
      <c r="T109" t="s">
        <v>2290</v>
      </c>
      <c r="U109" t="s">
        <v>1734</v>
      </c>
      <c r="V109" t="s">
        <v>106</v>
      </c>
      <c r="W109" t="s">
        <v>443</v>
      </c>
      <c r="X109" t="s">
        <v>106</v>
      </c>
      <c r="Y109" t="s">
        <v>108</v>
      </c>
      <c r="Z109" t="s">
        <v>104</v>
      </c>
      <c r="AA109" t="s">
        <v>106</v>
      </c>
      <c r="AB109" t="s">
        <v>106</v>
      </c>
    </row>
    <row r="110" spans="1:28" x14ac:dyDescent="0.3">
      <c r="A110" t="s">
        <v>1336</v>
      </c>
      <c r="B110">
        <v>3</v>
      </c>
      <c r="C110">
        <v>35</v>
      </c>
      <c r="D110">
        <v>61</v>
      </c>
      <c r="E110" t="s">
        <v>128</v>
      </c>
      <c r="F110" s="12">
        <v>45313</v>
      </c>
      <c r="G110" t="s">
        <v>831</v>
      </c>
      <c r="H110" s="12">
        <v>45313</v>
      </c>
      <c r="I110" t="s">
        <v>488</v>
      </c>
      <c r="J110" t="s">
        <v>1334</v>
      </c>
      <c r="L110">
        <v>33.200000000000003</v>
      </c>
      <c r="P110" t="s">
        <v>106</v>
      </c>
      <c r="Q110" t="s">
        <v>106</v>
      </c>
      <c r="R110" t="s">
        <v>106</v>
      </c>
      <c r="S110" t="s">
        <v>106</v>
      </c>
      <c r="T110" t="s">
        <v>780</v>
      </c>
      <c r="U110" t="s">
        <v>106</v>
      </c>
      <c r="V110" t="s">
        <v>106</v>
      </c>
      <c r="W110" t="s">
        <v>373</v>
      </c>
      <c r="X110" t="s">
        <v>106</v>
      </c>
      <c r="Y110" t="s">
        <v>108</v>
      </c>
      <c r="Z110" t="s">
        <v>108</v>
      </c>
      <c r="AA110" t="s">
        <v>1340</v>
      </c>
      <c r="AB110" t="s">
        <v>106</v>
      </c>
    </row>
    <row r="111" spans="1:28" x14ac:dyDescent="0.3">
      <c r="A111" t="s">
        <v>1336</v>
      </c>
      <c r="B111">
        <v>3</v>
      </c>
      <c r="C111">
        <v>35</v>
      </c>
      <c r="D111">
        <v>40</v>
      </c>
      <c r="E111" t="s">
        <v>110</v>
      </c>
      <c r="F111" s="12">
        <v>45313</v>
      </c>
      <c r="G111" t="s">
        <v>1052</v>
      </c>
      <c r="H111" s="12">
        <v>45313</v>
      </c>
      <c r="I111" t="s">
        <v>1689</v>
      </c>
      <c r="J111" t="s">
        <v>1334</v>
      </c>
      <c r="L111">
        <v>37.799999999999997</v>
      </c>
      <c r="P111" t="s">
        <v>106</v>
      </c>
      <c r="Q111" t="s">
        <v>106</v>
      </c>
      <c r="R111" t="s">
        <v>106</v>
      </c>
      <c r="S111" t="s">
        <v>106</v>
      </c>
      <c r="T111" t="s">
        <v>1438</v>
      </c>
      <c r="U111" t="s">
        <v>106</v>
      </c>
      <c r="V111" t="s">
        <v>106</v>
      </c>
      <c r="W111" t="s">
        <v>443</v>
      </c>
      <c r="X111" t="s">
        <v>106</v>
      </c>
      <c r="Y111" t="s">
        <v>108</v>
      </c>
      <c r="Z111" t="s">
        <v>108</v>
      </c>
      <c r="AA111" t="s">
        <v>106</v>
      </c>
      <c r="AB111" t="s">
        <v>1691</v>
      </c>
    </row>
    <row r="112" spans="1:28" x14ac:dyDescent="0.3">
      <c r="A112" t="s">
        <v>1336</v>
      </c>
      <c r="B112">
        <v>3</v>
      </c>
      <c r="C112">
        <v>35</v>
      </c>
      <c r="D112">
        <v>44</v>
      </c>
      <c r="E112" t="s">
        <v>128</v>
      </c>
      <c r="F112" s="12">
        <v>45313</v>
      </c>
      <c r="G112" t="s">
        <v>1702</v>
      </c>
      <c r="H112" s="12">
        <v>45313</v>
      </c>
      <c r="I112" t="s">
        <v>847</v>
      </c>
      <c r="J112" t="s">
        <v>1334</v>
      </c>
      <c r="L112">
        <v>35.9</v>
      </c>
      <c r="P112" t="s">
        <v>106</v>
      </c>
      <c r="Q112" t="s">
        <v>106</v>
      </c>
      <c r="R112" t="s">
        <v>106</v>
      </c>
      <c r="S112" t="s">
        <v>106</v>
      </c>
      <c r="T112" t="s">
        <v>1641</v>
      </c>
      <c r="U112" t="s">
        <v>106</v>
      </c>
      <c r="V112" t="s">
        <v>106</v>
      </c>
      <c r="W112" t="s">
        <v>443</v>
      </c>
      <c r="X112" t="s">
        <v>106</v>
      </c>
      <c r="Y112" t="s">
        <v>108</v>
      </c>
      <c r="Z112" t="s">
        <v>108</v>
      </c>
      <c r="AA112" t="s">
        <v>106</v>
      </c>
      <c r="AB112" t="s">
        <v>106</v>
      </c>
    </row>
    <row r="113" spans="1:28" x14ac:dyDescent="0.3">
      <c r="A113" t="s">
        <v>1336</v>
      </c>
      <c r="B113">
        <v>3</v>
      </c>
      <c r="C113">
        <v>35</v>
      </c>
      <c r="D113">
        <v>41</v>
      </c>
      <c r="E113" t="s">
        <v>128</v>
      </c>
      <c r="F113" s="12">
        <v>45313</v>
      </c>
      <c r="G113" t="s">
        <v>2291</v>
      </c>
      <c r="H113" s="12">
        <v>45313</v>
      </c>
      <c r="I113" t="s">
        <v>847</v>
      </c>
      <c r="J113" t="s">
        <v>1334</v>
      </c>
      <c r="L113">
        <v>36.200000000000003</v>
      </c>
      <c r="P113" t="s">
        <v>106</v>
      </c>
      <c r="Q113" t="s">
        <v>106</v>
      </c>
      <c r="R113" t="s">
        <v>106</v>
      </c>
      <c r="S113" t="s">
        <v>106</v>
      </c>
      <c r="T113" t="s">
        <v>754</v>
      </c>
      <c r="U113" t="s">
        <v>1699</v>
      </c>
      <c r="V113" t="s">
        <v>106</v>
      </c>
      <c r="W113" t="s">
        <v>443</v>
      </c>
      <c r="X113" t="s">
        <v>106</v>
      </c>
      <c r="Y113" t="s">
        <v>108</v>
      </c>
      <c r="Z113" t="s">
        <v>108</v>
      </c>
      <c r="AA113" t="s">
        <v>106</v>
      </c>
      <c r="AB113" t="s">
        <v>106</v>
      </c>
    </row>
    <row r="114" spans="1:28" x14ac:dyDescent="0.3">
      <c r="A114" t="s">
        <v>1336</v>
      </c>
      <c r="B114">
        <v>3</v>
      </c>
      <c r="C114">
        <v>35</v>
      </c>
      <c r="D114">
        <v>45</v>
      </c>
      <c r="E114" t="s">
        <v>308</v>
      </c>
      <c r="F114" s="12">
        <v>45313</v>
      </c>
      <c r="G114" t="s">
        <v>1956</v>
      </c>
      <c r="H114" s="12">
        <v>45313</v>
      </c>
      <c r="I114" t="s">
        <v>642</v>
      </c>
      <c r="J114" t="s">
        <v>1334</v>
      </c>
      <c r="L114">
        <v>36.299999999999997</v>
      </c>
      <c r="P114" t="s">
        <v>106</v>
      </c>
      <c r="Q114" t="s">
        <v>106</v>
      </c>
      <c r="R114" t="s">
        <v>106</v>
      </c>
      <c r="S114" t="s">
        <v>106</v>
      </c>
      <c r="T114" t="s">
        <v>1069</v>
      </c>
      <c r="U114" t="s">
        <v>106</v>
      </c>
      <c r="V114" t="s">
        <v>106</v>
      </c>
      <c r="W114" t="s">
        <v>443</v>
      </c>
      <c r="X114" t="s">
        <v>106</v>
      </c>
      <c r="Y114" t="s">
        <v>108</v>
      </c>
      <c r="Z114" t="s">
        <v>108</v>
      </c>
      <c r="AA114" t="s">
        <v>106</v>
      </c>
      <c r="AB114" t="s">
        <v>106</v>
      </c>
    </row>
    <row r="115" spans="1:28" x14ac:dyDescent="0.3">
      <c r="A115" t="s">
        <v>1336</v>
      </c>
      <c r="B115">
        <v>3</v>
      </c>
      <c r="C115">
        <v>35</v>
      </c>
      <c r="D115">
        <v>51</v>
      </c>
      <c r="E115" t="s">
        <v>128</v>
      </c>
      <c r="F115" s="12">
        <v>45313</v>
      </c>
      <c r="G115" t="s">
        <v>467</v>
      </c>
      <c r="H115" s="12">
        <v>45313</v>
      </c>
      <c r="I115" t="s">
        <v>1697</v>
      </c>
      <c r="J115" t="s">
        <v>1334</v>
      </c>
      <c r="L115">
        <v>34.5</v>
      </c>
      <c r="P115" t="s">
        <v>106</v>
      </c>
      <c r="Q115" t="s">
        <v>106</v>
      </c>
      <c r="R115" t="s">
        <v>106</v>
      </c>
      <c r="S115" t="s">
        <v>106</v>
      </c>
      <c r="T115" t="s">
        <v>1659</v>
      </c>
      <c r="U115" t="s">
        <v>1734</v>
      </c>
      <c r="V115" t="s">
        <v>106</v>
      </c>
      <c r="W115" t="s">
        <v>443</v>
      </c>
      <c r="X115" t="s">
        <v>106</v>
      </c>
      <c r="Y115" t="s">
        <v>108</v>
      </c>
      <c r="Z115" t="s">
        <v>104</v>
      </c>
      <c r="AA115" t="s">
        <v>106</v>
      </c>
      <c r="AB115" t="s">
        <v>106</v>
      </c>
    </row>
    <row r="116" spans="1:28" x14ac:dyDescent="0.3">
      <c r="A116" t="s">
        <v>1336</v>
      </c>
      <c r="B116">
        <v>3</v>
      </c>
      <c r="C116">
        <v>35</v>
      </c>
      <c r="D116">
        <v>20</v>
      </c>
      <c r="E116" t="s">
        <v>128</v>
      </c>
      <c r="F116" s="12">
        <v>45313</v>
      </c>
      <c r="G116" t="s">
        <v>2072</v>
      </c>
      <c r="H116" s="12">
        <v>45313</v>
      </c>
      <c r="I116" t="s">
        <v>1689</v>
      </c>
      <c r="J116" t="s">
        <v>1334</v>
      </c>
      <c r="L116">
        <v>39.1</v>
      </c>
      <c r="P116" t="s">
        <v>106</v>
      </c>
      <c r="Q116" t="s">
        <v>106</v>
      </c>
      <c r="R116" t="s">
        <v>106</v>
      </c>
      <c r="S116" t="s">
        <v>106</v>
      </c>
      <c r="T116" t="s">
        <v>809</v>
      </c>
      <c r="U116" t="s">
        <v>106</v>
      </c>
      <c r="V116" t="s">
        <v>106</v>
      </c>
      <c r="W116" t="s">
        <v>443</v>
      </c>
      <c r="X116" t="s">
        <v>106</v>
      </c>
      <c r="Y116" t="s">
        <v>108</v>
      </c>
      <c r="Z116" t="s">
        <v>108</v>
      </c>
      <c r="AA116" t="s">
        <v>106</v>
      </c>
      <c r="AB116" t="s">
        <v>106</v>
      </c>
    </row>
    <row r="117" spans="1:28" x14ac:dyDescent="0.3">
      <c r="A117" t="s">
        <v>1336</v>
      </c>
      <c r="B117">
        <v>3</v>
      </c>
      <c r="C117">
        <v>35</v>
      </c>
      <c r="D117">
        <v>56</v>
      </c>
      <c r="E117" t="s">
        <v>128</v>
      </c>
      <c r="F117" s="12">
        <v>45313</v>
      </c>
      <c r="G117" t="s">
        <v>412</v>
      </c>
      <c r="H117" s="12">
        <v>45310</v>
      </c>
      <c r="I117" t="s">
        <v>106</v>
      </c>
      <c r="J117" t="s">
        <v>106</v>
      </c>
      <c r="L117">
        <v>35.5</v>
      </c>
      <c r="P117" t="s">
        <v>106</v>
      </c>
      <c r="Q117" t="s">
        <v>106</v>
      </c>
      <c r="R117" t="s">
        <v>106</v>
      </c>
      <c r="S117" t="s">
        <v>106</v>
      </c>
      <c r="T117" t="s">
        <v>1763</v>
      </c>
      <c r="U117" t="s">
        <v>106</v>
      </c>
      <c r="V117" t="s">
        <v>106</v>
      </c>
      <c r="W117" t="s">
        <v>373</v>
      </c>
      <c r="X117" t="s">
        <v>106</v>
      </c>
      <c r="Y117" t="s">
        <v>108</v>
      </c>
      <c r="Z117" t="s">
        <v>108</v>
      </c>
      <c r="AA117" t="s">
        <v>1340</v>
      </c>
      <c r="AB117" t="s">
        <v>106</v>
      </c>
    </row>
    <row r="118" spans="1:28" x14ac:dyDescent="0.3">
      <c r="A118" t="s">
        <v>1336</v>
      </c>
      <c r="B118">
        <v>3</v>
      </c>
      <c r="C118">
        <v>35</v>
      </c>
      <c r="D118">
        <v>33</v>
      </c>
      <c r="E118" t="s">
        <v>128</v>
      </c>
      <c r="F118" s="12">
        <v>45313</v>
      </c>
      <c r="G118" t="s">
        <v>2102</v>
      </c>
      <c r="H118" s="12">
        <v>45313</v>
      </c>
      <c r="I118" t="s">
        <v>1689</v>
      </c>
      <c r="J118" t="s">
        <v>1334</v>
      </c>
      <c r="L118">
        <v>38.299999999999997</v>
      </c>
      <c r="P118" t="s">
        <v>106</v>
      </c>
      <c r="Q118" t="s">
        <v>106</v>
      </c>
      <c r="R118" t="s">
        <v>106</v>
      </c>
      <c r="S118" t="s">
        <v>106</v>
      </c>
      <c r="T118" t="s">
        <v>518</v>
      </c>
      <c r="U118" t="s">
        <v>106</v>
      </c>
      <c r="V118" t="s">
        <v>106</v>
      </c>
      <c r="W118" t="s">
        <v>443</v>
      </c>
      <c r="X118" t="s">
        <v>106</v>
      </c>
      <c r="Y118" t="s">
        <v>108</v>
      </c>
      <c r="Z118" t="s">
        <v>108</v>
      </c>
      <c r="AA118" t="s">
        <v>106</v>
      </c>
      <c r="AB118" t="s">
        <v>2292</v>
      </c>
    </row>
    <row r="119" spans="1:28" x14ac:dyDescent="0.3">
      <c r="A119" t="s">
        <v>1336</v>
      </c>
      <c r="B119">
        <v>3</v>
      </c>
      <c r="C119">
        <v>35</v>
      </c>
      <c r="D119">
        <v>62</v>
      </c>
      <c r="E119" t="s">
        <v>128</v>
      </c>
      <c r="F119" s="12">
        <v>45313</v>
      </c>
      <c r="G119" t="s">
        <v>648</v>
      </c>
      <c r="H119" s="12">
        <v>45313</v>
      </c>
      <c r="I119" t="s">
        <v>488</v>
      </c>
      <c r="J119" t="s">
        <v>1334</v>
      </c>
      <c r="L119">
        <v>33.5</v>
      </c>
      <c r="P119" t="s">
        <v>106</v>
      </c>
      <c r="Q119" t="s">
        <v>106</v>
      </c>
      <c r="R119" t="s">
        <v>106</v>
      </c>
      <c r="S119" t="s">
        <v>106</v>
      </c>
      <c r="T119" t="s">
        <v>2293</v>
      </c>
      <c r="U119" t="s">
        <v>106</v>
      </c>
      <c r="V119" t="s">
        <v>106</v>
      </c>
      <c r="W119" t="s">
        <v>373</v>
      </c>
      <c r="X119" t="s">
        <v>106</v>
      </c>
      <c r="Y119" t="s">
        <v>108</v>
      </c>
      <c r="Z119" t="s">
        <v>108</v>
      </c>
      <c r="AA119" t="s">
        <v>1340</v>
      </c>
      <c r="AB119" t="s">
        <v>106</v>
      </c>
    </row>
    <row r="120" spans="1:28" x14ac:dyDescent="0.3">
      <c r="A120" t="s">
        <v>1336</v>
      </c>
      <c r="B120">
        <v>3</v>
      </c>
      <c r="C120">
        <v>35</v>
      </c>
      <c r="D120">
        <v>32</v>
      </c>
      <c r="E120" t="s">
        <v>110</v>
      </c>
      <c r="F120" s="12">
        <v>45313</v>
      </c>
      <c r="G120" t="s">
        <v>2294</v>
      </c>
      <c r="H120" s="12">
        <v>45313</v>
      </c>
      <c r="I120" t="s">
        <v>1689</v>
      </c>
      <c r="J120" t="s">
        <v>1334</v>
      </c>
      <c r="L120">
        <v>39.5</v>
      </c>
      <c r="P120" t="s">
        <v>106</v>
      </c>
      <c r="Q120" t="s">
        <v>106</v>
      </c>
      <c r="R120" t="s">
        <v>106</v>
      </c>
      <c r="S120" t="s">
        <v>106</v>
      </c>
      <c r="T120" t="s">
        <v>758</v>
      </c>
      <c r="U120" t="s">
        <v>106</v>
      </c>
      <c r="V120" t="s">
        <v>106</v>
      </c>
      <c r="W120" t="s">
        <v>443</v>
      </c>
      <c r="X120" t="s">
        <v>106</v>
      </c>
      <c r="Y120" t="s">
        <v>108</v>
      </c>
      <c r="Z120" t="s">
        <v>109</v>
      </c>
      <c r="AA120" t="s">
        <v>106</v>
      </c>
      <c r="AB120" t="s">
        <v>2295</v>
      </c>
    </row>
    <row r="121" spans="1:28" x14ac:dyDescent="0.3">
      <c r="A121" t="s">
        <v>1336</v>
      </c>
      <c r="B121">
        <v>3</v>
      </c>
      <c r="C121">
        <v>35</v>
      </c>
      <c r="D121">
        <v>34</v>
      </c>
      <c r="E121" t="s">
        <v>110</v>
      </c>
      <c r="F121" s="12">
        <v>45313</v>
      </c>
      <c r="G121" t="s">
        <v>691</v>
      </c>
      <c r="H121" s="12">
        <v>45313</v>
      </c>
      <c r="I121" t="s">
        <v>1689</v>
      </c>
      <c r="J121" t="s">
        <v>1334</v>
      </c>
      <c r="L121">
        <v>18.399999999999999</v>
      </c>
      <c r="P121" t="s">
        <v>106</v>
      </c>
      <c r="Q121" t="s">
        <v>106</v>
      </c>
      <c r="R121" t="s">
        <v>106</v>
      </c>
      <c r="S121" t="s">
        <v>106</v>
      </c>
      <c r="T121" t="s">
        <v>2296</v>
      </c>
      <c r="U121" t="s">
        <v>106</v>
      </c>
      <c r="V121" t="s">
        <v>106</v>
      </c>
      <c r="W121" t="s">
        <v>443</v>
      </c>
      <c r="X121" t="s">
        <v>106</v>
      </c>
      <c r="Y121" t="s">
        <v>108</v>
      </c>
      <c r="Z121" t="s">
        <v>108</v>
      </c>
      <c r="AA121" t="s">
        <v>106</v>
      </c>
      <c r="AB121" t="s">
        <v>2292</v>
      </c>
    </row>
    <row r="122" spans="1:28" x14ac:dyDescent="0.3">
      <c r="A122" t="s">
        <v>1336</v>
      </c>
      <c r="B122">
        <v>3</v>
      </c>
      <c r="C122">
        <v>35</v>
      </c>
      <c r="D122">
        <v>29</v>
      </c>
      <c r="E122" t="s">
        <v>110</v>
      </c>
      <c r="F122" s="12">
        <v>45313</v>
      </c>
      <c r="G122" t="s">
        <v>2297</v>
      </c>
      <c r="H122" s="12">
        <v>45313</v>
      </c>
      <c r="I122" t="s">
        <v>1689</v>
      </c>
      <c r="J122" t="s">
        <v>1334</v>
      </c>
      <c r="L122">
        <v>38.1</v>
      </c>
      <c r="P122" t="s">
        <v>106</v>
      </c>
      <c r="Q122" t="s">
        <v>106</v>
      </c>
      <c r="R122" t="s">
        <v>106</v>
      </c>
      <c r="S122" t="s">
        <v>106</v>
      </c>
      <c r="T122" t="s">
        <v>1622</v>
      </c>
      <c r="U122" t="s">
        <v>106</v>
      </c>
      <c r="V122" t="s">
        <v>106</v>
      </c>
      <c r="W122" t="s">
        <v>443</v>
      </c>
      <c r="X122" t="s">
        <v>106</v>
      </c>
      <c r="Y122" t="s">
        <v>108</v>
      </c>
      <c r="Z122" t="s">
        <v>109</v>
      </c>
      <c r="AA122" t="s">
        <v>106</v>
      </c>
      <c r="AB122" t="s">
        <v>2298</v>
      </c>
    </row>
    <row r="123" spans="1:28" x14ac:dyDescent="0.3">
      <c r="A123" t="s">
        <v>1336</v>
      </c>
      <c r="B123">
        <v>3</v>
      </c>
      <c r="C123">
        <v>35</v>
      </c>
      <c r="D123">
        <v>55</v>
      </c>
      <c r="E123" t="s">
        <v>128</v>
      </c>
      <c r="F123" s="12">
        <v>45313</v>
      </c>
      <c r="G123" t="s">
        <v>1470</v>
      </c>
      <c r="H123" s="12">
        <v>45310</v>
      </c>
      <c r="I123" t="s">
        <v>106</v>
      </c>
      <c r="J123" t="s">
        <v>106</v>
      </c>
      <c r="L123">
        <v>37.200000000000003</v>
      </c>
      <c r="P123" t="s">
        <v>106</v>
      </c>
      <c r="Q123" t="s">
        <v>106</v>
      </c>
      <c r="R123" t="s">
        <v>106</v>
      </c>
      <c r="S123" t="s">
        <v>106</v>
      </c>
      <c r="T123" t="s">
        <v>1516</v>
      </c>
      <c r="U123" t="s">
        <v>106</v>
      </c>
      <c r="V123" t="s">
        <v>106</v>
      </c>
      <c r="W123" t="s">
        <v>373</v>
      </c>
      <c r="X123" t="s">
        <v>106</v>
      </c>
      <c r="Y123" t="s">
        <v>108</v>
      </c>
      <c r="Z123" t="s">
        <v>108</v>
      </c>
      <c r="AA123" t="s">
        <v>1340</v>
      </c>
      <c r="AB123" t="s">
        <v>106</v>
      </c>
    </row>
    <row r="124" spans="1:28" x14ac:dyDescent="0.3">
      <c r="A124" t="s">
        <v>1336</v>
      </c>
      <c r="B124">
        <v>3</v>
      </c>
      <c r="C124">
        <v>35</v>
      </c>
      <c r="D124">
        <v>19</v>
      </c>
      <c r="E124" t="s">
        <v>128</v>
      </c>
      <c r="F124" s="12">
        <v>45313</v>
      </c>
      <c r="G124" t="s">
        <v>1618</v>
      </c>
      <c r="H124" s="12">
        <v>45313</v>
      </c>
      <c r="I124" t="s">
        <v>1689</v>
      </c>
      <c r="J124" t="s">
        <v>1334</v>
      </c>
      <c r="L124">
        <v>37.799999999999997</v>
      </c>
      <c r="P124" t="s">
        <v>106</v>
      </c>
      <c r="Q124" t="s">
        <v>106</v>
      </c>
      <c r="R124" t="s">
        <v>106</v>
      </c>
      <c r="S124" t="s">
        <v>106</v>
      </c>
      <c r="T124" t="s">
        <v>778</v>
      </c>
      <c r="U124" t="s">
        <v>106</v>
      </c>
      <c r="V124" t="s">
        <v>106</v>
      </c>
      <c r="W124" t="s">
        <v>443</v>
      </c>
      <c r="X124" t="s">
        <v>106</v>
      </c>
      <c r="Y124" t="s">
        <v>108</v>
      </c>
      <c r="Z124" t="s">
        <v>108</v>
      </c>
      <c r="AA124" t="s">
        <v>106</v>
      </c>
      <c r="AB124" t="s">
        <v>106</v>
      </c>
    </row>
    <row r="125" spans="1:28" x14ac:dyDescent="0.3">
      <c r="A125" t="s">
        <v>1336</v>
      </c>
      <c r="B125">
        <v>3</v>
      </c>
      <c r="C125">
        <v>35</v>
      </c>
      <c r="D125">
        <v>28</v>
      </c>
      <c r="E125" t="s">
        <v>110</v>
      </c>
      <c r="F125" s="12">
        <v>45313</v>
      </c>
      <c r="G125" t="s">
        <v>2297</v>
      </c>
      <c r="H125" s="12">
        <v>45313</v>
      </c>
      <c r="I125" t="s">
        <v>1689</v>
      </c>
      <c r="J125" t="s">
        <v>1334</v>
      </c>
      <c r="L125">
        <v>29</v>
      </c>
      <c r="P125" t="s">
        <v>106</v>
      </c>
      <c r="Q125" t="s">
        <v>106</v>
      </c>
      <c r="R125" t="s">
        <v>106</v>
      </c>
      <c r="S125" t="s">
        <v>106</v>
      </c>
      <c r="T125" t="s">
        <v>1438</v>
      </c>
      <c r="U125" t="s">
        <v>106</v>
      </c>
      <c r="V125" t="s">
        <v>106</v>
      </c>
      <c r="W125" t="s">
        <v>443</v>
      </c>
      <c r="X125" t="s">
        <v>106</v>
      </c>
      <c r="Y125" t="s">
        <v>108</v>
      </c>
      <c r="Z125" t="s">
        <v>109</v>
      </c>
      <c r="AA125" t="s">
        <v>106</v>
      </c>
      <c r="AB125" t="s">
        <v>2299</v>
      </c>
    </row>
    <row r="126" spans="1:28" x14ac:dyDescent="0.3">
      <c r="A126" t="s">
        <v>1336</v>
      </c>
      <c r="B126">
        <v>3</v>
      </c>
      <c r="C126">
        <v>35</v>
      </c>
      <c r="D126">
        <v>65</v>
      </c>
      <c r="E126" t="s">
        <v>110</v>
      </c>
      <c r="F126" s="12">
        <v>45313</v>
      </c>
      <c r="G126" t="s">
        <v>388</v>
      </c>
      <c r="H126" s="12">
        <v>45313</v>
      </c>
      <c r="I126" t="s">
        <v>106</v>
      </c>
      <c r="J126" t="s">
        <v>1334</v>
      </c>
      <c r="L126">
        <v>34.700000000000003</v>
      </c>
      <c r="P126" t="s">
        <v>106</v>
      </c>
      <c r="Q126" t="s">
        <v>106</v>
      </c>
      <c r="R126" t="s">
        <v>106</v>
      </c>
      <c r="S126" t="s">
        <v>106</v>
      </c>
      <c r="T126" t="s">
        <v>872</v>
      </c>
      <c r="U126" t="s">
        <v>106</v>
      </c>
      <c r="V126" t="s">
        <v>106</v>
      </c>
      <c r="W126" t="s">
        <v>373</v>
      </c>
      <c r="X126" t="s">
        <v>106</v>
      </c>
      <c r="Y126" t="s">
        <v>108</v>
      </c>
      <c r="Z126" t="s">
        <v>108</v>
      </c>
      <c r="AA126" t="s">
        <v>1340</v>
      </c>
      <c r="AB126" t="s">
        <v>1692</v>
      </c>
    </row>
    <row r="127" spans="1:28" x14ac:dyDescent="0.3">
      <c r="A127" t="s">
        <v>1336</v>
      </c>
      <c r="B127">
        <v>3</v>
      </c>
      <c r="C127">
        <v>35</v>
      </c>
      <c r="D127">
        <v>70</v>
      </c>
      <c r="E127" t="s">
        <v>128</v>
      </c>
      <c r="F127" s="12">
        <v>45313</v>
      </c>
      <c r="G127" t="s">
        <v>491</v>
      </c>
      <c r="H127" s="12">
        <v>45313</v>
      </c>
      <c r="I127" t="s">
        <v>1339</v>
      </c>
      <c r="J127" t="s">
        <v>1334</v>
      </c>
      <c r="L127">
        <v>34.799999999999997</v>
      </c>
      <c r="P127" t="s">
        <v>106</v>
      </c>
      <c r="Q127" t="s">
        <v>106</v>
      </c>
      <c r="R127" t="s">
        <v>106</v>
      </c>
      <c r="S127" t="s">
        <v>106</v>
      </c>
      <c r="T127" t="s">
        <v>749</v>
      </c>
      <c r="U127" t="s">
        <v>106</v>
      </c>
      <c r="V127" t="s">
        <v>106</v>
      </c>
      <c r="W127" t="s">
        <v>373</v>
      </c>
      <c r="X127" t="s">
        <v>106</v>
      </c>
      <c r="Y127" t="s">
        <v>108</v>
      </c>
      <c r="Z127" t="s">
        <v>108</v>
      </c>
      <c r="AA127" t="s">
        <v>1340</v>
      </c>
      <c r="AB127" t="s">
        <v>106</v>
      </c>
    </row>
    <row r="128" spans="1:28" x14ac:dyDescent="0.3">
      <c r="A128" t="s">
        <v>1336</v>
      </c>
      <c r="B128">
        <v>3</v>
      </c>
      <c r="C128">
        <v>35</v>
      </c>
      <c r="D128">
        <v>35</v>
      </c>
      <c r="E128" t="s">
        <v>110</v>
      </c>
      <c r="F128" s="12">
        <v>45313</v>
      </c>
      <c r="G128" t="s">
        <v>838</v>
      </c>
      <c r="H128" s="12">
        <v>45313</v>
      </c>
      <c r="I128" t="s">
        <v>1689</v>
      </c>
      <c r="J128" t="s">
        <v>1334</v>
      </c>
      <c r="L128">
        <v>36.700000000000003</v>
      </c>
      <c r="P128" t="s">
        <v>106</v>
      </c>
      <c r="Q128" t="s">
        <v>106</v>
      </c>
      <c r="R128" t="s">
        <v>106</v>
      </c>
      <c r="S128" t="s">
        <v>106</v>
      </c>
      <c r="T128" t="s">
        <v>523</v>
      </c>
      <c r="U128" t="s">
        <v>106</v>
      </c>
      <c r="V128" t="s">
        <v>106</v>
      </c>
      <c r="W128" t="s">
        <v>443</v>
      </c>
      <c r="X128" t="s">
        <v>106</v>
      </c>
      <c r="Y128" t="s">
        <v>108</v>
      </c>
      <c r="Z128" t="s">
        <v>108</v>
      </c>
      <c r="AA128" t="s">
        <v>2300</v>
      </c>
      <c r="AB128" t="s">
        <v>2292</v>
      </c>
    </row>
    <row r="129" spans="1:28" x14ac:dyDescent="0.3">
      <c r="A129" t="s">
        <v>1336</v>
      </c>
      <c r="B129">
        <v>3</v>
      </c>
      <c r="C129">
        <v>35</v>
      </c>
      <c r="D129">
        <v>36</v>
      </c>
      <c r="E129" t="s">
        <v>110</v>
      </c>
      <c r="F129" s="12">
        <v>45313</v>
      </c>
      <c r="G129" t="s">
        <v>838</v>
      </c>
      <c r="H129" s="12">
        <v>45313</v>
      </c>
      <c r="I129" t="s">
        <v>1689</v>
      </c>
      <c r="J129" t="s">
        <v>1334</v>
      </c>
      <c r="L129">
        <v>36.700000000000003</v>
      </c>
      <c r="P129" t="s">
        <v>106</v>
      </c>
      <c r="Q129" t="s">
        <v>106</v>
      </c>
      <c r="R129" t="s">
        <v>106</v>
      </c>
      <c r="S129" t="s">
        <v>106</v>
      </c>
      <c r="T129" t="s">
        <v>1690</v>
      </c>
      <c r="U129" t="s">
        <v>106</v>
      </c>
      <c r="V129" t="s">
        <v>106</v>
      </c>
      <c r="W129" t="s">
        <v>443</v>
      </c>
      <c r="X129" t="s">
        <v>106</v>
      </c>
      <c r="Y129" t="s">
        <v>108</v>
      </c>
      <c r="Z129" t="s">
        <v>108</v>
      </c>
      <c r="AA129" t="s">
        <v>106</v>
      </c>
      <c r="AB129" t="s">
        <v>2301</v>
      </c>
    </row>
    <row r="130" spans="1:28" x14ac:dyDescent="0.3">
      <c r="A130" t="s">
        <v>1336</v>
      </c>
      <c r="B130">
        <v>3</v>
      </c>
      <c r="C130">
        <v>35</v>
      </c>
      <c r="D130">
        <v>26</v>
      </c>
      <c r="E130" t="s">
        <v>110</v>
      </c>
      <c r="F130" s="12">
        <v>45313</v>
      </c>
      <c r="G130" t="s">
        <v>2297</v>
      </c>
      <c r="H130" s="12">
        <v>45313</v>
      </c>
      <c r="I130" t="s">
        <v>1689</v>
      </c>
      <c r="J130" t="s">
        <v>1334</v>
      </c>
      <c r="L130">
        <v>37.9</v>
      </c>
      <c r="P130" t="s">
        <v>106</v>
      </c>
      <c r="Q130" t="s">
        <v>106</v>
      </c>
      <c r="R130" t="s">
        <v>106</v>
      </c>
      <c r="S130" t="s">
        <v>106</v>
      </c>
      <c r="T130" t="s">
        <v>2302</v>
      </c>
      <c r="U130" t="s">
        <v>106</v>
      </c>
      <c r="V130" t="s">
        <v>106</v>
      </c>
      <c r="W130" t="s">
        <v>443</v>
      </c>
      <c r="X130" t="s">
        <v>106</v>
      </c>
      <c r="Y130" t="s">
        <v>108</v>
      </c>
      <c r="Z130" t="s">
        <v>109</v>
      </c>
      <c r="AA130" t="s">
        <v>106</v>
      </c>
      <c r="AB130" t="s">
        <v>2303</v>
      </c>
    </row>
    <row r="131" spans="1:28" x14ac:dyDescent="0.3">
      <c r="A131" t="s">
        <v>1336</v>
      </c>
      <c r="B131">
        <v>3</v>
      </c>
      <c r="C131">
        <v>35</v>
      </c>
      <c r="D131">
        <v>23</v>
      </c>
      <c r="E131" t="s">
        <v>308</v>
      </c>
      <c r="F131" s="12">
        <v>45313</v>
      </c>
      <c r="G131" t="s">
        <v>2304</v>
      </c>
      <c r="H131" s="12">
        <v>45313</v>
      </c>
      <c r="I131" t="s">
        <v>1689</v>
      </c>
      <c r="J131" t="s">
        <v>1334</v>
      </c>
      <c r="L131">
        <v>32.5</v>
      </c>
      <c r="P131" t="s">
        <v>106</v>
      </c>
      <c r="Q131" t="s">
        <v>106</v>
      </c>
      <c r="R131" t="s">
        <v>106</v>
      </c>
      <c r="S131" t="s">
        <v>106</v>
      </c>
      <c r="T131" t="s">
        <v>1120</v>
      </c>
      <c r="U131" t="s">
        <v>106</v>
      </c>
      <c r="V131" t="s">
        <v>106</v>
      </c>
      <c r="W131" t="s">
        <v>443</v>
      </c>
      <c r="X131" t="s">
        <v>106</v>
      </c>
      <c r="Y131" t="s">
        <v>108</v>
      </c>
      <c r="Z131" t="s">
        <v>108</v>
      </c>
      <c r="AA131" t="s">
        <v>106</v>
      </c>
      <c r="AB131" t="s">
        <v>106</v>
      </c>
    </row>
    <row r="132" spans="1:28" x14ac:dyDescent="0.3">
      <c r="A132" t="s">
        <v>1336</v>
      </c>
      <c r="B132">
        <v>3</v>
      </c>
      <c r="C132">
        <v>35</v>
      </c>
      <c r="D132">
        <v>21</v>
      </c>
      <c r="E132" t="s">
        <v>128</v>
      </c>
      <c r="F132" s="12">
        <v>45313</v>
      </c>
      <c r="G132" t="s">
        <v>2141</v>
      </c>
      <c r="H132" s="12">
        <v>45313</v>
      </c>
      <c r="I132" t="s">
        <v>1689</v>
      </c>
      <c r="J132" t="s">
        <v>1334</v>
      </c>
      <c r="L132">
        <v>39.6</v>
      </c>
      <c r="P132" t="s">
        <v>106</v>
      </c>
      <c r="Q132" t="s">
        <v>106</v>
      </c>
      <c r="R132" t="s">
        <v>106</v>
      </c>
      <c r="S132" t="s">
        <v>106</v>
      </c>
      <c r="T132" t="s">
        <v>1372</v>
      </c>
      <c r="U132" t="s">
        <v>106</v>
      </c>
      <c r="V132" t="s">
        <v>106</v>
      </c>
      <c r="W132" t="s">
        <v>443</v>
      </c>
      <c r="X132" t="s">
        <v>106</v>
      </c>
      <c r="Y132" t="s">
        <v>108</v>
      </c>
      <c r="Z132" t="s">
        <v>108</v>
      </c>
      <c r="AA132" t="s">
        <v>106</v>
      </c>
      <c r="AB132" t="s">
        <v>106</v>
      </c>
    </row>
    <row r="133" spans="1:28" x14ac:dyDescent="0.3">
      <c r="A133" t="s">
        <v>1336</v>
      </c>
      <c r="B133">
        <v>3</v>
      </c>
      <c r="C133">
        <v>35</v>
      </c>
      <c r="D133">
        <v>69</v>
      </c>
      <c r="E133" t="s">
        <v>128</v>
      </c>
      <c r="F133" s="12">
        <v>45313</v>
      </c>
      <c r="G133" t="s">
        <v>1086</v>
      </c>
      <c r="H133" s="12">
        <v>45313</v>
      </c>
      <c r="I133" t="s">
        <v>1339</v>
      </c>
      <c r="J133" t="s">
        <v>1334</v>
      </c>
      <c r="L133">
        <v>32.799999999999997</v>
      </c>
      <c r="P133" t="s">
        <v>106</v>
      </c>
      <c r="Q133" t="s">
        <v>106</v>
      </c>
      <c r="R133" t="s">
        <v>106</v>
      </c>
      <c r="S133" t="s">
        <v>106</v>
      </c>
      <c r="T133" t="s">
        <v>2302</v>
      </c>
      <c r="U133" t="s">
        <v>106</v>
      </c>
      <c r="V133" t="s">
        <v>106</v>
      </c>
      <c r="W133" t="s">
        <v>373</v>
      </c>
      <c r="X133" t="s">
        <v>106</v>
      </c>
      <c r="Y133" t="s">
        <v>108</v>
      </c>
      <c r="Z133" t="s">
        <v>108</v>
      </c>
      <c r="AA133" t="s">
        <v>1340</v>
      </c>
      <c r="AB133" t="s">
        <v>106</v>
      </c>
    </row>
    <row r="134" spans="1:28" x14ac:dyDescent="0.3">
      <c r="A134" t="s">
        <v>1336</v>
      </c>
      <c r="B134">
        <v>3</v>
      </c>
      <c r="C134">
        <v>35</v>
      </c>
      <c r="D134">
        <v>27</v>
      </c>
      <c r="E134" t="s">
        <v>110</v>
      </c>
      <c r="F134" s="12">
        <v>45313</v>
      </c>
      <c r="G134" t="s">
        <v>2297</v>
      </c>
      <c r="H134" s="12">
        <v>45313</v>
      </c>
      <c r="I134" t="s">
        <v>1689</v>
      </c>
      <c r="J134" t="s">
        <v>1334</v>
      </c>
      <c r="L134">
        <v>38.5</v>
      </c>
      <c r="P134" t="s">
        <v>106</v>
      </c>
      <c r="Q134" t="s">
        <v>106</v>
      </c>
      <c r="R134" t="s">
        <v>106</v>
      </c>
      <c r="S134" t="s">
        <v>106</v>
      </c>
      <c r="T134" t="s">
        <v>106</v>
      </c>
      <c r="U134" t="s">
        <v>106</v>
      </c>
      <c r="V134" t="s">
        <v>106</v>
      </c>
      <c r="W134" t="s">
        <v>443</v>
      </c>
      <c r="X134" t="s">
        <v>106</v>
      </c>
      <c r="Y134" t="s">
        <v>108</v>
      </c>
      <c r="Z134" t="s">
        <v>109</v>
      </c>
      <c r="AA134" t="s">
        <v>106</v>
      </c>
      <c r="AB134" t="s">
        <v>2305</v>
      </c>
    </row>
    <row r="135" spans="1:28" x14ac:dyDescent="0.3">
      <c r="A135" t="s">
        <v>1336</v>
      </c>
      <c r="B135">
        <v>4</v>
      </c>
      <c r="C135">
        <v>60</v>
      </c>
      <c r="D135">
        <v>22</v>
      </c>
      <c r="E135" t="s">
        <v>128</v>
      </c>
      <c r="F135" s="12">
        <v>45313</v>
      </c>
      <c r="G135" t="s">
        <v>2006</v>
      </c>
      <c r="H135" s="12">
        <v>45313</v>
      </c>
      <c r="I135" t="s">
        <v>1689</v>
      </c>
      <c r="J135" t="s">
        <v>1334</v>
      </c>
      <c r="L135">
        <v>67.7</v>
      </c>
      <c r="P135" t="s">
        <v>106</v>
      </c>
      <c r="Q135" t="s">
        <v>106</v>
      </c>
      <c r="R135" t="s">
        <v>106</v>
      </c>
      <c r="S135" t="s">
        <v>106</v>
      </c>
      <c r="T135" t="s">
        <v>777</v>
      </c>
      <c r="U135" t="s">
        <v>106</v>
      </c>
      <c r="V135" t="s">
        <v>106</v>
      </c>
      <c r="W135" t="s">
        <v>443</v>
      </c>
      <c r="X135" t="s">
        <v>106</v>
      </c>
      <c r="Y135" t="s">
        <v>108</v>
      </c>
      <c r="Z135" t="s">
        <v>104</v>
      </c>
      <c r="AA135" t="s">
        <v>106</v>
      </c>
      <c r="AB135" t="s">
        <v>106</v>
      </c>
    </row>
    <row r="136" spans="1:28" x14ac:dyDescent="0.3">
      <c r="A136" t="s">
        <v>1336</v>
      </c>
      <c r="B136">
        <v>4</v>
      </c>
      <c r="C136">
        <v>60</v>
      </c>
      <c r="D136">
        <v>24</v>
      </c>
      <c r="E136" t="s">
        <v>308</v>
      </c>
      <c r="F136" s="12">
        <v>45313</v>
      </c>
      <c r="G136" t="s">
        <v>2622</v>
      </c>
      <c r="H136" s="12">
        <v>45313</v>
      </c>
      <c r="I136" t="s">
        <v>1689</v>
      </c>
      <c r="J136" t="s">
        <v>1334</v>
      </c>
      <c r="L136">
        <v>55.8</v>
      </c>
      <c r="P136" t="s">
        <v>106</v>
      </c>
      <c r="Q136" t="s">
        <v>106</v>
      </c>
      <c r="R136" t="s">
        <v>106</v>
      </c>
      <c r="S136" t="s">
        <v>106</v>
      </c>
      <c r="T136" t="s">
        <v>1529</v>
      </c>
      <c r="U136" t="s">
        <v>106</v>
      </c>
      <c r="V136" t="s">
        <v>106</v>
      </c>
      <c r="W136" t="s">
        <v>443</v>
      </c>
      <c r="X136" t="s">
        <v>106</v>
      </c>
      <c r="Y136" t="s">
        <v>108</v>
      </c>
      <c r="Z136" t="s">
        <v>104</v>
      </c>
      <c r="AA136" t="s">
        <v>106</v>
      </c>
      <c r="AB136" t="s">
        <v>106</v>
      </c>
    </row>
    <row r="137" spans="1:28" x14ac:dyDescent="0.3">
      <c r="A137" t="s">
        <v>1336</v>
      </c>
      <c r="B137">
        <v>4</v>
      </c>
      <c r="C137">
        <v>60</v>
      </c>
      <c r="D137">
        <v>30</v>
      </c>
      <c r="E137" t="s">
        <v>110</v>
      </c>
      <c r="F137" s="12">
        <v>45313</v>
      </c>
      <c r="G137" t="s">
        <v>2623</v>
      </c>
      <c r="H137" s="12">
        <v>45313</v>
      </c>
      <c r="I137" t="s">
        <v>1689</v>
      </c>
      <c r="J137" t="s">
        <v>1334</v>
      </c>
      <c r="L137">
        <v>64.2</v>
      </c>
      <c r="P137" t="s">
        <v>106</v>
      </c>
      <c r="Q137" t="s">
        <v>106</v>
      </c>
      <c r="R137" t="s">
        <v>106</v>
      </c>
      <c r="S137" t="s">
        <v>106</v>
      </c>
      <c r="T137" t="s">
        <v>851</v>
      </c>
      <c r="U137" t="s">
        <v>106</v>
      </c>
      <c r="V137" t="s">
        <v>106</v>
      </c>
      <c r="W137" t="s">
        <v>443</v>
      </c>
      <c r="X137" t="s">
        <v>106</v>
      </c>
      <c r="Y137" t="s">
        <v>108</v>
      </c>
      <c r="Z137" t="s">
        <v>109</v>
      </c>
      <c r="AA137" t="s">
        <v>106</v>
      </c>
      <c r="AB137" t="s">
        <v>2298</v>
      </c>
    </row>
    <row r="138" spans="1:28" x14ac:dyDescent="0.3">
      <c r="A138" t="s">
        <v>1336</v>
      </c>
      <c r="B138">
        <v>4</v>
      </c>
      <c r="C138">
        <v>60</v>
      </c>
      <c r="D138">
        <v>31</v>
      </c>
      <c r="E138" t="s">
        <v>110</v>
      </c>
      <c r="F138" s="12">
        <v>45313</v>
      </c>
      <c r="G138" t="s">
        <v>2294</v>
      </c>
      <c r="H138" s="12">
        <v>45313</v>
      </c>
      <c r="I138" t="s">
        <v>1689</v>
      </c>
      <c r="J138" t="s">
        <v>1334</v>
      </c>
      <c r="L138">
        <v>64.599999999999994</v>
      </c>
      <c r="P138" t="s">
        <v>106</v>
      </c>
      <c r="Q138" t="s">
        <v>106</v>
      </c>
      <c r="R138" t="s">
        <v>106</v>
      </c>
      <c r="S138" t="s">
        <v>106</v>
      </c>
      <c r="T138" t="s">
        <v>1638</v>
      </c>
      <c r="U138" t="s">
        <v>106</v>
      </c>
      <c r="V138" t="s">
        <v>106</v>
      </c>
      <c r="W138" t="s">
        <v>443</v>
      </c>
      <c r="X138" t="s">
        <v>106</v>
      </c>
      <c r="Y138" t="s">
        <v>108</v>
      </c>
      <c r="Z138" t="s">
        <v>109</v>
      </c>
      <c r="AA138" t="s">
        <v>106</v>
      </c>
      <c r="AB138" t="s">
        <v>2624</v>
      </c>
    </row>
    <row r="139" spans="1:28" x14ac:dyDescent="0.3">
      <c r="A139" t="s">
        <v>1336</v>
      </c>
      <c r="B139">
        <v>4</v>
      </c>
      <c r="C139">
        <v>60</v>
      </c>
      <c r="D139">
        <v>39</v>
      </c>
      <c r="E139" t="s">
        <v>110</v>
      </c>
      <c r="F139" s="12">
        <v>45313</v>
      </c>
      <c r="G139" t="s">
        <v>1052</v>
      </c>
      <c r="H139" s="12">
        <v>45313</v>
      </c>
      <c r="I139" t="s">
        <v>1689</v>
      </c>
      <c r="J139" t="s">
        <v>1334</v>
      </c>
      <c r="L139">
        <v>67.900000000000006</v>
      </c>
      <c r="P139" t="s">
        <v>106</v>
      </c>
      <c r="Q139" t="s">
        <v>106</v>
      </c>
      <c r="R139" t="s">
        <v>106</v>
      </c>
      <c r="S139" t="s">
        <v>106</v>
      </c>
      <c r="T139" t="s">
        <v>523</v>
      </c>
      <c r="U139" t="s">
        <v>106</v>
      </c>
      <c r="V139" t="s">
        <v>106</v>
      </c>
      <c r="W139" t="s">
        <v>443</v>
      </c>
      <c r="X139" t="s">
        <v>106</v>
      </c>
      <c r="Y139" t="s">
        <v>108</v>
      </c>
      <c r="Z139" t="s">
        <v>104</v>
      </c>
      <c r="AA139" t="s">
        <v>106</v>
      </c>
      <c r="AB139" t="s">
        <v>1691</v>
      </c>
    </row>
    <row r="140" spans="1:28" x14ac:dyDescent="0.3">
      <c r="A140" t="s">
        <v>1336</v>
      </c>
      <c r="B140">
        <v>4</v>
      </c>
      <c r="C140">
        <v>60</v>
      </c>
      <c r="D140">
        <v>37</v>
      </c>
      <c r="E140" t="s">
        <v>110</v>
      </c>
      <c r="F140" s="12">
        <v>45313</v>
      </c>
      <c r="G140" t="s">
        <v>535</v>
      </c>
      <c r="H140" s="12">
        <v>45313</v>
      </c>
      <c r="I140" t="s">
        <v>1689</v>
      </c>
      <c r="J140" t="s">
        <v>1334</v>
      </c>
      <c r="L140">
        <v>66.8</v>
      </c>
      <c r="P140" t="s">
        <v>106</v>
      </c>
      <c r="Q140" t="s">
        <v>106</v>
      </c>
      <c r="R140" t="s">
        <v>106</v>
      </c>
      <c r="S140" t="s">
        <v>106</v>
      </c>
      <c r="T140" t="s">
        <v>1568</v>
      </c>
      <c r="U140" t="s">
        <v>106</v>
      </c>
      <c r="V140" t="s">
        <v>106</v>
      </c>
      <c r="W140" t="s">
        <v>443</v>
      </c>
      <c r="X140" t="s">
        <v>106</v>
      </c>
      <c r="Y140" t="s">
        <v>108</v>
      </c>
      <c r="Z140" t="s">
        <v>104</v>
      </c>
      <c r="AA140" t="s">
        <v>106</v>
      </c>
      <c r="AB140" t="s">
        <v>2301</v>
      </c>
    </row>
    <row r="141" spans="1:28" x14ac:dyDescent="0.3">
      <c r="A141" t="s">
        <v>1336</v>
      </c>
      <c r="B141">
        <v>4</v>
      </c>
      <c r="C141">
        <v>60</v>
      </c>
      <c r="D141">
        <v>48</v>
      </c>
      <c r="E141" t="s">
        <v>128</v>
      </c>
      <c r="F141" s="12">
        <v>45313</v>
      </c>
      <c r="G141" t="s">
        <v>751</v>
      </c>
      <c r="H141" s="12">
        <v>45313</v>
      </c>
      <c r="I141" t="s">
        <v>1689</v>
      </c>
      <c r="J141" t="s">
        <v>1334</v>
      </c>
      <c r="L141">
        <v>61.7</v>
      </c>
      <c r="P141" t="s">
        <v>106</v>
      </c>
      <c r="Q141" t="s">
        <v>106</v>
      </c>
      <c r="R141" t="s">
        <v>106</v>
      </c>
      <c r="S141" t="s">
        <v>106</v>
      </c>
      <c r="T141" t="s">
        <v>2547</v>
      </c>
      <c r="U141" t="s">
        <v>106</v>
      </c>
      <c r="V141" t="s">
        <v>106</v>
      </c>
      <c r="W141" t="s">
        <v>443</v>
      </c>
      <c r="X141" t="s">
        <v>106</v>
      </c>
      <c r="Y141" t="s">
        <v>108</v>
      </c>
      <c r="Z141" t="s">
        <v>104</v>
      </c>
      <c r="AA141" t="s">
        <v>106</v>
      </c>
      <c r="AB141" t="s">
        <v>106</v>
      </c>
    </row>
    <row r="142" spans="1:28" x14ac:dyDescent="0.3">
      <c r="A142" t="s">
        <v>1336</v>
      </c>
      <c r="B142">
        <v>4</v>
      </c>
      <c r="C142">
        <v>60</v>
      </c>
      <c r="D142">
        <v>49</v>
      </c>
      <c r="E142" t="s">
        <v>128</v>
      </c>
      <c r="F142" s="12">
        <v>45313</v>
      </c>
      <c r="G142" t="s">
        <v>467</v>
      </c>
      <c r="H142" s="12">
        <v>45313</v>
      </c>
      <c r="I142" t="s">
        <v>1697</v>
      </c>
      <c r="J142" t="s">
        <v>1334</v>
      </c>
      <c r="L142">
        <v>61.5</v>
      </c>
      <c r="P142" t="s">
        <v>106</v>
      </c>
      <c r="Q142" t="s">
        <v>106</v>
      </c>
      <c r="R142" t="s">
        <v>106</v>
      </c>
      <c r="S142" t="s">
        <v>106</v>
      </c>
      <c r="T142" t="s">
        <v>2290</v>
      </c>
      <c r="U142" t="s">
        <v>1699</v>
      </c>
      <c r="V142" t="s">
        <v>106</v>
      </c>
      <c r="W142" t="s">
        <v>443</v>
      </c>
      <c r="X142" t="s">
        <v>106</v>
      </c>
      <c r="Y142" t="s">
        <v>108</v>
      </c>
      <c r="Z142" t="s">
        <v>104</v>
      </c>
      <c r="AA142" t="s">
        <v>106</v>
      </c>
      <c r="AB142" t="s">
        <v>106</v>
      </c>
    </row>
    <row r="143" spans="1:28" x14ac:dyDescent="0.3">
      <c r="A143" t="s">
        <v>1336</v>
      </c>
      <c r="B143">
        <v>4</v>
      </c>
      <c r="C143">
        <v>60</v>
      </c>
      <c r="D143">
        <v>57</v>
      </c>
      <c r="E143" t="s">
        <v>128</v>
      </c>
      <c r="F143" s="12">
        <v>45313</v>
      </c>
      <c r="G143" t="s">
        <v>445</v>
      </c>
      <c r="H143" s="12">
        <v>45310</v>
      </c>
      <c r="I143" t="s">
        <v>106</v>
      </c>
      <c r="J143" t="s">
        <v>106</v>
      </c>
      <c r="L143">
        <v>64.400000000000006</v>
      </c>
      <c r="P143" t="s">
        <v>106</v>
      </c>
      <c r="Q143" t="s">
        <v>106</v>
      </c>
      <c r="R143" t="s">
        <v>106</v>
      </c>
      <c r="S143" t="s">
        <v>106</v>
      </c>
      <c r="T143" t="s">
        <v>2049</v>
      </c>
      <c r="U143" t="s">
        <v>106</v>
      </c>
      <c r="V143" t="s">
        <v>106</v>
      </c>
      <c r="W143" t="s">
        <v>373</v>
      </c>
      <c r="X143" t="s">
        <v>106</v>
      </c>
      <c r="Y143" t="s">
        <v>108</v>
      </c>
      <c r="Z143" t="s">
        <v>104</v>
      </c>
      <c r="AA143" t="s">
        <v>1340</v>
      </c>
      <c r="AB143" t="s">
        <v>106</v>
      </c>
    </row>
    <row r="144" spans="1:28" x14ac:dyDescent="0.3">
      <c r="A144" t="s">
        <v>1336</v>
      </c>
      <c r="B144">
        <v>4</v>
      </c>
      <c r="C144">
        <v>60</v>
      </c>
      <c r="D144">
        <v>58</v>
      </c>
      <c r="E144" t="s">
        <v>128</v>
      </c>
      <c r="F144" s="12">
        <v>45313</v>
      </c>
      <c r="G144" t="s">
        <v>549</v>
      </c>
      <c r="H144" s="12">
        <v>45310</v>
      </c>
      <c r="I144" t="s">
        <v>106</v>
      </c>
      <c r="J144" t="s">
        <v>106</v>
      </c>
      <c r="L144">
        <v>66.8</v>
      </c>
      <c r="P144" t="s">
        <v>106</v>
      </c>
      <c r="Q144" t="s">
        <v>106</v>
      </c>
      <c r="R144" t="s">
        <v>106</v>
      </c>
      <c r="S144" t="s">
        <v>106</v>
      </c>
      <c r="T144" t="s">
        <v>829</v>
      </c>
      <c r="U144" t="s">
        <v>106</v>
      </c>
      <c r="V144" t="s">
        <v>106</v>
      </c>
      <c r="W144" t="s">
        <v>373</v>
      </c>
      <c r="X144" t="s">
        <v>106</v>
      </c>
      <c r="Y144" t="s">
        <v>108</v>
      </c>
      <c r="Z144" t="s">
        <v>104</v>
      </c>
      <c r="AA144" t="s">
        <v>1340</v>
      </c>
      <c r="AB144" t="s">
        <v>106</v>
      </c>
    </row>
    <row r="145" spans="1:28" x14ac:dyDescent="0.3">
      <c r="A145" t="s">
        <v>1336</v>
      </c>
      <c r="B145">
        <v>4</v>
      </c>
      <c r="C145">
        <v>60</v>
      </c>
      <c r="D145">
        <v>63</v>
      </c>
      <c r="E145" t="s">
        <v>128</v>
      </c>
      <c r="F145" s="12">
        <v>45313</v>
      </c>
      <c r="G145" t="s">
        <v>390</v>
      </c>
      <c r="H145" s="12">
        <v>45313</v>
      </c>
      <c r="I145" t="s">
        <v>488</v>
      </c>
      <c r="J145" t="s">
        <v>1334</v>
      </c>
      <c r="L145">
        <v>62.2</v>
      </c>
      <c r="P145" t="s">
        <v>106</v>
      </c>
      <c r="Q145" t="s">
        <v>106</v>
      </c>
      <c r="R145" t="s">
        <v>106</v>
      </c>
      <c r="S145" t="s">
        <v>106</v>
      </c>
      <c r="T145" t="s">
        <v>2625</v>
      </c>
      <c r="U145" t="s">
        <v>106</v>
      </c>
      <c r="V145" t="s">
        <v>106</v>
      </c>
      <c r="W145" t="s">
        <v>373</v>
      </c>
      <c r="X145" t="s">
        <v>106</v>
      </c>
      <c r="Y145" t="s">
        <v>108</v>
      </c>
      <c r="Z145" t="s">
        <v>104</v>
      </c>
      <c r="AA145" t="s">
        <v>1340</v>
      </c>
      <c r="AB145" t="s">
        <v>106</v>
      </c>
    </row>
    <row r="146" spans="1:28" x14ac:dyDescent="0.3">
      <c r="A146" t="s">
        <v>1336</v>
      </c>
      <c r="B146">
        <v>4</v>
      </c>
      <c r="C146">
        <v>60</v>
      </c>
      <c r="D146">
        <v>66</v>
      </c>
      <c r="E146" t="s">
        <v>110</v>
      </c>
      <c r="F146" s="12">
        <v>45313</v>
      </c>
      <c r="G146" t="s">
        <v>1648</v>
      </c>
      <c r="H146" s="12">
        <v>45313</v>
      </c>
      <c r="I146" t="s">
        <v>106</v>
      </c>
      <c r="J146" t="s">
        <v>1334</v>
      </c>
      <c r="L146">
        <v>61.3</v>
      </c>
      <c r="P146" t="s">
        <v>106</v>
      </c>
      <c r="Q146" t="s">
        <v>106</v>
      </c>
      <c r="R146" t="s">
        <v>106</v>
      </c>
      <c r="S146" t="s">
        <v>106</v>
      </c>
      <c r="T146" t="s">
        <v>484</v>
      </c>
      <c r="U146" t="s">
        <v>106</v>
      </c>
      <c r="V146" t="s">
        <v>106</v>
      </c>
      <c r="W146" t="s">
        <v>373</v>
      </c>
      <c r="X146" t="s">
        <v>106</v>
      </c>
      <c r="Y146" t="s">
        <v>108</v>
      </c>
      <c r="Z146" t="s">
        <v>104</v>
      </c>
      <c r="AA146" t="s">
        <v>1340</v>
      </c>
      <c r="AB146" t="s">
        <v>1692</v>
      </c>
    </row>
    <row r="147" spans="1:28" x14ac:dyDescent="0.3">
      <c r="A147" t="s">
        <v>1336</v>
      </c>
      <c r="B147">
        <v>4</v>
      </c>
      <c r="C147">
        <v>60</v>
      </c>
      <c r="D147">
        <v>71</v>
      </c>
      <c r="E147" t="s">
        <v>128</v>
      </c>
      <c r="F147" s="12">
        <v>45313</v>
      </c>
      <c r="G147" t="s">
        <v>536</v>
      </c>
      <c r="H147" s="12">
        <v>45313</v>
      </c>
      <c r="I147" t="s">
        <v>1339</v>
      </c>
      <c r="J147" t="s">
        <v>1334</v>
      </c>
      <c r="L147">
        <v>65.900000000000006</v>
      </c>
      <c r="P147" t="s">
        <v>106</v>
      </c>
      <c r="Q147" t="s">
        <v>106</v>
      </c>
      <c r="R147" t="s">
        <v>106</v>
      </c>
      <c r="S147" t="s">
        <v>106</v>
      </c>
      <c r="T147" t="s">
        <v>666</v>
      </c>
      <c r="U147" t="s">
        <v>106</v>
      </c>
      <c r="V147" t="s">
        <v>106</v>
      </c>
      <c r="W147" t="s">
        <v>373</v>
      </c>
      <c r="X147" t="s">
        <v>106</v>
      </c>
      <c r="Y147" t="s">
        <v>108</v>
      </c>
      <c r="Z147" t="s">
        <v>104</v>
      </c>
      <c r="AA147" t="s">
        <v>1340</v>
      </c>
      <c r="AB147" t="s">
        <v>106</v>
      </c>
    </row>
    <row r="148" spans="1:28" x14ac:dyDescent="0.3">
      <c r="A148" t="s">
        <v>1336</v>
      </c>
      <c r="B148">
        <v>4</v>
      </c>
      <c r="C148">
        <v>60</v>
      </c>
      <c r="D148">
        <v>72</v>
      </c>
      <c r="E148" t="s">
        <v>128</v>
      </c>
      <c r="F148" s="12">
        <v>45313</v>
      </c>
      <c r="G148" t="s">
        <v>1228</v>
      </c>
      <c r="H148" s="12">
        <v>45313</v>
      </c>
      <c r="I148" t="s">
        <v>1339</v>
      </c>
      <c r="J148" t="s">
        <v>1334</v>
      </c>
      <c r="L148">
        <v>65.400000000000006</v>
      </c>
      <c r="P148" t="s">
        <v>106</v>
      </c>
      <c r="Q148" t="s">
        <v>106</v>
      </c>
      <c r="R148" t="s">
        <v>106</v>
      </c>
      <c r="S148" t="s">
        <v>106</v>
      </c>
      <c r="T148" t="s">
        <v>1543</v>
      </c>
      <c r="U148" t="s">
        <v>106</v>
      </c>
      <c r="V148" t="s">
        <v>106</v>
      </c>
      <c r="W148" t="s">
        <v>373</v>
      </c>
      <c r="X148" t="s">
        <v>106</v>
      </c>
      <c r="Y148" t="s">
        <v>108</v>
      </c>
      <c r="Z148" t="s">
        <v>104</v>
      </c>
      <c r="AA148" t="s">
        <v>1340</v>
      </c>
      <c r="AB148" t="s">
        <v>106</v>
      </c>
    </row>
    <row r="149" spans="1:28" x14ac:dyDescent="0.3">
      <c r="A149" t="s">
        <v>1336</v>
      </c>
      <c r="B149">
        <v>4</v>
      </c>
      <c r="C149">
        <v>60</v>
      </c>
      <c r="D149">
        <v>73</v>
      </c>
      <c r="E149" t="s">
        <v>128</v>
      </c>
      <c r="F149" s="12">
        <v>45313</v>
      </c>
      <c r="G149" t="s">
        <v>1233</v>
      </c>
      <c r="H149" s="12">
        <v>45313</v>
      </c>
      <c r="I149" t="s">
        <v>1339</v>
      </c>
      <c r="J149" t="s">
        <v>1334</v>
      </c>
      <c r="L149">
        <v>63.1</v>
      </c>
      <c r="P149" t="s">
        <v>106</v>
      </c>
      <c r="Q149" t="s">
        <v>106</v>
      </c>
      <c r="R149" t="s">
        <v>106</v>
      </c>
      <c r="S149" t="s">
        <v>106</v>
      </c>
      <c r="T149" t="s">
        <v>2626</v>
      </c>
      <c r="U149" t="s">
        <v>106</v>
      </c>
      <c r="V149" t="s">
        <v>106</v>
      </c>
      <c r="W149" t="s">
        <v>373</v>
      </c>
      <c r="X149" t="s">
        <v>106</v>
      </c>
      <c r="Y149" t="s">
        <v>108</v>
      </c>
      <c r="Z149" t="s">
        <v>104</v>
      </c>
      <c r="AA149" t="s">
        <v>1340</v>
      </c>
      <c r="AB149" t="s">
        <v>106</v>
      </c>
    </row>
    <row r="150" spans="1:28" x14ac:dyDescent="0.3">
      <c r="A150" t="s">
        <v>1336</v>
      </c>
      <c r="B150">
        <v>4</v>
      </c>
      <c r="C150">
        <v>60</v>
      </c>
      <c r="D150">
        <v>43</v>
      </c>
      <c r="E150" t="s">
        <v>128</v>
      </c>
      <c r="F150" s="12">
        <v>45313</v>
      </c>
      <c r="G150" t="s">
        <v>1702</v>
      </c>
      <c r="H150" s="12">
        <v>45313</v>
      </c>
      <c r="I150" t="s">
        <v>847</v>
      </c>
      <c r="J150" t="s">
        <v>1334</v>
      </c>
      <c r="L150">
        <v>61.8</v>
      </c>
      <c r="P150" t="s">
        <v>106</v>
      </c>
      <c r="Q150" t="s">
        <v>106</v>
      </c>
      <c r="R150" t="s">
        <v>106</v>
      </c>
      <c r="S150" t="s">
        <v>106</v>
      </c>
      <c r="T150" t="s">
        <v>2627</v>
      </c>
      <c r="U150" t="s">
        <v>1776</v>
      </c>
      <c r="V150" t="s">
        <v>106</v>
      </c>
      <c r="W150" t="s">
        <v>443</v>
      </c>
      <c r="X150" t="s">
        <v>106</v>
      </c>
      <c r="Y150" t="s">
        <v>108</v>
      </c>
      <c r="Z150" t="s">
        <v>104</v>
      </c>
      <c r="AA150" t="s">
        <v>106</v>
      </c>
      <c r="AB150" t="s">
        <v>106</v>
      </c>
    </row>
    <row r="151" spans="1:28" x14ac:dyDescent="0.3">
      <c r="A151" t="s">
        <v>1341</v>
      </c>
      <c r="B151">
        <v>1</v>
      </c>
      <c r="C151">
        <v>0</v>
      </c>
      <c r="D151">
        <v>11</v>
      </c>
      <c r="E151" t="s">
        <v>110</v>
      </c>
      <c r="F151" s="12">
        <v>45323</v>
      </c>
      <c r="G151" t="s">
        <v>133</v>
      </c>
      <c r="H151" s="12" t="s">
        <v>106</v>
      </c>
      <c r="I151" t="s">
        <v>106</v>
      </c>
      <c r="J151" t="s">
        <v>106</v>
      </c>
      <c r="L151">
        <v>0.1</v>
      </c>
      <c r="P151" t="s">
        <v>106</v>
      </c>
      <c r="Q151" t="s">
        <v>106</v>
      </c>
      <c r="R151" t="s">
        <v>106</v>
      </c>
      <c r="S151" t="s">
        <v>106</v>
      </c>
      <c r="T151" t="s">
        <v>489</v>
      </c>
      <c r="U151" t="s">
        <v>106</v>
      </c>
      <c r="V151" t="s">
        <v>106</v>
      </c>
      <c r="W151" t="s">
        <v>443</v>
      </c>
      <c r="X151" t="s">
        <v>106</v>
      </c>
      <c r="Y151" t="s">
        <v>108</v>
      </c>
      <c r="Z151" t="s">
        <v>105</v>
      </c>
      <c r="AA151" t="s">
        <v>1342</v>
      </c>
      <c r="AB151" t="s">
        <v>1343</v>
      </c>
    </row>
    <row r="152" spans="1:28" x14ac:dyDescent="0.3">
      <c r="A152" t="s">
        <v>1341</v>
      </c>
      <c r="B152">
        <v>1</v>
      </c>
      <c r="C152">
        <v>0</v>
      </c>
      <c r="D152">
        <v>10</v>
      </c>
      <c r="E152" t="s">
        <v>110</v>
      </c>
      <c r="F152" s="12">
        <v>45323</v>
      </c>
      <c r="G152" t="s">
        <v>133</v>
      </c>
      <c r="H152" s="12" t="s">
        <v>106</v>
      </c>
      <c r="I152" t="s">
        <v>106</v>
      </c>
      <c r="J152" t="s">
        <v>106</v>
      </c>
      <c r="L152">
        <v>0.2</v>
      </c>
      <c r="P152" t="s">
        <v>106</v>
      </c>
      <c r="Q152" t="s">
        <v>106</v>
      </c>
      <c r="R152" t="s">
        <v>106</v>
      </c>
      <c r="S152" t="s">
        <v>1344</v>
      </c>
      <c r="T152" t="s">
        <v>817</v>
      </c>
      <c r="U152" t="s">
        <v>106</v>
      </c>
      <c r="V152" t="s">
        <v>106</v>
      </c>
      <c r="W152" t="s">
        <v>443</v>
      </c>
      <c r="X152" t="s">
        <v>106</v>
      </c>
      <c r="Y152" t="s">
        <v>108</v>
      </c>
      <c r="Z152" t="s">
        <v>105</v>
      </c>
      <c r="AA152" t="s">
        <v>1342</v>
      </c>
      <c r="AB152" t="s">
        <v>1343</v>
      </c>
    </row>
    <row r="153" spans="1:28" x14ac:dyDescent="0.3">
      <c r="A153" t="s">
        <v>1341</v>
      </c>
      <c r="B153">
        <v>2</v>
      </c>
      <c r="C153">
        <v>15</v>
      </c>
      <c r="D153">
        <v>1</v>
      </c>
      <c r="E153" t="s">
        <v>308</v>
      </c>
      <c r="F153" s="12">
        <v>45323</v>
      </c>
      <c r="G153" t="s">
        <v>494</v>
      </c>
      <c r="H153" s="12" t="s">
        <v>106</v>
      </c>
      <c r="I153" t="s">
        <v>106</v>
      </c>
      <c r="J153" t="s">
        <v>106</v>
      </c>
      <c r="L153">
        <v>14.8</v>
      </c>
      <c r="P153" t="s">
        <v>106</v>
      </c>
      <c r="Q153" t="s">
        <v>106</v>
      </c>
      <c r="R153" t="s">
        <v>106</v>
      </c>
      <c r="S153" t="s">
        <v>1703</v>
      </c>
      <c r="T153" t="s">
        <v>1704</v>
      </c>
      <c r="U153" t="s">
        <v>106</v>
      </c>
      <c r="V153" t="s">
        <v>106</v>
      </c>
      <c r="W153" t="s">
        <v>443</v>
      </c>
      <c r="X153" t="s">
        <v>106</v>
      </c>
      <c r="Y153" t="s">
        <v>108</v>
      </c>
      <c r="Z153" t="s">
        <v>109</v>
      </c>
      <c r="AA153" t="s">
        <v>106</v>
      </c>
      <c r="AB153" t="s">
        <v>1343</v>
      </c>
    </row>
    <row r="154" spans="1:28" x14ac:dyDescent="0.3">
      <c r="A154" t="s">
        <v>1341</v>
      </c>
      <c r="B154">
        <v>2</v>
      </c>
      <c r="C154">
        <v>15</v>
      </c>
      <c r="D154">
        <v>4</v>
      </c>
      <c r="E154" t="s">
        <v>110</v>
      </c>
      <c r="F154" s="12">
        <v>45323</v>
      </c>
      <c r="G154" t="s">
        <v>681</v>
      </c>
      <c r="H154" s="12" t="s">
        <v>106</v>
      </c>
      <c r="I154" t="s">
        <v>106</v>
      </c>
      <c r="J154" t="s">
        <v>106</v>
      </c>
      <c r="L154">
        <v>14.5</v>
      </c>
      <c r="P154" t="s">
        <v>106</v>
      </c>
      <c r="Q154" t="s">
        <v>106</v>
      </c>
      <c r="R154" t="s">
        <v>106</v>
      </c>
      <c r="S154" t="s">
        <v>1703</v>
      </c>
      <c r="T154" t="s">
        <v>1705</v>
      </c>
      <c r="U154" t="s">
        <v>106</v>
      </c>
      <c r="V154" t="s">
        <v>106</v>
      </c>
      <c r="W154" t="s">
        <v>443</v>
      </c>
      <c r="X154" t="s">
        <v>106</v>
      </c>
      <c r="Y154" t="s">
        <v>108</v>
      </c>
      <c r="Z154" t="s">
        <v>109</v>
      </c>
      <c r="AA154" t="s">
        <v>1342</v>
      </c>
      <c r="AB154" t="s">
        <v>1343</v>
      </c>
    </row>
    <row r="155" spans="1:28" x14ac:dyDescent="0.3">
      <c r="A155" t="s">
        <v>1341</v>
      </c>
      <c r="B155">
        <v>2</v>
      </c>
      <c r="C155">
        <v>15</v>
      </c>
      <c r="D155">
        <v>5</v>
      </c>
      <c r="E155" t="s">
        <v>110</v>
      </c>
      <c r="F155" s="12">
        <v>45323</v>
      </c>
      <c r="G155" t="s">
        <v>833</v>
      </c>
      <c r="H155" s="12" t="s">
        <v>106</v>
      </c>
      <c r="I155" t="s">
        <v>106</v>
      </c>
      <c r="J155" t="s">
        <v>106</v>
      </c>
      <c r="L155">
        <v>13.4</v>
      </c>
      <c r="P155" t="s">
        <v>106</v>
      </c>
      <c r="Q155" t="s">
        <v>106</v>
      </c>
      <c r="R155" t="s">
        <v>106</v>
      </c>
      <c r="S155" t="s">
        <v>106</v>
      </c>
      <c r="T155" t="s">
        <v>1706</v>
      </c>
      <c r="U155" t="s">
        <v>106</v>
      </c>
      <c r="V155" t="s">
        <v>106</v>
      </c>
      <c r="W155" t="s">
        <v>443</v>
      </c>
      <c r="X155" t="s">
        <v>106</v>
      </c>
      <c r="Y155" t="s">
        <v>108</v>
      </c>
      <c r="Z155" t="s">
        <v>109</v>
      </c>
      <c r="AA155" t="s">
        <v>1342</v>
      </c>
      <c r="AB155" t="s">
        <v>1343</v>
      </c>
    </row>
    <row r="156" spans="1:28" x14ac:dyDescent="0.3">
      <c r="A156" t="s">
        <v>1341</v>
      </c>
      <c r="B156">
        <v>3</v>
      </c>
      <c r="C156">
        <v>35</v>
      </c>
      <c r="D156">
        <v>7</v>
      </c>
      <c r="E156" t="s">
        <v>110</v>
      </c>
      <c r="F156" s="12">
        <v>45323</v>
      </c>
      <c r="G156" t="s">
        <v>759</v>
      </c>
      <c r="H156" s="12" t="s">
        <v>106</v>
      </c>
      <c r="I156" t="s">
        <v>106</v>
      </c>
      <c r="J156" t="s">
        <v>106</v>
      </c>
      <c r="L156">
        <v>36.200000000000003</v>
      </c>
      <c r="P156" t="s">
        <v>106</v>
      </c>
      <c r="Q156" t="s">
        <v>106</v>
      </c>
      <c r="R156" t="s">
        <v>106</v>
      </c>
      <c r="S156" t="s">
        <v>106</v>
      </c>
      <c r="T156" t="s">
        <v>694</v>
      </c>
      <c r="U156" t="s">
        <v>106</v>
      </c>
      <c r="V156" t="s">
        <v>106</v>
      </c>
      <c r="W156" t="s">
        <v>443</v>
      </c>
      <c r="X156" t="s">
        <v>106</v>
      </c>
      <c r="Y156" t="s">
        <v>108</v>
      </c>
      <c r="Z156" t="s">
        <v>108</v>
      </c>
      <c r="AA156" t="s">
        <v>1342</v>
      </c>
      <c r="AB156" t="s">
        <v>1343</v>
      </c>
    </row>
    <row r="157" spans="1:28" x14ac:dyDescent="0.3">
      <c r="A157" t="s">
        <v>1341</v>
      </c>
      <c r="B157">
        <v>3</v>
      </c>
      <c r="C157">
        <v>35</v>
      </c>
      <c r="D157">
        <v>2</v>
      </c>
      <c r="E157" t="s">
        <v>308</v>
      </c>
      <c r="F157" s="12">
        <v>45323</v>
      </c>
      <c r="G157" t="s">
        <v>494</v>
      </c>
      <c r="H157" s="12" t="s">
        <v>106</v>
      </c>
      <c r="I157" t="s">
        <v>106</v>
      </c>
      <c r="J157" t="s">
        <v>106</v>
      </c>
      <c r="L157">
        <v>36.799999999999997</v>
      </c>
      <c r="P157" t="s">
        <v>106</v>
      </c>
      <c r="Q157" t="s">
        <v>106</v>
      </c>
      <c r="R157" t="s">
        <v>106</v>
      </c>
      <c r="S157" t="s">
        <v>1532</v>
      </c>
      <c r="T157" t="s">
        <v>505</v>
      </c>
      <c r="U157" t="s">
        <v>106</v>
      </c>
      <c r="V157" t="s">
        <v>106</v>
      </c>
      <c r="W157" t="s">
        <v>443</v>
      </c>
      <c r="X157" t="s">
        <v>106</v>
      </c>
      <c r="Y157" t="s">
        <v>108</v>
      </c>
      <c r="Z157" t="s">
        <v>108</v>
      </c>
      <c r="AA157" t="s">
        <v>106</v>
      </c>
      <c r="AB157" t="s">
        <v>1343</v>
      </c>
    </row>
    <row r="158" spans="1:28" x14ac:dyDescent="0.3">
      <c r="A158" t="s">
        <v>1341</v>
      </c>
      <c r="B158">
        <v>3</v>
      </c>
      <c r="C158">
        <v>35</v>
      </c>
      <c r="D158">
        <v>6</v>
      </c>
      <c r="E158" t="s">
        <v>110</v>
      </c>
      <c r="F158" s="12">
        <v>45323</v>
      </c>
      <c r="G158" t="s">
        <v>530</v>
      </c>
      <c r="H158" s="12" t="s">
        <v>106</v>
      </c>
      <c r="I158" t="s">
        <v>106</v>
      </c>
      <c r="J158" t="s">
        <v>106</v>
      </c>
      <c r="L158">
        <v>35.299999999999997</v>
      </c>
      <c r="P158" t="s">
        <v>106</v>
      </c>
      <c r="Q158" t="s">
        <v>106</v>
      </c>
      <c r="R158" t="s">
        <v>106</v>
      </c>
      <c r="S158" t="s">
        <v>2179</v>
      </c>
      <c r="T158" t="s">
        <v>486</v>
      </c>
      <c r="U158" t="s">
        <v>106</v>
      </c>
      <c r="V158" t="s">
        <v>106</v>
      </c>
      <c r="W158" t="s">
        <v>443</v>
      </c>
      <c r="X158" t="s">
        <v>106</v>
      </c>
      <c r="Y158" t="s">
        <v>108</v>
      </c>
      <c r="Z158" t="s">
        <v>108</v>
      </c>
      <c r="AA158" t="s">
        <v>1342</v>
      </c>
      <c r="AB158" t="s">
        <v>1343</v>
      </c>
    </row>
    <row r="159" spans="1:28" x14ac:dyDescent="0.3">
      <c r="A159" t="s">
        <v>1341</v>
      </c>
      <c r="B159">
        <v>4</v>
      </c>
      <c r="C159">
        <v>60</v>
      </c>
      <c r="D159">
        <v>3</v>
      </c>
      <c r="E159" t="s">
        <v>308</v>
      </c>
      <c r="F159" s="12">
        <v>45323</v>
      </c>
      <c r="G159" t="s">
        <v>1445</v>
      </c>
      <c r="H159" s="12" t="s">
        <v>106</v>
      </c>
      <c r="I159" t="s">
        <v>106</v>
      </c>
      <c r="J159" t="s">
        <v>106</v>
      </c>
      <c r="L159">
        <v>62.9</v>
      </c>
      <c r="P159" t="s">
        <v>106</v>
      </c>
      <c r="Q159" t="s">
        <v>106</v>
      </c>
      <c r="R159" t="s">
        <v>106</v>
      </c>
      <c r="S159" t="s">
        <v>1843</v>
      </c>
      <c r="T159" t="s">
        <v>1554</v>
      </c>
      <c r="U159" t="s">
        <v>106</v>
      </c>
      <c r="V159" t="s">
        <v>106</v>
      </c>
      <c r="W159" t="s">
        <v>443</v>
      </c>
      <c r="X159" t="s">
        <v>106</v>
      </c>
      <c r="Y159" t="s">
        <v>108</v>
      </c>
      <c r="Z159" t="s">
        <v>104</v>
      </c>
      <c r="AA159" t="s">
        <v>106</v>
      </c>
      <c r="AB159" t="s">
        <v>1343</v>
      </c>
    </row>
    <row r="160" spans="1:28" x14ac:dyDescent="0.3">
      <c r="A160" t="s">
        <v>1341</v>
      </c>
      <c r="B160">
        <v>4</v>
      </c>
      <c r="C160">
        <v>60</v>
      </c>
      <c r="D160">
        <v>8</v>
      </c>
      <c r="E160" t="s">
        <v>110</v>
      </c>
      <c r="F160" s="12">
        <v>45323</v>
      </c>
      <c r="G160" t="s">
        <v>132</v>
      </c>
      <c r="H160" s="12" t="s">
        <v>106</v>
      </c>
      <c r="I160" t="s">
        <v>106</v>
      </c>
      <c r="J160" t="s">
        <v>106</v>
      </c>
      <c r="L160">
        <v>62.8</v>
      </c>
      <c r="P160" t="s">
        <v>106</v>
      </c>
      <c r="Q160" t="s">
        <v>106</v>
      </c>
      <c r="R160" t="s">
        <v>106</v>
      </c>
      <c r="S160" t="s">
        <v>2309</v>
      </c>
      <c r="T160" t="s">
        <v>611</v>
      </c>
      <c r="U160" t="s">
        <v>106</v>
      </c>
      <c r="V160" t="s">
        <v>106</v>
      </c>
      <c r="W160" t="s">
        <v>443</v>
      </c>
      <c r="X160" t="s">
        <v>106</v>
      </c>
      <c r="Y160" t="s">
        <v>108</v>
      </c>
      <c r="Z160" t="s">
        <v>104</v>
      </c>
      <c r="AA160" t="s">
        <v>1342</v>
      </c>
      <c r="AB160" t="s">
        <v>1343</v>
      </c>
    </row>
    <row r="161" spans="1:28" x14ac:dyDescent="0.3">
      <c r="A161" t="s">
        <v>1341</v>
      </c>
      <c r="B161">
        <v>4</v>
      </c>
      <c r="C161">
        <v>60</v>
      </c>
      <c r="D161">
        <v>9</v>
      </c>
      <c r="E161" t="s">
        <v>110</v>
      </c>
      <c r="F161" s="12">
        <v>45323</v>
      </c>
      <c r="G161" t="s">
        <v>133</v>
      </c>
      <c r="H161" s="12" t="s">
        <v>106</v>
      </c>
      <c r="I161" t="s">
        <v>106</v>
      </c>
      <c r="J161" t="s">
        <v>106</v>
      </c>
      <c r="L161">
        <v>62.2</v>
      </c>
      <c r="P161" t="s">
        <v>106</v>
      </c>
      <c r="Q161" t="s">
        <v>106</v>
      </c>
      <c r="R161" t="s">
        <v>106</v>
      </c>
      <c r="S161" t="s">
        <v>106</v>
      </c>
      <c r="T161" t="s">
        <v>2628</v>
      </c>
      <c r="U161" t="s">
        <v>106</v>
      </c>
      <c r="V161" t="s">
        <v>106</v>
      </c>
      <c r="W161" t="s">
        <v>443</v>
      </c>
      <c r="X161" t="s">
        <v>106</v>
      </c>
      <c r="Y161" t="s">
        <v>108</v>
      </c>
      <c r="Z161" t="s">
        <v>104</v>
      </c>
      <c r="AA161" t="s">
        <v>1342</v>
      </c>
      <c r="AB161" t="s">
        <v>1343</v>
      </c>
    </row>
    <row r="162" spans="1:28" x14ac:dyDescent="0.3">
      <c r="A162" t="s">
        <v>1341</v>
      </c>
      <c r="B162">
        <v>1</v>
      </c>
      <c r="C162">
        <v>0</v>
      </c>
      <c r="D162">
        <v>19</v>
      </c>
      <c r="E162" t="s">
        <v>128</v>
      </c>
      <c r="F162" s="12">
        <v>45330</v>
      </c>
      <c r="G162" t="s">
        <v>871</v>
      </c>
      <c r="H162" s="12">
        <v>45330</v>
      </c>
      <c r="I162" t="s">
        <v>1206</v>
      </c>
      <c r="J162" t="s">
        <v>1334</v>
      </c>
      <c r="L162">
        <v>0.1</v>
      </c>
      <c r="P162" t="s">
        <v>106</v>
      </c>
      <c r="Q162" t="s">
        <v>106</v>
      </c>
      <c r="R162" t="s">
        <v>106</v>
      </c>
      <c r="S162" t="s">
        <v>988</v>
      </c>
      <c r="T162" t="s">
        <v>661</v>
      </c>
      <c r="U162" t="s">
        <v>1345</v>
      </c>
      <c r="V162" t="s">
        <v>106</v>
      </c>
      <c r="W162" t="s">
        <v>373</v>
      </c>
      <c r="X162" t="s">
        <v>106</v>
      </c>
      <c r="Y162" t="s">
        <v>108</v>
      </c>
      <c r="Z162" t="s">
        <v>105</v>
      </c>
      <c r="AA162" t="s">
        <v>438</v>
      </c>
      <c r="AB162" t="s">
        <v>106</v>
      </c>
    </row>
    <row r="163" spans="1:28" x14ac:dyDescent="0.3">
      <c r="A163" t="s">
        <v>1341</v>
      </c>
      <c r="B163">
        <v>1</v>
      </c>
      <c r="C163">
        <v>0</v>
      </c>
      <c r="D163">
        <v>18</v>
      </c>
      <c r="E163" t="s">
        <v>128</v>
      </c>
      <c r="F163" s="12">
        <v>45330</v>
      </c>
      <c r="G163" t="s">
        <v>871</v>
      </c>
      <c r="H163" s="12">
        <v>45330</v>
      </c>
      <c r="I163" t="s">
        <v>1206</v>
      </c>
      <c r="J163" t="s">
        <v>1334</v>
      </c>
      <c r="L163">
        <v>0.1</v>
      </c>
      <c r="P163" t="s">
        <v>106</v>
      </c>
      <c r="Q163" t="s">
        <v>106</v>
      </c>
      <c r="R163" t="s">
        <v>106</v>
      </c>
      <c r="S163" t="s">
        <v>106</v>
      </c>
      <c r="T163" t="s">
        <v>864</v>
      </c>
      <c r="U163" t="s">
        <v>565</v>
      </c>
      <c r="V163" t="s">
        <v>106</v>
      </c>
      <c r="W163" t="s">
        <v>373</v>
      </c>
      <c r="X163" t="s">
        <v>106</v>
      </c>
      <c r="Y163" t="s">
        <v>108</v>
      </c>
      <c r="Z163" t="s">
        <v>105</v>
      </c>
      <c r="AA163" t="s">
        <v>438</v>
      </c>
      <c r="AB163" t="s">
        <v>106</v>
      </c>
    </row>
    <row r="164" spans="1:28" x14ac:dyDescent="0.3">
      <c r="A164" t="s">
        <v>1341</v>
      </c>
      <c r="B164">
        <v>2</v>
      </c>
      <c r="C164">
        <v>15</v>
      </c>
      <c r="D164">
        <v>13</v>
      </c>
      <c r="E164" t="s">
        <v>128</v>
      </c>
      <c r="F164" s="12">
        <v>45330</v>
      </c>
      <c r="G164" t="s">
        <v>447</v>
      </c>
      <c r="H164" s="12">
        <v>45330</v>
      </c>
      <c r="I164" t="s">
        <v>1206</v>
      </c>
      <c r="J164" t="s">
        <v>1334</v>
      </c>
      <c r="L164">
        <v>14.7</v>
      </c>
      <c r="P164" t="s">
        <v>106</v>
      </c>
      <c r="Q164" t="s">
        <v>106</v>
      </c>
      <c r="R164" t="s">
        <v>106</v>
      </c>
      <c r="S164" t="s">
        <v>106</v>
      </c>
      <c r="T164" t="s">
        <v>434</v>
      </c>
      <c r="U164" t="s">
        <v>361</v>
      </c>
      <c r="V164" t="s">
        <v>106</v>
      </c>
      <c r="W164" t="s">
        <v>373</v>
      </c>
      <c r="X164" t="s">
        <v>106</v>
      </c>
      <c r="Y164" t="s">
        <v>108</v>
      </c>
      <c r="Z164" t="s">
        <v>109</v>
      </c>
      <c r="AA164" t="s">
        <v>1348</v>
      </c>
      <c r="AB164" t="s">
        <v>106</v>
      </c>
    </row>
    <row r="165" spans="1:28" x14ac:dyDescent="0.3">
      <c r="A165" t="s">
        <v>1341</v>
      </c>
      <c r="B165">
        <v>2</v>
      </c>
      <c r="C165">
        <v>15</v>
      </c>
      <c r="D165">
        <v>20</v>
      </c>
      <c r="E165" t="s">
        <v>128</v>
      </c>
      <c r="F165" s="12">
        <v>45330</v>
      </c>
      <c r="G165" t="s">
        <v>531</v>
      </c>
      <c r="H165" s="12">
        <v>45330</v>
      </c>
      <c r="I165" t="s">
        <v>1707</v>
      </c>
      <c r="J165" t="s">
        <v>1334</v>
      </c>
      <c r="L165">
        <v>15.9</v>
      </c>
      <c r="P165" t="s">
        <v>106</v>
      </c>
      <c r="Q165" t="s">
        <v>106</v>
      </c>
      <c r="R165" t="s">
        <v>106</v>
      </c>
      <c r="S165" t="s">
        <v>106</v>
      </c>
      <c r="T165" t="s">
        <v>106</v>
      </c>
      <c r="U165" t="s">
        <v>1539</v>
      </c>
      <c r="V165" t="s">
        <v>106</v>
      </c>
      <c r="W165" t="s">
        <v>373</v>
      </c>
      <c r="X165" t="s">
        <v>106</v>
      </c>
      <c r="Y165" t="s">
        <v>108</v>
      </c>
      <c r="Z165" t="s">
        <v>109</v>
      </c>
      <c r="AA165" t="s">
        <v>1348</v>
      </c>
      <c r="AB165" t="s">
        <v>106</v>
      </c>
    </row>
    <row r="166" spans="1:28" x14ac:dyDescent="0.3">
      <c r="A166" t="s">
        <v>1341</v>
      </c>
      <c r="B166">
        <v>2</v>
      </c>
      <c r="C166">
        <v>15</v>
      </c>
      <c r="D166">
        <v>21</v>
      </c>
      <c r="E166" t="s">
        <v>128</v>
      </c>
      <c r="F166" s="12">
        <v>45330</v>
      </c>
      <c r="G166" t="s">
        <v>462</v>
      </c>
      <c r="H166" s="12">
        <v>45330</v>
      </c>
      <c r="I166" t="s">
        <v>1707</v>
      </c>
      <c r="J166" t="s">
        <v>1334</v>
      </c>
      <c r="L166">
        <v>15.7</v>
      </c>
      <c r="P166" t="s">
        <v>106</v>
      </c>
      <c r="Q166" t="s">
        <v>106</v>
      </c>
      <c r="R166" t="s">
        <v>106</v>
      </c>
      <c r="S166" t="s">
        <v>106</v>
      </c>
      <c r="T166" t="s">
        <v>1479</v>
      </c>
      <c r="U166" t="s">
        <v>106</v>
      </c>
      <c r="V166" t="s">
        <v>106</v>
      </c>
      <c r="W166" t="s">
        <v>373</v>
      </c>
      <c r="X166" t="s">
        <v>106</v>
      </c>
      <c r="Y166" t="s">
        <v>108</v>
      </c>
      <c r="Z166" t="s">
        <v>109</v>
      </c>
      <c r="AA166" t="s">
        <v>1348</v>
      </c>
      <c r="AB166" t="s">
        <v>106</v>
      </c>
    </row>
    <row r="167" spans="1:28" x14ac:dyDescent="0.3">
      <c r="A167" t="s">
        <v>1341</v>
      </c>
      <c r="B167">
        <v>2</v>
      </c>
      <c r="C167">
        <v>15</v>
      </c>
      <c r="D167">
        <v>29</v>
      </c>
      <c r="E167" t="s">
        <v>308</v>
      </c>
      <c r="F167" s="12">
        <v>45330</v>
      </c>
      <c r="G167" t="s">
        <v>374</v>
      </c>
      <c r="H167" s="12">
        <v>45330</v>
      </c>
      <c r="I167" t="s">
        <v>1708</v>
      </c>
      <c r="J167" t="s">
        <v>459</v>
      </c>
      <c r="L167">
        <v>15.2</v>
      </c>
      <c r="P167" t="s">
        <v>106</v>
      </c>
      <c r="Q167" t="s">
        <v>106</v>
      </c>
      <c r="R167" t="s">
        <v>106</v>
      </c>
      <c r="S167" t="s">
        <v>106</v>
      </c>
      <c r="T167" t="s">
        <v>106</v>
      </c>
      <c r="U167" t="s">
        <v>395</v>
      </c>
      <c r="V167" t="s">
        <v>106</v>
      </c>
      <c r="W167" t="s">
        <v>443</v>
      </c>
      <c r="X167" t="s">
        <v>106</v>
      </c>
      <c r="Y167" t="s">
        <v>108</v>
      </c>
      <c r="Z167" t="s">
        <v>108</v>
      </c>
      <c r="AA167" t="s">
        <v>1709</v>
      </c>
      <c r="AB167" t="s">
        <v>106</v>
      </c>
    </row>
    <row r="168" spans="1:28" x14ac:dyDescent="0.3">
      <c r="A168" t="s">
        <v>1341</v>
      </c>
      <c r="B168">
        <v>2</v>
      </c>
      <c r="C168">
        <v>15</v>
      </c>
      <c r="D168">
        <v>30</v>
      </c>
      <c r="E168" t="s">
        <v>128</v>
      </c>
      <c r="F168" s="12">
        <v>45330</v>
      </c>
      <c r="G168" t="s">
        <v>374</v>
      </c>
      <c r="H168" s="12">
        <v>45330</v>
      </c>
      <c r="I168" t="s">
        <v>1708</v>
      </c>
      <c r="J168" t="s">
        <v>459</v>
      </c>
      <c r="L168">
        <v>15.4</v>
      </c>
      <c r="P168" t="s">
        <v>106</v>
      </c>
      <c r="Q168" t="s">
        <v>106</v>
      </c>
      <c r="R168" t="s">
        <v>106</v>
      </c>
      <c r="S168" t="s">
        <v>106</v>
      </c>
      <c r="T168" t="s">
        <v>106</v>
      </c>
      <c r="U168" t="s">
        <v>1345</v>
      </c>
      <c r="V168" t="s">
        <v>106</v>
      </c>
      <c r="W168" t="s">
        <v>443</v>
      </c>
      <c r="X168" t="s">
        <v>106</v>
      </c>
      <c r="Y168" t="s">
        <v>108</v>
      </c>
      <c r="Z168" t="s">
        <v>108</v>
      </c>
      <c r="AA168" t="s">
        <v>1709</v>
      </c>
      <c r="AB168" t="s">
        <v>106</v>
      </c>
    </row>
    <row r="169" spans="1:28" x14ac:dyDescent="0.3">
      <c r="A169" t="s">
        <v>1341</v>
      </c>
      <c r="B169">
        <v>2</v>
      </c>
      <c r="C169">
        <v>15</v>
      </c>
      <c r="D169">
        <v>31</v>
      </c>
      <c r="E169" t="s">
        <v>128</v>
      </c>
      <c r="F169" s="12">
        <v>45330</v>
      </c>
      <c r="G169" t="s">
        <v>375</v>
      </c>
      <c r="H169" s="12">
        <v>45330</v>
      </c>
      <c r="I169" t="s">
        <v>1708</v>
      </c>
      <c r="J169" t="s">
        <v>459</v>
      </c>
      <c r="L169">
        <v>16.2</v>
      </c>
      <c r="P169" t="s">
        <v>106</v>
      </c>
      <c r="Q169" t="s">
        <v>106</v>
      </c>
      <c r="R169" t="s">
        <v>106</v>
      </c>
      <c r="S169" t="s">
        <v>106</v>
      </c>
      <c r="T169" t="s">
        <v>106</v>
      </c>
      <c r="U169" t="s">
        <v>708</v>
      </c>
      <c r="V169" t="s">
        <v>106</v>
      </c>
      <c r="W169" t="s">
        <v>443</v>
      </c>
      <c r="X169" t="s">
        <v>106</v>
      </c>
      <c r="Y169" t="s">
        <v>108</v>
      </c>
      <c r="Z169" t="s">
        <v>108</v>
      </c>
      <c r="AA169" t="s">
        <v>1709</v>
      </c>
      <c r="AB169" t="s">
        <v>106</v>
      </c>
    </row>
    <row r="170" spans="1:28" x14ac:dyDescent="0.3">
      <c r="A170" t="s">
        <v>1341</v>
      </c>
      <c r="B170">
        <v>2</v>
      </c>
      <c r="C170">
        <v>15</v>
      </c>
      <c r="D170">
        <v>37</v>
      </c>
      <c r="E170" t="s">
        <v>128</v>
      </c>
      <c r="F170" s="12">
        <v>45330</v>
      </c>
      <c r="G170" t="s">
        <v>1166</v>
      </c>
      <c r="H170" s="12">
        <v>45330</v>
      </c>
      <c r="I170" t="s">
        <v>1708</v>
      </c>
      <c r="J170" t="s">
        <v>459</v>
      </c>
      <c r="L170">
        <v>15.4</v>
      </c>
      <c r="P170" t="s">
        <v>106</v>
      </c>
      <c r="Q170" t="s">
        <v>106</v>
      </c>
      <c r="R170" t="s">
        <v>106</v>
      </c>
      <c r="S170" t="s">
        <v>106</v>
      </c>
      <c r="T170" t="s">
        <v>106</v>
      </c>
      <c r="U170" t="s">
        <v>1382</v>
      </c>
      <c r="V170" t="s">
        <v>106</v>
      </c>
      <c r="W170" t="s">
        <v>443</v>
      </c>
      <c r="X170" t="s">
        <v>106</v>
      </c>
      <c r="Y170" t="s">
        <v>108</v>
      </c>
      <c r="Z170" t="s">
        <v>109</v>
      </c>
      <c r="AA170" t="s">
        <v>1709</v>
      </c>
      <c r="AB170" t="s">
        <v>106</v>
      </c>
    </row>
    <row r="171" spans="1:28" x14ac:dyDescent="0.3">
      <c r="A171" t="s">
        <v>1341</v>
      </c>
      <c r="B171">
        <v>2</v>
      </c>
      <c r="C171">
        <v>15</v>
      </c>
      <c r="D171">
        <v>38</v>
      </c>
      <c r="E171" t="s">
        <v>128</v>
      </c>
      <c r="F171" s="12">
        <v>45330</v>
      </c>
      <c r="G171" t="s">
        <v>1437</v>
      </c>
      <c r="H171" s="12">
        <v>45330</v>
      </c>
      <c r="I171" t="s">
        <v>1708</v>
      </c>
      <c r="J171" t="s">
        <v>459</v>
      </c>
      <c r="L171">
        <v>15.9</v>
      </c>
      <c r="P171" t="s">
        <v>106</v>
      </c>
      <c r="Q171" t="s">
        <v>106</v>
      </c>
      <c r="R171" t="s">
        <v>106</v>
      </c>
      <c r="S171" t="s">
        <v>1231</v>
      </c>
      <c r="T171" t="s">
        <v>106</v>
      </c>
      <c r="U171" t="s">
        <v>1651</v>
      </c>
      <c r="V171" t="s">
        <v>106</v>
      </c>
      <c r="W171" t="s">
        <v>443</v>
      </c>
      <c r="X171" t="s">
        <v>106</v>
      </c>
      <c r="Y171" t="s">
        <v>108</v>
      </c>
      <c r="Z171" t="s">
        <v>109</v>
      </c>
      <c r="AA171" t="s">
        <v>1709</v>
      </c>
      <c r="AB171" t="s">
        <v>106</v>
      </c>
    </row>
    <row r="172" spans="1:28" x14ac:dyDescent="0.3">
      <c r="A172" t="s">
        <v>1341</v>
      </c>
      <c r="B172">
        <v>2</v>
      </c>
      <c r="C172">
        <v>15</v>
      </c>
      <c r="D172">
        <v>12</v>
      </c>
      <c r="E172" t="s">
        <v>128</v>
      </c>
      <c r="F172" s="12">
        <v>45330</v>
      </c>
      <c r="G172" t="s">
        <v>362</v>
      </c>
      <c r="H172" s="12">
        <v>45330</v>
      </c>
      <c r="I172" t="s">
        <v>1206</v>
      </c>
      <c r="J172" t="s">
        <v>1334</v>
      </c>
      <c r="L172">
        <v>14.9</v>
      </c>
      <c r="P172" t="s">
        <v>106</v>
      </c>
      <c r="Q172" t="s">
        <v>106</v>
      </c>
      <c r="R172" t="s">
        <v>106</v>
      </c>
      <c r="S172" t="s">
        <v>1526</v>
      </c>
      <c r="T172" t="s">
        <v>1710</v>
      </c>
      <c r="U172" t="s">
        <v>1477</v>
      </c>
      <c r="V172" t="s">
        <v>106</v>
      </c>
      <c r="W172" t="s">
        <v>373</v>
      </c>
      <c r="X172" t="s">
        <v>106</v>
      </c>
      <c r="Y172" t="s">
        <v>108</v>
      </c>
      <c r="Z172" t="s">
        <v>109</v>
      </c>
      <c r="AA172" t="s">
        <v>1348</v>
      </c>
      <c r="AB172" t="s">
        <v>1332</v>
      </c>
    </row>
    <row r="173" spans="1:28" x14ac:dyDescent="0.3">
      <c r="A173" t="s">
        <v>1341</v>
      </c>
      <c r="B173">
        <v>3</v>
      </c>
      <c r="C173">
        <v>35</v>
      </c>
      <c r="D173">
        <v>28</v>
      </c>
      <c r="E173" t="s">
        <v>308</v>
      </c>
      <c r="F173" s="12">
        <v>45330</v>
      </c>
      <c r="G173" t="s">
        <v>374</v>
      </c>
      <c r="H173" s="12">
        <v>45330</v>
      </c>
      <c r="I173" t="s">
        <v>1708</v>
      </c>
      <c r="J173" t="s">
        <v>459</v>
      </c>
      <c r="L173">
        <v>37.299999999999997</v>
      </c>
      <c r="P173" t="s">
        <v>106</v>
      </c>
      <c r="Q173" t="s">
        <v>106</v>
      </c>
      <c r="R173" t="s">
        <v>106</v>
      </c>
      <c r="S173" t="s">
        <v>106</v>
      </c>
      <c r="T173" t="s">
        <v>106</v>
      </c>
      <c r="U173" t="s">
        <v>1477</v>
      </c>
      <c r="V173" t="s">
        <v>106</v>
      </c>
      <c r="W173" t="s">
        <v>443</v>
      </c>
      <c r="X173" t="s">
        <v>106</v>
      </c>
      <c r="Y173" t="s">
        <v>108</v>
      </c>
      <c r="Z173" t="s">
        <v>108</v>
      </c>
      <c r="AA173" t="s">
        <v>1709</v>
      </c>
      <c r="AB173" t="s">
        <v>106</v>
      </c>
    </row>
    <row r="174" spans="1:28" x14ac:dyDescent="0.3">
      <c r="A174" t="s">
        <v>1341</v>
      </c>
      <c r="B174">
        <v>3</v>
      </c>
      <c r="C174">
        <v>35</v>
      </c>
      <c r="D174">
        <v>27</v>
      </c>
      <c r="E174" t="s">
        <v>128</v>
      </c>
      <c r="F174" s="12">
        <v>45330</v>
      </c>
      <c r="G174" t="s">
        <v>947</v>
      </c>
      <c r="H174" s="12">
        <v>45330</v>
      </c>
      <c r="I174" t="s">
        <v>1708</v>
      </c>
      <c r="J174" t="s">
        <v>459</v>
      </c>
      <c r="L174">
        <v>37.9</v>
      </c>
      <c r="P174" t="s">
        <v>106</v>
      </c>
      <c r="Q174" t="s">
        <v>106</v>
      </c>
      <c r="R174" t="s">
        <v>106</v>
      </c>
      <c r="S174" t="s">
        <v>106</v>
      </c>
      <c r="T174" t="s">
        <v>106</v>
      </c>
      <c r="U174" t="s">
        <v>708</v>
      </c>
      <c r="V174" t="s">
        <v>106</v>
      </c>
      <c r="W174" t="s">
        <v>443</v>
      </c>
      <c r="X174" t="s">
        <v>106</v>
      </c>
      <c r="Y174" t="s">
        <v>108</v>
      </c>
      <c r="Z174" t="s">
        <v>108</v>
      </c>
      <c r="AA174" t="s">
        <v>1709</v>
      </c>
      <c r="AB174" t="s">
        <v>106</v>
      </c>
    </row>
    <row r="175" spans="1:28" x14ac:dyDescent="0.3">
      <c r="A175" t="s">
        <v>1341</v>
      </c>
      <c r="B175">
        <v>3</v>
      </c>
      <c r="C175">
        <v>35</v>
      </c>
      <c r="D175">
        <v>36</v>
      </c>
      <c r="E175" t="s">
        <v>128</v>
      </c>
      <c r="F175" s="12">
        <v>45330</v>
      </c>
      <c r="G175" t="s">
        <v>1166</v>
      </c>
      <c r="H175" s="12">
        <v>45330</v>
      </c>
      <c r="I175" t="s">
        <v>1708</v>
      </c>
      <c r="J175" t="s">
        <v>459</v>
      </c>
      <c r="L175">
        <v>36.6</v>
      </c>
      <c r="P175" t="s">
        <v>106</v>
      </c>
      <c r="Q175" t="s">
        <v>106</v>
      </c>
      <c r="R175" t="s">
        <v>106</v>
      </c>
      <c r="S175" t="s">
        <v>106</v>
      </c>
      <c r="T175" t="s">
        <v>106</v>
      </c>
      <c r="U175" t="s">
        <v>1415</v>
      </c>
      <c r="V175" t="s">
        <v>106</v>
      </c>
      <c r="W175" t="s">
        <v>443</v>
      </c>
      <c r="X175" t="s">
        <v>106</v>
      </c>
      <c r="Y175" t="s">
        <v>108</v>
      </c>
      <c r="Z175" t="s">
        <v>108</v>
      </c>
      <c r="AA175" t="s">
        <v>1709</v>
      </c>
      <c r="AB175" t="s">
        <v>106</v>
      </c>
    </row>
    <row r="176" spans="1:28" x14ac:dyDescent="0.3">
      <c r="A176" t="s">
        <v>1341</v>
      </c>
      <c r="B176">
        <v>3</v>
      </c>
      <c r="C176">
        <v>35</v>
      </c>
      <c r="D176">
        <v>15</v>
      </c>
      <c r="E176" t="s">
        <v>128</v>
      </c>
      <c r="F176" s="12">
        <v>45330</v>
      </c>
      <c r="G176" t="s">
        <v>1389</v>
      </c>
      <c r="H176" s="12">
        <v>45330</v>
      </c>
      <c r="I176" t="s">
        <v>1206</v>
      </c>
      <c r="J176" t="s">
        <v>1334</v>
      </c>
      <c r="L176">
        <v>35.5</v>
      </c>
      <c r="P176" t="s">
        <v>106</v>
      </c>
      <c r="Q176" t="s">
        <v>106</v>
      </c>
      <c r="R176" t="s">
        <v>106</v>
      </c>
      <c r="S176" t="s">
        <v>106</v>
      </c>
      <c r="T176" t="s">
        <v>614</v>
      </c>
      <c r="U176" t="s">
        <v>564</v>
      </c>
      <c r="V176" t="s">
        <v>106</v>
      </c>
      <c r="W176" t="s">
        <v>373</v>
      </c>
      <c r="X176" t="s">
        <v>106</v>
      </c>
      <c r="Y176" t="s">
        <v>108</v>
      </c>
      <c r="Z176" t="s">
        <v>108</v>
      </c>
      <c r="AA176" t="s">
        <v>1348</v>
      </c>
      <c r="AB176" t="s">
        <v>106</v>
      </c>
    </row>
    <row r="177" spans="1:28" x14ac:dyDescent="0.3">
      <c r="A177" t="s">
        <v>1341</v>
      </c>
      <c r="B177">
        <v>3</v>
      </c>
      <c r="C177">
        <v>35</v>
      </c>
      <c r="D177">
        <v>22</v>
      </c>
      <c r="E177" t="s">
        <v>128</v>
      </c>
      <c r="F177" s="12">
        <v>45330</v>
      </c>
      <c r="G177" t="s">
        <v>462</v>
      </c>
      <c r="H177" s="12">
        <v>45330</v>
      </c>
      <c r="I177" t="s">
        <v>1707</v>
      </c>
      <c r="J177" t="s">
        <v>1334</v>
      </c>
      <c r="L177">
        <v>36.700000000000003</v>
      </c>
      <c r="P177" t="s">
        <v>106</v>
      </c>
      <c r="Q177" t="s">
        <v>106</v>
      </c>
      <c r="R177" t="s">
        <v>106</v>
      </c>
      <c r="S177" t="s">
        <v>106</v>
      </c>
      <c r="T177" t="s">
        <v>106</v>
      </c>
      <c r="U177" t="s">
        <v>1359</v>
      </c>
      <c r="V177" t="s">
        <v>106</v>
      </c>
      <c r="W177" t="s">
        <v>373</v>
      </c>
      <c r="X177" t="s">
        <v>106</v>
      </c>
      <c r="Y177" t="s">
        <v>108</v>
      </c>
      <c r="Z177" t="s">
        <v>108</v>
      </c>
      <c r="AA177" t="s">
        <v>1348</v>
      </c>
      <c r="AB177" t="s">
        <v>106</v>
      </c>
    </row>
    <row r="178" spans="1:28" x14ac:dyDescent="0.3">
      <c r="A178" t="s">
        <v>1341</v>
      </c>
      <c r="B178">
        <v>3</v>
      </c>
      <c r="C178">
        <v>35</v>
      </c>
      <c r="D178">
        <v>35</v>
      </c>
      <c r="E178" t="s">
        <v>128</v>
      </c>
      <c r="F178" s="12">
        <v>45330</v>
      </c>
      <c r="G178" t="s">
        <v>1166</v>
      </c>
      <c r="H178" s="12">
        <v>45330</v>
      </c>
      <c r="I178" t="s">
        <v>1708</v>
      </c>
      <c r="J178" t="s">
        <v>459</v>
      </c>
      <c r="L178">
        <v>36.4</v>
      </c>
      <c r="P178" t="s">
        <v>106</v>
      </c>
      <c r="Q178" t="s">
        <v>106</v>
      </c>
      <c r="R178" t="s">
        <v>106</v>
      </c>
      <c r="S178" t="s">
        <v>106</v>
      </c>
      <c r="T178" t="s">
        <v>106</v>
      </c>
      <c r="U178" t="s">
        <v>1651</v>
      </c>
      <c r="V178" t="s">
        <v>106</v>
      </c>
      <c r="W178" t="s">
        <v>443</v>
      </c>
      <c r="X178" t="s">
        <v>106</v>
      </c>
      <c r="Y178" t="s">
        <v>108</v>
      </c>
      <c r="Z178" t="s">
        <v>108</v>
      </c>
      <c r="AA178" t="s">
        <v>1709</v>
      </c>
      <c r="AB178" t="s">
        <v>106</v>
      </c>
    </row>
    <row r="179" spans="1:28" x14ac:dyDescent="0.3">
      <c r="A179" t="s">
        <v>1341</v>
      </c>
      <c r="B179">
        <v>3</v>
      </c>
      <c r="C179">
        <v>35</v>
      </c>
      <c r="D179">
        <v>23</v>
      </c>
      <c r="E179" t="s">
        <v>128</v>
      </c>
      <c r="F179" s="12">
        <v>45330</v>
      </c>
      <c r="G179" t="s">
        <v>462</v>
      </c>
      <c r="H179" s="12">
        <v>45330</v>
      </c>
      <c r="I179" t="s">
        <v>1707</v>
      </c>
      <c r="J179" t="s">
        <v>1334</v>
      </c>
      <c r="L179">
        <v>35.799999999999997</v>
      </c>
      <c r="P179" t="s">
        <v>106</v>
      </c>
      <c r="Q179" t="s">
        <v>106</v>
      </c>
      <c r="R179" t="s">
        <v>106</v>
      </c>
      <c r="S179" t="s">
        <v>106</v>
      </c>
      <c r="T179" t="s">
        <v>1736</v>
      </c>
      <c r="U179" t="s">
        <v>106</v>
      </c>
      <c r="V179" t="s">
        <v>106</v>
      </c>
      <c r="W179" t="s">
        <v>373</v>
      </c>
      <c r="X179" t="s">
        <v>106</v>
      </c>
      <c r="Y179" t="s">
        <v>108</v>
      </c>
      <c r="Z179" t="s">
        <v>108</v>
      </c>
      <c r="AA179" t="s">
        <v>1348</v>
      </c>
      <c r="AB179" t="s">
        <v>106</v>
      </c>
    </row>
    <row r="180" spans="1:28" x14ac:dyDescent="0.3">
      <c r="A180" t="s">
        <v>1341</v>
      </c>
      <c r="B180">
        <v>3</v>
      </c>
      <c r="C180">
        <v>35</v>
      </c>
      <c r="D180">
        <v>14</v>
      </c>
      <c r="E180" t="s">
        <v>128</v>
      </c>
      <c r="F180" s="12">
        <v>45330</v>
      </c>
      <c r="G180" t="s">
        <v>394</v>
      </c>
      <c r="H180" s="12">
        <v>45330</v>
      </c>
      <c r="I180" t="s">
        <v>1206</v>
      </c>
      <c r="J180" t="s">
        <v>1334</v>
      </c>
      <c r="L180">
        <v>36.299999999999997</v>
      </c>
      <c r="P180" t="s">
        <v>106</v>
      </c>
      <c r="Q180" t="s">
        <v>106</v>
      </c>
      <c r="R180" t="s">
        <v>106</v>
      </c>
      <c r="S180" t="s">
        <v>1430</v>
      </c>
      <c r="T180" t="s">
        <v>1764</v>
      </c>
      <c r="U180" t="s">
        <v>564</v>
      </c>
      <c r="V180" t="s">
        <v>106</v>
      </c>
      <c r="W180" t="s">
        <v>373</v>
      </c>
      <c r="X180" t="s">
        <v>106</v>
      </c>
      <c r="Y180" t="s">
        <v>108</v>
      </c>
      <c r="Z180" t="s">
        <v>108</v>
      </c>
      <c r="AA180" t="s">
        <v>1348</v>
      </c>
      <c r="AB180" t="s">
        <v>106</v>
      </c>
    </row>
    <row r="181" spans="1:28" x14ac:dyDescent="0.3">
      <c r="A181" t="s">
        <v>1341</v>
      </c>
      <c r="B181">
        <v>3</v>
      </c>
      <c r="C181">
        <v>35</v>
      </c>
      <c r="D181">
        <v>26</v>
      </c>
      <c r="E181" t="s">
        <v>128</v>
      </c>
      <c r="F181" s="12">
        <v>45330</v>
      </c>
      <c r="G181" t="s">
        <v>131</v>
      </c>
      <c r="H181" s="12">
        <v>45330</v>
      </c>
      <c r="I181" t="s">
        <v>1708</v>
      </c>
      <c r="J181" t="s">
        <v>459</v>
      </c>
      <c r="L181">
        <v>37.700000000000003</v>
      </c>
      <c r="P181" t="s">
        <v>106</v>
      </c>
      <c r="Q181" t="s">
        <v>106</v>
      </c>
      <c r="R181" t="s">
        <v>106</v>
      </c>
      <c r="S181" t="s">
        <v>106</v>
      </c>
      <c r="T181" t="s">
        <v>106</v>
      </c>
      <c r="U181" t="s">
        <v>395</v>
      </c>
      <c r="V181" t="s">
        <v>106</v>
      </c>
      <c r="W181" t="s">
        <v>443</v>
      </c>
      <c r="X181" t="s">
        <v>106</v>
      </c>
      <c r="Y181" t="s">
        <v>108</v>
      </c>
      <c r="Z181" t="s">
        <v>108</v>
      </c>
      <c r="AA181" t="s">
        <v>1709</v>
      </c>
      <c r="AB181" t="s">
        <v>106</v>
      </c>
    </row>
    <row r="182" spans="1:28" x14ac:dyDescent="0.3">
      <c r="A182" t="s">
        <v>1341</v>
      </c>
      <c r="B182">
        <v>4</v>
      </c>
      <c r="C182">
        <v>60</v>
      </c>
      <c r="D182">
        <v>39</v>
      </c>
      <c r="E182" t="s">
        <v>128</v>
      </c>
      <c r="F182" s="12">
        <v>45330</v>
      </c>
      <c r="G182" t="s">
        <v>1437</v>
      </c>
      <c r="H182" s="12">
        <v>45330</v>
      </c>
      <c r="I182" t="s">
        <v>1708</v>
      </c>
      <c r="J182" t="s">
        <v>459</v>
      </c>
      <c r="L182">
        <v>58.9</v>
      </c>
      <c r="P182" t="s">
        <v>106</v>
      </c>
      <c r="Q182" t="s">
        <v>106</v>
      </c>
      <c r="R182" t="s">
        <v>106</v>
      </c>
      <c r="S182" t="s">
        <v>106</v>
      </c>
      <c r="T182" t="s">
        <v>106</v>
      </c>
      <c r="U182" t="s">
        <v>1468</v>
      </c>
      <c r="V182" t="s">
        <v>106</v>
      </c>
      <c r="W182" t="s">
        <v>443</v>
      </c>
      <c r="X182" t="s">
        <v>106</v>
      </c>
      <c r="Y182" t="s">
        <v>108</v>
      </c>
      <c r="Z182" t="s">
        <v>104</v>
      </c>
      <c r="AA182" t="s">
        <v>1709</v>
      </c>
      <c r="AB182" t="s">
        <v>106</v>
      </c>
    </row>
    <row r="183" spans="1:28" x14ac:dyDescent="0.3">
      <c r="A183" t="s">
        <v>1341</v>
      </c>
      <c r="B183">
        <v>4</v>
      </c>
      <c r="C183">
        <v>60</v>
      </c>
      <c r="D183">
        <v>40</v>
      </c>
      <c r="E183" t="s">
        <v>128</v>
      </c>
      <c r="F183" s="12">
        <v>45330</v>
      </c>
      <c r="G183" t="s">
        <v>1169</v>
      </c>
      <c r="H183" s="12">
        <v>45330</v>
      </c>
      <c r="I183" t="s">
        <v>1708</v>
      </c>
      <c r="J183" t="s">
        <v>459</v>
      </c>
      <c r="L183">
        <v>60.3</v>
      </c>
      <c r="P183" t="s">
        <v>106</v>
      </c>
      <c r="Q183" t="s">
        <v>106</v>
      </c>
      <c r="R183" t="s">
        <v>106</v>
      </c>
      <c r="S183" t="s">
        <v>106</v>
      </c>
      <c r="T183" t="s">
        <v>106</v>
      </c>
      <c r="U183" t="s">
        <v>1382</v>
      </c>
      <c r="V183" t="s">
        <v>106</v>
      </c>
      <c r="W183" t="s">
        <v>443</v>
      </c>
      <c r="X183" t="s">
        <v>106</v>
      </c>
      <c r="Y183" t="s">
        <v>108</v>
      </c>
      <c r="Z183" t="s">
        <v>104</v>
      </c>
      <c r="AA183" t="s">
        <v>1709</v>
      </c>
      <c r="AB183" t="s">
        <v>106</v>
      </c>
    </row>
    <row r="184" spans="1:28" x14ac:dyDescent="0.3">
      <c r="A184" t="s">
        <v>1341</v>
      </c>
      <c r="B184">
        <v>4</v>
      </c>
      <c r="C184">
        <v>60</v>
      </c>
      <c r="D184">
        <v>34</v>
      </c>
      <c r="E184" t="s">
        <v>308</v>
      </c>
      <c r="F184" s="12">
        <v>45330</v>
      </c>
      <c r="G184" t="s">
        <v>375</v>
      </c>
      <c r="H184" s="12">
        <v>45330</v>
      </c>
      <c r="I184" t="s">
        <v>1708</v>
      </c>
      <c r="J184" t="s">
        <v>459</v>
      </c>
      <c r="L184">
        <v>63.8</v>
      </c>
      <c r="P184" t="s">
        <v>106</v>
      </c>
      <c r="Q184" t="s">
        <v>106</v>
      </c>
      <c r="R184" t="s">
        <v>106</v>
      </c>
      <c r="S184" t="s">
        <v>106</v>
      </c>
      <c r="T184" t="s">
        <v>106</v>
      </c>
      <c r="U184" t="s">
        <v>703</v>
      </c>
      <c r="V184" t="s">
        <v>106</v>
      </c>
      <c r="W184" t="s">
        <v>443</v>
      </c>
      <c r="X184" t="s">
        <v>106</v>
      </c>
      <c r="Y184" t="s">
        <v>108</v>
      </c>
      <c r="Z184" t="s">
        <v>108</v>
      </c>
      <c r="AA184" t="s">
        <v>1709</v>
      </c>
      <c r="AB184" t="s">
        <v>106</v>
      </c>
    </row>
    <row r="185" spans="1:28" x14ac:dyDescent="0.3">
      <c r="A185" t="s">
        <v>1341</v>
      </c>
      <c r="B185">
        <v>4</v>
      </c>
      <c r="C185">
        <v>60</v>
      </c>
      <c r="D185">
        <v>33</v>
      </c>
      <c r="E185" t="s">
        <v>128</v>
      </c>
      <c r="F185" s="12">
        <v>45330</v>
      </c>
      <c r="G185" t="s">
        <v>375</v>
      </c>
      <c r="H185" s="12">
        <v>45330</v>
      </c>
      <c r="I185" t="s">
        <v>1708</v>
      </c>
      <c r="J185" t="s">
        <v>459</v>
      </c>
      <c r="L185">
        <v>64.900000000000006</v>
      </c>
      <c r="P185" t="s">
        <v>106</v>
      </c>
      <c r="Q185" t="s">
        <v>106</v>
      </c>
      <c r="R185" t="s">
        <v>106</v>
      </c>
      <c r="S185" t="s">
        <v>106</v>
      </c>
      <c r="T185" t="s">
        <v>106</v>
      </c>
      <c r="U185" t="s">
        <v>904</v>
      </c>
      <c r="V185" t="s">
        <v>106</v>
      </c>
      <c r="W185" t="s">
        <v>443</v>
      </c>
      <c r="X185" t="s">
        <v>106</v>
      </c>
      <c r="Y185" t="s">
        <v>108</v>
      </c>
      <c r="Z185" t="s">
        <v>108</v>
      </c>
      <c r="AA185" t="s">
        <v>1709</v>
      </c>
      <c r="AB185" t="s">
        <v>106</v>
      </c>
    </row>
    <row r="186" spans="1:28" x14ac:dyDescent="0.3">
      <c r="A186" t="s">
        <v>1341</v>
      </c>
      <c r="B186">
        <v>4</v>
      </c>
      <c r="C186">
        <v>60</v>
      </c>
      <c r="D186">
        <v>25</v>
      </c>
      <c r="E186" t="s">
        <v>128</v>
      </c>
      <c r="F186" s="12">
        <v>45330</v>
      </c>
      <c r="G186" t="s">
        <v>687</v>
      </c>
      <c r="H186" s="12">
        <v>45330</v>
      </c>
      <c r="I186" t="s">
        <v>1707</v>
      </c>
      <c r="J186" t="s">
        <v>1334</v>
      </c>
      <c r="L186">
        <v>61.8</v>
      </c>
      <c r="P186" t="s">
        <v>106</v>
      </c>
      <c r="Q186" t="s">
        <v>106</v>
      </c>
      <c r="R186" t="s">
        <v>106</v>
      </c>
      <c r="S186" t="s">
        <v>106</v>
      </c>
      <c r="T186" t="s">
        <v>106</v>
      </c>
      <c r="U186" t="s">
        <v>1736</v>
      </c>
      <c r="V186" t="s">
        <v>106</v>
      </c>
      <c r="W186" t="s">
        <v>373</v>
      </c>
      <c r="X186" t="s">
        <v>106</v>
      </c>
      <c r="Y186" t="s">
        <v>108</v>
      </c>
      <c r="Z186" t="s">
        <v>104</v>
      </c>
      <c r="AA186" t="s">
        <v>1348</v>
      </c>
      <c r="AB186" t="s">
        <v>106</v>
      </c>
    </row>
    <row r="187" spans="1:28" x14ac:dyDescent="0.3">
      <c r="A187" t="s">
        <v>1341</v>
      </c>
      <c r="B187">
        <v>4</v>
      </c>
      <c r="C187">
        <v>60</v>
      </c>
      <c r="D187">
        <v>24</v>
      </c>
      <c r="E187" t="s">
        <v>128</v>
      </c>
      <c r="F187" s="12">
        <v>45330</v>
      </c>
      <c r="G187" t="s">
        <v>462</v>
      </c>
      <c r="H187" s="12">
        <v>45330</v>
      </c>
      <c r="I187" t="s">
        <v>1707</v>
      </c>
      <c r="J187" t="s">
        <v>1334</v>
      </c>
      <c r="L187">
        <v>63.6</v>
      </c>
      <c r="P187" t="s">
        <v>106</v>
      </c>
      <c r="Q187" t="s">
        <v>106</v>
      </c>
      <c r="R187" t="s">
        <v>106</v>
      </c>
      <c r="S187" t="s">
        <v>106</v>
      </c>
      <c r="T187" t="s">
        <v>106</v>
      </c>
      <c r="U187" t="s">
        <v>1482</v>
      </c>
      <c r="V187" t="s">
        <v>106</v>
      </c>
      <c r="W187" t="s">
        <v>373</v>
      </c>
      <c r="X187" t="s">
        <v>106</v>
      </c>
      <c r="Y187" t="s">
        <v>108</v>
      </c>
      <c r="Z187" t="s">
        <v>104</v>
      </c>
      <c r="AA187" t="s">
        <v>1348</v>
      </c>
      <c r="AB187" t="s">
        <v>106</v>
      </c>
    </row>
    <row r="188" spans="1:28" x14ac:dyDescent="0.3">
      <c r="A188" t="s">
        <v>1341</v>
      </c>
      <c r="B188">
        <v>4</v>
      </c>
      <c r="C188">
        <v>60</v>
      </c>
      <c r="D188">
        <v>17</v>
      </c>
      <c r="E188" t="s">
        <v>128</v>
      </c>
      <c r="F188" s="12">
        <v>45330</v>
      </c>
      <c r="G188" t="s">
        <v>805</v>
      </c>
      <c r="H188" s="12">
        <v>45330</v>
      </c>
      <c r="I188" t="s">
        <v>1206</v>
      </c>
      <c r="J188" t="s">
        <v>1334</v>
      </c>
      <c r="L188">
        <v>60</v>
      </c>
      <c r="P188" t="s">
        <v>106</v>
      </c>
      <c r="Q188" t="s">
        <v>106</v>
      </c>
      <c r="R188" t="s">
        <v>106</v>
      </c>
      <c r="S188" t="s">
        <v>106</v>
      </c>
      <c r="T188" t="s">
        <v>2629</v>
      </c>
      <c r="U188" t="s">
        <v>440</v>
      </c>
      <c r="V188" t="s">
        <v>106</v>
      </c>
      <c r="W188" t="s">
        <v>373</v>
      </c>
      <c r="X188" t="s">
        <v>106</v>
      </c>
      <c r="Y188" t="s">
        <v>108</v>
      </c>
      <c r="Z188" t="s">
        <v>104</v>
      </c>
      <c r="AA188" t="s">
        <v>1348</v>
      </c>
      <c r="AB188" t="s">
        <v>106</v>
      </c>
    </row>
    <row r="189" spans="1:28" x14ac:dyDescent="0.3">
      <c r="A189" t="s">
        <v>1341</v>
      </c>
      <c r="B189">
        <v>4</v>
      </c>
      <c r="C189">
        <v>60</v>
      </c>
      <c r="D189">
        <v>16</v>
      </c>
      <c r="E189" t="s">
        <v>128</v>
      </c>
      <c r="F189" s="12">
        <v>45330</v>
      </c>
      <c r="G189" t="s">
        <v>419</v>
      </c>
      <c r="H189" s="12">
        <v>45330</v>
      </c>
      <c r="I189" t="s">
        <v>1206</v>
      </c>
      <c r="J189" t="s">
        <v>1334</v>
      </c>
      <c r="L189">
        <v>59.8</v>
      </c>
      <c r="P189" t="s">
        <v>106</v>
      </c>
      <c r="Q189" t="s">
        <v>106</v>
      </c>
      <c r="R189" t="s">
        <v>106</v>
      </c>
      <c r="S189" t="s">
        <v>2352</v>
      </c>
      <c r="T189" t="s">
        <v>2630</v>
      </c>
      <c r="U189" t="s">
        <v>564</v>
      </c>
      <c r="V189" t="s">
        <v>106</v>
      </c>
      <c r="W189" t="s">
        <v>373</v>
      </c>
      <c r="X189" t="s">
        <v>106</v>
      </c>
      <c r="Y189" t="s">
        <v>108</v>
      </c>
      <c r="Z189" t="s">
        <v>104</v>
      </c>
      <c r="AA189" t="s">
        <v>1348</v>
      </c>
      <c r="AB189" t="s">
        <v>106</v>
      </c>
    </row>
    <row r="190" spans="1:28" x14ac:dyDescent="0.3">
      <c r="A190" t="s">
        <v>1341</v>
      </c>
      <c r="B190">
        <v>4</v>
      </c>
      <c r="C190">
        <v>60</v>
      </c>
      <c r="D190">
        <v>32</v>
      </c>
      <c r="E190" t="s">
        <v>128</v>
      </c>
      <c r="F190" s="12">
        <v>45330</v>
      </c>
      <c r="G190" t="s">
        <v>375</v>
      </c>
      <c r="H190" s="12">
        <v>45330</v>
      </c>
      <c r="I190" t="s">
        <v>1708</v>
      </c>
      <c r="J190" t="s">
        <v>459</v>
      </c>
      <c r="L190">
        <v>63.9</v>
      </c>
      <c r="P190" t="s">
        <v>106</v>
      </c>
      <c r="Q190" t="s">
        <v>106</v>
      </c>
      <c r="R190" t="s">
        <v>106</v>
      </c>
      <c r="S190" t="s">
        <v>106</v>
      </c>
      <c r="T190" t="s">
        <v>106</v>
      </c>
      <c r="U190" t="s">
        <v>395</v>
      </c>
      <c r="V190" t="s">
        <v>106</v>
      </c>
      <c r="W190" t="s">
        <v>443</v>
      </c>
      <c r="X190" t="s">
        <v>106</v>
      </c>
      <c r="Y190" t="s">
        <v>108</v>
      </c>
      <c r="Z190" t="s">
        <v>108</v>
      </c>
      <c r="AA190" t="s">
        <v>1709</v>
      </c>
      <c r="AB190" t="s">
        <v>106</v>
      </c>
    </row>
    <row r="191" spans="1:28" x14ac:dyDescent="0.3">
      <c r="A191" t="s">
        <v>1341</v>
      </c>
      <c r="B191">
        <v>1</v>
      </c>
      <c r="C191">
        <v>0</v>
      </c>
      <c r="D191">
        <v>51</v>
      </c>
      <c r="E191" t="s">
        <v>128</v>
      </c>
      <c r="F191" s="12">
        <v>45331</v>
      </c>
      <c r="G191" t="s">
        <v>469</v>
      </c>
      <c r="H191" s="12">
        <v>45331</v>
      </c>
      <c r="I191" t="s">
        <v>1346</v>
      </c>
      <c r="J191" t="s">
        <v>1334</v>
      </c>
      <c r="L191">
        <v>0.1</v>
      </c>
      <c r="P191" t="s">
        <v>106</v>
      </c>
      <c r="Q191" t="s">
        <v>106</v>
      </c>
      <c r="R191" t="s">
        <v>106</v>
      </c>
      <c r="S191" t="s">
        <v>106</v>
      </c>
      <c r="T191" t="s">
        <v>480</v>
      </c>
      <c r="U191" t="s">
        <v>1347</v>
      </c>
      <c r="V191" t="s">
        <v>106</v>
      </c>
      <c r="W191" t="s">
        <v>443</v>
      </c>
      <c r="X191" t="s">
        <v>106</v>
      </c>
      <c r="Y191" t="s">
        <v>108</v>
      </c>
      <c r="Z191" t="s">
        <v>104</v>
      </c>
      <c r="AA191" t="s">
        <v>1348</v>
      </c>
      <c r="AB191" t="s">
        <v>106</v>
      </c>
    </row>
    <row r="192" spans="1:28" x14ac:dyDescent="0.3">
      <c r="A192" t="s">
        <v>1341</v>
      </c>
      <c r="B192">
        <v>1</v>
      </c>
      <c r="C192">
        <v>0</v>
      </c>
      <c r="D192">
        <v>52</v>
      </c>
      <c r="E192" t="s">
        <v>128</v>
      </c>
      <c r="F192" s="12">
        <v>45331</v>
      </c>
      <c r="G192" t="s">
        <v>469</v>
      </c>
      <c r="H192" s="12">
        <v>45331</v>
      </c>
      <c r="I192" t="s">
        <v>1346</v>
      </c>
      <c r="J192" t="s">
        <v>1334</v>
      </c>
      <c r="L192">
        <v>0.1</v>
      </c>
      <c r="P192" t="s">
        <v>106</v>
      </c>
      <c r="Q192" t="s">
        <v>106</v>
      </c>
      <c r="R192" t="s">
        <v>106</v>
      </c>
      <c r="S192" t="s">
        <v>1349</v>
      </c>
      <c r="T192" t="s">
        <v>1350</v>
      </c>
      <c r="U192" t="s">
        <v>1351</v>
      </c>
      <c r="V192" t="s">
        <v>106</v>
      </c>
      <c r="W192" t="s">
        <v>443</v>
      </c>
      <c r="X192" t="s">
        <v>106</v>
      </c>
      <c r="Y192" t="s">
        <v>108</v>
      </c>
      <c r="Z192" t="s">
        <v>104</v>
      </c>
      <c r="AA192" t="s">
        <v>1348</v>
      </c>
      <c r="AB192" t="s">
        <v>106</v>
      </c>
    </row>
    <row r="193" spans="1:28" x14ac:dyDescent="0.3">
      <c r="A193" t="s">
        <v>1341</v>
      </c>
      <c r="B193">
        <v>2</v>
      </c>
      <c r="C193">
        <v>15</v>
      </c>
      <c r="D193">
        <v>45</v>
      </c>
      <c r="E193" t="s">
        <v>128</v>
      </c>
      <c r="F193" s="12">
        <v>45331</v>
      </c>
      <c r="G193" t="s">
        <v>399</v>
      </c>
      <c r="H193" s="12">
        <v>45331</v>
      </c>
      <c r="I193" t="s">
        <v>1346</v>
      </c>
      <c r="J193" t="s">
        <v>1334</v>
      </c>
      <c r="L193">
        <v>15.2</v>
      </c>
      <c r="P193" t="s">
        <v>106</v>
      </c>
      <c r="Q193" t="s">
        <v>107</v>
      </c>
      <c r="R193" t="s">
        <v>107</v>
      </c>
      <c r="S193" t="s">
        <v>106</v>
      </c>
      <c r="T193" t="s">
        <v>804</v>
      </c>
      <c r="U193" t="s">
        <v>700</v>
      </c>
      <c r="V193" t="s">
        <v>106</v>
      </c>
      <c r="W193" t="s">
        <v>443</v>
      </c>
      <c r="X193" t="s">
        <v>106</v>
      </c>
      <c r="Y193" t="s">
        <v>108</v>
      </c>
      <c r="Z193" t="s">
        <v>109</v>
      </c>
      <c r="AA193" t="s">
        <v>1348</v>
      </c>
      <c r="AB193" t="s">
        <v>106</v>
      </c>
    </row>
    <row r="194" spans="1:28" x14ac:dyDescent="0.3">
      <c r="A194" t="s">
        <v>1341</v>
      </c>
      <c r="B194">
        <v>2</v>
      </c>
      <c r="C194">
        <v>15</v>
      </c>
      <c r="D194">
        <v>67</v>
      </c>
      <c r="E194" t="s">
        <v>308</v>
      </c>
      <c r="F194" s="12">
        <v>45331</v>
      </c>
      <c r="G194" t="s">
        <v>571</v>
      </c>
      <c r="H194" s="12" t="s">
        <v>106</v>
      </c>
      <c r="I194" t="s">
        <v>106</v>
      </c>
      <c r="J194" t="s">
        <v>106</v>
      </c>
      <c r="L194">
        <v>17.2</v>
      </c>
      <c r="P194" t="s">
        <v>106</v>
      </c>
      <c r="Q194" t="s">
        <v>106</v>
      </c>
      <c r="R194" t="s">
        <v>106</v>
      </c>
      <c r="S194" t="s">
        <v>1711</v>
      </c>
      <c r="T194" t="s">
        <v>1712</v>
      </c>
      <c r="U194" t="s">
        <v>106</v>
      </c>
      <c r="V194" t="s">
        <v>106</v>
      </c>
      <c r="W194" t="s">
        <v>490</v>
      </c>
      <c r="X194" t="s">
        <v>106</v>
      </c>
      <c r="Y194" t="s">
        <v>108</v>
      </c>
      <c r="Z194" t="s">
        <v>109</v>
      </c>
      <c r="AA194" t="s">
        <v>1354</v>
      </c>
      <c r="AB194" t="s">
        <v>106</v>
      </c>
    </row>
    <row r="195" spans="1:28" x14ac:dyDescent="0.3">
      <c r="A195" t="s">
        <v>1341</v>
      </c>
      <c r="B195">
        <v>2</v>
      </c>
      <c r="C195">
        <v>15</v>
      </c>
      <c r="D195">
        <v>66</v>
      </c>
      <c r="E195" t="s">
        <v>308</v>
      </c>
      <c r="F195" s="12">
        <v>45331</v>
      </c>
      <c r="G195" t="s">
        <v>310</v>
      </c>
      <c r="H195" s="12" t="s">
        <v>106</v>
      </c>
      <c r="I195" t="s">
        <v>106</v>
      </c>
      <c r="J195" t="s">
        <v>106</v>
      </c>
      <c r="L195">
        <v>17.100000000000001</v>
      </c>
      <c r="P195" t="s">
        <v>106</v>
      </c>
      <c r="Q195" t="s">
        <v>106</v>
      </c>
      <c r="R195" t="s">
        <v>106</v>
      </c>
      <c r="S195" t="s">
        <v>106</v>
      </c>
      <c r="T195" t="s">
        <v>1659</v>
      </c>
      <c r="U195" t="s">
        <v>106</v>
      </c>
      <c r="V195" t="s">
        <v>106</v>
      </c>
      <c r="W195" t="s">
        <v>490</v>
      </c>
      <c r="X195" t="s">
        <v>106</v>
      </c>
      <c r="Y195" t="s">
        <v>108</v>
      </c>
      <c r="Z195" t="s">
        <v>109</v>
      </c>
      <c r="AA195" t="s">
        <v>1354</v>
      </c>
      <c r="AB195" t="s">
        <v>106</v>
      </c>
    </row>
    <row r="196" spans="1:28" x14ac:dyDescent="0.3">
      <c r="A196" t="s">
        <v>1341</v>
      </c>
      <c r="B196">
        <v>2</v>
      </c>
      <c r="C196">
        <v>15</v>
      </c>
      <c r="D196">
        <v>57</v>
      </c>
      <c r="E196" t="s">
        <v>128</v>
      </c>
      <c r="F196" s="12">
        <v>45331</v>
      </c>
      <c r="G196" t="s">
        <v>622</v>
      </c>
      <c r="H196" s="12">
        <v>45331</v>
      </c>
      <c r="I196" t="s">
        <v>447</v>
      </c>
      <c r="J196" t="s">
        <v>1334</v>
      </c>
      <c r="L196">
        <v>14.6</v>
      </c>
      <c r="P196" t="s">
        <v>106</v>
      </c>
      <c r="Q196" t="s">
        <v>106</v>
      </c>
      <c r="R196" t="s">
        <v>106</v>
      </c>
      <c r="S196" t="s">
        <v>106</v>
      </c>
      <c r="T196" t="s">
        <v>1713</v>
      </c>
      <c r="U196" t="s">
        <v>1353</v>
      </c>
      <c r="V196" t="s">
        <v>106</v>
      </c>
      <c r="W196" t="s">
        <v>443</v>
      </c>
      <c r="X196" t="s">
        <v>106</v>
      </c>
      <c r="Y196" t="s">
        <v>108</v>
      </c>
      <c r="Z196" t="s">
        <v>109</v>
      </c>
      <c r="AA196" t="s">
        <v>1348</v>
      </c>
      <c r="AB196" t="s">
        <v>106</v>
      </c>
    </row>
    <row r="197" spans="1:28" x14ac:dyDescent="0.3">
      <c r="A197" t="s">
        <v>1341</v>
      </c>
      <c r="B197">
        <v>2</v>
      </c>
      <c r="C197">
        <v>15</v>
      </c>
      <c r="D197">
        <v>56</v>
      </c>
      <c r="E197" t="s">
        <v>128</v>
      </c>
      <c r="F197" s="12">
        <v>45331</v>
      </c>
      <c r="G197" t="s">
        <v>622</v>
      </c>
      <c r="H197" s="12">
        <v>45331</v>
      </c>
      <c r="I197" t="s">
        <v>447</v>
      </c>
      <c r="J197" t="s">
        <v>1334</v>
      </c>
      <c r="L197">
        <v>14.7</v>
      </c>
      <c r="P197" t="s">
        <v>106</v>
      </c>
      <c r="Q197" t="s">
        <v>106</v>
      </c>
      <c r="R197" t="s">
        <v>106</v>
      </c>
      <c r="S197" t="s">
        <v>106</v>
      </c>
      <c r="T197" t="s">
        <v>1713</v>
      </c>
      <c r="U197" t="s">
        <v>1347</v>
      </c>
      <c r="V197" t="s">
        <v>106</v>
      </c>
      <c r="W197" t="s">
        <v>443</v>
      </c>
      <c r="X197" t="s">
        <v>106</v>
      </c>
      <c r="Y197" t="s">
        <v>108</v>
      </c>
      <c r="Z197" t="s">
        <v>109</v>
      </c>
      <c r="AA197" t="s">
        <v>1348</v>
      </c>
      <c r="AB197" t="s">
        <v>106</v>
      </c>
    </row>
    <row r="198" spans="1:28" x14ac:dyDescent="0.3">
      <c r="A198" t="s">
        <v>1341</v>
      </c>
      <c r="B198">
        <v>2</v>
      </c>
      <c r="C198">
        <v>15</v>
      </c>
      <c r="D198">
        <v>46</v>
      </c>
      <c r="E198" t="s">
        <v>128</v>
      </c>
      <c r="F198" s="12">
        <v>45331</v>
      </c>
      <c r="G198" t="s">
        <v>553</v>
      </c>
      <c r="H198" s="12">
        <v>45331</v>
      </c>
      <c r="I198" t="s">
        <v>1346</v>
      </c>
      <c r="J198" t="s">
        <v>1334</v>
      </c>
      <c r="L198">
        <v>14.7</v>
      </c>
      <c r="P198" t="s">
        <v>106</v>
      </c>
      <c r="Q198" t="s">
        <v>106</v>
      </c>
      <c r="R198" t="s">
        <v>106</v>
      </c>
      <c r="S198" t="s">
        <v>1714</v>
      </c>
      <c r="T198" t="s">
        <v>1715</v>
      </c>
      <c r="U198" t="s">
        <v>1716</v>
      </c>
      <c r="V198" t="s">
        <v>106</v>
      </c>
      <c r="W198" t="s">
        <v>443</v>
      </c>
      <c r="X198" t="s">
        <v>106</v>
      </c>
      <c r="Y198" t="s">
        <v>108</v>
      </c>
      <c r="Z198" t="s">
        <v>109</v>
      </c>
      <c r="AA198" t="s">
        <v>1348</v>
      </c>
      <c r="AB198" t="s">
        <v>106</v>
      </c>
    </row>
    <row r="199" spans="1:28" x14ac:dyDescent="0.3">
      <c r="A199" t="s">
        <v>1341</v>
      </c>
      <c r="B199">
        <v>2</v>
      </c>
      <c r="C199">
        <v>15</v>
      </c>
      <c r="D199">
        <v>69</v>
      </c>
      <c r="E199" t="s">
        <v>128</v>
      </c>
      <c r="F199" s="12">
        <v>45331</v>
      </c>
      <c r="G199" t="s">
        <v>738</v>
      </c>
      <c r="H199" s="12">
        <v>45331</v>
      </c>
      <c r="I199" t="s">
        <v>134</v>
      </c>
      <c r="J199" t="s">
        <v>459</v>
      </c>
      <c r="L199">
        <v>14.5</v>
      </c>
      <c r="P199" t="s">
        <v>106</v>
      </c>
      <c r="Q199" t="s">
        <v>106</v>
      </c>
      <c r="R199" t="s">
        <v>106</v>
      </c>
      <c r="S199" t="s">
        <v>1717</v>
      </c>
      <c r="T199" t="s">
        <v>1718</v>
      </c>
      <c r="U199" t="s">
        <v>1356</v>
      </c>
      <c r="V199" t="s">
        <v>106</v>
      </c>
      <c r="W199" t="s">
        <v>490</v>
      </c>
      <c r="X199" t="s">
        <v>106</v>
      </c>
      <c r="Y199" t="s">
        <v>108</v>
      </c>
      <c r="Z199" t="s">
        <v>109</v>
      </c>
      <c r="AA199" t="s">
        <v>1354</v>
      </c>
      <c r="AB199" t="s">
        <v>106</v>
      </c>
    </row>
    <row r="200" spans="1:28" x14ac:dyDescent="0.3">
      <c r="A200" t="s">
        <v>1341</v>
      </c>
      <c r="B200">
        <v>2</v>
      </c>
      <c r="C200">
        <v>15</v>
      </c>
      <c r="D200">
        <v>68</v>
      </c>
      <c r="E200" t="s">
        <v>128</v>
      </c>
      <c r="F200" s="12">
        <v>45331</v>
      </c>
      <c r="G200" t="s">
        <v>738</v>
      </c>
      <c r="H200" s="12">
        <v>45331</v>
      </c>
      <c r="I200" t="s">
        <v>134</v>
      </c>
      <c r="J200" t="s">
        <v>459</v>
      </c>
      <c r="L200">
        <v>14.8</v>
      </c>
      <c r="P200" t="s">
        <v>106</v>
      </c>
      <c r="Q200" t="s">
        <v>106</v>
      </c>
      <c r="R200" t="s">
        <v>106</v>
      </c>
      <c r="S200" t="s">
        <v>106</v>
      </c>
      <c r="T200" t="s">
        <v>795</v>
      </c>
      <c r="U200" t="s">
        <v>1353</v>
      </c>
      <c r="V200" t="s">
        <v>106</v>
      </c>
      <c r="W200" t="s">
        <v>490</v>
      </c>
      <c r="X200" t="s">
        <v>106</v>
      </c>
      <c r="Y200" t="s">
        <v>108</v>
      </c>
      <c r="Z200" t="s">
        <v>109</v>
      </c>
      <c r="AA200" t="s">
        <v>1354</v>
      </c>
      <c r="AB200" t="s">
        <v>106</v>
      </c>
    </row>
    <row r="201" spans="1:28" x14ac:dyDescent="0.3">
      <c r="A201" t="s">
        <v>1341</v>
      </c>
      <c r="B201">
        <v>2</v>
      </c>
      <c r="C201">
        <v>15</v>
      </c>
      <c r="D201">
        <v>44</v>
      </c>
      <c r="E201" t="s">
        <v>128</v>
      </c>
      <c r="F201" s="12">
        <v>45331</v>
      </c>
      <c r="G201" t="s">
        <v>1618</v>
      </c>
      <c r="H201" s="12">
        <v>45331</v>
      </c>
      <c r="I201" t="s">
        <v>1719</v>
      </c>
      <c r="J201" t="s">
        <v>1334</v>
      </c>
      <c r="L201">
        <v>16</v>
      </c>
      <c r="P201" t="s">
        <v>106</v>
      </c>
      <c r="Q201" t="s">
        <v>106</v>
      </c>
      <c r="R201" t="s">
        <v>106</v>
      </c>
      <c r="S201" t="s">
        <v>1446</v>
      </c>
      <c r="T201" t="s">
        <v>1720</v>
      </c>
      <c r="U201" t="s">
        <v>1721</v>
      </c>
      <c r="V201" t="s">
        <v>106</v>
      </c>
      <c r="W201" t="s">
        <v>443</v>
      </c>
      <c r="X201" t="s">
        <v>106</v>
      </c>
      <c r="Y201" t="s">
        <v>108</v>
      </c>
      <c r="Z201" t="s">
        <v>109</v>
      </c>
      <c r="AA201" t="s">
        <v>1709</v>
      </c>
      <c r="AB201" t="s">
        <v>106</v>
      </c>
    </row>
    <row r="202" spans="1:28" x14ac:dyDescent="0.3">
      <c r="A202" t="s">
        <v>1341</v>
      </c>
      <c r="B202">
        <v>3</v>
      </c>
      <c r="C202">
        <v>35</v>
      </c>
      <c r="D202">
        <v>72</v>
      </c>
      <c r="E202" t="s">
        <v>128</v>
      </c>
      <c r="F202" s="12">
        <v>45331</v>
      </c>
      <c r="G202" t="s">
        <v>406</v>
      </c>
      <c r="H202" s="12">
        <v>45331</v>
      </c>
      <c r="I202" t="s">
        <v>134</v>
      </c>
      <c r="J202" t="s">
        <v>459</v>
      </c>
      <c r="L202">
        <v>32.799999999999997</v>
      </c>
      <c r="P202" t="s">
        <v>106</v>
      </c>
      <c r="Q202" t="s">
        <v>106</v>
      </c>
      <c r="R202" t="s">
        <v>106</v>
      </c>
      <c r="S202" t="s">
        <v>106</v>
      </c>
      <c r="T202" t="s">
        <v>2306</v>
      </c>
      <c r="U202" t="s">
        <v>1590</v>
      </c>
      <c r="V202" t="s">
        <v>106</v>
      </c>
      <c r="W202" t="s">
        <v>490</v>
      </c>
      <c r="X202" t="s">
        <v>106</v>
      </c>
      <c r="Y202" t="s">
        <v>108</v>
      </c>
      <c r="Z202" t="s">
        <v>108</v>
      </c>
      <c r="AA202" t="s">
        <v>1354</v>
      </c>
      <c r="AB202" t="s">
        <v>106</v>
      </c>
    </row>
    <row r="203" spans="1:28" x14ac:dyDescent="0.3">
      <c r="A203" t="s">
        <v>1341</v>
      </c>
      <c r="B203">
        <v>3</v>
      </c>
      <c r="C203">
        <v>35</v>
      </c>
      <c r="D203">
        <v>71</v>
      </c>
      <c r="E203" t="s">
        <v>128</v>
      </c>
      <c r="F203" s="12">
        <v>45331</v>
      </c>
      <c r="G203" t="s">
        <v>406</v>
      </c>
      <c r="H203" s="12">
        <v>45331</v>
      </c>
      <c r="I203" t="s">
        <v>134</v>
      </c>
      <c r="J203" t="s">
        <v>459</v>
      </c>
      <c r="L203">
        <v>33</v>
      </c>
      <c r="P203" t="s">
        <v>106</v>
      </c>
      <c r="Q203" t="s">
        <v>106</v>
      </c>
      <c r="R203" t="s">
        <v>106</v>
      </c>
      <c r="S203" t="s">
        <v>2307</v>
      </c>
      <c r="T203" t="s">
        <v>2308</v>
      </c>
      <c r="U203" t="s">
        <v>1590</v>
      </c>
      <c r="V203" t="s">
        <v>106</v>
      </c>
      <c r="W203" t="s">
        <v>490</v>
      </c>
      <c r="X203" t="s">
        <v>106</v>
      </c>
      <c r="Y203" t="s">
        <v>108</v>
      </c>
      <c r="Z203" t="s">
        <v>108</v>
      </c>
      <c r="AA203" t="s">
        <v>1354</v>
      </c>
      <c r="AB203" t="s">
        <v>106</v>
      </c>
    </row>
    <row r="204" spans="1:28" x14ac:dyDescent="0.3">
      <c r="A204" t="s">
        <v>1341</v>
      </c>
      <c r="B204">
        <v>3</v>
      </c>
      <c r="C204">
        <v>35</v>
      </c>
      <c r="D204">
        <v>47</v>
      </c>
      <c r="E204" t="s">
        <v>128</v>
      </c>
      <c r="F204" s="12">
        <v>45331</v>
      </c>
      <c r="G204" t="s">
        <v>553</v>
      </c>
      <c r="H204" s="12">
        <v>45331</v>
      </c>
      <c r="I204" t="s">
        <v>1346</v>
      </c>
      <c r="J204" t="s">
        <v>1334</v>
      </c>
      <c r="L204">
        <v>31.8</v>
      </c>
      <c r="P204" t="s">
        <v>106</v>
      </c>
      <c r="Q204" t="s">
        <v>106</v>
      </c>
      <c r="R204" t="s">
        <v>106</v>
      </c>
      <c r="S204" t="s">
        <v>2309</v>
      </c>
      <c r="T204" t="s">
        <v>2083</v>
      </c>
      <c r="U204" t="s">
        <v>1968</v>
      </c>
      <c r="V204" t="s">
        <v>106</v>
      </c>
      <c r="W204" t="s">
        <v>443</v>
      </c>
      <c r="X204" t="s">
        <v>106</v>
      </c>
      <c r="Y204" t="s">
        <v>108</v>
      </c>
      <c r="Z204" t="s">
        <v>108</v>
      </c>
      <c r="AA204" t="s">
        <v>1348</v>
      </c>
      <c r="AB204" t="s">
        <v>106</v>
      </c>
    </row>
    <row r="205" spans="1:28" x14ac:dyDescent="0.3">
      <c r="A205" t="s">
        <v>1341</v>
      </c>
      <c r="B205">
        <v>3</v>
      </c>
      <c r="C205">
        <v>35</v>
      </c>
      <c r="D205">
        <v>62</v>
      </c>
      <c r="E205" t="s">
        <v>308</v>
      </c>
      <c r="F205" s="12">
        <v>45331</v>
      </c>
      <c r="G205" t="s">
        <v>1139</v>
      </c>
      <c r="H205" s="12" t="s">
        <v>106</v>
      </c>
      <c r="I205" t="s">
        <v>106</v>
      </c>
      <c r="J205" t="s">
        <v>106</v>
      </c>
      <c r="L205">
        <v>38.700000000000003</v>
      </c>
      <c r="P205" t="s">
        <v>106</v>
      </c>
      <c r="Q205" t="s">
        <v>106</v>
      </c>
      <c r="R205" t="s">
        <v>106</v>
      </c>
      <c r="S205" t="s">
        <v>106</v>
      </c>
      <c r="T205" t="s">
        <v>1385</v>
      </c>
      <c r="U205" t="s">
        <v>106</v>
      </c>
      <c r="V205" t="s">
        <v>106</v>
      </c>
      <c r="W205" t="s">
        <v>490</v>
      </c>
      <c r="X205" t="s">
        <v>106</v>
      </c>
      <c r="Y205" t="s">
        <v>108</v>
      </c>
      <c r="Z205" t="s">
        <v>108</v>
      </c>
      <c r="AA205" t="s">
        <v>1354</v>
      </c>
      <c r="AB205" t="s">
        <v>106</v>
      </c>
    </row>
    <row r="206" spans="1:28" x14ac:dyDescent="0.3">
      <c r="A206" t="s">
        <v>1341</v>
      </c>
      <c r="B206">
        <v>3</v>
      </c>
      <c r="C206">
        <v>35</v>
      </c>
      <c r="D206">
        <v>63</v>
      </c>
      <c r="E206" t="s">
        <v>308</v>
      </c>
      <c r="F206" s="12">
        <v>45331</v>
      </c>
      <c r="G206" t="s">
        <v>530</v>
      </c>
      <c r="H206" s="12" t="s">
        <v>106</v>
      </c>
      <c r="I206" t="s">
        <v>106</v>
      </c>
      <c r="J206" t="s">
        <v>106</v>
      </c>
      <c r="L206">
        <v>39.799999999999997</v>
      </c>
      <c r="P206" t="s">
        <v>106</v>
      </c>
      <c r="Q206" t="s">
        <v>106</v>
      </c>
      <c r="R206" t="s">
        <v>106</v>
      </c>
      <c r="S206" t="s">
        <v>1814</v>
      </c>
      <c r="T206" t="s">
        <v>777</v>
      </c>
      <c r="U206" t="s">
        <v>106</v>
      </c>
      <c r="V206" t="s">
        <v>106</v>
      </c>
      <c r="W206" t="s">
        <v>490</v>
      </c>
      <c r="X206" t="s">
        <v>106</v>
      </c>
      <c r="Y206" t="s">
        <v>108</v>
      </c>
      <c r="Z206" t="s">
        <v>108</v>
      </c>
      <c r="AA206" t="s">
        <v>1354</v>
      </c>
      <c r="AB206" t="s">
        <v>106</v>
      </c>
    </row>
    <row r="207" spans="1:28" x14ac:dyDescent="0.3">
      <c r="A207" t="s">
        <v>1341</v>
      </c>
      <c r="B207">
        <v>3</v>
      </c>
      <c r="C207">
        <v>35</v>
      </c>
      <c r="D207">
        <v>42</v>
      </c>
      <c r="E207" t="s">
        <v>128</v>
      </c>
      <c r="F207" s="12">
        <v>45331</v>
      </c>
      <c r="G207" t="s">
        <v>1623</v>
      </c>
      <c r="H207" s="12">
        <v>45331</v>
      </c>
      <c r="I207" t="s">
        <v>1719</v>
      </c>
      <c r="J207" t="s">
        <v>1334</v>
      </c>
      <c r="L207">
        <v>35.5</v>
      </c>
      <c r="P207" t="s">
        <v>106</v>
      </c>
      <c r="Q207" t="s">
        <v>106</v>
      </c>
      <c r="R207" t="s">
        <v>106</v>
      </c>
      <c r="S207" t="s">
        <v>106</v>
      </c>
      <c r="T207" t="s">
        <v>2310</v>
      </c>
      <c r="U207" t="s">
        <v>2311</v>
      </c>
      <c r="V207" t="s">
        <v>106</v>
      </c>
      <c r="W207" t="s">
        <v>443</v>
      </c>
      <c r="X207" t="s">
        <v>106</v>
      </c>
      <c r="Y207" t="s">
        <v>108</v>
      </c>
      <c r="Z207" t="s">
        <v>108</v>
      </c>
      <c r="AA207" t="s">
        <v>1709</v>
      </c>
      <c r="AB207" t="s">
        <v>106</v>
      </c>
    </row>
    <row r="208" spans="1:28" x14ac:dyDescent="0.3">
      <c r="A208" t="s">
        <v>1341</v>
      </c>
      <c r="B208">
        <v>3</v>
      </c>
      <c r="C208">
        <v>35</v>
      </c>
      <c r="D208">
        <v>55</v>
      </c>
      <c r="E208" t="s">
        <v>128</v>
      </c>
      <c r="F208" s="12">
        <v>45331</v>
      </c>
      <c r="G208" t="s">
        <v>309</v>
      </c>
      <c r="H208" s="12">
        <v>45331</v>
      </c>
      <c r="I208" t="s">
        <v>447</v>
      </c>
      <c r="J208" t="s">
        <v>1334</v>
      </c>
      <c r="L208">
        <v>33</v>
      </c>
      <c r="P208" t="s">
        <v>106</v>
      </c>
      <c r="Q208" t="s">
        <v>106</v>
      </c>
      <c r="R208" t="s">
        <v>106</v>
      </c>
      <c r="S208" t="s">
        <v>106</v>
      </c>
      <c r="T208" t="s">
        <v>2312</v>
      </c>
      <c r="U208" t="s">
        <v>1353</v>
      </c>
      <c r="V208" t="s">
        <v>106</v>
      </c>
      <c r="W208" t="s">
        <v>443</v>
      </c>
      <c r="X208" t="s">
        <v>106</v>
      </c>
      <c r="Y208" t="s">
        <v>108</v>
      </c>
      <c r="Z208" t="s">
        <v>108</v>
      </c>
      <c r="AA208" t="s">
        <v>1348</v>
      </c>
      <c r="AB208" t="s">
        <v>106</v>
      </c>
    </row>
    <row r="209" spans="1:28" x14ac:dyDescent="0.3">
      <c r="A209" t="s">
        <v>1341</v>
      </c>
      <c r="B209">
        <v>3</v>
      </c>
      <c r="C209">
        <v>35</v>
      </c>
      <c r="D209">
        <v>41</v>
      </c>
      <c r="E209" t="s">
        <v>128</v>
      </c>
      <c r="F209" s="12">
        <v>45331</v>
      </c>
      <c r="G209" t="s">
        <v>1623</v>
      </c>
      <c r="H209" s="12">
        <v>45331</v>
      </c>
      <c r="I209" t="s">
        <v>1719</v>
      </c>
      <c r="J209" t="s">
        <v>1334</v>
      </c>
      <c r="L209">
        <v>35.1</v>
      </c>
      <c r="P209" t="s">
        <v>106</v>
      </c>
      <c r="Q209" t="s">
        <v>106</v>
      </c>
      <c r="R209" t="s">
        <v>106</v>
      </c>
      <c r="S209" t="s">
        <v>106</v>
      </c>
      <c r="T209" t="s">
        <v>2313</v>
      </c>
      <c r="U209" t="s">
        <v>2314</v>
      </c>
      <c r="V209" t="s">
        <v>106</v>
      </c>
      <c r="W209" t="s">
        <v>443</v>
      </c>
      <c r="X209" t="s">
        <v>106</v>
      </c>
      <c r="Y209" t="s">
        <v>108</v>
      </c>
      <c r="Z209" t="s">
        <v>108</v>
      </c>
      <c r="AA209" t="s">
        <v>1709</v>
      </c>
      <c r="AB209" t="s">
        <v>106</v>
      </c>
    </row>
    <row r="210" spans="1:28" x14ac:dyDescent="0.3">
      <c r="A210" t="s">
        <v>1341</v>
      </c>
      <c r="B210">
        <v>3</v>
      </c>
      <c r="C210">
        <v>35</v>
      </c>
      <c r="D210">
        <v>48</v>
      </c>
      <c r="E210" t="s">
        <v>128</v>
      </c>
      <c r="F210" s="12">
        <v>45331</v>
      </c>
      <c r="G210" t="s">
        <v>553</v>
      </c>
      <c r="H210" s="12">
        <v>45331</v>
      </c>
      <c r="I210" t="s">
        <v>1346</v>
      </c>
      <c r="J210" t="s">
        <v>1334</v>
      </c>
      <c r="L210">
        <v>33.799999999999997</v>
      </c>
      <c r="P210" t="s">
        <v>106</v>
      </c>
      <c r="Q210" t="s">
        <v>106</v>
      </c>
      <c r="R210" t="s">
        <v>106</v>
      </c>
      <c r="S210" t="s">
        <v>106</v>
      </c>
      <c r="T210" t="s">
        <v>2315</v>
      </c>
      <c r="U210" t="s">
        <v>1626</v>
      </c>
      <c r="V210" t="s">
        <v>106</v>
      </c>
      <c r="W210" t="s">
        <v>443</v>
      </c>
      <c r="X210" t="s">
        <v>106</v>
      </c>
      <c r="Y210" t="s">
        <v>108</v>
      </c>
      <c r="Z210" t="s">
        <v>108</v>
      </c>
      <c r="AA210" t="s">
        <v>1348</v>
      </c>
      <c r="AB210" t="s">
        <v>106</v>
      </c>
    </row>
    <row r="211" spans="1:28" x14ac:dyDescent="0.3">
      <c r="A211" t="s">
        <v>1341</v>
      </c>
      <c r="B211">
        <v>3</v>
      </c>
      <c r="C211">
        <v>35</v>
      </c>
      <c r="D211">
        <v>64</v>
      </c>
      <c r="E211" t="s">
        <v>128</v>
      </c>
      <c r="F211" s="12">
        <v>45331</v>
      </c>
      <c r="G211" t="s">
        <v>558</v>
      </c>
      <c r="H211" s="12">
        <v>45331</v>
      </c>
      <c r="I211" t="s">
        <v>134</v>
      </c>
      <c r="J211" t="s">
        <v>459</v>
      </c>
      <c r="L211">
        <v>33.5</v>
      </c>
      <c r="P211" t="s">
        <v>106</v>
      </c>
      <c r="Q211" t="s">
        <v>106</v>
      </c>
      <c r="R211" t="s">
        <v>106</v>
      </c>
      <c r="S211" t="s">
        <v>106</v>
      </c>
      <c r="T211" t="s">
        <v>766</v>
      </c>
      <c r="U211" t="s">
        <v>427</v>
      </c>
      <c r="V211" t="s">
        <v>106</v>
      </c>
      <c r="W211" t="s">
        <v>490</v>
      </c>
      <c r="X211" t="s">
        <v>106</v>
      </c>
      <c r="Y211" t="s">
        <v>108</v>
      </c>
      <c r="Z211" t="s">
        <v>108</v>
      </c>
      <c r="AA211" t="s">
        <v>1354</v>
      </c>
      <c r="AB211" t="s">
        <v>106</v>
      </c>
    </row>
    <row r="212" spans="1:28" x14ac:dyDescent="0.3">
      <c r="A212" t="s">
        <v>1341</v>
      </c>
      <c r="B212">
        <v>3</v>
      </c>
      <c r="C212">
        <v>35</v>
      </c>
      <c r="D212">
        <v>65</v>
      </c>
      <c r="E212" t="s">
        <v>128</v>
      </c>
      <c r="F212" s="12">
        <v>45331</v>
      </c>
      <c r="G212" t="s">
        <v>132</v>
      </c>
      <c r="H212" s="12">
        <v>45331</v>
      </c>
      <c r="I212" t="s">
        <v>134</v>
      </c>
      <c r="J212" t="s">
        <v>459</v>
      </c>
      <c r="L212">
        <v>33.1</v>
      </c>
      <c r="P212" t="s">
        <v>106</v>
      </c>
      <c r="Q212" t="s">
        <v>106</v>
      </c>
      <c r="R212" t="s">
        <v>106</v>
      </c>
      <c r="S212" t="s">
        <v>1532</v>
      </c>
      <c r="T212" t="s">
        <v>2316</v>
      </c>
      <c r="U212" t="s">
        <v>1483</v>
      </c>
      <c r="V212" t="s">
        <v>106</v>
      </c>
      <c r="W212" t="s">
        <v>490</v>
      </c>
      <c r="X212" t="s">
        <v>106</v>
      </c>
      <c r="Y212" t="s">
        <v>108</v>
      </c>
      <c r="Z212" t="s">
        <v>108</v>
      </c>
      <c r="AA212" t="s">
        <v>1354</v>
      </c>
      <c r="AB212" t="s">
        <v>106</v>
      </c>
    </row>
    <row r="213" spans="1:28" x14ac:dyDescent="0.3">
      <c r="A213" t="s">
        <v>1341</v>
      </c>
      <c r="B213">
        <v>3</v>
      </c>
      <c r="C213">
        <v>35</v>
      </c>
      <c r="D213">
        <v>54</v>
      </c>
      <c r="E213" t="s">
        <v>128</v>
      </c>
      <c r="F213" s="12">
        <v>45331</v>
      </c>
      <c r="G213" t="s">
        <v>309</v>
      </c>
      <c r="H213" s="12">
        <v>45331</v>
      </c>
      <c r="I213" t="s">
        <v>447</v>
      </c>
      <c r="J213" t="s">
        <v>1334</v>
      </c>
      <c r="L213">
        <v>32.700000000000003</v>
      </c>
      <c r="P213" t="s">
        <v>106</v>
      </c>
      <c r="Q213" t="s">
        <v>106</v>
      </c>
      <c r="R213" t="s">
        <v>106</v>
      </c>
      <c r="S213" t="s">
        <v>106</v>
      </c>
      <c r="T213" t="s">
        <v>2317</v>
      </c>
      <c r="U213" t="s">
        <v>1359</v>
      </c>
      <c r="V213" t="s">
        <v>106</v>
      </c>
      <c r="W213" t="s">
        <v>443</v>
      </c>
      <c r="X213" t="s">
        <v>106</v>
      </c>
      <c r="Y213" t="s">
        <v>108</v>
      </c>
      <c r="Z213" t="s">
        <v>108</v>
      </c>
      <c r="AA213" t="s">
        <v>1348</v>
      </c>
      <c r="AB213" t="s">
        <v>106</v>
      </c>
    </row>
    <row r="214" spans="1:28" x14ac:dyDescent="0.3">
      <c r="A214" t="s">
        <v>1341</v>
      </c>
      <c r="B214">
        <v>4</v>
      </c>
      <c r="C214">
        <v>60</v>
      </c>
      <c r="D214">
        <v>43</v>
      </c>
      <c r="E214" t="s">
        <v>128</v>
      </c>
      <c r="F214" s="12">
        <v>45331</v>
      </c>
      <c r="G214" t="s">
        <v>1618</v>
      </c>
      <c r="H214" s="12">
        <v>45331</v>
      </c>
      <c r="I214" t="s">
        <v>1719</v>
      </c>
      <c r="J214" t="s">
        <v>1334</v>
      </c>
      <c r="L214">
        <v>60.1</v>
      </c>
      <c r="P214" t="s">
        <v>106</v>
      </c>
      <c r="Q214" t="s">
        <v>106</v>
      </c>
      <c r="R214" t="s">
        <v>106</v>
      </c>
      <c r="S214" t="s">
        <v>965</v>
      </c>
      <c r="T214" t="s">
        <v>699</v>
      </c>
      <c r="U214" t="s">
        <v>2631</v>
      </c>
      <c r="V214" t="s">
        <v>106</v>
      </c>
      <c r="W214" t="s">
        <v>443</v>
      </c>
      <c r="X214" t="s">
        <v>106</v>
      </c>
      <c r="Y214" t="s">
        <v>108</v>
      </c>
      <c r="Z214" t="s">
        <v>104</v>
      </c>
      <c r="AA214" t="s">
        <v>1709</v>
      </c>
      <c r="AB214" t="s">
        <v>106</v>
      </c>
    </row>
    <row r="215" spans="1:28" x14ac:dyDescent="0.3">
      <c r="A215" t="s">
        <v>1341</v>
      </c>
      <c r="B215">
        <v>4</v>
      </c>
      <c r="C215">
        <v>60</v>
      </c>
      <c r="D215">
        <v>49</v>
      </c>
      <c r="E215" t="s">
        <v>128</v>
      </c>
      <c r="F215" s="12">
        <v>45331</v>
      </c>
      <c r="G215" t="s">
        <v>744</v>
      </c>
      <c r="H215" s="12">
        <v>45331</v>
      </c>
      <c r="I215" t="s">
        <v>1346</v>
      </c>
      <c r="J215" t="s">
        <v>1334</v>
      </c>
      <c r="L215">
        <v>61</v>
      </c>
      <c r="P215" t="s">
        <v>106</v>
      </c>
      <c r="Q215" t="s">
        <v>106</v>
      </c>
      <c r="R215" t="s">
        <v>106</v>
      </c>
      <c r="S215" t="s">
        <v>979</v>
      </c>
      <c r="T215" t="s">
        <v>2632</v>
      </c>
      <c r="U215" t="s">
        <v>1985</v>
      </c>
      <c r="V215" t="s">
        <v>106</v>
      </c>
      <c r="W215" t="s">
        <v>443</v>
      </c>
      <c r="X215" t="s">
        <v>106</v>
      </c>
      <c r="Y215" t="s">
        <v>108</v>
      </c>
      <c r="Z215" t="s">
        <v>104</v>
      </c>
      <c r="AA215" t="s">
        <v>1348</v>
      </c>
      <c r="AB215" t="s">
        <v>106</v>
      </c>
    </row>
    <row r="216" spans="1:28" x14ac:dyDescent="0.3">
      <c r="A216" t="s">
        <v>1341</v>
      </c>
      <c r="B216">
        <v>4</v>
      </c>
      <c r="C216">
        <v>60</v>
      </c>
      <c r="D216">
        <v>50</v>
      </c>
      <c r="E216" t="s">
        <v>128</v>
      </c>
      <c r="F216" s="12">
        <v>45331</v>
      </c>
      <c r="G216" t="s">
        <v>2465</v>
      </c>
      <c r="H216" s="12">
        <v>45331</v>
      </c>
      <c r="I216" t="s">
        <v>1346</v>
      </c>
      <c r="J216" t="s">
        <v>1334</v>
      </c>
      <c r="L216">
        <v>60.5</v>
      </c>
      <c r="P216" t="s">
        <v>106</v>
      </c>
      <c r="Q216" t="s">
        <v>106</v>
      </c>
      <c r="R216" t="s">
        <v>106</v>
      </c>
      <c r="S216" t="s">
        <v>106</v>
      </c>
      <c r="T216" t="s">
        <v>2632</v>
      </c>
      <c r="U216" t="s">
        <v>1351</v>
      </c>
      <c r="V216" t="s">
        <v>106</v>
      </c>
      <c r="W216" t="s">
        <v>443</v>
      </c>
      <c r="X216" t="s">
        <v>106</v>
      </c>
      <c r="Y216" t="s">
        <v>108</v>
      </c>
      <c r="Z216" t="s">
        <v>104</v>
      </c>
      <c r="AA216" t="s">
        <v>1348</v>
      </c>
      <c r="AB216" t="s">
        <v>106</v>
      </c>
    </row>
    <row r="217" spans="1:28" x14ac:dyDescent="0.3">
      <c r="A217" t="s">
        <v>1341</v>
      </c>
      <c r="B217">
        <v>4</v>
      </c>
      <c r="C217">
        <v>60</v>
      </c>
      <c r="D217">
        <v>60</v>
      </c>
      <c r="E217" t="s">
        <v>128</v>
      </c>
      <c r="F217" s="12">
        <v>45331</v>
      </c>
      <c r="G217" t="s">
        <v>2576</v>
      </c>
      <c r="H217" s="12">
        <v>45331</v>
      </c>
      <c r="I217" t="s">
        <v>134</v>
      </c>
      <c r="J217" t="s">
        <v>459</v>
      </c>
      <c r="L217">
        <v>53.6</v>
      </c>
      <c r="P217" t="s">
        <v>106</v>
      </c>
      <c r="Q217" t="s">
        <v>106</v>
      </c>
      <c r="R217" t="s">
        <v>106</v>
      </c>
      <c r="S217" t="s">
        <v>1748</v>
      </c>
      <c r="T217" t="s">
        <v>2633</v>
      </c>
      <c r="U217" t="s">
        <v>391</v>
      </c>
      <c r="V217" t="s">
        <v>106</v>
      </c>
      <c r="W217" t="s">
        <v>490</v>
      </c>
      <c r="X217" t="s">
        <v>106</v>
      </c>
      <c r="Y217" t="s">
        <v>108</v>
      </c>
      <c r="Z217" t="s">
        <v>104</v>
      </c>
      <c r="AA217" t="s">
        <v>1354</v>
      </c>
      <c r="AB217" t="s">
        <v>106</v>
      </c>
    </row>
    <row r="218" spans="1:28" x14ac:dyDescent="0.3">
      <c r="A218" t="s">
        <v>1341</v>
      </c>
      <c r="B218">
        <v>4</v>
      </c>
      <c r="C218">
        <v>60</v>
      </c>
      <c r="D218">
        <v>53</v>
      </c>
      <c r="E218" t="s">
        <v>128</v>
      </c>
      <c r="F218" s="12">
        <v>45331</v>
      </c>
      <c r="G218" t="s">
        <v>437</v>
      </c>
      <c r="H218" s="12">
        <v>45331</v>
      </c>
      <c r="I218" t="s">
        <v>447</v>
      </c>
      <c r="J218" t="s">
        <v>1334</v>
      </c>
      <c r="L218">
        <v>59.3</v>
      </c>
      <c r="P218" t="s">
        <v>106</v>
      </c>
      <c r="Q218" t="s">
        <v>106</v>
      </c>
      <c r="R218" t="s">
        <v>106</v>
      </c>
      <c r="S218" t="s">
        <v>106</v>
      </c>
      <c r="T218" t="s">
        <v>498</v>
      </c>
      <c r="U218" t="s">
        <v>1980</v>
      </c>
      <c r="V218" t="s">
        <v>106</v>
      </c>
      <c r="W218" t="s">
        <v>443</v>
      </c>
      <c r="X218" t="s">
        <v>106</v>
      </c>
      <c r="Y218" t="s">
        <v>108</v>
      </c>
      <c r="Z218" t="s">
        <v>104</v>
      </c>
      <c r="AA218" t="s">
        <v>1348</v>
      </c>
      <c r="AB218" t="s">
        <v>106</v>
      </c>
    </row>
    <row r="219" spans="1:28" x14ac:dyDescent="0.3">
      <c r="A219" t="s">
        <v>1341</v>
      </c>
      <c r="B219">
        <v>4</v>
      </c>
      <c r="C219">
        <v>60</v>
      </c>
      <c r="D219">
        <v>58</v>
      </c>
      <c r="E219" t="s">
        <v>308</v>
      </c>
      <c r="F219" s="12">
        <v>45331</v>
      </c>
      <c r="G219" t="s">
        <v>582</v>
      </c>
      <c r="H219" s="12" t="s">
        <v>106</v>
      </c>
      <c r="I219" t="s">
        <v>106</v>
      </c>
      <c r="J219" t="s">
        <v>106</v>
      </c>
      <c r="L219">
        <v>64.900000000000006</v>
      </c>
      <c r="P219" t="s">
        <v>106</v>
      </c>
      <c r="Q219" t="s">
        <v>106</v>
      </c>
      <c r="R219" t="s">
        <v>106</v>
      </c>
      <c r="S219" t="s">
        <v>2360</v>
      </c>
      <c r="T219" t="s">
        <v>808</v>
      </c>
      <c r="U219" t="s">
        <v>106</v>
      </c>
      <c r="V219" t="s">
        <v>106</v>
      </c>
      <c r="W219" t="s">
        <v>490</v>
      </c>
      <c r="X219" t="s">
        <v>106</v>
      </c>
      <c r="Y219" t="s">
        <v>108</v>
      </c>
      <c r="Z219" t="s">
        <v>104</v>
      </c>
      <c r="AA219" t="s">
        <v>1354</v>
      </c>
      <c r="AB219" t="s">
        <v>106</v>
      </c>
    </row>
    <row r="220" spans="1:28" x14ac:dyDescent="0.3">
      <c r="A220" t="s">
        <v>1341</v>
      </c>
      <c r="B220">
        <v>4</v>
      </c>
      <c r="C220">
        <v>60</v>
      </c>
      <c r="D220">
        <v>59</v>
      </c>
      <c r="E220" t="s">
        <v>308</v>
      </c>
      <c r="F220" s="12">
        <v>45331</v>
      </c>
      <c r="G220" t="s">
        <v>494</v>
      </c>
      <c r="H220" s="12" t="s">
        <v>106</v>
      </c>
      <c r="I220" t="s">
        <v>106</v>
      </c>
      <c r="J220" t="s">
        <v>106</v>
      </c>
      <c r="L220">
        <v>64.8</v>
      </c>
      <c r="P220" t="s">
        <v>106</v>
      </c>
      <c r="Q220" t="s">
        <v>106</v>
      </c>
      <c r="R220" t="s">
        <v>106</v>
      </c>
      <c r="S220" t="s">
        <v>106</v>
      </c>
      <c r="T220" t="s">
        <v>1657</v>
      </c>
      <c r="U220" t="s">
        <v>106</v>
      </c>
      <c r="V220" t="s">
        <v>106</v>
      </c>
      <c r="W220" t="s">
        <v>490</v>
      </c>
      <c r="X220" t="s">
        <v>106</v>
      </c>
      <c r="Y220" t="s">
        <v>108</v>
      </c>
      <c r="Z220" t="s">
        <v>104</v>
      </c>
      <c r="AA220" t="s">
        <v>1354</v>
      </c>
      <c r="AB220" t="s">
        <v>106</v>
      </c>
    </row>
    <row r="221" spans="1:28" x14ac:dyDescent="0.3">
      <c r="A221" t="s">
        <v>1341</v>
      </c>
      <c r="B221">
        <v>4</v>
      </c>
      <c r="C221">
        <v>60</v>
      </c>
      <c r="D221">
        <v>61</v>
      </c>
      <c r="E221" t="s">
        <v>128</v>
      </c>
      <c r="F221" s="12">
        <v>45331</v>
      </c>
      <c r="G221" t="s">
        <v>681</v>
      </c>
      <c r="H221" s="12">
        <v>45331</v>
      </c>
      <c r="I221" t="s">
        <v>134</v>
      </c>
      <c r="J221" t="s">
        <v>459</v>
      </c>
      <c r="L221">
        <v>57.6</v>
      </c>
      <c r="P221" t="s">
        <v>106</v>
      </c>
      <c r="Q221" t="s">
        <v>106</v>
      </c>
      <c r="R221" t="s">
        <v>106</v>
      </c>
      <c r="S221" t="s">
        <v>106</v>
      </c>
      <c r="T221" t="s">
        <v>614</v>
      </c>
      <c r="U221" t="s">
        <v>1411</v>
      </c>
      <c r="V221" t="s">
        <v>106</v>
      </c>
      <c r="W221" t="s">
        <v>490</v>
      </c>
      <c r="X221" t="s">
        <v>106</v>
      </c>
      <c r="Y221" t="s">
        <v>108</v>
      </c>
      <c r="Z221" t="s">
        <v>104</v>
      </c>
      <c r="AA221" t="s">
        <v>1354</v>
      </c>
      <c r="AB221" t="s">
        <v>106</v>
      </c>
    </row>
    <row r="222" spans="1:28" x14ac:dyDescent="0.3">
      <c r="A222" t="s">
        <v>1341</v>
      </c>
      <c r="B222">
        <v>4</v>
      </c>
      <c r="C222">
        <v>60</v>
      </c>
      <c r="D222">
        <v>70</v>
      </c>
      <c r="E222" t="s">
        <v>128</v>
      </c>
      <c r="F222" s="12">
        <v>45331</v>
      </c>
      <c r="G222" t="s">
        <v>406</v>
      </c>
      <c r="H222" s="12">
        <v>45331</v>
      </c>
      <c r="I222" t="s">
        <v>134</v>
      </c>
      <c r="J222" t="s">
        <v>459</v>
      </c>
      <c r="L222">
        <v>59.8</v>
      </c>
      <c r="P222" t="s">
        <v>106</v>
      </c>
      <c r="Q222" t="s">
        <v>106</v>
      </c>
      <c r="R222" t="s">
        <v>106</v>
      </c>
      <c r="S222" t="s">
        <v>106</v>
      </c>
      <c r="T222" t="s">
        <v>2317</v>
      </c>
      <c r="U222" t="s">
        <v>1468</v>
      </c>
      <c r="V222" t="s">
        <v>106</v>
      </c>
      <c r="W222" t="s">
        <v>490</v>
      </c>
      <c r="X222" t="s">
        <v>106</v>
      </c>
      <c r="Y222" t="s">
        <v>108</v>
      </c>
      <c r="Z222" t="s">
        <v>104</v>
      </c>
      <c r="AA222" t="s">
        <v>1354</v>
      </c>
      <c r="AB222" t="s">
        <v>106</v>
      </c>
    </row>
    <row r="223" spans="1:28" x14ac:dyDescent="0.3">
      <c r="A223" t="s">
        <v>1341</v>
      </c>
      <c r="B223">
        <v>1</v>
      </c>
      <c r="C223">
        <v>0</v>
      </c>
      <c r="D223">
        <v>81</v>
      </c>
      <c r="E223" t="s">
        <v>128</v>
      </c>
      <c r="F223" s="12">
        <v>45334</v>
      </c>
      <c r="G223" t="s">
        <v>1352</v>
      </c>
      <c r="H223" s="12">
        <v>45334</v>
      </c>
      <c r="I223" t="s">
        <v>1005</v>
      </c>
      <c r="J223" t="s">
        <v>459</v>
      </c>
      <c r="L223">
        <v>0.2</v>
      </c>
      <c r="P223" t="s">
        <v>106</v>
      </c>
      <c r="Q223" t="s">
        <v>106</v>
      </c>
      <c r="R223" t="s">
        <v>106</v>
      </c>
      <c r="S223" t="s">
        <v>106</v>
      </c>
      <c r="T223" t="s">
        <v>774</v>
      </c>
      <c r="U223" t="s">
        <v>1353</v>
      </c>
      <c r="V223" t="s">
        <v>106</v>
      </c>
      <c r="W223" t="s">
        <v>443</v>
      </c>
      <c r="X223" t="s">
        <v>106</v>
      </c>
      <c r="Y223" t="s">
        <v>108</v>
      </c>
      <c r="Z223" t="s">
        <v>105</v>
      </c>
      <c r="AA223" t="s">
        <v>1354</v>
      </c>
      <c r="AB223" t="s">
        <v>106</v>
      </c>
    </row>
    <row r="224" spans="1:28" x14ac:dyDescent="0.3">
      <c r="A224" t="s">
        <v>1341</v>
      </c>
      <c r="B224">
        <v>1</v>
      </c>
      <c r="C224">
        <v>0</v>
      </c>
      <c r="D224">
        <v>80</v>
      </c>
      <c r="E224" t="s">
        <v>128</v>
      </c>
      <c r="F224" s="12">
        <v>45334</v>
      </c>
      <c r="G224" t="s">
        <v>1352</v>
      </c>
      <c r="H224" s="12">
        <v>45334</v>
      </c>
      <c r="I224" t="s">
        <v>1005</v>
      </c>
      <c r="J224" t="s">
        <v>459</v>
      </c>
      <c r="L224">
        <v>0.2</v>
      </c>
      <c r="P224" t="s">
        <v>106</v>
      </c>
      <c r="Q224" t="s">
        <v>106</v>
      </c>
      <c r="R224" t="s">
        <v>106</v>
      </c>
      <c r="S224" t="s">
        <v>1355</v>
      </c>
      <c r="T224" t="s">
        <v>827</v>
      </c>
      <c r="U224" t="s">
        <v>1356</v>
      </c>
      <c r="V224" t="s">
        <v>106</v>
      </c>
      <c r="W224" t="s">
        <v>443</v>
      </c>
      <c r="X224" t="s">
        <v>106</v>
      </c>
      <c r="Y224" t="s">
        <v>108</v>
      </c>
      <c r="Z224" t="s">
        <v>105</v>
      </c>
      <c r="AA224" t="s">
        <v>1354</v>
      </c>
      <c r="AB224" t="s">
        <v>106</v>
      </c>
    </row>
    <row r="225" spans="1:28" x14ac:dyDescent="0.3">
      <c r="A225" t="s">
        <v>1341</v>
      </c>
      <c r="B225">
        <v>2</v>
      </c>
      <c r="C225">
        <v>15</v>
      </c>
      <c r="D225">
        <v>76</v>
      </c>
      <c r="E225" t="s">
        <v>128</v>
      </c>
      <c r="F225" s="12">
        <v>45334</v>
      </c>
      <c r="G225" t="s">
        <v>1722</v>
      </c>
      <c r="H225" s="12">
        <v>45334</v>
      </c>
      <c r="I225" t="s">
        <v>1005</v>
      </c>
      <c r="J225" t="s">
        <v>459</v>
      </c>
      <c r="L225">
        <v>16.3</v>
      </c>
      <c r="P225" t="s">
        <v>106</v>
      </c>
      <c r="Q225" t="s">
        <v>106</v>
      </c>
      <c r="R225" t="s">
        <v>106</v>
      </c>
      <c r="S225" t="s">
        <v>1399</v>
      </c>
      <c r="T225" t="s">
        <v>1723</v>
      </c>
      <c r="U225" t="s">
        <v>1356</v>
      </c>
      <c r="V225" t="s">
        <v>106</v>
      </c>
      <c r="W225" t="s">
        <v>443</v>
      </c>
      <c r="X225" t="s">
        <v>106</v>
      </c>
      <c r="Y225" t="s">
        <v>108</v>
      </c>
      <c r="Z225" t="s">
        <v>109</v>
      </c>
      <c r="AA225" t="s">
        <v>106</v>
      </c>
      <c r="AB225" t="s">
        <v>106</v>
      </c>
    </row>
    <row r="226" spans="1:28" x14ac:dyDescent="0.3">
      <c r="A226" t="s">
        <v>1341</v>
      </c>
      <c r="B226">
        <v>2</v>
      </c>
      <c r="C226">
        <v>15</v>
      </c>
      <c r="D226">
        <v>77</v>
      </c>
      <c r="E226" t="s">
        <v>128</v>
      </c>
      <c r="F226" s="12">
        <v>45334</v>
      </c>
      <c r="G226" t="s">
        <v>1034</v>
      </c>
      <c r="H226" s="12">
        <v>45334</v>
      </c>
      <c r="I226" t="s">
        <v>1005</v>
      </c>
      <c r="J226" t="s">
        <v>459</v>
      </c>
      <c r="L226">
        <v>16.2</v>
      </c>
      <c r="P226" t="s">
        <v>106</v>
      </c>
      <c r="Q226" t="s">
        <v>106</v>
      </c>
      <c r="R226" t="s">
        <v>106</v>
      </c>
      <c r="S226" t="s">
        <v>106</v>
      </c>
      <c r="T226" t="s">
        <v>1724</v>
      </c>
      <c r="U226" t="s">
        <v>1353</v>
      </c>
      <c r="V226" t="s">
        <v>106</v>
      </c>
      <c r="W226" t="s">
        <v>443</v>
      </c>
      <c r="X226" t="s">
        <v>106</v>
      </c>
      <c r="Y226" t="s">
        <v>108</v>
      </c>
      <c r="Z226" t="s">
        <v>109</v>
      </c>
      <c r="AA226" t="s">
        <v>106</v>
      </c>
      <c r="AB226" t="s">
        <v>106</v>
      </c>
    </row>
    <row r="227" spans="1:28" x14ac:dyDescent="0.3">
      <c r="A227" t="s">
        <v>1341</v>
      </c>
      <c r="B227">
        <v>3</v>
      </c>
      <c r="C227">
        <v>35</v>
      </c>
      <c r="D227">
        <v>74</v>
      </c>
      <c r="E227" t="s">
        <v>128</v>
      </c>
      <c r="F227" s="12">
        <v>45334</v>
      </c>
      <c r="G227" t="s">
        <v>1559</v>
      </c>
      <c r="H227" s="12">
        <v>45334</v>
      </c>
      <c r="I227" t="s">
        <v>1005</v>
      </c>
      <c r="J227" t="s">
        <v>459</v>
      </c>
      <c r="L227">
        <v>37.1</v>
      </c>
      <c r="P227" t="s">
        <v>106</v>
      </c>
      <c r="Q227" t="s">
        <v>106</v>
      </c>
      <c r="R227" t="s">
        <v>106</v>
      </c>
      <c r="S227" t="s">
        <v>106</v>
      </c>
      <c r="T227" t="s">
        <v>2318</v>
      </c>
      <c r="U227" t="s">
        <v>1626</v>
      </c>
      <c r="V227" t="s">
        <v>106</v>
      </c>
      <c r="W227" t="s">
        <v>443</v>
      </c>
      <c r="X227" t="s">
        <v>106</v>
      </c>
      <c r="Y227" t="s">
        <v>108</v>
      </c>
      <c r="Z227" t="s">
        <v>108</v>
      </c>
      <c r="AA227" t="s">
        <v>106</v>
      </c>
      <c r="AB227" t="s">
        <v>106</v>
      </c>
    </row>
    <row r="228" spans="1:28" x14ac:dyDescent="0.3">
      <c r="A228" t="s">
        <v>1341</v>
      </c>
      <c r="B228">
        <v>3</v>
      </c>
      <c r="C228">
        <v>35</v>
      </c>
      <c r="D228">
        <v>73</v>
      </c>
      <c r="E228" t="s">
        <v>128</v>
      </c>
      <c r="F228" s="12">
        <v>45334</v>
      </c>
      <c r="G228" t="s">
        <v>1575</v>
      </c>
      <c r="H228" s="12">
        <v>45334</v>
      </c>
      <c r="I228" t="s">
        <v>1005</v>
      </c>
      <c r="J228" t="s">
        <v>459</v>
      </c>
      <c r="L228">
        <v>38.5</v>
      </c>
      <c r="P228" t="s">
        <v>106</v>
      </c>
      <c r="Q228" t="s">
        <v>107</v>
      </c>
      <c r="R228" t="s">
        <v>107</v>
      </c>
      <c r="S228" t="s">
        <v>979</v>
      </c>
      <c r="T228" t="s">
        <v>2319</v>
      </c>
      <c r="U228" t="s">
        <v>1359</v>
      </c>
      <c r="V228" t="s">
        <v>106</v>
      </c>
      <c r="W228" t="s">
        <v>443</v>
      </c>
      <c r="X228" t="s">
        <v>106</v>
      </c>
      <c r="Y228" t="s">
        <v>108</v>
      </c>
      <c r="Z228" t="s">
        <v>108</v>
      </c>
      <c r="AA228" t="s">
        <v>106</v>
      </c>
      <c r="AB228" t="s">
        <v>106</v>
      </c>
    </row>
    <row r="229" spans="1:28" x14ac:dyDescent="0.3">
      <c r="A229" t="s">
        <v>1341</v>
      </c>
      <c r="B229">
        <v>3</v>
      </c>
      <c r="C229">
        <v>35</v>
      </c>
      <c r="D229">
        <v>75</v>
      </c>
      <c r="E229" t="s">
        <v>128</v>
      </c>
      <c r="F229" s="12">
        <v>45334</v>
      </c>
      <c r="G229" t="s">
        <v>717</v>
      </c>
      <c r="H229" s="12">
        <v>45334</v>
      </c>
      <c r="I229" t="s">
        <v>1005</v>
      </c>
      <c r="J229" t="s">
        <v>459</v>
      </c>
      <c r="L229">
        <v>37.200000000000003</v>
      </c>
      <c r="P229" t="s">
        <v>106</v>
      </c>
      <c r="Q229" t="s">
        <v>106</v>
      </c>
      <c r="R229" t="s">
        <v>106</v>
      </c>
      <c r="S229" t="s">
        <v>106</v>
      </c>
      <c r="T229" t="s">
        <v>2320</v>
      </c>
      <c r="U229" t="s">
        <v>1482</v>
      </c>
      <c r="V229" t="s">
        <v>106</v>
      </c>
      <c r="W229" t="s">
        <v>443</v>
      </c>
      <c r="X229" t="s">
        <v>106</v>
      </c>
      <c r="Y229" t="s">
        <v>108</v>
      </c>
      <c r="Z229" t="s">
        <v>108</v>
      </c>
      <c r="AA229" t="s">
        <v>106</v>
      </c>
      <c r="AB229" t="s">
        <v>106</v>
      </c>
    </row>
    <row r="230" spans="1:28" x14ac:dyDescent="0.3">
      <c r="A230" t="s">
        <v>1341</v>
      </c>
      <c r="B230">
        <v>4</v>
      </c>
      <c r="C230">
        <v>60</v>
      </c>
      <c r="D230">
        <v>78</v>
      </c>
      <c r="E230" t="s">
        <v>128</v>
      </c>
      <c r="F230" s="12">
        <v>45334</v>
      </c>
      <c r="G230" t="s">
        <v>1966</v>
      </c>
      <c r="H230" s="12">
        <v>45334</v>
      </c>
      <c r="I230" t="s">
        <v>1005</v>
      </c>
      <c r="J230" t="s">
        <v>459</v>
      </c>
      <c r="L230">
        <v>62.6</v>
      </c>
      <c r="P230" t="s">
        <v>106</v>
      </c>
      <c r="Q230" t="s">
        <v>106</v>
      </c>
      <c r="R230" t="s">
        <v>106</v>
      </c>
      <c r="S230" t="s">
        <v>1355</v>
      </c>
      <c r="T230" t="s">
        <v>2634</v>
      </c>
      <c r="U230" t="s">
        <v>1356</v>
      </c>
      <c r="V230" t="s">
        <v>106</v>
      </c>
      <c r="W230" t="s">
        <v>443</v>
      </c>
      <c r="X230" t="s">
        <v>106</v>
      </c>
      <c r="Y230" t="s">
        <v>108</v>
      </c>
      <c r="Z230" t="s">
        <v>104</v>
      </c>
      <c r="AA230" t="s">
        <v>1354</v>
      </c>
      <c r="AB230" t="s">
        <v>106</v>
      </c>
    </row>
    <row r="231" spans="1:28" x14ac:dyDescent="0.3">
      <c r="A231" t="s">
        <v>1341</v>
      </c>
      <c r="B231">
        <v>4</v>
      </c>
      <c r="C231">
        <v>60</v>
      </c>
      <c r="D231">
        <v>79</v>
      </c>
      <c r="E231" t="s">
        <v>128</v>
      </c>
      <c r="F231" s="12">
        <v>45334</v>
      </c>
      <c r="G231" t="s">
        <v>2623</v>
      </c>
      <c r="H231" s="12">
        <v>45334</v>
      </c>
      <c r="I231" t="s">
        <v>1005</v>
      </c>
      <c r="J231" t="s">
        <v>459</v>
      </c>
      <c r="L231">
        <v>61.5</v>
      </c>
      <c r="P231" t="s">
        <v>106</v>
      </c>
      <c r="Q231" t="s">
        <v>106</v>
      </c>
      <c r="R231" t="s">
        <v>106</v>
      </c>
      <c r="S231" t="s">
        <v>106</v>
      </c>
      <c r="T231" t="s">
        <v>2635</v>
      </c>
      <c r="U231" t="s">
        <v>1590</v>
      </c>
      <c r="V231" t="s">
        <v>106</v>
      </c>
      <c r="W231" t="s">
        <v>443</v>
      </c>
      <c r="X231" t="s">
        <v>106</v>
      </c>
      <c r="Y231" t="s">
        <v>108</v>
      </c>
      <c r="Z231" t="s">
        <v>104</v>
      </c>
      <c r="AA231" t="s">
        <v>1354</v>
      </c>
      <c r="AB231" t="s">
        <v>106</v>
      </c>
    </row>
    <row r="232" spans="1:28" x14ac:dyDescent="0.3">
      <c r="A232" t="s">
        <v>1357</v>
      </c>
      <c r="B232">
        <v>2</v>
      </c>
      <c r="C232">
        <v>15</v>
      </c>
      <c r="D232">
        <v>5</v>
      </c>
      <c r="E232" t="s">
        <v>308</v>
      </c>
      <c r="F232" s="12">
        <v>45337</v>
      </c>
      <c r="G232" t="s">
        <v>1139</v>
      </c>
      <c r="H232" s="12">
        <v>45337</v>
      </c>
      <c r="I232" t="s">
        <v>106</v>
      </c>
      <c r="J232" t="s">
        <v>1725</v>
      </c>
      <c r="L232">
        <v>13.6</v>
      </c>
      <c r="P232" t="s">
        <v>106</v>
      </c>
      <c r="Q232" t="s">
        <v>106</v>
      </c>
      <c r="R232" t="s">
        <v>106</v>
      </c>
      <c r="S232" t="s">
        <v>1214</v>
      </c>
      <c r="T232" t="s">
        <v>1510</v>
      </c>
      <c r="U232" t="s">
        <v>106</v>
      </c>
      <c r="V232" t="s">
        <v>106</v>
      </c>
      <c r="W232" t="s">
        <v>443</v>
      </c>
      <c r="X232" t="s">
        <v>106</v>
      </c>
      <c r="Y232" t="s">
        <v>108</v>
      </c>
      <c r="Z232" t="s">
        <v>109</v>
      </c>
      <c r="AA232" t="s">
        <v>1726</v>
      </c>
      <c r="AB232" t="s">
        <v>1727</v>
      </c>
    </row>
    <row r="233" spans="1:28" x14ac:dyDescent="0.3">
      <c r="A233" t="s">
        <v>1357</v>
      </c>
      <c r="B233">
        <v>2</v>
      </c>
      <c r="C233">
        <v>15</v>
      </c>
      <c r="D233">
        <v>4</v>
      </c>
      <c r="E233" t="s">
        <v>110</v>
      </c>
      <c r="F233" s="12">
        <v>45337</v>
      </c>
      <c r="G233" t="s">
        <v>1139</v>
      </c>
      <c r="H233" s="12">
        <v>45337</v>
      </c>
      <c r="I233" t="s">
        <v>106</v>
      </c>
      <c r="J233" t="s">
        <v>1725</v>
      </c>
      <c r="L233">
        <v>16.600000000000001</v>
      </c>
      <c r="P233" t="s">
        <v>106</v>
      </c>
      <c r="Q233" t="s">
        <v>106</v>
      </c>
      <c r="R233" t="s">
        <v>106</v>
      </c>
      <c r="S233" t="s">
        <v>1214</v>
      </c>
      <c r="T233" t="s">
        <v>586</v>
      </c>
      <c r="U233" t="s">
        <v>1591</v>
      </c>
      <c r="V233" t="s">
        <v>106</v>
      </c>
      <c r="W233" t="s">
        <v>443</v>
      </c>
      <c r="X233" t="s">
        <v>106</v>
      </c>
      <c r="Y233" t="s">
        <v>108</v>
      </c>
      <c r="Z233" t="s">
        <v>109</v>
      </c>
      <c r="AA233" t="s">
        <v>1726</v>
      </c>
      <c r="AB233" t="s">
        <v>106</v>
      </c>
    </row>
    <row r="234" spans="1:28" x14ac:dyDescent="0.3">
      <c r="A234" t="s">
        <v>1357</v>
      </c>
      <c r="B234">
        <v>2</v>
      </c>
      <c r="C234">
        <v>15</v>
      </c>
      <c r="D234">
        <v>6</v>
      </c>
      <c r="E234" t="s">
        <v>110</v>
      </c>
      <c r="F234" s="12">
        <v>45337</v>
      </c>
      <c r="G234" t="s">
        <v>526</v>
      </c>
      <c r="H234" s="12">
        <v>45337</v>
      </c>
      <c r="I234" t="s">
        <v>106</v>
      </c>
      <c r="J234" t="s">
        <v>1725</v>
      </c>
      <c r="L234">
        <v>16.7</v>
      </c>
      <c r="P234" t="s">
        <v>106</v>
      </c>
      <c r="Q234" t="s">
        <v>106</v>
      </c>
      <c r="R234" t="s">
        <v>106</v>
      </c>
      <c r="S234" t="s">
        <v>1069</v>
      </c>
      <c r="T234" t="s">
        <v>1728</v>
      </c>
      <c r="U234" t="s">
        <v>106</v>
      </c>
      <c r="V234" t="s">
        <v>106</v>
      </c>
      <c r="W234" t="s">
        <v>443</v>
      </c>
      <c r="X234" t="s">
        <v>106</v>
      </c>
      <c r="Y234" t="s">
        <v>108</v>
      </c>
      <c r="Z234" t="s">
        <v>109</v>
      </c>
      <c r="AA234" t="s">
        <v>1726</v>
      </c>
      <c r="AB234" t="s">
        <v>106</v>
      </c>
    </row>
    <row r="235" spans="1:28" x14ac:dyDescent="0.3">
      <c r="A235" t="s">
        <v>1357</v>
      </c>
      <c r="B235">
        <v>3</v>
      </c>
      <c r="C235">
        <v>35</v>
      </c>
      <c r="D235">
        <v>1</v>
      </c>
      <c r="E235" t="s">
        <v>308</v>
      </c>
      <c r="F235" s="12">
        <v>45337</v>
      </c>
      <c r="G235" t="s">
        <v>682</v>
      </c>
      <c r="H235" s="12">
        <v>45337</v>
      </c>
      <c r="I235" t="s">
        <v>106</v>
      </c>
      <c r="J235" t="s">
        <v>1725</v>
      </c>
      <c r="L235">
        <v>33.700000000000003</v>
      </c>
      <c r="P235" t="s">
        <v>106</v>
      </c>
      <c r="Q235" t="s">
        <v>106</v>
      </c>
      <c r="R235" t="s">
        <v>106</v>
      </c>
      <c r="S235" t="s">
        <v>1372</v>
      </c>
      <c r="T235" t="s">
        <v>937</v>
      </c>
      <c r="U235" t="s">
        <v>106</v>
      </c>
      <c r="V235" t="s">
        <v>106</v>
      </c>
      <c r="W235" t="s">
        <v>443</v>
      </c>
      <c r="X235" t="s">
        <v>106</v>
      </c>
      <c r="Y235" t="s">
        <v>108</v>
      </c>
      <c r="Z235" t="s">
        <v>108</v>
      </c>
      <c r="AA235" t="s">
        <v>1726</v>
      </c>
      <c r="AB235" t="s">
        <v>106</v>
      </c>
    </row>
    <row r="236" spans="1:28" x14ac:dyDescent="0.3">
      <c r="A236" t="s">
        <v>1357</v>
      </c>
      <c r="B236">
        <v>3</v>
      </c>
      <c r="C236">
        <v>35</v>
      </c>
      <c r="D236">
        <v>2</v>
      </c>
      <c r="E236" t="s">
        <v>110</v>
      </c>
      <c r="F236" s="12">
        <v>45337</v>
      </c>
      <c r="G236" t="s">
        <v>706</v>
      </c>
      <c r="H236" s="12">
        <v>45337</v>
      </c>
      <c r="I236" t="s">
        <v>106</v>
      </c>
      <c r="J236" t="s">
        <v>1725</v>
      </c>
      <c r="L236">
        <v>36.6</v>
      </c>
      <c r="P236" t="s">
        <v>106</v>
      </c>
      <c r="Q236" t="s">
        <v>106</v>
      </c>
      <c r="R236" t="s">
        <v>106</v>
      </c>
      <c r="S236" t="s">
        <v>937</v>
      </c>
      <c r="T236" t="s">
        <v>661</v>
      </c>
      <c r="U236" t="s">
        <v>1415</v>
      </c>
      <c r="V236" t="s">
        <v>106</v>
      </c>
      <c r="W236" t="s">
        <v>443</v>
      </c>
      <c r="X236" t="s">
        <v>106</v>
      </c>
      <c r="Y236" t="s">
        <v>108</v>
      </c>
      <c r="Z236" t="s">
        <v>108</v>
      </c>
      <c r="AA236" t="s">
        <v>1726</v>
      </c>
      <c r="AB236" t="s">
        <v>106</v>
      </c>
    </row>
    <row r="237" spans="1:28" x14ac:dyDescent="0.3">
      <c r="A237" t="s">
        <v>1357</v>
      </c>
      <c r="B237">
        <v>3</v>
      </c>
      <c r="C237">
        <v>35</v>
      </c>
      <c r="D237">
        <v>3</v>
      </c>
      <c r="E237" t="s">
        <v>110</v>
      </c>
      <c r="F237" s="12">
        <v>45337</v>
      </c>
      <c r="G237" t="s">
        <v>1445</v>
      </c>
      <c r="H237" s="12">
        <v>45337</v>
      </c>
      <c r="I237" t="s">
        <v>106</v>
      </c>
      <c r="J237" t="s">
        <v>1725</v>
      </c>
      <c r="L237">
        <v>36.5</v>
      </c>
      <c r="P237" t="s">
        <v>106</v>
      </c>
      <c r="Q237" t="s">
        <v>106</v>
      </c>
      <c r="R237" t="s">
        <v>106</v>
      </c>
      <c r="S237" t="s">
        <v>1105</v>
      </c>
      <c r="T237" t="s">
        <v>2321</v>
      </c>
      <c r="U237" t="s">
        <v>1410</v>
      </c>
      <c r="V237" t="s">
        <v>106</v>
      </c>
      <c r="W237" t="s">
        <v>443</v>
      </c>
      <c r="X237" t="s">
        <v>106</v>
      </c>
      <c r="Y237" t="s">
        <v>108</v>
      </c>
      <c r="Z237" t="s">
        <v>108</v>
      </c>
      <c r="AA237" t="s">
        <v>1726</v>
      </c>
      <c r="AB237" t="s">
        <v>106</v>
      </c>
    </row>
    <row r="238" spans="1:28" x14ac:dyDescent="0.3">
      <c r="A238" t="s">
        <v>1357</v>
      </c>
      <c r="B238">
        <v>4</v>
      </c>
      <c r="C238">
        <v>60</v>
      </c>
      <c r="D238">
        <v>9</v>
      </c>
      <c r="E238" t="s">
        <v>110</v>
      </c>
      <c r="F238" s="12">
        <v>45337</v>
      </c>
      <c r="G238" t="s">
        <v>1653</v>
      </c>
      <c r="H238" s="12">
        <v>45337</v>
      </c>
      <c r="I238" t="s">
        <v>106</v>
      </c>
      <c r="J238" t="s">
        <v>1725</v>
      </c>
      <c r="L238">
        <v>59.7</v>
      </c>
      <c r="P238" t="s">
        <v>106</v>
      </c>
      <c r="Q238" t="s">
        <v>106</v>
      </c>
      <c r="R238" t="s">
        <v>106</v>
      </c>
      <c r="S238" t="s">
        <v>1069</v>
      </c>
      <c r="T238" t="s">
        <v>661</v>
      </c>
      <c r="U238" t="s">
        <v>1651</v>
      </c>
      <c r="V238" t="s">
        <v>106</v>
      </c>
      <c r="W238" t="s">
        <v>443</v>
      </c>
      <c r="X238" t="s">
        <v>106</v>
      </c>
      <c r="Y238" t="s">
        <v>108</v>
      </c>
      <c r="Z238" t="s">
        <v>104</v>
      </c>
      <c r="AA238" t="s">
        <v>1726</v>
      </c>
      <c r="AB238" t="s">
        <v>2636</v>
      </c>
    </row>
    <row r="239" spans="1:28" x14ac:dyDescent="0.3">
      <c r="A239" t="s">
        <v>1357</v>
      </c>
      <c r="B239">
        <v>4</v>
      </c>
      <c r="C239">
        <v>60</v>
      </c>
      <c r="D239">
        <v>8</v>
      </c>
      <c r="E239" t="s">
        <v>110</v>
      </c>
      <c r="F239" s="12">
        <v>45337</v>
      </c>
      <c r="G239" t="s">
        <v>1653</v>
      </c>
      <c r="H239" s="12">
        <v>45337</v>
      </c>
      <c r="I239" t="s">
        <v>106</v>
      </c>
      <c r="J239" t="s">
        <v>1725</v>
      </c>
      <c r="L239">
        <v>59.7</v>
      </c>
      <c r="P239" t="s">
        <v>106</v>
      </c>
      <c r="Q239" t="s">
        <v>106</v>
      </c>
      <c r="R239" t="s">
        <v>106</v>
      </c>
      <c r="S239" t="s">
        <v>106</v>
      </c>
      <c r="T239" t="s">
        <v>661</v>
      </c>
      <c r="U239" t="s">
        <v>1651</v>
      </c>
      <c r="V239" t="s">
        <v>106</v>
      </c>
      <c r="W239" t="s">
        <v>443</v>
      </c>
      <c r="X239" t="s">
        <v>106</v>
      </c>
      <c r="Y239" t="s">
        <v>108</v>
      </c>
      <c r="Z239" t="s">
        <v>104</v>
      </c>
      <c r="AA239" t="s">
        <v>1726</v>
      </c>
      <c r="AB239" t="s">
        <v>106</v>
      </c>
    </row>
    <row r="240" spans="1:28" x14ac:dyDescent="0.3">
      <c r="A240" t="s">
        <v>1357</v>
      </c>
      <c r="B240">
        <v>4</v>
      </c>
      <c r="C240">
        <v>60</v>
      </c>
      <c r="D240">
        <v>7</v>
      </c>
      <c r="E240" t="s">
        <v>308</v>
      </c>
      <c r="F240" s="12">
        <v>45337</v>
      </c>
      <c r="G240" t="s">
        <v>1244</v>
      </c>
      <c r="H240" s="12">
        <v>45337</v>
      </c>
      <c r="I240" t="s">
        <v>106</v>
      </c>
      <c r="J240" t="s">
        <v>1725</v>
      </c>
      <c r="L240">
        <v>58.3</v>
      </c>
      <c r="P240" t="s">
        <v>106</v>
      </c>
      <c r="Q240" t="s">
        <v>106</v>
      </c>
      <c r="R240" t="s">
        <v>106</v>
      </c>
      <c r="S240" t="s">
        <v>106</v>
      </c>
      <c r="T240" t="s">
        <v>775</v>
      </c>
      <c r="U240" t="s">
        <v>106</v>
      </c>
      <c r="V240" t="s">
        <v>106</v>
      </c>
      <c r="W240" t="s">
        <v>443</v>
      </c>
      <c r="X240" t="s">
        <v>106</v>
      </c>
      <c r="Y240" t="s">
        <v>108</v>
      </c>
      <c r="Z240" t="s">
        <v>104</v>
      </c>
      <c r="AA240" t="s">
        <v>1726</v>
      </c>
      <c r="AB240" t="s">
        <v>106</v>
      </c>
    </row>
    <row r="241" spans="1:28" x14ac:dyDescent="0.3">
      <c r="A241" t="s">
        <v>1357</v>
      </c>
      <c r="B241">
        <v>2</v>
      </c>
      <c r="C241">
        <v>15</v>
      </c>
      <c r="D241">
        <v>13</v>
      </c>
      <c r="E241" t="s">
        <v>128</v>
      </c>
      <c r="F241" s="12">
        <v>45352</v>
      </c>
      <c r="G241" t="s">
        <v>1729</v>
      </c>
      <c r="H241" s="12" t="s">
        <v>106</v>
      </c>
      <c r="I241" t="s">
        <v>106</v>
      </c>
      <c r="J241" t="s">
        <v>106</v>
      </c>
      <c r="L241">
        <v>17.600000000000001</v>
      </c>
      <c r="P241" t="s">
        <v>106</v>
      </c>
      <c r="Q241" t="s">
        <v>106</v>
      </c>
      <c r="R241" t="s">
        <v>106</v>
      </c>
      <c r="S241" t="s">
        <v>106</v>
      </c>
      <c r="T241" t="s">
        <v>568</v>
      </c>
      <c r="U241" t="s">
        <v>904</v>
      </c>
      <c r="V241" t="s">
        <v>106</v>
      </c>
      <c r="W241" t="s">
        <v>373</v>
      </c>
      <c r="X241" t="s">
        <v>106</v>
      </c>
      <c r="Y241" t="s">
        <v>108</v>
      </c>
      <c r="Z241" t="s">
        <v>109</v>
      </c>
      <c r="AA241" t="s">
        <v>1360</v>
      </c>
      <c r="AB241" t="s">
        <v>106</v>
      </c>
    </row>
    <row r="242" spans="1:28" x14ac:dyDescent="0.3">
      <c r="A242" t="s">
        <v>1357</v>
      </c>
      <c r="B242">
        <v>2</v>
      </c>
      <c r="C242">
        <v>15</v>
      </c>
      <c r="D242">
        <v>20</v>
      </c>
      <c r="E242" t="s">
        <v>128</v>
      </c>
      <c r="F242" s="12">
        <v>45352</v>
      </c>
      <c r="G242" t="s">
        <v>135</v>
      </c>
      <c r="H242" s="12">
        <v>45351</v>
      </c>
      <c r="I242" t="s">
        <v>1537</v>
      </c>
      <c r="J242" t="s">
        <v>1334</v>
      </c>
      <c r="L242">
        <v>17.899999999999999</v>
      </c>
      <c r="P242" t="s">
        <v>106</v>
      </c>
      <c r="Q242" t="s">
        <v>106</v>
      </c>
      <c r="R242" t="s">
        <v>106</v>
      </c>
      <c r="S242" t="s">
        <v>106</v>
      </c>
      <c r="T242" t="s">
        <v>1730</v>
      </c>
      <c r="U242" t="s">
        <v>395</v>
      </c>
      <c r="V242" t="s">
        <v>106</v>
      </c>
      <c r="W242" t="s">
        <v>443</v>
      </c>
      <c r="X242" t="s">
        <v>106</v>
      </c>
      <c r="Y242" t="s">
        <v>108</v>
      </c>
      <c r="Z242" t="s">
        <v>109</v>
      </c>
      <c r="AA242" t="s">
        <v>1360</v>
      </c>
      <c r="AB242" t="s">
        <v>1731</v>
      </c>
    </row>
    <row r="243" spans="1:28" x14ac:dyDescent="0.3">
      <c r="A243" t="s">
        <v>1357</v>
      </c>
      <c r="B243">
        <v>2</v>
      </c>
      <c r="C243">
        <v>15</v>
      </c>
      <c r="D243">
        <v>10</v>
      </c>
      <c r="E243" t="s">
        <v>311</v>
      </c>
      <c r="F243" s="12">
        <v>45352</v>
      </c>
      <c r="G243" t="s">
        <v>1429</v>
      </c>
      <c r="H243" s="12" t="s">
        <v>106</v>
      </c>
      <c r="I243" t="s">
        <v>106</v>
      </c>
      <c r="J243" t="s">
        <v>106</v>
      </c>
      <c r="L243">
        <v>15.2</v>
      </c>
      <c r="P243" t="s">
        <v>106</v>
      </c>
      <c r="Q243" t="s">
        <v>106</v>
      </c>
      <c r="R243" t="s">
        <v>106</v>
      </c>
      <c r="S243" t="s">
        <v>106</v>
      </c>
      <c r="T243" t="s">
        <v>486</v>
      </c>
      <c r="U243" t="s">
        <v>106</v>
      </c>
      <c r="V243" t="s">
        <v>106</v>
      </c>
      <c r="W243" t="s">
        <v>373</v>
      </c>
      <c r="X243" t="s">
        <v>106</v>
      </c>
      <c r="Y243" t="s">
        <v>108</v>
      </c>
      <c r="Z243" t="s">
        <v>109</v>
      </c>
      <c r="AA243" t="s">
        <v>1360</v>
      </c>
      <c r="AB243" t="s">
        <v>106</v>
      </c>
    </row>
    <row r="244" spans="1:28" x14ac:dyDescent="0.3">
      <c r="A244" t="s">
        <v>1357</v>
      </c>
      <c r="B244">
        <v>2</v>
      </c>
      <c r="C244">
        <v>15</v>
      </c>
      <c r="D244">
        <v>41</v>
      </c>
      <c r="E244" t="s">
        <v>128</v>
      </c>
      <c r="F244" s="12">
        <v>45352</v>
      </c>
      <c r="G244" t="s">
        <v>731</v>
      </c>
      <c r="H244" s="12">
        <v>45351</v>
      </c>
      <c r="I244" t="s">
        <v>106</v>
      </c>
      <c r="J244" t="s">
        <v>1334</v>
      </c>
      <c r="L244">
        <v>17.100000000000001</v>
      </c>
      <c r="P244" t="s">
        <v>106</v>
      </c>
      <c r="Q244" t="s">
        <v>106</v>
      </c>
      <c r="R244" t="s">
        <v>106</v>
      </c>
      <c r="S244" t="s">
        <v>1355</v>
      </c>
      <c r="T244" t="s">
        <v>631</v>
      </c>
      <c r="U244" t="s">
        <v>106</v>
      </c>
      <c r="V244" t="s">
        <v>106</v>
      </c>
      <c r="W244" t="s">
        <v>443</v>
      </c>
      <c r="X244" t="s">
        <v>106</v>
      </c>
      <c r="Y244" t="s">
        <v>108</v>
      </c>
      <c r="Z244" t="s">
        <v>109</v>
      </c>
      <c r="AA244" t="s">
        <v>1360</v>
      </c>
      <c r="AB244" t="s">
        <v>106</v>
      </c>
    </row>
    <row r="245" spans="1:28" x14ac:dyDescent="0.3">
      <c r="A245" t="s">
        <v>1357</v>
      </c>
      <c r="B245">
        <v>2</v>
      </c>
      <c r="C245">
        <v>15</v>
      </c>
      <c r="D245">
        <v>18</v>
      </c>
      <c r="E245" t="s">
        <v>311</v>
      </c>
      <c r="F245" s="12">
        <v>45352</v>
      </c>
      <c r="G245" t="s">
        <v>1283</v>
      </c>
      <c r="H245" s="12" t="s">
        <v>106</v>
      </c>
      <c r="I245" t="s">
        <v>106</v>
      </c>
      <c r="J245" t="s">
        <v>106</v>
      </c>
      <c r="L245">
        <v>16.2</v>
      </c>
      <c r="P245" t="s">
        <v>106</v>
      </c>
      <c r="Q245" t="s">
        <v>106</v>
      </c>
      <c r="R245" t="s">
        <v>106</v>
      </c>
      <c r="S245" t="s">
        <v>106</v>
      </c>
      <c r="T245" t="s">
        <v>684</v>
      </c>
      <c r="U245" t="s">
        <v>106</v>
      </c>
      <c r="V245" t="s">
        <v>106</v>
      </c>
      <c r="W245" t="s">
        <v>373</v>
      </c>
      <c r="X245" t="s">
        <v>106</v>
      </c>
      <c r="Y245" t="s">
        <v>108</v>
      </c>
      <c r="Z245" t="s">
        <v>109</v>
      </c>
      <c r="AA245" t="s">
        <v>1360</v>
      </c>
      <c r="AB245" t="s">
        <v>106</v>
      </c>
    </row>
    <row r="246" spans="1:28" x14ac:dyDescent="0.3">
      <c r="A246" t="s">
        <v>1357</v>
      </c>
      <c r="B246">
        <v>2</v>
      </c>
      <c r="C246">
        <v>15</v>
      </c>
      <c r="D246">
        <v>35</v>
      </c>
      <c r="E246" t="s">
        <v>128</v>
      </c>
      <c r="F246" s="12">
        <v>45352</v>
      </c>
      <c r="G246" t="s">
        <v>832</v>
      </c>
      <c r="H246" s="12">
        <v>45352</v>
      </c>
      <c r="I246" t="s">
        <v>1110</v>
      </c>
      <c r="J246" t="s">
        <v>1334</v>
      </c>
      <c r="L246">
        <v>17.2</v>
      </c>
      <c r="P246" t="s">
        <v>106</v>
      </c>
      <c r="Q246" t="s">
        <v>106</v>
      </c>
      <c r="R246" t="s">
        <v>106</v>
      </c>
      <c r="S246" t="s">
        <v>1427</v>
      </c>
      <c r="T246" t="s">
        <v>1732</v>
      </c>
      <c r="U246" t="s">
        <v>1353</v>
      </c>
      <c r="V246" t="s">
        <v>106</v>
      </c>
      <c r="W246" t="s">
        <v>443</v>
      </c>
      <c r="X246" t="s">
        <v>106</v>
      </c>
      <c r="Y246" t="s">
        <v>108</v>
      </c>
      <c r="Z246" t="s">
        <v>109</v>
      </c>
      <c r="AA246" t="s">
        <v>106</v>
      </c>
      <c r="AB246" t="s">
        <v>106</v>
      </c>
    </row>
    <row r="247" spans="1:28" x14ac:dyDescent="0.3">
      <c r="A247" t="s">
        <v>1357</v>
      </c>
      <c r="B247">
        <v>2</v>
      </c>
      <c r="C247">
        <v>15</v>
      </c>
      <c r="D247">
        <v>14</v>
      </c>
      <c r="E247" t="s">
        <v>128</v>
      </c>
      <c r="F247" s="12">
        <v>45352</v>
      </c>
      <c r="G247" t="s">
        <v>1729</v>
      </c>
      <c r="H247" s="12" t="s">
        <v>106</v>
      </c>
      <c r="I247" t="s">
        <v>106</v>
      </c>
      <c r="J247" t="s">
        <v>106</v>
      </c>
      <c r="L247">
        <v>18</v>
      </c>
      <c r="P247" t="s">
        <v>106</v>
      </c>
      <c r="Q247" t="s">
        <v>106</v>
      </c>
      <c r="R247" t="s">
        <v>106</v>
      </c>
      <c r="S247" t="s">
        <v>106</v>
      </c>
      <c r="T247" t="s">
        <v>581</v>
      </c>
      <c r="U247" t="s">
        <v>703</v>
      </c>
      <c r="V247" t="s">
        <v>106</v>
      </c>
      <c r="W247" t="s">
        <v>373</v>
      </c>
      <c r="X247" t="s">
        <v>106</v>
      </c>
      <c r="Y247" t="s">
        <v>108</v>
      </c>
      <c r="Z247" t="s">
        <v>109</v>
      </c>
      <c r="AA247" t="s">
        <v>1360</v>
      </c>
      <c r="AB247" t="s">
        <v>106</v>
      </c>
    </row>
    <row r="248" spans="1:28" x14ac:dyDescent="0.3">
      <c r="A248" t="s">
        <v>1357</v>
      </c>
      <c r="B248">
        <v>2</v>
      </c>
      <c r="C248">
        <v>15</v>
      </c>
      <c r="D248">
        <v>36</v>
      </c>
      <c r="E248" t="s">
        <v>128</v>
      </c>
      <c r="F248" s="12">
        <v>45352</v>
      </c>
      <c r="G248" t="s">
        <v>1139</v>
      </c>
      <c r="H248" s="12">
        <v>45352</v>
      </c>
      <c r="I248" t="s">
        <v>1110</v>
      </c>
      <c r="J248" t="s">
        <v>1334</v>
      </c>
      <c r="L248">
        <v>16.5</v>
      </c>
      <c r="P248" t="s">
        <v>106</v>
      </c>
      <c r="Q248" t="s">
        <v>106</v>
      </c>
      <c r="R248" t="s">
        <v>106</v>
      </c>
      <c r="S248" t="s">
        <v>1532</v>
      </c>
      <c r="T248" t="s">
        <v>1733</v>
      </c>
      <c r="U248" t="s">
        <v>1734</v>
      </c>
      <c r="V248" t="s">
        <v>106</v>
      </c>
      <c r="W248" t="s">
        <v>443</v>
      </c>
      <c r="X248" t="s">
        <v>106</v>
      </c>
      <c r="Y248" t="s">
        <v>108</v>
      </c>
      <c r="Z248" t="s">
        <v>109</v>
      </c>
      <c r="AA248" t="s">
        <v>106</v>
      </c>
      <c r="AB248" t="s">
        <v>106</v>
      </c>
    </row>
    <row r="249" spans="1:28" x14ac:dyDescent="0.3">
      <c r="A249" t="s">
        <v>1357</v>
      </c>
      <c r="B249">
        <v>2</v>
      </c>
      <c r="C249">
        <v>15</v>
      </c>
      <c r="D249">
        <v>42</v>
      </c>
      <c r="E249" t="s">
        <v>128</v>
      </c>
      <c r="F249" s="12">
        <v>45352</v>
      </c>
      <c r="G249" t="s">
        <v>731</v>
      </c>
      <c r="H249" s="12">
        <v>45351</v>
      </c>
      <c r="I249" t="s">
        <v>106</v>
      </c>
      <c r="J249" t="s">
        <v>1334</v>
      </c>
      <c r="L249">
        <v>16.899999999999999</v>
      </c>
      <c r="P249" t="s">
        <v>106</v>
      </c>
      <c r="Q249" t="s">
        <v>106</v>
      </c>
      <c r="R249" t="s">
        <v>106</v>
      </c>
      <c r="S249" t="s">
        <v>106</v>
      </c>
      <c r="T249" t="s">
        <v>791</v>
      </c>
      <c r="U249" t="s">
        <v>136</v>
      </c>
      <c r="V249" t="s">
        <v>106</v>
      </c>
      <c r="W249" t="s">
        <v>443</v>
      </c>
      <c r="X249" t="s">
        <v>106</v>
      </c>
      <c r="Y249" t="s">
        <v>108</v>
      </c>
      <c r="Z249" t="s">
        <v>109</v>
      </c>
      <c r="AA249" t="s">
        <v>1360</v>
      </c>
      <c r="AB249" t="s">
        <v>106</v>
      </c>
    </row>
    <row r="250" spans="1:28" x14ac:dyDescent="0.3">
      <c r="A250" t="s">
        <v>1357</v>
      </c>
      <c r="B250">
        <v>2</v>
      </c>
      <c r="C250">
        <v>15</v>
      </c>
      <c r="D250">
        <v>31</v>
      </c>
      <c r="E250" t="s">
        <v>128</v>
      </c>
      <c r="F250" s="12">
        <v>45352</v>
      </c>
      <c r="G250" t="s">
        <v>384</v>
      </c>
      <c r="H250" s="12">
        <v>45352</v>
      </c>
      <c r="I250" t="s">
        <v>362</v>
      </c>
      <c r="J250" t="s">
        <v>459</v>
      </c>
      <c r="L250">
        <v>15.6</v>
      </c>
      <c r="P250" t="s">
        <v>106</v>
      </c>
      <c r="Q250" t="s">
        <v>106</v>
      </c>
      <c r="R250" t="s">
        <v>106</v>
      </c>
      <c r="S250" t="s">
        <v>1735</v>
      </c>
      <c r="T250" t="s">
        <v>106</v>
      </c>
      <c r="U250" t="s">
        <v>1736</v>
      </c>
      <c r="V250" t="s">
        <v>106</v>
      </c>
      <c r="W250" t="s">
        <v>443</v>
      </c>
      <c r="X250" t="s">
        <v>106</v>
      </c>
      <c r="Y250" t="s">
        <v>108</v>
      </c>
      <c r="Z250" t="s">
        <v>109</v>
      </c>
      <c r="AA250" t="s">
        <v>1360</v>
      </c>
      <c r="AB250" t="s">
        <v>106</v>
      </c>
    </row>
    <row r="251" spans="1:28" x14ac:dyDescent="0.3">
      <c r="A251" t="s">
        <v>1357</v>
      </c>
      <c r="B251">
        <v>2</v>
      </c>
      <c r="C251">
        <v>15</v>
      </c>
      <c r="D251">
        <v>23</v>
      </c>
      <c r="E251" t="s">
        <v>128</v>
      </c>
      <c r="F251" s="12">
        <v>45352</v>
      </c>
      <c r="G251" t="s">
        <v>1737</v>
      </c>
      <c r="H251" s="12">
        <v>45352</v>
      </c>
      <c r="I251" t="s">
        <v>847</v>
      </c>
      <c r="J251" t="s">
        <v>466</v>
      </c>
      <c r="L251">
        <v>16.8</v>
      </c>
      <c r="P251" t="s">
        <v>106</v>
      </c>
      <c r="Q251" t="s">
        <v>106</v>
      </c>
      <c r="R251" t="s">
        <v>106</v>
      </c>
      <c r="S251" t="s">
        <v>1355</v>
      </c>
      <c r="T251" t="s">
        <v>106</v>
      </c>
      <c r="U251" t="s">
        <v>1738</v>
      </c>
      <c r="V251" t="s">
        <v>106</v>
      </c>
      <c r="W251" t="s">
        <v>443</v>
      </c>
      <c r="X251" t="s">
        <v>106</v>
      </c>
      <c r="Y251" t="s">
        <v>108</v>
      </c>
      <c r="Z251" t="s">
        <v>109</v>
      </c>
      <c r="AA251" t="s">
        <v>1360</v>
      </c>
      <c r="AB251" t="s">
        <v>1739</v>
      </c>
    </row>
    <row r="252" spans="1:28" x14ac:dyDescent="0.3">
      <c r="A252" t="s">
        <v>1357</v>
      </c>
      <c r="B252">
        <v>3</v>
      </c>
      <c r="C252">
        <v>35</v>
      </c>
      <c r="D252">
        <v>34</v>
      </c>
      <c r="E252" t="s">
        <v>128</v>
      </c>
      <c r="F252" s="12">
        <v>45352</v>
      </c>
      <c r="G252" t="s">
        <v>309</v>
      </c>
      <c r="H252" s="12">
        <v>45352</v>
      </c>
      <c r="I252" t="s">
        <v>362</v>
      </c>
      <c r="J252" t="s">
        <v>459</v>
      </c>
      <c r="L252">
        <v>36</v>
      </c>
      <c r="P252" t="s">
        <v>106</v>
      </c>
      <c r="Q252" t="s">
        <v>106</v>
      </c>
      <c r="R252" t="s">
        <v>106</v>
      </c>
      <c r="S252" t="s">
        <v>1579</v>
      </c>
      <c r="T252" t="s">
        <v>106</v>
      </c>
      <c r="U252" t="s">
        <v>1985</v>
      </c>
      <c r="V252" t="s">
        <v>106</v>
      </c>
      <c r="W252" t="s">
        <v>443</v>
      </c>
      <c r="X252" t="s">
        <v>106</v>
      </c>
      <c r="Y252" t="s">
        <v>108</v>
      </c>
      <c r="Z252" t="s">
        <v>108</v>
      </c>
      <c r="AA252" t="s">
        <v>1360</v>
      </c>
      <c r="AB252" t="s">
        <v>106</v>
      </c>
    </row>
    <row r="253" spans="1:28" x14ac:dyDescent="0.3">
      <c r="A253" t="s">
        <v>1357</v>
      </c>
      <c r="B253">
        <v>3</v>
      </c>
      <c r="C253">
        <v>35</v>
      </c>
      <c r="D253">
        <v>47</v>
      </c>
      <c r="E253" t="s">
        <v>128</v>
      </c>
      <c r="F253" s="12">
        <v>45352</v>
      </c>
      <c r="G253" t="s">
        <v>374</v>
      </c>
      <c r="H253" s="12">
        <v>45351</v>
      </c>
      <c r="I253" t="s">
        <v>106</v>
      </c>
      <c r="J253" t="s">
        <v>1334</v>
      </c>
      <c r="L253">
        <v>38.5</v>
      </c>
      <c r="P253" t="s">
        <v>106</v>
      </c>
      <c r="Q253" t="s">
        <v>106</v>
      </c>
      <c r="R253" t="s">
        <v>106</v>
      </c>
      <c r="S253" t="s">
        <v>106</v>
      </c>
      <c r="T253" t="s">
        <v>2322</v>
      </c>
      <c r="U253" t="s">
        <v>708</v>
      </c>
      <c r="V253" t="s">
        <v>106</v>
      </c>
      <c r="W253" t="s">
        <v>443</v>
      </c>
      <c r="X253" t="s">
        <v>106</v>
      </c>
      <c r="Y253" t="s">
        <v>108</v>
      </c>
      <c r="Z253" t="s">
        <v>108</v>
      </c>
      <c r="AA253" t="s">
        <v>1360</v>
      </c>
      <c r="AB253" t="s">
        <v>106</v>
      </c>
    </row>
    <row r="254" spans="1:28" x14ac:dyDescent="0.3">
      <c r="A254" t="s">
        <v>1357</v>
      </c>
      <c r="B254">
        <v>3</v>
      </c>
      <c r="C254">
        <v>35</v>
      </c>
      <c r="D254">
        <v>46</v>
      </c>
      <c r="E254" t="s">
        <v>128</v>
      </c>
      <c r="F254" s="12">
        <v>45352</v>
      </c>
      <c r="G254" t="s">
        <v>1686</v>
      </c>
      <c r="H254" s="12">
        <v>45351</v>
      </c>
      <c r="I254" t="s">
        <v>106</v>
      </c>
      <c r="J254" t="s">
        <v>1334</v>
      </c>
      <c r="L254">
        <v>39.1</v>
      </c>
      <c r="P254" t="s">
        <v>106</v>
      </c>
      <c r="Q254" t="s">
        <v>106</v>
      </c>
      <c r="R254" t="s">
        <v>106</v>
      </c>
      <c r="S254" t="s">
        <v>106</v>
      </c>
      <c r="T254" t="s">
        <v>1713</v>
      </c>
      <c r="U254" t="s">
        <v>565</v>
      </c>
      <c r="V254" t="s">
        <v>106</v>
      </c>
      <c r="W254" t="s">
        <v>443</v>
      </c>
      <c r="X254" t="s">
        <v>106</v>
      </c>
      <c r="Y254" t="s">
        <v>108</v>
      </c>
      <c r="Z254" t="s">
        <v>108</v>
      </c>
      <c r="AA254" t="s">
        <v>1360</v>
      </c>
      <c r="AB254" t="s">
        <v>106</v>
      </c>
    </row>
    <row r="255" spans="1:28" x14ac:dyDescent="0.3">
      <c r="A255" t="s">
        <v>1357</v>
      </c>
      <c r="B255">
        <v>3</v>
      </c>
      <c r="C255">
        <v>35</v>
      </c>
      <c r="D255">
        <v>45</v>
      </c>
      <c r="E255" t="s">
        <v>456</v>
      </c>
      <c r="F255" s="12">
        <v>45352</v>
      </c>
      <c r="G255" t="s">
        <v>1686</v>
      </c>
      <c r="H255" s="12">
        <v>45351</v>
      </c>
      <c r="I255" t="s">
        <v>106</v>
      </c>
      <c r="J255" t="s">
        <v>1334</v>
      </c>
      <c r="L255">
        <v>38.4</v>
      </c>
      <c r="P255" t="s">
        <v>106</v>
      </c>
      <c r="Q255" t="s">
        <v>106</v>
      </c>
      <c r="R255" t="s">
        <v>106</v>
      </c>
      <c r="S255" t="s">
        <v>106</v>
      </c>
      <c r="T255" t="s">
        <v>2323</v>
      </c>
      <c r="U255" t="s">
        <v>440</v>
      </c>
      <c r="V255" t="s">
        <v>106</v>
      </c>
      <c r="W255" t="s">
        <v>443</v>
      </c>
      <c r="X255" t="s">
        <v>106</v>
      </c>
      <c r="Y255" t="s">
        <v>108</v>
      </c>
      <c r="Z255" t="s">
        <v>108</v>
      </c>
      <c r="AA255" t="s">
        <v>1360</v>
      </c>
      <c r="AB255" t="s">
        <v>106</v>
      </c>
    </row>
    <row r="256" spans="1:28" x14ac:dyDescent="0.3">
      <c r="A256" t="s">
        <v>1357</v>
      </c>
      <c r="B256">
        <v>3</v>
      </c>
      <c r="C256">
        <v>35</v>
      </c>
      <c r="D256">
        <v>15</v>
      </c>
      <c r="E256" t="s">
        <v>128</v>
      </c>
      <c r="F256" s="12">
        <v>45352</v>
      </c>
      <c r="G256" t="s">
        <v>2006</v>
      </c>
      <c r="H256" s="12" t="s">
        <v>106</v>
      </c>
      <c r="I256" t="s">
        <v>106</v>
      </c>
      <c r="J256" t="s">
        <v>106</v>
      </c>
      <c r="L256">
        <v>42.3</v>
      </c>
      <c r="P256" t="s">
        <v>106</v>
      </c>
      <c r="Q256" t="s">
        <v>106</v>
      </c>
      <c r="R256" t="s">
        <v>106</v>
      </c>
      <c r="S256" t="s">
        <v>106</v>
      </c>
      <c r="T256" t="s">
        <v>2324</v>
      </c>
      <c r="U256" t="s">
        <v>106</v>
      </c>
      <c r="V256" t="s">
        <v>106</v>
      </c>
      <c r="W256" t="s">
        <v>373</v>
      </c>
      <c r="X256" t="s">
        <v>106</v>
      </c>
      <c r="Y256" t="s">
        <v>108</v>
      </c>
      <c r="Z256" t="s">
        <v>108</v>
      </c>
      <c r="AA256" t="s">
        <v>1360</v>
      </c>
      <c r="AB256" t="s">
        <v>106</v>
      </c>
    </row>
    <row r="257" spans="1:28" x14ac:dyDescent="0.3">
      <c r="A257" t="s">
        <v>1357</v>
      </c>
      <c r="B257">
        <v>3</v>
      </c>
      <c r="C257">
        <v>35</v>
      </c>
      <c r="D257">
        <v>11</v>
      </c>
      <c r="E257" t="s">
        <v>311</v>
      </c>
      <c r="F257" s="12">
        <v>45352</v>
      </c>
      <c r="G257" t="s">
        <v>1429</v>
      </c>
      <c r="H257" s="12" t="s">
        <v>106</v>
      </c>
      <c r="I257" t="s">
        <v>106</v>
      </c>
      <c r="J257" t="s">
        <v>106</v>
      </c>
      <c r="L257">
        <v>37.9</v>
      </c>
      <c r="P257" t="s">
        <v>106</v>
      </c>
      <c r="Q257" t="s">
        <v>106</v>
      </c>
      <c r="R257" t="s">
        <v>106</v>
      </c>
      <c r="S257" t="s">
        <v>106</v>
      </c>
      <c r="T257" t="s">
        <v>614</v>
      </c>
      <c r="U257" t="s">
        <v>106</v>
      </c>
      <c r="V257" t="s">
        <v>106</v>
      </c>
      <c r="W257" t="s">
        <v>373</v>
      </c>
      <c r="X257" t="s">
        <v>106</v>
      </c>
      <c r="Y257" t="s">
        <v>108</v>
      </c>
      <c r="Z257" t="s">
        <v>108</v>
      </c>
      <c r="AA257" t="s">
        <v>1360</v>
      </c>
      <c r="AB257" t="s">
        <v>106</v>
      </c>
    </row>
    <row r="258" spans="1:28" x14ac:dyDescent="0.3">
      <c r="A258" t="s">
        <v>1357</v>
      </c>
      <c r="B258">
        <v>3</v>
      </c>
      <c r="C258">
        <v>35</v>
      </c>
      <c r="D258">
        <v>40</v>
      </c>
      <c r="E258" t="s">
        <v>128</v>
      </c>
      <c r="F258" s="12">
        <v>45352</v>
      </c>
      <c r="G258" t="s">
        <v>1244</v>
      </c>
      <c r="H258" s="12">
        <v>45352</v>
      </c>
      <c r="I258" t="s">
        <v>1110</v>
      </c>
      <c r="J258" t="s">
        <v>1334</v>
      </c>
      <c r="L258">
        <v>37.799999999999997</v>
      </c>
      <c r="P258" t="s">
        <v>106</v>
      </c>
      <c r="Q258" t="s">
        <v>106</v>
      </c>
      <c r="R258" t="s">
        <v>106</v>
      </c>
      <c r="S258" t="s">
        <v>1355</v>
      </c>
      <c r="T258" t="s">
        <v>2325</v>
      </c>
      <c r="U258" t="s">
        <v>2311</v>
      </c>
      <c r="V258" t="s">
        <v>106</v>
      </c>
      <c r="W258" t="s">
        <v>443</v>
      </c>
      <c r="X258" t="s">
        <v>106</v>
      </c>
      <c r="Y258" t="s">
        <v>108</v>
      </c>
      <c r="Z258" t="s">
        <v>108</v>
      </c>
      <c r="AA258" t="s">
        <v>1726</v>
      </c>
      <c r="AB258" t="s">
        <v>106</v>
      </c>
    </row>
    <row r="259" spans="1:28" x14ac:dyDescent="0.3">
      <c r="A259" t="s">
        <v>1357</v>
      </c>
      <c r="B259">
        <v>3</v>
      </c>
      <c r="C259">
        <v>35</v>
      </c>
      <c r="D259">
        <v>32</v>
      </c>
      <c r="E259" t="s">
        <v>128</v>
      </c>
      <c r="F259" s="12">
        <v>45352</v>
      </c>
      <c r="G259" t="s">
        <v>313</v>
      </c>
      <c r="H259" s="12">
        <v>45352</v>
      </c>
      <c r="I259" t="s">
        <v>362</v>
      </c>
      <c r="J259" t="s">
        <v>459</v>
      </c>
      <c r="L259">
        <v>36.5</v>
      </c>
      <c r="P259" t="s">
        <v>106</v>
      </c>
      <c r="Q259" t="s">
        <v>106</v>
      </c>
      <c r="R259" t="s">
        <v>106</v>
      </c>
      <c r="S259" t="s">
        <v>1506</v>
      </c>
      <c r="T259" t="s">
        <v>106</v>
      </c>
      <c r="U259" t="s">
        <v>1736</v>
      </c>
      <c r="V259" t="s">
        <v>106</v>
      </c>
      <c r="W259" t="s">
        <v>443</v>
      </c>
      <c r="X259" t="s">
        <v>106</v>
      </c>
      <c r="Y259" t="s">
        <v>108</v>
      </c>
      <c r="Z259" t="s">
        <v>108</v>
      </c>
      <c r="AA259" t="s">
        <v>1360</v>
      </c>
      <c r="AB259" t="s">
        <v>106</v>
      </c>
    </row>
    <row r="260" spans="1:28" x14ac:dyDescent="0.3">
      <c r="A260" t="s">
        <v>1357</v>
      </c>
      <c r="B260">
        <v>3</v>
      </c>
      <c r="C260">
        <v>35</v>
      </c>
      <c r="D260">
        <v>30</v>
      </c>
      <c r="E260" t="s">
        <v>128</v>
      </c>
      <c r="F260" s="12">
        <v>45352</v>
      </c>
      <c r="G260" t="s">
        <v>312</v>
      </c>
      <c r="H260" s="12">
        <v>45352</v>
      </c>
      <c r="I260" t="s">
        <v>847</v>
      </c>
      <c r="J260" t="s">
        <v>466</v>
      </c>
      <c r="L260">
        <v>38.700000000000003</v>
      </c>
      <c r="P260" t="s">
        <v>106</v>
      </c>
      <c r="Q260" t="s">
        <v>106</v>
      </c>
      <c r="R260" t="s">
        <v>106</v>
      </c>
      <c r="S260" t="s">
        <v>2326</v>
      </c>
      <c r="T260" t="s">
        <v>584</v>
      </c>
      <c r="U260" t="s">
        <v>1590</v>
      </c>
      <c r="V260" t="s">
        <v>106</v>
      </c>
      <c r="W260" t="s">
        <v>443</v>
      </c>
      <c r="X260" t="s">
        <v>106</v>
      </c>
      <c r="Y260" t="s">
        <v>108</v>
      </c>
      <c r="Z260" t="s">
        <v>109</v>
      </c>
      <c r="AA260" t="s">
        <v>1726</v>
      </c>
      <c r="AB260" t="s">
        <v>705</v>
      </c>
    </row>
    <row r="261" spans="1:28" x14ac:dyDescent="0.3">
      <c r="A261" t="s">
        <v>1357</v>
      </c>
      <c r="B261">
        <v>3</v>
      </c>
      <c r="C261">
        <v>35</v>
      </c>
      <c r="D261">
        <v>29</v>
      </c>
      <c r="E261" t="s">
        <v>128</v>
      </c>
      <c r="F261" s="12">
        <v>45352</v>
      </c>
      <c r="G261" t="s">
        <v>2256</v>
      </c>
      <c r="H261" s="12">
        <v>45352</v>
      </c>
      <c r="I261" t="s">
        <v>847</v>
      </c>
      <c r="J261" t="s">
        <v>466</v>
      </c>
      <c r="L261">
        <v>38.6</v>
      </c>
      <c r="P261" t="s">
        <v>106</v>
      </c>
      <c r="Q261" t="s">
        <v>106</v>
      </c>
      <c r="R261" t="s">
        <v>106</v>
      </c>
      <c r="S261" t="s">
        <v>2327</v>
      </c>
      <c r="T261" t="s">
        <v>2328</v>
      </c>
      <c r="U261" t="s">
        <v>1596</v>
      </c>
      <c r="V261" t="s">
        <v>106</v>
      </c>
      <c r="W261" t="s">
        <v>443</v>
      </c>
      <c r="X261" t="s">
        <v>106</v>
      </c>
      <c r="Y261" t="s">
        <v>108</v>
      </c>
      <c r="Z261" t="s">
        <v>109</v>
      </c>
      <c r="AA261" t="s">
        <v>1726</v>
      </c>
      <c r="AB261" t="s">
        <v>1739</v>
      </c>
    </row>
    <row r="262" spans="1:28" x14ac:dyDescent="0.3">
      <c r="A262" t="s">
        <v>1357</v>
      </c>
      <c r="B262">
        <v>3</v>
      </c>
      <c r="C262">
        <v>35</v>
      </c>
      <c r="D262">
        <v>28</v>
      </c>
      <c r="E262" t="s">
        <v>128</v>
      </c>
      <c r="F262" s="12">
        <v>45352</v>
      </c>
      <c r="G262" t="s">
        <v>418</v>
      </c>
      <c r="H262" s="12">
        <v>45352</v>
      </c>
      <c r="I262" t="s">
        <v>847</v>
      </c>
      <c r="J262" t="s">
        <v>466</v>
      </c>
      <c r="L262">
        <v>39</v>
      </c>
      <c r="P262" t="s">
        <v>106</v>
      </c>
      <c r="Q262" t="s">
        <v>106</v>
      </c>
      <c r="R262" t="s">
        <v>106</v>
      </c>
      <c r="S262" t="s">
        <v>1908</v>
      </c>
      <c r="T262" t="s">
        <v>2329</v>
      </c>
      <c r="U262" t="s">
        <v>1738</v>
      </c>
      <c r="V262" t="s">
        <v>106</v>
      </c>
      <c r="W262" t="s">
        <v>443</v>
      </c>
      <c r="X262" t="s">
        <v>106</v>
      </c>
      <c r="Y262" t="s">
        <v>108</v>
      </c>
      <c r="Z262" t="s">
        <v>109</v>
      </c>
      <c r="AA262" t="s">
        <v>1726</v>
      </c>
      <c r="AB262" t="s">
        <v>765</v>
      </c>
    </row>
    <row r="263" spans="1:28" x14ac:dyDescent="0.3">
      <c r="A263" t="s">
        <v>1357</v>
      </c>
      <c r="B263">
        <v>3</v>
      </c>
      <c r="C263">
        <v>35</v>
      </c>
      <c r="D263">
        <v>27</v>
      </c>
      <c r="E263" t="s">
        <v>128</v>
      </c>
      <c r="F263" s="12">
        <v>45352</v>
      </c>
      <c r="G263" t="s">
        <v>488</v>
      </c>
      <c r="H263" s="12">
        <v>45352</v>
      </c>
      <c r="I263" t="s">
        <v>847</v>
      </c>
      <c r="J263" t="s">
        <v>466</v>
      </c>
      <c r="L263">
        <v>38</v>
      </c>
      <c r="P263" t="s">
        <v>106</v>
      </c>
      <c r="Q263" t="s">
        <v>106</v>
      </c>
      <c r="R263" t="s">
        <v>106</v>
      </c>
      <c r="S263" t="s">
        <v>2137</v>
      </c>
      <c r="T263" t="s">
        <v>2330</v>
      </c>
      <c r="U263" t="s">
        <v>1776</v>
      </c>
      <c r="V263" t="s">
        <v>106</v>
      </c>
      <c r="W263" t="s">
        <v>443</v>
      </c>
      <c r="X263" t="s">
        <v>106</v>
      </c>
      <c r="Y263" t="s">
        <v>108</v>
      </c>
      <c r="Z263" t="s">
        <v>109</v>
      </c>
      <c r="AA263" t="s">
        <v>1726</v>
      </c>
      <c r="AB263" t="s">
        <v>2331</v>
      </c>
    </row>
    <row r="264" spans="1:28" x14ac:dyDescent="0.3">
      <c r="A264" t="s">
        <v>1357</v>
      </c>
      <c r="B264">
        <v>3</v>
      </c>
      <c r="C264">
        <v>35</v>
      </c>
      <c r="D264">
        <v>26</v>
      </c>
      <c r="E264" t="s">
        <v>128</v>
      </c>
      <c r="F264" s="12">
        <v>45352</v>
      </c>
      <c r="G264" t="s">
        <v>469</v>
      </c>
      <c r="H264" s="12">
        <v>45352</v>
      </c>
      <c r="I264" t="s">
        <v>847</v>
      </c>
      <c r="J264" t="s">
        <v>466</v>
      </c>
      <c r="L264">
        <v>41</v>
      </c>
      <c r="P264" t="s">
        <v>106</v>
      </c>
      <c r="Q264" t="s">
        <v>106</v>
      </c>
      <c r="R264" t="s">
        <v>106</v>
      </c>
      <c r="S264" t="s">
        <v>2332</v>
      </c>
      <c r="T264" t="s">
        <v>2329</v>
      </c>
      <c r="U264" t="s">
        <v>1482</v>
      </c>
      <c r="V264" t="s">
        <v>106</v>
      </c>
      <c r="W264" t="s">
        <v>443</v>
      </c>
      <c r="X264" t="s">
        <v>106</v>
      </c>
      <c r="Y264" t="s">
        <v>108</v>
      </c>
      <c r="Z264" t="s">
        <v>109</v>
      </c>
      <c r="AA264" t="s">
        <v>1360</v>
      </c>
      <c r="AB264" t="s">
        <v>705</v>
      </c>
    </row>
    <row r="265" spans="1:28" x14ac:dyDescent="0.3">
      <c r="A265" t="s">
        <v>1357</v>
      </c>
      <c r="B265">
        <v>3</v>
      </c>
      <c r="C265">
        <v>35</v>
      </c>
      <c r="D265">
        <v>24</v>
      </c>
      <c r="E265" t="s">
        <v>128</v>
      </c>
      <c r="F265" s="12">
        <v>45352</v>
      </c>
      <c r="G265" t="s">
        <v>1737</v>
      </c>
      <c r="H265" s="12">
        <v>45352</v>
      </c>
      <c r="I265" t="s">
        <v>847</v>
      </c>
      <c r="J265" t="s">
        <v>466</v>
      </c>
      <c r="L265">
        <v>38.700000000000003</v>
      </c>
      <c r="P265" t="s">
        <v>106</v>
      </c>
      <c r="Q265" t="s">
        <v>106</v>
      </c>
      <c r="R265" t="s">
        <v>106</v>
      </c>
      <c r="S265" t="s">
        <v>1795</v>
      </c>
      <c r="T265" t="s">
        <v>658</v>
      </c>
      <c r="U265" t="s">
        <v>1483</v>
      </c>
      <c r="V265" t="s">
        <v>106</v>
      </c>
      <c r="W265" t="s">
        <v>443</v>
      </c>
      <c r="X265" t="s">
        <v>106</v>
      </c>
      <c r="Y265" t="s">
        <v>108</v>
      </c>
      <c r="Z265" t="s">
        <v>109</v>
      </c>
      <c r="AA265" t="s">
        <v>1360</v>
      </c>
      <c r="AB265" t="s">
        <v>765</v>
      </c>
    </row>
    <row r="266" spans="1:28" x14ac:dyDescent="0.3">
      <c r="A266" t="s">
        <v>1357</v>
      </c>
      <c r="B266">
        <v>3</v>
      </c>
      <c r="C266">
        <v>35</v>
      </c>
      <c r="D266">
        <v>39</v>
      </c>
      <c r="E266" t="s">
        <v>128</v>
      </c>
      <c r="F266" s="12">
        <v>45352</v>
      </c>
      <c r="G266" t="s">
        <v>1244</v>
      </c>
      <c r="H266" s="12">
        <v>45352</v>
      </c>
      <c r="I266" t="s">
        <v>1110</v>
      </c>
      <c r="J266" t="s">
        <v>1334</v>
      </c>
      <c r="L266">
        <v>36.6</v>
      </c>
      <c r="P266" t="s">
        <v>106</v>
      </c>
      <c r="Q266" t="s">
        <v>106</v>
      </c>
      <c r="R266" t="s">
        <v>106</v>
      </c>
      <c r="S266" t="s">
        <v>2118</v>
      </c>
      <c r="T266" t="s">
        <v>741</v>
      </c>
      <c r="U266" t="s">
        <v>2333</v>
      </c>
      <c r="V266" t="s">
        <v>106</v>
      </c>
      <c r="W266" t="s">
        <v>443</v>
      </c>
      <c r="X266" t="s">
        <v>106</v>
      </c>
      <c r="Y266" t="s">
        <v>108</v>
      </c>
      <c r="Z266" t="s">
        <v>108</v>
      </c>
      <c r="AA266" t="s">
        <v>1726</v>
      </c>
      <c r="AB266" t="s">
        <v>106</v>
      </c>
    </row>
    <row r="267" spans="1:28" x14ac:dyDescent="0.3">
      <c r="A267" t="s">
        <v>1357</v>
      </c>
      <c r="B267">
        <v>3</v>
      </c>
      <c r="C267">
        <v>35</v>
      </c>
      <c r="D267">
        <v>21</v>
      </c>
      <c r="E267" t="s">
        <v>128</v>
      </c>
      <c r="F267" s="12">
        <v>45352</v>
      </c>
      <c r="G267" t="s">
        <v>546</v>
      </c>
      <c r="H267" s="12">
        <v>45351</v>
      </c>
      <c r="I267" t="s">
        <v>1537</v>
      </c>
      <c r="J267" t="s">
        <v>1334</v>
      </c>
      <c r="L267">
        <v>40.700000000000003</v>
      </c>
      <c r="P267" t="s">
        <v>106</v>
      </c>
      <c r="Q267" t="s">
        <v>106</v>
      </c>
      <c r="R267" t="s">
        <v>106</v>
      </c>
      <c r="S267" t="s">
        <v>106</v>
      </c>
      <c r="T267" t="s">
        <v>2334</v>
      </c>
      <c r="U267" t="s">
        <v>1477</v>
      </c>
      <c r="V267" t="s">
        <v>106</v>
      </c>
      <c r="W267" t="s">
        <v>443</v>
      </c>
      <c r="X267" t="s">
        <v>106</v>
      </c>
      <c r="Y267" t="s">
        <v>108</v>
      </c>
      <c r="Z267" t="s">
        <v>108</v>
      </c>
      <c r="AA267" t="s">
        <v>1360</v>
      </c>
      <c r="AB267" t="s">
        <v>1739</v>
      </c>
    </row>
    <row r="268" spans="1:28" x14ac:dyDescent="0.3">
      <c r="A268" t="s">
        <v>1357</v>
      </c>
      <c r="B268">
        <v>3</v>
      </c>
      <c r="C268">
        <v>35</v>
      </c>
      <c r="D268">
        <v>16</v>
      </c>
      <c r="E268" t="s">
        <v>128</v>
      </c>
      <c r="F268" s="12">
        <v>45352</v>
      </c>
      <c r="G268" t="s">
        <v>2006</v>
      </c>
      <c r="H268" s="12" t="s">
        <v>106</v>
      </c>
      <c r="I268" t="s">
        <v>106</v>
      </c>
      <c r="J268" t="s">
        <v>106</v>
      </c>
      <c r="L268">
        <v>42.4</v>
      </c>
      <c r="P268" t="s">
        <v>106</v>
      </c>
      <c r="Q268" t="s">
        <v>106</v>
      </c>
      <c r="R268" t="s">
        <v>106</v>
      </c>
      <c r="S268" t="s">
        <v>106</v>
      </c>
      <c r="T268" t="s">
        <v>1774</v>
      </c>
      <c r="U268" t="s">
        <v>106</v>
      </c>
      <c r="V268" t="s">
        <v>106</v>
      </c>
      <c r="W268" t="s">
        <v>373</v>
      </c>
      <c r="X268" t="s">
        <v>106</v>
      </c>
      <c r="Y268" t="s">
        <v>108</v>
      </c>
      <c r="Z268" t="s">
        <v>108</v>
      </c>
      <c r="AA268" t="s">
        <v>1360</v>
      </c>
      <c r="AB268" t="s">
        <v>106</v>
      </c>
    </row>
    <row r="269" spans="1:28" x14ac:dyDescent="0.3">
      <c r="A269" t="s">
        <v>1357</v>
      </c>
      <c r="B269">
        <v>3</v>
      </c>
      <c r="C269">
        <v>35</v>
      </c>
      <c r="D269">
        <v>19</v>
      </c>
      <c r="E269" t="s">
        <v>311</v>
      </c>
      <c r="F269" s="12">
        <v>45352</v>
      </c>
      <c r="G269" t="s">
        <v>1559</v>
      </c>
      <c r="H269" s="12" t="s">
        <v>106</v>
      </c>
      <c r="I269" t="s">
        <v>106</v>
      </c>
      <c r="J269" t="s">
        <v>106</v>
      </c>
      <c r="L269">
        <v>35.200000000000003</v>
      </c>
      <c r="P269" t="s">
        <v>106</v>
      </c>
      <c r="Q269" t="s">
        <v>106</v>
      </c>
      <c r="R269" t="s">
        <v>106</v>
      </c>
      <c r="S269" t="s">
        <v>106</v>
      </c>
      <c r="T269" t="s">
        <v>492</v>
      </c>
      <c r="U269" t="s">
        <v>106</v>
      </c>
      <c r="V269" t="s">
        <v>106</v>
      </c>
      <c r="W269" t="s">
        <v>521</v>
      </c>
      <c r="X269" t="s">
        <v>106</v>
      </c>
      <c r="Y269" t="s">
        <v>108</v>
      </c>
      <c r="Z269" t="s">
        <v>108</v>
      </c>
      <c r="AA269" t="s">
        <v>1360</v>
      </c>
      <c r="AB269" t="s">
        <v>765</v>
      </c>
    </row>
    <row r="270" spans="1:28" x14ac:dyDescent="0.3">
      <c r="A270" t="s">
        <v>1357</v>
      </c>
      <c r="B270">
        <v>4</v>
      </c>
      <c r="C270">
        <v>60</v>
      </c>
      <c r="D270">
        <v>37</v>
      </c>
      <c r="E270" t="s">
        <v>128</v>
      </c>
      <c r="F270" s="12">
        <v>45352</v>
      </c>
      <c r="G270" t="s">
        <v>526</v>
      </c>
      <c r="H270" s="12">
        <v>45352</v>
      </c>
      <c r="I270" t="s">
        <v>1110</v>
      </c>
      <c r="J270" t="s">
        <v>1334</v>
      </c>
      <c r="L270">
        <v>60.4</v>
      </c>
      <c r="P270" t="s">
        <v>106</v>
      </c>
      <c r="Q270" t="s">
        <v>106</v>
      </c>
      <c r="R270" t="s">
        <v>106</v>
      </c>
      <c r="S270" t="s">
        <v>2155</v>
      </c>
      <c r="T270" t="s">
        <v>736</v>
      </c>
      <c r="U270" t="s">
        <v>1347</v>
      </c>
      <c r="V270" t="s">
        <v>106</v>
      </c>
      <c r="W270" t="s">
        <v>443</v>
      </c>
      <c r="X270" t="s">
        <v>106</v>
      </c>
      <c r="Y270" t="s">
        <v>108</v>
      </c>
      <c r="Z270" t="s">
        <v>104</v>
      </c>
      <c r="AA270" t="s">
        <v>106</v>
      </c>
      <c r="AB270" t="s">
        <v>106</v>
      </c>
    </row>
    <row r="271" spans="1:28" x14ac:dyDescent="0.3">
      <c r="A271" t="s">
        <v>1357</v>
      </c>
      <c r="B271">
        <v>4</v>
      </c>
      <c r="C271">
        <v>60</v>
      </c>
      <c r="D271">
        <v>43</v>
      </c>
      <c r="E271" t="s">
        <v>128</v>
      </c>
      <c r="F271" s="12">
        <v>45352</v>
      </c>
      <c r="G271" t="s">
        <v>389</v>
      </c>
      <c r="H271" s="12">
        <v>45351</v>
      </c>
      <c r="I271" t="s">
        <v>106</v>
      </c>
      <c r="J271" t="s">
        <v>1334</v>
      </c>
      <c r="L271">
        <v>64.900000000000006</v>
      </c>
      <c r="P271" t="s">
        <v>106</v>
      </c>
      <c r="Q271" t="s">
        <v>106</v>
      </c>
      <c r="R271" t="s">
        <v>106</v>
      </c>
      <c r="S271" t="s">
        <v>106</v>
      </c>
      <c r="T271" t="s">
        <v>2637</v>
      </c>
      <c r="U271" t="s">
        <v>708</v>
      </c>
      <c r="V271" t="s">
        <v>106</v>
      </c>
      <c r="W271" t="s">
        <v>443</v>
      </c>
      <c r="X271" t="s">
        <v>106</v>
      </c>
      <c r="Y271" t="s">
        <v>108</v>
      </c>
      <c r="Z271" t="s">
        <v>104</v>
      </c>
      <c r="AA271" t="s">
        <v>1360</v>
      </c>
      <c r="AB271" t="s">
        <v>106</v>
      </c>
    </row>
    <row r="272" spans="1:28" x14ac:dyDescent="0.3">
      <c r="A272" t="s">
        <v>1357</v>
      </c>
      <c r="B272">
        <v>4</v>
      </c>
      <c r="C272">
        <v>60</v>
      </c>
      <c r="D272">
        <v>38</v>
      </c>
      <c r="E272" t="s">
        <v>128</v>
      </c>
      <c r="F272" s="12">
        <v>45352</v>
      </c>
      <c r="G272" t="s">
        <v>526</v>
      </c>
      <c r="H272" s="12">
        <v>45352</v>
      </c>
      <c r="I272" t="s">
        <v>1110</v>
      </c>
      <c r="J272" t="s">
        <v>1334</v>
      </c>
      <c r="L272">
        <v>61.7</v>
      </c>
      <c r="P272" t="s">
        <v>106</v>
      </c>
      <c r="Q272" t="s">
        <v>106</v>
      </c>
      <c r="R272" t="s">
        <v>106</v>
      </c>
      <c r="S272" t="s">
        <v>2118</v>
      </c>
      <c r="T272" t="s">
        <v>2638</v>
      </c>
      <c r="U272" t="s">
        <v>1590</v>
      </c>
      <c r="V272" t="s">
        <v>106</v>
      </c>
      <c r="W272" t="s">
        <v>443</v>
      </c>
      <c r="X272" t="s">
        <v>106</v>
      </c>
      <c r="Y272" t="s">
        <v>108</v>
      </c>
      <c r="Z272" t="s">
        <v>104</v>
      </c>
      <c r="AA272" t="s">
        <v>106</v>
      </c>
      <c r="AB272" t="s">
        <v>106</v>
      </c>
    </row>
    <row r="273" spans="1:28" x14ac:dyDescent="0.3">
      <c r="A273" t="s">
        <v>1357</v>
      </c>
      <c r="B273">
        <v>4</v>
      </c>
      <c r="C273">
        <v>60</v>
      </c>
      <c r="D273">
        <v>33</v>
      </c>
      <c r="E273" t="s">
        <v>128</v>
      </c>
      <c r="F273" s="12">
        <v>45352</v>
      </c>
      <c r="G273" t="s">
        <v>313</v>
      </c>
      <c r="H273" s="12">
        <v>45352</v>
      </c>
      <c r="I273" t="s">
        <v>362</v>
      </c>
      <c r="J273" t="s">
        <v>459</v>
      </c>
      <c r="L273">
        <v>60.5</v>
      </c>
      <c r="P273" t="s">
        <v>106</v>
      </c>
      <c r="Q273" t="s">
        <v>106</v>
      </c>
      <c r="R273" t="s">
        <v>106</v>
      </c>
      <c r="S273" t="s">
        <v>2360</v>
      </c>
      <c r="T273" t="s">
        <v>106</v>
      </c>
      <c r="U273" t="s">
        <v>106</v>
      </c>
      <c r="V273" t="s">
        <v>106</v>
      </c>
      <c r="W273" t="s">
        <v>443</v>
      </c>
      <c r="X273" t="s">
        <v>106</v>
      </c>
      <c r="Y273" t="s">
        <v>108</v>
      </c>
      <c r="Z273" t="s">
        <v>108</v>
      </c>
      <c r="AA273" t="s">
        <v>1360</v>
      </c>
      <c r="AB273" t="s">
        <v>106</v>
      </c>
    </row>
    <row r="274" spans="1:28" x14ac:dyDescent="0.3">
      <c r="A274" t="s">
        <v>1357</v>
      </c>
      <c r="B274">
        <v>4</v>
      </c>
      <c r="C274">
        <v>60</v>
      </c>
      <c r="D274">
        <v>25</v>
      </c>
      <c r="E274" t="s">
        <v>128</v>
      </c>
      <c r="F274" s="12">
        <v>45352</v>
      </c>
      <c r="G274" t="s">
        <v>474</v>
      </c>
      <c r="H274" s="12">
        <v>45352</v>
      </c>
      <c r="I274" t="s">
        <v>847</v>
      </c>
      <c r="J274" t="s">
        <v>466</v>
      </c>
      <c r="L274">
        <v>61.2</v>
      </c>
      <c r="P274" t="s">
        <v>106</v>
      </c>
      <c r="Q274" t="s">
        <v>106</v>
      </c>
      <c r="R274" t="s">
        <v>106</v>
      </c>
      <c r="S274" t="s">
        <v>2639</v>
      </c>
      <c r="T274" t="s">
        <v>2640</v>
      </c>
      <c r="U274" t="s">
        <v>1359</v>
      </c>
      <c r="V274" t="s">
        <v>106</v>
      </c>
      <c r="W274" t="s">
        <v>443</v>
      </c>
      <c r="X274" t="s">
        <v>106</v>
      </c>
      <c r="Y274" t="s">
        <v>108</v>
      </c>
      <c r="Z274" t="s">
        <v>109</v>
      </c>
      <c r="AA274" t="s">
        <v>1360</v>
      </c>
      <c r="AB274" t="s">
        <v>1731</v>
      </c>
    </row>
    <row r="275" spans="1:28" x14ac:dyDescent="0.3">
      <c r="A275" t="s">
        <v>1357</v>
      </c>
      <c r="B275">
        <v>4</v>
      </c>
      <c r="C275">
        <v>60</v>
      </c>
      <c r="D275">
        <v>22</v>
      </c>
      <c r="E275" t="s">
        <v>128</v>
      </c>
      <c r="F275" s="12">
        <v>45352</v>
      </c>
      <c r="G275" t="s">
        <v>423</v>
      </c>
      <c r="H275" s="12">
        <v>45351</v>
      </c>
      <c r="I275" t="s">
        <v>1537</v>
      </c>
      <c r="J275" t="s">
        <v>1334</v>
      </c>
      <c r="L275">
        <v>62.7</v>
      </c>
      <c r="P275" t="s">
        <v>106</v>
      </c>
      <c r="Q275" t="s">
        <v>106</v>
      </c>
      <c r="R275" t="s">
        <v>106</v>
      </c>
      <c r="S275" t="s">
        <v>980</v>
      </c>
      <c r="T275" t="s">
        <v>2641</v>
      </c>
      <c r="U275" t="s">
        <v>361</v>
      </c>
      <c r="V275" t="s">
        <v>106</v>
      </c>
      <c r="W275" t="s">
        <v>443</v>
      </c>
      <c r="X275" t="s">
        <v>106</v>
      </c>
      <c r="Y275" t="s">
        <v>108</v>
      </c>
      <c r="Z275" t="s">
        <v>108</v>
      </c>
      <c r="AA275" t="s">
        <v>1360</v>
      </c>
      <c r="AB275" t="s">
        <v>1739</v>
      </c>
    </row>
    <row r="276" spans="1:28" x14ac:dyDescent="0.3">
      <c r="A276" t="s">
        <v>1357</v>
      </c>
      <c r="B276">
        <v>4</v>
      </c>
      <c r="C276">
        <v>60</v>
      </c>
      <c r="D276">
        <v>17</v>
      </c>
      <c r="E276" t="s">
        <v>128</v>
      </c>
      <c r="F276" s="12">
        <v>45352</v>
      </c>
      <c r="G276" t="s">
        <v>1531</v>
      </c>
      <c r="H276" s="12" t="s">
        <v>106</v>
      </c>
      <c r="I276" t="s">
        <v>106</v>
      </c>
      <c r="J276" t="s">
        <v>106</v>
      </c>
      <c r="L276">
        <v>66.5</v>
      </c>
      <c r="P276" t="s">
        <v>106</v>
      </c>
      <c r="Q276" t="s">
        <v>106</v>
      </c>
      <c r="R276" t="s">
        <v>106</v>
      </c>
      <c r="S276" t="s">
        <v>106</v>
      </c>
      <c r="T276" t="s">
        <v>733</v>
      </c>
      <c r="U276" t="s">
        <v>106</v>
      </c>
      <c r="V276" t="s">
        <v>106</v>
      </c>
      <c r="W276" t="s">
        <v>373</v>
      </c>
      <c r="X276" t="s">
        <v>106</v>
      </c>
      <c r="Y276" t="s">
        <v>108</v>
      </c>
      <c r="Z276" t="s">
        <v>104</v>
      </c>
      <c r="AA276" t="s">
        <v>1360</v>
      </c>
      <c r="AB276" t="s">
        <v>106</v>
      </c>
    </row>
    <row r="277" spans="1:28" x14ac:dyDescent="0.3">
      <c r="A277" t="s">
        <v>1357</v>
      </c>
      <c r="B277">
        <v>4</v>
      </c>
      <c r="C277">
        <v>60</v>
      </c>
      <c r="D277">
        <v>12</v>
      </c>
      <c r="E277" t="s">
        <v>311</v>
      </c>
      <c r="F277" s="12">
        <v>45352</v>
      </c>
      <c r="G277" t="s">
        <v>862</v>
      </c>
      <c r="H277" s="12" t="s">
        <v>106</v>
      </c>
      <c r="I277" t="s">
        <v>106</v>
      </c>
      <c r="J277" t="s">
        <v>106</v>
      </c>
      <c r="L277">
        <v>60.9</v>
      </c>
      <c r="P277" t="s">
        <v>106</v>
      </c>
      <c r="Q277" t="s">
        <v>106</v>
      </c>
      <c r="R277" t="s">
        <v>106</v>
      </c>
      <c r="S277" t="s">
        <v>106</v>
      </c>
      <c r="T277" t="s">
        <v>816</v>
      </c>
      <c r="U277" t="s">
        <v>106</v>
      </c>
      <c r="V277" t="s">
        <v>106</v>
      </c>
      <c r="W277" t="s">
        <v>373</v>
      </c>
      <c r="X277" t="s">
        <v>106</v>
      </c>
      <c r="Y277" t="s">
        <v>108</v>
      </c>
      <c r="Z277" t="s">
        <v>104</v>
      </c>
      <c r="AA277" t="s">
        <v>1360</v>
      </c>
      <c r="AB277" t="s">
        <v>106</v>
      </c>
    </row>
    <row r="278" spans="1:28" x14ac:dyDescent="0.3">
      <c r="A278" t="s">
        <v>1357</v>
      </c>
      <c r="B278">
        <v>4</v>
      </c>
      <c r="C278">
        <v>60</v>
      </c>
      <c r="D278">
        <v>44</v>
      </c>
      <c r="E278" t="s">
        <v>128</v>
      </c>
      <c r="F278" s="12">
        <v>45352</v>
      </c>
      <c r="G278" t="s">
        <v>1273</v>
      </c>
      <c r="H278" s="12">
        <v>45351</v>
      </c>
      <c r="I278" t="s">
        <v>106</v>
      </c>
      <c r="J278" t="s">
        <v>1334</v>
      </c>
      <c r="L278">
        <v>64.2</v>
      </c>
      <c r="P278" t="s">
        <v>106</v>
      </c>
      <c r="Q278" t="s">
        <v>106</v>
      </c>
      <c r="R278" t="s">
        <v>106</v>
      </c>
      <c r="S278" t="s">
        <v>106</v>
      </c>
      <c r="T278" t="s">
        <v>733</v>
      </c>
      <c r="U278" t="s">
        <v>1651</v>
      </c>
      <c r="V278" t="s">
        <v>106</v>
      </c>
      <c r="W278" t="s">
        <v>443</v>
      </c>
      <c r="X278" t="s">
        <v>106</v>
      </c>
      <c r="Y278" t="s">
        <v>108</v>
      </c>
      <c r="Z278" t="s">
        <v>104</v>
      </c>
      <c r="AA278" t="s">
        <v>1360</v>
      </c>
      <c r="AB278" t="s">
        <v>106</v>
      </c>
    </row>
    <row r="279" spans="1:28" x14ac:dyDescent="0.3">
      <c r="A279" t="s">
        <v>1357</v>
      </c>
      <c r="B279">
        <v>1</v>
      </c>
      <c r="C279">
        <v>0</v>
      </c>
      <c r="D279">
        <v>66</v>
      </c>
      <c r="E279" t="s">
        <v>128</v>
      </c>
      <c r="F279" s="12">
        <v>45355</v>
      </c>
      <c r="G279" t="s">
        <v>1183</v>
      </c>
      <c r="H279" s="12">
        <v>45355</v>
      </c>
      <c r="I279" t="s">
        <v>530</v>
      </c>
      <c r="J279" t="s">
        <v>459</v>
      </c>
      <c r="L279">
        <v>0.6</v>
      </c>
      <c r="P279" t="s">
        <v>106</v>
      </c>
      <c r="Q279" t="s">
        <v>106</v>
      </c>
      <c r="R279" t="s">
        <v>106</v>
      </c>
      <c r="S279" t="s">
        <v>106</v>
      </c>
      <c r="T279" t="s">
        <v>1358</v>
      </c>
      <c r="U279" t="s">
        <v>1359</v>
      </c>
      <c r="V279" t="s">
        <v>106</v>
      </c>
      <c r="W279" t="s">
        <v>373</v>
      </c>
      <c r="X279" t="s">
        <v>106</v>
      </c>
      <c r="Y279" t="s">
        <v>108</v>
      </c>
      <c r="Z279" t="s">
        <v>105</v>
      </c>
      <c r="AA279" t="s">
        <v>1360</v>
      </c>
      <c r="AB279" t="s">
        <v>106</v>
      </c>
    </row>
    <row r="280" spans="1:28" x14ac:dyDescent="0.3">
      <c r="A280" t="s">
        <v>1357</v>
      </c>
      <c r="B280">
        <v>2</v>
      </c>
      <c r="C280">
        <v>15</v>
      </c>
      <c r="D280">
        <v>68</v>
      </c>
      <c r="E280" t="s">
        <v>128</v>
      </c>
      <c r="F280" s="12">
        <v>45355</v>
      </c>
      <c r="G280" t="s">
        <v>1740</v>
      </c>
      <c r="H280" s="12">
        <v>45355</v>
      </c>
      <c r="I280" t="s">
        <v>1741</v>
      </c>
      <c r="J280" t="s">
        <v>459</v>
      </c>
      <c r="L280">
        <v>17.899999999999999</v>
      </c>
      <c r="P280" t="s">
        <v>106</v>
      </c>
      <c r="Q280" t="s">
        <v>106</v>
      </c>
      <c r="R280" t="s">
        <v>106</v>
      </c>
      <c r="S280" t="s">
        <v>106</v>
      </c>
      <c r="T280" t="s">
        <v>1742</v>
      </c>
      <c r="U280" t="s">
        <v>1539</v>
      </c>
      <c r="V280" t="s">
        <v>106</v>
      </c>
      <c r="W280" t="s">
        <v>373</v>
      </c>
      <c r="X280" t="s">
        <v>106</v>
      </c>
      <c r="Y280" t="s">
        <v>108</v>
      </c>
      <c r="Z280" t="s">
        <v>109</v>
      </c>
      <c r="AA280" t="s">
        <v>1360</v>
      </c>
      <c r="AB280" t="s">
        <v>106</v>
      </c>
    </row>
    <row r="281" spans="1:28" x14ac:dyDescent="0.3">
      <c r="A281" t="s">
        <v>1357</v>
      </c>
      <c r="B281">
        <v>2</v>
      </c>
      <c r="C281">
        <v>15</v>
      </c>
      <c r="D281">
        <v>49</v>
      </c>
      <c r="E281" t="s">
        <v>128</v>
      </c>
      <c r="F281" s="12">
        <v>45355</v>
      </c>
      <c r="G281" t="s">
        <v>1618</v>
      </c>
      <c r="H281" s="12">
        <v>45355</v>
      </c>
      <c r="I281" t="s">
        <v>1743</v>
      </c>
      <c r="J281" t="s">
        <v>1334</v>
      </c>
      <c r="L281">
        <v>16.899999999999999</v>
      </c>
      <c r="P281" t="s">
        <v>106</v>
      </c>
      <c r="Q281" t="s">
        <v>106</v>
      </c>
      <c r="R281" t="s">
        <v>106</v>
      </c>
      <c r="S281" t="s">
        <v>1320</v>
      </c>
      <c r="T281" t="s">
        <v>764</v>
      </c>
      <c r="U281" t="s">
        <v>1736</v>
      </c>
      <c r="V281" t="s">
        <v>106</v>
      </c>
      <c r="W281" t="s">
        <v>443</v>
      </c>
      <c r="X281" t="s">
        <v>106</v>
      </c>
      <c r="Y281" t="s">
        <v>108</v>
      </c>
      <c r="Z281" t="s">
        <v>109</v>
      </c>
      <c r="AA281" t="s">
        <v>1360</v>
      </c>
      <c r="AB281" t="s">
        <v>106</v>
      </c>
    </row>
    <row r="282" spans="1:28" x14ac:dyDescent="0.3">
      <c r="A282" t="s">
        <v>1357</v>
      </c>
      <c r="B282">
        <v>2</v>
      </c>
      <c r="C282">
        <v>15</v>
      </c>
      <c r="D282">
        <v>48</v>
      </c>
      <c r="E282" t="s">
        <v>128</v>
      </c>
      <c r="F282" s="12">
        <v>45355</v>
      </c>
      <c r="G282" t="s">
        <v>1623</v>
      </c>
      <c r="H282" s="12">
        <v>45355</v>
      </c>
      <c r="I282" t="s">
        <v>1743</v>
      </c>
      <c r="J282" t="s">
        <v>1334</v>
      </c>
      <c r="L282">
        <v>17</v>
      </c>
      <c r="P282" t="s">
        <v>106</v>
      </c>
      <c r="Q282" t="s">
        <v>106</v>
      </c>
      <c r="R282" t="s">
        <v>106</v>
      </c>
      <c r="S282" t="s">
        <v>1744</v>
      </c>
      <c r="T282" t="s">
        <v>1745</v>
      </c>
      <c r="U282" t="s">
        <v>1736</v>
      </c>
      <c r="V282" t="s">
        <v>106</v>
      </c>
      <c r="W282" t="s">
        <v>443</v>
      </c>
      <c r="X282" t="s">
        <v>106</v>
      </c>
      <c r="Y282" t="s">
        <v>108</v>
      </c>
      <c r="Z282" t="s">
        <v>109</v>
      </c>
      <c r="AA282" t="s">
        <v>1360</v>
      </c>
      <c r="AB282" t="s">
        <v>106</v>
      </c>
    </row>
    <row r="283" spans="1:28" x14ac:dyDescent="0.3">
      <c r="A283" t="s">
        <v>1357</v>
      </c>
      <c r="B283">
        <v>2</v>
      </c>
      <c r="C283">
        <v>15</v>
      </c>
      <c r="D283">
        <v>54</v>
      </c>
      <c r="E283" t="s">
        <v>128</v>
      </c>
      <c r="F283" s="12">
        <v>45355</v>
      </c>
      <c r="G283" t="s">
        <v>1746</v>
      </c>
      <c r="H283" s="12">
        <v>45355</v>
      </c>
      <c r="I283" t="s">
        <v>432</v>
      </c>
      <c r="J283" t="s">
        <v>1334</v>
      </c>
      <c r="L283">
        <v>15.9</v>
      </c>
      <c r="P283" t="s">
        <v>106</v>
      </c>
      <c r="Q283" t="s">
        <v>106</v>
      </c>
      <c r="R283" t="s">
        <v>106</v>
      </c>
      <c r="S283" t="s">
        <v>1654</v>
      </c>
      <c r="T283" t="s">
        <v>1747</v>
      </c>
      <c r="U283" t="s">
        <v>1483</v>
      </c>
      <c r="V283" t="s">
        <v>106</v>
      </c>
      <c r="W283" t="s">
        <v>443</v>
      </c>
      <c r="X283" t="s">
        <v>106</v>
      </c>
      <c r="Y283" t="s">
        <v>108</v>
      </c>
      <c r="Z283" t="s">
        <v>109</v>
      </c>
      <c r="AA283" t="s">
        <v>1360</v>
      </c>
      <c r="AB283" t="s">
        <v>106</v>
      </c>
    </row>
    <row r="284" spans="1:28" x14ac:dyDescent="0.3">
      <c r="A284" t="s">
        <v>1357</v>
      </c>
      <c r="B284">
        <v>2</v>
      </c>
      <c r="C284">
        <v>15</v>
      </c>
      <c r="D284">
        <v>55</v>
      </c>
      <c r="E284" t="s">
        <v>128</v>
      </c>
      <c r="F284" s="12">
        <v>45355</v>
      </c>
      <c r="G284" t="s">
        <v>314</v>
      </c>
      <c r="H284" s="12">
        <v>45355</v>
      </c>
      <c r="I284" t="s">
        <v>432</v>
      </c>
      <c r="J284" t="s">
        <v>1334</v>
      </c>
      <c r="L284">
        <v>15.7</v>
      </c>
      <c r="P284" t="s">
        <v>106</v>
      </c>
      <c r="Q284" t="s">
        <v>106</v>
      </c>
      <c r="R284" t="s">
        <v>106</v>
      </c>
      <c r="S284" t="s">
        <v>1748</v>
      </c>
      <c r="T284" t="s">
        <v>722</v>
      </c>
      <c r="U284" t="s">
        <v>1482</v>
      </c>
      <c r="V284" t="s">
        <v>106</v>
      </c>
      <c r="W284" t="s">
        <v>443</v>
      </c>
      <c r="X284" t="s">
        <v>106</v>
      </c>
      <c r="Y284" t="s">
        <v>108</v>
      </c>
      <c r="Z284" t="s">
        <v>109</v>
      </c>
      <c r="AA284" t="s">
        <v>1360</v>
      </c>
      <c r="AB284" t="s">
        <v>106</v>
      </c>
    </row>
    <row r="285" spans="1:28" x14ac:dyDescent="0.3">
      <c r="A285" t="s">
        <v>1357</v>
      </c>
      <c r="B285">
        <v>2</v>
      </c>
      <c r="C285">
        <v>15</v>
      </c>
      <c r="D285">
        <v>60</v>
      </c>
      <c r="E285" t="s">
        <v>128</v>
      </c>
      <c r="F285" s="12">
        <v>45355</v>
      </c>
      <c r="G285" t="s">
        <v>1749</v>
      </c>
      <c r="H285" s="12">
        <v>45355</v>
      </c>
      <c r="I285" t="s">
        <v>530</v>
      </c>
      <c r="J285" t="s">
        <v>459</v>
      </c>
      <c r="L285">
        <v>16.7</v>
      </c>
      <c r="P285" t="s">
        <v>106</v>
      </c>
      <c r="Q285" t="s">
        <v>106</v>
      </c>
      <c r="R285" t="s">
        <v>106</v>
      </c>
      <c r="S285" t="s">
        <v>106</v>
      </c>
      <c r="T285" t="s">
        <v>1328</v>
      </c>
      <c r="U285" t="s">
        <v>106</v>
      </c>
      <c r="V285" t="s">
        <v>106</v>
      </c>
      <c r="W285" t="s">
        <v>373</v>
      </c>
      <c r="X285" t="s">
        <v>106</v>
      </c>
      <c r="Y285" t="s">
        <v>108</v>
      </c>
      <c r="Z285" t="s">
        <v>109</v>
      </c>
      <c r="AA285" t="s">
        <v>1360</v>
      </c>
      <c r="AB285" t="s">
        <v>106</v>
      </c>
    </row>
    <row r="286" spans="1:28" x14ac:dyDescent="0.3">
      <c r="A286" t="s">
        <v>1357</v>
      </c>
      <c r="B286">
        <v>2</v>
      </c>
      <c r="C286">
        <v>15</v>
      </c>
      <c r="D286">
        <v>61</v>
      </c>
      <c r="E286" t="s">
        <v>128</v>
      </c>
      <c r="F286" s="12">
        <v>45355</v>
      </c>
      <c r="G286" t="s">
        <v>1749</v>
      </c>
      <c r="H286" s="12">
        <v>45355</v>
      </c>
      <c r="I286" t="s">
        <v>530</v>
      </c>
      <c r="J286" t="s">
        <v>459</v>
      </c>
      <c r="L286">
        <v>17.2</v>
      </c>
      <c r="P286" t="s">
        <v>106</v>
      </c>
      <c r="Q286" t="s">
        <v>106</v>
      </c>
      <c r="R286" t="s">
        <v>106</v>
      </c>
      <c r="S286" t="s">
        <v>106</v>
      </c>
      <c r="T286" t="s">
        <v>579</v>
      </c>
      <c r="U286" t="s">
        <v>1353</v>
      </c>
      <c r="V286" t="s">
        <v>106</v>
      </c>
      <c r="W286" t="s">
        <v>373</v>
      </c>
      <c r="X286" t="s">
        <v>106</v>
      </c>
      <c r="Y286" t="s">
        <v>108</v>
      </c>
      <c r="Z286" t="s">
        <v>109</v>
      </c>
      <c r="AA286" t="s">
        <v>1360</v>
      </c>
      <c r="AB286" t="s">
        <v>106</v>
      </c>
    </row>
    <row r="287" spans="1:28" x14ac:dyDescent="0.3">
      <c r="A287" t="s">
        <v>1357</v>
      </c>
      <c r="B287">
        <v>2</v>
      </c>
      <c r="C287">
        <v>15</v>
      </c>
      <c r="D287">
        <v>67</v>
      </c>
      <c r="E287" t="s">
        <v>128</v>
      </c>
      <c r="F287" s="12">
        <v>45355</v>
      </c>
      <c r="G287" t="s">
        <v>1740</v>
      </c>
      <c r="H287" s="12">
        <v>45355</v>
      </c>
      <c r="I287" t="s">
        <v>1741</v>
      </c>
      <c r="J287" t="s">
        <v>459</v>
      </c>
      <c r="L287">
        <v>17.5</v>
      </c>
      <c r="P287" t="s">
        <v>106</v>
      </c>
      <c r="Q287" t="s">
        <v>106</v>
      </c>
      <c r="R287" t="s">
        <v>106</v>
      </c>
      <c r="S287" t="s">
        <v>106</v>
      </c>
      <c r="T287" t="s">
        <v>1750</v>
      </c>
      <c r="U287" t="s">
        <v>1590</v>
      </c>
      <c r="V287" t="s">
        <v>106</v>
      </c>
      <c r="W287" t="s">
        <v>373</v>
      </c>
      <c r="X287" t="s">
        <v>106</v>
      </c>
      <c r="Y287" t="s">
        <v>108</v>
      </c>
      <c r="Z287" t="s">
        <v>109</v>
      </c>
      <c r="AA287" t="s">
        <v>1360</v>
      </c>
      <c r="AB287" t="s">
        <v>106</v>
      </c>
    </row>
    <row r="288" spans="1:28" x14ac:dyDescent="0.3">
      <c r="A288" t="s">
        <v>1357</v>
      </c>
      <c r="B288">
        <v>2</v>
      </c>
      <c r="C288">
        <v>15</v>
      </c>
      <c r="D288">
        <v>79</v>
      </c>
      <c r="E288" t="s">
        <v>128</v>
      </c>
      <c r="F288" s="12">
        <v>45355</v>
      </c>
      <c r="G288" t="s">
        <v>1751</v>
      </c>
      <c r="H288" s="12">
        <v>45355</v>
      </c>
      <c r="I288" t="s">
        <v>1752</v>
      </c>
      <c r="J288" t="s">
        <v>459</v>
      </c>
      <c r="L288">
        <v>17.8</v>
      </c>
      <c r="P288" t="s">
        <v>106</v>
      </c>
      <c r="Q288" t="s">
        <v>106</v>
      </c>
      <c r="R288" t="s">
        <v>106</v>
      </c>
      <c r="S288" t="s">
        <v>1753</v>
      </c>
      <c r="T288" t="s">
        <v>707</v>
      </c>
      <c r="U288" t="s">
        <v>1738</v>
      </c>
      <c r="V288" t="s">
        <v>106</v>
      </c>
      <c r="W288" t="s">
        <v>373</v>
      </c>
      <c r="X288" t="s">
        <v>106</v>
      </c>
      <c r="Y288" t="s">
        <v>108</v>
      </c>
      <c r="Z288" t="s">
        <v>109</v>
      </c>
      <c r="AA288" t="s">
        <v>106</v>
      </c>
      <c r="AB288" t="s">
        <v>106</v>
      </c>
    </row>
    <row r="289" spans="1:28" x14ac:dyDescent="0.3">
      <c r="A289" t="s">
        <v>1357</v>
      </c>
      <c r="B289">
        <v>2</v>
      </c>
      <c r="C289">
        <v>15</v>
      </c>
      <c r="D289">
        <v>73</v>
      </c>
      <c r="E289" t="s">
        <v>128</v>
      </c>
      <c r="F289" s="12">
        <v>45355</v>
      </c>
      <c r="G289" t="s">
        <v>1754</v>
      </c>
      <c r="H289" s="12">
        <v>45355</v>
      </c>
      <c r="I289" t="s">
        <v>1755</v>
      </c>
      <c r="J289" t="s">
        <v>459</v>
      </c>
      <c r="L289">
        <v>18.399999999999999</v>
      </c>
      <c r="P289" t="s">
        <v>106</v>
      </c>
      <c r="Q289" t="s">
        <v>106</v>
      </c>
      <c r="R289" t="s">
        <v>106</v>
      </c>
      <c r="S289" t="s">
        <v>106</v>
      </c>
      <c r="T289" t="s">
        <v>1756</v>
      </c>
      <c r="U289" t="s">
        <v>1482</v>
      </c>
      <c r="V289" t="s">
        <v>106</v>
      </c>
      <c r="W289" t="s">
        <v>373</v>
      </c>
      <c r="X289" t="s">
        <v>106</v>
      </c>
      <c r="Y289" t="s">
        <v>108</v>
      </c>
      <c r="Z289" t="s">
        <v>109</v>
      </c>
      <c r="AA289" t="s">
        <v>1365</v>
      </c>
      <c r="AB289" t="s">
        <v>106</v>
      </c>
    </row>
    <row r="290" spans="1:28" x14ac:dyDescent="0.3">
      <c r="A290" t="s">
        <v>1357</v>
      </c>
      <c r="B290">
        <v>2</v>
      </c>
      <c r="C290">
        <v>15</v>
      </c>
      <c r="D290">
        <v>74</v>
      </c>
      <c r="E290" t="s">
        <v>128</v>
      </c>
      <c r="F290" s="12">
        <v>45355</v>
      </c>
      <c r="G290" t="s">
        <v>1757</v>
      </c>
      <c r="H290" s="12">
        <v>45355</v>
      </c>
      <c r="I290" t="s">
        <v>1755</v>
      </c>
      <c r="J290" t="s">
        <v>459</v>
      </c>
      <c r="L290">
        <v>18.5</v>
      </c>
      <c r="P290" t="s">
        <v>106</v>
      </c>
      <c r="Q290" t="s">
        <v>106</v>
      </c>
      <c r="R290" t="s">
        <v>106</v>
      </c>
      <c r="S290" t="s">
        <v>1490</v>
      </c>
      <c r="T290" t="s">
        <v>796</v>
      </c>
      <c r="U290" t="s">
        <v>905</v>
      </c>
      <c r="V290" t="s">
        <v>106</v>
      </c>
      <c r="W290" t="s">
        <v>373</v>
      </c>
      <c r="X290" t="s">
        <v>106</v>
      </c>
      <c r="Y290" t="s">
        <v>108</v>
      </c>
      <c r="Z290" t="s">
        <v>109</v>
      </c>
      <c r="AA290" t="s">
        <v>1365</v>
      </c>
      <c r="AB290" t="s">
        <v>106</v>
      </c>
    </row>
    <row r="291" spans="1:28" x14ac:dyDescent="0.3">
      <c r="A291" t="s">
        <v>1357</v>
      </c>
      <c r="B291">
        <v>2</v>
      </c>
      <c r="C291">
        <v>15</v>
      </c>
      <c r="D291">
        <v>69</v>
      </c>
      <c r="E291" t="s">
        <v>128</v>
      </c>
      <c r="F291" s="12">
        <v>45355</v>
      </c>
      <c r="G291" t="s">
        <v>1740</v>
      </c>
      <c r="H291" s="12">
        <v>45355</v>
      </c>
      <c r="I291" t="s">
        <v>1741</v>
      </c>
      <c r="J291" t="s">
        <v>459</v>
      </c>
      <c r="L291">
        <v>17.7</v>
      </c>
      <c r="P291" t="s">
        <v>106</v>
      </c>
      <c r="Q291" t="s">
        <v>106</v>
      </c>
      <c r="R291" t="s">
        <v>106</v>
      </c>
      <c r="S291" t="s">
        <v>1758</v>
      </c>
      <c r="T291" t="s">
        <v>1364</v>
      </c>
      <c r="U291" t="s">
        <v>1483</v>
      </c>
      <c r="V291" t="s">
        <v>106</v>
      </c>
      <c r="W291" t="s">
        <v>373</v>
      </c>
      <c r="X291" t="s">
        <v>106</v>
      </c>
      <c r="Y291" t="s">
        <v>108</v>
      </c>
      <c r="Z291" t="s">
        <v>109</v>
      </c>
      <c r="AA291" t="s">
        <v>1360</v>
      </c>
      <c r="AB291" t="s">
        <v>106</v>
      </c>
    </row>
    <row r="292" spans="1:28" x14ac:dyDescent="0.3">
      <c r="A292" t="s">
        <v>1357</v>
      </c>
      <c r="B292">
        <v>3</v>
      </c>
      <c r="C292">
        <v>35</v>
      </c>
      <c r="D292">
        <v>76</v>
      </c>
      <c r="E292" t="s">
        <v>128</v>
      </c>
      <c r="F292" s="12">
        <v>45355</v>
      </c>
      <c r="G292" t="s">
        <v>2335</v>
      </c>
      <c r="H292" s="12">
        <v>45355</v>
      </c>
      <c r="I292" t="s">
        <v>1755</v>
      </c>
      <c r="J292" t="s">
        <v>459</v>
      </c>
      <c r="L292">
        <v>38.1</v>
      </c>
      <c r="P292" t="s">
        <v>106</v>
      </c>
      <c r="Q292" t="s">
        <v>106</v>
      </c>
      <c r="R292" t="s">
        <v>106</v>
      </c>
      <c r="S292" t="s">
        <v>2255</v>
      </c>
      <c r="T292" t="s">
        <v>2336</v>
      </c>
      <c r="U292" t="s">
        <v>1359</v>
      </c>
      <c r="V292" t="s">
        <v>106</v>
      </c>
      <c r="W292" t="s">
        <v>373</v>
      </c>
      <c r="X292" t="s">
        <v>106</v>
      </c>
      <c r="Y292" t="s">
        <v>108</v>
      </c>
      <c r="Z292" t="s">
        <v>108</v>
      </c>
      <c r="AA292" t="s">
        <v>1365</v>
      </c>
      <c r="AB292" t="s">
        <v>106</v>
      </c>
    </row>
    <row r="293" spans="1:28" x14ac:dyDescent="0.3">
      <c r="A293" t="s">
        <v>1357</v>
      </c>
      <c r="B293">
        <v>3</v>
      </c>
      <c r="C293">
        <v>35</v>
      </c>
      <c r="D293">
        <v>70</v>
      </c>
      <c r="E293" t="s">
        <v>128</v>
      </c>
      <c r="F293" s="12">
        <v>45355</v>
      </c>
      <c r="G293" t="s">
        <v>1740</v>
      </c>
      <c r="H293" s="12">
        <v>45355</v>
      </c>
      <c r="I293" t="s">
        <v>1741</v>
      </c>
      <c r="J293" t="s">
        <v>459</v>
      </c>
      <c r="L293">
        <v>37.799999999999997</v>
      </c>
      <c r="P293" t="s">
        <v>106</v>
      </c>
      <c r="Q293" t="s">
        <v>106</v>
      </c>
      <c r="R293" t="s">
        <v>106</v>
      </c>
      <c r="S293" t="s">
        <v>1783</v>
      </c>
      <c r="T293" t="s">
        <v>1750</v>
      </c>
      <c r="U293" t="s">
        <v>1359</v>
      </c>
      <c r="V293" t="s">
        <v>106</v>
      </c>
      <c r="W293" t="s">
        <v>373</v>
      </c>
      <c r="X293" t="s">
        <v>106</v>
      </c>
      <c r="Y293" t="s">
        <v>108</v>
      </c>
      <c r="Z293" t="s">
        <v>108</v>
      </c>
      <c r="AA293" t="s">
        <v>1360</v>
      </c>
      <c r="AB293" t="s">
        <v>106</v>
      </c>
    </row>
    <row r="294" spans="1:28" x14ac:dyDescent="0.3">
      <c r="A294" t="s">
        <v>1357</v>
      </c>
      <c r="B294">
        <v>3</v>
      </c>
      <c r="C294">
        <v>35</v>
      </c>
      <c r="D294">
        <v>57</v>
      </c>
      <c r="E294" t="s">
        <v>128</v>
      </c>
      <c r="F294" s="12">
        <v>45355</v>
      </c>
      <c r="G294" t="s">
        <v>393</v>
      </c>
      <c r="H294" s="12">
        <v>45355</v>
      </c>
      <c r="I294" t="s">
        <v>432</v>
      </c>
      <c r="J294" t="s">
        <v>1334</v>
      </c>
      <c r="L294">
        <v>36.799999999999997</v>
      </c>
      <c r="P294" t="s">
        <v>106</v>
      </c>
      <c r="Q294" t="s">
        <v>106</v>
      </c>
      <c r="R294" t="s">
        <v>106</v>
      </c>
      <c r="S294" t="s">
        <v>2337</v>
      </c>
      <c r="T294" t="s">
        <v>2338</v>
      </c>
      <c r="U294" t="s">
        <v>1600</v>
      </c>
      <c r="V294" t="s">
        <v>106</v>
      </c>
      <c r="W294" t="s">
        <v>443</v>
      </c>
      <c r="X294" t="s">
        <v>106</v>
      </c>
      <c r="Y294" t="s">
        <v>108</v>
      </c>
      <c r="Z294" t="s">
        <v>108</v>
      </c>
      <c r="AA294" t="s">
        <v>1360</v>
      </c>
      <c r="AB294" t="s">
        <v>106</v>
      </c>
    </row>
    <row r="295" spans="1:28" x14ac:dyDescent="0.3">
      <c r="A295" t="s">
        <v>1357</v>
      </c>
      <c r="B295">
        <v>3</v>
      </c>
      <c r="C295">
        <v>35</v>
      </c>
      <c r="D295">
        <v>56</v>
      </c>
      <c r="E295" t="s">
        <v>128</v>
      </c>
      <c r="F295" s="12">
        <v>45355</v>
      </c>
      <c r="G295" t="s">
        <v>392</v>
      </c>
      <c r="H295" s="12">
        <v>45355</v>
      </c>
      <c r="I295" t="s">
        <v>432</v>
      </c>
      <c r="J295" t="s">
        <v>1334</v>
      </c>
      <c r="L295">
        <v>36.200000000000003</v>
      </c>
      <c r="P295" t="s">
        <v>106</v>
      </c>
      <c r="Q295" t="s">
        <v>106</v>
      </c>
      <c r="R295" t="s">
        <v>106</v>
      </c>
      <c r="S295" t="s">
        <v>2339</v>
      </c>
      <c r="T295" t="s">
        <v>1358</v>
      </c>
      <c r="U295" t="s">
        <v>1980</v>
      </c>
      <c r="V295" t="s">
        <v>106</v>
      </c>
      <c r="W295" t="s">
        <v>443</v>
      </c>
      <c r="X295" t="s">
        <v>106</v>
      </c>
      <c r="Y295" t="s">
        <v>108</v>
      </c>
      <c r="Z295" t="s">
        <v>108</v>
      </c>
      <c r="AA295" t="s">
        <v>1360</v>
      </c>
      <c r="AB295" t="s">
        <v>106</v>
      </c>
    </row>
    <row r="296" spans="1:28" x14ac:dyDescent="0.3">
      <c r="A296" t="s">
        <v>1357</v>
      </c>
      <c r="B296">
        <v>3</v>
      </c>
      <c r="C296">
        <v>35</v>
      </c>
      <c r="D296">
        <v>75</v>
      </c>
      <c r="E296" t="s">
        <v>128</v>
      </c>
      <c r="F296" s="12">
        <v>45355</v>
      </c>
      <c r="G296" t="s">
        <v>1757</v>
      </c>
      <c r="H296" s="12">
        <v>45355</v>
      </c>
      <c r="I296" t="s">
        <v>1755</v>
      </c>
      <c r="J296" t="s">
        <v>459</v>
      </c>
      <c r="L296">
        <v>38.5</v>
      </c>
      <c r="P296" t="s">
        <v>106</v>
      </c>
      <c r="Q296" t="s">
        <v>106</v>
      </c>
      <c r="R296" t="s">
        <v>106</v>
      </c>
      <c r="S296" t="s">
        <v>1681</v>
      </c>
      <c r="T296" t="s">
        <v>1539</v>
      </c>
      <c r="U296" t="s">
        <v>106</v>
      </c>
      <c r="V296" t="s">
        <v>106</v>
      </c>
      <c r="W296" t="s">
        <v>373</v>
      </c>
      <c r="X296" t="s">
        <v>106</v>
      </c>
      <c r="Y296" t="s">
        <v>108</v>
      </c>
      <c r="Z296" t="s">
        <v>108</v>
      </c>
      <c r="AA296" t="s">
        <v>1365</v>
      </c>
      <c r="AB296" t="s">
        <v>106</v>
      </c>
    </row>
    <row r="297" spans="1:28" x14ac:dyDescent="0.3">
      <c r="A297" t="s">
        <v>1357</v>
      </c>
      <c r="B297">
        <v>3</v>
      </c>
      <c r="C297">
        <v>35</v>
      </c>
      <c r="D297">
        <v>62</v>
      </c>
      <c r="E297" t="s">
        <v>128</v>
      </c>
      <c r="F297" s="12">
        <v>45355</v>
      </c>
      <c r="G297" t="s">
        <v>1503</v>
      </c>
      <c r="H297" s="12">
        <v>45355</v>
      </c>
      <c r="I297" t="s">
        <v>530</v>
      </c>
      <c r="J297" t="s">
        <v>459</v>
      </c>
      <c r="L297">
        <v>38.1</v>
      </c>
      <c r="P297" t="s">
        <v>106</v>
      </c>
      <c r="Q297" t="s">
        <v>106</v>
      </c>
      <c r="R297" t="s">
        <v>106</v>
      </c>
      <c r="S297" t="s">
        <v>106</v>
      </c>
      <c r="T297" t="s">
        <v>617</v>
      </c>
      <c r="U297" t="s">
        <v>1631</v>
      </c>
      <c r="V297" t="s">
        <v>106</v>
      </c>
      <c r="W297" t="s">
        <v>373</v>
      </c>
      <c r="X297" t="s">
        <v>106</v>
      </c>
      <c r="Y297" t="s">
        <v>108</v>
      </c>
      <c r="Z297" t="s">
        <v>108</v>
      </c>
      <c r="AA297" t="s">
        <v>1360</v>
      </c>
      <c r="AB297" t="s">
        <v>106</v>
      </c>
    </row>
    <row r="298" spans="1:28" x14ac:dyDescent="0.3">
      <c r="A298" t="s">
        <v>1357</v>
      </c>
      <c r="B298">
        <v>3</v>
      </c>
      <c r="C298">
        <v>35</v>
      </c>
      <c r="D298">
        <v>51</v>
      </c>
      <c r="E298" t="s">
        <v>128</v>
      </c>
      <c r="F298" s="12">
        <v>45355</v>
      </c>
      <c r="G298" t="s">
        <v>2340</v>
      </c>
      <c r="H298" s="12">
        <v>45355</v>
      </c>
      <c r="I298" t="s">
        <v>1743</v>
      </c>
      <c r="J298" t="s">
        <v>1334</v>
      </c>
      <c r="L298">
        <v>38.200000000000003</v>
      </c>
      <c r="P298" t="s">
        <v>106</v>
      </c>
      <c r="Q298" t="s">
        <v>106</v>
      </c>
      <c r="R298" t="s">
        <v>106</v>
      </c>
      <c r="S298" t="s">
        <v>1735</v>
      </c>
      <c r="T298" t="s">
        <v>1715</v>
      </c>
      <c r="U298" t="s">
        <v>2341</v>
      </c>
      <c r="V298" t="s">
        <v>106</v>
      </c>
      <c r="W298" t="s">
        <v>443</v>
      </c>
      <c r="X298" t="s">
        <v>106</v>
      </c>
      <c r="Y298" t="s">
        <v>108</v>
      </c>
      <c r="Z298" t="s">
        <v>108</v>
      </c>
      <c r="AA298" t="s">
        <v>1360</v>
      </c>
      <c r="AB298" t="s">
        <v>106</v>
      </c>
    </row>
    <row r="299" spans="1:28" x14ac:dyDescent="0.3">
      <c r="A299" t="s">
        <v>1357</v>
      </c>
      <c r="B299">
        <v>3</v>
      </c>
      <c r="C299">
        <v>35</v>
      </c>
      <c r="D299">
        <v>80</v>
      </c>
      <c r="E299" t="s">
        <v>128</v>
      </c>
      <c r="F299" s="12">
        <v>45355</v>
      </c>
      <c r="G299" t="s">
        <v>1751</v>
      </c>
      <c r="H299" s="12">
        <v>45355</v>
      </c>
      <c r="I299" t="s">
        <v>1752</v>
      </c>
      <c r="J299" t="s">
        <v>459</v>
      </c>
      <c r="L299">
        <v>38.1</v>
      </c>
      <c r="P299" t="s">
        <v>106</v>
      </c>
      <c r="Q299" t="s">
        <v>106</v>
      </c>
      <c r="R299" t="s">
        <v>106</v>
      </c>
      <c r="S299" t="s">
        <v>2179</v>
      </c>
      <c r="T299" t="s">
        <v>2342</v>
      </c>
      <c r="U299" t="s">
        <v>1482</v>
      </c>
      <c r="V299" t="s">
        <v>106</v>
      </c>
      <c r="W299" t="s">
        <v>373</v>
      </c>
      <c r="X299" t="s">
        <v>106</v>
      </c>
      <c r="Y299" t="s">
        <v>108</v>
      </c>
      <c r="Z299" t="s">
        <v>108</v>
      </c>
      <c r="AA299" t="s">
        <v>106</v>
      </c>
      <c r="AB299" t="s">
        <v>106</v>
      </c>
    </row>
    <row r="300" spans="1:28" x14ac:dyDescent="0.3">
      <c r="A300" t="s">
        <v>1357</v>
      </c>
      <c r="B300">
        <v>3</v>
      </c>
      <c r="C300">
        <v>35</v>
      </c>
      <c r="D300">
        <v>63</v>
      </c>
      <c r="E300" t="s">
        <v>128</v>
      </c>
      <c r="F300" s="12">
        <v>45355</v>
      </c>
      <c r="G300" t="s">
        <v>1503</v>
      </c>
      <c r="H300" s="12">
        <v>45355</v>
      </c>
      <c r="I300" t="s">
        <v>530</v>
      </c>
      <c r="J300" t="s">
        <v>459</v>
      </c>
      <c r="L300">
        <v>38.6</v>
      </c>
      <c r="P300" t="s">
        <v>106</v>
      </c>
      <c r="Q300" t="s">
        <v>106</v>
      </c>
      <c r="R300" t="s">
        <v>106</v>
      </c>
      <c r="S300" t="s">
        <v>106</v>
      </c>
      <c r="T300" t="s">
        <v>658</v>
      </c>
      <c r="U300" t="s">
        <v>1356</v>
      </c>
      <c r="V300" t="s">
        <v>106</v>
      </c>
      <c r="W300" t="s">
        <v>373</v>
      </c>
      <c r="X300" t="s">
        <v>106</v>
      </c>
      <c r="Y300" t="s">
        <v>108</v>
      </c>
      <c r="Z300" t="s">
        <v>108</v>
      </c>
      <c r="AA300" t="s">
        <v>1360</v>
      </c>
      <c r="AB300" t="s">
        <v>106</v>
      </c>
    </row>
    <row r="301" spans="1:28" x14ac:dyDescent="0.3">
      <c r="A301" t="s">
        <v>1357</v>
      </c>
      <c r="B301">
        <v>3</v>
      </c>
      <c r="C301">
        <v>35</v>
      </c>
      <c r="D301">
        <v>50</v>
      </c>
      <c r="E301" t="s">
        <v>128</v>
      </c>
      <c r="F301" s="12">
        <v>45355</v>
      </c>
      <c r="G301" t="s">
        <v>2340</v>
      </c>
      <c r="H301" s="12">
        <v>45355</v>
      </c>
      <c r="I301" t="s">
        <v>1743</v>
      </c>
      <c r="J301" t="s">
        <v>1334</v>
      </c>
      <c r="L301">
        <v>38.299999999999997</v>
      </c>
      <c r="P301" t="s">
        <v>106</v>
      </c>
      <c r="Q301" t="s">
        <v>106</v>
      </c>
      <c r="R301" t="s">
        <v>106</v>
      </c>
      <c r="S301" t="s">
        <v>1867</v>
      </c>
      <c r="T301" t="s">
        <v>2343</v>
      </c>
      <c r="U301" t="s">
        <v>2106</v>
      </c>
      <c r="V301" t="s">
        <v>106</v>
      </c>
      <c r="W301" t="s">
        <v>443</v>
      </c>
      <c r="X301" t="s">
        <v>106</v>
      </c>
      <c r="Y301" t="s">
        <v>108</v>
      </c>
      <c r="Z301" t="s">
        <v>108</v>
      </c>
      <c r="AA301" t="s">
        <v>1360</v>
      </c>
      <c r="AB301" t="s">
        <v>106</v>
      </c>
    </row>
    <row r="302" spans="1:28" x14ac:dyDescent="0.3">
      <c r="A302" t="s">
        <v>1357</v>
      </c>
      <c r="B302">
        <v>4</v>
      </c>
      <c r="C302">
        <v>60</v>
      </c>
      <c r="D302">
        <v>65</v>
      </c>
      <c r="E302" t="s">
        <v>128</v>
      </c>
      <c r="F302" s="12">
        <v>45355</v>
      </c>
      <c r="G302" t="s">
        <v>1183</v>
      </c>
      <c r="H302" s="12">
        <v>45355</v>
      </c>
      <c r="I302" t="s">
        <v>530</v>
      </c>
      <c r="J302" t="s">
        <v>459</v>
      </c>
      <c r="L302">
        <v>59.9</v>
      </c>
      <c r="P302" t="s">
        <v>106</v>
      </c>
      <c r="Q302" t="s">
        <v>106</v>
      </c>
      <c r="R302" t="s">
        <v>106</v>
      </c>
      <c r="S302" t="s">
        <v>106</v>
      </c>
      <c r="T302" t="s">
        <v>2642</v>
      </c>
      <c r="U302" t="s">
        <v>1985</v>
      </c>
      <c r="V302" t="s">
        <v>106</v>
      </c>
      <c r="W302" t="s">
        <v>373</v>
      </c>
      <c r="X302" t="s">
        <v>106</v>
      </c>
      <c r="Y302" t="s">
        <v>108</v>
      </c>
      <c r="Z302" t="s">
        <v>104</v>
      </c>
      <c r="AA302" t="s">
        <v>1360</v>
      </c>
      <c r="AB302" t="s">
        <v>106</v>
      </c>
    </row>
    <row r="303" spans="1:28" x14ac:dyDescent="0.3">
      <c r="A303" t="s">
        <v>1357</v>
      </c>
      <c r="B303">
        <v>4</v>
      </c>
      <c r="C303">
        <v>60</v>
      </c>
      <c r="D303">
        <v>59</v>
      </c>
      <c r="E303" t="s">
        <v>128</v>
      </c>
      <c r="F303" s="12">
        <v>45355</v>
      </c>
      <c r="G303" t="s">
        <v>789</v>
      </c>
      <c r="H303" s="12">
        <v>45355</v>
      </c>
      <c r="I303" t="s">
        <v>432</v>
      </c>
      <c r="J303" t="s">
        <v>1334</v>
      </c>
      <c r="L303">
        <v>60.8</v>
      </c>
      <c r="P303" t="s">
        <v>106</v>
      </c>
      <c r="Q303" t="s">
        <v>106</v>
      </c>
      <c r="R303" t="s">
        <v>106</v>
      </c>
      <c r="S303" t="s">
        <v>2109</v>
      </c>
      <c r="T303" t="s">
        <v>684</v>
      </c>
      <c r="U303" t="s">
        <v>391</v>
      </c>
      <c r="V303" t="s">
        <v>106</v>
      </c>
      <c r="W303" t="s">
        <v>443</v>
      </c>
      <c r="X303" t="s">
        <v>106</v>
      </c>
      <c r="Y303" t="s">
        <v>108</v>
      </c>
      <c r="Z303" t="s">
        <v>104</v>
      </c>
      <c r="AA303" t="s">
        <v>1360</v>
      </c>
      <c r="AB303" t="s">
        <v>106</v>
      </c>
    </row>
    <row r="304" spans="1:28" x14ac:dyDescent="0.3">
      <c r="A304" t="s">
        <v>1357</v>
      </c>
      <c r="B304">
        <v>4</v>
      </c>
      <c r="C304">
        <v>60</v>
      </c>
      <c r="D304">
        <v>58</v>
      </c>
      <c r="E304" t="s">
        <v>128</v>
      </c>
      <c r="F304" s="12">
        <v>45355</v>
      </c>
      <c r="G304" t="s">
        <v>393</v>
      </c>
      <c r="H304" s="12">
        <v>45355</v>
      </c>
      <c r="I304" t="s">
        <v>432</v>
      </c>
      <c r="J304" t="s">
        <v>1334</v>
      </c>
      <c r="L304">
        <v>61.4</v>
      </c>
      <c r="P304" t="s">
        <v>106</v>
      </c>
      <c r="Q304" t="s">
        <v>106</v>
      </c>
      <c r="R304" t="s">
        <v>106</v>
      </c>
      <c r="S304" t="s">
        <v>980</v>
      </c>
      <c r="T304" t="s">
        <v>2643</v>
      </c>
      <c r="U304" t="s">
        <v>1980</v>
      </c>
      <c r="V304" t="s">
        <v>106</v>
      </c>
      <c r="W304" t="s">
        <v>443</v>
      </c>
      <c r="X304" t="s">
        <v>106</v>
      </c>
      <c r="Y304" t="s">
        <v>108</v>
      </c>
      <c r="Z304" t="s">
        <v>104</v>
      </c>
      <c r="AA304" t="s">
        <v>1360</v>
      </c>
      <c r="AB304" t="s">
        <v>106</v>
      </c>
    </row>
    <row r="305" spans="1:28" x14ac:dyDescent="0.3">
      <c r="A305" t="s">
        <v>1357</v>
      </c>
      <c r="B305">
        <v>4</v>
      </c>
      <c r="C305">
        <v>60</v>
      </c>
      <c r="D305">
        <v>53</v>
      </c>
      <c r="E305" t="s">
        <v>128</v>
      </c>
      <c r="F305" s="12">
        <v>45355</v>
      </c>
      <c r="G305" t="s">
        <v>1609</v>
      </c>
      <c r="H305" s="12">
        <v>45355</v>
      </c>
      <c r="I305" t="s">
        <v>1743</v>
      </c>
      <c r="J305" t="s">
        <v>1334</v>
      </c>
      <c r="L305">
        <v>61.6</v>
      </c>
      <c r="P305" t="s">
        <v>106</v>
      </c>
      <c r="Q305" t="s">
        <v>106</v>
      </c>
      <c r="R305" t="s">
        <v>106</v>
      </c>
      <c r="S305" t="s">
        <v>2538</v>
      </c>
      <c r="T305" t="s">
        <v>800</v>
      </c>
      <c r="U305" t="s">
        <v>1985</v>
      </c>
      <c r="V305" t="s">
        <v>106</v>
      </c>
      <c r="W305" t="s">
        <v>443</v>
      </c>
      <c r="X305" t="s">
        <v>106</v>
      </c>
      <c r="Y305" t="s">
        <v>108</v>
      </c>
      <c r="Z305" t="s">
        <v>104</v>
      </c>
      <c r="AA305" t="s">
        <v>1360</v>
      </c>
      <c r="AB305" t="s">
        <v>106</v>
      </c>
    </row>
    <row r="306" spans="1:28" x14ac:dyDescent="0.3">
      <c r="A306" t="s">
        <v>1357</v>
      </c>
      <c r="B306">
        <v>4</v>
      </c>
      <c r="C306">
        <v>60</v>
      </c>
      <c r="D306">
        <v>52</v>
      </c>
      <c r="E306" t="s">
        <v>128</v>
      </c>
      <c r="F306" s="12">
        <v>45355</v>
      </c>
      <c r="G306" t="s">
        <v>1609</v>
      </c>
      <c r="H306" s="12">
        <v>45355</v>
      </c>
      <c r="I306" t="s">
        <v>1743</v>
      </c>
      <c r="J306" t="s">
        <v>1334</v>
      </c>
      <c r="L306">
        <v>60.8</v>
      </c>
      <c r="P306" t="s">
        <v>106</v>
      </c>
      <c r="Q306" t="s">
        <v>106</v>
      </c>
      <c r="R306" t="s">
        <v>106</v>
      </c>
      <c r="S306" t="s">
        <v>2532</v>
      </c>
      <c r="T306" t="s">
        <v>2644</v>
      </c>
      <c r="U306" t="s">
        <v>2341</v>
      </c>
      <c r="V306" t="s">
        <v>106</v>
      </c>
      <c r="W306" t="s">
        <v>443</v>
      </c>
      <c r="X306" t="s">
        <v>106</v>
      </c>
      <c r="Y306" t="s">
        <v>108</v>
      </c>
      <c r="Z306" t="s">
        <v>104</v>
      </c>
      <c r="AA306" t="s">
        <v>1360</v>
      </c>
      <c r="AB306" t="s">
        <v>106</v>
      </c>
    </row>
    <row r="307" spans="1:28" x14ac:dyDescent="0.3">
      <c r="A307" t="s">
        <v>1357</v>
      </c>
      <c r="B307">
        <v>4</v>
      </c>
      <c r="C307">
        <v>60</v>
      </c>
      <c r="D307">
        <v>71</v>
      </c>
      <c r="E307" t="s">
        <v>128</v>
      </c>
      <c r="F307" s="12">
        <v>45355</v>
      </c>
      <c r="G307" t="s">
        <v>2445</v>
      </c>
      <c r="H307" s="12">
        <v>45355</v>
      </c>
      <c r="I307" t="s">
        <v>1741</v>
      </c>
      <c r="J307" t="s">
        <v>459</v>
      </c>
      <c r="L307">
        <v>62.3</v>
      </c>
      <c r="P307" t="s">
        <v>106</v>
      </c>
      <c r="Q307" t="s">
        <v>106</v>
      </c>
      <c r="R307" t="s">
        <v>106</v>
      </c>
      <c r="S307" t="s">
        <v>1964</v>
      </c>
      <c r="T307" t="s">
        <v>743</v>
      </c>
      <c r="U307" t="s">
        <v>1539</v>
      </c>
      <c r="V307" t="s">
        <v>106</v>
      </c>
      <c r="W307" t="s">
        <v>373</v>
      </c>
      <c r="X307" t="s">
        <v>106</v>
      </c>
      <c r="Y307" t="s">
        <v>108</v>
      </c>
      <c r="Z307" t="s">
        <v>104</v>
      </c>
      <c r="AA307" t="s">
        <v>1360</v>
      </c>
      <c r="AB307" t="s">
        <v>106</v>
      </c>
    </row>
    <row r="308" spans="1:28" x14ac:dyDescent="0.3">
      <c r="A308" t="s">
        <v>1357</v>
      </c>
      <c r="B308">
        <v>4</v>
      </c>
      <c r="C308">
        <v>60</v>
      </c>
      <c r="D308">
        <v>81</v>
      </c>
      <c r="E308" t="s">
        <v>128</v>
      </c>
      <c r="F308" s="12">
        <v>45355</v>
      </c>
      <c r="G308" t="s">
        <v>1751</v>
      </c>
      <c r="H308" s="12">
        <v>45355</v>
      </c>
      <c r="I308" t="s">
        <v>1752</v>
      </c>
      <c r="J308" t="s">
        <v>459</v>
      </c>
      <c r="L308">
        <v>62.8</v>
      </c>
      <c r="P308" t="s">
        <v>106</v>
      </c>
      <c r="Q308" t="s">
        <v>106</v>
      </c>
      <c r="R308" t="s">
        <v>106</v>
      </c>
      <c r="S308" t="s">
        <v>1514</v>
      </c>
      <c r="T308" t="s">
        <v>2645</v>
      </c>
      <c r="U308" t="s">
        <v>1539</v>
      </c>
      <c r="V308" t="s">
        <v>106</v>
      </c>
      <c r="W308" t="s">
        <v>373</v>
      </c>
      <c r="X308" t="s">
        <v>106</v>
      </c>
      <c r="Y308" t="s">
        <v>108</v>
      </c>
      <c r="Z308" t="s">
        <v>104</v>
      </c>
      <c r="AA308" t="s">
        <v>106</v>
      </c>
      <c r="AB308" t="s">
        <v>106</v>
      </c>
    </row>
    <row r="309" spans="1:28" x14ac:dyDescent="0.3">
      <c r="A309" t="s">
        <v>1357</v>
      </c>
      <c r="B309">
        <v>4</v>
      </c>
      <c r="C309">
        <v>60</v>
      </c>
      <c r="D309">
        <v>72</v>
      </c>
      <c r="E309" t="s">
        <v>128</v>
      </c>
      <c r="F309" s="12">
        <v>45355</v>
      </c>
      <c r="G309" t="s">
        <v>2445</v>
      </c>
      <c r="H309" s="12">
        <v>45355</v>
      </c>
      <c r="I309" t="s">
        <v>1741</v>
      </c>
      <c r="J309" t="s">
        <v>459</v>
      </c>
      <c r="L309">
        <v>62.7</v>
      </c>
      <c r="P309" t="s">
        <v>106</v>
      </c>
      <c r="Q309" t="s">
        <v>106</v>
      </c>
      <c r="R309" t="s">
        <v>106</v>
      </c>
      <c r="S309" t="s">
        <v>106</v>
      </c>
      <c r="T309" t="s">
        <v>1700</v>
      </c>
      <c r="U309" t="s">
        <v>1590</v>
      </c>
      <c r="V309" t="s">
        <v>106</v>
      </c>
      <c r="W309" t="s">
        <v>373</v>
      </c>
      <c r="X309" t="s">
        <v>106</v>
      </c>
      <c r="Y309" t="s">
        <v>108</v>
      </c>
      <c r="Z309" t="s">
        <v>104</v>
      </c>
      <c r="AA309" t="s">
        <v>1360</v>
      </c>
      <c r="AB309" t="s">
        <v>106</v>
      </c>
    </row>
    <row r="310" spans="1:28" x14ac:dyDescent="0.3">
      <c r="A310" t="s">
        <v>1357</v>
      </c>
      <c r="B310">
        <v>4</v>
      </c>
      <c r="C310">
        <v>60</v>
      </c>
      <c r="D310">
        <v>64</v>
      </c>
      <c r="E310" t="s">
        <v>128</v>
      </c>
      <c r="F310" s="12">
        <v>45355</v>
      </c>
      <c r="G310" t="s">
        <v>1183</v>
      </c>
      <c r="H310" s="12">
        <v>45355</v>
      </c>
      <c r="I310" t="s">
        <v>530</v>
      </c>
      <c r="J310" t="s">
        <v>459</v>
      </c>
      <c r="L310">
        <v>59.1</v>
      </c>
      <c r="P310" t="s">
        <v>106</v>
      </c>
      <c r="Q310" t="s">
        <v>106</v>
      </c>
      <c r="R310" t="s">
        <v>106</v>
      </c>
      <c r="S310" t="s">
        <v>106</v>
      </c>
      <c r="T310" t="s">
        <v>439</v>
      </c>
      <c r="U310" t="s">
        <v>1351</v>
      </c>
      <c r="V310" t="s">
        <v>106</v>
      </c>
      <c r="W310" t="s">
        <v>373</v>
      </c>
      <c r="X310" t="s">
        <v>106</v>
      </c>
      <c r="Y310" t="s">
        <v>108</v>
      </c>
      <c r="Z310" t="s">
        <v>104</v>
      </c>
      <c r="AA310" t="s">
        <v>1360</v>
      </c>
      <c r="AB310" t="s">
        <v>106</v>
      </c>
    </row>
    <row r="311" spans="1:28" x14ac:dyDescent="0.3">
      <c r="A311" t="s">
        <v>1357</v>
      </c>
      <c r="B311">
        <v>4</v>
      </c>
      <c r="C311">
        <v>60</v>
      </c>
      <c r="D311">
        <v>77</v>
      </c>
      <c r="E311" t="s">
        <v>128</v>
      </c>
      <c r="F311" s="12">
        <v>45355</v>
      </c>
      <c r="G311" t="s">
        <v>2335</v>
      </c>
      <c r="H311" s="12">
        <v>45355</v>
      </c>
      <c r="I311" t="s">
        <v>1755</v>
      </c>
      <c r="J311" t="s">
        <v>459</v>
      </c>
      <c r="L311">
        <v>62.2</v>
      </c>
      <c r="P311" t="s">
        <v>106</v>
      </c>
      <c r="Q311" t="s">
        <v>106</v>
      </c>
      <c r="R311" t="s">
        <v>106</v>
      </c>
      <c r="S311" t="s">
        <v>106</v>
      </c>
      <c r="T311" t="s">
        <v>821</v>
      </c>
      <c r="U311" t="s">
        <v>1539</v>
      </c>
      <c r="V311" t="s">
        <v>106</v>
      </c>
      <c r="W311" t="s">
        <v>373</v>
      </c>
      <c r="X311" t="s">
        <v>106</v>
      </c>
      <c r="Y311" t="s">
        <v>108</v>
      </c>
      <c r="Z311" t="s">
        <v>104</v>
      </c>
      <c r="AA311" t="s">
        <v>1365</v>
      </c>
      <c r="AB311" t="s">
        <v>106</v>
      </c>
    </row>
    <row r="312" spans="1:28" x14ac:dyDescent="0.3">
      <c r="A312" t="s">
        <v>1357</v>
      </c>
      <c r="B312">
        <v>4</v>
      </c>
      <c r="C312">
        <v>60</v>
      </c>
      <c r="D312">
        <v>78</v>
      </c>
      <c r="E312" t="s">
        <v>128</v>
      </c>
      <c r="F312" s="12">
        <v>45355</v>
      </c>
      <c r="G312" t="s">
        <v>2098</v>
      </c>
      <c r="H312" s="12">
        <v>45355</v>
      </c>
      <c r="I312" t="s">
        <v>1755</v>
      </c>
      <c r="J312" t="s">
        <v>459</v>
      </c>
      <c r="L312">
        <v>63.1</v>
      </c>
      <c r="P312" t="s">
        <v>106</v>
      </c>
      <c r="Q312" t="s">
        <v>106</v>
      </c>
      <c r="R312" t="s">
        <v>106</v>
      </c>
      <c r="S312" t="s">
        <v>106</v>
      </c>
      <c r="T312" t="s">
        <v>779</v>
      </c>
      <c r="U312" t="s">
        <v>1359</v>
      </c>
      <c r="V312" t="s">
        <v>106</v>
      </c>
      <c r="W312" t="s">
        <v>373</v>
      </c>
      <c r="X312" t="s">
        <v>106</v>
      </c>
      <c r="Y312" t="s">
        <v>108</v>
      </c>
      <c r="Z312" t="s">
        <v>104</v>
      </c>
      <c r="AA312" t="s">
        <v>1365</v>
      </c>
      <c r="AB312" t="s">
        <v>106</v>
      </c>
    </row>
    <row r="313" spans="1:28" x14ac:dyDescent="0.3">
      <c r="A313" t="s">
        <v>1361</v>
      </c>
      <c r="B313">
        <v>1</v>
      </c>
      <c r="C313">
        <v>0</v>
      </c>
      <c r="D313">
        <v>23</v>
      </c>
      <c r="E313" t="s">
        <v>128</v>
      </c>
      <c r="F313" s="12">
        <v>45356</v>
      </c>
      <c r="G313" t="s">
        <v>1362</v>
      </c>
      <c r="H313" s="12">
        <v>45356</v>
      </c>
      <c r="I313" t="s">
        <v>106</v>
      </c>
      <c r="J313" t="s">
        <v>1363</v>
      </c>
      <c r="K313">
        <v>2</v>
      </c>
      <c r="L313">
        <v>0.4</v>
      </c>
      <c r="P313" t="s">
        <v>106</v>
      </c>
      <c r="Q313" t="s">
        <v>106</v>
      </c>
      <c r="R313" t="s">
        <v>106</v>
      </c>
      <c r="S313" t="s">
        <v>106</v>
      </c>
      <c r="T313" t="s">
        <v>1364</v>
      </c>
      <c r="U313" t="s">
        <v>106</v>
      </c>
      <c r="V313" t="s">
        <v>106</v>
      </c>
      <c r="W313" t="s">
        <v>443</v>
      </c>
      <c r="X313" t="s">
        <v>106</v>
      </c>
      <c r="Y313" t="s">
        <v>108</v>
      </c>
      <c r="Z313" t="s">
        <v>105</v>
      </c>
      <c r="AA313" t="s">
        <v>1365</v>
      </c>
      <c r="AB313" t="s">
        <v>106</v>
      </c>
    </row>
    <row r="314" spans="1:28" x14ac:dyDescent="0.3">
      <c r="A314" t="s">
        <v>1361</v>
      </c>
      <c r="B314">
        <v>1</v>
      </c>
      <c r="C314">
        <v>0</v>
      </c>
      <c r="D314">
        <v>24</v>
      </c>
      <c r="E314" t="s">
        <v>128</v>
      </c>
      <c r="F314" s="12">
        <v>45356</v>
      </c>
      <c r="G314" t="s">
        <v>1362</v>
      </c>
      <c r="H314" s="12">
        <v>45356</v>
      </c>
      <c r="I314" t="s">
        <v>106</v>
      </c>
      <c r="J314" t="s">
        <v>1363</v>
      </c>
      <c r="K314">
        <v>2</v>
      </c>
      <c r="L314">
        <v>0.3</v>
      </c>
      <c r="P314" t="s">
        <v>106</v>
      </c>
      <c r="Q314" t="s">
        <v>106</v>
      </c>
      <c r="R314" t="s">
        <v>106</v>
      </c>
      <c r="S314" t="s">
        <v>106</v>
      </c>
      <c r="T314" t="s">
        <v>730</v>
      </c>
      <c r="U314" t="s">
        <v>106</v>
      </c>
      <c r="V314" t="s">
        <v>106</v>
      </c>
      <c r="W314" t="s">
        <v>443</v>
      </c>
      <c r="X314" t="s">
        <v>106</v>
      </c>
      <c r="Y314" t="s">
        <v>108</v>
      </c>
      <c r="Z314" t="s">
        <v>105</v>
      </c>
      <c r="AA314" t="s">
        <v>1365</v>
      </c>
      <c r="AB314" t="s">
        <v>106</v>
      </c>
    </row>
    <row r="315" spans="1:28" x14ac:dyDescent="0.3">
      <c r="A315" t="s">
        <v>1361</v>
      </c>
      <c r="B315">
        <v>2</v>
      </c>
      <c r="C315">
        <v>15</v>
      </c>
      <c r="D315">
        <v>31</v>
      </c>
      <c r="E315" t="s">
        <v>128</v>
      </c>
      <c r="F315" s="12">
        <v>45356</v>
      </c>
      <c r="G315" t="s">
        <v>1250</v>
      </c>
      <c r="H315" s="12">
        <v>45356</v>
      </c>
      <c r="I315" t="s">
        <v>883</v>
      </c>
      <c r="J315" t="s">
        <v>458</v>
      </c>
      <c r="K315">
        <v>2</v>
      </c>
      <c r="L315">
        <v>14.9</v>
      </c>
      <c r="P315" t="s">
        <v>106</v>
      </c>
      <c r="Q315" t="s">
        <v>106</v>
      </c>
      <c r="R315" t="s">
        <v>106</v>
      </c>
      <c r="S315" t="s">
        <v>106</v>
      </c>
      <c r="T315" t="s">
        <v>1759</v>
      </c>
      <c r="U315" t="s">
        <v>1604</v>
      </c>
      <c r="V315" t="s">
        <v>106</v>
      </c>
      <c r="W315" t="s">
        <v>373</v>
      </c>
      <c r="X315" t="s">
        <v>106</v>
      </c>
      <c r="Y315" t="s">
        <v>108</v>
      </c>
      <c r="Z315" t="s">
        <v>109</v>
      </c>
      <c r="AA315" t="s">
        <v>1760</v>
      </c>
      <c r="AB315" t="s">
        <v>106</v>
      </c>
    </row>
    <row r="316" spans="1:28" x14ac:dyDescent="0.3">
      <c r="A316" t="s">
        <v>1361</v>
      </c>
      <c r="B316">
        <v>2</v>
      </c>
      <c r="C316">
        <v>15</v>
      </c>
      <c r="D316">
        <v>6</v>
      </c>
      <c r="E316" t="s">
        <v>128</v>
      </c>
      <c r="F316" s="12">
        <v>45356</v>
      </c>
      <c r="G316" t="s">
        <v>648</v>
      </c>
      <c r="H316" s="12">
        <v>45356</v>
      </c>
      <c r="I316" t="s">
        <v>1761</v>
      </c>
      <c r="J316" t="s">
        <v>1363</v>
      </c>
      <c r="K316">
        <v>1</v>
      </c>
      <c r="L316">
        <v>16.3</v>
      </c>
      <c r="P316" t="s">
        <v>106</v>
      </c>
      <c r="Q316" t="s">
        <v>106</v>
      </c>
      <c r="R316" t="s">
        <v>106</v>
      </c>
      <c r="S316" t="s">
        <v>1762</v>
      </c>
      <c r="T316" t="s">
        <v>1763</v>
      </c>
      <c r="U316" t="s">
        <v>1483</v>
      </c>
      <c r="V316" t="s">
        <v>106</v>
      </c>
      <c r="W316" t="s">
        <v>443</v>
      </c>
      <c r="X316" t="s">
        <v>106</v>
      </c>
      <c r="Y316" t="s">
        <v>108</v>
      </c>
      <c r="Z316" t="s">
        <v>109</v>
      </c>
      <c r="AA316" t="s">
        <v>1365</v>
      </c>
      <c r="AB316" t="s">
        <v>106</v>
      </c>
    </row>
    <row r="317" spans="1:28" x14ac:dyDescent="0.3">
      <c r="A317" t="s">
        <v>1361</v>
      </c>
      <c r="B317">
        <v>2</v>
      </c>
      <c r="C317">
        <v>15</v>
      </c>
      <c r="D317">
        <v>9</v>
      </c>
      <c r="E317" t="s">
        <v>128</v>
      </c>
      <c r="F317" s="12">
        <v>45356</v>
      </c>
      <c r="G317" t="s">
        <v>400</v>
      </c>
      <c r="H317" s="12">
        <v>45356</v>
      </c>
      <c r="I317" t="s">
        <v>831</v>
      </c>
      <c r="J317" t="s">
        <v>1363</v>
      </c>
      <c r="K317">
        <v>2</v>
      </c>
      <c r="L317">
        <v>15.7</v>
      </c>
      <c r="P317" t="s">
        <v>106</v>
      </c>
      <c r="Q317" t="s">
        <v>106</v>
      </c>
      <c r="R317" t="s">
        <v>106</v>
      </c>
      <c r="S317" t="s">
        <v>1758</v>
      </c>
      <c r="T317" t="s">
        <v>1764</v>
      </c>
      <c r="U317" t="s">
        <v>1418</v>
      </c>
      <c r="V317" t="s">
        <v>106</v>
      </c>
      <c r="W317" t="s">
        <v>443</v>
      </c>
      <c r="X317" t="s">
        <v>106</v>
      </c>
      <c r="Y317" t="s">
        <v>108</v>
      </c>
      <c r="Z317" t="s">
        <v>109</v>
      </c>
      <c r="AA317" t="s">
        <v>1365</v>
      </c>
      <c r="AB317" t="s">
        <v>106</v>
      </c>
    </row>
    <row r="318" spans="1:28" x14ac:dyDescent="0.3">
      <c r="A318" t="s">
        <v>1361</v>
      </c>
      <c r="B318">
        <v>2</v>
      </c>
      <c r="C318">
        <v>15</v>
      </c>
      <c r="D318">
        <v>5</v>
      </c>
      <c r="E318" t="s">
        <v>128</v>
      </c>
      <c r="F318" s="12">
        <v>45356</v>
      </c>
      <c r="G318" t="s">
        <v>648</v>
      </c>
      <c r="H318" s="12">
        <v>45356</v>
      </c>
      <c r="I318" t="s">
        <v>1761</v>
      </c>
      <c r="J318" t="s">
        <v>1363</v>
      </c>
      <c r="K318">
        <v>1</v>
      </c>
      <c r="L318">
        <v>16.3</v>
      </c>
      <c r="P318" t="s">
        <v>106</v>
      </c>
      <c r="Q318" t="s">
        <v>106</v>
      </c>
      <c r="R318" t="s">
        <v>106</v>
      </c>
      <c r="S318" t="s">
        <v>1658</v>
      </c>
      <c r="T318" t="s">
        <v>580</v>
      </c>
      <c r="U318" t="s">
        <v>703</v>
      </c>
      <c r="V318" t="s">
        <v>106</v>
      </c>
      <c r="W318" t="s">
        <v>443</v>
      </c>
      <c r="X318" t="s">
        <v>106</v>
      </c>
      <c r="Y318" t="s">
        <v>108</v>
      </c>
      <c r="Z318" t="s">
        <v>109</v>
      </c>
      <c r="AA318" t="s">
        <v>1365</v>
      </c>
      <c r="AB318" t="s">
        <v>106</v>
      </c>
    </row>
    <row r="319" spans="1:28" x14ac:dyDescent="0.3">
      <c r="A319" t="s">
        <v>1361</v>
      </c>
      <c r="B319">
        <v>2</v>
      </c>
      <c r="C319">
        <v>15</v>
      </c>
      <c r="D319">
        <v>10</v>
      </c>
      <c r="E319" t="s">
        <v>128</v>
      </c>
      <c r="F319" s="12">
        <v>45356</v>
      </c>
      <c r="G319" t="s">
        <v>400</v>
      </c>
      <c r="H319" s="12">
        <v>45356</v>
      </c>
      <c r="I319" t="s">
        <v>831</v>
      </c>
      <c r="J319" t="s">
        <v>1363</v>
      </c>
      <c r="K319">
        <v>2</v>
      </c>
      <c r="L319">
        <v>15.6</v>
      </c>
      <c r="P319" t="s">
        <v>106</v>
      </c>
      <c r="Q319" t="s">
        <v>106</v>
      </c>
      <c r="R319" t="s">
        <v>106</v>
      </c>
      <c r="S319" t="s">
        <v>992</v>
      </c>
      <c r="T319" t="s">
        <v>803</v>
      </c>
      <c r="U319" t="s">
        <v>1615</v>
      </c>
      <c r="V319" t="s">
        <v>106</v>
      </c>
      <c r="W319" t="s">
        <v>443</v>
      </c>
      <c r="X319" t="s">
        <v>106</v>
      </c>
      <c r="Y319" t="s">
        <v>108</v>
      </c>
      <c r="Z319" t="s">
        <v>109</v>
      </c>
      <c r="AA319" t="s">
        <v>1365</v>
      </c>
      <c r="AB319" t="s">
        <v>106</v>
      </c>
    </row>
    <row r="320" spans="1:28" x14ac:dyDescent="0.3">
      <c r="A320" t="s">
        <v>1361</v>
      </c>
      <c r="B320">
        <v>2</v>
      </c>
      <c r="C320">
        <v>15</v>
      </c>
      <c r="D320">
        <v>38</v>
      </c>
      <c r="E320" t="s">
        <v>308</v>
      </c>
      <c r="F320" s="12">
        <v>45356</v>
      </c>
      <c r="G320" t="s">
        <v>1765</v>
      </c>
      <c r="H320" s="12" t="s">
        <v>106</v>
      </c>
      <c r="I320" t="s">
        <v>106</v>
      </c>
      <c r="J320" t="s">
        <v>106</v>
      </c>
      <c r="L320">
        <v>15.4</v>
      </c>
      <c r="P320" t="s">
        <v>106</v>
      </c>
      <c r="Q320" t="s">
        <v>106</v>
      </c>
      <c r="R320" t="s">
        <v>106</v>
      </c>
      <c r="S320" t="s">
        <v>106</v>
      </c>
      <c r="T320" t="s">
        <v>1004</v>
      </c>
      <c r="U320" t="s">
        <v>106</v>
      </c>
      <c r="V320" t="s">
        <v>106</v>
      </c>
      <c r="W320" t="s">
        <v>443</v>
      </c>
      <c r="X320" t="s">
        <v>106</v>
      </c>
      <c r="Y320" t="s">
        <v>108</v>
      </c>
      <c r="Z320" t="s">
        <v>109</v>
      </c>
      <c r="AA320" t="s">
        <v>1365</v>
      </c>
      <c r="AB320" t="s">
        <v>106</v>
      </c>
    </row>
    <row r="321" spans="1:28" x14ac:dyDescent="0.3">
      <c r="A321" t="s">
        <v>1361</v>
      </c>
      <c r="B321">
        <v>2</v>
      </c>
      <c r="C321">
        <v>15</v>
      </c>
      <c r="D321">
        <v>12</v>
      </c>
      <c r="E321" t="s">
        <v>128</v>
      </c>
      <c r="F321" s="12">
        <v>45356</v>
      </c>
      <c r="G321" t="s">
        <v>316</v>
      </c>
      <c r="H321" s="12">
        <v>45356</v>
      </c>
      <c r="I321" t="s">
        <v>831</v>
      </c>
      <c r="J321" t="s">
        <v>1363</v>
      </c>
      <c r="K321">
        <v>2</v>
      </c>
      <c r="L321">
        <v>17.2</v>
      </c>
      <c r="P321" t="s">
        <v>106</v>
      </c>
      <c r="Q321" t="s">
        <v>106</v>
      </c>
      <c r="R321" t="s">
        <v>106</v>
      </c>
      <c r="S321" t="s">
        <v>1681</v>
      </c>
      <c r="T321" t="s">
        <v>1766</v>
      </c>
      <c r="U321" t="s">
        <v>430</v>
      </c>
      <c r="V321" t="s">
        <v>106</v>
      </c>
      <c r="W321" t="s">
        <v>443</v>
      </c>
      <c r="X321" t="s">
        <v>106</v>
      </c>
      <c r="Y321" t="s">
        <v>108</v>
      </c>
      <c r="Z321" t="s">
        <v>109</v>
      </c>
      <c r="AA321" t="s">
        <v>1365</v>
      </c>
      <c r="AB321" t="s">
        <v>106</v>
      </c>
    </row>
    <row r="322" spans="1:28" x14ac:dyDescent="0.3">
      <c r="A322" t="s">
        <v>1361</v>
      </c>
      <c r="B322">
        <v>2</v>
      </c>
      <c r="C322">
        <v>15</v>
      </c>
      <c r="D322">
        <v>42</v>
      </c>
      <c r="E322" t="s">
        <v>128</v>
      </c>
      <c r="F322" s="12">
        <v>45356</v>
      </c>
      <c r="G322" t="s">
        <v>1767</v>
      </c>
      <c r="H322" s="12">
        <v>45356</v>
      </c>
      <c r="I322" t="s">
        <v>1768</v>
      </c>
      <c r="J322" t="s">
        <v>1363</v>
      </c>
      <c r="K322">
        <v>2</v>
      </c>
      <c r="L322">
        <v>17</v>
      </c>
      <c r="P322" t="s">
        <v>106</v>
      </c>
      <c r="Q322" t="s">
        <v>106</v>
      </c>
      <c r="R322" t="s">
        <v>106</v>
      </c>
      <c r="S322" t="s">
        <v>106</v>
      </c>
      <c r="T322" t="s">
        <v>726</v>
      </c>
      <c r="U322" t="s">
        <v>1418</v>
      </c>
      <c r="V322" t="s">
        <v>106</v>
      </c>
      <c r="W322" t="s">
        <v>443</v>
      </c>
      <c r="X322" t="s">
        <v>106</v>
      </c>
      <c r="Y322" t="s">
        <v>108</v>
      </c>
      <c r="Z322" t="s">
        <v>109</v>
      </c>
      <c r="AA322" t="s">
        <v>1365</v>
      </c>
      <c r="AB322" t="s">
        <v>1769</v>
      </c>
    </row>
    <row r="323" spans="1:28" x14ac:dyDescent="0.3">
      <c r="A323" t="s">
        <v>1357</v>
      </c>
      <c r="B323">
        <v>2</v>
      </c>
      <c r="C323">
        <v>15</v>
      </c>
      <c r="D323">
        <v>83</v>
      </c>
      <c r="E323" t="s">
        <v>128</v>
      </c>
      <c r="F323" s="12">
        <v>45356</v>
      </c>
      <c r="G323" t="s">
        <v>1770</v>
      </c>
      <c r="H323" s="12">
        <v>45356</v>
      </c>
      <c r="I323" t="s">
        <v>1333</v>
      </c>
      <c r="J323" t="s">
        <v>1334</v>
      </c>
      <c r="L323">
        <v>17.3</v>
      </c>
      <c r="P323" t="s">
        <v>106</v>
      </c>
      <c r="Q323" t="s">
        <v>106</v>
      </c>
      <c r="R323" t="s">
        <v>106</v>
      </c>
      <c r="S323" t="s">
        <v>1197</v>
      </c>
      <c r="T323" t="s">
        <v>1771</v>
      </c>
      <c r="U323" t="s">
        <v>1772</v>
      </c>
      <c r="V323" t="s">
        <v>106</v>
      </c>
      <c r="W323" t="s">
        <v>443</v>
      </c>
      <c r="X323" t="s">
        <v>106</v>
      </c>
      <c r="Y323" t="s">
        <v>108</v>
      </c>
      <c r="Z323" t="s">
        <v>109</v>
      </c>
      <c r="AA323" t="s">
        <v>1365</v>
      </c>
      <c r="AB323" t="s">
        <v>106</v>
      </c>
    </row>
    <row r="324" spans="1:28" x14ac:dyDescent="0.3">
      <c r="A324" t="s">
        <v>1361</v>
      </c>
      <c r="B324">
        <v>2</v>
      </c>
      <c r="C324">
        <v>15</v>
      </c>
      <c r="D324">
        <v>29</v>
      </c>
      <c r="E324" t="s">
        <v>128</v>
      </c>
      <c r="F324" s="12">
        <v>45356</v>
      </c>
      <c r="G324" t="s">
        <v>1773</v>
      </c>
      <c r="H324" s="12">
        <v>45356</v>
      </c>
      <c r="I324" t="s">
        <v>1424</v>
      </c>
      <c r="J324" t="s">
        <v>1363</v>
      </c>
      <c r="K324">
        <v>2</v>
      </c>
      <c r="L324">
        <v>14</v>
      </c>
      <c r="P324" t="s">
        <v>106</v>
      </c>
      <c r="Q324" t="s">
        <v>106</v>
      </c>
      <c r="R324" t="s">
        <v>106</v>
      </c>
      <c r="S324" t="s">
        <v>106</v>
      </c>
      <c r="T324" t="s">
        <v>1774</v>
      </c>
      <c r="U324" t="s">
        <v>429</v>
      </c>
      <c r="V324" t="s">
        <v>106</v>
      </c>
      <c r="W324" t="s">
        <v>373</v>
      </c>
      <c r="X324" t="s">
        <v>106</v>
      </c>
      <c r="Y324" t="s">
        <v>108</v>
      </c>
      <c r="Z324" t="s">
        <v>109</v>
      </c>
      <c r="AA324" t="s">
        <v>1760</v>
      </c>
      <c r="AB324" t="s">
        <v>106</v>
      </c>
    </row>
    <row r="325" spans="1:28" x14ac:dyDescent="0.3">
      <c r="A325" t="s">
        <v>1357</v>
      </c>
      <c r="B325">
        <v>2</v>
      </c>
      <c r="C325">
        <v>15</v>
      </c>
      <c r="D325">
        <v>82</v>
      </c>
      <c r="E325" t="s">
        <v>128</v>
      </c>
      <c r="F325" s="12">
        <v>45356</v>
      </c>
      <c r="G325" t="s">
        <v>1770</v>
      </c>
      <c r="H325" s="12">
        <v>45356</v>
      </c>
      <c r="I325" t="s">
        <v>1333</v>
      </c>
      <c r="J325" t="s">
        <v>1334</v>
      </c>
      <c r="L325">
        <v>17.2</v>
      </c>
      <c r="P325" t="s">
        <v>106</v>
      </c>
      <c r="Q325" t="s">
        <v>106</v>
      </c>
      <c r="R325" t="s">
        <v>106</v>
      </c>
      <c r="S325" t="s">
        <v>1714</v>
      </c>
      <c r="T325" t="s">
        <v>1775</v>
      </c>
      <c r="U325" t="s">
        <v>1776</v>
      </c>
      <c r="V325" t="s">
        <v>106</v>
      </c>
      <c r="W325" t="s">
        <v>443</v>
      </c>
      <c r="X325" t="s">
        <v>106</v>
      </c>
      <c r="Y325" t="s">
        <v>108</v>
      </c>
      <c r="Z325" t="s">
        <v>109</v>
      </c>
      <c r="AA325" t="s">
        <v>1365</v>
      </c>
      <c r="AB325" t="s">
        <v>106</v>
      </c>
    </row>
    <row r="326" spans="1:28" x14ac:dyDescent="0.3">
      <c r="A326" t="s">
        <v>1361</v>
      </c>
      <c r="B326">
        <v>2</v>
      </c>
      <c r="C326">
        <v>15</v>
      </c>
      <c r="D326">
        <v>18</v>
      </c>
      <c r="E326" t="s">
        <v>128</v>
      </c>
      <c r="F326" s="12">
        <v>45356</v>
      </c>
      <c r="G326" t="s">
        <v>1480</v>
      </c>
      <c r="H326" s="12">
        <v>45356</v>
      </c>
      <c r="I326" t="s">
        <v>831</v>
      </c>
      <c r="J326" t="s">
        <v>1363</v>
      </c>
      <c r="K326">
        <v>1</v>
      </c>
      <c r="L326">
        <v>15.7</v>
      </c>
      <c r="P326" t="s">
        <v>106</v>
      </c>
      <c r="Q326" t="s">
        <v>106</v>
      </c>
      <c r="R326" t="s">
        <v>106</v>
      </c>
      <c r="S326" t="s">
        <v>1777</v>
      </c>
      <c r="T326" t="s">
        <v>798</v>
      </c>
      <c r="U326" t="s">
        <v>430</v>
      </c>
      <c r="V326" t="s">
        <v>106</v>
      </c>
      <c r="W326" t="s">
        <v>443</v>
      </c>
      <c r="X326" t="s">
        <v>106</v>
      </c>
      <c r="Y326" t="s">
        <v>108</v>
      </c>
      <c r="Z326" t="s">
        <v>109</v>
      </c>
      <c r="AA326" t="s">
        <v>1365</v>
      </c>
      <c r="AB326" t="s">
        <v>106</v>
      </c>
    </row>
    <row r="327" spans="1:28" x14ac:dyDescent="0.3">
      <c r="A327" t="s">
        <v>1361</v>
      </c>
      <c r="B327">
        <v>2</v>
      </c>
      <c r="C327">
        <v>15</v>
      </c>
      <c r="D327">
        <v>17</v>
      </c>
      <c r="E327" t="s">
        <v>128</v>
      </c>
      <c r="F327" s="12">
        <v>45356</v>
      </c>
      <c r="G327" t="s">
        <v>1480</v>
      </c>
      <c r="H327" s="12">
        <v>45356</v>
      </c>
      <c r="I327" t="s">
        <v>831</v>
      </c>
      <c r="J327" t="s">
        <v>1363</v>
      </c>
      <c r="K327">
        <v>1</v>
      </c>
      <c r="L327">
        <v>15.5</v>
      </c>
      <c r="P327" t="s">
        <v>106</v>
      </c>
      <c r="Q327" t="s">
        <v>106</v>
      </c>
      <c r="R327" t="s">
        <v>106</v>
      </c>
      <c r="S327" t="s">
        <v>1430</v>
      </c>
      <c r="T327" t="s">
        <v>1778</v>
      </c>
      <c r="U327" t="s">
        <v>1356</v>
      </c>
      <c r="V327" t="s">
        <v>106</v>
      </c>
      <c r="W327" t="s">
        <v>443</v>
      </c>
      <c r="X327" t="s">
        <v>106</v>
      </c>
      <c r="Y327" t="s">
        <v>108</v>
      </c>
      <c r="Z327" t="s">
        <v>109</v>
      </c>
      <c r="AA327" t="s">
        <v>1365</v>
      </c>
      <c r="AB327" t="s">
        <v>106</v>
      </c>
    </row>
    <row r="328" spans="1:28" x14ac:dyDescent="0.3">
      <c r="A328" t="s">
        <v>1361</v>
      </c>
      <c r="B328">
        <v>2</v>
      </c>
      <c r="C328">
        <v>15</v>
      </c>
      <c r="D328">
        <v>11</v>
      </c>
      <c r="E328" t="s">
        <v>128</v>
      </c>
      <c r="F328" s="12">
        <v>45356</v>
      </c>
      <c r="G328" t="s">
        <v>315</v>
      </c>
      <c r="H328" s="12">
        <v>45356</v>
      </c>
      <c r="I328" t="s">
        <v>831</v>
      </c>
      <c r="J328" t="s">
        <v>1363</v>
      </c>
      <c r="K328">
        <v>2</v>
      </c>
      <c r="L328">
        <v>16.8</v>
      </c>
      <c r="P328" t="s">
        <v>106</v>
      </c>
      <c r="Q328" t="s">
        <v>106</v>
      </c>
      <c r="R328" t="s">
        <v>106</v>
      </c>
      <c r="S328" t="s">
        <v>1130</v>
      </c>
      <c r="T328" t="s">
        <v>1779</v>
      </c>
      <c r="U328" t="s">
        <v>1418</v>
      </c>
      <c r="V328" t="s">
        <v>106</v>
      </c>
      <c r="W328" t="s">
        <v>443</v>
      </c>
      <c r="X328" t="s">
        <v>106</v>
      </c>
      <c r="Y328" t="s">
        <v>108</v>
      </c>
      <c r="Z328" t="s">
        <v>109</v>
      </c>
      <c r="AA328" t="s">
        <v>1365</v>
      </c>
      <c r="AB328" t="s">
        <v>106</v>
      </c>
    </row>
    <row r="329" spans="1:28" x14ac:dyDescent="0.3">
      <c r="A329" t="s">
        <v>1361</v>
      </c>
      <c r="B329">
        <v>2</v>
      </c>
      <c r="C329">
        <v>15</v>
      </c>
      <c r="D329">
        <v>41</v>
      </c>
      <c r="E329" t="s">
        <v>128</v>
      </c>
      <c r="F329" s="12">
        <v>45356</v>
      </c>
      <c r="G329" t="s">
        <v>1767</v>
      </c>
      <c r="H329" s="12">
        <v>45356</v>
      </c>
      <c r="I329" t="s">
        <v>1768</v>
      </c>
      <c r="J329" t="s">
        <v>1363</v>
      </c>
      <c r="K329">
        <v>2</v>
      </c>
      <c r="L329">
        <v>16.5</v>
      </c>
      <c r="P329" t="s">
        <v>106</v>
      </c>
      <c r="Q329" t="s">
        <v>106</v>
      </c>
      <c r="R329" t="s">
        <v>106</v>
      </c>
      <c r="S329" t="s">
        <v>106</v>
      </c>
      <c r="T329" t="s">
        <v>446</v>
      </c>
      <c r="U329" t="s">
        <v>1780</v>
      </c>
      <c r="V329" t="s">
        <v>106</v>
      </c>
      <c r="W329" t="s">
        <v>443</v>
      </c>
      <c r="X329" t="s">
        <v>106</v>
      </c>
      <c r="Y329" t="s">
        <v>108</v>
      </c>
      <c r="Z329" t="s">
        <v>109</v>
      </c>
      <c r="AA329" t="s">
        <v>1365</v>
      </c>
      <c r="AB329" t="s">
        <v>106</v>
      </c>
    </row>
    <row r="330" spans="1:28" x14ac:dyDescent="0.3">
      <c r="A330" t="s">
        <v>1361</v>
      </c>
      <c r="B330">
        <v>2</v>
      </c>
      <c r="C330">
        <v>15</v>
      </c>
      <c r="D330">
        <v>25</v>
      </c>
      <c r="E330" t="s">
        <v>128</v>
      </c>
      <c r="F330" s="12">
        <v>45356</v>
      </c>
      <c r="G330" t="s">
        <v>1127</v>
      </c>
      <c r="H330" s="12">
        <v>45356</v>
      </c>
      <c r="I330" t="s">
        <v>1424</v>
      </c>
      <c r="J330" t="s">
        <v>1363</v>
      </c>
      <c r="K330">
        <v>2</v>
      </c>
      <c r="L330">
        <v>14.2</v>
      </c>
      <c r="P330" t="s">
        <v>106</v>
      </c>
      <c r="Q330" t="s">
        <v>106</v>
      </c>
      <c r="R330" t="s">
        <v>106</v>
      </c>
      <c r="S330" t="s">
        <v>970</v>
      </c>
      <c r="T330" t="s">
        <v>1481</v>
      </c>
      <c r="U330" t="s">
        <v>1477</v>
      </c>
      <c r="V330" t="s">
        <v>106</v>
      </c>
      <c r="W330" t="s">
        <v>373</v>
      </c>
      <c r="X330" t="s">
        <v>106</v>
      </c>
      <c r="Y330" t="s">
        <v>108</v>
      </c>
      <c r="Z330" t="s">
        <v>109</v>
      </c>
      <c r="AA330" t="s">
        <v>1760</v>
      </c>
      <c r="AB330" t="s">
        <v>106</v>
      </c>
    </row>
    <row r="331" spans="1:28" x14ac:dyDescent="0.3">
      <c r="A331" t="s">
        <v>1361</v>
      </c>
      <c r="B331">
        <v>3</v>
      </c>
      <c r="C331">
        <v>35</v>
      </c>
      <c r="D331">
        <v>2</v>
      </c>
      <c r="E331" t="s">
        <v>128</v>
      </c>
      <c r="F331" s="12">
        <v>45356</v>
      </c>
      <c r="G331" t="s">
        <v>679</v>
      </c>
      <c r="H331" s="12">
        <v>45356</v>
      </c>
      <c r="I331" t="s">
        <v>1761</v>
      </c>
      <c r="J331" t="s">
        <v>1363</v>
      </c>
      <c r="K331">
        <v>2</v>
      </c>
      <c r="L331">
        <v>35</v>
      </c>
      <c r="P331" t="s">
        <v>106</v>
      </c>
      <c r="Q331" t="s">
        <v>106</v>
      </c>
      <c r="R331" t="s">
        <v>106</v>
      </c>
      <c r="S331" t="s">
        <v>1658</v>
      </c>
      <c r="T331" t="s">
        <v>442</v>
      </c>
      <c r="U331" t="s">
        <v>1477</v>
      </c>
      <c r="V331" t="s">
        <v>106</v>
      </c>
      <c r="W331" t="s">
        <v>521</v>
      </c>
      <c r="X331" t="s">
        <v>106</v>
      </c>
      <c r="Y331" t="s">
        <v>108</v>
      </c>
      <c r="Z331" t="s">
        <v>108</v>
      </c>
      <c r="AA331" t="s">
        <v>1365</v>
      </c>
      <c r="AB331" t="s">
        <v>106</v>
      </c>
    </row>
    <row r="332" spans="1:28" x14ac:dyDescent="0.3">
      <c r="A332" t="s">
        <v>1357</v>
      </c>
      <c r="B332">
        <v>3</v>
      </c>
      <c r="C332">
        <v>35</v>
      </c>
      <c r="D332">
        <v>84</v>
      </c>
      <c r="E332" t="s">
        <v>128</v>
      </c>
      <c r="F332" s="12">
        <v>45356</v>
      </c>
      <c r="G332" t="s">
        <v>2344</v>
      </c>
      <c r="H332" s="12">
        <v>45356</v>
      </c>
      <c r="I332" t="s">
        <v>1333</v>
      </c>
      <c r="J332" t="s">
        <v>1334</v>
      </c>
      <c r="L332">
        <v>37.6</v>
      </c>
      <c r="P332" t="s">
        <v>106</v>
      </c>
      <c r="Q332" t="s">
        <v>106</v>
      </c>
      <c r="R332" t="s">
        <v>106</v>
      </c>
      <c r="S332" t="s">
        <v>1484</v>
      </c>
      <c r="T332" t="s">
        <v>2345</v>
      </c>
      <c r="U332" t="s">
        <v>1985</v>
      </c>
      <c r="V332" t="s">
        <v>106</v>
      </c>
      <c r="W332" t="s">
        <v>443</v>
      </c>
      <c r="X332" t="s">
        <v>106</v>
      </c>
      <c r="Y332" t="s">
        <v>108</v>
      </c>
      <c r="Z332" t="s">
        <v>108</v>
      </c>
      <c r="AA332" t="s">
        <v>1365</v>
      </c>
      <c r="AB332" t="s">
        <v>106</v>
      </c>
    </row>
    <row r="333" spans="1:28" x14ac:dyDescent="0.3">
      <c r="A333" t="s">
        <v>1361</v>
      </c>
      <c r="B333">
        <v>3</v>
      </c>
      <c r="C333">
        <v>35</v>
      </c>
      <c r="D333">
        <v>1</v>
      </c>
      <c r="E333" t="s">
        <v>128</v>
      </c>
      <c r="F333" s="12">
        <v>45356</v>
      </c>
      <c r="G333" t="s">
        <v>679</v>
      </c>
      <c r="H333" s="12">
        <v>45356</v>
      </c>
      <c r="I333" t="s">
        <v>1761</v>
      </c>
      <c r="J333" t="s">
        <v>1363</v>
      </c>
      <c r="K333">
        <v>2</v>
      </c>
      <c r="L333">
        <v>33.6</v>
      </c>
      <c r="P333" t="s">
        <v>106</v>
      </c>
      <c r="Q333" t="s">
        <v>106</v>
      </c>
      <c r="R333" t="s">
        <v>106</v>
      </c>
      <c r="S333" t="s">
        <v>1388</v>
      </c>
      <c r="T333" t="s">
        <v>824</v>
      </c>
      <c r="U333" t="s">
        <v>1780</v>
      </c>
      <c r="V333" t="s">
        <v>106</v>
      </c>
      <c r="W333" t="s">
        <v>521</v>
      </c>
      <c r="X333" t="s">
        <v>106</v>
      </c>
      <c r="Y333" t="s">
        <v>108</v>
      </c>
      <c r="Z333" t="s">
        <v>108</v>
      </c>
      <c r="AA333" t="s">
        <v>1365</v>
      </c>
      <c r="AB333" t="s">
        <v>106</v>
      </c>
    </row>
    <row r="334" spans="1:28" x14ac:dyDescent="0.3">
      <c r="A334" t="s">
        <v>1361</v>
      </c>
      <c r="B334">
        <v>3</v>
      </c>
      <c r="C334">
        <v>35</v>
      </c>
      <c r="D334">
        <v>33</v>
      </c>
      <c r="E334" t="s">
        <v>128</v>
      </c>
      <c r="F334" s="12">
        <v>45356</v>
      </c>
      <c r="G334" t="s">
        <v>1653</v>
      </c>
      <c r="H334" s="12">
        <v>45356</v>
      </c>
      <c r="I334" t="s">
        <v>883</v>
      </c>
      <c r="J334" t="s">
        <v>458</v>
      </c>
      <c r="K334">
        <v>2</v>
      </c>
      <c r="L334">
        <v>38.9</v>
      </c>
      <c r="P334" t="s">
        <v>106</v>
      </c>
      <c r="Q334" t="s">
        <v>106</v>
      </c>
      <c r="R334" t="s">
        <v>106</v>
      </c>
      <c r="S334" t="s">
        <v>106</v>
      </c>
      <c r="T334" t="s">
        <v>688</v>
      </c>
      <c r="U334" t="s">
        <v>1411</v>
      </c>
      <c r="V334" t="s">
        <v>106</v>
      </c>
      <c r="W334" t="s">
        <v>373</v>
      </c>
      <c r="X334" t="s">
        <v>106</v>
      </c>
      <c r="Y334" t="s">
        <v>108</v>
      </c>
      <c r="Z334" t="s">
        <v>108</v>
      </c>
      <c r="AA334" t="s">
        <v>1760</v>
      </c>
      <c r="AB334" t="s">
        <v>106</v>
      </c>
    </row>
    <row r="335" spans="1:28" x14ac:dyDescent="0.3">
      <c r="A335" t="s">
        <v>1361</v>
      </c>
      <c r="B335">
        <v>3</v>
      </c>
      <c r="C335">
        <v>35</v>
      </c>
      <c r="D335">
        <v>35</v>
      </c>
      <c r="E335" t="s">
        <v>128</v>
      </c>
      <c r="F335" s="12">
        <v>45356</v>
      </c>
      <c r="G335" t="s">
        <v>1434</v>
      </c>
      <c r="H335" s="12">
        <v>45356</v>
      </c>
      <c r="I335" t="s">
        <v>883</v>
      </c>
      <c r="J335" t="s">
        <v>458</v>
      </c>
      <c r="K335">
        <v>2</v>
      </c>
      <c r="L335">
        <v>36.6</v>
      </c>
      <c r="P335" t="s">
        <v>106</v>
      </c>
      <c r="Q335" t="s">
        <v>106</v>
      </c>
      <c r="R335" t="s">
        <v>106</v>
      </c>
      <c r="S335" t="s">
        <v>106</v>
      </c>
      <c r="T335" t="s">
        <v>2346</v>
      </c>
      <c r="U335" t="s">
        <v>1468</v>
      </c>
      <c r="V335" t="s">
        <v>106</v>
      </c>
      <c r="W335" t="s">
        <v>373</v>
      </c>
      <c r="X335" t="s">
        <v>106</v>
      </c>
      <c r="Y335" t="s">
        <v>108</v>
      </c>
      <c r="Z335" t="s">
        <v>108</v>
      </c>
      <c r="AA335" t="s">
        <v>1760</v>
      </c>
      <c r="AB335" t="s">
        <v>2347</v>
      </c>
    </row>
    <row r="336" spans="1:28" x14ac:dyDescent="0.3">
      <c r="A336" t="s">
        <v>1361</v>
      </c>
      <c r="B336">
        <v>3</v>
      </c>
      <c r="C336">
        <v>35</v>
      </c>
      <c r="D336">
        <v>4</v>
      </c>
      <c r="E336" t="s">
        <v>128</v>
      </c>
      <c r="F336" s="12">
        <v>45356</v>
      </c>
      <c r="G336" t="s">
        <v>786</v>
      </c>
      <c r="H336" s="12">
        <v>45356</v>
      </c>
      <c r="I336" t="s">
        <v>1761</v>
      </c>
      <c r="J336" t="s">
        <v>1363</v>
      </c>
      <c r="K336">
        <v>1</v>
      </c>
      <c r="L336">
        <v>36.700000000000003</v>
      </c>
      <c r="P336" t="s">
        <v>106</v>
      </c>
      <c r="Q336" t="s">
        <v>106</v>
      </c>
      <c r="R336" t="s">
        <v>106</v>
      </c>
      <c r="S336" t="s">
        <v>1427</v>
      </c>
      <c r="T336" t="s">
        <v>1928</v>
      </c>
      <c r="U336" t="s">
        <v>867</v>
      </c>
      <c r="V336" t="s">
        <v>106</v>
      </c>
      <c r="W336" t="s">
        <v>521</v>
      </c>
      <c r="X336" t="s">
        <v>106</v>
      </c>
      <c r="Y336" t="s">
        <v>108</v>
      </c>
      <c r="Z336" t="s">
        <v>108</v>
      </c>
      <c r="AA336" t="s">
        <v>1365</v>
      </c>
      <c r="AB336" t="s">
        <v>106</v>
      </c>
    </row>
    <row r="337" spans="1:28" x14ac:dyDescent="0.3">
      <c r="A337" t="s">
        <v>1361</v>
      </c>
      <c r="B337">
        <v>3</v>
      </c>
      <c r="C337">
        <v>35</v>
      </c>
      <c r="D337">
        <v>39</v>
      </c>
      <c r="E337" t="s">
        <v>308</v>
      </c>
      <c r="F337" s="12">
        <v>45356</v>
      </c>
      <c r="G337" t="s">
        <v>2348</v>
      </c>
      <c r="H337" s="12" t="s">
        <v>106</v>
      </c>
      <c r="I337" t="s">
        <v>106</v>
      </c>
      <c r="J337" t="s">
        <v>106</v>
      </c>
      <c r="L337">
        <v>34.4</v>
      </c>
      <c r="P337" t="s">
        <v>106</v>
      </c>
      <c r="Q337" t="s">
        <v>106</v>
      </c>
      <c r="R337" t="s">
        <v>106</v>
      </c>
      <c r="S337" t="s">
        <v>106</v>
      </c>
      <c r="T337" t="s">
        <v>1377</v>
      </c>
      <c r="U337" t="s">
        <v>106</v>
      </c>
      <c r="V337" t="s">
        <v>106</v>
      </c>
      <c r="W337" t="s">
        <v>443</v>
      </c>
      <c r="X337" t="s">
        <v>106</v>
      </c>
      <c r="Y337" t="s">
        <v>108</v>
      </c>
      <c r="Z337" t="s">
        <v>108</v>
      </c>
      <c r="AA337" t="s">
        <v>1365</v>
      </c>
      <c r="AB337" t="s">
        <v>106</v>
      </c>
    </row>
    <row r="338" spans="1:28" x14ac:dyDescent="0.3">
      <c r="A338" t="s">
        <v>1361</v>
      </c>
      <c r="B338">
        <v>3</v>
      </c>
      <c r="C338">
        <v>35</v>
      </c>
      <c r="D338">
        <v>34</v>
      </c>
      <c r="E338" t="s">
        <v>128</v>
      </c>
      <c r="F338" s="12">
        <v>45356</v>
      </c>
      <c r="G338" t="s">
        <v>1927</v>
      </c>
      <c r="H338" s="12">
        <v>45356</v>
      </c>
      <c r="I338" t="s">
        <v>883</v>
      </c>
      <c r="J338" t="s">
        <v>458</v>
      </c>
      <c r="K338">
        <v>2</v>
      </c>
      <c r="L338">
        <v>35.299999999999997</v>
      </c>
      <c r="P338" t="s">
        <v>106</v>
      </c>
      <c r="Q338" t="s">
        <v>106</v>
      </c>
      <c r="R338" t="s">
        <v>106</v>
      </c>
      <c r="S338" t="s">
        <v>106</v>
      </c>
      <c r="T338" t="s">
        <v>2349</v>
      </c>
      <c r="U338" t="s">
        <v>1591</v>
      </c>
      <c r="V338" t="s">
        <v>106</v>
      </c>
      <c r="W338" t="s">
        <v>373</v>
      </c>
      <c r="X338" t="s">
        <v>106</v>
      </c>
      <c r="Y338" t="s">
        <v>108</v>
      </c>
      <c r="Z338" t="s">
        <v>108</v>
      </c>
      <c r="AA338" t="s">
        <v>1760</v>
      </c>
      <c r="AB338" t="s">
        <v>2350</v>
      </c>
    </row>
    <row r="339" spans="1:28" x14ac:dyDescent="0.3">
      <c r="A339" t="s">
        <v>1361</v>
      </c>
      <c r="B339">
        <v>3</v>
      </c>
      <c r="C339">
        <v>35</v>
      </c>
      <c r="D339">
        <v>30</v>
      </c>
      <c r="E339" t="s">
        <v>128</v>
      </c>
      <c r="F339" s="12">
        <v>45356</v>
      </c>
      <c r="G339" t="s">
        <v>319</v>
      </c>
      <c r="H339" s="12">
        <v>45356</v>
      </c>
      <c r="I339" t="s">
        <v>1424</v>
      </c>
      <c r="J339" t="s">
        <v>1363</v>
      </c>
      <c r="K339">
        <v>2</v>
      </c>
      <c r="L339">
        <v>38.700000000000003</v>
      </c>
      <c r="P339" t="s">
        <v>106</v>
      </c>
      <c r="Q339" t="s">
        <v>106</v>
      </c>
      <c r="R339" t="s">
        <v>106</v>
      </c>
      <c r="S339" t="s">
        <v>106</v>
      </c>
      <c r="T339" t="s">
        <v>632</v>
      </c>
      <c r="U339" t="s">
        <v>430</v>
      </c>
      <c r="V339" t="s">
        <v>106</v>
      </c>
      <c r="W339" t="s">
        <v>373</v>
      </c>
      <c r="X339" t="s">
        <v>106</v>
      </c>
      <c r="Y339" t="s">
        <v>108</v>
      </c>
      <c r="Z339" t="s">
        <v>108</v>
      </c>
      <c r="AA339" t="s">
        <v>1760</v>
      </c>
      <c r="AB339" t="s">
        <v>106</v>
      </c>
    </row>
    <row r="340" spans="1:28" x14ac:dyDescent="0.3">
      <c r="A340" t="s">
        <v>1361</v>
      </c>
      <c r="B340">
        <v>3</v>
      </c>
      <c r="C340">
        <v>35</v>
      </c>
      <c r="D340">
        <v>3</v>
      </c>
      <c r="E340" t="s">
        <v>128</v>
      </c>
      <c r="F340" s="12">
        <v>45356</v>
      </c>
      <c r="G340" t="s">
        <v>788</v>
      </c>
      <c r="H340" s="12">
        <v>45356</v>
      </c>
      <c r="I340" t="s">
        <v>1761</v>
      </c>
      <c r="J340" t="s">
        <v>1363</v>
      </c>
      <c r="K340">
        <v>1</v>
      </c>
      <c r="L340">
        <v>35.5</v>
      </c>
      <c r="P340" t="s">
        <v>106</v>
      </c>
      <c r="Q340" t="s">
        <v>106</v>
      </c>
      <c r="R340" t="s">
        <v>106</v>
      </c>
      <c r="S340" t="s">
        <v>1399</v>
      </c>
      <c r="T340" t="s">
        <v>2351</v>
      </c>
      <c r="U340" t="s">
        <v>361</v>
      </c>
      <c r="V340" t="s">
        <v>106</v>
      </c>
      <c r="W340" t="s">
        <v>521</v>
      </c>
      <c r="X340" t="s">
        <v>106</v>
      </c>
      <c r="Y340" t="s">
        <v>108</v>
      </c>
      <c r="Z340" t="s">
        <v>108</v>
      </c>
      <c r="AA340" t="s">
        <v>1365</v>
      </c>
      <c r="AB340" t="s">
        <v>106</v>
      </c>
    </row>
    <row r="341" spans="1:28" x14ac:dyDescent="0.3">
      <c r="A341" t="s">
        <v>1361</v>
      </c>
      <c r="B341">
        <v>3</v>
      </c>
      <c r="C341">
        <v>35</v>
      </c>
      <c r="D341">
        <v>22</v>
      </c>
      <c r="E341" t="s">
        <v>128</v>
      </c>
      <c r="F341" s="12">
        <v>45356</v>
      </c>
      <c r="G341" t="s">
        <v>839</v>
      </c>
      <c r="H341" s="12">
        <v>45356</v>
      </c>
      <c r="I341" t="s">
        <v>831</v>
      </c>
      <c r="J341" t="s">
        <v>1363</v>
      </c>
      <c r="K341">
        <v>1</v>
      </c>
      <c r="L341">
        <v>37.200000000000003</v>
      </c>
      <c r="P341" t="s">
        <v>106</v>
      </c>
      <c r="Q341" t="s">
        <v>106</v>
      </c>
      <c r="R341" t="s">
        <v>106</v>
      </c>
      <c r="S341" t="s">
        <v>2352</v>
      </c>
      <c r="T341" t="s">
        <v>2318</v>
      </c>
      <c r="U341" t="s">
        <v>1539</v>
      </c>
      <c r="V341" t="s">
        <v>106</v>
      </c>
      <c r="W341" t="s">
        <v>443</v>
      </c>
      <c r="X341" t="s">
        <v>106</v>
      </c>
      <c r="Y341" t="s">
        <v>108</v>
      </c>
      <c r="Z341" t="s">
        <v>108</v>
      </c>
      <c r="AA341" t="s">
        <v>1365</v>
      </c>
      <c r="AB341" t="s">
        <v>106</v>
      </c>
    </row>
    <row r="342" spans="1:28" x14ac:dyDescent="0.3">
      <c r="A342" t="s">
        <v>1361</v>
      </c>
      <c r="B342">
        <v>3</v>
      </c>
      <c r="C342">
        <v>35</v>
      </c>
      <c r="D342">
        <v>14</v>
      </c>
      <c r="E342" t="s">
        <v>128</v>
      </c>
      <c r="F342" s="12">
        <v>45356</v>
      </c>
      <c r="G342" t="s">
        <v>317</v>
      </c>
      <c r="H342" s="12">
        <v>45356</v>
      </c>
      <c r="I342" t="s">
        <v>831</v>
      </c>
      <c r="J342" t="s">
        <v>1363</v>
      </c>
      <c r="K342">
        <v>2</v>
      </c>
      <c r="L342">
        <v>36.6</v>
      </c>
      <c r="P342" t="s">
        <v>106</v>
      </c>
      <c r="Q342" t="s">
        <v>106</v>
      </c>
      <c r="R342" t="s">
        <v>106</v>
      </c>
      <c r="S342" t="s">
        <v>1783</v>
      </c>
      <c r="T342" t="s">
        <v>761</v>
      </c>
      <c r="U342" t="s">
        <v>427</v>
      </c>
      <c r="V342" t="s">
        <v>106</v>
      </c>
      <c r="W342" t="s">
        <v>443</v>
      </c>
      <c r="X342" t="s">
        <v>106</v>
      </c>
      <c r="Y342" t="s">
        <v>108</v>
      </c>
      <c r="Z342" t="s">
        <v>108</v>
      </c>
      <c r="AA342" t="s">
        <v>1365</v>
      </c>
      <c r="AB342" t="s">
        <v>106</v>
      </c>
    </row>
    <row r="343" spans="1:28" x14ac:dyDescent="0.3">
      <c r="A343" t="s">
        <v>1361</v>
      </c>
      <c r="B343">
        <v>3</v>
      </c>
      <c r="C343">
        <v>35</v>
      </c>
      <c r="D343">
        <v>44</v>
      </c>
      <c r="E343" t="s">
        <v>128</v>
      </c>
      <c r="F343" s="12">
        <v>45356</v>
      </c>
      <c r="G343" t="s">
        <v>1767</v>
      </c>
      <c r="H343" s="12">
        <v>45356</v>
      </c>
      <c r="I343" t="s">
        <v>1768</v>
      </c>
      <c r="J343" t="s">
        <v>1363</v>
      </c>
      <c r="K343">
        <v>2</v>
      </c>
      <c r="L343">
        <v>39</v>
      </c>
      <c r="P343" t="s">
        <v>106</v>
      </c>
      <c r="Q343" t="s">
        <v>106</v>
      </c>
      <c r="R343" t="s">
        <v>106</v>
      </c>
      <c r="S343" t="s">
        <v>106</v>
      </c>
      <c r="T343" t="s">
        <v>1720</v>
      </c>
      <c r="U343" t="s">
        <v>429</v>
      </c>
      <c r="V343" t="s">
        <v>106</v>
      </c>
      <c r="W343" t="s">
        <v>443</v>
      </c>
      <c r="X343" t="s">
        <v>106</v>
      </c>
      <c r="Y343" t="s">
        <v>108</v>
      </c>
      <c r="Z343" t="s">
        <v>108</v>
      </c>
      <c r="AA343" t="s">
        <v>1365</v>
      </c>
      <c r="AB343" t="s">
        <v>106</v>
      </c>
    </row>
    <row r="344" spans="1:28" x14ac:dyDescent="0.3">
      <c r="A344" t="s">
        <v>1361</v>
      </c>
      <c r="B344">
        <v>3</v>
      </c>
      <c r="C344">
        <v>35</v>
      </c>
      <c r="D344">
        <v>32</v>
      </c>
      <c r="E344" t="s">
        <v>128</v>
      </c>
      <c r="F344" s="12">
        <v>45356</v>
      </c>
      <c r="G344" t="s">
        <v>1250</v>
      </c>
      <c r="H344" s="12">
        <v>45356</v>
      </c>
      <c r="I344" t="s">
        <v>883</v>
      </c>
      <c r="J344" t="s">
        <v>458</v>
      </c>
      <c r="K344">
        <v>2</v>
      </c>
      <c r="L344">
        <v>38</v>
      </c>
      <c r="P344" t="s">
        <v>106</v>
      </c>
      <c r="Q344" t="s">
        <v>106</v>
      </c>
      <c r="R344" t="s">
        <v>106</v>
      </c>
      <c r="S344" t="s">
        <v>106</v>
      </c>
      <c r="T344" t="s">
        <v>730</v>
      </c>
      <c r="U344" t="s">
        <v>1591</v>
      </c>
      <c r="V344" t="s">
        <v>106</v>
      </c>
      <c r="W344" t="s">
        <v>373</v>
      </c>
      <c r="X344" t="s">
        <v>106</v>
      </c>
      <c r="Y344" t="s">
        <v>108</v>
      </c>
      <c r="Z344" t="s">
        <v>108</v>
      </c>
      <c r="AA344" t="s">
        <v>1760</v>
      </c>
      <c r="AB344" t="s">
        <v>106</v>
      </c>
    </row>
    <row r="345" spans="1:28" x14ac:dyDescent="0.3">
      <c r="A345" t="s">
        <v>1361</v>
      </c>
      <c r="B345">
        <v>3</v>
      </c>
      <c r="C345">
        <v>35</v>
      </c>
      <c r="D345">
        <v>26</v>
      </c>
      <c r="E345" t="s">
        <v>128</v>
      </c>
      <c r="F345" s="12">
        <v>45356</v>
      </c>
      <c r="G345" t="s">
        <v>1376</v>
      </c>
      <c r="H345" s="12">
        <v>45356</v>
      </c>
      <c r="I345" t="s">
        <v>1424</v>
      </c>
      <c r="J345" t="s">
        <v>1363</v>
      </c>
      <c r="K345">
        <v>2</v>
      </c>
      <c r="L345">
        <v>38.5</v>
      </c>
      <c r="P345" t="s">
        <v>106</v>
      </c>
      <c r="Q345" t="s">
        <v>106</v>
      </c>
      <c r="R345" t="s">
        <v>106</v>
      </c>
      <c r="S345" t="s">
        <v>1628</v>
      </c>
      <c r="T345" t="s">
        <v>1764</v>
      </c>
      <c r="U345" t="s">
        <v>427</v>
      </c>
      <c r="V345" t="s">
        <v>106</v>
      </c>
      <c r="W345" t="s">
        <v>373</v>
      </c>
      <c r="X345" t="s">
        <v>106</v>
      </c>
      <c r="Y345" t="s">
        <v>108</v>
      </c>
      <c r="Z345" t="s">
        <v>108</v>
      </c>
      <c r="AA345" t="s">
        <v>1760</v>
      </c>
      <c r="AB345" t="s">
        <v>106</v>
      </c>
    </row>
    <row r="346" spans="1:28" x14ac:dyDescent="0.3">
      <c r="A346" t="s">
        <v>1361</v>
      </c>
      <c r="B346">
        <v>3</v>
      </c>
      <c r="C346">
        <v>35</v>
      </c>
      <c r="D346">
        <v>43</v>
      </c>
      <c r="E346" t="s">
        <v>128</v>
      </c>
      <c r="F346" s="12">
        <v>45356</v>
      </c>
      <c r="G346" t="s">
        <v>1767</v>
      </c>
      <c r="H346" s="12">
        <v>45356</v>
      </c>
      <c r="I346" t="s">
        <v>1768</v>
      </c>
      <c r="J346" t="s">
        <v>1363</v>
      </c>
      <c r="K346">
        <v>2</v>
      </c>
      <c r="L346">
        <v>39.200000000000003</v>
      </c>
      <c r="P346" t="s">
        <v>106</v>
      </c>
      <c r="Q346" t="s">
        <v>106</v>
      </c>
      <c r="R346" t="s">
        <v>106</v>
      </c>
      <c r="S346" t="s">
        <v>106</v>
      </c>
      <c r="T346" t="s">
        <v>1775</v>
      </c>
      <c r="U346" t="s">
        <v>429</v>
      </c>
      <c r="V346" t="s">
        <v>106</v>
      </c>
      <c r="W346" t="s">
        <v>443</v>
      </c>
      <c r="X346" t="s">
        <v>106</v>
      </c>
      <c r="Y346" t="s">
        <v>108</v>
      </c>
      <c r="Z346" t="s">
        <v>108</v>
      </c>
      <c r="AA346" t="s">
        <v>1365</v>
      </c>
      <c r="AB346" t="s">
        <v>106</v>
      </c>
    </row>
    <row r="347" spans="1:28" x14ac:dyDescent="0.3">
      <c r="A347" t="s">
        <v>1361</v>
      </c>
      <c r="B347">
        <v>3</v>
      </c>
      <c r="C347">
        <v>35</v>
      </c>
      <c r="D347">
        <v>13</v>
      </c>
      <c r="E347" t="s">
        <v>128</v>
      </c>
      <c r="F347" s="12">
        <v>45356</v>
      </c>
      <c r="G347" t="s">
        <v>520</v>
      </c>
      <c r="H347" s="12">
        <v>45356</v>
      </c>
      <c r="I347" t="s">
        <v>831</v>
      </c>
      <c r="J347" t="s">
        <v>1363</v>
      </c>
      <c r="K347">
        <v>2</v>
      </c>
      <c r="L347">
        <v>38.4</v>
      </c>
      <c r="P347" t="s">
        <v>106</v>
      </c>
      <c r="Q347" t="s">
        <v>106</v>
      </c>
      <c r="R347" t="s">
        <v>106</v>
      </c>
      <c r="S347" t="s">
        <v>1851</v>
      </c>
      <c r="T347" t="s">
        <v>761</v>
      </c>
      <c r="U347" t="s">
        <v>1418</v>
      </c>
      <c r="V347" t="s">
        <v>106</v>
      </c>
      <c r="W347" t="s">
        <v>443</v>
      </c>
      <c r="X347" t="s">
        <v>106</v>
      </c>
      <c r="Y347" t="s">
        <v>108</v>
      </c>
      <c r="Z347" t="s">
        <v>108</v>
      </c>
      <c r="AA347" t="s">
        <v>1365</v>
      </c>
      <c r="AB347" t="s">
        <v>106</v>
      </c>
    </row>
    <row r="348" spans="1:28" x14ac:dyDescent="0.3">
      <c r="A348" t="s">
        <v>1357</v>
      </c>
      <c r="B348">
        <v>3</v>
      </c>
      <c r="C348">
        <v>35</v>
      </c>
      <c r="D348">
        <v>85</v>
      </c>
      <c r="E348" t="s">
        <v>128</v>
      </c>
      <c r="F348" s="12">
        <v>45356</v>
      </c>
      <c r="G348" t="s">
        <v>2344</v>
      </c>
      <c r="H348" s="12">
        <v>45356</v>
      </c>
      <c r="I348" t="s">
        <v>1333</v>
      </c>
      <c r="J348" t="s">
        <v>1334</v>
      </c>
      <c r="L348">
        <v>37.799999999999997</v>
      </c>
      <c r="P348" t="s">
        <v>106</v>
      </c>
      <c r="Q348" t="s">
        <v>106</v>
      </c>
      <c r="R348" t="s">
        <v>106</v>
      </c>
      <c r="S348" t="s">
        <v>2109</v>
      </c>
      <c r="T348" t="s">
        <v>544</v>
      </c>
      <c r="U348" t="s">
        <v>1985</v>
      </c>
      <c r="V348" t="s">
        <v>106</v>
      </c>
      <c r="W348" t="s">
        <v>443</v>
      </c>
      <c r="X348" t="s">
        <v>106</v>
      </c>
      <c r="Y348" t="s">
        <v>108</v>
      </c>
      <c r="Z348" t="s">
        <v>108</v>
      </c>
      <c r="AA348" t="s">
        <v>1365</v>
      </c>
      <c r="AB348" t="s">
        <v>106</v>
      </c>
    </row>
    <row r="349" spans="1:28" x14ac:dyDescent="0.3">
      <c r="A349" t="s">
        <v>1361</v>
      </c>
      <c r="B349">
        <v>3</v>
      </c>
      <c r="C349">
        <v>35</v>
      </c>
      <c r="D349">
        <v>21</v>
      </c>
      <c r="E349" t="s">
        <v>128</v>
      </c>
      <c r="F349" s="12">
        <v>45356</v>
      </c>
      <c r="G349" t="s">
        <v>697</v>
      </c>
      <c r="H349" s="12">
        <v>45356</v>
      </c>
      <c r="I349" t="s">
        <v>831</v>
      </c>
      <c r="J349" t="s">
        <v>1363</v>
      </c>
      <c r="K349">
        <v>1</v>
      </c>
      <c r="L349">
        <v>37.299999999999997</v>
      </c>
      <c r="P349" t="s">
        <v>106</v>
      </c>
      <c r="Q349" t="s">
        <v>106</v>
      </c>
      <c r="R349" t="s">
        <v>106</v>
      </c>
      <c r="S349" t="s">
        <v>2120</v>
      </c>
      <c r="T349" t="s">
        <v>2318</v>
      </c>
      <c r="U349" t="s">
        <v>1359</v>
      </c>
      <c r="V349" t="s">
        <v>106</v>
      </c>
      <c r="W349" t="s">
        <v>443</v>
      </c>
      <c r="X349" t="s">
        <v>106</v>
      </c>
      <c r="Y349" t="s">
        <v>108</v>
      </c>
      <c r="Z349" t="s">
        <v>108</v>
      </c>
      <c r="AA349" t="s">
        <v>1365</v>
      </c>
      <c r="AB349" t="s">
        <v>106</v>
      </c>
    </row>
    <row r="350" spans="1:28" x14ac:dyDescent="0.3">
      <c r="A350" t="s">
        <v>1361</v>
      </c>
      <c r="B350">
        <v>4</v>
      </c>
      <c r="C350">
        <v>60</v>
      </c>
      <c r="D350">
        <v>7</v>
      </c>
      <c r="E350" t="s">
        <v>128</v>
      </c>
      <c r="F350" s="12">
        <v>45356</v>
      </c>
      <c r="G350" t="s">
        <v>805</v>
      </c>
      <c r="H350" s="12">
        <v>45356</v>
      </c>
      <c r="I350" t="s">
        <v>1761</v>
      </c>
      <c r="J350" t="s">
        <v>1363</v>
      </c>
      <c r="K350">
        <v>1</v>
      </c>
      <c r="L350">
        <v>57.7</v>
      </c>
      <c r="P350" t="s">
        <v>106</v>
      </c>
      <c r="Q350" t="s">
        <v>106</v>
      </c>
      <c r="R350" t="s">
        <v>106</v>
      </c>
      <c r="S350" t="s">
        <v>2646</v>
      </c>
      <c r="T350" t="s">
        <v>692</v>
      </c>
      <c r="U350" t="s">
        <v>429</v>
      </c>
      <c r="V350" t="s">
        <v>106</v>
      </c>
      <c r="W350" t="s">
        <v>443</v>
      </c>
      <c r="X350" t="s">
        <v>106</v>
      </c>
      <c r="Y350" t="s">
        <v>108</v>
      </c>
      <c r="Z350" t="s">
        <v>104</v>
      </c>
      <c r="AA350" t="s">
        <v>1365</v>
      </c>
      <c r="AB350" t="s">
        <v>106</v>
      </c>
    </row>
    <row r="351" spans="1:28" x14ac:dyDescent="0.3">
      <c r="A351" t="s">
        <v>1357</v>
      </c>
      <c r="B351">
        <v>4</v>
      </c>
      <c r="C351">
        <v>60</v>
      </c>
      <c r="D351">
        <v>87</v>
      </c>
      <c r="E351" t="s">
        <v>128</v>
      </c>
      <c r="F351" s="12">
        <v>45356</v>
      </c>
      <c r="G351" t="s">
        <v>862</v>
      </c>
      <c r="H351" s="12">
        <v>45356</v>
      </c>
      <c r="I351" t="s">
        <v>1333</v>
      </c>
      <c r="J351" t="s">
        <v>1334</v>
      </c>
      <c r="L351">
        <v>60.5</v>
      </c>
      <c r="P351" t="s">
        <v>106</v>
      </c>
      <c r="Q351" t="s">
        <v>106</v>
      </c>
      <c r="R351" t="s">
        <v>106</v>
      </c>
      <c r="S351" t="s">
        <v>1753</v>
      </c>
      <c r="T351" t="s">
        <v>2647</v>
      </c>
      <c r="U351" t="s">
        <v>2106</v>
      </c>
      <c r="V351" t="s">
        <v>106</v>
      </c>
      <c r="W351" t="s">
        <v>443</v>
      </c>
      <c r="X351" t="s">
        <v>106</v>
      </c>
      <c r="Y351" t="s">
        <v>108</v>
      </c>
      <c r="Z351" t="s">
        <v>104</v>
      </c>
      <c r="AA351" t="s">
        <v>1365</v>
      </c>
      <c r="AB351" t="s">
        <v>106</v>
      </c>
    </row>
    <row r="352" spans="1:28" x14ac:dyDescent="0.3">
      <c r="A352" t="s">
        <v>1361</v>
      </c>
      <c r="B352">
        <v>4</v>
      </c>
      <c r="C352">
        <v>60</v>
      </c>
      <c r="D352">
        <v>8</v>
      </c>
      <c r="E352" t="s">
        <v>128</v>
      </c>
      <c r="F352" s="12">
        <v>45356</v>
      </c>
      <c r="G352" t="s">
        <v>805</v>
      </c>
      <c r="H352" s="12">
        <v>45356</v>
      </c>
      <c r="I352" t="s">
        <v>1761</v>
      </c>
      <c r="J352" t="s">
        <v>1363</v>
      </c>
      <c r="K352">
        <v>1</v>
      </c>
      <c r="L352">
        <v>58</v>
      </c>
      <c r="P352" t="s">
        <v>106</v>
      </c>
      <c r="Q352" t="s">
        <v>106</v>
      </c>
      <c r="R352" t="s">
        <v>106</v>
      </c>
      <c r="S352" t="s">
        <v>1777</v>
      </c>
      <c r="T352" t="s">
        <v>2648</v>
      </c>
      <c r="U352" t="s">
        <v>1615</v>
      </c>
      <c r="V352" t="s">
        <v>106</v>
      </c>
      <c r="W352" t="s">
        <v>443</v>
      </c>
      <c r="X352" t="s">
        <v>106</v>
      </c>
      <c r="Y352" t="s">
        <v>108</v>
      </c>
      <c r="Z352" t="s">
        <v>104</v>
      </c>
      <c r="AA352" t="s">
        <v>1365</v>
      </c>
      <c r="AB352" t="s">
        <v>106</v>
      </c>
    </row>
    <row r="353" spans="1:28" x14ac:dyDescent="0.3">
      <c r="A353" t="s">
        <v>1361</v>
      </c>
      <c r="B353">
        <v>4</v>
      </c>
      <c r="C353">
        <v>60</v>
      </c>
      <c r="D353">
        <v>15</v>
      </c>
      <c r="E353" t="s">
        <v>128</v>
      </c>
      <c r="F353" s="12">
        <v>45356</v>
      </c>
      <c r="G353" t="s">
        <v>783</v>
      </c>
      <c r="H353" s="12">
        <v>45356</v>
      </c>
      <c r="I353" t="s">
        <v>831</v>
      </c>
      <c r="J353" t="s">
        <v>1363</v>
      </c>
      <c r="K353">
        <v>2</v>
      </c>
      <c r="L353">
        <v>55.6</v>
      </c>
      <c r="P353" t="s">
        <v>106</v>
      </c>
      <c r="Q353" t="s">
        <v>106</v>
      </c>
      <c r="R353" t="s">
        <v>106</v>
      </c>
      <c r="S353" t="s">
        <v>1717</v>
      </c>
      <c r="T353" t="s">
        <v>2649</v>
      </c>
      <c r="U353" t="s">
        <v>1651</v>
      </c>
      <c r="V353" t="s">
        <v>106</v>
      </c>
      <c r="W353" t="s">
        <v>443</v>
      </c>
      <c r="X353" t="s">
        <v>106</v>
      </c>
      <c r="Y353" t="s">
        <v>108</v>
      </c>
      <c r="Z353" t="s">
        <v>104</v>
      </c>
      <c r="AA353" t="s">
        <v>1365</v>
      </c>
      <c r="AB353" t="s">
        <v>106</v>
      </c>
    </row>
    <row r="354" spans="1:28" x14ac:dyDescent="0.3">
      <c r="A354" t="s">
        <v>1361</v>
      </c>
      <c r="B354">
        <v>4</v>
      </c>
      <c r="C354">
        <v>60</v>
      </c>
      <c r="D354">
        <v>19</v>
      </c>
      <c r="E354" t="s">
        <v>128</v>
      </c>
      <c r="F354" s="12">
        <v>45356</v>
      </c>
      <c r="G354" t="s">
        <v>697</v>
      </c>
      <c r="H354" s="12">
        <v>45356</v>
      </c>
      <c r="I354" t="s">
        <v>831</v>
      </c>
      <c r="J354" t="s">
        <v>1363</v>
      </c>
      <c r="K354">
        <v>1</v>
      </c>
      <c r="L354">
        <v>57.3</v>
      </c>
      <c r="P354" t="s">
        <v>106</v>
      </c>
      <c r="Q354" t="s">
        <v>106</v>
      </c>
      <c r="R354" t="s">
        <v>106</v>
      </c>
      <c r="S354" t="s">
        <v>1494</v>
      </c>
      <c r="T354" t="s">
        <v>529</v>
      </c>
      <c r="U354" t="s">
        <v>1482</v>
      </c>
      <c r="V354" t="s">
        <v>106</v>
      </c>
      <c r="W354" t="s">
        <v>443</v>
      </c>
      <c r="X354" t="s">
        <v>106</v>
      </c>
      <c r="Y354" t="s">
        <v>108</v>
      </c>
      <c r="Z354" t="s">
        <v>104</v>
      </c>
      <c r="AA354" t="s">
        <v>1365</v>
      </c>
      <c r="AB354" t="s">
        <v>106</v>
      </c>
    </row>
    <row r="355" spans="1:28" x14ac:dyDescent="0.3">
      <c r="A355" t="s">
        <v>1361</v>
      </c>
      <c r="B355">
        <v>4</v>
      </c>
      <c r="C355">
        <v>60</v>
      </c>
      <c r="D355">
        <v>20</v>
      </c>
      <c r="E355" t="s">
        <v>128</v>
      </c>
      <c r="F355" s="12">
        <v>45356</v>
      </c>
      <c r="G355" t="s">
        <v>697</v>
      </c>
      <c r="H355" s="12">
        <v>45356</v>
      </c>
      <c r="I355" t="s">
        <v>831</v>
      </c>
      <c r="J355" t="s">
        <v>1363</v>
      </c>
      <c r="K355">
        <v>1</v>
      </c>
      <c r="L355">
        <v>57.6</v>
      </c>
      <c r="P355" t="s">
        <v>106</v>
      </c>
      <c r="Q355" t="s">
        <v>106</v>
      </c>
      <c r="R355" t="s">
        <v>106</v>
      </c>
      <c r="S355" t="s">
        <v>1355</v>
      </c>
      <c r="T355" t="s">
        <v>2338</v>
      </c>
      <c r="U355" t="s">
        <v>905</v>
      </c>
      <c r="V355" t="s">
        <v>106</v>
      </c>
      <c r="W355" t="s">
        <v>443</v>
      </c>
      <c r="X355" t="s">
        <v>106</v>
      </c>
      <c r="Y355" t="s">
        <v>108</v>
      </c>
      <c r="Z355" t="s">
        <v>104</v>
      </c>
      <c r="AA355" t="s">
        <v>1365</v>
      </c>
      <c r="AB355" t="s">
        <v>106</v>
      </c>
    </row>
    <row r="356" spans="1:28" x14ac:dyDescent="0.3">
      <c r="A356" t="s">
        <v>1361</v>
      </c>
      <c r="B356">
        <v>4</v>
      </c>
      <c r="C356">
        <v>60</v>
      </c>
      <c r="D356">
        <v>27</v>
      </c>
      <c r="E356" t="s">
        <v>128</v>
      </c>
      <c r="F356" s="12">
        <v>45356</v>
      </c>
      <c r="G356" t="s">
        <v>1376</v>
      </c>
      <c r="H356" s="12">
        <v>45356</v>
      </c>
      <c r="I356" t="s">
        <v>1424</v>
      </c>
      <c r="J356" t="s">
        <v>1363</v>
      </c>
      <c r="K356">
        <v>2</v>
      </c>
      <c r="L356">
        <v>60.8</v>
      </c>
      <c r="P356" t="s">
        <v>106</v>
      </c>
      <c r="Q356" t="s">
        <v>106</v>
      </c>
      <c r="R356" t="s">
        <v>106</v>
      </c>
      <c r="S356" t="s">
        <v>106</v>
      </c>
      <c r="T356" t="s">
        <v>442</v>
      </c>
      <c r="U356" t="s">
        <v>1780</v>
      </c>
      <c r="V356" t="s">
        <v>106</v>
      </c>
      <c r="W356" t="s">
        <v>373</v>
      </c>
      <c r="X356" t="s">
        <v>106</v>
      </c>
      <c r="Y356" t="s">
        <v>108</v>
      </c>
      <c r="Z356" t="s">
        <v>104</v>
      </c>
      <c r="AA356" t="s">
        <v>1760</v>
      </c>
      <c r="AB356" t="s">
        <v>106</v>
      </c>
    </row>
    <row r="357" spans="1:28" x14ac:dyDescent="0.3">
      <c r="A357" t="s">
        <v>1361</v>
      </c>
      <c r="B357">
        <v>4</v>
      </c>
      <c r="C357">
        <v>60</v>
      </c>
      <c r="D357">
        <v>28</v>
      </c>
      <c r="E357" t="s">
        <v>128</v>
      </c>
      <c r="F357" s="12">
        <v>45356</v>
      </c>
      <c r="G357" t="s">
        <v>318</v>
      </c>
      <c r="H357" s="12">
        <v>45356</v>
      </c>
      <c r="I357" t="s">
        <v>1424</v>
      </c>
      <c r="J357" t="s">
        <v>1363</v>
      </c>
      <c r="K357">
        <v>2</v>
      </c>
      <c r="L357">
        <v>61</v>
      </c>
      <c r="P357" t="s">
        <v>106</v>
      </c>
      <c r="Q357" t="s">
        <v>106</v>
      </c>
      <c r="R357" t="s">
        <v>106</v>
      </c>
      <c r="S357" t="s">
        <v>1579</v>
      </c>
      <c r="T357" t="s">
        <v>2650</v>
      </c>
      <c r="U357" t="s">
        <v>904</v>
      </c>
      <c r="V357" t="s">
        <v>106</v>
      </c>
      <c r="W357" t="s">
        <v>373</v>
      </c>
      <c r="X357" t="s">
        <v>106</v>
      </c>
      <c r="Y357" t="s">
        <v>108</v>
      </c>
      <c r="Z357" t="s">
        <v>104</v>
      </c>
      <c r="AA357" t="s">
        <v>1760</v>
      </c>
      <c r="AB357" t="s">
        <v>106</v>
      </c>
    </row>
    <row r="358" spans="1:28" x14ac:dyDescent="0.3">
      <c r="A358" t="s">
        <v>1361</v>
      </c>
      <c r="B358">
        <v>4</v>
      </c>
      <c r="C358">
        <v>60</v>
      </c>
      <c r="D358">
        <v>36</v>
      </c>
      <c r="E358" t="s">
        <v>128</v>
      </c>
      <c r="F358" s="12">
        <v>45356</v>
      </c>
      <c r="G358" t="s">
        <v>371</v>
      </c>
      <c r="H358" s="12">
        <v>45356</v>
      </c>
      <c r="I358" t="s">
        <v>883</v>
      </c>
      <c r="J358" t="s">
        <v>458</v>
      </c>
      <c r="K358">
        <v>2</v>
      </c>
      <c r="L358">
        <v>62.7</v>
      </c>
      <c r="P358" t="s">
        <v>106</v>
      </c>
      <c r="Q358" t="s">
        <v>106</v>
      </c>
      <c r="R358" t="s">
        <v>106</v>
      </c>
      <c r="S358" t="s">
        <v>106</v>
      </c>
      <c r="T358" t="s">
        <v>2651</v>
      </c>
      <c r="U358" t="s">
        <v>1591</v>
      </c>
      <c r="V358" t="s">
        <v>106</v>
      </c>
      <c r="W358" t="s">
        <v>373</v>
      </c>
      <c r="X358" t="s">
        <v>106</v>
      </c>
      <c r="Y358" t="s">
        <v>108</v>
      </c>
      <c r="Z358" t="s">
        <v>104</v>
      </c>
      <c r="AA358" t="s">
        <v>1760</v>
      </c>
      <c r="AB358" t="s">
        <v>106</v>
      </c>
    </row>
    <row r="359" spans="1:28" x14ac:dyDescent="0.3">
      <c r="A359" t="s">
        <v>1361</v>
      </c>
      <c r="B359">
        <v>4</v>
      </c>
      <c r="C359">
        <v>60</v>
      </c>
      <c r="D359">
        <v>37</v>
      </c>
      <c r="E359" t="s">
        <v>128</v>
      </c>
      <c r="F359" s="12">
        <v>45356</v>
      </c>
      <c r="G359" t="s">
        <v>371</v>
      </c>
      <c r="H359" s="12">
        <v>45356</v>
      </c>
      <c r="I359" t="s">
        <v>883</v>
      </c>
      <c r="J359" t="s">
        <v>458</v>
      </c>
      <c r="K359">
        <v>2</v>
      </c>
      <c r="L359">
        <v>61.5</v>
      </c>
      <c r="P359" t="s">
        <v>106</v>
      </c>
      <c r="Q359" t="s">
        <v>106</v>
      </c>
      <c r="R359" t="s">
        <v>106</v>
      </c>
      <c r="S359" t="s">
        <v>106</v>
      </c>
      <c r="T359" t="s">
        <v>1756</v>
      </c>
      <c r="U359" t="s">
        <v>430</v>
      </c>
      <c r="V359" t="s">
        <v>106</v>
      </c>
      <c r="W359" t="s">
        <v>373</v>
      </c>
      <c r="X359" t="s">
        <v>106</v>
      </c>
      <c r="Y359" t="s">
        <v>108</v>
      </c>
      <c r="Z359" t="s">
        <v>104</v>
      </c>
      <c r="AA359" t="s">
        <v>1760</v>
      </c>
      <c r="AB359" t="s">
        <v>106</v>
      </c>
    </row>
    <row r="360" spans="1:28" x14ac:dyDescent="0.3">
      <c r="A360" t="s">
        <v>1361</v>
      </c>
      <c r="B360">
        <v>4</v>
      </c>
      <c r="C360">
        <v>60</v>
      </c>
      <c r="D360">
        <v>40</v>
      </c>
      <c r="E360" t="s">
        <v>308</v>
      </c>
      <c r="F360" s="12">
        <v>45356</v>
      </c>
      <c r="G360" t="s">
        <v>2348</v>
      </c>
      <c r="H360" s="12" t="s">
        <v>106</v>
      </c>
      <c r="I360" t="s">
        <v>106</v>
      </c>
      <c r="J360" t="s">
        <v>106</v>
      </c>
      <c r="L360">
        <v>57.7</v>
      </c>
      <c r="P360" t="s">
        <v>106</v>
      </c>
      <c r="Q360" t="s">
        <v>106</v>
      </c>
      <c r="R360" t="s">
        <v>106</v>
      </c>
      <c r="S360" t="s">
        <v>106</v>
      </c>
      <c r="T360" t="s">
        <v>1105</v>
      </c>
      <c r="U360" t="s">
        <v>106</v>
      </c>
      <c r="V360" t="s">
        <v>106</v>
      </c>
      <c r="W360" t="s">
        <v>443</v>
      </c>
      <c r="X360" t="s">
        <v>106</v>
      </c>
      <c r="Y360" t="s">
        <v>108</v>
      </c>
      <c r="Z360" t="s">
        <v>104</v>
      </c>
      <c r="AA360" t="s">
        <v>1365</v>
      </c>
      <c r="AB360" t="s">
        <v>106</v>
      </c>
    </row>
    <row r="361" spans="1:28" x14ac:dyDescent="0.3">
      <c r="A361" t="s">
        <v>1361</v>
      </c>
      <c r="B361">
        <v>4</v>
      </c>
      <c r="C361">
        <v>60</v>
      </c>
      <c r="D361">
        <v>45</v>
      </c>
      <c r="E361" t="s">
        <v>128</v>
      </c>
      <c r="F361" s="12">
        <v>45356</v>
      </c>
      <c r="G361" t="s">
        <v>2652</v>
      </c>
      <c r="H361" s="12">
        <v>45356</v>
      </c>
      <c r="I361" t="s">
        <v>1768</v>
      </c>
      <c r="J361" t="s">
        <v>1363</v>
      </c>
      <c r="K361">
        <v>2</v>
      </c>
      <c r="L361">
        <v>60.5</v>
      </c>
      <c r="P361" t="s">
        <v>106</v>
      </c>
      <c r="Q361" t="s">
        <v>106</v>
      </c>
      <c r="R361" t="s">
        <v>106</v>
      </c>
      <c r="S361" t="s">
        <v>106</v>
      </c>
      <c r="T361" t="s">
        <v>2317</v>
      </c>
      <c r="U361" t="s">
        <v>1651</v>
      </c>
      <c r="V361" t="s">
        <v>106</v>
      </c>
      <c r="W361" t="s">
        <v>443</v>
      </c>
      <c r="X361" t="s">
        <v>106</v>
      </c>
      <c r="Y361" t="s">
        <v>108</v>
      </c>
      <c r="Z361" t="s">
        <v>104</v>
      </c>
      <c r="AA361" t="s">
        <v>1365</v>
      </c>
      <c r="AB361" t="s">
        <v>106</v>
      </c>
    </row>
    <row r="362" spans="1:28" x14ac:dyDescent="0.3">
      <c r="A362" t="s">
        <v>1361</v>
      </c>
      <c r="B362">
        <v>4</v>
      </c>
      <c r="C362">
        <v>60</v>
      </c>
      <c r="D362">
        <v>16</v>
      </c>
      <c r="E362" t="s">
        <v>128</v>
      </c>
      <c r="F362" s="12">
        <v>45356</v>
      </c>
      <c r="G362" t="s">
        <v>783</v>
      </c>
      <c r="H362" s="12">
        <v>45356</v>
      </c>
      <c r="I362" t="s">
        <v>831</v>
      </c>
      <c r="J362" t="s">
        <v>1363</v>
      </c>
      <c r="K362">
        <v>2</v>
      </c>
      <c r="L362">
        <v>60.8</v>
      </c>
      <c r="P362" t="s">
        <v>106</v>
      </c>
      <c r="Q362" t="s">
        <v>106</v>
      </c>
      <c r="R362" t="s">
        <v>106</v>
      </c>
      <c r="S362" t="s">
        <v>2243</v>
      </c>
      <c r="T362" t="s">
        <v>2649</v>
      </c>
      <c r="U362" t="s">
        <v>427</v>
      </c>
      <c r="V362" t="s">
        <v>106</v>
      </c>
      <c r="W362" t="s">
        <v>443</v>
      </c>
      <c r="X362" t="s">
        <v>106</v>
      </c>
      <c r="Y362" t="s">
        <v>108</v>
      </c>
      <c r="Z362" t="s">
        <v>104</v>
      </c>
      <c r="AA362" t="s">
        <v>1365</v>
      </c>
      <c r="AB362" t="s">
        <v>106</v>
      </c>
    </row>
    <row r="363" spans="1:28" x14ac:dyDescent="0.3">
      <c r="A363" t="s">
        <v>1357</v>
      </c>
      <c r="B363">
        <v>4</v>
      </c>
      <c r="C363">
        <v>60</v>
      </c>
      <c r="D363">
        <v>86</v>
      </c>
      <c r="E363" t="s">
        <v>128</v>
      </c>
      <c r="F363" s="12">
        <v>45356</v>
      </c>
      <c r="G363" t="s">
        <v>862</v>
      </c>
      <c r="H363" s="12">
        <v>45356</v>
      </c>
      <c r="I363" t="s">
        <v>1333</v>
      </c>
      <c r="J363" t="s">
        <v>1334</v>
      </c>
      <c r="L363">
        <v>63</v>
      </c>
      <c r="P363" t="s">
        <v>106</v>
      </c>
      <c r="Q363" t="s">
        <v>106</v>
      </c>
      <c r="R363" t="s">
        <v>106</v>
      </c>
      <c r="S363" t="s">
        <v>1197</v>
      </c>
      <c r="T363" t="s">
        <v>889</v>
      </c>
      <c r="U363" t="s">
        <v>1738</v>
      </c>
      <c r="V363" t="s">
        <v>106</v>
      </c>
      <c r="W363" t="s">
        <v>443</v>
      </c>
      <c r="X363" t="s">
        <v>106</v>
      </c>
      <c r="Y363" t="s">
        <v>108</v>
      </c>
      <c r="Z363" t="s">
        <v>104</v>
      </c>
      <c r="AA363" t="s">
        <v>1365</v>
      </c>
      <c r="AB363" t="s">
        <v>106</v>
      </c>
    </row>
    <row r="364" spans="1:28" x14ac:dyDescent="0.3">
      <c r="A364" t="s">
        <v>1366</v>
      </c>
      <c r="B364">
        <v>1</v>
      </c>
      <c r="C364">
        <v>0</v>
      </c>
      <c r="D364">
        <v>13</v>
      </c>
      <c r="E364" t="s">
        <v>110</v>
      </c>
      <c r="F364" s="12">
        <v>45366</v>
      </c>
      <c r="G364" t="s">
        <v>1118</v>
      </c>
      <c r="H364" s="12">
        <v>45366</v>
      </c>
      <c r="I364" t="s">
        <v>320</v>
      </c>
      <c r="J364" t="s">
        <v>425</v>
      </c>
      <c r="L364">
        <v>0</v>
      </c>
      <c r="P364" t="s">
        <v>106</v>
      </c>
      <c r="Q364" t="s">
        <v>106</v>
      </c>
      <c r="R364" t="s">
        <v>106</v>
      </c>
      <c r="S364" t="s">
        <v>1367</v>
      </c>
      <c r="T364" t="s">
        <v>1368</v>
      </c>
      <c r="U364" t="s">
        <v>106</v>
      </c>
      <c r="V364" t="s">
        <v>106</v>
      </c>
      <c r="W364" t="s">
        <v>443</v>
      </c>
      <c r="X364" t="s">
        <v>106</v>
      </c>
      <c r="Y364" t="s">
        <v>108</v>
      </c>
      <c r="Z364" t="s">
        <v>105</v>
      </c>
      <c r="AA364" t="s">
        <v>1316</v>
      </c>
      <c r="AB364" t="s">
        <v>106</v>
      </c>
    </row>
    <row r="365" spans="1:28" x14ac:dyDescent="0.3">
      <c r="A365" t="s">
        <v>1366</v>
      </c>
      <c r="B365">
        <v>1</v>
      </c>
      <c r="C365">
        <v>0</v>
      </c>
      <c r="D365">
        <v>14</v>
      </c>
      <c r="E365" t="s">
        <v>110</v>
      </c>
      <c r="F365" s="12">
        <v>45366</v>
      </c>
      <c r="G365" t="s">
        <v>1118</v>
      </c>
      <c r="H365" s="12">
        <v>45366</v>
      </c>
      <c r="I365" t="s">
        <v>320</v>
      </c>
      <c r="J365" t="s">
        <v>425</v>
      </c>
      <c r="L365">
        <v>0</v>
      </c>
      <c r="P365" t="s">
        <v>106</v>
      </c>
      <c r="Q365" t="s">
        <v>106</v>
      </c>
      <c r="R365" t="s">
        <v>106</v>
      </c>
      <c r="S365" t="s">
        <v>106</v>
      </c>
      <c r="T365" t="s">
        <v>688</v>
      </c>
      <c r="U365" t="s">
        <v>106</v>
      </c>
      <c r="V365" t="s">
        <v>106</v>
      </c>
      <c r="W365" t="s">
        <v>443</v>
      </c>
      <c r="X365" t="s">
        <v>106</v>
      </c>
      <c r="Y365" t="s">
        <v>108</v>
      </c>
      <c r="Z365" t="s">
        <v>105</v>
      </c>
      <c r="AA365" t="s">
        <v>1316</v>
      </c>
      <c r="AB365" t="s">
        <v>106</v>
      </c>
    </row>
    <row r="366" spans="1:28" x14ac:dyDescent="0.3">
      <c r="A366" t="s">
        <v>1366</v>
      </c>
      <c r="B366">
        <v>2</v>
      </c>
      <c r="C366">
        <v>15</v>
      </c>
      <c r="D366">
        <v>10</v>
      </c>
      <c r="E366" t="s">
        <v>308</v>
      </c>
      <c r="F366" s="12">
        <v>45366</v>
      </c>
      <c r="G366" t="s">
        <v>321</v>
      </c>
      <c r="H366" s="12" t="s">
        <v>106</v>
      </c>
      <c r="I366" t="s">
        <v>106</v>
      </c>
      <c r="J366" t="s">
        <v>106</v>
      </c>
      <c r="L366">
        <v>16.399999999999999</v>
      </c>
      <c r="P366" t="s">
        <v>106</v>
      </c>
      <c r="Q366" t="s">
        <v>106</v>
      </c>
      <c r="R366" t="s">
        <v>106</v>
      </c>
      <c r="S366" t="s">
        <v>106</v>
      </c>
      <c r="T366" t="s">
        <v>1565</v>
      </c>
      <c r="U366" t="s">
        <v>106</v>
      </c>
      <c r="V366" t="s">
        <v>106</v>
      </c>
      <c r="W366" t="s">
        <v>443</v>
      </c>
      <c r="X366" t="s">
        <v>106</v>
      </c>
      <c r="Y366" t="s">
        <v>108</v>
      </c>
      <c r="Z366" t="s">
        <v>109</v>
      </c>
      <c r="AA366" t="s">
        <v>1781</v>
      </c>
      <c r="AB366" t="s">
        <v>106</v>
      </c>
    </row>
    <row r="367" spans="1:28" x14ac:dyDescent="0.3">
      <c r="A367" t="s">
        <v>1366</v>
      </c>
      <c r="B367">
        <v>2</v>
      </c>
      <c r="C367">
        <v>15</v>
      </c>
      <c r="D367">
        <v>3</v>
      </c>
      <c r="E367" t="s">
        <v>110</v>
      </c>
      <c r="F367" s="12">
        <v>45366</v>
      </c>
      <c r="G367" t="s">
        <v>1782</v>
      </c>
      <c r="H367" s="12">
        <v>45366</v>
      </c>
      <c r="I367" t="s">
        <v>320</v>
      </c>
      <c r="J367" t="s">
        <v>425</v>
      </c>
      <c r="L367">
        <v>16.3</v>
      </c>
      <c r="P367" t="s">
        <v>106</v>
      </c>
      <c r="Q367" t="s">
        <v>106</v>
      </c>
      <c r="R367" t="s">
        <v>106</v>
      </c>
      <c r="S367" t="s">
        <v>106</v>
      </c>
      <c r="T367" t="s">
        <v>1617</v>
      </c>
      <c r="U367" t="s">
        <v>106</v>
      </c>
      <c r="V367" t="s">
        <v>106</v>
      </c>
      <c r="W367" t="s">
        <v>443</v>
      </c>
      <c r="X367" t="s">
        <v>106</v>
      </c>
      <c r="Y367" t="s">
        <v>108</v>
      </c>
      <c r="Z367" t="s">
        <v>109</v>
      </c>
      <c r="AA367" t="s">
        <v>1781</v>
      </c>
      <c r="AB367" t="s">
        <v>106</v>
      </c>
    </row>
    <row r="368" spans="1:28" x14ac:dyDescent="0.3">
      <c r="A368" t="s">
        <v>1366</v>
      </c>
      <c r="B368">
        <v>2</v>
      </c>
      <c r="C368">
        <v>15</v>
      </c>
      <c r="D368">
        <v>2</v>
      </c>
      <c r="E368" t="s">
        <v>110</v>
      </c>
      <c r="F368" s="12">
        <v>45366</v>
      </c>
      <c r="G368" t="s">
        <v>1782</v>
      </c>
      <c r="H368" s="12">
        <v>45366</v>
      </c>
      <c r="I368" t="s">
        <v>320</v>
      </c>
      <c r="J368" t="s">
        <v>425</v>
      </c>
      <c r="L368">
        <v>16.3</v>
      </c>
      <c r="P368" t="s">
        <v>106</v>
      </c>
      <c r="Q368" t="s">
        <v>106</v>
      </c>
      <c r="R368" t="s">
        <v>106</v>
      </c>
      <c r="S368" t="s">
        <v>106</v>
      </c>
      <c r="T368" t="s">
        <v>109</v>
      </c>
      <c r="U368" t="s">
        <v>106</v>
      </c>
      <c r="V368" t="s">
        <v>106</v>
      </c>
      <c r="W368" t="s">
        <v>443</v>
      </c>
      <c r="X368" t="s">
        <v>106</v>
      </c>
      <c r="Y368" t="s">
        <v>108</v>
      </c>
      <c r="Z368" t="s">
        <v>109</v>
      </c>
      <c r="AA368" t="s">
        <v>1781</v>
      </c>
      <c r="AB368" t="s">
        <v>106</v>
      </c>
    </row>
    <row r="369" spans="1:28" x14ac:dyDescent="0.3">
      <c r="A369" t="s">
        <v>1366</v>
      </c>
      <c r="B369">
        <v>2</v>
      </c>
      <c r="C369">
        <v>15</v>
      </c>
      <c r="D369">
        <v>1</v>
      </c>
      <c r="E369" t="s">
        <v>110</v>
      </c>
      <c r="F369" s="12">
        <v>45366</v>
      </c>
      <c r="G369" t="s">
        <v>370</v>
      </c>
      <c r="H369" s="12">
        <v>45366</v>
      </c>
      <c r="I369" t="s">
        <v>320</v>
      </c>
      <c r="J369" t="s">
        <v>425</v>
      </c>
      <c r="L369">
        <v>15.2</v>
      </c>
      <c r="P369" t="s">
        <v>106</v>
      </c>
      <c r="Q369" t="s">
        <v>106</v>
      </c>
      <c r="R369" t="s">
        <v>106</v>
      </c>
      <c r="S369" t="s">
        <v>1783</v>
      </c>
      <c r="T369" t="s">
        <v>1097</v>
      </c>
      <c r="U369" t="s">
        <v>106</v>
      </c>
      <c r="V369" t="s">
        <v>106</v>
      </c>
      <c r="W369" t="s">
        <v>443</v>
      </c>
      <c r="X369" t="s">
        <v>106</v>
      </c>
      <c r="Y369" t="s">
        <v>108</v>
      </c>
      <c r="Z369" t="s">
        <v>109</v>
      </c>
      <c r="AA369" t="s">
        <v>1781</v>
      </c>
      <c r="AB369" t="s">
        <v>106</v>
      </c>
    </row>
    <row r="370" spans="1:28" x14ac:dyDescent="0.3">
      <c r="A370" t="s">
        <v>1366</v>
      </c>
      <c r="B370">
        <v>3</v>
      </c>
      <c r="C370">
        <v>35</v>
      </c>
      <c r="D370">
        <v>6</v>
      </c>
      <c r="E370" t="s">
        <v>110</v>
      </c>
      <c r="F370" s="12">
        <v>45366</v>
      </c>
      <c r="G370" t="s">
        <v>1957</v>
      </c>
      <c r="H370" s="12">
        <v>45366</v>
      </c>
      <c r="I370" t="s">
        <v>320</v>
      </c>
      <c r="J370" t="s">
        <v>425</v>
      </c>
      <c r="L370">
        <v>34.200000000000003</v>
      </c>
      <c r="P370" t="s">
        <v>106</v>
      </c>
      <c r="Q370" t="s">
        <v>106</v>
      </c>
      <c r="R370" t="s">
        <v>106</v>
      </c>
      <c r="S370" t="s">
        <v>106</v>
      </c>
      <c r="T370" t="s">
        <v>989</v>
      </c>
      <c r="U370" t="s">
        <v>106</v>
      </c>
      <c r="V370" t="s">
        <v>106</v>
      </c>
      <c r="W370" t="s">
        <v>443</v>
      </c>
      <c r="X370" t="s">
        <v>106</v>
      </c>
      <c r="Y370" t="s">
        <v>108</v>
      </c>
      <c r="Z370" t="s">
        <v>108</v>
      </c>
      <c r="AA370" t="s">
        <v>1781</v>
      </c>
      <c r="AB370" t="s">
        <v>106</v>
      </c>
    </row>
    <row r="371" spans="1:28" x14ac:dyDescent="0.3">
      <c r="A371" t="s">
        <v>1366</v>
      </c>
      <c r="B371">
        <v>3</v>
      </c>
      <c r="C371">
        <v>35</v>
      </c>
      <c r="D371">
        <v>4</v>
      </c>
      <c r="E371" t="s">
        <v>110</v>
      </c>
      <c r="F371" s="12">
        <v>45366</v>
      </c>
      <c r="G371" t="s">
        <v>1782</v>
      </c>
      <c r="H371" s="12">
        <v>45366</v>
      </c>
      <c r="I371" t="s">
        <v>320</v>
      </c>
      <c r="J371" t="s">
        <v>425</v>
      </c>
      <c r="L371">
        <v>36.6</v>
      </c>
      <c r="P371" t="s">
        <v>106</v>
      </c>
      <c r="Q371" t="s">
        <v>106</v>
      </c>
      <c r="R371" t="s">
        <v>106</v>
      </c>
      <c r="S371" t="s">
        <v>106</v>
      </c>
      <c r="T371" t="s">
        <v>1046</v>
      </c>
      <c r="U371" t="s">
        <v>106</v>
      </c>
      <c r="V371" t="s">
        <v>106</v>
      </c>
      <c r="W371" t="s">
        <v>443</v>
      </c>
      <c r="X371" t="s">
        <v>106</v>
      </c>
      <c r="Y371" t="s">
        <v>108</v>
      </c>
      <c r="Z371" t="s">
        <v>108</v>
      </c>
      <c r="AA371" t="s">
        <v>1781</v>
      </c>
      <c r="AB371" t="s">
        <v>106</v>
      </c>
    </row>
    <row r="372" spans="1:28" x14ac:dyDescent="0.3">
      <c r="A372" t="s">
        <v>1366</v>
      </c>
      <c r="B372">
        <v>3</v>
      </c>
      <c r="C372">
        <v>35</v>
      </c>
      <c r="D372">
        <v>5</v>
      </c>
      <c r="E372" t="s">
        <v>110</v>
      </c>
      <c r="F372" s="12">
        <v>45366</v>
      </c>
      <c r="G372" t="s">
        <v>1782</v>
      </c>
      <c r="H372" s="12">
        <v>45366</v>
      </c>
      <c r="I372" t="s">
        <v>320</v>
      </c>
      <c r="J372" t="s">
        <v>425</v>
      </c>
      <c r="L372">
        <v>37</v>
      </c>
      <c r="P372" t="s">
        <v>106</v>
      </c>
      <c r="Q372" t="s">
        <v>106</v>
      </c>
      <c r="R372" t="s">
        <v>106</v>
      </c>
      <c r="S372" t="s">
        <v>2109</v>
      </c>
      <c r="T372" t="s">
        <v>1057</v>
      </c>
      <c r="U372" t="s">
        <v>106</v>
      </c>
      <c r="V372" t="s">
        <v>106</v>
      </c>
      <c r="W372" t="s">
        <v>443</v>
      </c>
      <c r="X372" t="s">
        <v>106</v>
      </c>
      <c r="Y372" t="s">
        <v>108</v>
      </c>
      <c r="Z372" t="s">
        <v>108</v>
      </c>
      <c r="AA372" t="s">
        <v>1781</v>
      </c>
      <c r="AB372" t="s">
        <v>106</v>
      </c>
    </row>
    <row r="373" spans="1:28" x14ac:dyDescent="0.3">
      <c r="A373" t="s">
        <v>1366</v>
      </c>
      <c r="B373">
        <v>3</v>
      </c>
      <c r="C373">
        <v>35</v>
      </c>
      <c r="D373">
        <v>11</v>
      </c>
      <c r="E373" t="s">
        <v>308</v>
      </c>
      <c r="F373" s="12">
        <v>45366</v>
      </c>
      <c r="G373" t="s">
        <v>321</v>
      </c>
      <c r="H373" s="12" t="s">
        <v>106</v>
      </c>
      <c r="I373" t="s">
        <v>106</v>
      </c>
      <c r="J373" t="s">
        <v>106</v>
      </c>
      <c r="L373">
        <v>37.799999999999997</v>
      </c>
      <c r="P373" t="s">
        <v>106</v>
      </c>
      <c r="Q373" t="s">
        <v>106</v>
      </c>
      <c r="R373" t="s">
        <v>106</v>
      </c>
      <c r="S373" t="s">
        <v>106</v>
      </c>
      <c r="T373" t="s">
        <v>1223</v>
      </c>
      <c r="U373" t="s">
        <v>106</v>
      </c>
      <c r="V373" t="s">
        <v>106</v>
      </c>
      <c r="W373" t="s">
        <v>443</v>
      </c>
      <c r="X373" t="s">
        <v>106</v>
      </c>
      <c r="Y373" t="s">
        <v>108</v>
      </c>
      <c r="Z373" t="s">
        <v>108</v>
      </c>
      <c r="AA373" t="s">
        <v>1781</v>
      </c>
      <c r="AB373" t="s">
        <v>106</v>
      </c>
    </row>
    <row r="374" spans="1:28" x14ac:dyDescent="0.3">
      <c r="A374" t="s">
        <v>1366</v>
      </c>
      <c r="B374">
        <v>4</v>
      </c>
      <c r="C374">
        <v>60</v>
      </c>
      <c r="D374">
        <v>9</v>
      </c>
      <c r="E374" t="s">
        <v>110</v>
      </c>
      <c r="F374" s="12">
        <v>45366</v>
      </c>
      <c r="G374" t="s">
        <v>1957</v>
      </c>
      <c r="H374" s="12">
        <v>45366</v>
      </c>
      <c r="I374" t="s">
        <v>320</v>
      </c>
      <c r="J374" t="s">
        <v>425</v>
      </c>
      <c r="L374">
        <v>58.9</v>
      </c>
      <c r="P374" t="s">
        <v>106</v>
      </c>
      <c r="Q374" t="s">
        <v>106</v>
      </c>
      <c r="R374" t="s">
        <v>106</v>
      </c>
      <c r="S374" t="s">
        <v>106</v>
      </c>
      <c r="T374" t="s">
        <v>1000</v>
      </c>
      <c r="U374" t="s">
        <v>106</v>
      </c>
      <c r="V374" t="s">
        <v>106</v>
      </c>
      <c r="W374" t="s">
        <v>443</v>
      </c>
      <c r="X374" t="s">
        <v>106</v>
      </c>
      <c r="Y374" t="s">
        <v>108</v>
      </c>
      <c r="Z374" t="s">
        <v>104</v>
      </c>
      <c r="AA374" t="s">
        <v>1781</v>
      </c>
      <c r="AB374" t="s">
        <v>106</v>
      </c>
    </row>
    <row r="375" spans="1:28" x14ac:dyDescent="0.3">
      <c r="A375" t="s">
        <v>1366</v>
      </c>
      <c r="B375">
        <v>4</v>
      </c>
      <c r="C375">
        <v>60</v>
      </c>
      <c r="D375">
        <v>12</v>
      </c>
      <c r="E375" t="s">
        <v>308</v>
      </c>
      <c r="F375" s="12">
        <v>45366</v>
      </c>
      <c r="G375" t="s">
        <v>322</v>
      </c>
      <c r="H375" s="12" t="s">
        <v>106</v>
      </c>
      <c r="I375" t="s">
        <v>106</v>
      </c>
      <c r="J375" t="s">
        <v>106</v>
      </c>
      <c r="L375">
        <v>61.4</v>
      </c>
      <c r="P375" t="s">
        <v>106</v>
      </c>
      <c r="Q375" t="s">
        <v>106</v>
      </c>
      <c r="R375" t="s">
        <v>106</v>
      </c>
      <c r="S375" t="s">
        <v>106</v>
      </c>
      <c r="T375" t="s">
        <v>1555</v>
      </c>
      <c r="U375" t="s">
        <v>106</v>
      </c>
      <c r="V375" t="s">
        <v>106</v>
      </c>
      <c r="W375" t="s">
        <v>443</v>
      </c>
      <c r="X375" t="s">
        <v>106</v>
      </c>
      <c r="Y375" t="s">
        <v>108</v>
      </c>
      <c r="Z375" t="s">
        <v>104</v>
      </c>
      <c r="AA375" t="s">
        <v>1781</v>
      </c>
      <c r="AB375" t="s">
        <v>106</v>
      </c>
    </row>
    <row r="376" spans="1:28" x14ac:dyDescent="0.3">
      <c r="A376" t="s">
        <v>1366</v>
      </c>
      <c r="B376">
        <v>4</v>
      </c>
      <c r="C376">
        <v>60</v>
      </c>
      <c r="D376">
        <v>8</v>
      </c>
      <c r="E376" t="s">
        <v>128</v>
      </c>
      <c r="F376" s="12">
        <v>45366</v>
      </c>
      <c r="G376" t="s">
        <v>1957</v>
      </c>
      <c r="H376" s="12">
        <v>45366</v>
      </c>
      <c r="I376" t="s">
        <v>320</v>
      </c>
      <c r="J376" t="s">
        <v>425</v>
      </c>
      <c r="L376">
        <v>60.4</v>
      </c>
      <c r="P376" t="s">
        <v>106</v>
      </c>
      <c r="Q376" t="s">
        <v>106</v>
      </c>
      <c r="R376" t="s">
        <v>106</v>
      </c>
      <c r="S376" t="s">
        <v>1488</v>
      </c>
      <c r="T376" t="s">
        <v>1214</v>
      </c>
      <c r="U376" t="s">
        <v>106</v>
      </c>
      <c r="V376" t="s">
        <v>106</v>
      </c>
      <c r="W376" t="s">
        <v>443</v>
      </c>
      <c r="X376" t="s">
        <v>106</v>
      </c>
      <c r="Y376" t="s">
        <v>108</v>
      </c>
      <c r="Z376" t="s">
        <v>104</v>
      </c>
      <c r="AA376" t="s">
        <v>1781</v>
      </c>
      <c r="AB376" t="s">
        <v>106</v>
      </c>
    </row>
    <row r="377" spans="1:28" x14ac:dyDescent="0.3">
      <c r="A377" t="s">
        <v>1366</v>
      </c>
      <c r="B377">
        <v>4</v>
      </c>
      <c r="C377">
        <v>60</v>
      </c>
      <c r="D377">
        <v>7</v>
      </c>
      <c r="E377" t="s">
        <v>128</v>
      </c>
      <c r="F377" s="12">
        <v>45366</v>
      </c>
      <c r="G377" t="s">
        <v>1957</v>
      </c>
      <c r="H377" s="12">
        <v>45366</v>
      </c>
      <c r="I377" t="s">
        <v>320</v>
      </c>
      <c r="J377" t="s">
        <v>425</v>
      </c>
      <c r="L377">
        <v>60.1</v>
      </c>
      <c r="P377" t="s">
        <v>106</v>
      </c>
      <c r="Q377" t="s">
        <v>106</v>
      </c>
      <c r="R377" t="s">
        <v>106</v>
      </c>
      <c r="S377" t="s">
        <v>106</v>
      </c>
      <c r="T377" t="s">
        <v>1585</v>
      </c>
      <c r="U377" t="s">
        <v>106</v>
      </c>
      <c r="V377" t="s">
        <v>106</v>
      </c>
      <c r="W377" t="s">
        <v>443</v>
      </c>
      <c r="X377" t="s">
        <v>106</v>
      </c>
      <c r="Y377" t="s">
        <v>108</v>
      </c>
      <c r="Z377" t="s">
        <v>104</v>
      </c>
      <c r="AA377" t="s">
        <v>1781</v>
      </c>
      <c r="AB377" t="s">
        <v>106</v>
      </c>
    </row>
    <row r="378" spans="1:28" x14ac:dyDescent="0.3">
      <c r="A378" t="s">
        <v>1369</v>
      </c>
      <c r="B378">
        <v>1</v>
      </c>
      <c r="C378">
        <v>0</v>
      </c>
      <c r="D378">
        <v>12</v>
      </c>
      <c r="E378" t="s">
        <v>110</v>
      </c>
      <c r="F378" s="12">
        <v>45371</v>
      </c>
      <c r="G378" t="s">
        <v>1370</v>
      </c>
      <c r="H378" s="12">
        <v>45371</v>
      </c>
      <c r="I378" t="s">
        <v>1371</v>
      </c>
      <c r="J378" t="s">
        <v>1343</v>
      </c>
      <c r="L378">
        <v>0</v>
      </c>
      <c r="P378" t="s">
        <v>106</v>
      </c>
      <c r="Q378" t="s">
        <v>106</v>
      </c>
      <c r="R378" t="s">
        <v>106</v>
      </c>
      <c r="S378" t="s">
        <v>106</v>
      </c>
      <c r="T378" t="s">
        <v>1372</v>
      </c>
      <c r="U378" t="s">
        <v>106</v>
      </c>
      <c r="V378" t="s">
        <v>106</v>
      </c>
      <c r="W378" t="s">
        <v>373</v>
      </c>
      <c r="X378" t="s">
        <v>106</v>
      </c>
      <c r="Y378" t="s">
        <v>108</v>
      </c>
      <c r="Z378" t="s">
        <v>105</v>
      </c>
      <c r="AA378" t="s">
        <v>1316</v>
      </c>
      <c r="AB378" t="s">
        <v>106</v>
      </c>
    </row>
    <row r="379" spans="1:28" x14ac:dyDescent="0.3">
      <c r="A379" t="s">
        <v>1369</v>
      </c>
      <c r="B379">
        <v>1</v>
      </c>
      <c r="C379">
        <v>0</v>
      </c>
      <c r="D379">
        <v>11</v>
      </c>
      <c r="E379" t="s">
        <v>110</v>
      </c>
      <c r="F379" s="12">
        <v>45371</v>
      </c>
      <c r="G379" t="s">
        <v>1370</v>
      </c>
      <c r="H379" s="12">
        <v>45371</v>
      </c>
      <c r="I379" t="s">
        <v>1371</v>
      </c>
      <c r="J379" t="s">
        <v>1343</v>
      </c>
      <c r="L379">
        <v>0</v>
      </c>
      <c r="P379" t="s">
        <v>106</v>
      </c>
      <c r="Q379" t="s">
        <v>106</v>
      </c>
      <c r="R379" t="s">
        <v>106</v>
      </c>
      <c r="S379" t="s">
        <v>1373</v>
      </c>
      <c r="T379" t="s">
        <v>1108</v>
      </c>
      <c r="U379" t="s">
        <v>106</v>
      </c>
      <c r="V379" t="s">
        <v>106</v>
      </c>
      <c r="W379" t="s">
        <v>373</v>
      </c>
      <c r="X379" t="s">
        <v>106</v>
      </c>
      <c r="Y379" t="s">
        <v>108</v>
      </c>
      <c r="Z379" t="s">
        <v>105</v>
      </c>
      <c r="AA379" t="s">
        <v>1316</v>
      </c>
      <c r="AB379" t="s">
        <v>106</v>
      </c>
    </row>
    <row r="380" spans="1:28" x14ac:dyDescent="0.3">
      <c r="A380" t="s">
        <v>1366</v>
      </c>
      <c r="B380">
        <v>1</v>
      </c>
      <c r="C380">
        <v>0</v>
      </c>
      <c r="D380">
        <v>59</v>
      </c>
      <c r="E380" t="s">
        <v>128</v>
      </c>
      <c r="F380" s="12">
        <v>45371</v>
      </c>
      <c r="G380" t="s">
        <v>1374</v>
      </c>
      <c r="H380" s="12">
        <v>45371</v>
      </c>
      <c r="I380" t="s">
        <v>1174</v>
      </c>
      <c r="J380" t="s">
        <v>458</v>
      </c>
      <c r="K380">
        <v>2</v>
      </c>
      <c r="L380">
        <v>0</v>
      </c>
      <c r="P380" t="s">
        <v>106</v>
      </c>
      <c r="Q380" t="s">
        <v>106</v>
      </c>
      <c r="R380" t="s">
        <v>106</v>
      </c>
      <c r="S380" t="s">
        <v>106</v>
      </c>
      <c r="T380" t="s">
        <v>778</v>
      </c>
      <c r="U380" t="s">
        <v>905</v>
      </c>
      <c r="V380" t="s">
        <v>106</v>
      </c>
      <c r="W380" t="s">
        <v>373</v>
      </c>
      <c r="X380" t="s">
        <v>106</v>
      </c>
      <c r="Y380" t="s">
        <v>108</v>
      </c>
      <c r="Z380" t="s">
        <v>105</v>
      </c>
      <c r="AA380" t="s">
        <v>1375</v>
      </c>
      <c r="AB380" t="s">
        <v>106</v>
      </c>
    </row>
    <row r="381" spans="1:28" x14ac:dyDescent="0.3">
      <c r="A381" t="s">
        <v>1366</v>
      </c>
      <c r="B381">
        <v>2</v>
      </c>
      <c r="C381">
        <v>15</v>
      </c>
      <c r="D381">
        <v>67</v>
      </c>
      <c r="E381" t="s">
        <v>128</v>
      </c>
      <c r="F381" s="12">
        <v>45371</v>
      </c>
      <c r="G381" t="s">
        <v>822</v>
      </c>
      <c r="H381" s="12">
        <v>45371</v>
      </c>
      <c r="I381" t="s">
        <v>1784</v>
      </c>
      <c r="J381" t="s">
        <v>458</v>
      </c>
      <c r="K381">
        <v>2</v>
      </c>
      <c r="L381">
        <v>17.5</v>
      </c>
      <c r="P381" t="s">
        <v>106</v>
      </c>
      <c r="Q381" t="s">
        <v>106</v>
      </c>
      <c r="R381" t="s">
        <v>106</v>
      </c>
      <c r="S381" t="s">
        <v>106</v>
      </c>
      <c r="T381" t="s">
        <v>1475</v>
      </c>
      <c r="U381" t="s">
        <v>1353</v>
      </c>
      <c r="V381" t="s">
        <v>106</v>
      </c>
      <c r="W381" t="s">
        <v>373</v>
      </c>
      <c r="X381" t="s">
        <v>106</v>
      </c>
      <c r="Y381" t="s">
        <v>108</v>
      </c>
      <c r="Z381" t="s">
        <v>109</v>
      </c>
      <c r="AA381" t="s">
        <v>1375</v>
      </c>
      <c r="AB381" t="s">
        <v>106</v>
      </c>
    </row>
    <row r="382" spans="1:28" x14ac:dyDescent="0.3">
      <c r="A382" t="s">
        <v>1366</v>
      </c>
      <c r="B382">
        <v>2</v>
      </c>
      <c r="C382">
        <v>15</v>
      </c>
      <c r="D382">
        <v>62</v>
      </c>
      <c r="E382" t="s">
        <v>128</v>
      </c>
      <c r="F382" s="12">
        <v>45371</v>
      </c>
      <c r="G382" t="s">
        <v>653</v>
      </c>
      <c r="H382" s="12">
        <v>45371</v>
      </c>
      <c r="I382" t="s">
        <v>1593</v>
      </c>
      <c r="J382" t="s">
        <v>458</v>
      </c>
      <c r="K382">
        <v>2</v>
      </c>
      <c r="L382">
        <v>16.600000000000001</v>
      </c>
      <c r="P382" t="s">
        <v>106</v>
      </c>
      <c r="Q382" t="s">
        <v>106</v>
      </c>
      <c r="R382" t="s">
        <v>106</v>
      </c>
      <c r="S382" t="s">
        <v>1783</v>
      </c>
      <c r="T382" t="s">
        <v>724</v>
      </c>
      <c r="U382" t="s">
        <v>391</v>
      </c>
      <c r="V382" t="s">
        <v>106</v>
      </c>
      <c r="W382" t="s">
        <v>373</v>
      </c>
      <c r="X382" t="s">
        <v>106</v>
      </c>
      <c r="Y382" t="s">
        <v>108</v>
      </c>
      <c r="Z382" t="s">
        <v>109</v>
      </c>
      <c r="AA382" t="s">
        <v>1375</v>
      </c>
      <c r="AB382" t="s">
        <v>106</v>
      </c>
    </row>
    <row r="383" spans="1:28" x14ac:dyDescent="0.3">
      <c r="A383" t="s">
        <v>1366</v>
      </c>
      <c r="B383">
        <v>2</v>
      </c>
      <c r="C383">
        <v>15</v>
      </c>
      <c r="D383">
        <v>17</v>
      </c>
      <c r="E383" t="s">
        <v>308</v>
      </c>
      <c r="F383" s="12">
        <v>45371</v>
      </c>
      <c r="G383" t="s">
        <v>135</v>
      </c>
      <c r="H383" s="12">
        <v>45371</v>
      </c>
      <c r="I383" t="s">
        <v>106</v>
      </c>
      <c r="J383" t="s">
        <v>1785</v>
      </c>
      <c r="K383">
        <v>2</v>
      </c>
      <c r="L383">
        <v>17.399999999999999</v>
      </c>
      <c r="P383" t="s">
        <v>106</v>
      </c>
      <c r="Q383" t="s">
        <v>106</v>
      </c>
      <c r="R383" t="s">
        <v>106</v>
      </c>
      <c r="S383" t="s">
        <v>777</v>
      </c>
      <c r="T383" t="s">
        <v>1786</v>
      </c>
      <c r="U383" t="s">
        <v>106</v>
      </c>
      <c r="V383" t="s">
        <v>106</v>
      </c>
      <c r="W383" t="s">
        <v>443</v>
      </c>
      <c r="X383" t="s">
        <v>106</v>
      </c>
      <c r="Y383" t="s">
        <v>108</v>
      </c>
      <c r="Z383" t="s">
        <v>109</v>
      </c>
      <c r="AA383" t="s">
        <v>1375</v>
      </c>
      <c r="AB383" t="s">
        <v>106</v>
      </c>
    </row>
    <row r="384" spans="1:28" x14ac:dyDescent="0.3">
      <c r="A384" t="s">
        <v>1366</v>
      </c>
      <c r="B384">
        <v>2</v>
      </c>
      <c r="C384">
        <v>15</v>
      </c>
      <c r="D384">
        <v>65</v>
      </c>
      <c r="E384" t="s">
        <v>128</v>
      </c>
      <c r="F384" s="12">
        <v>45371</v>
      </c>
      <c r="G384" t="s">
        <v>1787</v>
      </c>
      <c r="H384" s="12">
        <v>45371</v>
      </c>
      <c r="I384" t="s">
        <v>1593</v>
      </c>
      <c r="J384" t="s">
        <v>458</v>
      </c>
      <c r="K384">
        <v>2</v>
      </c>
      <c r="L384">
        <v>17</v>
      </c>
      <c r="P384" t="s">
        <v>106</v>
      </c>
      <c r="Q384" t="s">
        <v>106</v>
      </c>
      <c r="R384" t="s">
        <v>106</v>
      </c>
      <c r="S384" t="s">
        <v>106</v>
      </c>
      <c r="T384" t="s">
        <v>971</v>
      </c>
      <c r="U384" t="s">
        <v>1415</v>
      </c>
      <c r="V384" t="s">
        <v>106</v>
      </c>
      <c r="W384" t="s">
        <v>373</v>
      </c>
      <c r="X384" t="s">
        <v>106</v>
      </c>
      <c r="Y384" t="s">
        <v>108</v>
      </c>
      <c r="Z384" t="s">
        <v>109</v>
      </c>
      <c r="AA384" t="s">
        <v>1375</v>
      </c>
      <c r="AB384" t="s">
        <v>106</v>
      </c>
    </row>
    <row r="385" spans="1:28" x14ac:dyDescent="0.3">
      <c r="A385" t="s">
        <v>1366</v>
      </c>
      <c r="B385">
        <v>2</v>
      </c>
      <c r="C385">
        <v>15</v>
      </c>
      <c r="D385">
        <v>15</v>
      </c>
      <c r="E385" t="s">
        <v>128</v>
      </c>
      <c r="F385" s="12">
        <v>45371</v>
      </c>
      <c r="G385" t="s">
        <v>847</v>
      </c>
      <c r="H385" s="12">
        <v>45371</v>
      </c>
      <c r="I385" t="s">
        <v>1609</v>
      </c>
      <c r="J385" t="s">
        <v>1785</v>
      </c>
      <c r="K385">
        <v>2</v>
      </c>
      <c r="L385">
        <v>17.3</v>
      </c>
      <c r="P385" t="s">
        <v>106</v>
      </c>
      <c r="Q385" t="s">
        <v>106</v>
      </c>
      <c r="R385" t="s">
        <v>106</v>
      </c>
      <c r="S385" t="s">
        <v>1619</v>
      </c>
      <c r="T385" t="s">
        <v>1458</v>
      </c>
      <c r="U385" t="s">
        <v>106</v>
      </c>
      <c r="V385" t="s">
        <v>106</v>
      </c>
      <c r="W385" t="s">
        <v>443</v>
      </c>
      <c r="X385" t="s">
        <v>106</v>
      </c>
      <c r="Y385" t="s">
        <v>108</v>
      </c>
      <c r="Z385" t="s">
        <v>109</v>
      </c>
      <c r="AA385" t="s">
        <v>1375</v>
      </c>
      <c r="AB385" t="s">
        <v>106</v>
      </c>
    </row>
    <row r="386" spans="1:28" x14ac:dyDescent="0.3">
      <c r="A386" t="s">
        <v>1366</v>
      </c>
      <c r="B386">
        <v>2</v>
      </c>
      <c r="C386">
        <v>15</v>
      </c>
      <c r="D386">
        <v>16</v>
      </c>
      <c r="E386" t="s">
        <v>128</v>
      </c>
      <c r="F386" s="12">
        <v>45371</v>
      </c>
      <c r="G386" t="s">
        <v>135</v>
      </c>
      <c r="H386" s="12">
        <v>45371</v>
      </c>
      <c r="I386" t="s">
        <v>1609</v>
      </c>
      <c r="J386" t="s">
        <v>1785</v>
      </c>
      <c r="K386">
        <v>1</v>
      </c>
      <c r="L386">
        <v>17.3</v>
      </c>
      <c r="P386" t="s">
        <v>106</v>
      </c>
      <c r="Q386" t="s">
        <v>106</v>
      </c>
      <c r="R386" t="s">
        <v>106</v>
      </c>
      <c r="S386" t="s">
        <v>750</v>
      </c>
      <c r="T386" t="s">
        <v>726</v>
      </c>
      <c r="U386" t="s">
        <v>106</v>
      </c>
      <c r="V386" t="s">
        <v>106</v>
      </c>
      <c r="W386" t="s">
        <v>443</v>
      </c>
      <c r="X386" t="s">
        <v>106</v>
      </c>
      <c r="Y386" t="s">
        <v>108</v>
      </c>
      <c r="Z386" t="s">
        <v>109</v>
      </c>
      <c r="AA386" t="s">
        <v>1375</v>
      </c>
      <c r="AB386" t="s">
        <v>106</v>
      </c>
    </row>
    <row r="387" spans="1:28" x14ac:dyDescent="0.3">
      <c r="A387" t="s">
        <v>1366</v>
      </c>
      <c r="B387">
        <v>2</v>
      </c>
      <c r="C387">
        <v>15</v>
      </c>
      <c r="D387">
        <v>56</v>
      </c>
      <c r="E387" t="s">
        <v>128</v>
      </c>
      <c r="F387" s="12">
        <v>45371</v>
      </c>
      <c r="G387" t="s">
        <v>1788</v>
      </c>
      <c r="H387" s="12">
        <v>45371</v>
      </c>
      <c r="I387" t="s">
        <v>1174</v>
      </c>
      <c r="J387" t="s">
        <v>458</v>
      </c>
      <c r="K387">
        <v>2</v>
      </c>
      <c r="L387">
        <v>15.8</v>
      </c>
      <c r="P387" t="s">
        <v>106</v>
      </c>
      <c r="Q387" t="s">
        <v>106</v>
      </c>
      <c r="R387" t="s">
        <v>106</v>
      </c>
      <c r="S387" t="s">
        <v>1789</v>
      </c>
      <c r="T387" t="s">
        <v>937</v>
      </c>
      <c r="U387" t="s">
        <v>708</v>
      </c>
      <c r="V387" t="s">
        <v>106</v>
      </c>
      <c r="W387" t="s">
        <v>373</v>
      </c>
      <c r="X387" t="s">
        <v>106</v>
      </c>
      <c r="Y387" t="s">
        <v>108</v>
      </c>
      <c r="Z387" t="s">
        <v>109</v>
      </c>
      <c r="AA387" t="s">
        <v>1375</v>
      </c>
      <c r="AB387" t="s">
        <v>106</v>
      </c>
    </row>
    <row r="388" spans="1:28" x14ac:dyDescent="0.3">
      <c r="A388" t="s">
        <v>1366</v>
      </c>
      <c r="B388">
        <v>2</v>
      </c>
      <c r="C388">
        <v>15</v>
      </c>
      <c r="D388">
        <v>55</v>
      </c>
      <c r="E388" t="s">
        <v>128</v>
      </c>
      <c r="F388" s="12">
        <v>45371</v>
      </c>
      <c r="G388" t="s">
        <v>1788</v>
      </c>
      <c r="H388" s="12">
        <v>45371</v>
      </c>
      <c r="I388" t="s">
        <v>1174</v>
      </c>
      <c r="J388" t="s">
        <v>458</v>
      </c>
      <c r="K388">
        <v>2</v>
      </c>
      <c r="L388">
        <v>16.600000000000001</v>
      </c>
      <c r="P388" t="s">
        <v>106</v>
      </c>
      <c r="Q388" t="s">
        <v>106</v>
      </c>
      <c r="R388" t="s">
        <v>106</v>
      </c>
      <c r="S388" t="s">
        <v>106</v>
      </c>
      <c r="T388" t="s">
        <v>756</v>
      </c>
      <c r="U388" t="s">
        <v>1382</v>
      </c>
      <c r="V388" t="s">
        <v>106</v>
      </c>
      <c r="W388" t="s">
        <v>373</v>
      </c>
      <c r="X388" t="s">
        <v>106</v>
      </c>
      <c r="Y388" t="s">
        <v>108</v>
      </c>
      <c r="Z388" t="s">
        <v>109</v>
      </c>
      <c r="AA388" t="s">
        <v>1375</v>
      </c>
      <c r="AB388" t="s">
        <v>106</v>
      </c>
    </row>
    <row r="389" spans="1:28" x14ac:dyDescent="0.3">
      <c r="A389" t="s">
        <v>1366</v>
      </c>
      <c r="B389">
        <v>2</v>
      </c>
      <c r="C389">
        <v>15</v>
      </c>
      <c r="D389">
        <v>50</v>
      </c>
      <c r="E389" t="s">
        <v>128</v>
      </c>
      <c r="F389" s="12">
        <v>45371</v>
      </c>
      <c r="G389" t="s">
        <v>1790</v>
      </c>
      <c r="H389" s="12">
        <v>45371</v>
      </c>
      <c r="I389" t="s">
        <v>555</v>
      </c>
      <c r="J389" t="s">
        <v>458</v>
      </c>
      <c r="K389">
        <v>2</v>
      </c>
      <c r="L389">
        <v>14.9</v>
      </c>
      <c r="P389" t="s">
        <v>106</v>
      </c>
      <c r="Q389" t="s">
        <v>106</v>
      </c>
      <c r="R389" t="s">
        <v>106</v>
      </c>
      <c r="S389" t="s">
        <v>1758</v>
      </c>
      <c r="T389" t="s">
        <v>1791</v>
      </c>
      <c r="U389" t="s">
        <v>1468</v>
      </c>
      <c r="V389" t="s">
        <v>106</v>
      </c>
      <c r="W389" t="s">
        <v>373</v>
      </c>
      <c r="X389" t="s">
        <v>106</v>
      </c>
      <c r="Y389" t="s">
        <v>108</v>
      </c>
      <c r="Z389" t="s">
        <v>109</v>
      </c>
      <c r="AA389" t="s">
        <v>1375</v>
      </c>
      <c r="AB389" t="s">
        <v>106</v>
      </c>
    </row>
    <row r="390" spans="1:28" x14ac:dyDescent="0.3">
      <c r="A390" t="s">
        <v>1366</v>
      </c>
      <c r="B390">
        <v>2</v>
      </c>
      <c r="C390">
        <v>15</v>
      </c>
      <c r="D390">
        <v>49</v>
      </c>
      <c r="E390" t="s">
        <v>128</v>
      </c>
      <c r="F390" s="12">
        <v>45371</v>
      </c>
      <c r="G390" t="s">
        <v>1790</v>
      </c>
      <c r="H390" s="12">
        <v>45371</v>
      </c>
      <c r="I390" t="s">
        <v>555</v>
      </c>
      <c r="J390" t="s">
        <v>458</v>
      </c>
      <c r="K390">
        <v>2</v>
      </c>
      <c r="L390">
        <v>15.9</v>
      </c>
      <c r="P390" t="s">
        <v>106</v>
      </c>
      <c r="Q390" t="s">
        <v>106</v>
      </c>
      <c r="R390" t="s">
        <v>106</v>
      </c>
      <c r="S390" t="s">
        <v>106</v>
      </c>
      <c r="T390" t="s">
        <v>1235</v>
      </c>
      <c r="U390" t="s">
        <v>427</v>
      </c>
      <c r="V390" t="s">
        <v>106</v>
      </c>
      <c r="W390" t="s">
        <v>373</v>
      </c>
      <c r="X390" t="s">
        <v>106</v>
      </c>
      <c r="Y390" t="s">
        <v>108</v>
      </c>
      <c r="Z390" t="s">
        <v>109</v>
      </c>
      <c r="AA390" t="s">
        <v>1375</v>
      </c>
      <c r="AB390" t="s">
        <v>106</v>
      </c>
    </row>
    <row r="391" spans="1:28" x14ac:dyDescent="0.3">
      <c r="A391" t="s">
        <v>1366</v>
      </c>
      <c r="B391">
        <v>2</v>
      </c>
      <c r="C391">
        <v>15</v>
      </c>
      <c r="D391">
        <v>44</v>
      </c>
      <c r="E391" t="s">
        <v>128</v>
      </c>
      <c r="F391" s="12">
        <v>45371</v>
      </c>
      <c r="G391" t="s">
        <v>379</v>
      </c>
      <c r="H391" s="12">
        <v>45371</v>
      </c>
      <c r="I391" t="s">
        <v>370</v>
      </c>
      <c r="J391" t="s">
        <v>458</v>
      </c>
      <c r="K391">
        <v>2</v>
      </c>
      <c r="L391">
        <v>15.3</v>
      </c>
      <c r="P391" t="s">
        <v>106</v>
      </c>
      <c r="Q391" t="s">
        <v>106</v>
      </c>
      <c r="R391" t="s">
        <v>106</v>
      </c>
      <c r="S391" t="s">
        <v>1792</v>
      </c>
      <c r="T391" t="s">
        <v>1793</v>
      </c>
      <c r="U391" t="s">
        <v>1353</v>
      </c>
      <c r="V391" t="s">
        <v>106</v>
      </c>
      <c r="W391" t="s">
        <v>373</v>
      </c>
      <c r="X391" t="s">
        <v>106</v>
      </c>
      <c r="Y391" t="s">
        <v>108</v>
      </c>
      <c r="Z391" t="s">
        <v>109</v>
      </c>
      <c r="AA391" t="s">
        <v>1375</v>
      </c>
      <c r="AB391" t="s">
        <v>106</v>
      </c>
    </row>
    <row r="392" spans="1:28" x14ac:dyDescent="0.3">
      <c r="A392" t="s">
        <v>1366</v>
      </c>
      <c r="B392">
        <v>2</v>
      </c>
      <c r="C392">
        <v>15</v>
      </c>
      <c r="D392">
        <v>43</v>
      </c>
      <c r="E392" t="s">
        <v>128</v>
      </c>
      <c r="F392" s="12">
        <v>45371</v>
      </c>
      <c r="G392" t="s">
        <v>379</v>
      </c>
      <c r="H392" s="12">
        <v>45371</v>
      </c>
      <c r="I392" t="s">
        <v>370</v>
      </c>
      <c r="J392" t="s">
        <v>458</v>
      </c>
      <c r="K392">
        <v>2</v>
      </c>
      <c r="L392">
        <v>15</v>
      </c>
      <c r="P392" t="s">
        <v>106</v>
      </c>
      <c r="Q392" t="s">
        <v>106</v>
      </c>
      <c r="R392" t="s">
        <v>106</v>
      </c>
      <c r="S392" t="s">
        <v>1514</v>
      </c>
      <c r="T392" t="s">
        <v>1386</v>
      </c>
      <c r="U392" t="s">
        <v>1539</v>
      </c>
      <c r="V392" t="s">
        <v>106</v>
      </c>
      <c r="W392" t="s">
        <v>373</v>
      </c>
      <c r="X392" t="s">
        <v>106</v>
      </c>
      <c r="Y392" t="s">
        <v>108</v>
      </c>
      <c r="Z392" t="s">
        <v>109</v>
      </c>
      <c r="AA392" t="s">
        <v>1375</v>
      </c>
      <c r="AB392" t="s">
        <v>106</v>
      </c>
    </row>
    <row r="393" spans="1:28" x14ac:dyDescent="0.3">
      <c r="A393" t="s">
        <v>1366</v>
      </c>
      <c r="B393">
        <v>2</v>
      </c>
      <c r="C393">
        <v>15</v>
      </c>
      <c r="D393">
        <v>68</v>
      </c>
      <c r="E393" t="s">
        <v>128</v>
      </c>
      <c r="F393" s="12">
        <v>45371</v>
      </c>
      <c r="G393" t="s">
        <v>818</v>
      </c>
      <c r="H393" s="12">
        <v>45371</v>
      </c>
      <c r="I393" t="s">
        <v>1784</v>
      </c>
      <c r="J393" t="s">
        <v>458</v>
      </c>
      <c r="K393">
        <v>2</v>
      </c>
      <c r="L393">
        <v>16.600000000000001</v>
      </c>
      <c r="P393" t="s">
        <v>106</v>
      </c>
      <c r="Q393" t="s">
        <v>106</v>
      </c>
      <c r="R393" t="s">
        <v>106</v>
      </c>
      <c r="S393" t="s">
        <v>1794</v>
      </c>
      <c r="T393" t="s">
        <v>1016</v>
      </c>
      <c r="U393" t="s">
        <v>1468</v>
      </c>
      <c r="V393" t="s">
        <v>106</v>
      </c>
      <c r="W393" t="s">
        <v>373</v>
      </c>
      <c r="X393" t="s">
        <v>106</v>
      </c>
      <c r="Y393" t="s">
        <v>108</v>
      </c>
      <c r="Z393" t="s">
        <v>109</v>
      </c>
      <c r="AA393" t="s">
        <v>1375</v>
      </c>
      <c r="AB393" t="s">
        <v>106</v>
      </c>
    </row>
    <row r="394" spans="1:28" x14ac:dyDescent="0.3">
      <c r="A394" t="s">
        <v>1366</v>
      </c>
      <c r="B394">
        <v>2</v>
      </c>
      <c r="C394">
        <v>15</v>
      </c>
      <c r="D394">
        <v>28</v>
      </c>
      <c r="E394" t="s">
        <v>128</v>
      </c>
      <c r="F394" s="12">
        <v>45371</v>
      </c>
      <c r="G394" t="s">
        <v>871</v>
      </c>
      <c r="H394" s="12">
        <v>45371</v>
      </c>
      <c r="I394" t="s">
        <v>549</v>
      </c>
      <c r="J394" t="s">
        <v>1785</v>
      </c>
      <c r="K394">
        <v>1</v>
      </c>
      <c r="L394">
        <v>16.399999999999999</v>
      </c>
      <c r="P394" t="s">
        <v>106</v>
      </c>
      <c r="Q394" t="s">
        <v>106</v>
      </c>
      <c r="R394" t="s">
        <v>106</v>
      </c>
      <c r="S394" t="s">
        <v>1795</v>
      </c>
      <c r="T394" t="s">
        <v>1478</v>
      </c>
      <c r="U394" t="s">
        <v>106</v>
      </c>
      <c r="V394" t="s">
        <v>106</v>
      </c>
      <c r="W394" t="s">
        <v>443</v>
      </c>
      <c r="X394" t="s">
        <v>106</v>
      </c>
      <c r="Y394" t="s">
        <v>108</v>
      </c>
      <c r="Z394" t="s">
        <v>109</v>
      </c>
      <c r="AA394" t="s">
        <v>1375</v>
      </c>
      <c r="AB394" t="s">
        <v>106</v>
      </c>
    </row>
    <row r="395" spans="1:28" x14ac:dyDescent="0.3">
      <c r="A395" t="s">
        <v>1369</v>
      </c>
      <c r="B395">
        <v>2</v>
      </c>
      <c r="C395">
        <v>15</v>
      </c>
      <c r="D395">
        <v>1</v>
      </c>
      <c r="E395" t="s">
        <v>308</v>
      </c>
      <c r="F395" s="12">
        <v>45371</v>
      </c>
      <c r="G395" t="s">
        <v>401</v>
      </c>
      <c r="H395" s="12" t="s">
        <v>106</v>
      </c>
      <c r="I395" t="s">
        <v>106</v>
      </c>
      <c r="J395" t="s">
        <v>106</v>
      </c>
      <c r="L395">
        <v>15.3</v>
      </c>
      <c r="P395" t="s">
        <v>106</v>
      </c>
      <c r="Q395" t="s">
        <v>106</v>
      </c>
      <c r="R395" t="s">
        <v>106</v>
      </c>
      <c r="S395" t="s">
        <v>106</v>
      </c>
      <c r="T395" t="s">
        <v>1793</v>
      </c>
      <c r="U395" t="s">
        <v>106</v>
      </c>
      <c r="V395" t="s">
        <v>106</v>
      </c>
      <c r="W395" t="s">
        <v>373</v>
      </c>
      <c r="X395" t="s">
        <v>106</v>
      </c>
      <c r="Y395" t="s">
        <v>108</v>
      </c>
      <c r="Z395" t="s">
        <v>109</v>
      </c>
      <c r="AA395" t="s">
        <v>1375</v>
      </c>
      <c r="AB395" t="s">
        <v>106</v>
      </c>
    </row>
    <row r="396" spans="1:28" x14ac:dyDescent="0.3">
      <c r="A396" t="s">
        <v>1369</v>
      </c>
      <c r="B396">
        <v>2</v>
      </c>
      <c r="C396">
        <v>15</v>
      </c>
      <c r="D396">
        <v>5</v>
      </c>
      <c r="E396" t="s">
        <v>110</v>
      </c>
      <c r="F396" s="12">
        <v>45371</v>
      </c>
      <c r="G396" t="s">
        <v>374</v>
      </c>
      <c r="H396" s="12">
        <v>45371</v>
      </c>
      <c r="I396" t="s">
        <v>1371</v>
      </c>
      <c r="J396" t="s">
        <v>1343</v>
      </c>
      <c r="L396">
        <v>15.7</v>
      </c>
      <c r="P396" t="s">
        <v>106</v>
      </c>
      <c r="Q396" t="s">
        <v>106</v>
      </c>
      <c r="R396" t="s">
        <v>106</v>
      </c>
      <c r="S396" t="s">
        <v>106</v>
      </c>
      <c r="T396" t="s">
        <v>686</v>
      </c>
      <c r="U396" t="s">
        <v>106</v>
      </c>
      <c r="V396" t="s">
        <v>106</v>
      </c>
      <c r="W396" t="s">
        <v>373</v>
      </c>
      <c r="X396" t="s">
        <v>106</v>
      </c>
      <c r="Y396" t="s">
        <v>108</v>
      </c>
      <c r="Z396" t="s">
        <v>109</v>
      </c>
      <c r="AA396" t="s">
        <v>1375</v>
      </c>
      <c r="AB396" t="s">
        <v>106</v>
      </c>
    </row>
    <row r="397" spans="1:28" x14ac:dyDescent="0.3">
      <c r="A397" t="s">
        <v>1366</v>
      </c>
      <c r="B397">
        <v>2</v>
      </c>
      <c r="C397">
        <v>15</v>
      </c>
      <c r="D397">
        <v>29</v>
      </c>
      <c r="E397" t="s">
        <v>128</v>
      </c>
      <c r="F397" s="12">
        <v>45371</v>
      </c>
      <c r="G397" t="s">
        <v>363</v>
      </c>
      <c r="H397" s="12">
        <v>45371</v>
      </c>
      <c r="I397" t="s">
        <v>549</v>
      </c>
      <c r="J397" t="s">
        <v>1785</v>
      </c>
      <c r="K397">
        <v>1</v>
      </c>
      <c r="L397">
        <v>16.5</v>
      </c>
      <c r="P397" t="s">
        <v>106</v>
      </c>
      <c r="Q397" t="s">
        <v>106</v>
      </c>
      <c r="R397" t="s">
        <v>106</v>
      </c>
      <c r="S397" t="s">
        <v>1664</v>
      </c>
      <c r="T397" t="s">
        <v>1529</v>
      </c>
      <c r="U397" t="s">
        <v>106</v>
      </c>
      <c r="V397" t="s">
        <v>106</v>
      </c>
      <c r="W397" t="s">
        <v>443</v>
      </c>
      <c r="X397" t="s">
        <v>106</v>
      </c>
      <c r="Y397" t="s">
        <v>108</v>
      </c>
      <c r="Z397" t="s">
        <v>109</v>
      </c>
      <c r="AA397" t="s">
        <v>1375</v>
      </c>
      <c r="AB397" t="s">
        <v>106</v>
      </c>
    </row>
    <row r="398" spans="1:28" x14ac:dyDescent="0.3">
      <c r="A398" t="s">
        <v>1366</v>
      </c>
      <c r="B398">
        <v>2</v>
      </c>
      <c r="C398">
        <v>15</v>
      </c>
      <c r="D398">
        <v>35</v>
      </c>
      <c r="E398" t="s">
        <v>128</v>
      </c>
      <c r="F398" s="12">
        <v>45371</v>
      </c>
      <c r="G398" t="s">
        <v>326</v>
      </c>
      <c r="H398" s="12">
        <v>45371</v>
      </c>
      <c r="I398" t="s">
        <v>549</v>
      </c>
      <c r="J398" t="s">
        <v>1785</v>
      </c>
      <c r="K398">
        <v>2</v>
      </c>
      <c r="L398">
        <v>15.6</v>
      </c>
      <c r="P398" t="s">
        <v>106</v>
      </c>
      <c r="Q398" t="s">
        <v>106</v>
      </c>
      <c r="R398" t="s">
        <v>106</v>
      </c>
      <c r="S398" t="s">
        <v>1783</v>
      </c>
      <c r="T398" t="s">
        <v>1796</v>
      </c>
      <c r="U398" t="s">
        <v>106</v>
      </c>
      <c r="V398" t="s">
        <v>106</v>
      </c>
      <c r="W398" t="s">
        <v>443</v>
      </c>
      <c r="X398" t="s">
        <v>106</v>
      </c>
      <c r="Y398" t="s">
        <v>108</v>
      </c>
      <c r="Z398" t="s">
        <v>109</v>
      </c>
      <c r="AA398" t="s">
        <v>1375</v>
      </c>
      <c r="AB398" t="s">
        <v>106</v>
      </c>
    </row>
    <row r="399" spans="1:28" x14ac:dyDescent="0.3">
      <c r="A399" t="s">
        <v>1369</v>
      </c>
      <c r="B399">
        <v>2</v>
      </c>
      <c r="C399">
        <v>15</v>
      </c>
      <c r="D399">
        <v>4</v>
      </c>
      <c r="E399" t="s">
        <v>110</v>
      </c>
      <c r="F399" s="12">
        <v>45371</v>
      </c>
      <c r="G399" t="s">
        <v>137</v>
      </c>
      <c r="H399" s="12">
        <v>45371</v>
      </c>
      <c r="I399" t="s">
        <v>1371</v>
      </c>
      <c r="J399" t="s">
        <v>1343</v>
      </c>
      <c r="L399">
        <v>15.5</v>
      </c>
      <c r="P399" t="s">
        <v>106</v>
      </c>
      <c r="Q399" t="s">
        <v>106</v>
      </c>
      <c r="R399" t="s">
        <v>106</v>
      </c>
      <c r="S399" t="s">
        <v>1197</v>
      </c>
      <c r="T399" t="s">
        <v>756</v>
      </c>
      <c r="U399" t="s">
        <v>106</v>
      </c>
      <c r="V399" t="s">
        <v>106</v>
      </c>
      <c r="W399" t="s">
        <v>373</v>
      </c>
      <c r="X399" t="s">
        <v>106</v>
      </c>
      <c r="Y399" t="s">
        <v>108</v>
      </c>
      <c r="Z399" t="s">
        <v>109</v>
      </c>
      <c r="AA399" t="s">
        <v>1375</v>
      </c>
      <c r="AB399" t="s">
        <v>106</v>
      </c>
    </row>
    <row r="400" spans="1:28" x14ac:dyDescent="0.3">
      <c r="A400" t="s">
        <v>1369</v>
      </c>
      <c r="B400">
        <v>3</v>
      </c>
      <c r="C400">
        <v>35</v>
      </c>
      <c r="D400">
        <v>7</v>
      </c>
      <c r="E400" t="s">
        <v>110</v>
      </c>
      <c r="F400" s="12">
        <v>45371</v>
      </c>
      <c r="G400" t="s">
        <v>732</v>
      </c>
      <c r="H400" s="12">
        <v>45371</v>
      </c>
      <c r="I400" t="s">
        <v>1371</v>
      </c>
      <c r="J400" t="s">
        <v>1343</v>
      </c>
      <c r="L400">
        <v>33.6</v>
      </c>
      <c r="P400" t="s">
        <v>106</v>
      </c>
      <c r="Q400" t="s">
        <v>106</v>
      </c>
      <c r="R400" t="s">
        <v>106</v>
      </c>
      <c r="S400" t="s">
        <v>2309</v>
      </c>
      <c r="T400" t="s">
        <v>2353</v>
      </c>
      <c r="U400" t="s">
        <v>106</v>
      </c>
      <c r="V400" t="s">
        <v>106</v>
      </c>
      <c r="W400" t="s">
        <v>373</v>
      </c>
      <c r="X400" t="s">
        <v>106</v>
      </c>
      <c r="Y400" t="s">
        <v>108</v>
      </c>
      <c r="Z400" t="s">
        <v>108</v>
      </c>
      <c r="AA400" t="s">
        <v>1375</v>
      </c>
      <c r="AB400" t="s">
        <v>106</v>
      </c>
    </row>
    <row r="401" spans="1:28" x14ac:dyDescent="0.3">
      <c r="A401" t="s">
        <v>1366</v>
      </c>
      <c r="B401">
        <v>3</v>
      </c>
      <c r="C401">
        <v>35</v>
      </c>
      <c r="D401">
        <v>40</v>
      </c>
      <c r="E401" t="s">
        <v>128</v>
      </c>
      <c r="F401" s="12">
        <v>45371</v>
      </c>
      <c r="G401" t="s">
        <v>309</v>
      </c>
      <c r="H401" s="12">
        <v>45371</v>
      </c>
      <c r="I401" t="s">
        <v>549</v>
      </c>
      <c r="J401" t="s">
        <v>1785</v>
      </c>
      <c r="K401">
        <v>2</v>
      </c>
      <c r="L401">
        <v>37.700000000000003</v>
      </c>
      <c r="P401" t="s">
        <v>106</v>
      </c>
      <c r="Q401" t="s">
        <v>106</v>
      </c>
      <c r="R401" t="s">
        <v>106</v>
      </c>
      <c r="S401" t="s">
        <v>1563</v>
      </c>
      <c r="T401" t="s">
        <v>1101</v>
      </c>
      <c r="U401" t="s">
        <v>106</v>
      </c>
      <c r="V401" t="s">
        <v>106</v>
      </c>
      <c r="W401" t="s">
        <v>443</v>
      </c>
      <c r="X401" t="s">
        <v>106</v>
      </c>
      <c r="Y401" t="s">
        <v>108</v>
      </c>
      <c r="Z401" t="s">
        <v>108</v>
      </c>
      <c r="AA401" t="s">
        <v>1375</v>
      </c>
      <c r="AB401" t="s">
        <v>106</v>
      </c>
    </row>
    <row r="402" spans="1:28" x14ac:dyDescent="0.3">
      <c r="A402" t="s">
        <v>1366</v>
      </c>
      <c r="B402">
        <v>3</v>
      </c>
      <c r="C402">
        <v>35</v>
      </c>
      <c r="D402">
        <v>38</v>
      </c>
      <c r="E402" t="s">
        <v>128</v>
      </c>
      <c r="F402" s="12">
        <v>45371</v>
      </c>
      <c r="G402" t="s">
        <v>316</v>
      </c>
      <c r="H402" s="12">
        <v>45371</v>
      </c>
      <c r="I402" t="s">
        <v>549</v>
      </c>
      <c r="J402" t="s">
        <v>1785</v>
      </c>
      <c r="K402">
        <v>2</v>
      </c>
      <c r="L402">
        <v>37.5</v>
      </c>
      <c r="P402" t="s">
        <v>106</v>
      </c>
      <c r="Q402" t="s">
        <v>106</v>
      </c>
      <c r="R402" t="s">
        <v>106</v>
      </c>
      <c r="S402" t="s">
        <v>1490</v>
      </c>
      <c r="T402" t="s">
        <v>760</v>
      </c>
      <c r="U402" t="s">
        <v>106</v>
      </c>
      <c r="V402" t="s">
        <v>106</v>
      </c>
      <c r="W402" t="s">
        <v>443</v>
      </c>
      <c r="X402" t="s">
        <v>106</v>
      </c>
      <c r="Y402" t="s">
        <v>108</v>
      </c>
      <c r="Z402" t="s">
        <v>108</v>
      </c>
      <c r="AA402" t="s">
        <v>1375</v>
      </c>
      <c r="AB402" t="s">
        <v>106</v>
      </c>
    </row>
    <row r="403" spans="1:28" x14ac:dyDescent="0.3">
      <c r="A403" t="s">
        <v>1369</v>
      </c>
      <c r="B403">
        <v>3</v>
      </c>
      <c r="C403">
        <v>35</v>
      </c>
      <c r="D403">
        <v>8</v>
      </c>
      <c r="E403" t="s">
        <v>110</v>
      </c>
      <c r="F403" s="12">
        <v>45371</v>
      </c>
      <c r="G403" t="s">
        <v>734</v>
      </c>
      <c r="H403" s="12">
        <v>45371</v>
      </c>
      <c r="I403" t="s">
        <v>1371</v>
      </c>
      <c r="J403" t="s">
        <v>1343</v>
      </c>
      <c r="L403">
        <v>34.299999999999997</v>
      </c>
      <c r="P403" t="s">
        <v>106</v>
      </c>
      <c r="Q403" t="s">
        <v>106</v>
      </c>
      <c r="R403" t="s">
        <v>106</v>
      </c>
      <c r="S403" t="s">
        <v>106</v>
      </c>
      <c r="T403" t="s">
        <v>2342</v>
      </c>
      <c r="U403" t="s">
        <v>106</v>
      </c>
      <c r="V403" t="s">
        <v>106</v>
      </c>
      <c r="W403" t="s">
        <v>373</v>
      </c>
      <c r="X403" t="s">
        <v>106</v>
      </c>
      <c r="Y403" t="s">
        <v>108</v>
      </c>
      <c r="Z403" t="s">
        <v>108</v>
      </c>
      <c r="AA403" t="s">
        <v>1375</v>
      </c>
      <c r="AB403" t="s">
        <v>106</v>
      </c>
    </row>
    <row r="404" spans="1:28" x14ac:dyDescent="0.3">
      <c r="A404" t="s">
        <v>1366</v>
      </c>
      <c r="B404">
        <v>3</v>
      </c>
      <c r="C404">
        <v>35</v>
      </c>
      <c r="D404">
        <v>18</v>
      </c>
      <c r="E404" t="s">
        <v>308</v>
      </c>
      <c r="F404" s="12">
        <v>45371</v>
      </c>
      <c r="G404" t="s">
        <v>1505</v>
      </c>
      <c r="H404" s="12">
        <v>45371</v>
      </c>
      <c r="I404" t="s">
        <v>106</v>
      </c>
      <c r="J404" t="s">
        <v>1785</v>
      </c>
      <c r="K404">
        <v>2</v>
      </c>
      <c r="L404">
        <v>38.6</v>
      </c>
      <c r="P404" t="s">
        <v>106</v>
      </c>
      <c r="Q404" t="s">
        <v>106</v>
      </c>
      <c r="R404" t="s">
        <v>106</v>
      </c>
      <c r="S404" t="s">
        <v>2199</v>
      </c>
      <c r="T404" t="s">
        <v>2343</v>
      </c>
      <c r="U404" t="s">
        <v>106</v>
      </c>
      <c r="V404" t="s">
        <v>106</v>
      </c>
      <c r="W404" t="s">
        <v>443</v>
      </c>
      <c r="X404" t="s">
        <v>106</v>
      </c>
      <c r="Y404" t="s">
        <v>108</v>
      </c>
      <c r="Z404" t="s">
        <v>108</v>
      </c>
      <c r="AA404" t="s">
        <v>1375</v>
      </c>
      <c r="AB404" t="s">
        <v>106</v>
      </c>
    </row>
    <row r="405" spans="1:28" x14ac:dyDescent="0.3">
      <c r="A405" t="s">
        <v>1366</v>
      </c>
      <c r="B405">
        <v>3</v>
      </c>
      <c r="C405">
        <v>35</v>
      </c>
      <c r="D405">
        <v>37</v>
      </c>
      <c r="E405" t="s">
        <v>128</v>
      </c>
      <c r="F405" s="12">
        <v>45371</v>
      </c>
      <c r="G405" t="s">
        <v>520</v>
      </c>
      <c r="H405" s="12">
        <v>45371</v>
      </c>
      <c r="I405" t="s">
        <v>549</v>
      </c>
      <c r="J405" t="s">
        <v>1785</v>
      </c>
      <c r="K405">
        <v>2</v>
      </c>
      <c r="L405">
        <v>37.6</v>
      </c>
      <c r="P405" t="s">
        <v>106</v>
      </c>
      <c r="Q405" t="s">
        <v>106</v>
      </c>
      <c r="R405" t="s">
        <v>106</v>
      </c>
      <c r="S405" t="s">
        <v>1399</v>
      </c>
      <c r="T405" t="s">
        <v>756</v>
      </c>
      <c r="U405" t="s">
        <v>106</v>
      </c>
      <c r="V405" t="s">
        <v>106</v>
      </c>
      <c r="W405" t="s">
        <v>443</v>
      </c>
      <c r="X405" t="s">
        <v>106</v>
      </c>
      <c r="Y405" t="s">
        <v>108</v>
      </c>
      <c r="Z405" t="s">
        <v>108</v>
      </c>
      <c r="AA405" t="s">
        <v>1375</v>
      </c>
      <c r="AB405" t="s">
        <v>106</v>
      </c>
    </row>
    <row r="406" spans="1:28" x14ac:dyDescent="0.3">
      <c r="A406" t="s">
        <v>1366</v>
      </c>
      <c r="B406">
        <v>3</v>
      </c>
      <c r="C406">
        <v>35</v>
      </c>
      <c r="D406">
        <v>23</v>
      </c>
      <c r="E406" t="s">
        <v>308</v>
      </c>
      <c r="F406" s="12">
        <v>45371</v>
      </c>
      <c r="G406" t="s">
        <v>2291</v>
      </c>
      <c r="H406" s="12">
        <v>45371</v>
      </c>
      <c r="I406" t="s">
        <v>106</v>
      </c>
      <c r="J406" t="s">
        <v>1785</v>
      </c>
      <c r="K406">
        <v>2</v>
      </c>
      <c r="L406">
        <v>38.6</v>
      </c>
      <c r="P406" t="s">
        <v>106</v>
      </c>
      <c r="Q406" t="s">
        <v>106</v>
      </c>
      <c r="R406" t="s">
        <v>106</v>
      </c>
      <c r="S406" t="s">
        <v>1511</v>
      </c>
      <c r="T406" t="s">
        <v>774</v>
      </c>
      <c r="U406" t="s">
        <v>106</v>
      </c>
      <c r="V406" t="s">
        <v>106</v>
      </c>
      <c r="W406" t="s">
        <v>443</v>
      </c>
      <c r="X406" t="s">
        <v>106</v>
      </c>
      <c r="Y406" t="s">
        <v>108</v>
      </c>
      <c r="Z406" t="s">
        <v>108</v>
      </c>
      <c r="AA406" t="s">
        <v>1375</v>
      </c>
      <c r="AB406" t="s">
        <v>106</v>
      </c>
    </row>
    <row r="407" spans="1:28" x14ac:dyDescent="0.3">
      <c r="A407" t="s">
        <v>1369</v>
      </c>
      <c r="B407">
        <v>3</v>
      </c>
      <c r="C407">
        <v>35</v>
      </c>
      <c r="D407">
        <v>6</v>
      </c>
      <c r="E407" t="s">
        <v>110</v>
      </c>
      <c r="F407" s="12">
        <v>45371</v>
      </c>
      <c r="G407" t="s">
        <v>2067</v>
      </c>
      <c r="H407" s="12">
        <v>45371</v>
      </c>
      <c r="I407" t="s">
        <v>1371</v>
      </c>
      <c r="J407" t="s">
        <v>1343</v>
      </c>
      <c r="L407">
        <v>34.799999999999997</v>
      </c>
      <c r="P407" t="s">
        <v>106</v>
      </c>
      <c r="Q407" t="s">
        <v>106</v>
      </c>
      <c r="R407" t="s">
        <v>106</v>
      </c>
      <c r="S407" t="s">
        <v>106</v>
      </c>
      <c r="T407" t="s">
        <v>1145</v>
      </c>
      <c r="U407" t="s">
        <v>106</v>
      </c>
      <c r="V407" t="s">
        <v>106</v>
      </c>
      <c r="W407" t="s">
        <v>373</v>
      </c>
      <c r="X407" t="s">
        <v>106</v>
      </c>
      <c r="Y407" t="s">
        <v>108</v>
      </c>
      <c r="Z407" t="s">
        <v>108</v>
      </c>
      <c r="AA407" t="s">
        <v>1375</v>
      </c>
      <c r="AB407" t="s">
        <v>106</v>
      </c>
    </row>
    <row r="408" spans="1:28" x14ac:dyDescent="0.3">
      <c r="A408" t="s">
        <v>1366</v>
      </c>
      <c r="B408">
        <v>3</v>
      </c>
      <c r="C408">
        <v>35</v>
      </c>
      <c r="D408">
        <v>41</v>
      </c>
      <c r="E408" t="s">
        <v>128</v>
      </c>
      <c r="F408" s="12">
        <v>45371</v>
      </c>
      <c r="G408" t="s">
        <v>2354</v>
      </c>
      <c r="H408" s="12">
        <v>45371</v>
      </c>
      <c r="I408" t="s">
        <v>370</v>
      </c>
      <c r="J408" t="s">
        <v>458</v>
      </c>
      <c r="K408">
        <v>2</v>
      </c>
      <c r="L408">
        <v>36.700000000000003</v>
      </c>
      <c r="P408" t="s">
        <v>106</v>
      </c>
      <c r="Q408" t="s">
        <v>106</v>
      </c>
      <c r="R408" t="s">
        <v>106</v>
      </c>
      <c r="S408" t="s">
        <v>1335</v>
      </c>
      <c r="T408" t="s">
        <v>760</v>
      </c>
      <c r="U408" t="s">
        <v>391</v>
      </c>
      <c r="V408" t="s">
        <v>106</v>
      </c>
      <c r="W408" t="s">
        <v>373</v>
      </c>
      <c r="X408" t="s">
        <v>106</v>
      </c>
      <c r="Y408" t="s">
        <v>108</v>
      </c>
      <c r="Z408" t="s">
        <v>108</v>
      </c>
      <c r="AA408" t="s">
        <v>1375</v>
      </c>
      <c r="AB408" t="s">
        <v>106</v>
      </c>
    </row>
    <row r="409" spans="1:28" x14ac:dyDescent="0.3">
      <c r="A409" t="s">
        <v>1366</v>
      </c>
      <c r="B409">
        <v>3</v>
      </c>
      <c r="C409">
        <v>35</v>
      </c>
      <c r="D409">
        <v>61</v>
      </c>
      <c r="E409" t="s">
        <v>128</v>
      </c>
      <c r="F409" s="12">
        <v>45371</v>
      </c>
      <c r="G409" t="s">
        <v>2355</v>
      </c>
      <c r="H409" s="12">
        <v>45371</v>
      </c>
      <c r="I409" t="s">
        <v>1593</v>
      </c>
      <c r="J409" t="s">
        <v>458</v>
      </c>
      <c r="K409">
        <v>2</v>
      </c>
      <c r="L409">
        <v>38.700000000000003</v>
      </c>
      <c r="P409" t="s">
        <v>106</v>
      </c>
      <c r="Q409" t="s">
        <v>106</v>
      </c>
      <c r="R409" t="s">
        <v>106</v>
      </c>
      <c r="S409" t="s">
        <v>106</v>
      </c>
      <c r="T409" t="s">
        <v>1478</v>
      </c>
      <c r="U409" t="s">
        <v>1382</v>
      </c>
      <c r="V409" t="s">
        <v>106</v>
      </c>
      <c r="W409" t="s">
        <v>373</v>
      </c>
      <c r="X409" t="s">
        <v>106</v>
      </c>
      <c r="Y409" t="s">
        <v>108</v>
      </c>
      <c r="Z409" t="s">
        <v>108</v>
      </c>
      <c r="AA409" t="s">
        <v>1375</v>
      </c>
      <c r="AB409" t="s">
        <v>106</v>
      </c>
    </row>
    <row r="410" spans="1:28" x14ac:dyDescent="0.3">
      <c r="A410" t="s">
        <v>1366</v>
      </c>
      <c r="B410">
        <v>3</v>
      </c>
      <c r="C410">
        <v>35</v>
      </c>
      <c r="D410">
        <v>48</v>
      </c>
      <c r="E410" t="s">
        <v>128</v>
      </c>
      <c r="F410" s="12">
        <v>45371</v>
      </c>
      <c r="G410" t="s">
        <v>1551</v>
      </c>
      <c r="H410" s="12">
        <v>45371</v>
      </c>
      <c r="I410" t="s">
        <v>555</v>
      </c>
      <c r="J410" t="s">
        <v>458</v>
      </c>
      <c r="K410">
        <v>2</v>
      </c>
      <c r="L410">
        <v>36.299999999999997</v>
      </c>
      <c r="P410" t="s">
        <v>106</v>
      </c>
      <c r="Q410" t="s">
        <v>106</v>
      </c>
      <c r="R410" t="s">
        <v>106</v>
      </c>
      <c r="S410" t="s">
        <v>2356</v>
      </c>
      <c r="T410" t="s">
        <v>1589</v>
      </c>
      <c r="U410" t="s">
        <v>1382</v>
      </c>
      <c r="V410" t="s">
        <v>106</v>
      </c>
      <c r="W410" t="s">
        <v>373</v>
      </c>
      <c r="X410" t="s">
        <v>106</v>
      </c>
      <c r="Y410" t="s">
        <v>108</v>
      </c>
      <c r="Z410" t="s">
        <v>108</v>
      </c>
      <c r="AA410" t="s">
        <v>1375</v>
      </c>
      <c r="AB410" t="s">
        <v>106</v>
      </c>
    </row>
    <row r="411" spans="1:28" x14ac:dyDescent="0.3">
      <c r="A411" t="s">
        <v>1366</v>
      </c>
      <c r="B411">
        <v>3</v>
      </c>
      <c r="C411">
        <v>35</v>
      </c>
      <c r="D411">
        <v>20</v>
      </c>
      <c r="E411" t="s">
        <v>128</v>
      </c>
      <c r="F411" s="12">
        <v>45371</v>
      </c>
      <c r="G411" t="s">
        <v>324</v>
      </c>
      <c r="H411" s="12">
        <v>45371</v>
      </c>
      <c r="I411" t="s">
        <v>1609</v>
      </c>
      <c r="J411" t="s">
        <v>1785</v>
      </c>
      <c r="K411">
        <v>2</v>
      </c>
      <c r="L411">
        <v>38.5</v>
      </c>
      <c r="P411" t="s">
        <v>106</v>
      </c>
      <c r="Q411" t="s">
        <v>106</v>
      </c>
      <c r="R411" t="s">
        <v>106</v>
      </c>
      <c r="S411" t="s">
        <v>1792</v>
      </c>
      <c r="T411" t="s">
        <v>1730</v>
      </c>
      <c r="U411" t="s">
        <v>106</v>
      </c>
      <c r="V411" t="s">
        <v>106</v>
      </c>
      <c r="W411" t="s">
        <v>443</v>
      </c>
      <c r="X411" t="s">
        <v>106</v>
      </c>
      <c r="Y411" t="s">
        <v>108</v>
      </c>
      <c r="Z411" t="s">
        <v>108</v>
      </c>
      <c r="AA411" t="s">
        <v>1375</v>
      </c>
      <c r="AB411" t="s">
        <v>106</v>
      </c>
    </row>
    <row r="412" spans="1:28" x14ac:dyDescent="0.3">
      <c r="A412" t="s">
        <v>1366</v>
      </c>
      <c r="B412">
        <v>3</v>
      </c>
      <c r="C412">
        <v>35</v>
      </c>
      <c r="D412">
        <v>47</v>
      </c>
      <c r="E412" t="s">
        <v>128</v>
      </c>
      <c r="F412" s="12">
        <v>45371</v>
      </c>
      <c r="G412" t="s">
        <v>1551</v>
      </c>
      <c r="H412" s="12">
        <v>45371</v>
      </c>
      <c r="I412" t="s">
        <v>555</v>
      </c>
      <c r="J412" t="s">
        <v>458</v>
      </c>
      <c r="K412">
        <v>2</v>
      </c>
      <c r="L412">
        <v>38.299999999999997</v>
      </c>
      <c r="P412" t="s">
        <v>106</v>
      </c>
      <c r="Q412" t="s">
        <v>106</v>
      </c>
      <c r="R412" t="s">
        <v>106</v>
      </c>
      <c r="S412" t="s">
        <v>106</v>
      </c>
      <c r="T412" t="s">
        <v>1641</v>
      </c>
      <c r="U412" t="s">
        <v>1415</v>
      </c>
      <c r="V412" t="s">
        <v>106</v>
      </c>
      <c r="W412" t="s">
        <v>373</v>
      </c>
      <c r="X412" t="s">
        <v>106</v>
      </c>
      <c r="Y412" t="s">
        <v>108</v>
      </c>
      <c r="Z412" t="s">
        <v>108</v>
      </c>
      <c r="AA412" t="s">
        <v>1375</v>
      </c>
      <c r="AB412" t="s">
        <v>106</v>
      </c>
    </row>
    <row r="413" spans="1:28" x14ac:dyDescent="0.3">
      <c r="A413" t="s">
        <v>1366</v>
      </c>
      <c r="B413">
        <v>3</v>
      </c>
      <c r="C413">
        <v>35</v>
      </c>
      <c r="D413">
        <v>53</v>
      </c>
      <c r="E413" t="s">
        <v>128</v>
      </c>
      <c r="F413" s="12">
        <v>45371</v>
      </c>
      <c r="G413" t="s">
        <v>1546</v>
      </c>
      <c r="H413" s="12">
        <v>45371</v>
      </c>
      <c r="I413" t="s">
        <v>1174</v>
      </c>
      <c r="J413" t="s">
        <v>458</v>
      </c>
      <c r="K413">
        <v>2</v>
      </c>
      <c r="L413">
        <v>38.1</v>
      </c>
      <c r="P413" t="s">
        <v>106</v>
      </c>
      <c r="Q413" t="s">
        <v>106</v>
      </c>
      <c r="R413" t="s">
        <v>106</v>
      </c>
      <c r="S413" t="s">
        <v>106</v>
      </c>
      <c r="T413" t="s">
        <v>615</v>
      </c>
      <c r="U413" t="s">
        <v>391</v>
      </c>
      <c r="V413" t="s">
        <v>106</v>
      </c>
      <c r="W413" t="s">
        <v>373</v>
      </c>
      <c r="X413" t="s">
        <v>106</v>
      </c>
      <c r="Y413" t="s">
        <v>108</v>
      </c>
      <c r="Z413" t="s">
        <v>108</v>
      </c>
      <c r="AA413" t="s">
        <v>1375</v>
      </c>
      <c r="AB413" t="s">
        <v>106</v>
      </c>
    </row>
    <row r="414" spans="1:28" x14ac:dyDescent="0.3">
      <c r="A414" t="s">
        <v>1366</v>
      </c>
      <c r="B414">
        <v>3</v>
      </c>
      <c r="C414">
        <v>35</v>
      </c>
      <c r="D414">
        <v>66</v>
      </c>
      <c r="E414" t="s">
        <v>128</v>
      </c>
      <c r="F414" s="12">
        <v>45371</v>
      </c>
      <c r="G414" t="s">
        <v>982</v>
      </c>
      <c r="H414" s="12">
        <v>45371</v>
      </c>
      <c r="I414" t="s">
        <v>1784</v>
      </c>
      <c r="J414" t="s">
        <v>458</v>
      </c>
      <c r="K414">
        <v>2</v>
      </c>
      <c r="L414">
        <v>38.200000000000003</v>
      </c>
      <c r="P414" t="s">
        <v>106</v>
      </c>
      <c r="Q414" t="s">
        <v>106</v>
      </c>
      <c r="R414" t="s">
        <v>106</v>
      </c>
      <c r="S414" t="s">
        <v>1514</v>
      </c>
      <c r="T414" t="s">
        <v>760</v>
      </c>
      <c r="U414" t="s">
        <v>1411</v>
      </c>
      <c r="V414" t="s">
        <v>106</v>
      </c>
      <c r="W414" t="s">
        <v>373</v>
      </c>
      <c r="X414" t="s">
        <v>106</v>
      </c>
      <c r="Y414" t="s">
        <v>108</v>
      </c>
      <c r="Z414" t="s">
        <v>108</v>
      </c>
      <c r="AA414" t="s">
        <v>1375</v>
      </c>
      <c r="AB414" t="s">
        <v>106</v>
      </c>
    </row>
    <row r="415" spans="1:28" x14ac:dyDescent="0.3">
      <c r="A415" t="s">
        <v>1366</v>
      </c>
      <c r="B415">
        <v>3</v>
      </c>
      <c r="C415">
        <v>35</v>
      </c>
      <c r="D415">
        <v>21</v>
      </c>
      <c r="E415" t="s">
        <v>128</v>
      </c>
      <c r="F415" s="12">
        <v>45371</v>
      </c>
      <c r="G415" t="s">
        <v>2357</v>
      </c>
      <c r="H415" s="12">
        <v>45371</v>
      </c>
      <c r="I415" t="s">
        <v>1609</v>
      </c>
      <c r="J415" t="s">
        <v>1785</v>
      </c>
      <c r="K415">
        <v>1</v>
      </c>
      <c r="L415">
        <v>38.6</v>
      </c>
      <c r="P415" t="s">
        <v>106</v>
      </c>
      <c r="Q415" t="s">
        <v>106</v>
      </c>
      <c r="R415" t="s">
        <v>106</v>
      </c>
      <c r="S415" t="s">
        <v>1816</v>
      </c>
      <c r="T415" t="s">
        <v>1730</v>
      </c>
      <c r="U415" t="s">
        <v>106</v>
      </c>
      <c r="V415" t="s">
        <v>106</v>
      </c>
      <c r="W415" t="s">
        <v>443</v>
      </c>
      <c r="X415" t="s">
        <v>106</v>
      </c>
      <c r="Y415" t="s">
        <v>108</v>
      </c>
      <c r="Z415" t="s">
        <v>108</v>
      </c>
      <c r="AA415" t="s">
        <v>1375</v>
      </c>
      <c r="AB415" t="s">
        <v>106</v>
      </c>
    </row>
    <row r="416" spans="1:28" x14ac:dyDescent="0.3">
      <c r="A416" t="s">
        <v>1366</v>
      </c>
      <c r="B416">
        <v>3</v>
      </c>
      <c r="C416">
        <v>35</v>
      </c>
      <c r="D416">
        <v>60</v>
      </c>
      <c r="E416" t="s">
        <v>128</v>
      </c>
      <c r="F416" s="12">
        <v>45371</v>
      </c>
      <c r="G416" t="s">
        <v>2355</v>
      </c>
      <c r="H416" s="12">
        <v>45371</v>
      </c>
      <c r="I416" t="s">
        <v>1593</v>
      </c>
      <c r="J416" t="s">
        <v>458</v>
      </c>
      <c r="K416">
        <v>2</v>
      </c>
      <c r="L416">
        <v>38.299999999999997</v>
      </c>
      <c r="P416" t="s">
        <v>106</v>
      </c>
      <c r="Q416" t="s">
        <v>106</v>
      </c>
      <c r="R416" t="s">
        <v>106</v>
      </c>
      <c r="S416" t="s">
        <v>1964</v>
      </c>
      <c r="T416" t="s">
        <v>727</v>
      </c>
      <c r="U416" t="s">
        <v>1410</v>
      </c>
      <c r="V416" t="s">
        <v>106</v>
      </c>
      <c r="W416" t="s">
        <v>373</v>
      </c>
      <c r="X416" t="s">
        <v>106</v>
      </c>
      <c r="Y416" t="s">
        <v>108</v>
      </c>
      <c r="Z416" t="s">
        <v>108</v>
      </c>
      <c r="AA416" t="s">
        <v>1375</v>
      </c>
      <c r="AB416" t="s">
        <v>106</v>
      </c>
    </row>
    <row r="417" spans="1:28" x14ac:dyDescent="0.3">
      <c r="A417" t="s">
        <v>1369</v>
      </c>
      <c r="B417">
        <v>3</v>
      </c>
      <c r="C417">
        <v>35</v>
      </c>
      <c r="D417">
        <v>2</v>
      </c>
      <c r="E417" t="s">
        <v>308</v>
      </c>
      <c r="F417" s="12">
        <v>45371</v>
      </c>
      <c r="G417" t="s">
        <v>401</v>
      </c>
      <c r="H417" s="12" t="s">
        <v>106</v>
      </c>
      <c r="I417" t="s">
        <v>106</v>
      </c>
      <c r="J417" t="s">
        <v>106</v>
      </c>
      <c r="L417">
        <v>36.700000000000003</v>
      </c>
      <c r="P417" t="s">
        <v>106</v>
      </c>
      <c r="Q417" t="s">
        <v>106</v>
      </c>
      <c r="R417" t="s">
        <v>106</v>
      </c>
      <c r="S417" t="s">
        <v>106</v>
      </c>
      <c r="T417" t="s">
        <v>760</v>
      </c>
      <c r="U417" t="s">
        <v>106</v>
      </c>
      <c r="V417" t="s">
        <v>106</v>
      </c>
      <c r="W417" t="s">
        <v>373</v>
      </c>
      <c r="X417" t="s">
        <v>106</v>
      </c>
      <c r="Y417" t="s">
        <v>108</v>
      </c>
      <c r="Z417" t="s">
        <v>108</v>
      </c>
      <c r="AA417" t="s">
        <v>1375</v>
      </c>
      <c r="AB417" t="s">
        <v>106</v>
      </c>
    </row>
    <row r="418" spans="1:28" x14ac:dyDescent="0.3">
      <c r="A418" t="s">
        <v>1366</v>
      </c>
      <c r="B418">
        <v>3</v>
      </c>
      <c r="C418">
        <v>35</v>
      </c>
      <c r="D418">
        <v>30</v>
      </c>
      <c r="E418" t="s">
        <v>128</v>
      </c>
      <c r="F418" s="12">
        <v>45371</v>
      </c>
      <c r="G418" t="s">
        <v>2086</v>
      </c>
      <c r="H418" s="12">
        <v>45371</v>
      </c>
      <c r="I418" t="s">
        <v>549</v>
      </c>
      <c r="J418" t="s">
        <v>1785</v>
      </c>
      <c r="K418">
        <v>1</v>
      </c>
      <c r="L418">
        <v>37</v>
      </c>
      <c r="P418" t="s">
        <v>106</v>
      </c>
      <c r="Q418" t="s">
        <v>106</v>
      </c>
      <c r="R418" t="s">
        <v>106</v>
      </c>
      <c r="S418" t="s">
        <v>1490</v>
      </c>
      <c r="T418" t="s">
        <v>886</v>
      </c>
      <c r="U418" t="s">
        <v>106</v>
      </c>
      <c r="V418" t="s">
        <v>106</v>
      </c>
      <c r="W418" t="s">
        <v>443</v>
      </c>
      <c r="X418" t="s">
        <v>106</v>
      </c>
      <c r="Y418" t="s">
        <v>108</v>
      </c>
      <c r="Z418" t="s">
        <v>108</v>
      </c>
      <c r="AA418" t="s">
        <v>1375</v>
      </c>
      <c r="AB418" t="s">
        <v>106</v>
      </c>
    </row>
    <row r="419" spans="1:28" x14ac:dyDescent="0.3">
      <c r="A419" t="s">
        <v>1366</v>
      </c>
      <c r="B419">
        <v>3</v>
      </c>
      <c r="C419">
        <v>35</v>
      </c>
      <c r="D419">
        <v>54</v>
      </c>
      <c r="E419" t="s">
        <v>128</v>
      </c>
      <c r="F419" s="12">
        <v>45371</v>
      </c>
      <c r="G419" t="s">
        <v>2158</v>
      </c>
      <c r="H419" s="12">
        <v>45371</v>
      </c>
      <c r="I419" t="s">
        <v>1174</v>
      </c>
      <c r="J419" t="s">
        <v>458</v>
      </c>
      <c r="K419">
        <v>2</v>
      </c>
      <c r="L419">
        <v>38.200000000000003</v>
      </c>
      <c r="P419" t="s">
        <v>106</v>
      </c>
      <c r="Q419" t="s">
        <v>106</v>
      </c>
      <c r="R419" t="s">
        <v>106</v>
      </c>
      <c r="S419" t="s">
        <v>2164</v>
      </c>
      <c r="T419" t="s">
        <v>1791</v>
      </c>
      <c r="U419" t="s">
        <v>1415</v>
      </c>
      <c r="V419" t="s">
        <v>106</v>
      </c>
      <c r="W419" t="s">
        <v>373</v>
      </c>
      <c r="X419" t="s">
        <v>106</v>
      </c>
      <c r="Y419" t="s">
        <v>108</v>
      </c>
      <c r="Z419" t="s">
        <v>108</v>
      </c>
      <c r="AA419" t="s">
        <v>1375</v>
      </c>
      <c r="AB419" t="s">
        <v>106</v>
      </c>
    </row>
    <row r="420" spans="1:28" x14ac:dyDescent="0.3">
      <c r="A420" t="s">
        <v>1366</v>
      </c>
      <c r="B420">
        <v>3</v>
      </c>
      <c r="C420">
        <v>35</v>
      </c>
      <c r="D420">
        <v>19</v>
      </c>
      <c r="E420" t="s">
        <v>128</v>
      </c>
      <c r="F420" s="12">
        <v>45371</v>
      </c>
      <c r="G420" t="s">
        <v>323</v>
      </c>
      <c r="H420" s="12">
        <v>45371</v>
      </c>
      <c r="I420" t="s">
        <v>1609</v>
      </c>
      <c r="J420" t="s">
        <v>1785</v>
      </c>
      <c r="K420">
        <v>2</v>
      </c>
      <c r="L420">
        <v>38.700000000000003</v>
      </c>
      <c r="P420" t="s">
        <v>106</v>
      </c>
      <c r="Q420" t="s">
        <v>106</v>
      </c>
      <c r="R420" t="s">
        <v>106</v>
      </c>
      <c r="S420" t="s">
        <v>1744</v>
      </c>
      <c r="T420" t="s">
        <v>1459</v>
      </c>
      <c r="U420" t="s">
        <v>106</v>
      </c>
      <c r="V420" t="s">
        <v>106</v>
      </c>
      <c r="W420" t="s">
        <v>443</v>
      </c>
      <c r="X420" t="s">
        <v>106</v>
      </c>
      <c r="Y420" t="s">
        <v>108</v>
      </c>
      <c r="Z420" t="s">
        <v>108</v>
      </c>
      <c r="AA420" t="s">
        <v>1375</v>
      </c>
      <c r="AB420" t="s">
        <v>106</v>
      </c>
    </row>
    <row r="421" spans="1:28" x14ac:dyDescent="0.3">
      <c r="A421" t="s">
        <v>1366</v>
      </c>
      <c r="B421">
        <v>3</v>
      </c>
      <c r="C421">
        <v>35</v>
      </c>
      <c r="D421">
        <v>22</v>
      </c>
      <c r="E421" t="s">
        <v>128</v>
      </c>
      <c r="F421" s="12">
        <v>45371</v>
      </c>
      <c r="G421" t="s">
        <v>2085</v>
      </c>
      <c r="H421" s="12">
        <v>45371</v>
      </c>
      <c r="I421" t="s">
        <v>1609</v>
      </c>
      <c r="J421" t="s">
        <v>1785</v>
      </c>
      <c r="K421">
        <v>1</v>
      </c>
      <c r="L421">
        <v>38.6</v>
      </c>
      <c r="P421" t="s">
        <v>106</v>
      </c>
      <c r="Q421" t="s">
        <v>106</v>
      </c>
      <c r="R421" t="s">
        <v>106</v>
      </c>
      <c r="S421" t="s">
        <v>1399</v>
      </c>
      <c r="T421" t="s">
        <v>1730</v>
      </c>
      <c r="U421" t="s">
        <v>106</v>
      </c>
      <c r="V421" t="s">
        <v>106</v>
      </c>
      <c r="W421" t="s">
        <v>443</v>
      </c>
      <c r="X421" t="s">
        <v>106</v>
      </c>
      <c r="Y421" t="s">
        <v>108</v>
      </c>
      <c r="Z421" t="s">
        <v>108</v>
      </c>
      <c r="AA421" t="s">
        <v>1375</v>
      </c>
      <c r="AB421" t="s">
        <v>106</v>
      </c>
    </row>
    <row r="422" spans="1:28" x14ac:dyDescent="0.3">
      <c r="A422" t="s">
        <v>1366</v>
      </c>
      <c r="B422">
        <v>3</v>
      </c>
      <c r="C422">
        <v>35</v>
      </c>
      <c r="D422">
        <v>42</v>
      </c>
      <c r="E422" t="s">
        <v>128</v>
      </c>
      <c r="F422" s="12">
        <v>45371</v>
      </c>
      <c r="G422" t="s">
        <v>1812</v>
      </c>
      <c r="H422" s="12">
        <v>45371</v>
      </c>
      <c r="I422" t="s">
        <v>370</v>
      </c>
      <c r="J422" t="s">
        <v>458</v>
      </c>
      <c r="K422">
        <v>2</v>
      </c>
      <c r="L422">
        <v>37</v>
      </c>
      <c r="P422" t="s">
        <v>106</v>
      </c>
      <c r="Q422" t="s">
        <v>106</v>
      </c>
      <c r="R422" t="s">
        <v>106</v>
      </c>
      <c r="S422" t="s">
        <v>2160</v>
      </c>
      <c r="T422" t="s">
        <v>1120</v>
      </c>
      <c r="U422" t="s">
        <v>1780</v>
      </c>
      <c r="V422" t="s">
        <v>106</v>
      </c>
      <c r="W422" t="s">
        <v>373</v>
      </c>
      <c r="X422" t="s">
        <v>106</v>
      </c>
      <c r="Y422" t="s">
        <v>108</v>
      </c>
      <c r="Z422" t="s">
        <v>108</v>
      </c>
      <c r="AA422" t="s">
        <v>1375</v>
      </c>
      <c r="AB422" t="s">
        <v>106</v>
      </c>
    </row>
    <row r="423" spans="1:28" x14ac:dyDescent="0.3">
      <c r="A423" t="s">
        <v>1366</v>
      </c>
      <c r="B423">
        <v>3</v>
      </c>
      <c r="C423">
        <v>35</v>
      </c>
      <c r="D423">
        <v>32</v>
      </c>
      <c r="E423" t="s">
        <v>128</v>
      </c>
      <c r="F423" s="12">
        <v>45371</v>
      </c>
      <c r="G423" t="s">
        <v>592</v>
      </c>
      <c r="H423" s="12">
        <v>45371</v>
      </c>
      <c r="I423" t="s">
        <v>549</v>
      </c>
      <c r="J423" t="s">
        <v>1785</v>
      </c>
      <c r="K423">
        <v>1</v>
      </c>
      <c r="L423">
        <v>37.299999999999997</v>
      </c>
      <c r="P423" t="s">
        <v>106</v>
      </c>
      <c r="Q423" t="s">
        <v>106</v>
      </c>
      <c r="R423" t="s">
        <v>106</v>
      </c>
      <c r="S423" t="s">
        <v>2162</v>
      </c>
      <c r="T423" t="s">
        <v>1022</v>
      </c>
      <c r="U423" t="s">
        <v>106</v>
      </c>
      <c r="V423" t="s">
        <v>106</v>
      </c>
      <c r="W423" t="s">
        <v>443</v>
      </c>
      <c r="X423" t="s">
        <v>106</v>
      </c>
      <c r="Y423" t="s">
        <v>108</v>
      </c>
      <c r="Z423" t="s">
        <v>104</v>
      </c>
      <c r="AA423" t="s">
        <v>1375</v>
      </c>
      <c r="AB423" t="s">
        <v>106</v>
      </c>
    </row>
    <row r="424" spans="1:28" x14ac:dyDescent="0.3">
      <c r="A424" t="s">
        <v>1366</v>
      </c>
      <c r="B424">
        <v>3</v>
      </c>
      <c r="C424">
        <v>35</v>
      </c>
      <c r="D424">
        <v>31</v>
      </c>
      <c r="E424" t="s">
        <v>128</v>
      </c>
      <c r="F424" s="12">
        <v>45371</v>
      </c>
      <c r="G424" t="s">
        <v>314</v>
      </c>
      <c r="H424" s="12">
        <v>45371</v>
      </c>
      <c r="I424" t="s">
        <v>549</v>
      </c>
      <c r="J424" t="s">
        <v>1785</v>
      </c>
      <c r="K424">
        <v>1</v>
      </c>
      <c r="L424">
        <v>40.299999999999997</v>
      </c>
      <c r="P424" t="s">
        <v>106</v>
      </c>
      <c r="Q424" t="s">
        <v>106</v>
      </c>
      <c r="R424" t="s">
        <v>106</v>
      </c>
      <c r="S424" t="s">
        <v>1792</v>
      </c>
      <c r="T424" t="s">
        <v>1006</v>
      </c>
      <c r="U424" t="s">
        <v>106</v>
      </c>
      <c r="V424" t="s">
        <v>106</v>
      </c>
      <c r="W424" t="s">
        <v>443</v>
      </c>
      <c r="X424" t="s">
        <v>106</v>
      </c>
      <c r="Y424" t="s">
        <v>108</v>
      </c>
      <c r="Z424" t="s">
        <v>104</v>
      </c>
      <c r="AA424" t="s">
        <v>1375</v>
      </c>
      <c r="AB424" t="s">
        <v>106</v>
      </c>
    </row>
    <row r="425" spans="1:28" x14ac:dyDescent="0.3">
      <c r="A425" t="s">
        <v>1369</v>
      </c>
      <c r="B425">
        <v>4</v>
      </c>
      <c r="C425">
        <v>60</v>
      </c>
      <c r="D425">
        <v>3</v>
      </c>
      <c r="E425" t="s">
        <v>308</v>
      </c>
      <c r="F425" s="12">
        <v>45371</v>
      </c>
      <c r="G425" t="s">
        <v>460</v>
      </c>
      <c r="H425" s="12" t="s">
        <v>106</v>
      </c>
      <c r="I425" t="s">
        <v>106</v>
      </c>
      <c r="J425" t="s">
        <v>106</v>
      </c>
      <c r="L425">
        <v>61.1</v>
      </c>
      <c r="P425" t="s">
        <v>106</v>
      </c>
      <c r="Q425" t="s">
        <v>106</v>
      </c>
      <c r="R425" t="s">
        <v>106</v>
      </c>
      <c r="S425" t="s">
        <v>106</v>
      </c>
      <c r="T425" t="s">
        <v>1155</v>
      </c>
      <c r="U425" t="s">
        <v>106</v>
      </c>
      <c r="V425" t="s">
        <v>106</v>
      </c>
      <c r="W425" t="s">
        <v>373</v>
      </c>
      <c r="X425" t="s">
        <v>106</v>
      </c>
      <c r="Y425" t="s">
        <v>108</v>
      </c>
      <c r="Z425" t="s">
        <v>104</v>
      </c>
      <c r="AA425" t="s">
        <v>1375</v>
      </c>
      <c r="AB425" t="s">
        <v>106</v>
      </c>
    </row>
    <row r="426" spans="1:28" x14ac:dyDescent="0.3">
      <c r="A426" t="s">
        <v>1366</v>
      </c>
      <c r="B426">
        <v>4</v>
      </c>
      <c r="C426">
        <v>60</v>
      </c>
      <c r="D426">
        <v>36</v>
      </c>
      <c r="E426" t="s">
        <v>128</v>
      </c>
      <c r="F426" s="12">
        <v>45371</v>
      </c>
      <c r="G426" t="s">
        <v>316</v>
      </c>
      <c r="H426" s="12">
        <v>45371</v>
      </c>
      <c r="I426" t="s">
        <v>549</v>
      </c>
      <c r="J426" t="s">
        <v>1785</v>
      </c>
      <c r="K426">
        <v>2</v>
      </c>
      <c r="L426">
        <v>60.7</v>
      </c>
      <c r="P426" t="s">
        <v>106</v>
      </c>
      <c r="Q426" t="s">
        <v>106</v>
      </c>
      <c r="R426" t="s">
        <v>106</v>
      </c>
      <c r="S426" t="s">
        <v>1579</v>
      </c>
      <c r="T426" t="s">
        <v>1796</v>
      </c>
      <c r="U426" t="s">
        <v>106</v>
      </c>
      <c r="V426" t="s">
        <v>106</v>
      </c>
      <c r="W426" t="s">
        <v>443</v>
      </c>
      <c r="X426" t="s">
        <v>106</v>
      </c>
      <c r="Y426" t="s">
        <v>108</v>
      </c>
      <c r="Z426" t="s">
        <v>104</v>
      </c>
      <c r="AA426" t="s">
        <v>1375</v>
      </c>
      <c r="AB426" t="s">
        <v>106</v>
      </c>
    </row>
    <row r="427" spans="1:28" x14ac:dyDescent="0.3">
      <c r="A427" t="s">
        <v>1366</v>
      </c>
      <c r="B427">
        <v>4</v>
      </c>
      <c r="C427">
        <v>60</v>
      </c>
      <c r="D427">
        <v>39</v>
      </c>
      <c r="E427" t="s">
        <v>128</v>
      </c>
      <c r="F427" s="12">
        <v>45371</v>
      </c>
      <c r="G427" t="s">
        <v>316</v>
      </c>
      <c r="H427" s="12">
        <v>45371</v>
      </c>
      <c r="I427" t="s">
        <v>549</v>
      </c>
      <c r="J427" t="s">
        <v>1785</v>
      </c>
      <c r="K427">
        <v>2</v>
      </c>
      <c r="L427">
        <v>64.8</v>
      </c>
      <c r="P427" t="s">
        <v>106</v>
      </c>
      <c r="Q427" t="s">
        <v>106</v>
      </c>
      <c r="R427" t="s">
        <v>106</v>
      </c>
      <c r="S427" t="s">
        <v>2179</v>
      </c>
      <c r="T427" t="s">
        <v>2653</v>
      </c>
      <c r="U427" t="s">
        <v>106</v>
      </c>
      <c r="V427" t="s">
        <v>106</v>
      </c>
      <c r="W427" t="s">
        <v>443</v>
      </c>
      <c r="X427" t="s">
        <v>106</v>
      </c>
      <c r="Y427" t="s">
        <v>108</v>
      </c>
      <c r="Z427" t="s">
        <v>108</v>
      </c>
      <c r="AA427" t="s">
        <v>1375</v>
      </c>
      <c r="AB427" t="s">
        <v>106</v>
      </c>
    </row>
    <row r="428" spans="1:28" x14ac:dyDescent="0.3">
      <c r="A428" t="s">
        <v>1366</v>
      </c>
      <c r="B428">
        <v>4</v>
      </c>
      <c r="C428">
        <v>60</v>
      </c>
      <c r="D428">
        <v>63</v>
      </c>
      <c r="E428" t="s">
        <v>128</v>
      </c>
      <c r="F428" s="12">
        <v>45371</v>
      </c>
      <c r="G428" t="s">
        <v>2023</v>
      </c>
      <c r="H428" s="12">
        <v>45371</v>
      </c>
      <c r="I428" t="s">
        <v>1593</v>
      </c>
      <c r="J428" t="s">
        <v>458</v>
      </c>
      <c r="K428">
        <v>2</v>
      </c>
      <c r="L428">
        <v>62.4</v>
      </c>
      <c r="P428" t="s">
        <v>106</v>
      </c>
      <c r="Q428" t="s">
        <v>106</v>
      </c>
      <c r="R428" t="s">
        <v>106</v>
      </c>
      <c r="S428" t="s">
        <v>106</v>
      </c>
      <c r="T428" t="s">
        <v>1090</v>
      </c>
      <c r="U428" t="s">
        <v>1468</v>
      </c>
      <c r="V428" t="s">
        <v>106</v>
      </c>
      <c r="W428" t="s">
        <v>373</v>
      </c>
      <c r="X428" t="s">
        <v>106</v>
      </c>
      <c r="Y428" t="s">
        <v>108</v>
      </c>
      <c r="Z428" t="s">
        <v>104</v>
      </c>
      <c r="AA428" t="s">
        <v>1375</v>
      </c>
      <c r="AB428" t="s">
        <v>106</v>
      </c>
    </row>
    <row r="429" spans="1:28" x14ac:dyDescent="0.3">
      <c r="A429" t="s">
        <v>1366</v>
      </c>
      <c r="B429">
        <v>4</v>
      </c>
      <c r="C429">
        <v>60</v>
      </c>
      <c r="D429">
        <v>58</v>
      </c>
      <c r="E429" t="s">
        <v>128</v>
      </c>
      <c r="F429" s="12">
        <v>45371</v>
      </c>
      <c r="G429" t="s">
        <v>2654</v>
      </c>
      <c r="H429" s="12">
        <v>45371</v>
      </c>
      <c r="I429" t="s">
        <v>1174</v>
      </c>
      <c r="J429" t="s">
        <v>458</v>
      </c>
      <c r="K429">
        <v>2</v>
      </c>
      <c r="L429">
        <v>57.8</v>
      </c>
      <c r="P429" t="s">
        <v>106</v>
      </c>
      <c r="Q429" t="s">
        <v>106</v>
      </c>
      <c r="R429" t="s">
        <v>106</v>
      </c>
      <c r="S429" t="s">
        <v>2139</v>
      </c>
      <c r="T429" t="s">
        <v>1825</v>
      </c>
      <c r="U429" t="s">
        <v>430</v>
      </c>
      <c r="V429" t="s">
        <v>106</v>
      </c>
      <c r="W429" t="s">
        <v>373</v>
      </c>
      <c r="X429" t="s">
        <v>106</v>
      </c>
      <c r="Y429" t="s">
        <v>108</v>
      </c>
      <c r="Z429" t="s">
        <v>104</v>
      </c>
      <c r="AA429" t="s">
        <v>1375</v>
      </c>
      <c r="AB429" t="s">
        <v>106</v>
      </c>
    </row>
    <row r="430" spans="1:28" x14ac:dyDescent="0.3">
      <c r="A430" t="s">
        <v>1366</v>
      </c>
      <c r="B430">
        <v>4</v>
      </c>
      <c r="C430">
        <v>60</v>
      </c>
      <c r="D430">
        <v>24</v>
      </c>
      <c r="E430" t="s">
        <v>128</v>
      </c>
      <c r="F430" s="12">
        <v>45371</v>
      </c>
      <c r="G430" t="s">
        <v>399</v>
      </c>
      <c r="H430" s="12">
        <v>45371</v>
      </c>
      <c r="I430" t="s">
        <v>1609</v>
      </c>
      <c r="J430" t="s">
        <v>1785</v>
      </c>
      <c r="K430">
        <v>1</v>
      </c>
      <c r="L430">
        <v>64.5</v>
      </c>
      <c r="P430" t="s">
        <v>106</v>
      </c>
      <c r="Q430" t="s">
        <v>106</v>
      </c>
      <c r="R430" t="s">
        <v>106</v>
      </c>
      <c r="S430" t="s">
        <v>1511</v>
      </c>
      <c r="T430" t="s">
        <v>2063</v>
      </c>
      <c r="U430" t="s">
        <v>106</v>
      </c>
      <c r="V430" t="s">
        <v>106</v>
      </c>
      <c r="W430" t="s">
        <v>443</v>
      </c>
      <c r="X430" t="s">
        <v>106</v>
      </c>
      <c r="Y430" t="s">
        <v>108</v>
      </c>
      <c r="Z430" t="s">
        <v>104</v>
      </c>
      <c r="AA430" t="s">
        <v>1375</v>
      </c>
      <c r="AB430" t="s">
        <v>106</v>
      </c>
    </row>
    <row r="431" spans="1:28" x14ac:dyDescent="0.3">
      <c r="A431" t="s">
        <v>1366</v>
      </c>
      <c r="B431">
        <v>4</v>
      </c>
      <c r="C431">
        <v>60</v>
      </c>
      <c r="D431">
        <v>25</v>
      </c>
      <c r="E431" t="s">
        <v>128</v>
      </c>
      <c r="F431" s="12">
        <v>45371</v>
      </c>
      <c r="G431" t="s">
        <v>553</v>
      </c>
      <c r="H431" s="12">
        <v>45371</v>
      </c>
      <c r="I431" t="s">
        <v>1609</v>
      </c>
      <c r="J431" t="s">
        <v>1785</v>
      </c>
      <c r="K431">
        <v>2</v>
      </c>
      <c r="L431">
        <v>62.3</v>
      </c>
      <c r="P431" t="s">
        <v>106</v>
      </c>
      <c r="Q431" t="s">
        <v>106</v>
      </c>
      <c r="R431" t="s">
        <v>106</v>
      </c>
      <c r="S431" t="s">
        <v>1964</v>
      </c>
      <c r="T431" t="s">
        <v>1409</v>
      </c>
      <c r="U431" t="s">
        <v>106</v>
      </c>
      <c r="V431" t="s">
        <v>106</v>
      </c>
      <c r="W431" t="s">
        <v>443</v>
      </c>
      <c r="X431" t="s">
        <v>106</v>
      </c>
      <c r="Y431" t="s">
        <v>108</v>
      </c>
      <c r="Z431" t="s">
        <v>104</v>
      </c>
      <c r="AA431" t="s">
        <v>1375</v>
      </c>
      <c r="AB431" t="s">
        <v>106</v>
      </c>
    </row>
    <row r="432" spans="1:28" x14ac:dyDescent="0.3">
      <c r="A432" t="s">
        <v>1366</v>
      </c>
      <c r="B432">
        <v>4</v>
      </c>
      <c r="C432">
        <v>60</v>
      </c>
      <c r="D432">
        <v>26</v>
      </c>
      <c r="E432" t="s">
        <v>308</v>
      </c>
      <c r="F432" s="12">
        <v>45371</v>
      </c>
      <c r="G432" t="s">
        <v>744</v>
      </c>
      <c r="H432" s="12">
        <v>45371</v>
      </c>
      <c r="I432" t="s">
        <v>549</v>
      </c>
      <c r="J432" t="s">
        <v>1785</v>
      </c>
      <c r="K432">
        <v>2</v>
      </c>
      <c r="L432">
        <v>64.400000000000006</v>
      </c>
      <c r="P432" t="s">
        <v>106</v>
      </c>
      <c r="Q432" t="s">
        <v>106</v>
      </c>
      <c r="R432" t="s">
        <v>106</v>
      </c>
      <c r="S432" t="s">
        <v>1494</v>
      </c>
      <c r="T432" t="s">
        <v>2647</v>
      </c>
      <c r="U432" t="s">
        <v>106</v>
      </c>
      <c r="V432" t="s">
        <v>106</v>
      </c>
      <c r="W432" t="s">
        <v>443</v>
      </c>
      <c r="X432" t="s">
        <v>106</v>
      </c>
      <c r="Y432" t="s">
        <v>108</v>
      </c>
      <c r="Z432" t="s">
        <v>104</v>
      </c>
      <c r="AA432" t="s">
        <v>1375</v>
      </c>
      <c r="AB432" t="s">
        <v>106</v>
      </c>
    </row>
    <row r="433" spans="1:28" x14ac:dyDescent="0.3">
      <c r="A433" t="s">
        <v>1366</v>
      </c>
      <c r="B433">
        <v>4</v>
      </c>
      <c r="C433">
        <v>60</v>
      </c>
      <c r="D433">
        <v>70</v>
      </c>
      <c r="E433" t="s">
        <v>128</v>
      </c>
      <c r="F433" s="12">
        <v>45371</v>
      </c>
      <c r="G433" t="s">
        <v>1833</v>
      </c>
      <c r="H433" s="12">
        <v>45371</v>
      </c>
      <c r="I433" t="s">
        <v>1784</v>
      </c>
      <c r="J433" t="s">
        <v>458</v>
      </c>
      <c r="K433">
        <v>2</v>
      </c>
      <c r="L433">
        <v>62.4</v>
      </c>
      <c r="P433" t="s">
        <v>106</v>
      </c>
      <c r="Q433" t="s">
        <v>106</v>
      </c>
      <c r="R433" t="s">
        <v>106</v>
      </c>
      <c r="S433" t="s">
        <v>2247</v>
      </c>
      <c r="T433" t="s">
        <v>760</v>
      </c>
      <c r="U433" t="s">
        <v>905</v>
      </c>
      <c r="V433" t="s">
        <v>106</v>
      </c>
      <c r="W433" t="s">
        <v>373</v>
      </c>
      <c r="X433" t="s">
        <v>106</v>
      </c>
      <c r="Y433" t="s">
        <v>108</v>
      </c>
      <c r="Z433" t="s">
        <v>104</v>
      </c>
      <c r="AA433" t="s">
        <v>1375</v>
      </c>
      <c r="AB433" t="s">
        <v>106</v>
      </c>
    </row>
    <row r="434" spans="1:28" x14ac:dyDescent="0.3">
      <c r="A434" t="s">
        <v>1366</v>
      </c>
      <c r="B434">
        <v>4</v>
      </c>
      <c r="C434">
        <v>60</v>
      </c>
      <c r="D434">
        <v>69</v>
      </c>
      <c r="E434" t="s">
        <v>128</v>
      </c>
      <c r="F434" s="12">
        <v>45371</v>
      </c>
      <c r="G434" t="s">
        <v>2655</v>
      </c>
      <c r="H434" s="12">
        <v>45371</v>
      </c>
      <c r="I434" t="s">
        <v>1784</v>
      </c>
      <c r="J434" t="s">
        <v>458</v>
      </c>
      <c r="K434">
        <v>2</v>
      </c>
      <c r="L434">
        <v>62.1</v>
      </c>
      <c r="P434" t="s">
        <v>106</v>
      </c>
      <c r="Q434" t="s">
        <v>106</v>
      </c>
      <c r="R434" t="s">
        <v>106</v>
      </c>
      <c r="S434" t="s">
        <v>106</v>
      </c>
      <c r="T434" t="s">
        <v>1090</v>
      </c>
      <c r="U434" t="s">
        <v>1468</v>
      </c>
      <c r="V434" t="s">
        <v>106</v>
      </c>
      <c r="W434" t="s">
        <v>373</v>
      </c>
      <c r="X434" t="s">
        <v>106</v>
      </c>
      <c r="Y434" t="s">
        <v>108</v>
      </c>
      <c r="Z434" t="s">
        <v>104</v>
      </c>
      <c r="AA434" t="s">
        <v>1375</v>
      </c>
      <c r="AB434" t="s">
        <v>106</v>
      </c>
    </row>
    <row r="435" spans="1:28" x14ac:dyDescent="0.3">
      <c r="A435" t="s">
        <v>1366</v>
      </c>
      <c r="B435">
        <v>4</v>
      </c>
      <c r="C435">
        <v>60</v>
      </c>
      <c r="D435">
        <v>27</v>
      </c>
      <c r="E435" t="s">
        <v>308</v>
      </c>
      <c r="F435" s="12">
        <v>45371</v>
      </c>
      <c r="G435" t="s">
        <v>2465</v>
      </c>
      <c r="H435" s="12">
        <v>45371</v>
      </c>
      <c r="I435" t="s">
        <v>549</v>
      </c>
      <c r="J435" t="s">
        <v>1785</v>
      </c>
      <c r="K435">
        <v>2</v>
      </c>
      <c r="L435">
        <v>64.8</v>
      </c>
      <c r="P435" t="s">
        <v>106</v>
      </c>
      <c r="Q435" t="s">
        <v>106</v>
      </c>
      <c r="R435" t="s">
        <v>106</v>
      </c>
      <c r="S435" t="s">
        <v>1488</v>
      </c>
      <c r="T435" t="s">
        <v>506</v>
      </c>
      <c r="U435" t="s">
        <v>106</v>
      </c>
      <c r="V435" t="s">
        <v>106</v>
      </c>
      <c r="W435" t="s">
        <v>443</v>
      </c>
      <c r="X435" t="s">
        <v>106</v>
      </c>
      <c r="Y435" t="s">
        <v>108</v>
      </c>
      <c r="Z435" t="s">
        <v>104</v>
      </c>
      <c r="AA435" t="s">
        <v>1375</v>
      </c>
      <c r="AB435" t="s">
        <v>106</v>
      </c>
    </row>
    <row r="436" spans="1:28" x14ac:dyDescent="0.3">
      <c r="A436" t="s">
        <v>1366</v>
      </c>
      <c r="B436">
        <v>4</v>
      </c>
      <c r="C436">
        <v>60</v>
      </c>
      <c r="D436">
        <v>57</v>
      </c>
      <c r="E436" t="s">
        <v>128</v>
      </c>
      <c r="F436" s="12">
        <v>45371</v>
      </c>
      <c r="G436" t="s">
        <v>2654</v>
      </c>
      <c r="H436" s="12">
        <v>45371</v>
      </c>
      <c r="I436" t="s">
        <v>1174</v>
      </c>
      <c r="J436" t="s">
        <v>458</v>
      </c>
      <c r="K436">
        <v>2</v>
      </c>
      <c r="L436">
        <v>63.2</v>
      </c>
      <c r="P436" t="s">
        <v>106</v>
      </c>
      <c r="Q436" t="s">
        <v>106</v>
      </c>
      <c r="R436" t="s">
        <v>106</v>
      </c>
      <c r="S436" t="s">
        <v>106</v>
      </c>
      <c r="T436" t="s">
        <v>1523</v>
      </c>
      <c r="U436" t="s">
        <v>1591</v>
      </c>
      <c r="V436" t="s">
        <v>106</v>
      </c>
      <c r="W436" t="s">
        <v>373</v>
      </c>
      <c r="X436" t="s">
        <v>106</v>
      </c>
      <c r="Y436" t="s">
        <v>108</v>
      </c>
      <c r="Z436" t="s">
        <v>104</v>
      </c>
      <c r="AA436" t="s">
        <v>1375</v>
      </c>
      <c r="AB436" t="s">
        <v>106</v>
      </c>
    </row>
    <row r="437" spans="1:28" x14ac:dyDescent="0.3">
      <c r="A437" t="s">
        <v>1366</v>
      </c>
      <c r="B437">
        <v>4</v>
      </c>
      <c r="C437">
        <v>60</v>
      </c>
      <c r="D437">
        <v>52</v>
      </c>
      <c r="E437" t="s">
        <v>128</v>
      </c>
      <c r="F437" s="12">
        <v>45371</v>
      </c>
      <c r="G437" t="s">
        <v>2225</v>
      </c>
      <c r="H437" s="12">
        <v>45371</v>
      </c>
      <c r="I437" t="s">
        <v>555</v>
      </c>
      <c r="J437" t="s">
        <v>458</v>
      </c>
      <c r="K437">
        <v>2</v>
      </c>
      <c r="L437">
        <v>62.7</v>
      </c>
      <c r="P437" t="s">
        <v>106</v>
      </c>
      <c r="Q437" t="s">
        <v>106</v>
      </c>
      <c r="R437" t="s">
        <v>106</v>
      </c>
      <c r="S437" t="s">
        <v>2392</v>
      </c>
      <c r="T437" t="s">
        <v>1235</v>
      </c>
      <c r="U437" t="s">
        <v>1353</v>
      </c>
      <c r="V437" t="s">
        <v>106</v>
      </c>
      <c r="W437" t="s">
        <v>373</v>
      </c>
      <c r="X437" t="s">
        <v>106</v>
      </c>
      <c r="Y437" t="s">
        <v>108</v>
      </c>
      <c r="Z437" t="s">
        <v>104</v>
      </c>
      <c r="AA437" t="s">
        <v>1375</v>
      </c>
      <c r="AB437" t="s">
        <v>106</v>
      </c>
    </row>
    <row r="438" spans="1:28" x14ac:dyDescent="0.3">
      <c r="A438" t="s">
        <v>1366</v>
      </c>
      <c r="B438">
        <v>4</v>
      </c>
      <c r="C438">
        <v>60</v>
      </c>
      <c r="D438">
        <v>51</v>
      </c>
      <c r="E438" t="s">
        <v>128</v>
      </c>
      <c r="F438" s="12">
        <v>45371</v>
      </c>
      <c r="G438" t="s">
        <v>2225</v>
      </c>
      <c r="H438" s="12">
        <v>45371</v>
      </c>
      <c r="I438" t="s">
        <v>555</v>
      </c>
      <c r="J438" t="s">
        <v>458</v>
      </c>
      <c r="K438">
        <v>2</v>
      </c>
      <c r="L438">
        <v>62.8</v>
      </c>
      <c r="P438" t="s">
        <v>106</v>
      </c>
      <c r="Q438" t="s">
        <v>106</v>
      </c>
      <c r="R438" t="s">
        <v>106</v>
      </c>
      <c r="S438" t="s">
        <v>106</v>
      </c>
      <c r="T438" t="s">
        <v>1131</v>
      </c>
      <c r="U438" t="s">
        <v>1734</v>
      </c>
      <c r="V438" t="s">
        <v>106</v>
      </c>
      <c r="W438" t="s">
        <v>373</v>
      </c>
      <c r="X438" t="s">
        <v>106</v>
      </c>
      <c r="Y438" t="s">
        <v>108</v>
      </c>
      <c r="Z438" t="s">
        <v>104</v>
      </c>
      <c r="AA438" t="s">
        <v>1375</v>
      </c>
      <c r="AB438" t="s">
        <v>106</v>
      </c>
    </row>
    <row r="439" spans="1:28" x14ac:dyDescent="0.3">
      <c r="A439" t="s">
        <v>1366</v>
      </c>
      <c r="B439">
        <v>4</v>
      </c>
      <c r="C439">
        <v>60</v>
      </c>
      <c r="D439">
        <v>46</v>
      </c>
      <c r="E439" t="s">
        <v>128</v>
      </c>
      <c r="F439" s="12">
        <v>45371</v>
      </c>
      <c r="G439" t="s">
        <v>844</v>
      </c>
      <c r="H439" s="12">
        <v>45371</v>
      </c>
      <c r="I439" t="s">
        <v>370</v>
      </c>
      <c r="J439" t="s">
        <v>458</v>
      </c>
      <c r="K439">
        <v>2</v>
      </c>
      <c r="L439">
        <v>61.1</v>
      </c>
      <c r="P439" t="s">
        <v>106</v>
      </c>
      <c r="Q439" t="s">
        <v>106</v>
      </c>
      <c r="R439" t="s">
        <v>106</v>
      </c>
      <c r="S439" t="s">
        <v>2356</v>
      </c>
      <c r="T439" t="s">
        <v>1155</v>
      </c>
      <c r="U439" t="s">
        <v>1415</v>
      </c>
      <c r="V439" t="s">
        <v>106</v>
      </c>
      <c r="W439" t="s">
        <v>373</v>
      </c>
      <c r="X439" t="s">
        <v>106</v>
      </c>
      <c r="Y439" t="s">
        <v>108</v>
      </c>
      <c r="Z439" t="s">
        <v>104</v>
      </c>
      <c r="AA439" t="s">
        <v>1375</v>
      </c>
      <c r="AB439" t="s">
        <v>106</v>
      </c>
    </row>
    <row r="440" spans="1:28" x14ac:dyDescent="0.3">
      <c r="A440" t="s">
        <v>1366</v>
      </c>
      <c r="B440">
        <v>4</v>
      </c>
      <c r="C440">
        <v>60</v>
      </c>
      <c r="D440">
        <v>45</v>
      </c>
      <c r="E440" t="s">
        <v>128</v>
      </c>
      <c r="F440" s="12">
        <v>45371</v>
      </c>
      <c r="G440" t="s">
        <v>683</v>
      </c>
      <c r="H440" s="12">
        <v>45371</v>
      </c>
      <c r="I440" t="s">
        <v>370</v>
      </c>
      <c r="J440" t="s">
        <v>458</v>
      </c>
      <c r="K440">
        <v>2</v>
      </c>
      <c r="L440">
        <v>62.1</v>
      </c>
      <c r="P440" t="s">
        <v>106</v>
      </c>
      <c r="Q440" t="s">
        <v>106</v>
      </c>
      <c r="R440" t="s">
        <v>106</v>
      </c>
      <c r="S440" t="s">
        <v>1399</v>
      </c>
      <c r="T440" t="s">
        <v>2656</v>
      </c>
      <c r="U440" t="s">
        <v>427</v>
      </c>
      <c r="V440" t="s">
        <v>106</v>
      </c>
      <c r="W440" t="s">
        <v>373</v>
      </c>
      <c r="X440" t="s">
        <v>106</v>
      </c>
      <c r="Y440" t="s">
        <v>108</v>
      </c>
      <c r="Z440" t="s">
        <v>104</v>
      </c>
      <c r="AA440" t="s">
        <v>1375</v>
      </c>
      <c r="AB440" t="s">
        <v>106</v>
      </c>
    </row>
    <row r="441" spans="1:28" x14ac:dyDescent="0.3">
      <c r="A441" t="s">
        <v>1366</v>
      </c>
      <c r="B441">
        <v>4</v>
      </c>
      <c r="C441">
        <v>60</v>
      </c>
      <c r="D441">
        <v>64</v>
      </c>
      <c r="E441" t="s">
        <v>128</v>
      </c>
      <c r="F441" s="12">
        <v>45371</v>
      </c>
      <c r="G441" t="s">
        <v>1749</v>
      </c>
      <c r="H441" s="12">
        <v>45371</v>
      </c>
      <c r="I441" t="s">
        <v>1593</v>
      </c>
      <c r="J441" t="s">
        <v>458</v>
      </c>
      <c r="K441">
        <v>2</v>
      </c>
      <c r="L441">
        <v>60.2</v>
      </c>
      <c r="P441" t="s">
        <v>106</v>
      </c>
      <c r="Q441" t="s">
        <v>106</v>
      </c>
      <c r="R441" t="s">
        <v>106</v>
      </c>
      <c r="S441" t="s">
        <v>1895</v>
      </c>
      <c r="T441" t="s">
        <v>989</v>
      </c>
      <c r="U441" t="s">
        <v>1359</v>
      </c>
      <c r="V441" t="s">
        <v>106</v>
      </c>
      <c r="W441" t="s">
        <v>373</v>
      </c>
      <c r="X441" t="s">
        <v>106</v>
      </c>
      <c r="Y441" t="s">
        <v>108</v>
      </c>
      <c r="Z441" t="s">
        <v>104</v>
      </c>
      <c r="AA441" t="s">
        <v>1375</v>
      </c>
      <c r="AB441" t="s">
        <v>106</v>
      </c>
    </row>
    <row r="442" spans="1:28" x14ac:dyDescent="0.3">
      <c r="A442" t="s">
        <v>1366</v>
      </c>
      <c r="B442">
        <v>4</v>
      </c>
      <c r="C442">
        <v>60</v>
      </c>
      <c r="D442">
        <v>33</v>
      </c>
      <c r="E442" t="s">
        <v>128</v>
      </c>
      <c r="F442" s="12">
        <v>45371</v>
      </c>
      <c r="G442" t="s">
        <v>325</v>
      </c>
      <c r="H442" s="12">
        <v>45371</v>
      </c>
      <c r="I442" t="s">
        <v>549</v>
      </c>
      <c r="J442" t="s">
        <v>1785</v>
      </c>
      <c r="K442">
        <v>2</v>
      </c>
      <c r="L442">
        <v>64</v>
      </c>
      <c r="P442" t="s">
        <v>106</v>
      </c>
      <c r="Q442" t="s">
        <v>106</v>
      </c>
      <c r="R442" t="s">
        <v>106</v>
      </c>
      <c r="S442" t="s">
        <v>2255</v>
      </c>
      <c r="T442" t="s">
        <v>1006</v>
      </c>
      <c r="U442" t="s">
        <v>106</v>
      </c>
      <c r="V442" t="s">
        <v>106</v>
      </c>
      <c r="W442" t="s">
        <v>443</v>
      </c>
      <c r="X442" t="s">
        <v>106</v>
      </c>
      <c r="Y442" t="s">
        <v>108</v>
      </c>
      <c r="Z442" t="s">
        <v>104</v>
      </c>
      <c r="AA442" t="s">
        <v>1375</v>
      </c>
      <c r="AB442" t="s">
        <v>106</v>
      </c>
    </row>
    <row r="443" spans="1:28" x14ac:dyDescent="0.3">
      <c r="A443" t="s">
        <v>1366</v>
      </c>
      <c r="B443">
        <v>4</v>
      </c>
      <c r="C443">
        <v>60</v>
      </c>
      <c r="D443">
        <v>34</v>
      </c>
      <c r="E443" t="s">
        <v>128</v>
      </c>
      <c r="F443" s="12">
        <v>45371</v>
      </c>
      <c r="G443" t="s">
        <v>435</v>
      </c>
      <c r="H443" s="12">
        <v>45371</v>
      </c>
      <c r="I443" t="s">
        <v>549</v>
      </c>
      <c r="J443" t="s">
        <v>1785</v>
      </c>
      <c r="K443">
        <v>2</v>
      </c>
      <c r="L443">
        <v>62.9</v>
      </c>
      <c r="P443" t="s">
        <v>106</v>
      </c>
      <c r="Q443" t="s">
        <v>106</v>
      </c>
      <c r="R443" t="s">
        <v>106</v>
      </c>
      <c r="S443" t="s">
        <v>2155</v>
      </c>
      <c r="T443" t="s">
        <v>2657</v>
      </c>
      <c r="U443" t="s">
        <v>106</v>
      </c>
      <c r="V443" t="s">
        <v>106</v>
      </c>
      <c r="W443" t="s">
        <v>443</v>
      </c>
      <c r="X443" t="s">
        <v>106</v>
      </c>
      <c r="Y443" t="s">
        <v>108</v>
      </c>
      <c r="Z443" t="s">
        <v>104</v>
      </c>
      <c r="AA443" t="s">
        <v>1375</v>
      </c>
      <c r="AB443" t="s">
        <v>106</v>
      </c>
    </row>
    <row r="444" spans="1:28" x14ac:dyDescent="0.3">
      <c r="A444" t="s">
        <v>1369</v>
      </c>
      <c r="B444">
        <v>4</v>
      </c>
      <c r="C444">
        <v>60</v>
      </c>
      <c r="D444">
        <v>10</v>
      </c>
      <c r="E444" t="s">
        <v>110</v>
      </c>
      <c r="F444" s="12">
        <v>45371</v>
      </c>
      <c r="G444" t="s">
        <v>2658</v>
      </c>
      <c r="H444" s="12">
        <v>45371</v>
      </c>
      <c r="I444" t="s">
        <v>1371</v>
      </c>
      <c r="J444" t="s">
        <v>1343</v>
      </c>
      <c r="L444">
        <v>61.9</v>
      </c>
      <c r="P444" t="s">
        <v>106</v>
      </c>
      <c r="Q444" t="s">
        <v>106</v>
      </c>
      <c r="R444" t="s">
        <v>106</v>
      </c>
      <c r="S444" t="s">
        <v>106</v>
      </c>
      <c r="T444" t="s">
        <v>993</v>
      </c>
      <c r="U444" t="s">
        <v>106</v>
      </c>
      <c r="V444" t="s">
        <v>106</v>
      </c>
      <c r="W444" t="s">
        <v>373</v>
      </c>
      <c r="X444" t="s">
        <v>106</v>
      </c>
      <c r="Y444" t="s">
        <v>108</v>
      </c>
      <c r="Z444" t="s">
        <v>104</v>
      </c>
      <c r="AA444" t="s">
        <v>1375</v>
      </c>
      <c r="AB444" t="s">
        <v>106</v>
      </c>
    </row>
    <row r="445" spans="1:28" x14ac:dyDescent="0.3">
      <c r="A445" t="s">
        <v>1369</v>
      </c>
      <c r="B445">
        <v>4</v>
      </c>
      <c r="C445">
        <v>60</v>
      </c>
      <c r="D445">
        <v>9</v>
      </c>
      <c r="E445" t="s">
        <v>110</v>
      </c>
      <c r="F445" s="12">
        <v>45371</v>
      </c>
      <c r="G445" t="s">
        <v>2658</v>
      </c>
      <c r="H445" s="12">
        <v>45371</v>
      </c>
      <c r="I445" t="s">
        <v>1371</v>
      </c>
      <c r="J445" t="s">
        <v>1343</v>
      </c>
      <c r="L445">
        <v>62</v>
      </c>
      <c r="P445" t="s">
        <v>106</v>
      </c>
      <c r="Q445" t="s">
        <v>106</v>
      </c>
      <c r="R445" t="s">
        <v>106</v>
      </c>
      <c r="S445" t="s">
        <v>2381</v>
      </c>
      <c r="T445" t="s">
        <v>1214</v>
      </c>
      <c r="U445" t="s">
        <v>106</v>
      </c>
      <c r="V445" t="s">
        <v>106</v>
      </c>
      <c r="W445" t="s">
        <v>373</v>
      </c>
      <c r="X445" t="s">
        <v>106</v>
      </c>
      <c r="Y445" t="s">
        <v>108</v>
      </c>
      <c r="Z445" t="s">
        <v>104</v>
      </c>
      <c r="AA445" t="s">
        <v>1375</v>
      </c>
      <c r="AB445" t="s">
        <v>106</v>
      </c>
    </row>
    <row r="446" spans="1:28" x14ac:dyDescent="0.3">
      <c r="A446" t="s">
        <v>1366</v>
      </c>
      <c r="B446">
        <v>2</v>
      </c>
      <c r="C446">
        <v>15</v>
      </c>
      <c r="D446">
        <v>81</v>
      </c>
      <c r="E446" t="s">
        <v>128</v>
      </c>
      <c r="F446" s="12">
        <v>45372</v>
      </c>
      <c r="G446" t="s">
        <v>1797</v>
      </c>
      <c r="H446" s="12">
        <v>45372</v>
      </c>
      <c r="I446" t="s">
        <v>1024</v>
      </c>
      <c r="J446" t="s">
        <v>1363</v>
      </c>
      <c r="K446">
        <v>2</v>
      </c>
      <c r="L446">
        <v>17.5</v>
      </c>
      <c r="P446" t="s">
        <v>106</v>
      </c>
      <c r="Q446" t="s">
        <v>106</v>
      </c>
      <c r="R446" t="s">
        <v>106</v>
      </c>
      <c r="S446" t="s">
        <v>1798</v>
      </c>
      <c r="T446" t="s">
        <v>1701</v>
      </c>
      <c r="U446" t="s">
        <v>429</v>
      </c>
      <c r="V446" t="s">
        <v>106</v>
      </c>
      <c r="W446" t="s">
        <v>443</v>
      </c>
      <c r="X446" t="s">
        <v>106</v>
      </c>
      <c r="Y446" t="s">
        <v>108</v>
      </c>
      <c r="Z446" t="s">
        <v>109</v>
      </c>
      <c r="AA446" t="s">
        <v>1375</v>
      </c>
      <c r="AB446" t="s">
        <v>106</v>
      </c>
    </row>
    <row r="447" spans="1:28" x14ac:dyDescent="0.3">
      <c r="A447" t="s">
        <v>1366</v>
      </c>
      <c r="B447">
        <v>2</v>
      </c>
      <c r="C447">
        <v>15</v>
      </c>
      <c r="D447">
        <v>75</v>
      </c>
      <c r="E447" t="s">
        <v>128</v>
      </c>
      <c r="F447" s="12">
        <v>45372</v>
      </c>
      <c r="G447" t="s">
        <v>1799</v>
      </c>
      <c r="H447" s="12">
        <v>45372</v>
      </c>
      <c r="I447" t="s">
        <v>1024</v>
      </c>
      <c r="J447" t="s">
        <v>1363</v>
      </c>
      <c r="K447">
        <v>1</v>
      </c>
      <c r="L447">
        <v>17.100000000000001</v>
      </c>
      <c r="P447" t="s">
        <v>106</v>
      </c>
      <c r="Q447" t="s">
        <v>106</v>
      </c>
      <c r="R447" t="s">
        <v>106</v>
      </c>
      <c r="S447" t="s">
        <v>1664</v>
      </c>
      <c r="T447" t="s">
        <v>1495</v>
      </c>
      <c r="U447" t="s">
        <v>703</v>
      </c>
      <c r="V447" t="s">
        <v>106</v>
      </c>
      <c r="W447" t="s">
        <v>443</v>
      </c>
      <c r="X447" t="s">
        <v>106</v>
      </c>
      <c r="Y447" t="s">
        <v>108</v>
      </c>
      <c r="Z447" t="s">
        <v>109</v>
      </c>
      <c r="AA447" t="s">
        <v>1375</v>
      </c>
      <c r="AB447" t="s">
        <v>106</v>
      </c>
    </row>
    <row r="448" spans="1:28" x14ac:dyDescent="0.3">
      <c r="A448" t="s">
        <v>1366</v>
      </c>
      <c r="B448">
        <v>2</v>
      </c>
      <c r="C448">
        <v>15</v>
      </c>
      <c r="D448">
        <v>74</v>
      </c>
      <c r="E448" t="s">
        <v>128</v>
      </c>
      <c r="F448" s="12">
        <v>45372</v>
      </c>
      <c r="G448" t="s">
        <v>1799</v>
      </c>
      <c r="H448" s="12">
        <v>45372</v>
      </c>
      <c r="I448" t="s">
        <v>1024</v>
      </c>
      <c r="J448" t="s">
        <v>1363</v>
      </c>
      <c r="K448">
        <v>1</v>
      </c>
      <c r="L448">
        <v>17.100000000000001</v>
      </c>
      <c r="P448" t="s">
        <v>106</v>
      </c>
      <c r="Q448" t="s">
        <v>106</v>
      </c>
      <c r="R448" t="s">
        <v>106</v>
      </c>
      <c r="S448" t="s">
        <v>1507</v>
      </c>
      <c r="T448" t="s">
        <v>1529</v>
      </c>
      <c r="U448" t="s">
        <v>427</v>
      </c>
      <c r="V448" t="s">
        <v>106</v>
      </c>
      <c r="W448" t="s">
        <v>443</v>
      </c>
      <c r="X448" t="s">
        <v>106</v>
      </c>
      <c r="Y448" t="s">
        <v>108</v>
      </c>
      <c r="Z448" t="s">
        <v>109</v>
      </c>
      <c r="AA448" t="s">
        <v>1375</v>
      </c>
      <c r="AB448" t="s">
        <v>106</v>
      </c>
    </row>
    <row r="449" spans="1:28" x14ac:dyDescent="0.3">
      <c r="A449" t="s">
        <v>1366</v>
      </c>
      <c r="B449">
        <v>2</v>
      </c>
      <c r="C449">
        <v>15</v>
      </c>
      <c r="D449">
        <v>80</v>
      </c>
      <c r="E449" t="s">
        <v>128</v>
      </c>
      <c r="F449" s="12">
        <v>45372</v>
      </c>
      <c r="G449" t="s">
        <v>1797</v>
      </c>
      <c r="H449" s="12">
        <v>45372</v>
      </c>
      <c r="I449" t="s">
        <v>1024</v>
      </c>
      <c r="J449" t="s">
        <v>1363</v>
      </c>
      <c r="K449">
        <v>2</v>
      </c>
      <c r="L449">
        <v>17.100000000000001</v>
      </c>
      <c r="P449" t="s">
        <v>106</v>
      </c>
      <c r="Q449" t="s">
        <v>106</v>
      </c>
      <c r="R449" t="s">
        <v>106</v>
      </c>
      <c r="S449" t="s">
        <v>1717</v>
      </c>
      <c r="T449" t="s">
        <v>1495</v>
      </c>
      <c r="U449" t="s">
        <v>841</v>
      </c>
      <c r="V449" t="s">
        <v>106</v>
      </c>
      <c r="W449" t="s">
        <v>443</v>
      </c>
      <c r="X449" t="s">
        <v>106</v>
      </c>
      <c r="Y449" t="s">
        <v>108</v>
      </c>
      <c r="Z449" t="s">
        <v>109</v>
      </c>
      <c r="AA449" t="s">
        <v>1375</v>
      </c>
      <c r="AB449" t="s">
        <v>106</v>
      </c>
    </row>
    <row r="450" spans="1:28" x14ac:dyDescent="0.3">
      <c r="A450" t="s">
        <v>1366</v>
      </c>
      <c r="B450">
        <v>3</v>
      </c>
      <c r="C450">
        <v>35</v>
      </c>
      <c r="D450">
        <v>77</v>
      </c>
      <c r="E450" t="s">
        <v>128</v>
      </c>
      <c r="F450" s="12">
        <v>45372</v>
      </c>
      <c r="G450" t="s">
        <v>1028</v>
      </c>
      <c r="H450" s="12">
        <v>45372</v>
      </c>
      <c r="I450" t="s">
        <v>1024</v>
      </c>
      <c r="J450" t="s">
        <v>1363</v>
      </c>
      <c r="K450">
        <v>2</v>
      </c>
      <c r="L450">
        <v>38.200000000000003</v>
      </c>
      <c r="P450" t="s">
        <v>106</v>
      </c>
      <c r="Q450" t="s">
        <v>106</v>
      </c>
      <c r="R450" t="s">
        <v>106</v>
      </c>
      <c r="S450" t="s">
        <v>1541</v>
      </c>
      <c r="T450" t="s">
        <v>1120</v>
      </c>
      <c r="U450" t="s">
        <v>708</v>
      </c>
      <c r="V450" t="s">
        <v>106</v>
      </c>
      <c r="W450" t="s">
        <v>443</v>
      </c>
      <c r="X450" t="s">
        <v>106</v>
      </c>
      <c r="Y450" t="s">
        <v>108</v>
      </c>
      <c r="Z450" t="s">
        <v>108</v>
      </c>
      <c r="AA450" t="s">
        <v>1375</v>
      </c>
      <c r="AB450" t="s">
        <v>106</v>
      </c>
    </row>
    <row r="451" spans="1:28" x14ac:dyDescent="0.3">
      <c r="A451" t="s">
        <v>1366</v>
      </c>
      <c r="B451">
        <v>3</v>
      </c>
      <c r="C451">
        <v>35</v>
      </c>
      <c r="D451">
        <v>76</v>
      </c>
      <c r="E451" t="s">
        <v>128</v>
      </c>
      <c r="F451" s="12">
        <v>45372</v>
      </c>
      <c r="G451" t="s">
        <v>1028</v>
      </c>
      <c r="H451" s="12">
        <v>45372</v>
      </c>
      <c r="I451" t="s">
        <v>1024</v>
      </c>
      <c r="J451" t="s">
        <v>1363</v>
      </c>
      <c r="K451">
        <v>2</v>
      </c>
      <c r="L451">
        <v>38.700000000000003</v>
      </c>
      <c r="P451" t="s">
        <v>106</v>
      </c>
      <c r="Q451" t="s">
        <v>106</v>
      </c>
      <c r="R451" t="s">
        <v>106</v>
      </c>
      <c r="S451" t="s">
        <v>1703</v>
      </c>
      <c r="T451" t="s">
        <v>884</v>
      </c>
      <c r="U451" t="s">
        <v>1418</v>
      </c>
      <c r="V451" t="s">
        <v>106</v>
      </c>
      <c r="W451" t="s">
        <v>443</v>
      </c>
      <c r="X451" t="s">
        <v>106</v>
      </c>
      <c r="Y451" t="s">
        <v>108</v>
      </c>
      <c r="Z451" t="s">
        <v>108</v>
      </c>
      <c r="AA451" t="s">
        <v>1375</v>
      </c>
      <c r="AB451" t="s">
        <v>106</v>
      </c>
    </row>
    <row r="452" spans="1:28" x14ac:dyDescent="0.3">
      <c r="A452" t="s">
        <v>1366</v>
      </c>
      <c r="B452">
        <v>3</v>
      </c>
      <c r="C452">
        <v>35</v>
      </c>
      <c r="D452">
        <v>72</v>
      </c>
      <c r="E452" t="s">
        <v>128</v>
      </c>
      <c r="F452" s="12">
        <v>45372</v>
      </c>
      <c r="G452" t="s">
        <v>2358</v>
      </c>
      <c r="H452" s="12">
        <v>45372</v>
      </c>
      <c r="I452" t="s">
        <v>1024</v>
      </c>
      <c r="J452" t="s">
        <v>1363</v>
      </c>
      <c r="K452">
        <v>1</v>
      </c>
      <c r="L452">
        <v>37</v>
      </c>
      <c r="P452" t="s">
        <v>106</v>
      </c>
      <c r="Q452" t="s">
        <v>106</v>
      </c>
      <c r="R452" t="s">
        <v>106</v>
      </c>
      <c r="S452" t="s">
        <v>1762</v>
      </c>
      <c r="T452" t="s">
        <v>1431</v>
      </c>
      <c r="U452" t="s">
        <v>1651</v>
      </c>
      <c r="V452" t="s">
        <v>106</v>
      </c>
      <c r="W452" t="s">
        <v>443</v>
      </c>
      <c r="X452" t="s">
        <v>106</v>
      </c>
      <c r="Y452" t="s">
        <v>108</v>
      </c>
      <c r="Z452" t="s">
        <v>108</v>
      </c>
      <c r="AA452" t="s">
        <v>1375</v>
      </c>
      <c r="AB452" t="s">
        <v>106</v>
      </c>
    </row>
    <row r="453" spans="1:28" x14ac:dyDescent="0.3">
      <c r="A453" t="s">
        <v>1369</v>
      </c>
      <c r="B453">
        <v>3</v>
      </c>
      <c r="C453">
        <v>35</v>
      </c>
      <c r="D453">
        <v>13</v>
      </c>
      <c r="E453" t="s">
        <v>128</v>
      </c>
      <c r="F453" s="12">
        <v>45372</v>
      </c>
      <c r="G453" t="s">
        <v>1094</v>
      </c>
      <c r="H453" s="12">
        <v>45372</v>
      </c>
      <c r="I453" t="s">
        <v>1457</v>
      </c>
      <c r="J453" t="s">
        <v>458</v>
      </c>
      <c r="K453">
        <v>1</v>
      </c>
      <c r="L453">
        <v>38.5</v>
      </c>
      <c r="P453" t="s">
        <v>106</v>
      </c>
      <c r="Q453" t="s">
        <v>106</v>
      </c>
      <c r="R453" t="s">
        <v>106</v>
      </c>
      <c r="S453" t="s">
        <v>1748</v>
      </c>
      <c r="T453" t="s">
        <v>1449</v>
      </c>
      <c r="U453" t="s">
        <v>1482</v>
      </c>
      <c r="V453" t="s">
        <v>106</v>
      </c>
      <c r="W453" t="s">
        <v>443</v>
      </c>
      <c r="X453" t="s">
        <v>106</v>
      </c>
      <c r="Y453" t="s">
        <v>108</v>
      </c>
      <c r="Z453" t="s">
        <v>108</v>
      </c>
      <c r="AA453" t="s">
        <v>1806</v>
      </c>
      <c r="AB453" t="s">
        <v>106</v>
      </c>
    </row>
    <row r="454" spans="1:28" x14ac:dyDescent="0.3">
      <c r="A454" t="s">
        <v>1366</v>
      </c>
      <c r="B454">
        <v>3</v>
      </c>
      <c r="C454">
        <v>35</v>
      </c>
      <c r="D454">
        <v>71</v>
      </c>
      <c r="E454" t="s">
        <v>128</v>
      </c>
      <c r="F454" s="12">
        <v>45372</v>
      </c>
      <c r="G454" t="s">
        <v>2358</v>
      </c>
      <c r="H454" s="12">
        <v>45372</v>
      </c>
      <c r="I454" t="s">
        <v>1024</v>
      </c>
      <c r="J454" t="s">
        <v>1363</v>
      </c>
      <c r="K454">
        <v>1</v>
      </c>
      <c r="L454">
        <v>37.1</v>
      </c>
      <c r="P454" t="s">
        <v>106</v>
      </c>
      <c r="Q454" t="s">
        <v>106</v>
      </c>
      <c r="R454" t="s">
        <v>106</v>
      </c>
      <c r="S454" t="s">
        <v>2359</v>
      </c>
      <c r="T454" t="s">
        <v>1158</v>
      </c>
      <c r="U454" t="s">
        <v>1418</v>
      </c>
      <c r="V454" t="s">
        <v>106</v>
      </c>
      <c r="W454" t="s">
        <v>443</v>
      </c>
      <c r="X454" t="s">
        <v>106</v>
      </c>
      <c r="Y454" t="s">
        <v>108</v>
      </c>
      <c r="Z454" t="s">
        <v>108</v>
      </c>
      <c r="AA454" t="s">
        <v>1375</v>
      </c>
      <c r="AB454" t="s">
        <v>106</v>
      </c>
    </row>
    <row r="455" spans="1:28" x14ac:dyDescent="0.3">
      <c r="A455" t="s">
        <v>1366</v>
      </c>
      <c r="B455">
        <v>4</v>
      </c>
      <c r="C455">
        <v>60</v>
      </c>
      <c r="D455">
        <v>79</v>
      </c>
      <c r="E455" t="s">
        <v>128</v>
      </c>
      <c r="F455" s="12">
        <v>45372</v>
      </c>
      <c r="G455" t="s">
        <v>1722</v>
      </c>
      <c r="H455" s="12">
        <v>45372</v>
      </c>
      <c r="I455" t="s">
        <v>1024</v>
      </c>
      <c r="J455" t="s">
        <v>1363</v>
      </c>
      <c r="K455">
        <v>2</v>
      </c>
      <c r="L455">
        <v>63.3</v>
      </c>
      <c r="P455" t="s">
        <v>106</v>
      </c>
      <c r="Q455" t="s">
        <v>106</v>
      </c>
      <c r="R455" t="s">
        <v>106</v>
      </c>
      <c r="S455" t="s">
        <v>1809</v>
      </c>
      <c r="T455" t="s">
        <v>1016</v>
      </c>
      <c r="U455" t="s">
        <v>703</v>
      </c>
      <c r="V455" t="s">
        <v>106</v>
      </c>
      <c r="W455" t="s">
        <v>443</v>
      </c>
      <c r="X455" t="s">
        <v>106</v>
      </c>
      <c r="Y455" t="s">
        <v>108</v>
      </c>
      <c r="Z455" t="s">
        <v>104</v>
      </c>
      <c r="AA455" t="s">
        <v>1375</v>
      </c>
      <c r="AB455" t="s">
        <v>106</v>
      </c>
    </row>
    <row r="456" spans="1:28" x14ac:dyDescent="0.3">
      <c r="A456" t="s">
        <v>1366</v>
      </c>
      <c r="B456">
        <v>4</v>
      </c>
      <c r="C456">
        <v>60</v>
      </c>
      <c r="D456">
        <v>73</v>
      </c>
      <c r="E456" t="s">
        <v>128</v>
      </c>
      <c r="F456" s="12">
        <v>45372</v>
      </c>
      <c r="G456" t="s">
        <v>2182</v>
      </c>
      <c r="H456" s="12">
        <v>45372</v>
      </c>
      <c r="I456" t="s">
        <v>1024</v>
      </c>
      <c r="J456" t="s">
        <v>1363</v>
      </c>
      <c r="K456">
        <v>1</v>
      </c>
      <c r="L456">
        <v>62.5</v>
      </c>
      <c r="P456" t="s">
        <v>106</v>
      </c>
      <c r="Q456" t="s">
        <v>106</v>
      </c>
      <c r="R456" t="s">
        <v>106</v>
      </c>
      <c r="S456" t="s">
        <v>2130</v>
      </c>
      <c r="T456" t="s">
        <v>760</v>
      </c>
      <c r="U456" t="s">
        <v>1415</v>
      </c>
      <c r="V456" t="s">
        <v>106</v>
      </c>
      <c r="W456" t="s">
        <v>443</v>
      </c>
      <c r="X456" t="s">
        <v>106</v>
      </c>
      <c r="Y456" t="s">
        <v>108</v>
      </c>
      <c r="Z456" t="s">
        <v>104</v>
      </c>
      <c r="AA456" t="s">
        <v>1375</v>
      </c>
      <c r="AB456" t="s">
        <v>106</v>
      </c>
    </row>
    <row r="457" spans="1:28" x14ac:dyDescent="0.3">
      <c r="A457" t="s">
        <v>1366</v>
      </c>
      <c r="B457">
        <v>4</v>
      </c>
      <c r="C457">
        <v>60</v>
      </c>
      <c r="D457">
        <v>78</v>
      </c>
      <c r="E457" t="s">
        <v>128</v>
      </c>
      <c r="F457" s="12">
        <v>45372</v>
      </c>
      <c r="G457" t="s">
        <v>1722</v>
      </c>
      <c r="H457" s="12">
        <v>45372</v>
      </c>
      <c r="I457" t="s">
        <v>1024</v>
      </c>
      <c r="J457" t="s">
        <v>1363</v>
      </c>
      <c r="K457">
        <v>2</v>
      </c>
      <c r="L457">
        <v>61.6</v>
      </c>
      <c r="P457" t="s">
        <v>106</v>
      </c>
      <c r="Q457" t="s">
        <v>106</v>
      </c>
      <c r="R457" t="s">
        <v>106</v>
      </c>
      <c r="S457" t="s">
        <v>1873</v>
      </c>
      <c r="T457" t="s">
        <v>1478</v>
      </c>
      <c r="U457" t="s">
        <v>429</v>
      </c>
      <c r="V457" t="s">
        <v>106</v>
      </c>
      <c r="W457" t="s">
        <v>443</v>
      </c>
      <c r="X457" t="s">
        <v>106</v>
      </c>
      <c r="Y457" t="s">
        <v>108</v>
      </c>
      <c r="Z457" t="s">
        <v>104</v>
      </c>
      <c r="AA457" t="s">
        <v>1375</v>
      </c>
      <c r="AB457" t="s">
        <v>106</v>
      </c>
    </row>
    <row r="458" spans="1:28" x14ac:dyDescent="0.3">
      <c r="A458" t="s">
        <v>1369</v>
      </c>
      <c r="B458">
        <v>1</v>
      </c>
      <c r="C458">
        <v>0</v>
      </c>
      <c r="D458">
        <v>37</v>
      </c>
      <c r="E458" t="s">
        <v>128</v>
      </c>
      <c r="F458" s="12">
        <v>45376</v>
      </c>
      <c r="G458" t="s">
        <v>1376</v>
      </c>
      <c r="H458" s="12">
        <v>45376</v>
      </c>
      <c r="I458" t="s">
        <v>698</v>
      </c>
      <c r="J458" t="s">
        <v>458</v>
      </c>
      <c r="K458">
        <v>1</v>
      </c>
      <c r="L458">
        <v>0</v>
      </c>
      <c r="P458" t="s">
        <v>106</v>
      </c>
      <c r="Q458" t="s">
        <v>106</v>
      </c>
      <c r="R458" t="s">
        <v>106</v>
      </c>
      <c r="S458" t="s">
        <v>106</v>
      </c>
      <c r="T458" t="s">
        <v>1377</v>
      </c>
      <c r="U458" t="s">
        <v>106</v>
      </c>
      <c r="V458" t="s">
        <v>106</v>
      </c>
      <c r="W458" t="s">
        <v>373</v>
      </c>
      <c r="X458" t="s">
        <v>106</v>
      </c>
      <c r="Y458" t="s">
        <v>108</v>
      </c>
      <c r="Z458" t="s">
        <v>105</v>
      </c>
      <c r="AA458" t="s">
        <v>1316</v>
      </c>
      <c r="AB458" t="s">
        <v>106</v>
      </c>
    </row>
    <row r="459" spans="1:28" x14ac:dyDescent="0.3">
      <c r="A459" t="s">
        <v>1369</v>
      </c>
      <c r="B459">
        <v>1</v>
      </c>
      <c r="C459">
        <v>0</v>
      </c>
      <c r="D459">
        <v>38</v>
      </c>
      <c r="E459" t="s">
        <v>128</v>
      </c>
      <c r="F459" s="12">
        <v>45376</v>
      </c>
      <c r="G459" t="s">
        <v>1376</v>
      </c>
      <c r="H459" s="12">
        <v>45376</v>
      </c>
      <c r="I459" t="s">
        <v>698</v>
      </c>
      <c r="J459" t="s">
        <v>458</v>
      </c>
      <c r="K459">
        <v>1</v>
      </c>
      <c r="L459">
        <v>0.2</v>
      </c>
      <c r="P459" t="s">
        <v>106</v>
      </c>
      <c r="Q459" t="s">
        <v>106</v>
      </c>
      <c r="R459" t="s">
        <v>106</v>
      </c>
      <c r="S459" t="s">
        <v>106</v>
      </c>
      <c r="T459" t="s">
        <v>674</v>
      </c>
      <c r="U459" t="s">
        <v>106</v>
      </c>
      <c r="V459" t="s">
        <v>106</v>
      </c>
      <c r="W459" t="s">
        <v>373</v>
      </c>
      <c r="X459" t="s">
        <v>106</v>
      </c>
      <c r="Y459" t="s">
        <v>108</v>
      </c>
      <c r="Z459" t="s">
        <v>105</v>
      </c>
      <c r="AA459" t="s">
        <v>1316</v>
      </c>
      <c r="AB459" t="s">
        <v>106</v>
      </c>
    </row>
    <row r="460" spans="1:28" x14ac:dyDescent="0.3">
      <c r="A460" t="s">
        <v>1369</v>
      </c>
      <c r="B460">
        <v>2</v>
      </c>
      <c r="C460">
        <v>15</v>
      </c>
      <c r="D460">
        <v>25</v>
      </c>
      <c r="E460" t="s">
        <v>128</v>
      </c>
      <c r="F460" s="12">
        <v>45376</v>
      </c>
      <c r="G460" t="s">
        <v>1800</v>
      </c>
      <c r="H460" s="12">
        <v>45376</v>
      </c>
      <c r="I460" t="s">
        <v>1737</v>
      </c>
      <c r="J460" t="s">
        <v>458</v>
      </c>
      <c r="K460">
        <v>2</v>
      </c>
      <c r="L460">
        <v>16.100000000000001</v>
      </c>
      <c r="P460" t="s">
        <v>106</v>
      </c>
      <c r="Q460" t="s">
        <v>106</v>
      </c>
      <c r="R460" t="s">
        <v>106</v>
      </c>
      <c r="S460" t="s">
        <v>1570</v>
      </c>
      <c r="T460" t="s">
        <v>1381</v>
      </c>
      <c r="U460" t="s">
        <v>106</v>
      </c>
      <c r="V460" t="s">
        <v>106</v>
      </c>
      <c r="W460" t="s">
        <v>373</v>
      </c>
      <c r="X460" t="s">
        <v>106</v>
      </c>
      <c r="Y460" t="s">
        <v>108</v>
      </c>
      <c r="Z460" t="s">
        <v>109</v>
      </c>
      <c r="AA460" t="s">
        <v>1801</v>
      </c>
      <c r="AB460" t="s">
        <v>106</v>
      </c>
    </row>
    <row r="461" spans="1:28" x14ac:dyDescent="0.3">
      <c r="A461" t="s">
        <v>1369</v>
      </c>
      <c r="B461">
        <v>2</v>
      </c>
      <c r="C461">
        <v>15</v>
      </c>
      <c r="D461">
        <v>32</v>
      </c>
      <c r="E461" t="s">
        <v>128</v>
      </c>
      <c r="F461" s="12">
        <v>45376</v>
      </c>
      <c r="G461" t="s">
        <v>1802</v>
      </c>
      <c r="H461" s="12">
        <v>45376</v>
      </c>
      <c r="I461" t="s">
        <v>698</v>
      </c>
      <c r="J461" t="s">
        <v>458</v>
      </c>
      <c r="K461">
        <v>1</v>
      </c>
      <c r="L461">
        <v>16.100000000000001</v>
      </c>
      <c r="P461" t="s">
        <v>106</v>
      </c>
      <c r="Q461" t="s">
        <v>106</v>
      </c>
      <c r="R461" t="s">
        <v>106</v>
      </c>
      <c r="S461" t="s">
        <v>106</v>
      </c>
      <c r="T461" t="s">
        <v>757</v>
      </c>
      <c r="U461" t="s">
        <v>427</v>
      </c>
      <c r="V461" t="s">
        <v>106</v>
      </c>
      <c r="W461" t="s">
        <v>373</v>
      </c>
      <c r="X461" t="s">
        <v>106</v>
      </c>
      <c r="Y461" t="s">
        <v>108</v>
      </c>
      <c r="Z461" t="s">
        <v>109</v>
      </c>
      <c r="AA461" t="s">
        <v>1801</v>
      </c>
      <c r="AB461" t="s">
        <v>1803</v>
      </c>
    </row>
    <row r="462" spans="1:28" x14ac:dyDescent="0.3">
      <c r="A462" t="s">
        <v>1369</v>
      </c>
      <c r="B462">
        <v>2</v>
      </c>
      <c r="C462">
        <v>15</v>
      </c>
      <c r="D462">
        <v>26</v>
      </c>
      <c r="E462" t="s">
        <v>128</v>
      </c>
      <c r="F462" s="12">
        <v>45376</v>
      </c>
      <c r="G462" t="s">
        <v>402</v>
      </c>
      <c r="H462" s="12">
        <v>45376</v>
      </c>
      <c r="I462" t="s">
        <v>1737</v>
      </c>
      <c r="J462" t="s">
        <v>458</v>
      </c>
      <c r="K462">
        <v>2</v>
      </c>
      <c r="L462">
        <v>17</v>
      </c>
      <c r="P462" t="s">
        <v>106</v>
      </c>
      <c r="Q462" t="s">
        <v>106</v>
      </c>
      <c r="R462" t="s">
        <v>106</v>
      </c>
      <c r="S462" t="s">
        <v>106</v>
      </c>
      <c r="T462" t="s">
        <v>1804</v>
      </c>
      <c r="U462" t="s">
        <v>106</v>
      </c>
      <c r="V462" t="s">
        <v>106</v>
      </c>
      <c r="W462" t="s">
        <v>373</v>
      </c>
      <c r="X462" t="s">
        <v>106</v>
      </c>
      <c r="Y462" t="s">
        <v>108</v>
      </c>
      <c r="Z462" t="s">
        <v>109</v>
      </c>
      <c r="AA462" t="s">
        <v>1801</v>
      </c>
      <c r="AB462" t="s">
        <v>106</v>
      </c>
    </row>
    <row r="463" spans="1:28" x14ac:dyDescent="0.3">
      <c r="A463" t="s">
        <v>1369</v>
      </c>
      <c r="B463">
        <v>2</v>
      </c>
      <c r="C463">
        <v>15</v>
      </c>
      <c r="D463">
        <v>24</v>
      </c>
      <c r="E463" t="s">
        <v>128</v>
      </c>
      <c r="F463" s="12">
        <v>45376</v>
      </c>
      <c r="G463" t="s">
        <v>1805</v>
      </c>
      <c r="H463" s="12">
        <v>45372</v>
      </c>
      <c r="I463" t="s">
        <v>1457</v>
      </c>
      <c r="J463" t="s">
        <v>458</v>
      </c>
      <c r="K463">
        <v>2</v>
      </c>
      <c r="L463">
        <v>17</v>
      </c>
      <c r="P463" t="s">
        <v>106</v>
      </c>
      <c r="Q463" t="s">
        <v>106</v>
      </c>
      <c r="R463" t="s">
        <v>106</v>
      </c>
      <c r="S463" t="s">
        <v>106</v>
      </c>
      <c r="T463" t="s">
        <v>1701</v>
      </c>
      <c r="U463" t="s">
        <v>1359</v>
      </c>
      <c r="V463" t="s">
        <v>106</v>
      </c>
      <c r="W463" t="s">
        <v>443</v>
      </c>
      <c r="X463" t="s">
        <v>106</v>
      </c>
      <c r="Y463" t="s">
        <v>108</v>
      </c>
      <c r="Z463" t="s">
        <v>108</v>
      </c>
      <c r="AA463" t="s">
        <v>1806</v>
      </c>
      <c r="AB463" t="s">
        <v>106</v>
      </c>
    </row>
    <row r="464" spans="1:28" x14ac:dyDescent="0.3">
      <c r="A464" t="s">
        <v>1369</v>
      </c>
      <c r="B464">
        <v>2</v>
      </c>
      <c r="C464">
        <v>15</v>
      </c>
      <c r="D464">
        <v>16</v>
      </c>
      <c r="E464" t="s">
        <v>128</v>
      </c>
      <c r="F464" s="12">
        <v>45376</v>
      </c>
      <c r="G464" t="s">
        <v>1807</v>
      </c>
      <c r="H464" s="12">
        <v>45372</v>
      </c>
      <c r="I464" t="s">
        <v>1457</v>
      </c>
      <c r="J464" t="s">
        <v>458</v>
      </c>
      <c r="K464">
        <v>1</v>
      </c>
      <c r="L464">
        <v>17.600000000000001</v>
      </c>
      <c r="P464" t="s">
        <v>106</v>
      </c>
      <c r="Q464" t="s">
        <v>106</v>
      </c>
      <c r="R464" t="s">
        <v>106</v>
      </c>
      <c r="S464" t="s">
        <v>106</v>
      </c>
      <c r="T464" t="s">
        <v>1808</v>
      </c>
      <c r="U464" t="s">
        <v>1411</v>
      </c>
      <c r="V464" t="s">
        <v>106</v>
      </c>
      <c r="W464" t="s">
        <v>443</v>
      </c>
      <c r="X464" t="s">
        <v>106</v>
      </c>
      <c r="Y464" t="s">
        <v>108</v>
      </c>
      <c r="Z464" t="s">
        <v>108</v>
      </c>
      <c r="AA464" t="s">
        <v>1806</v>
      </c>
      <c r="AB464" t="s">
        <v>106</v>
      </c>
    </row>
    <row r="465" spans="1:28" x14ac:dyDescent="0.3">
      <c r="A465" t="s">
        <v>1369</v>
      </c>
      <c r="B465">
        <v>2</v>
      </c>
      <c r="C465">
        <v>15</v>
      </c>
      <c r="D465">
        <v>31</v>
      </c>
      <c r="E465" t="s">
        <v>128</v>
      </c>
      <c r="F465" s="12">
        <v>45376</v>
      </c>
      <c r="G465" t="s">
        <v>1802</v>
      </c>
      <c r="H465" s="12">
        <v>45376</v>
      </c>
      <c r="I465" t="s">
        <v>698</v>
      </c>
      <c r="J465" t="s">
        <v>458</v>
      </c>
      <c r="K465">
        <v>1</v>
      </c>
      <c r="L465">
        <v>16.100000000000001</v>
      </c>
      <c r="P465" t="s">
        <v>106</v>
      </c>
      <c r="Q465" t="s">
        <v>106</v>
      </c>
      <c r="R465" t="s">
        <v>106</v>
      </c>
      <c r="S465" t="s">
        <v>1809</v>
      </c>
      <c r="T465" t="s">
        <v>1810</v>
      </c>
      <c r="U465" t="s">
        <v>391</v>
      </c>
      <c r="V465" t="s">
        <v>106</v>
      </c>
      <c r="W465" t="s">
        <v>373</v>
      </c>
      <c r="X465" t="s">
        <v>106</v>
      </c>
      <c r="Y465" t="s">
        <v>108</v>
      </c>
      <c r="Z465" t="s">
        <v>109</v>
      </c>
      <c r="AA465" t="s">
        <v>1801</v>
      </c>
      <c r="AB465" t="s">
        <v>1811</v>
      </c>
    </row>
    <row r="466" spans="1:28" x14ac:dyDescent="0.3">
      <c r="A466" t="s">
        <v>1369</v>
      </c>
      <c r="B466">
        <v>2</v>
      </c>
      <c r="C466">
        <v>15</v>
      </c>
      <c r="D466">
        <v>40</v>
      </c>
      <c r="E466" t="s">
        <v>128</v>
      </c>
      <c r="F466" s="12">
        <v>45376</v>
      </c>
      <c r="G466" t="s">
        <v>784</v>
      </c>
      <c r="H466" s="12">
        <v>45376</v>
      </c>
      <c r="I466" t="s">
        <v>1812</v>
      </c>
      <c r="J466" t="s">
        <v>1363</v>
      </c>
      <c r="K466">
        <v>2</v>
      </c>
      <c r="L466">
        <v>15.4</v>
      </c>
      <c r="P466" t="s">
        <v>106</v>
      </c>
      <c r="Q466" t="s">
        <v>106</v>
      </c>
      <c r="R466" t="s">
        <v>106</v>
      </c>
      <c r="S466" t="s">
        <v>106</v>
      </c>
      <c r="T466" t="s">
        <v>1475</v>
      </c>
      <c r="U466" t="s">
        <v>106</v>
      </c>
      <c r="V466" t="s">
        <v>106</v>
      </c>
      <c r="W466" t="s">
        <v>373</v>
      </c>
      <c r="X466" t="s">
        <v>106</v>
      </c>
      <c r="Y466" t="s">
        <v>108</v>
      </c>
      <c r="Z466" t="s">
        <v>109</v>
      </c>
      <c r="AA466" t="s">
        <v>106</v>
      </c>
      <c r="AB466" t="s">
        <v>106</v>
      </c>
    </row>
    <row r="467" spans="1:28" x14ac:dyDescent="0.3">
      <c r="A467" t="s">
        <v>1369</v>
      </c>
      <c r="B467">
        <v>2</v>
      </c>
      <c r="C467">
        <v>15</v>
      </c>
      <c r="D467">
        <v>23</v>
      </c>
      <c r="E467" t="s">
        <v>128</v>
      </c>
      <c r="F467" s="12">
        <v>45376</v>
      </c>
      <c r="G467" t="s">
        <v>1805</v>
      </c>
      <c r="H467" s="12">
        <v>45372</v>
      </c>
      <c r="I467" t="s">
        <v>1457</v>
      </c>
      <c r="J467" t="s">
        <v>458</v>
      </c>
      <c r="K467">
        <v>2</v>
      </c>
      <c r="L467">
        <v>16.5</v>
      </c>
      <c r="P467" t="s">
        <v>106</v>
      </c>
      <c r="Q467" t="s">
        <v>106</v>
      </c>
      <c r="R467" t="s">
        <v>106</v>
      </c>
      <c r="S467" t="s">
        <v>1813</v>
      </c>
      <c r="T467" t="s">
        <v>525</v>
      </c>
      <c r="U467" t="s">
        <v>1590</v>
      </c>
      <c r="V467" t="s">
        <v>106</v>
      </c>
      <c r="W467" t="s">
        <v>443</v>
      </c>
      <c r="X467" t="s">
        <v>106</v>
      </c>
      <c r="Y467" t="s">
        <v>108</v>
      </c>
      <c r="Z467" t="s">
        <v>108</v>
      </c>
      <c r="AA467" t="s">
        <v>1806</v>
      </c>
      <c r="AB467" t="s">
        <v>106</v>
      </c>
    </row>
    <row r="468" spans="1:28" x14ac:dyDescent="0.3">
      <c r="A468" t="s">
        <v>1369</v>
      </c>
      <c r="B468">
        <v>2</v>
      </c>
      <c r="C468">
        <v>15</v>
      </c>
      <c r="D468">
        <v>15</v>
      </c>
      <c r="E468" t="s">
        <v>128</v>
      </c>
      <c r="F468" s="12">
        <v>45376</v>
      </c>
      <c r="G468" t="s">
        <v>1807</v>
      </c>
      <c r="H468" s="12">
        <v>45372</v>
      </c>
      <c r="I468" t="s">
        <v>1457</v>
      </c>
      <c r="J468" t="s">
        <v>458</v>
      </c>
      <c r="K468">
        <v>1</v>
      </c>
      <c r="L468">
        <v>16.2</v>
      </c>
      <c r="P468" t="s">
        <v>106</v>
      </c>
      <c r="Q468" t="s">
        <v>106</v>
      </c>
      <c r="R468" t="s">
        <v>106</v>
      </c>
      <c r="S468" t="s">
        <v>1678</v>
      </c>
      <c r="T468" t="s">
        <v>1101</v>
      </c>
      <c r="U468" t="s">
        <v>1415</v>
      </c>
      <c r="V468" t="s">
        <v>106</v>
      </c>
      <c r="W468" t="s">
        <v>443</v>
      </c>
      <c r="X468" t="s">
        <v>106</v>
      </c>
      <c r="Y468" t="s">
        <v>108</v>
      </c>
      <c r="Z468" t="s">
        <v>108</v>
      </c>
      <c r="AA468" t="s">
        <v>1806</v>
      </c>
      <c r="AB468" t="s">
        <v>106</v>
      </c>
    </row>
    <row r="469" spans="1:28" x14ac:dyDescent="0.3">
      <c r="A469" t="s">
        <v>1369</v>
      </c>
      <c r="B469">
        <v>2</v>
      </c>
      <c r="C469">
        <v>15</v>
      </c>
      <c r="D469">
        <v>39</v>
      </c>
      <c r="E469" t="s">
        <v>128</v>
      </c>
      <c r="F469" s="12">
        <v>45376</v>
      </c>
      <c r="G469" t="s">
        <v>784</v>
      </c>
      <c r="H469" s="12">
        <v>45376</v>
      </c>
      <c r="I469" t="s">
        <v>1812</v>
      </c>
      <c r="J469" t="s">
        <v>1363</v>
      </c>
      <c r="K469">
        <v>2</v>
      </c>
      <c r="L469">
        <v>15.6</v>
      </c>
      <c r="P469" t="s">
        <v>106</v>
      </c>
      <c r="Q469" t="s">
        <v>106</v>
      </c>
      <c r="R469" t="s">
        <v>106</v>
      </c>
      <c r="S469" t="s">
        <v>1814</v>
      </c>
      <c r="T469" t="s">
        <v>884</v>
      </c>
      <c r="U469" t="s">
        <v>106</v>
      </c>
      <c r="V469" t="s">
        <v>106</v>
      </c>
      <c r="W469" t="s">
        <v>373</v>
      </c>
      <c r="X469" t="s">
        <v>106</v>
      </c>
      <c r="Y469" t="s">
        <v>108</v>
      </c>
      <c r="Z469" t="s">
        <v>109</v>
      </c>
      <c r="AA469" t="s">
        <v>106</v>
      </c>
      <c r="AB469" t="s">
        <v>106</v>
      </c>
    </row>
    <row r="470" spans="1:28" x14ac:dyDescent="0.3">
      <c r="A470" t="s">
        <v>1369</v>
      </c>
      <c r="B470">
        <v>3</v>
      </c>
      <c r="C470">
        <v>35</v>
      </c>
      <c r="D470">
        <v>14</v>
      </c>
      <c r="E470" t="s">
        <v>128</v>
      </c>
      <c r="F470" s="12">
        <v>45376</v>
      </c>
      <c r="G470" t="s">
        <v>1807</v>
      </c>
      <c r="H470" s="12">
        <v>45372</v>
      </c>
      <c r="I470" t="s">
        <v>1457</v>
      </c>
      <c r="J470" t="s">
        <v>458</v>
      </c>
      <c r="K470">
        <v>1</v>
      </c>
      <c r="L470">
        <v>38.700000000000003</v>
      </c>
      <c r="P470" t="s">
        <v>106</v>
      </c>
      <c r="Q470" t="s">
        <v>106</v>
      </c>
      <c r="R470" t="s">
        <v>106</v>
      </c>
      <c r="S470" t="s">
        <v>106</v>
      </c>
      <c r="T470" t="s">
        <v>775</v>
      </c>
      <c r="U470" t="s">
        <v>1539</v>
      </c>
      <c r="V470" t="s">
        <v>106</v>
      </c>
      <c r="W470" t="s">
        <v>443</v>
      </c>
      <c r="X470" t="s">
        <v>106</v>
      </c>
      <c r="Y470" t="s">
        <v>108</v>
      </c>
      <c r="Z470" t="s">
        <v>108</v>
      </c>
      <c r="AA470" t="s">
        <v>1806</v>
      </c>
      <c r="AB470" t="s">
        <v>106</v>
      </c>
    </row>
    <row r="471" spans="1:28" x14ac:dyDescent="0.3">
      <c r="A471" t="s">
        <v>1369</v>
      </c>
      <c r="B471">
        <v>3</v>
      </c>
      <c r="C471">
        <v>35</v>
      </c>
      <c r="D471">
        <v>28</v>
      </c>
      <c r="E471" t="s">
        <v>128</v>
      </c>
      <c r="F471" s="12">
        <v>45376</v>
      </c>
      <c r="G471" t="s">
        <v>1696</v>
      </c>
      <c r="H471" s="12">
        <v>45376</v>
      </c>
      <c r="I471" t="s">
        <v>1737</v>
      </c>
      <c r="J471" t="s">
        <v>458</v>
      </c>
      <c r="K471">
        <v>2</v>
      </c>
      <c r="L471">
        <v>38</v>
      </c>
      <c r="P471" t="s">
        <v>106</v>
      </c>
      <c r="Q471" t="s">
        <v>106</v>
      </c>
      <c r="R471" t="s">
        <v>106</v>
      </c>
      <c r="S471" t="s">
        <v>106</v>
      </c>
      <c r="T471" t="s">
        <v>1558</v>
      </c>
      <c r="U471" t="s">
        <v>106</v>
      </c>
      <c r="V471" t="s">
        <v>106</v>
      </c>
      <c r="W471" t="s">
        <v>373</v>
      </c>
      <c r="X471" t="s">
        <v>106</v>
      </c>
      <c r="Y471" t="s">
        <v>108</v>
      </c>
      <c r="Z471" t="s">
        <v>108</v>
      </c>
      <c r="AA471" t="s">
        <v>1801</v>
      </c>
      <c r="AB471" t="s">
        <v>106</v>
      </c>
    </row>
    <row r="472" spans="1:28" x14ac:dyDescent="0.3">
      <c r="A472" t="s">
        <v>1369</v>
      </c>
      <c r="B472">
        <v>3</v>
      </c>
      <c r="C472">
        <v>35</v>
      </c>
      <c r="D472">
        <v>42</v>
      </c>
      <c r="E472" t="s">
        <v>128</v>
      </c>
      <c r="F472" s="12">
        <v>45376</v>
      </c>
      <c r="G472" t="s">
        <v>593</v>
      </c>
      <c r="H472" s="12">
        <v>45376</v>
      </c>
      <c r="I472" t="s">
        <v>1812</v>
      </c>
      <c r="J472" t="s">
        <v>1363</v>
      </c>
      <c r="K472">
        <v>2</v>
      </c>
      <c r="L472">
        <v>37.5</v>
      </c>
      <c r="P472" t="s">
        <v>106</v>
      </c>
      <c r="Q472" t="s">
        <v>106</v>
      </c>
      <c r="R472" t="s">
        <v>106</v>
      </c>
      <c r="S472" t="s">
        <v>106</v>
      </c>
      <c r="T472" t="s">
        <v>1379</v>
      </c>
      <c r="U472" t="s">
        <v>106</v>
      </c>
      <c r="V472" t="s">
        <v>106</v>
      </c>
      <c r="W472" t="s">
        <v>373</v>
      </c>
      <c r="X472" t="s">
        <v>106</v>
      </c>
      <c r="Y472" t="s">
        <v>108</v>
      </c>
      <c r="Z472" t="s">
        <v>108</v>
      </c>
      <c r="AA472" t="s">
        <v>1380</v>
      </c>
      <c r="AB472" t="s">
        <v>106</v>
      </c>
    </row>
    <row r="473" spans="1:28" x14ac:dyDescent="0.3">
      <c r="A473" t="s">
        <v>1369</v>
      </c>
      <c r="B473">
        <v>3</v>
      </c>
      <c r="C473">
        <v>35</v>
      </c>
      <c r="D473">
        <v>21</v>
      </c>
      <c r="E473" t="s">
        <v>128</v>
      </c>
      <c r="F473" s="12">
        <v>45376</v>
      </c>
      <c r="G473" t="s">
        <v>1805</v>
      </c>
      <c r="H473" s="12">
        <v>45372</v>
      </c>
      <c r="I473" t="s">
        <v>1457</v>
      </c>
      <c r="J473" t="s">
        <v>458</v>
      </c>
      <c r="K473">
        <v>2</v>
      </c>
      <c r="L473">
        <v>37.799999999999997</v>
      </c>
      <c r="P473" t="s">
        <v>106</v>
      </c>
      <c r="Q473" t="s">
        <v>106</v>
      </c>
      <c r="R473" t="s">
        <v>106</v>
      </c>
      <c r="S473" t="s">
        <v>1843</v>
      </c>
      <c r="T473" t="s">
        <v>975</v>
      </c>
      <c r="U473" t="s">
        <v>1382</v>
      </c>
      <c r="V473" t="s">
        <v>106</v>
      </c>
      <c r="W473" t="s">
        <v>443</v>
      </c>
      <c r="X473" t="s">
        <v>106</v>
      </c>
      <c r="Y473" t="s">
        <v>108</v>
      </c>
      <c r="Z473" t="s">
        <v>108</v>
      </c>
      <c r="AA473" t="s">
        <v>1806</v>
      </c>
      <c r="AB473" t="s">
        <v>106</v>
      </c>
    </row>
    <row r="474" spans="1:28" x14ac:dyDescent="0.3">
      <c r="A474" t="s">
        <v>1369</v>
      </c>
      <c r="B474">
        <v>3</v>
      </c>
      <c r="C474">
        <v>35</v>
      </c>
      <c r="D474">
        <v>27</v>
      </c>
      <c r="E474" t="s">
        <v>128</v>
      </c>
      <c r="F474" s="12">
        <v>45376</v>
      </c>
      <c r="G474" t="s">
        <v>1696</v>
      </c>
      <c r="H474" s="12">
        <v>45376</v>
      </c>
      <c r="I474" t="s">
        <v>1737</v>
      </c>
      <c r="J474" t="s">
        <v>458</v>
      </c>
      <c r="K474">
        <v>2</v>
      </c>
      <c r="L474">
        <v>37.799999999999997</v>
      </c>
      <c r="P474" t="s">
        <v>106</v>
      </c>
      <c r="Q474" t="s">
        <v>106</v>
      </c>
      <c r="R474" t="s">
        <v>106</v>
      </c>
      <c r="S474" t="s">
        <v>1795</v>
      </c>
      <c r="T474" t="s">
        <v>1449</v>
      </c>
      <c r="U474" t="s">
        <v>106</v>
      </c>
      <c r="V474" t="s">
        <v>106</v>
      </c>
      <c r="W474" t="s">
        <v>373</v>
      </c>
      <c r="X474" t="s">
        <v>106</v>
      </c>
      <c r="Y474" t="s">
        <v>108</v>
      </c>
      <c r="Z474" t="s">
        <v>108</v>
      </c>
      <c r="AA474" t="s">
        <v>1801</v>
      </c>
      <c r="AB474" t="s">
        <v>106</v>
      </c>
    </row>
    <row r="475" spans="1:28" x14ac:dyDescent="0.3">
      <c r="A475" t="s">
        <v>1369</v>
      </c>
      <c r="B475">
        <v>3</v>
      </c>
      <c r="C475">
        <v>35</v>
      </c>
      <c r="D475">
        <v>22</v>
      </c>
      <c r="E475" t="s">
        <v>128</v>
      </c>
      <c r="F475" s="12">
        <v>45376</v>
      </c>
      <c r="G475" t="s">
        <v>1805</v>
      </c>
      <c r="H475" s="12">
        <v>45372</v>
      </c>
      <c r="I475" t="s">
        <v>1457</v>
      </c>
      <c r="J475" t="s">
        <v>458</v>
      </c>
      <c r="K475">
        <v>2</v>
      </c>
      <c r="L475">
        <v>38</v>
      </c>
      <c r="P475" t="s">
        <v>106</v>
      </c>
      <c r="Q475" t="s">
        <v>106</v>
      </c>
      <c r="R475" t="s">
        <v>106</v>
      </c>
      <c r="S475" t="s">
        <v>106</v>
      </c>
      <c r="T475" t="s">
        <v>1585</v>
      </c>
      <c r="U475" t="s">
        <v>1382</v>
      </c>
      <c r="V475" t="s">
        <v>106</v>
      </c>
      <c r="W475" t="s">
        <v>443</v>
      </c>
      <c r="X475" t="s">
        <v>106</v>
      </c>
      <c r="Y475" t="s">
        <v>108</v>
      </c>
      <c r="Z475" t="s">
        <v>108</v>
      </c>
      <c r="AA475" t="s">
        <v>1806</v>
      </c>
      <c r="AB475" t="s">
        <v>106</v>
      </c>
    </row>
    <row r="476" spans="1:28" x14ac:dyDescent="0.3">
      <c r="A476" t="s">
        <v>1369</v>
      </c>
      <c r="B476">
        <v>3</v>
      </c>
      <c r="C476">
        <v>35</v>
      </c>
      <c r="D476">
        <v>41</v>
      </c>
      <c r="E476" t="s">
        <v>128</v>
      </c>
      <c r="F476" s="12">
        <v>45376</v>
      </c>
      <c r="G476" t="s">
        <v>1371</v>
      </c>
      <c r="H476" s="12">
        <v>45376</v>
      </c>
      <c r="I476" t="s">
        <v>1812</v>
      </c>
      <c r="J476" t="s">
        <v>1363</v>
      </c>
      <c r="K476">
        <v>2</v>
      </c>
      <c r="L476">
        <v>37.6</v>
      </c>
      <c r="P476" t="s">
        <v>106</v>
      </c>
      <c r="Q476" t="s">
        <v>106</v>
      </c>
      <c r="R476" t="s">
        <v>106</v>
      </c>
      <c r="S476" t="s">
        <v>2248</v>
      </c>
      <c r="T476" t="s">
        <v>1257</v>
      </c>
      <c r="U476" t="s">
        <v>106</v>
      </c>
      <c r="V476" t="s">
        <v>106</v>
      </c>
      <c r="W476" t="s">
        <v>373</v>
      </c>
      <c r="X476" t="s">
        <v>106</v>
      </c>
      <c r="Y476" t="s">
        <v>108</v>
      </c>
      <c r="Z476" t="s">
        <v>108</v>
      </c>
      <c r="AA476" t="s">
        <v>1380</v>
      </c>
      <c r="AB476" t="s">
        <v>106</v>
      </c>
    </row>
    <row r="477" spans="1:28" x14ac:dyDescent="0.3">
      <c r="A477" t="s">
        <v>1369</v>
      </c>
      <c r="B477">
        <v>3</v>
      </c>
      <c r="C477">
        <v>35</v>
      </c>
      <c r="D477">
        <v>33</v>
      </c>
      <c r="E477" t="s">
        <v>128</v>
      </c>
      <c r="F477" s="12">
        <v>45376</v>
      </c>
      <c r="G477" t="s">
        <v>372</v>
      </c>
      <c r="H477" s="12">
        <v>45376</v>
      </c>
      <c r="I477" t="s">
        <v>698</v>
      </c>
      <c r="J477" t="s">
        <v>458</v>
      </c>
      <c r="K477">
        <v>1</v>
      </c>
      <c r="L477">
        <v>38.200000000000003</v>
      </c>
      <c r="P477" t="s">
        <v>106</v>
      </c>
      <c r="Q477" t="s">
        <v>106</v>
      </c>
      <c r="R477" t="s">
        <v>106</v>
      </c>
      <c r="S477" t="s">
        <v>2360</v>
      </c>
      <c r="T477" t="s">
        <v>1935</v>
      </c>
      <c r="U477" t="s">
        <v>391</v>
      </c>
      <c r="V477" t="s">
        <v>106</v>
      </c>
      <c r="W477" t="s">
        <v>373</v>
      </c>
      <c r="X477" t="s">
        <v>106</v>
      </c>
      <c r="Y477" t="s">
        <v>108</v>
      </c>
      <c r="Z477" t="s">
        <v>108</v>
      </c>
      <c r="AA477" t="s">
        <v>1801</v>
      </c>
      <c r="AB477" t="s">
        <v>2361</v>
      </c>
    </row>
    <row r="478" spans="1:28" x14ac:dyDescent="0.3">
      <c r="A478" t="s">
        <v>1369</v>
      </c>
      <c r="B478">
        <v>3</v>
      </c>
      <c r="C478">
        <v>35</v>
      </c>
      <c r="D478">
        <v>34</v>
      </c>
      <c r="E478" t="s">
        <v>128</v>
      </c>
      <c r="F478" s="12">
        <v>45376</v>
      </c>
      <c r="G478" t="s">
        <v>372</v>
      </c>
      <c r="H478" s="12">
        <v>45376</v>
      </c>
      <c r="I478" t="s">
        <v>698</v>
      </c>
      <c r="J478" t="s">
        <v>458</v>
      </c>
      <c r="K478">
        <v>1</v>
      </c>
      <c r="L478">
        <v>37.9</v>
      </c>
      <c r="P478" t="s">
        <v>106</v>
      </c>
      <c r="Q478" t="s">
        <v>106</v>
      </c>
      <c r="R478" t="s">
        <v>106</v>
      </c>
      <c r="S478" t="s">
        <v>106</v>
      </c>
      <c r="T478" t="s">
        <v>1004</v>
      </c>
      <c r="U478" t="s">
        <v>1353</v>
      </c>
      <c r="V478" t="s">
        <v>106</v>
      </c>
      <c r="W478" t="s">
        <v>373</v>
      </c>
      <c r="X478" t="s">
        <v>106</v>
      </c>
      <c r="Y478" t="s">
        <v>108</v>
      </c>
      <c r="Z478" t="s">
        <v>108</v>
      </c>
      <c r="AA478" t="s">
        <v>1801</v>
      </c>
      <c r="AB478" t="s">
        <v>2362</v>
      </c>
    </row>
    <row r="479" spans="1:28" x14ac:dyDescent="0.3">
      <c r="A479" t="s">
        <v>1369</v>
      </c>
      <c r="B479">
        <v>4</v>
      </c>
      <c r="C479">
        <v>60</v>
      </c>
      <c r="D479">
        <v>36</v>
      </c>
      <c r="E479" t="s">
        <v>128</v>
      </c>
      <c r="F479" s="12">
        <v>45376</v>
      </c>
      <c r="G479" t="s">
        <v>1240</v>
      </c>
      <c r="H479" s="12">
        <v>45376</v>
      </c>
      <c r="I479" t="s">
        <v>698</v>
      </c>
      <c r="J479" t="s">
        <v>458</v>
      </c>
      <c r="K479">
        <v>1</v>
      </c>
      <c r="L479">
        <v>62.8</v>
      </c>
      <c r="P479" t="s">
        <v>106</v>
      </c>
      <c r="Q479" t="s">
        <v>106</v>
      </c>
      <c r="R479" t="s">
        <v>106</v>
      </c>
      <c r="S479" t="s">
        <v>106</v>
      </c>
      <c r="T479" t="s">
        <v>633</v>
      </c>
      <c r="U479" t="s">
        <v>905</v>
      </c>
      <c r="V479" t="s">
        <v>106</v>
      </c>
      <c r="W479" t="s">
        <v>373</v>
      </c>
      <c r="X479" t="s">
        <v>106</v>
      </c>
      <c r="Y479" t="s">
        <v>108</v>
      </c>
      <c r="Z479" t="s">
        <v>104</v>
      </c>
      <c r="AA479" t="s">
        <v>1801</v>
      </c>
      <c r="AB479" t="s">
        <v>106</v>
      </c>
    </row>
    <row r="480" spans="1:28" x14ac:dyDescent="0.3">
      <c r="A480" t="s">
        <v>1369</v>
      </c>
      <c r="B480">
        <v>4</v>
      </c>
      <c r="C480">
        <v>60</v>
      </c>
      <c r="D480">
        <v>35</v>
      </c>
      <c r="E480" t="s">
        <v>128</v>
      </c>
      <c r="F480" s="12">
        <v>45376</v>
      </c>
      <c r="G480" t="s">
        <v>1240</v>
      </c>
      <c r="H480" s="12">
        <v>45376</v>
      </c>
      <c r="I480" t="s">
        <v>698</v>
      </c>
      <c r="J480" t="s">
        <v>458</v>
      </c>
      <c r="K480">
        <v>1</v>
      </c>
      <c r="L480">
        <v>63.7</v>
      </c>
      <c r="P480" t="s">
        <v>106</v>
      </c>
      <c r="Q480" t="s">
        <v>106</v>
      </c>
      <c r="R480" t="s">
        <v>106</v>
      </c>
      <c r="S480" t="s">
        <v>2337</v>
      </c>
      <c r="T480" t="s">
        <v>2627</v>
      </c>
      <c r="U480" t="s">
        <v>1615</v>
      </c>
      <c r="V480" t="s">
        <v>106</v>
      </c>
      <c r="W480" t="s">
        <v>373</v>
      </c>
      <c r="X480" t="s">
        <v>106</v>
      </c>
      <c r="Y480" t="s">
        <v>108</v>
      </c>
      <c r="Z480" t="s">
        <v>104</v>
      </c>
      <c r="AA480" t="s">
        <v>1801</v>
      </c>
      <c r="AB480" t="s">
        <v>106</v>
      </c>
    </row>
    <row r="481" spans="1:28" x14ac:dyDescent="0.3">
      <c r="A481" t="s">
        <v>1369</v>
      </c>
      <c r="B481">
        <v>4</v>
      </c>
      <c r="C481">
        <v>60</v>
      </c>
      <c r="D481">
        <v>19</v>
      </c>
      <c r="E481" t="s">
        <v>128</v>
      </c>
      <c r="F481" s="12">
        <v>45376</v>
      </c>
      <c r="G481" t="s">
        <v>1805</v>
      </c>
      <c r="H481" s="12">
        <v>45372</v>
      </c>
      <c r="I481" t="s">
        <v>1457</v>
      </c>
      <c r="J481" t="s">
        <v>458</v>
      </c>
      <c r="K481">
        <v>2</v>
      </c>
      <c r="L481">
        <v>62.1</v>
      </c>
      <c r="P481" t="s">
        <v>106</v>
      </c>
      <c r="Q481" t="s">
        <v>106</v>
      </c>
      <c r="R481" t="s">
        <v>106</v>
      </c>
      <c r="S481" t="s">
        <v>2659</v>
      </c>
      <c r="T481" t="s">
        <v>1603</v>
      </c>
      <c r="U481" t="s">
        <v>1539</v>
      </c>
      <c r="V481" t="s">
        <v>106</v>
      </c>
      <c r="W481" t="s">
        <v>443</v>
      </c>
      <c r="X481" t="s">
        <v>106</v>
      </c>
      <c r="Y481" t="s">
        <v>108</v>
      </c>
      <c r="Z481" t="s">
        <v>108</v>
      </c>
      <c r="AA481" t="s">
        <v>1806</v>
      </c>
      <c r="AB481" t="s">
        <v>106</v>
      </c>
    </row>
    <row r="482" spans="1:28" x14ac:dyDescent="0.3">
      <c r="A482" t="s">
        <v>1369</v>
      </c>
      <c r="B482">
        <v>4</v>
      </c>
      <c r="C482">
        <v>60</v>
      </c>
      <c r="D482">
        <v>20</v>
      </c>
      <c r="E482" t="s">
        <v>128</v>
      </c>
      <c r="F482" s="12">
        <v>45376</v>
      </c>
      <c r="G482" t="s">
        <v>1805</v>
      </c>
      <c r="H482" s="12">
        <v>45372</v>
      </c>
      <c r="I482" t="s">
        <v>1457</v>
      </c>
      <c r="J482" t="s">
        <v>458</v>
      </c>
      <c r="K482">
        <v>2</v>
      </c>
      <c r="L482">
        <v>63.5</v>
      </c>
      <c r="P482" t="s">
        <v>106</v>
      </c>
      <c r="Q482" t="s">
        <v>106</v>
      </c>
      <c r="R482" t="s">
        <v>106</v>
      </c>
      <c r="S482" t="s">
        <v>106</v>
      </c>
      <c r="T482" t="s">
        <v>1555</v>
      </c>
      <c r="U482" t="s">
        <v>427</v>
      </c>
      <c r="V482" t="s">
        <v>106</v>
      </c>
      <c r="W482" t="s">
        <v>443</v>
      </c>
      <c r="X482" t="s">
        <v>106</v>
      </c>
      <c r="Y482" t="s">
        <v>108</v>
      </c>
      <c r="Z482" t="s">
        <v>108</v>
      </c>
      <c r="AA482" t="s">
        <v>1806</v>
      </c>
      <c r="AB482" t="s">
        <v>106</v>
      </c>
    </row>
    <row r="483" spans="1:28" x14ac:dyDescent="0.3">
      <c r="A483" t="s">
        <v>1369</v>
      </c>
      <c r="B483">
        <v>4</v>
      </c>
      <c r="C483">
        <v>60</v>
      </c>
      <c r="D483">
        <v>30</v>
      </c>
      <c r="E483" t="s">
        <v>128</v>
      </c>
      <c r="F483" s="12">
        <v>45376</v>
      </c>
      <c r="G483" t="s">
        <v>648</v>
      </c>
      <c r="H483" s="12">
        <v>45376</v>
      </c>
      <c r="I483" t="s">
        <v>1737</v>
      </c>
      <c r="J483" t="s">
        <v>458</v>
      </c>
      <c r="K483">
        <v>2</v>
      </c>
      <c r="L483">
        <v>62.5</v>
      </c>
      <c r="P483" t="s">
        <v>106</v>
      </c>
      <c r="Q483" t="s">
        <v>106</v>
      </c>
      <c r="R483" t="s">
        <v>106</v>
      </c>
      <c r="S483" t="s">
        <v>106</v>
      </c>
      <c r="T483" t="s">
        <v>1603</v>
      </c>
      <c r="U483" t="s">
        <v>106</v>
      </c>
      <c r="V483" t="s">
        <v>106</v>
      </c>
      <c r="W483" t="s">
        <v>373</v>
      </c>
      <c r="X483" t="s">
        <v>106</v>
      </c>
      <c r="Y483" t="s">
        <v>108</v>
      </c>
      <c r="Z483" t="s">
        <v>104</v>
      </c>
      <c r="AA483" t="s">
        <v>1801</v>
      </c>
      <c r="AB483" t="s">
        <v>106</v>
      </c>
    </row>
    <row r="484" spans="1:28" x14ac:dyDescent="0.3">
      <c r="A484" t="s">
        <v>1369</v>
      </c>
      <c r="B484">
        <v>4</v>
      </c>
      <c r="C484">
        <v>60</v>
      </c>
      <c r="D484">
        <v>18</v>
      </c>
      <c r="E484" t="s">
        <v>128</v>
      </c>
      <c r="F484" s="12">
        <v>45376</v>
      </c>
      <c r="G484" t="s">
        <v>1807</v>
      </c>
      <c r="H484" s="12">
        <v>45372</v>
      </c>
      <c r="I484" t="s">
        <v>1457</v>
      </c>
      <c r="J484" t="s">
        <v>458</v>
      </c>
      <c r="K484">
        <v>1</v>
      </c>
      <c r="L484">
        <v>63.5</v>
      </c>
      <c r="P484" t="s">
        <v>106</v>
      </c>
      <c r="Q484" t="s">
        <v>106</v>
      </c>
      <c r="R484" t="s">
        <v>106</v>
      </c>
      <c r="S484" t="s">
        <v>106</v>
      </c>
      <c r="T484" t="s">
        <v>1876</v>
      </c>
      <c r="U484" t="s">
        <v>1415</v>
      </c>
      <c r="V484" t="s">
        <v>106</v>
      </c>
      <c r="W484" t="s">
        <v>443</v>
      </c>
      <c r="X484" t="s">
        <v>106</v>
      </c>
      <c r="Y484" t="s">
        <v>108</v>
      </c>
      <c r="Z484" t="s">
        <v>108</v>
      </c>
      <c r="AA484" t="s">
        <v>1806</v>
      </c>
      <c r="AB484" t="s">
        <v>106</v>
      </c>
    </row>
    <row r="485" spans="1:28" x14ac:dyDescent="0.3">
      <c r="A485" t="s">
        <v>1369</v>
      </c>
      <c r="B485">
        <v>4</v>
      </c>
      <c r="C485">
        <v>60</v>
      </c>
      <c r="D485">
        <v>17</v>
      </c>
      <c r="E485" t="s">
        <v>128</v>
      </c>
      <c r="F485" s="12">
        <v>45376</v>
      </c>
      <c r="G485" t="s">
        <v>1807</v>
      </c>
      <c r="H485" s="12">
        <v>45372</v>
      </c>
      <c r="I485" t="s">
        <v>1457</v>
      </c>
      <c r="J485" t="s">
        <v>458</v>
      </c>
      <c r="K485">
        <v>1</v>
      </c>
      <c r="L485">
        <v>64.599999999999994</v>
      </c>
      <c r="P485" t="s">
        <v>106</v>
      </c>
      <c r="Q485" t="s">
        <v>106</v>
      </c>
      <c r="R485" t="s">
        <v>106</v>
      </c>
      <c r="S485" t="s">
        <v>1893</v>
      </c>
      <c r="T485" t="s">
        <v>993</v>
      </c>
      <c r="U485" t="s">
        <v>1415</v>
      </c>
      <c r="V485" t="s">
        <v>106</v>
      </c>
      <c r="W485" t="s">
        <v>443</v>
      </c>
      <c r="X485" t="s">
        <v>106</v>
      </c>
      <c r="Y485" t="s">
        <v>108</v>
      </c>
      <c r="Z485" t="s">
        <v>108</v>
      </c>
      <c r="AA485" t="s">
        <v>1806</v>
      </c>
      <c r="AB485" t="s">
        <v>106</v>
      </c>
    </row>
    <row r="486" spans="1:28" x14ac:dyDescent="0.3">
      <c r="A486" t="s">
        <v>1369</v>
      </c>
      <c r="B486">
        <v>4</v>
      </c>
      <c r="C486">
        <v>60</v>
      </c>
      <c r="D486">
        <v>44</v>
      </c>
      <c r="E486" t="s">
        <v>128</v>
      </c>
      <c r="F486" s="12">
        <v>45376</v>
      </c>
      <c r="G486" t="s">
        <v>2094</v>
      </c>
      <c r="H486" s="12">
        <v>45376</v>
      </c>
      <c r="I486" t="s">
        <v>1812</v>
      </c>
      <c r="J486" t="s">
        <v>1363</v>
      </c>
      <c r="K486">
        <v>2</v>
      </c>
      <c r="L486">
        <v>62.2</v>
      </c>
      <c r="P486" t="s">
        <v>106</v>
      </c>
      <c r="Q486" t="s">
        <v>106</v>
      </c>
      <c r="R486" t="s">
        <v>106</v>
      </c>
      <c r="S486" t="s">
        <v>106</v>
      </c>
      <c r="T486" t="s">
        <v>1379</v>
      </c>
      <c r="U486" t="s">
        <v>106</v>
      </c>
      <c r="V486" t="s">
        <v>106</v>
      </c>
      <c r="W486" t="s">
        <v>373</v>
      </c>
      <c r="X486" t="s">
        <v>106</v>
      </c>
      <c r="Y486" t="s">
        <v>108</v>
      </c>
      <c r="Z486" t="s">
        <v>104</v>
      </c>
      <c r="AA486" t="s">
        <v>1380</v>
      </c>
      <c r="AB486" t="s">
        <v>106</v>
      </c>
    </row>
    <row r="487" spans="1:28" x14ac:dyDescent="0.3">
      <c r="A487" t="s">
        <v>1369</v>
      </c>
      <c r="B487">
        <v>4</v>
      </c>
      <c r="C487">
        <v>60</v>
      </c>
      <c r="D487">
        <v>43</v>
      </c>
      <c r="E487" t="s">
        <v>128</v>
      </c>
      <c r="F487" s="12">
        <v>45376</v>
      </c>
      <c r="G487" t="s">
        <v>866</v>
      </c>
      <c r="H487" s="12">
        <v>45376</v>
      </c>
      <c r="I487" t="s">
        <v>1812</v>
      </c>
      <c r="J487" t="s">
        <v>1363</v>
      </c>
      <c r="K487">
        <v>2</v>
      </c>
      <c r="L487">
        <v>64.2</v>
      </c>
      <c r="P487" t="s">
        <v>106</v>
      </c>
      <c r="Q487" t="s">
        <v>106</v>
      </c>
      <c r="R487" t="s">
        <v>106</v>
      </c>
      <c r="S487" t="s">
        <v>2327</v>
      </c>
      <c r="T487" t="s">
        <v>1257</v>
      </c>
      <c r="U487" t="s">
        <v>106</v>
      </c>
      <c r="V487" t="s">
        <v>106</v>
      </c>
      <c r="W487" t="s">
        <v>373</v>
      </c>
      <c r="X487" t="s">
        <v>106</v>
      </c>
      <c r="Y487" t="s">
        <v>108</v>
      </c>
      <c r="Z487" t="s">
        <v>104</v>
      </c>
      <c r="AA487" t="s">
        <v>1380</v>
      </c>
      <c r="AB487" t="s">
        <v>106</v>
      </c>
    </row>
    <row r="488" spans="1:28" x14ac:dyDescent="0.3">
      <c r="A488" t="s">
        <v>1369</v>
      </c>
      <c r="B488">
        <v>4</v>
      </c>
      <c r="C488">
        <v>60</v>
      </c>
      <c r="D488">
        <v>29</v>
      </c>
      <c r="E488" t="s">
        <v>128</v>
      </c>
      <c r="F488" s="12">
        <v>45376</v>
      </c>
      <c r="G488" t="s">
        <v>648</v>
      </c>
      <c r="H488" s="12">
        <v>45376</v>
      </c>
      <c r="I488" t="s">
        <v>1737</v>
      </c>
      <c r="J488" t="s">
        <v>458</v>
      </c>
      <c r="K488">
        <v>2</v>
      </c>
      <c r="L488">
        <v>62.3</v>
      </c>
      <c r="P488" t="s">
        <v>106</v>
      </c>
      <c r="Q488" t="s">
        <v>106</v>
      </c>
      <c r="R488" t="s">
        <v>106</v>
      </c>
      <c r="S488" t="s">
        <v>2659</v>
      </c>
      <c r="T488" t="s">
        <v>1558</v>
      </c>
      <c r="U488" t="s">
        <v>106</v>
      </c>
      <c r="V488" t="s">
        <v>106</v>
      </c>
      <c r="W488" t="s">
        <v>373</v>
      </c>
      <c r="X488" t="s">
        <v>106</v>
      </c>
      <c r="Y488" t="s">
        <v>108</v>
      </c>
      <c r="Z488" t="s">
        <v>104</v>
      </c>
      <c r="AA488" t="s">
        <v>1801</v>
      </c>
      <c r="AB488" t="s">
        <v>106</v>
      </c>
    </row>
    <row r="489" spans="1:28" x14ac:dyDescent="0.3">
      <c r="A489" t="s">
        <v>1378</v>
      </c>
      <c r="B489">
        <v>1</v>
      </c>
      <c r="C489">
        <v>0</v>
      </c>
      <c r="D489">
        <v>10</v>
      </c>
      <c r="E489" t="s">
        <v>110</v>
      </c>
      <c r="F489" s="12">
        <v>45398</v>
      </c>
      <c r="G489" t="s">
        <v>374</v>
      </c>
      <c r="H489" s="12">
        <v>45398</v>
      </c>
      <c r="I489" t="s">
        <v>327</v>
      </c>
      <c r="J489" t="s">
        <v>425</v>
      </c>
      <c r="L489">
        <v>0</v>
      </c>
      <c r="P489" t="s">
        <v>106</v>
      </c>
      <c r="Q489" t="s">
        <v>106</v>
      </c>
      <c r="R489" t="s">
        <v>106</v>
      </c>
      <c r="S489" t="s">
        <v>106</v>
      </c>
      <c r="T489" t="s">
        <v>1379</v>
      </c>
      <c r="U489" t="s">
        <v>106</v>
      </c>
      <c r="V489" t="s">
        <v>106</v>
      </c>
      <c r="W489" t="s">
        <v>443</v>
      </c>
      <c r="X489" t="s">
        <v>106</v>
      </c>
      <c r="Y489" t="s">
        <v>108</v>
      </c>
      <c r="Z489" t="s">
        <v>105</v>
      </c>
      <c r="AA489" t="s">
        <v>1380</v>
      </c>
      <c r="AB489" t="s">
        <v>106</v>
      </c>
    </row>
    <row r="490" spans="1:28" x14ac:dyDescent="0.3">
      <c r="A490" t="s">
        <v>1378</v>
      </c>
      <c r="B490">
        <v>1</v>
      </c>
      <c r="C490">
        <v>0</v>
      </c>
      <c r="D490">
        <v>12</v>
      </c>
      <c r="E490" t="s">
        <v>308</v>
      </c>
      <c r="F490" s="12">
        <v>45398</v>
      </c>
      <c r="G490" t="s">
        <v>374</v>
      </c>
      <c r="H490" s="12">
        <v>45398</v>
      </c>
      <c r="I490" t="s">
        <v>327</v>
      </c>
      <c r="J490" t="s">
        <v>425</v>
      </c>
      <c r="L490">
        <v>0</v>
      </c>
      <c r="P490" t="s">
        <v>106</v>
      </c>
      <c r="Q490" t="s">
        <v>106</v>
      </c>
      <c r="R490" t="s">
        <v>106</v>
      </c>
      <c r="S490" t="s">
        <v>106</v>
      </c>
      <c r="T490" t="s">
        <v>1381</v>
      </c>
      <c r="U490" t="s">
        <v>1382</v>
      </c>
      <c r="V490" t="s">
        <v>106</v>
      </c>
      <c r="W490" t="s">
        <v>443</v>
      </c>
      <c r="X490" t="s">
        <v>106</v>
      </c>
      <c r="Y490" t="s">
        <v>108</v>
      </c>
      <c r="Z490" t="s">
        <v>105</v>
      </c>
      <c r="AA490" t="s">
        <v>1380</v>
      </c>
      <c r="AB490" t="s">
        <v>106</v>
      </c>
    </row>
    <row r="491" spans="1:28" x14ac:dyDescent="0.3">
      <c r="A491" t="s">
        <v>1378</v>
      </c>
      <c r="B491">
        <v>1</v>
      </c>
      <c r="C491">
        <v>0</v>
      </c>
      <c r="D491">
        <v>11</v>
      </c>
      <c r="E491" t="s">
        <v>110</v>
      </c>
      <c r="F491" s="12">
        <v>45398</v>
      </c>
      <c r="G491" t="s">
        <v>374</v>
      </c>
      <c r="H491" s="12">
        <v>45398</v>
      </c>
      <c r="I491" t="s">
        <v>327</v>
      </c>
      <c r="J491" t="s">
        <v>425</v>
      </c>
      <c r="L491">
        <v>0</v>
      </c>
      <c r="P491" t="s">
        <v>106</v>
      </c>
      <c r="Q491" t="s">
        <v>106</v>
      </c>
      <c r="R491" t="s">
        <v>106</v>
      </c>
      <c r="S491" t="s">
        <v>106</v>
      </c>
      <c r="T491" t="s">
        <v>722</v>
      </c>
      <c r="U491" t="s">
        <v>106</v>
      </c>
      <c r="V491" t="s">
        <v>106</v>
      </c>
      <c r="W491" t="s">
        <v>443</v>
      </c>
      <c r="X491" t="s">
        <v>106</v>
      </c>
      <c r="Y491" t="s">
        <v>108</v>
      </c>
      <c r="Z491" t="s">
        <v>105</v>
      </c>
      <c r="AA491" t="s">
        <v>1380</v>
      </c>
      <c r="AB491" t="s">
        <v>106</v>
      </c>
    </row>
    <row r="492" spans="1:28" x14ac:dyDescent="0.3">
      <c r="A492" t="s">
        <v>1378</v>
      </c>
      <c r="B492">
        <v>2</v>
      </c>
      <c r="C492">
        <v>15</v>
      </c>
      <c r="D492">
        <v>6</v>
      </c>
      <c r="E492" t="s">
        <v>308</v>
      </c>
      <c r="F492" s="12">
        <v>45398</v>
      </c>
      <c r="G492" t="s">
        <v>1461</v>
      </c>
      <c r="H492" s="12">
        <v>45398</v>
      </c>
      <c r="I492" t="s">
        <v>327</v>
      </c>
      <c r="J492" t="s">
        <v>425</v>
      </c>
      <c r="L492">
        <v>16.600000000000001</v>
      </c>
      <c r="P492" t="s">
        <v>106</v>
      </c>
      <c r="Q492" t="s">
        <v>106</v>
      </c>
      <c r="R492" t="s">
        <v>106</v>
      </c>
      <c r="S492" t="s">
        <v>106</v>
      </c>
      <c r="T492" t="s">
        <v>1074</v>
      </c>
      <c r="U492" t="s">
        <v>904</v>
      </c>
      <c r="V492" t="s">
        <v>106</v>
      </c>
      <c r="W492" t="s">
        <v>443</v>
      </c>
      <c r="X492" t="s">
        <v>106</v>
      </c>
      <c r="Y492" t="s">
        <v>108</v>
      </c>
      <c r="Z492" t="s">
        <v>109</v>
      </c>
      <c r="AA492" t="s">
        <v>1380</v>
      </c>
      <c r="AB492" t="s">
        <v>106</v>
      </c>
    </row>
    <row r="493" spans="1:28" x14ac:dyDescent="0.3">
      <c r="A493" t="s">
        <v>1378</v>
      </c>
      <c r="B493">
        <v>2</v>
      </c>
      <c r="C493">
        <v>15</v>
      </c>
      <c r="D493">
        <v>2</v>
      </c>
      <c r="E493" t="s">
        <v>110</v>
      </c>
      <c r="F493" s="12">
        <v>45398</v>
      </c>
      <c r="G493" t="s">
        <v>1815</v>
      </c>
      <c r="H493" s="12">
        <v>45398</v>
      </c>
      <c r="I493" t="s">
        <v>327</v>
      </c>
      <c r="J493" t="s">
        <v>425</v>
      </c>
      <c r="L493">
        <v>15.5</v>
      </c>
      <c r="P493" t="s">
        <v>106</v>
      </c>
      <c r="Q493" t="s">
        <v>106</v>
      </c>
      <c r="R493" t="s">
        <v>106</v>
      </c>
      <c r="S493" t="s">
        <v>106</v>
      </c>
      <c r="T493" t="s">
        <v>934</v>
      </c>
      <c r="U493" t="s">
        <v>361</v>
      </c>
      <c r="V493" t="s">
        <v>106</v>
      </c>
      <c r="W493" t="s">
        <v>443</v>
      </c>
      <c r="X493" t="s">
        <v>106</v>
      </c>
      <c r="Y493" t="s">
        <v>108</v>
      </c>
      <c r="Z493" t="s">
        <v>109</v>
      </c>
      <c r="AA493" t="s">
        <v>1380</v>
      </c>
      <c r="AB493" t="s">
        <v>106</v>
      </c>
    </row>
    <row r="494" spans="1:28" x14ac:dyDescent="0.3">
      <c r="A494" t="s">
        <v>1378</v>
      </c>
      <c r="B494">
        <v>2</v>
      </c>
      <c r="C494">
        <v>15</v>
      </c>
      <c r="D494">
        <v>1</v>
      </c>
      <c r="E494" t="s">
        <v>110</v>
      </c>
      <c r="F494" s="12">
        <v>45398</v>
      </c>
      <c r="G494" t="s">
        <v>1256</v>
      </c>
      <c r="H494" s="12">
        <v>45398</v>
      </c>
      <c r="I494" t="s">
        <v>327</v>
      </c>
      <c r="J494" t="s">
        <v>425</v>
      </c>
      <c r="L494">
        <v>16.100000000000001</v>
      </c>
      <c r="P494" t="s">
        <v>106</v>
      </c>
      <c r="Q494" t="s">
        <v>106</v>
      </c>
      <c r="R494" t="s">
        <v>106</v>
      </c>
      <c r="S494" t="s">
        <v>1816</v>
      </c>
      <c r="T494" t="s">
        <v>1817</v>
      </c>
      <c r="U494" t="s">
        <v>395</v>
      </c>
      <c r="V494" t="s">
        <v>106</v>
      </c>
      <c r="W494" t="s">
        <v>443</v>
      </c>
      <c r="X494" t="s">
        <v>106</v>
      </c>
      <c r="Y494" t="s">
        <v>108</v>
      </c>
      <c r="Z494" t="s">
        <v>109</v>
      </c>
      <c r="AA494" t="s">
        <v>1380</v>
      </c>
      <c r="AB494" t="s">
        <v>106</v>
      </c>
    </row>
    <row r="495" spans="1:28" x14ac:dyDescent="0.3">
      <c r="A495" t="s">
        <v>1378</v>
      </c>
      <c r="B495">
        <v>3</v>
      </c>
      <c r="C495">
        <v>35</v>
      </c>
      <c r="D495">
        <v>8</v>
      </c>
      <c r="E495" t="s">
        <v>110</v>
      </c>
      <c r="F495" s="12">
        <v>45398</v>
      </c>
      <c r="G495" t="s">
        <v>858</v>
      </c>
      <c r="H495" s="12">
        <v>45398</v>
      </c>
      <c r="I495" t="s">
        <v>327</v>
      </c>
      <c r="J495" t="s">
        <v>425</v>
      </c>
      <c r="L495">
        <v>38.6</v>
      </c>
      <c r="P495" t="s">
        <v>106</v>
      </c>
      <c r="Q495" t="s">
        <v>106</v>
      </c>
      <c r="R495" t="s">
        <v>106</v>
      </c>
      <c r="S495" t="s">
        <v>106</v>
      </c>
      <c r="T495" t="s">
        <v>757</v>
      </c>
      <c r="U495" t="s">
        <v>106</v>
      </c>
      <c r="V495" t="s">
        <v>106</v>
      </c>
      <c r="W495" t="s">
        <v>443</v>
      </c>
      <c r="X495" t="s">
        <v>106</v>
      </c>
      <c r="Y495" t="s">
        <v>108</v>
      </c>
      <c r="Z495" t="s">
        <v>108</v>
      </c>
      <c r="AA495" t="s">
        <v>1380</v>
      </c>
      <c r="AB495" t="s">
        <v>106</v>
      </c>
    </row>
    <row r="496" spans="1:28" x14ac:dyDescent="0.3">
      <c r="A496" t="s">
        <v>1378</v>
      </c>
      <c r="B496">
        <v>3</v>
      </c>
      <c r="C496">
        <v>35</v>
      </c>
      <c r="D496">
        <v>9</v>
      </c>
      <c r="E496" t="s">
        <v>308</v>
      </c>
      <c r="F496" s="12">
        <v>45398</v>
      </c>
      <c r="G496" t="s">
        <v>131</v>
      </c>
      <c r="H496" s="12">
        <v>45398</v>
      </c>
      <c r="I496" t="s">
        <v>327</v>
      </c>
      <c r="J496" t="s">
        <v>425</v>
      </c>
      <c r="L496">
        <v>38</v>
      </c>
      <c r="P496" t="s">
        <v>106</v>
      </c>
      <c r="Q496" t="s">
        <v>106</v>
      </c>
      <c r="R496" t="s">
        <v>106</v>
      </c>
      <c r="S496" t="s">
        <v>106</v>
      </c>
      <c r="T496" t="s">
        <v>1090</v>
      </c>
      <c r="U496" t="s">
        <v>106</v>
      </c>
      <c r="V496" t="s">
        <v>106</v>
      </c>
      <c r="W496" t="s">
        <v>443</v>
      </c>
      <c r="X496" t="s">
        <v>106</v>
      </c>
      <c r="Y496" t="s">
        <v>108</v>
      </c>
      <c r="Z496" t="s">
        <v>108</v>
      </c>
      <c r="AA496" t="s">
        <v>1380</v>
      </c>
      <c r="AB496" t="s">
        <v>106</v>
      </c>
    </row>
    <row r="497" spans="1:28" x14ac:dyDescent="0.3">
      <c r="A497" t="s">
        <v>1378</v>
      </c>
      <c r="B497">
        <v>3</v>
      </c>
      <c r="C497">
        <v>35</v>
      </c>
      <c r="D497">
        <v>7</v>
      </c>
      <c r="E497" t="s">
        <v>110</v>
      </c>
      <c r="F497" s="12">
        <v>45398</v>
      </c>
      <c r="G497" t="s">
        <v>555</v>
      </c>
      <c r="H497" s="12">
        <v>45398</v>
      </c>
      <c r="I497" t="s">
        <v>327</v>
      </c>
      <c r="J497" t="s">
        <v>425</v>
      </c>
      <c r="L497">
        <v>37.700000000000003</v>
      </c>
      <c r="P497" t="s">
        <v>106</v>
      </c>
      <c r="Q497" t="s">
        <v>106</v>
      </c>
      <c r="R497" t="s">
        <v>106</v>
      </c>
      <c r="S497" t="s">
        <v>1514</v>
      </c>
      <c r="T497" t="s">
        <v>1529</v>
      </c>
      <c r="U497" t="s">
        <v>106</v>
      </c>
      <c r="V497" t="s">
        <v>106</v>
      </c>
      <c r="W497" t="s">
        <v>443</v>
      </c>
      <c r="X497" t="s">
        <v>106</v>
      </c>
      <c r="Y497" t="s">
        <v>108</v>
      </c>
      <c r="Z497" t="s">
        <v>108</v>
      </c>
      <c r="AA497" t="s">
        <v>1380</v>
      </c>
      <c r="AB497" t="s">
        <v>106</v>
      </c>
    </row>
    <row r="498" spans="1:28" x14ac:dyDescent="0.3">
      <c r="A498" t="s">
        <v>1378</v>
      </c>
      <c r="B498">
        <v>4</v>
      </c>
      <c r="C498">
        <v>60</v>
      </c>
      <c r="D498">
        <v>5</v>
      </c>
      <c r="E498" t="s">
        <v>308</v>
      </c>
      <c r="F498" s="12">
        <v>45398</v>
      </c>
      <c r="G498" t="s">
        <v>1461</v>
      </c>
      <c r="H498" s="12">
        <v>45398</v>
      </c>
      <c r="I498" t="s">
        <v>327</v>
      </c>
      <c r="J498" t="s">
        <v>425</v>
      </c>
      <c r="L498">
        <v>63.3</v>
      </c>
      <c r="P498" t="s">
        <v>106</v>
      </c>
      <c r="Q498" t="s">
        <v>106</v>
      </c>
      <c r="R498" t="s">
        <v>106</v>
      </c>
      <c r="S498" t="s">
        <v>1490</v>
      </c>
      <c r="T498" t="s">
        <v>1280</v>
      </c>
      <c r="U498" t="s">
        <v>138</v>
      </c>
      <c r="V498" t="s">
        <v>106</v>
      </c>
      <c r="W498" t="s">
        <v>443</v>
      </c>
      <c r="X498" t="s">
        <v>106</v>
      </c>
      <c r="Y498" t="s">
        <v>108</v>
      </c>
      <c r="Z498" t="s">
        <v>104</v>
      </c>
      <c r="AA498" t="s">
        <v>1380</v>
      </c>
      <c r="AB498" t="s">
        <v>106</v>
      </c>
    </row>
    <row r="499" spans="1:28" x14ac:dyDescent="0.3">
      <c r="A499" t="s">
        <v>1378</v>
      </c>
      <c r="B499">
        <v>4</v>
      </c>
      <c r="C499">
        <v>60</v>
      </c>
      <c r="D499">
        <v>4</v>
      </c>
      <c r="E499" t="s">
        <v>110</v>
      </c>
      <c r="F499" s="12">
        <v>45398</v>
      </c>
      <c r="G499" t="s">
        <v>865</v>
      </c>
      <c r="H499" s="12">
        <v>45398</v>
      </c>
      <c r="I499" t="s">
        <v>327</v>
      </c>
      <c r="J499" t="s">
        <v>425</v>
      </c>
      <c r="L499">
        <v>57.4</v>
      </c>
      <c r="P499" t="s">
        <v>106</v>
      </c>
      <c r="Q499" t="s">
        <v>106</v>
      </c>
      <c r="R499" t="s">
        <v>106</v>
      </c>
      <c r="S499" t="s">
        <v>106</v>
      </c>
      <c r="T499" t="s">
        <v>1063</v>
      </c>
      <c r="U499" t="s">
        <v>1539</v>
      </c>
      <c r="V499" t="s">
        <v>106</v>
      </c>
      <c r="W499" t="s">
        <v>443</v>
      </c>
      <c r="X499" t="s">
        <v>106</v>
      </c>
      <c r="Y499" t="s">
        <v>108</v>
      </c>
      <c r="Z499" t="s">
        <v>104</v>
      </c>
      <c r="AA499" t="s">
        <v>1380</v>
      </c>
      <c r="AB499" t="s">
        <v>106</v>
      </c>
    </row>
    <row r="500" spans="1:28" x14ac:dyDescent="0.3">
      <c r="A500" t="s">
        <v>1378</v>
      </c>
      <c r="B500">
        <v>4</v>
      </c>
      <c r="C500">
        <v>60</v>
      </c>
      <c r="D500">
        <v>3</v>
      </c>
      <c r="E500" t="s">
        <v>110</v>
      </c>
      <c r="F500" s="12">
        <v>45398</v>
      </c>
      <c r="G500" t="s">
        <v>1434</v>
      </c>
      <c r="H500" s="12">
        <v>45398</v>
      </c>
      <c r="I500" t="s">
        <v>327</v>
      </c>
      <c r="J500" t="s">
        <v>425</v>
      </c>
      <c r="L500">
        <v>58.7</v>
      </c>
      <c r="P500" t="s">
        <v>106</v>
      </c>
      <c r="Q500" t="s">
        <v>106</v>
      </c>
      <c r="R500" t="s">
        <v>106</v>
      </c>
      <c r="S500" t="s">
        <v>106</v>
      </c>
      <c r="T500" t="s">
        <v>1046</v>
      </c>
      <c r="U500" t="s">
        <v>1415</v>
      </c>
      <c r="V500" t="s">
        <v>106</v>
      </c>
      <c r="W500" t="s">
        <v>443</v>
      </c>
      <c r="X500" t="s">
        <v>106</v>
      </c>
      <c r="Y500" t="s">
        <v>108</v>
      </c>
      <c r="Z500" t="s">
        <v>104</v>
      </c>
      <c r="AA500" t="s">
        <v>1380</v>
      </c>
      <c r="AB500" t="s">
        <v>106</v>
      </c>
    </row>
    <row r="501" spans="1:28" x14ac:dyDescent="0.3">
      <c r="A501" t="s">
        <v>1387</v>
      </c>
      <c r="B501">
        <v>2</v>
      </c>
      <c r="C501">
        <v>15</v>
      </c>
      <c r="D501">
        <v>2</v>
      </c>
      <c r="E501" t="s">
        <v>110</v>
      </c>
      <c r="F501" s="12">
        <v>45399</v>
      </c>
      <c r="G501" t="s">
        <v>856</v>
      </c>
      <c r="H501" s="12">
        <v>45399</v>
      </c>
      <c r="I501" t="s">
        <v>883</v>
      </c>
      <c r="J501" t="s">
        <v>1818</v>
      </c>
      <c r="L501">
        <v>15.2</v>
      </c>
      <c r="P501" t="s">
        <v>106</v>
      </c>
      <c r="Q501" t="s">
        <v>106</v>
      </c>
      <c r="R501" t="s">
        <v>106</v>
      </c>
      <c r="S501" t="s">
        <v>106</v>
      </c>
      <c r="T501" t="s">
        <v>1131</v>
      </c>
      <c r="U501" t="s">
        <v>106</v>
      </c>
      <c r="V501" t="s">
        <v>106</v>
      </c>
      <c r="W501" t="s">
        <v>443</v>
      </c>
      <c r="X501" t="s">
        <v>106</v>
      </c>
      <c r="Y501" t="s">
        <v>108</v>
      </c>
      <c r="Z501" t="s">
        <v>109</v>
      </c>
      <c r="AA501" t="s">
        <v>1819</v>
      </c>
      <c r="AB501" t="s">
        <v>106</v>
      </c>
    </row>
    <row r="502" spans="1:28" x14ac:dyDescent="0.3">
      <c r="A502" t="s">
        <v>1387</v>
      </c>
      <c r="B502">
        <v>2</v>
      </c>
      <c r="C502">
        <v>15</v>
      </c>
      <c r="D502">
        <v>1</v>
      </c>
      <c r="E502" t="s">
        <v>110</v>
      </c>
      <c r="F502" s="12">
        <v>45399</v>
      </c>
      <c r="G502" t="s">
        <v>856</v>
      </c>
      <c r="H502" s="12">
        <v>45399</v>
      </c>
      <c r="I502" t="s">
        <v>883</v>
      </c>
      <c r="J502" t="s">
        <v>1818</v>
      </c>
      <c r="L502">
        <v>16</v>
      </c>
      <c r="P502" t="s">
        <v>106</v>
      </c>
      <c r="Q502" t="s">
        <v>106</v>
      </c>
      <c r="R502" t="s">
        <v>106</v>
      </c>
      <c r="S502" t="s">
        <v>1494</v>
      </c>
      <c r="T502" t="s">
        <v>1141</v>
      </c>
      <c r="U502" t="s">
        <v>106</v>
      </c>
      <c r="V502" t="s">
        <v>106</v>
      </c>
      <c r="W502" t="s">
        <v>443</v>
      </c>
      <c r="X502" t="s">
        <v>106</v>
      </c>
      <c r="Y502" t="s">
        <v>108</v>
      </c>
      <c r="Z502" t="s">
        <v>109</v>
      </c>
      <c r="AA502" t="s">
        <v>1819</v>
      </c>
      <c r="AB502" t="s">
        <v>106</v>
      </c>
    </row>
    <row r="503" spans="1:28" x14ac:dyDescent="0.3">
      <c r="A503" t="s">
        <v>1387</v>
      </c>
      <c r="B503">
        <v>3</v>
      </c>
      <c r="C503">
        <v>35</v>
      </c>
      <c r="D503">
        <v>5</v>
      </c>
      <c r="E503" t="s">
        <v>110</v>
      </c>
      <c r="F503" s="12">
        <v>45399</v>
      </c>
      <c r="G503" t="s">
        <v>947</v>
      </c>
      <c r="H503" s="12">
        <v>45399</v>
      </c>
      <c r="I503" t="s">
        <v>883</v>
      </c>
      <c r="J503" t="s">
        <v>1818</v>
      </c>
      <c r="L503">
        <v>37.1</v>
      </c>
      <c r="P503" t="s">
        <v>106</v>
      </c>
      <c r="Q503" t="s">
        <v>106</v>
      </c>
      <c r="R503" t="s">
        <v>106</v>
      </c>
      <c r="S503" t="s">
        <v>1535</v>
      </c>
      <c r="T503" t="s">
        <v>1372</v>
      </c>
      <c r="U503" t="s">
        <v>106</v>
      </c>
      <c r="V503" t="s">
        <v>106</v>
      </c>
      <c r="W503" t="s">
        <v>443</v>
      </c>
      <c r="X503" t="s">
        <v>106</v>
      </c>
      <c r="Y503" t="s">
        <v>108</v>
      </c>
      <c r="Z503" t="s">
        <v>108</v>
      </c>
      <c r="AA503" t="s">
        <v>1819</v>
      </c>
      <c r="AB503" t="s">
        <v>106</v>
      </c>
    </row>
    <row r="504" spans="1:28" x14ac:dyDescent="0.3">
      <c r="A504" t="s">
        <v>1387</v>
      </c>
      <c r="B504">
        <v>3</v>
      </c>
      <c r="C504">
        <v>35</v>
      </c>
      <c r="D504">
        <v>6</v>
      </c>
      <c r="E504" t="s">
        <v>110</v>
      </c>
      <c r="F504" s="12">
        <v>45399</v>
      </c>
      <c r="G504" t="s">
        <v>131</v>
      </c>
      <c r="H504" s="12">
        <v>45399</v>
      </c>
      <c r="I504" t="s">
        <v>883</v>
      </c>
      <c r="J504" t="s">
        <v>1818</v>
      </c>
      <c r="L504">
        <v>38.200000000000003</v>
      </c>
      <c r="P504" t="s">
        <v>106</v>
      </c>
      <c r="Q504" t="s">
        <v>106</v>
      </c>
      <c r="R504" t="s">
        <v>106</v>
      </c>
      <c r="S504" t="s">
        <v>1404</v>
      </c>
      <c r="T504" t="s">
        <v>860</v>
      </c>
      <c r="U504" t="s">
        <v>106</v>
      </c>
      <c r="V504" t="s">
        <v>106</v>
      </c>
      <c r="W504" t="s">
        <v>443</v>
      </c>
      <c r="X504" t="s">
        <v>106</v>
      </c>
      <c r="Y504" t="s">
        <v>108</v>
      </c>
      <c r="Z504" t="s">
        <v>108</v>
      </c>
      <c r="AA504" t="s">
        <v>1819</v>
      </c>
      <c r="AB504" t="s">
        <v>106</v>
      </c>
    </row>
    <row r="505" spans="1:28" x14ac:dyDescent="0.3">
      <c r="A505" t="s">
        <v>1387</v>
      </c>
      <c r="B505">
        <v>4</v>
      </c>
      <c r="C505">
        <v>60</v>
      </c>
      <c r="D505">
        <v>3</v>
      </c>
      <c r="E505" t="s">
        <v>110</v>
      </c>
      <c r="F505" s="12">
        <v>45399</v>
      </c>
      <c r="G505" t="s">
        <v>826</v>
      </c>
      <c r="H505" s="12">
        <v>45399</v>
      </c>
      <c r="I505" t="s">
        <v>883</v>
      </c>
      <c r="J505" t="s">
        <v>1818</v>
      </c>
      <c r="L505">
        <v>58.1</v>
      </c>
      <c r="P505" t="s">
        <v>106</v>
      </c>
      <c r="Q505" t="s">
        <v>106</v>
      </c>
      <c r="R505" t="s">
        <v>106</v>
      </c>
      <c r="S505" t="s">
        <v>1563</v>
      </c>
      <c r="T505" t="s">
        <v>2049</v>
      </c>
      <c r="U505" t="s">
        <v>106</v>
      </c>
      <c r="V505" t="s">
        <v>106</v>
      </c>
      <c r="W505" t="s">
        <v>443</v>
      </c>
      <c r="X505" t="s">
        <v>106</v>
      </c>
      <c r="Y505" t="s">
        <v>108</v>
      </c>
      <c r="Z505" t="s">
        <v>104</v>
      </c>
      <c r="AA505" t="s">
        <v>1819</v>
      </c>
      <c r="AB505" t="s">
        <v>106</v>
      </c>
    </row>
    <row r="506" spans="1:28" x14ac:dyDescent="0.3">
      <c r="A506" t="s">
        <v>1387</v>
      </c>
      <c r="B506">
        <v>4</v>
      </c>
      <c r="C506">
        <v>60</v>
      </c>
      <c r="D506">
        <v>4</v>
      </c>
      <c r="E506" t="s">
        <v>110</v>
      </c>
      <c r="F506" s="12">
        <v>45399</v>
      </c>
      <c r="G506" t="s">
        <v>826</v>
      </c>
      <c r="H506" s="12">
        <v>45399</v>
      </c>
      <c r="I506" t="s">
        <v>883</v>
      </c>
      <c r="J506" t="s">
        <v>1818</v>
      </c>
      <c r="L506">
        <v>59.5</v>
      </c>
      <c r="P506" t="s">
        <v>106</v>
      </c>
      <c r="Q506" t="s">
        <v>106</v>
      </c>
      <c r="R506" t="s">
        <v>106</v>
      </c>
      <c r="S506" t="s">
        <v>106</v>
      </c>
      <c r="T506" t="s">
        <v>836</v>
      </c>
      <c r="U506" t="s">
        <v>106</v>
      </c>
      <c r="V506" t="s">
        <v>106</v>
      </c>
      <c r="W506" t="s">
        <v>443</v>
      </c>
      <c r="X506" t="s">
        <v>106</v>
      </c>
      <c r="Y506" t="s">
        <v>108</v>
      </c>
      <c r="Z506" t="s">
        <v>104</v>
      </c>
      <c r="AA506" t="s">
        <v>1819</v>
      </c>
      <c r="AB506" t="s">
        <v>106</v>
      </c>
    </row>
    <row r="507" spans="1:28" x14ac:dyDescent="0.3">
      <c r="A507" t="s">
        <v>1378</v>
      </c>
      <c r="B507">
        <v>1</v>
      </c>
      <c r="C507">
        <v>0</v>
      </c>
      <c r="D507">
        <v>53</v>
      </c>
      <c r="E507" t="s">
        <v>128</v>
      </c>
      <c r="F507" s="12">
        <v>45400</v>
      </c>
      <c r="G507" t="s">
        <v>978</v>
      </c>
      <c r="H507" s="12">
        <v>45400</v>
      </c>
      <c r="I507" t="s">
        <v>813</v>
      </c>
      <c r="J507" t="s">
        <v>1363</v>
      </c>
      <c r="K507">
        <v>1</v>
      </c>
      <c r="L507">
        <v>0</v>
      </c>
      <c r="P507" t="s">
        <v>106</v>
      </c>
      <c r="Q507" t="s">
        <v>106</v>
      </c>
      <c r="R507" t="s">
        <v>106</v>
      </c>
      <c r="S507" t="s">
        <v>1383</v>
      </c>
      <c r="T507" t="s">
        <v>875</v>
      </c>
      <c r="U507" t="s">
        <v>106</v>
      </c>
      <c r="V507" t="s">
        <v>106</v>
      </c>
      <c r="W507" t="s">
        <v>373</v>
      </c>
      <c r="X507" t="s">
        <v>106</v>
      </c>
      <c r="Y507" t="s">
        <v>108</v>
      </c>
      <c r="Z507" t="s">
        <v>105</v>
      </c>
      <c r="AA507" t="s">
        <v>1384</v>
      </c>
      <c r="AB507" t="s">
        <v>106</v>
      </c>
    </row>
    <row r="508" spans="1:28" x14ac:dyDescent="0.3">
      <c r="A508" t="s">
        <v>1378</v>
      </c>
      <c r="B508">
        <v>1</v>
      </c>
      <c r="C508">
        <v>0</v>
      </c>
      <c r="D508">
        <v>54</v>
      </c>
      <c r="E508" t="s">
        <v>128</v>
      </c>
      <c r="F508" s="12">
        <v>45400</v>
      </c>
      <c r="G508" t="s">
        <v>978</v>
      </c>
      <c r="H508" s="12">
        <v>45400</v>
      </c>
      <c r="I508" t="s">
        <v>813</v>
      </c>
      <c r="J508" t="s">
        <v>1363</v>
      </c>
      <c r="K508">
        <v>2</v>
      </c>
      <c r="L508">
        <v>0</v>
      </c>
      <c r="P508" t="s">
        <v>106</v>
      </c>
      <c r="Q508" t="s">
        <v>106</v>
      </c>
      <c r="R508" t="s">
        <v>106</v>
      </c>
      <c r="S508" t="s">
        <v>106</v>
      </c>
      <c r="T508" t="s">
        <v>1385</v>
      </c>
      <c r="U508" t="s">
        <v>106</v>
      </c>
      <c r="V508" t="s">
        <v>106</v>
      </c>
      <c r="W508" t="s">
        <v>373</v>
      </c>
      <c r="X508" t="s">
        <v>106</v>
      </c>
      <c r="Y508" t="s">
        <v>108</v>
      </c>
      <c r="Z508" t="s">
        <v>105</v>
      </c>
      <c r="AA508" t="s">
        <v>1384</v>
      </c>
      <c r="AB508" t="s">
        <v>106</v>
      </c>
    </row>
    <row r="509" spans="1:28" x14ac:dyDescent="0.3">
      <c r="A509" t="s">
        <v>1378</v>
      </c>
      <c r="B509">
        <v>2</v>
      </c>
      <c r="C509">
        <v>15</v>
      </c>
      <c r="D509">
        <v>17</v>
      </c>
      <c r="E509" t="s">
        <v>128</v>
      </c>
      <c r="F509" s="12">
        <v>45400</v>
      </c>
      <c r="G509" t="s">
        <v>1820</v>
      </c>
      <c r="H509" s="12">
        <v>45400</v>
      </c>
      <c r="I509" t="s">
        <v>556</v>
      </c>
      <c r="J509" t="s">
        <v>458</v>
      </c>
      <c r="K509">
        <v>1</v>
      </c>
      <c r="L509">
        <v>15.2</v>
      </c>
      <c r="P509" t="s">
        <v>106</v>
      </c>
      <c r="Q509" t="s">
        <v>106</v>
      </c>
      <c r="R509" t="s">
        <v>106</v>
      </c>
      <c r="S509" t="s">
        <v>1795</v>
      </c>
      <c r="T509" t="s">
        <v>1459</v>
      </c>
      <c r="U509" t="s">
        <v>391</v>
      </c>
      <c r="V509" t="s">
        <v>106</v>
      </c>
      <c r="W509" t="s">
        <v>443</v>
      </c>
      <c r="X509" t="s">
        <v>106</v>
      </c>
      <c r="Y509" t="s">
        <v>108</v>
      </c>
      <c r="Z509" t="s">
        <v>109</v>
      </c>
      <c r="AA509" t="s">
        <v>1821</v>
      </c>
      <c r="AB509" t="s">
        <v>106</v>
      </c>
    </row>
    <row r="510" spans="1:28" x14ac:dyDescent="0.3">
      <c r="A510" t="s">
        <v>1378</v>
      </c>
      <c r="B510">
        <v>2</v>
      </c>
      <c r="C510">
        <v>15</v>
      </c>
      <c r="D510">
        <v>18</v>
      </c>
      <c r="E510" t="s">
        <v>128</v>
      </c>
      <c r="F510" s="12">
        <v>45400</v>
      </c>
      <c r="G510" t="s">
        <v>1820</v>
      </c>
      <c r="H510" s="12">
        <v>45400</v>
      </c>
      <c r="I510" t="s">
        <v>556</v>
      </c>
      <c r="J510" t="s">
        <v>458</v>
      </c>
      <c r="K510">
        <v>2</v>
      </c>
      <c r="L510">
        <v>17.2</v>
      </c>
      <c r="P510" t="s">
        <v>106</v>
      </c>
      <c r="Q510" t="s">
        <v>106</v>
      </c>
      <c r="R510" t="s">
        <v>106</v>
      </c>
      <c r="S510" t="s">
        <v>1717</v>
      </c>
      <c r="T510" t="s">
        <v>1822</v>
      </c>
      <c r="U510" t="s">
        <v>1590</v>
      </c>
      <c r="V510" t="s">
        <v>106</v>
      </c>
      <c r="W510" t="s">
        <v>443</v>
      </c>
      <c r="X510" t="s">
        <v>106</v>
      </c>
      <c r="Y510" t="s">
        <v>108</v>
      </c>
      <c r="Z510" t="s">
        <v>109</v>
      </c>
      <c r="AA510" t="s">
        <v>1821</v>
      </c>
      <c r="AB510" t="s">
        <v>106</v>
      </c>
    </row>
    <row r="511" spans="1:28" x14ac:dyDescent="0.3">
      <c r="A511" t="s">
        <v>1378</v>
      </c>
      <c r="B511">
        <v>2</v>
      </c>
      <c r="C511">
        <v>15</v>
      </c>
      <c r="D511">
        <v>25</v>
      </c>
      <c r="E511" t="s">
        <v>128</v>
      </c>
      <c r="F511" s="12">
        <v>45400</v>
      </c>
      <c r="G511" t="s">
        <v>313</v>
      </c>
      <c r="H511" s="12">
        <v>45400</v>
      </c>
      <c r="I511" t="s">
        <v>1823</v>
      </c>
      <c r="J511" t="s">
        <v>458</v>
      </c>
      <c r="K511">
        <v>2</v>
      </c>
      <c r="L511">
        <v>17.399999999999999</v>
      </c>
      <c r="P511" t="s">
        <v>106</v>
      </c>
      <c r="Q511" t="s">
        <v>106</v>
      </c>
      <c r="R511" t="s">
        <v>106</v>
      </c>
      <c r="S511" t="s">
        <v>1798</v>
      </c>
      <c r="T511" t="s">
        <v>1459</v>
      </c>
      <c r="U511" t="s">
        <v>106</v>
      </c>
      <c r="V511" t="s">
        <v>106</v>
      </c>
      <c r="W511" t="s">
        <v>443</v>
      </c>
      <c r="X511" t="s">
        <v>106</v>
      </c>
      <c r="Y511" t="s">
        <v>108</v>
      </c>
      <c r="Z511" t="s">
        <v>108</v>
      </c>
      <c r="AA511" t="s">
        <v>1819</v>
      </c>
      <c r="AB511" t="s">
        <v>106</v>
      </c>
    </row>
    <row r="512" spans="1:28" x14ac:dyDescent="0.3">
      <c r="A512" t="s">
        <v>1378</v>
      </c>
      <c r="B512">
        <v>2</v>
      </c>
      <c r="C512">
        <v>15</v>
      </c>
      <c r="D512">
        <v>39</v>
      </c>
      <c r="E512" t="s">
        <v>128</v>
      </c>
      <c r="F512" s="12">
        <v>45400</v>
      </c>
      <c r="G512" t="s">
        <v>1824</v>
      </c>
      <c r="H512" s="12">
        <v>45400</v>
      </c>
      <c r="I512" t="s">
        <v>844</v>
      </c>
      <c r="J512" t="s">
        <v>1363</v>
      </c>
      <c r="K512">
        <v>2</v>
      </c>
      <c r="L512">
        <v>17</v>
      </c>
      <c r="P512" t="s">
        <v>106</v>
      </c>
      <c r="Q512" t="s">
        <v>106</v>
      </c>
      <c r="R512" t="s">
        <v>106</v>
      </c>
      <c r="S512" t="s">
        <v>106</v>
      </c>
      <c r="T512" t="s">
        <v>1825</v>
      </c>
      <c r="U512" t="s">
        <v>1615</v>
      </c>
      <c r="V512" t="s">
        <v>106</v>
      </c>
      <c r="W512" t="s">
        <v>373</v>
      </c>
      <c r="X512" t="s">
        <v>106</v>
      </c>
      <c r="Y512" t="s">
        <v>108</v>
      </c>
      <c r="Z512" t="s">
        <v>109</v>
      </c>
      <c r="AA512" t="s">
        <v>1819</v>
      </c>
      <c r="AB512" t="s">
        <v>1826</v>
      </c>
    </row>
    <row r="513" spans="1:28" x14ac:dyDescent="0.3">
      <c r="A513" t="s">
        <v>1378</v>
      </c>
      <c r="B513">
        <v>2</v>
      </c>
      <c r="C513">
        <v>15</v>
      </c>
      <c r="D513">
        <v>29</v>
      </c>
      <c r="E513" t="s">
        <v>128</v>
      </c>
      <c r="F513" s="12">
        <v>45400</v>
      </c>
      <c r="G513" t="s">
        <v>524</v>
      </c>
      <c r="H513" s="12">
        <v>45400</v>
      </c>
      <c r="I513" t="s">
        <v>1823</v>
      </c>
      <c r="J513" t="s">
        <v>458</v>
      </c>
      <c r="K513">
        <v>1</v>
      </c>
      <c r="L513">
        <v>17.5</v>
      </c>
      <c r="P513" t="s">
        <v>106</v>
      </c>
      <c r="Q513" t="s">
        <v>106</v>
      </c>
      <c r="R513" t="s">
        <v>106</v>
      </c>
      <c r="S513" t="s">
        <v>106</v>
      </c>
      <c r="T513" t="s">
        <v>1459</v>
      </c>
      <c r="U513" t="s">
        <v>1415</v>
      </c>
      <c r="V513" t="s">
        <v>106</v>
      </c>
      <c r="W513" t="s">
        <v>443</v>
      </c>
      <c r="X513" t="s">
        <v>106</v>
      </c>
      <c r="Y513" t="s">
        <v>108</v>
      </c>
      <c r="Z513" t="s">
        <v>109</v>
      </c>
      <c r="AA513" t="s">
        <v>1819</v>
      </c>
      <c r="AB513" t="s">
        <v>106</v>
      </c>
    </row>
    <row r="514" spans="1:28" x14ac:dyDescent="0.3">
      <c r="A514" t="s">
        <v>1378</v>
      </c>
      <c r="B514">
        <v>2</v>
      </c>
      <c r="C514">
        <v>15</v>
      </c>
      <c r="D514">
        <v>37</v>
      </c>
      <c r="E514" t="s">
        <v>128</v>
      </c>
      <c r="F514" s="12">
        <v>45400</v>
      </c>
      <c r="G514" t="s">
        <v>608</v>
      </c>
      <c r="H514" s="12">
        <v>45400</v>
      </c>
      <c r="I514" t="s">
        <v>328</v>
      </c>
      <c r="J514" t="s">
        <v>458</v>
      </c>
      <c r="K514">
        <v>1</v>
      </c>
      <c r="L514">
        <v>16.100000000000001</v>
      </c>
      <c r="P514" t="s">
        <v>106</v>
      </c>
      <c r="Q514" t="s">
        <v>106</v>
      </c>
      <c r="R514" t="s">
        <v>106</v>
      </c>
      <c r="S514" t="s">
        <v>1703</v>
      </c>
      <c r="T514" t="s">
        <v>1822</v>
      </c>
      <c r="U514" t="s">
        <v>1604</v>
      </c>
      <c r="V514" t="s">
        <v>106</v>
      </c>
      <c r="W514" t="s">
        <v>443</v>
      </c>
      <c r="X514" t="s">
        <v>106</v>
      </c>
      <c r="Y514" t="s">
        <v>108</v>
      </c>
      <c r="Z514" t="s">
        <v>108</v>
      </c>
      <c r="AA514" t="s">
        <v>1819</v>
      </c>
      <c r="AB514" t="s">
        <v>106</v>
      </c>
    </row>
    <row r="515" spans="1:28" x14ac:dyDescent="0.3">
      <c r="A515" t="s">
        <v>1378</v>
      </c>
      <c r="B515">
        <v>2</v>
      </c>
      <c r="C515">
        <v>15</v>
      </c>
      <c r="D515">
        <v>38</v>
      </c>
      <c r="E515" t="s">
        <v>128</v>
      </c>
      <c r="F515" s="12">
        <v>45400</v>
      </c>
      <c r="G515" t="s">
        <v>1824</v>
      </c>
      <c r="H515" s="12">
        <v>45400</v>
      </c>
      <c r="I515" t="s">
        <v>844</v>
      </c>
      <c r="J515" t="s">
        <v>1363</v>
      </c>
      <c r="K515">
        <v>1</v>
      </c>
      <c r="L515">
        <v>16.2</v>
      </c>
      <c r="P515" t="s">
        <v>106</v>
      </c>
      <c r="Q515" t="s">
        <v>106</v>
      </c>
      <c r="R515" t="s">
        <v>106</v>
      </c>
      <c r="S515" t="s">
        <v>1827</v>
      </c>
      <c r="T515" t="s">
        <v>1825</v>
      </c>
      <c r="U515" t="s">
        <v>1356</v>
      </c>
      <c r="V515" t="s">
        <v>106</v>
      </c>
      <c r="W515" t="s">
        <v>373</v>
      </c>
      <c r="X515" t="s">
        <v>106</v>
      </c>
      <c r="Y515" t="s">
        <v>108</v>
      </c>
      <c r="Z515" t="s">
        <v>109</v>
      </c>
      <c r="AA515" t="s">
        <v>1819</v>
      </c>
      <c r="AB515" t="s">
        <v>1811</v>
      </c>
    </row>
    <row r="516" spans="1:28" x14ac:dyDescent="0.3">
      <c r="A516" t="s">
        <v>1378</v>
      </c>
      <c r="B516">
        <v>2</v>
      </c>
      <c r="C516">
        <v>15</v>
      </c>
      <c r="D516">
        <v>44</v>
      </c>
      <c r="E516" t="s">
        <v>308</v>
      </c>
      <c r="F516" s="12">
        <v>45400</v>
      </c>
      <c r="G516" t="s">
        <v>1828</v>
      </c>
      <c r="H516" s="12" t="s">
        <v>106</v>
      </c>
      <c r="I516" t="s">
        <v>106</v>
      </c>
      <c r="J516" t="s">
        <v>106</v>
      </c>
      <c r="L516">
        <v>17.100000000000001</v>
      </c>
      <c r="P516" t="s">
        <v>106</v>
      </c>
      <c r="Q516" t="s">
        <v>106</v>
      </c>
      <c r="R516" t="s">
        <v>106</v>
      </c>
      <c r="S516" t="s">
        <v>106</v>
      </c>
      <c r="T516" t="s">
        <v>882</v>
      </c>
      <c r="U516" t="s">
        <v>106</v>
      </c>
      <c r="V516" t="s">
        <v>106</v>
      </c>
      <c r="W516" t="s">
        <v>373</v>
      </c>
      <c r="X516" t="s">
        <v>106</v>
      </c>
      <c r="Y516" t="s">
        <v>108</v>
      </c>
      <c r="Z516" t="s">
        <v>109</v>
      </c>
      <c r="AA516" t="s">
        <v>1384</v>
      </c>
      <c r="AB516" t="s">
        <v>106</v>
      </c>
    </row>
    <row r="517" spans="1:28" x14ac:dyDescent="0.3">
      <c r="A517" t="s">
        <v>1378</v>
      </c>
      <c r="B517">
        <v>2</v>
      </c>
      <c r="C517">
        <v>15</v>
      </c>
      <c r="D517">
        <v>51</v>
      </c>
      <c r="E517" t="s">
        <v>128</v>
      </c>
      <c r="F517" s="12">
        <v>45400</v>
      </c>
      <c r="G517" t="s">
        <v>1829</v>
      </c>
      <c r="H517" s="12">
        <v>45400</v>
      </c>
      <c r="I517" t="s">
        <v>813</v>
      </c>
      <c r="J517" t="s">
        <v>1363</v>
      </c>
      <c r="K517">
        <v>1</v>
      </c>
      <c r="L517">
        <v>17.2</v>
      </c>
      <c r="P517" t="s">
        <v>106</v>
      </c>
      <c r="Q517" t="s">
        <v>106</v>
      </c>
      <c r="R517" t="s">
        <v>106</v>
      </c>
      <c r="S517" t="s">
        <v>1753</v>
      </c>
      <c r="T517" t="s">
        <v>989</v>
      </c>
      <c r="U517" t="s">
        <v>106</v>
      </c>
      <c r="V517" t="s">
        <v>106</v>
      </c>
      <c r="W517" t="s">
        <v>373</v>
      </c>
      <c r="X517" t="s">
        <v>106</v>
      </c>
      <c r="Y517" t="s">
        <v>108</v>
      </c>
      <c r="Z517" t="s">
        <v>109</v>
      </c>
      <c r="AA517" t="s">
        <v>1384</v>
      </c>
      <c r="AB517" t="s">
        <v>1830</v>
      </c>
    </row>
    <row r="518" spans="1:28" x14ac:dyDescent="0.3">
      <c r="A518" t="s">
        <v>1378</v>
      </c>
      <c r="B518">
        <v>2</v>
      </c>
      <c r="C518">
        <v>15</v>
      </c>
      <c r="D518">
        <v>52</v>
      </c>
      <c r="E518" t="s">
        <v>128</v>
      </c>
      <c r="F518" s="12">
        <v>45400</v>
      </c>
      <c r="G518" t="s">
        <v>1831</v>
      </c>
      <c r="H518" s="12">
        <v>45400</v>
      </c>
      <c r="I518" t="s">
        <v>813</v>
      </c>
      <c r="J518" t="s">
        <v>1363</v>
      </c>
      <c r="K518">
        <v>2</v>
      </c>
      <c r="L518">
        <v>16.2</v>
      </c>
      <c r="P518" t="s">
        <v>106</v>
      </c>
      <c r="Q518" t="s">
        <v>106</v>
      </c>
      <c r="R518" t="s">
        <v>106</v>
      </c>
      <c r="S518" t="s">
        <v>106</v>
      </c>
      <c r="T518" t="s">
        <v>1832</v>
      </c>
      <c r="U518" t="s">
        <v>106</v>
      </c>
      <c r="V518" t="s">
        <v>106</v>
      </c>
      <c r="W518" t="s">
        <v>373</v>
      </c>
      <c r="X518" t="s">
        <v>106</v>
      </c>
      <c r="Y518" t="s">
        <v>108</v>
      </c>
      <c r="Z518" t="s">
        <v>109</v>
      </c>
      <c r="AA518" t="s">
        <v>1384</v>
      </c>
      <c r="AB518" t="s">
        <v>106</v>
      </c>
    </row>
    <row r="519" spans="1:28" x14ac:dyDescent="0.3">
      <c r="A519" t="s">
        <v>1378</v>
      </c>
      <c r="B519">
        <v>2</v>
      </c>
      <c r="C519">
        <v>15</v>
      </c>
      <c r="D519">
        <v>55</v>
      </c>
      <c r="E519" t="s">
        <v>128</v>
      </c>
      <c r="F519" s="12">
        <v>45400</v>
      </c>
      <c r="G519" t="s">
        <v>667</v>
      </c>
      <c r="H519" s="12">
        <v>45400</v>
      </c>
      <c r="I519" t="s">
        <v>1833</v>
      </c>
      <c r="J519" t="s">
        <v>1363</v>
      </c>
      <c r="K519">
        <v>1</v>
      </c>
      <c r="L519">
        <v>16.3</v>
      </c>
      <c r="P519" t="s">
        <v>106</v>
      </c>
      <c r="Q519" t="s">
        <v>106</v>
      </c>
      <c r="R519" t="s">
        <v>106</v>
      </c>
      <c r="S519" t="s">
        <v>1834</v>
      </c>
      <c r="T519" t="s">
        <v>1791</v>
      </c>
      <c r="U519" t="s">
        <v>1415</v>
      </c>
      <c r="V519" t="s">
        <v>106</v>
      </c>
      <c r="W519" t="s">
        <v>373</v>
      </c>
      <c r="X519" t="s">
        <v>106</v>
      </c>
      <c r="Y519" t="s">
        <v>108</v>
      </c>
      <c r="Z519" t="s">
        <v>109</v>
      </c>
      <c r="AA519" t="s">
        <v>1384</v>
      </c>
      <c r="AB519" t="s">
        <v>1835</v>
      </c>
    </row>
    <row r="520" spans="1:28" x14ac:dyDescent="0.3">
      <c r="A520" t="s">
        <v>1378</v>
      </c>
      <c r="B520">
        <v>2</v>
      </c>
      <c r="C520">
        <v>15</v>
      </c>
      <c r="D520">
        <v>56</v>
      </c>
      <c r="E520" t="s">
        <v>128</v>
      </c>
      <c r="F520" s="12">
        <v>45400</v>
      </c>
      <c r="G520" t="s">
        <v>667</v>
      </c>
      <c r="H520" s="12">
        <v>45400</v>
      </c>
      <c r="I520" t="s">
        <v>1833</v>
      </c>
      <c r="J520" t="s">
        <v>1363</v>
      </c>
      <c r="K520">
        <v>2</v>
      </c>
      <c r="L520">
        <v>15.9</v>
      </c>
      <c r="P520" t="s">
        <v>106</v>
      </c>
      <c r="Q520" t="s">
        <v>106</v>
      </c>
      <c r="R520" t="s">
        <v>106</v>
      </c>
      <c r="S520" t="s">
        <v>106</v>
      </c>
      <c r="T520" t="s">
        <v>756</v>
      </c>
      <c r="U520" t="s">
        <v>429</v>
      </c>
      <c r="V520" t="s">
        <v>106</v>
      </c>
      <c r="W520" t="s">
        <v>373</v>
      </c>
      <c r="X520" t="s">
        <v>106</v>
      </c>
      <c r="Y520" t="s">
        <v>108</v>
      </c>
      <c r="Z520" t="s">
        <v>109</v>
      </c>
      <c r="AA520" t="s">
        <v>1384</v>
      </c>
      <c r="AB520" t="s">
        <v>1836</v>
      </c>
    </row>
    <row r="521" spans="1:28" x14ac:dyDescent="0.3">
      <c r="A521" t="s">
        <v>1378</v>
      </c>
      <c r="B521">
        <v>2</v>
      </c>
      <c r="C521">
        <v>15</v>
      </c>
      <c r="D521">
        <v>26</v>
      </c>
      <c r="E521" t="s">
        <v>128</v>
      </c>
      <c r="F521" s="12">
        <v>45400</v>
      </c>
      <c r="G521" t="s">
        <v>313</v>
      </c>
      <c r="H521" s="12">
        <v>45400</v>
      </c>
      <c r="I521" t="s">
        <v>1823</v>
      </c>
      <c r="J521" t="s">
        <v>458</v>
      </c>
      <c r="K521">
        <v>1</v>
      </c>
      <c r="L521">
        <v>18</v>
      </c>
      <c r="P521" t="s">
        <v>106</v>
      </c>
      <c r="Q521" t="s">
        <v>106</v>
      </c>
      <c r="R521" t="s">
        <v>106</v>
      </c>
      <c r="S521" t="s">
        <v>106</v>
      </c>
      <c r="T521" t="s">
        <v>1603</v>
      </c>
      <c r="U521" t="s">
        <v>106</v>
      </c>
      <c r="V521" t="s">
        <v>106</v>
      </c>
      <c r="W521" t="s">
        <v>443</v>
      </c>
      <c r="X521" t="s">
        <v>106</v>
      </c>
      <c r="Y521" t="s">
        <v>108</v>
      </c>
      <c r="Z521" t="s">
        <v>108</v>
      </c>
      <c r="AA521" t="s">
        <v>1819</v>
      </c>
      <c r="AB521" t="s">
        <v>106</v>
      </c>
    </row>
    <row r="522" spans="1:28" x14ac:dyDescent="0.3">
      <c r="A522" t="s">
        <v>1378</v>
      </c>
      <c r="B522">
        <v>2</v>
      </c>
      <c r="C522">
        <v>15</v>
      </c>
      <c r="D522">
        <v>36</v>
      </c>
      <c r="E522" t="s">
        <v>128</v>
      </c>
      <c r="F522" s="12">
        <v>45400</v>
      </c>
      <c r="G522" t="s">
        <v>608</v>
      </c>
      <c r="H522" s="12">
        <v>45400</v>
      </c>
      <c r="I522" t="s">
        <v>328</v>
      </c>
      <c r="J522" t="s">
        <v>458</v>
      </c>
      <c r="K522">
        <v>2</v>
      </c>
      <c r="L522">
        <v>17</v>
      </c>
      <c r="P522" t="s">
        <v>106</v>
      </c>
      <c r="Q522" t="s">
        <v>106</v>
      </c>
      <c r="R522" t="s">
        <v>106</v>
      </c>
      <c r="S522" t="s">
        <v>106</v>
      </c>
      <c r="T522" t="s">
        <v>1459</v>
      </c>
      <c r="U522" t="s">
        <v>427</v>
      </c>
      <c r="V522" t="s">
        <v>106</v>
      </c>
      <c r="W522" t="s">
        <v>443</v>
      </c>
      <c r="X522" t="s">
        <v>106</v>
      </c>
      <c r="Y522" t="s">
        <v>108</v>
      </c>
      <c r="Z522" t="s">
        <v>108</v>
      </c>
      <c r="AA522" t="s">
        <v>1819</v>
      </c>
      <c r="AB522" t="s">
        <v>106</v>
      </c>
    </row>
    <row r="523" spans="1:28" x14ac:dyDescent="0.3">
      <c r="A523" t="s">
        <v>1378</v>
      </c>
      <c r="B523">
        <v>3</v>
      </c>
      <c r="C523">
        <v>35</v>
      </c>
      <c r="D523">
        <v>22</v>
      </c>
      <c r="E523" t="s">
        <v>128</v>
      </c>
      <c r="F523" s="12">
        <v>45400</v>
      </c>
      <c r="G523" t="s">
        <v>635</v>
      </c>
      <c r="H523" s="12">
        <v>45400</v>
      </c>
      <c r="I523" t="s">
        <v>1823</v>
      </c>
      <c r="J523" t="s">
        <v>458</v>
      </c>
      <c r="K523">
        <v>2</v>
      </c>
      <c r="L523">
        <v>38.700000000000003</v>
      </c>
      <c r="P523" t="s">
        <v>106</v>
      </c>
      <c r="Q523" t="s">
        <v>106</v>
      </c>
      <c r="R523" t="s">
        <v>106</v>
      </c>
      <c r="S523" t="s">
        <v>2121</v>
      </c>
      <c r="T523" t="s">
        <v>971</v>
      </c>
      <c r="U523" t="s">
        <v>1477</v>
      </c>
      <c r="V523" t="s">
        <v>106</v>
      </c>
      <c r="W523" t="s">
        <v>443</v>
      </c>
      <c r="X523" t="s">
        <v>106</v>
      </c>
      <c r="Y523" t="s">
        <v>108</v>
      </c>
      <c r="Z523" t="s">
        <v>108</v>
      </c>
      <c r="AA523" t="s">
        <v>1819</v>
      </c>
      <c r="AB523" t="s">
        <v>106</v>
      </c>
    </row>
    <row r="524" spans="1:28" x14ac:dyDescent="0.3">
      <c r="A524" t="s">
        <v>1378</v>
      </c>
      <c r="B524">
        <v>3</v>
      </c>
      <c r="C524">
        <v>35</v>
      </c>
      <c r="D524">
        <v>57</v>
      </c>
      <c r="E524" t="s">
        <v>128</v>
      </c>
      <c r="F524" s="12">
        <v>45400</v>
      </c>
      <c r="G524" t="s">
        <v>519</v>
      </c>
      <c r="H524" s="12">
        <v>45400</v>
      </c>
      <c r="I524" t="s">
        <v>1833</v>
      </c>
      <c r="J524" t="s">
        <v>1363</v>
      </c>
      <c r="K524">
        <v>1</v>
      </c>
      <c r="L524">
        <v>36.4</v>
      </c>
      <c r="P524" t="s">
        <v>106</v>
      </c>
      <c r="Q524" t="s">
        <v>106</v>
      </c>
      <c r="R524" t="s">
        <v>106</v>
      </c>
      <c r="S524" t="s">
        <v>2179</v>
      </c>
      <c r="T524" t="s">
        <v>1400</v>
      </c>
      <c r="U524" t="s">
        <v>1382</v>
      </c>
      <c r="V524" t="s">
        <v>106</v>
      </c>
      <c r="W524" t="s">
        <v>373</v>
      </c>
      <c r="X524" t="s">
        <v>106</v>
      </c>
      <c r="Y524" t="s">
        <v>108</v>
      </c>
      <c r="Z524" t="s">
        <v>108</v>
      </c>
      <c r="AA524" t="s">
        <v>1384</v>
      </c>
      <c r="AB524" t="s">
        <v>2363</v>
      </c>
    </row>
    <row r="525" spans="1:28" x14ac:dyDescent="0.3">
      <c r="A525" t="s">
        <v>1378</v>
      </c>
      <c r="B525">
        <v>3</v>
      </c>
      <c r="C525">
        <v>35</v>
      </c>
      <c r="D525">
        <v>23</v>
      </c>
      <c r="E525" t="s">
        <v>128</v>
      </c>
      <c r="F525" s="12">
        <v>45400</v>
      </c>
      <c r="G525" t="s">
        <v>503</v>
      </c>
      <c r="H525" s="12">
        <v>45400</v>
      </c>
      <c r="I525" t="s">
        <v>1823</v>
      </c>
      <c r="J525" t="s">
        <v>458</v>
      </c>
      <c r="K525">
        <v>1</v>
      </c>
      <c r="L525">
        <v>36.5</v>
      </c>
      <c r="P525" t="s">
        <v>106</v>
      </c>
      <c r="Q525" t="s">
        <v>106</v>
      </c>
      <c r="R525" t="s">
        <v>106</v>
      </c>
      <c r="S525" t="s">
        <v>1511</v>
      </c>
      <c r="T525" t="s">
        <v>1004</v>
      </c>
      <c r="U525" t="s">
        <v>391</v>
      </c>
      <c r="V525" t="s">
        <v>106</v>
      </c>
      <c r="W525" t="s">
        <v>443</v>
      </c>
      <c r="X525" t="s">
        <v>106</v>
      </c>
      <c r="Y525" t="s">
        <v>108</v>
      </c>
      <c r="Z525" t="s">
        <v>108</v>
      </c>
      <c r="AA525" t="s">
        <v>1819</v>
      </c>
      <c r="AB525" t="s">
        <v>106</v>
      </c>
    </row>
    <row r="526" spans="1:28" x14ac:dyDescent="0.3">
      <c r="A526" t="s">
        <v>1378</v>
      </c>
      <c r="B526">
        <v>3</v>
      </c>
      <c r="C526">
        <v>35</v>
      </c>
      <c r="D526">
        <v>33</v>
      </c>
      <c r="E526" t="s">
        <v>128</v>
      </c>
      <c r="F526" s="12">
        <v>45400</v>
      </c>
      <c r="G526" t="s">
        <v>656</v>
      </c>
      <c r="H526" s="12">
        <v>45400</v>
      </c>
      <c r="I526" t="s">
        <v>328</v>
      </c>
      <c r="J526" t="s">
        <v>458</v>
      </c>
      <c r="K526">
        <v>1</v>
      </c>
      <c r="L526">
        <v>38</v>
      </c>
      <c r="P526" t="s">
        <v>106</v>
      </c>
      <c r="Q526" t="s">
        <v>106</v>
      </c>
      <c r="R526" t="s">
        <v>106</v>
      </c>
      <c r="S526" t="s">
        <v>2166</v>
      </c>
      <c r="T526" t="s">
        <v>1449</v>
      </c>
      <c r="U526" t="s">
        <v>905</v>
      </c>
      <c r="V526" t="s">
        <v>106</v>
      </c>
      <c r="W526" t="s">
        <v>443</v>
      </c>
      <c r="X526" t="s">
        <v>106</v>
      </c>
      <c r="Y526" t="s">
        <v>108</v>
      </c>
      <c r="Z526" t="s">
        <v>108</v>
      </c>
      <c r="AA526" t="s">
        <v>1819</v>
      </c>
      <c r="AB526" t="s">
        <v>106</v>
      </c>
    </row>
    <row r="527" spans="1:28" x14ac:dyDescent="0.3">
      <c r="A527" t="s">
        <v>1378</v>
      </c>
      <c r="B527">
        <v>3</v>
      </c>
      <c r="C527">
        <v>35</v>
      </c>
      <c r="D527">
        <v>58</v>
      </c>
      <c r="E527" t="s">
        <v>128</v>
      </c>
      <c r="F527" s="12">
        <v>45400</v>
      </c>
      <c r="G527" t="s">
        <v>562</v>
      </c>
      <c r="H527" s="12">
        <v>45400</v>
      </c>
      <c r="I527" t="s">
        <v>1833</v>
      </c>
      <c r="J527" t="s">
        <v>1363</v>
      </c>
      <c r="K527">
        <v>2</v>
      </c>
      <c r="L527">
        <v>37.6</v>
      </c>
      <c r="P527" t="s">
        <v>106</v>
      </c>
      <c r="Q527" t="s">
        <v>106</v>
      </c>
      <c r="R527" t="s">
        <v>106</v>
      </c>
      <c r="S527" t="s">
        <v>106</v>
      </c>
      <c r="T527" t="s">
        <v>2095</v>
      </c>
      <c r="U527" t="s">
        <v>1604</v>
      </c>
      <c r="V527" t="s">
        <v>106</v>
      </c>
      <c r="W527" t="s">
        <v>373</v>
      </c>
      <c r="X527" t="s">
        <v>106</v>
      </c>
      <c r="Y527" t="s">
        <v>108</v>
      </c>
      <c r="Z527" t="s">
        <v>108</v>
      </c>
      <c r="AA527" t="s">
        <v>1384</v>
      </c>
      <c r="AB527" t="s">
        <v>2364</v>
      </c>
    </row>
    <row r="528" spans="1:28" x14ac:dyDescent="0.3">
      <c r="A528" t="s">
        <v>1378</v>
      </c>
      <c r="B528">
        <v>3</v>
      </c>
      <c r="C528">
        <v>35</v>
      </c>
      <c r="D528">
        <v>50</v>
      </c>
      <c r="E528" t="s">
        <v>128</v>
      </c>
      <c r="F528" s="12">
        <v>45400</v>
      </c>
      <c r="G528" t="s">
        <v>1740</v>
      </c>
      <c r="H528" s="12">
        <v>45400</v>
      </c>
      <c r="I528" t="s">
        <v>813</v>
      </c>
      <c r="J528" t="s">
        <v>1363</v>
      </c>
      <c r="K528">
        <v>2</v>
      </c>
      <c r="L528">
        <v>38.6</v>
      </c>
      <c r="P528" t="s">
        <v>106</v>
      </c>
      <c r="Q528" t="s">
        <v>106</v>
      </c>
      <c r="R528" t="s">
        <v>106</v>
      </c>
      <c r="S528" t="s">
        <v>106</v>
      </c>
      <c r="T528" t="s">
        <v>1554</v>
      </c>
      <c r="U528" t="s">
        <v>1604</v>
      </c>
      <c r="V528" t="s">
        <v>106</v>
      </c>
      <c r="W528" t="s">
        <v>373</v>
      </c>
      <c r="X528" t="s">
        <v>106</v>
      </c>
      <c r="Y528" t="s">
        <v>108</v>
      </c>
      <c r="Z528" t="s">
        <v>108</v>
      </c>
      <c r="AA528" t="s">
        <v>1384</v>
      </c>
      <c r="AB528" t="s">
        <v>2365</v>
      </c>
    </row>
    <row r="529" spans="1:28" x14ac:dyDescent="0.3">
      <c r="A529" t="s">
        <v>1378</v>
      </c>
      <c r="B529">
        <v>3</v>
      </c>
      <c r="C529">
        <v>35</v>
      </c>
      <c r="D529">
        <v>47</v>
      </c>
      <c r="E529" t="s">
        <v>128</v>
      </c>
      <c r="F529" s="12">
        <v>45400</v>
      </c>
      <c r="G529" t="s">
        <v>2023</v>
      </c>
      <c r="H529" s="12">
        <v>45400</v>
      </c>
      <c r="I529" t="s">
        <v>813</v>
      </c>
      <c r="J529" t="s">
        <v>1363</v>
      </c>
      <c r="K529">
        <v>1</v>
      </c>
      <c r="L529">
        <v>38.6</v>
      </c>
      <c r="P529" t="s">
        <v>106</v>
      </c>
      <c r="Q529" t="s">
        <v>106</v>
      </c>
      <c r="R529" t="s">
        <v>106</v>
      </c>
      <c r="S529" t="s">
        <v>1335</v>
      </c>
      <c r="T529" t="s">
        <v>1634</v>
      </c>
      <c r="U529" t="s">
        <v>905</v>
      </c>
      <c r="V529" t="s">
        <v>106</v>
      </c>
      <c r="W529" t="s">
        <v>373</v>
      </c>
      <c r="X529" t="s">
        <v>106</v>
      </c>
      <c r="Y529" t="s">
        <v>108</v>
      </c>
      <c r="Z529" t="s">
        <v>108</v>
      </c>
      <c r="AA529" t="s">
        <v>1384</v>
      </c>
      <c r="AB529" t="s">
        <v>1811</v>
      </c>
    </row>
    <row r="530" spans="1:28" x14ac:dyDescent="0.3">
      <c r="A530" t="s">
        <v>1378</v>
      </c>
      <c r="B530">
        <v>3</v>
      </c>
      <c r="C530">
        <v>35</v>
      </c>
      <c r="D530">
        <v>34</v>
      </c>
      <c r="E530" t="s">
        <v>128</v>
      </c>
      <c r="F530" s="12">
        <v>45400</v>
      </c>
      <c r="G530" t="s">
        <v>656</v>
      </c>
      <c r="H530" s="12">
        <v>45400</v>
      </c>
      <c r="I530" t="s">
        <v>328</v>
      </c>
      <c r="J530" t="s">
        <v>458</v>
      </c>
      <c r="K530">
        <v>2</v>
      </c>
      <c r="L530">
        <v>35.5</v>
      </c>
      <c r="P530" t="s">
        <v>106</v>
      </c>
      <c r="Q530" t="s">
        <v>106</v>
      </c>
      <c r="R530" t="s">
        <v>106</v>
      </c>
      <c r="S530" t="s">
        <v>106</v>
      </c>
      <c r="T530" t="s">
        <v>1478</v>
      </c>
      <c r="U530" t="s">
        <v>1604</v>
      </c>
      <c r="V530" t="s">
        <v>106</v>
      </c>
      <c r="W530" t="s">
        <v>443</v>
      </c>
      <c r="X530" t="s">
        <v>106</v>
      </c>
      <c r="Y530" t="s">
        <v>108</v>
      </c>
      <c r="Z530" t="s">
        <v>108</v>
      </c>
      <c r="AA530" t="s">
        <v>1819</v>
      </c>
      <c r="AB530" t="s">
        <v>106</v>
      </c>
    </row>
    <row r="531" spans="1:28" x14ac:dyDescent="0.3">
      <c r="A531" t="s">
        <v>1378</v>
      </c>
      <c r="B531">
        <v>3</v>
      </c>
      <c r="C531">
        <v>35</v>
      </c>
      <c r="D531">
        <v>45</v>
      </c>
      <c r="E531" t="s">
        <v>308</v>
      </c>
      <c r="F531" s="12">
        <v>45400</v>
      </c>
      <c r="G531" t="s">
        <v>1828</v>
      </c>
      <c r="H531" s="12" t="s">
        <v>106</v>
      </c>
      <c r="I531" t="s">
        <v>106</v>
      </c>
      <c r="J531" t="s">
        <v>106</v>
      </c>
      <c r="L531">
        <v>36.9</v>
      </c>
      <c r="P531" t="s">
        <v>106</v>
      </c>
      <c r="Q531" t="s">
        <v>106</v>
      </c>
      <c r="R531" t="s">
        <v>106</v>
      </c>
      <c r="S531" t="s">
        <v>106</v>
      </c>
      <c r="T531" t="s">
        <v>1650</v>
      </c>
      <c r="U531" t="s">
        <v>106</v>
      </c>
      <c r="V531" t="s">
        <v>106</v>
      </c>
      <c r="W531" t="s">
        <v>373</v>
      </c>
      <c r="X531" t="s">
        <v>106</v>
      </c>
      <c r="Y531" t="s">
        <v>108</v>
      </c>
      <c r="Z531" t="s">
        <v>108</v>
      </c>
      <c r="AA531" t="s">
        <v>1384</v>
      </c>
      <c r="AB531" t="s">
        <v>106</v>
      </c>
    </row>
    <row r="532" spans="1:28" x14ac:dyDescent="0.3">
      <c r="A532" t="s">
        <v>1378</v>
      </c>
      <c r="B532">
        <v>3</v>
      </c>
      <c r="C532">
        <v>35</v>
      </c>
      <c r="D532">
        <v>35</v>
      </c>
      <c r="E532" t="s">
        <v>128</v>
      </c>
      <c r="F532" s="12">
        <v>45400</v>
      </c>
      <c r="G532" t="s">
        <v>656</v>
      </c>
      <c r="H532" s="12">
        <v>45400</v>
      </c>
      <c r="I532" t="s">
        <v>328</v>
      </c>
      <c r="J532" t="s">
        <v>458</v>
      </c>
      <c r="K532">
        <v>2</v>
      </c>
      <c r="L532">
        <v>37.799999999999997</v>
      </c>
      <c r="P532" t="s">
        <v>106</v>
      </c>
      <c r="Q532" t="s">
        <v>106</v>
      </c>
      <c r="R532" t="s">
        <v>106</v>
      </c>
      <c r="S532" t="s">
        <v>2166</v>
      </c>
      <c r="T532" t="s">
        <v>971</v>
      </c>
      <c r="U532" t="s">
        <v>1382</v>
      </c>
      <c r="V532" t="s">
        <v>106</v>
      </c>
      <c r="W532" t="s">
        <v>443</v>
      </c>
      <c r="X532" t="s">
        <v>106</v>
      </c>
      <c r="Y532" t="s">
        <v>108</v>
      </c>
      <c r="Z532" t="s">
        <v>108</v>
      </c>
      <c r="AA532" t="s">
        <v>1819</v>
      </c>
      <c r="AB532" t="s">
        <v>106</v>
      </c>
    </row>
    <row r="533" spans="1:28" x14ac:dyDescent="0.3">
      <c r="A533" t="s">
        <v>1378</v>
      </c>
      <c r="B533">
        <v>3</v>
      </c>
      <c r="C533">
        <v>35</v>
      </c>
      <c r="D533">
        <v>41</v>
      </c>
      <c r="E533" t="s">
        <v>128</v>
      </c>
      <c r="F533" s="12">
        <v>45400</v>
      </c>
      <c r="G533" t="s">
        <v>1824</v>
      </c>
      <c r="H533" s="12">
        <v>45400</v>
      </c>
      <c r="I533" t="s">
        <v>844</v>
      </c>
      <c r="J533" t="s">
        <v>1363</v>
      </c>
      <c r="K533">
        <v>2</v>
      </c>
      <c r="L533">
        <v>36</v>
      </c>
      <c r="P533" t="s">
        <v>106</v>
      </c>
      <c r="Q533" t="s">
        <v>106</v>
      </c>
      <c r="R533" t="s">
        <v>106</v>
      </c>
      <c r="S533" t="s">
        <v>106</v>
      </c>
      <c r="T533" t="s">
        <v>2200</v>
      </c>
      <c r="U533" t="s">
        <v>1415</v>
      </c>
      <c r="V533" t="s">
        <v>106</v>
      </c>
      <c r="W533" t="s">
        <v>373</v>
      </c>
      <c r="X533" t="s">
        <v>106</v>
      </c>
      <c r="Y533" t="s">
        <v>108</v>
      </c>
      <c r="Z533" t="s">
        <v>108</v>
      </c>
      <c r="AA533" t="s">
        <v>1819</v>
      </c>
      <c r="AB533" t="s">
        <v>2366</v>
      </c>
    </row>
    <row r="534" spans="1:28" x14ac:dyDescent="0.3">
      <c r="A534" t="s">
        <v>1378</v>
      </c>
      <c r="B534">
        <v>3</v>
      </c>
      <c r="C534">
        <v>35</v>
      </c>
      <c r="D534">
        <v>24</v>
      </c>
      <c r="E534" t="s">
        <v>128</v>
      </c>
      <c r="F534" s="12">
        <v>45400</v>
      </c>
      <c r="G534" t="s">
        <v>503</v>
      </c>
      <c r="H534" s="12">
        <v>45400</v>
      </c>
      <c r="I534" t="s">
        <v>1823</v>
      </c>
      <c r="J534" t="s">
        <v>458</v>
      </c>
      <c r="K534">
        <v>2</v>
      </c>
      <c r="L534">
        <v>37</v>
      </c>
      <c r="P534" t="s">
        <v>106</v>
      </c>
      <c r="Q534" t="s">
        <v>106</v>
      </c>
      <c r="R534" t="s">
        <v>106</v>
      </c>
      <c r="S534" t="s">
        <v>106</v>
      </c>
      <c r="T534" t="s">
        <v>1120</v>
      </c>
      <c r="U534" t="s">
        <v>1539</v>
      </c>
      <c r="V534" t="s">
        <v>106</v>
      </c>
      <c r="W534" t="s">
        <v>443</v>
      </c>
      <c r="X534" t="s">
        <v>106</v>
      </c>
      <c r="Y534" t="s">
        <v>108</v>
      </c>
      <c r="Z534" t="s">
        <v>108</v>
      </c>
      <c r="AA534" t="s">
        <v>1819</v>
      </c>
      <c r="AB534" t="s">
        <v>106</v>
      </c>
    </row>
    <row r="535" spans="1:28" x14ac:dyDescent="0.3">
      <c r="A535" t="s">
        <v>1378</v>
      </c>
      <c r="B535">
        <v>3</v>
      </c>
      <c r="C535">
        <v>35</v>
      </c>
      <c r="D535">
        <v>40</v>
      </c>
      <c r="E535" t="s">
        <v>128</v>
      </c>
      <c r="F535" s="12">
        <v>45400</v>
      </c>
      <c r="G535" t="s">
        <v>1824</v>
      </c>
      <c r="H535" s="12">
        <v>45400</v>
      </c>
      <c r="I535" t="s">
        <v>844</v>
      </c>
      <c r="J535" t="s">
        <v>1363</v>
      </c>
      <c r="K535">
        <v>1</v>
      </c>
      <c r="L535">
        <v>38.5</v>
      </c>
      <c r="P535" t="s">
        <v>106</v>
      </c>
      <c r="Q535" t="s">
        <v>106</v>
      </c>
      <c r="R535" t="s">
        <v>106</v>
      </c>
      <c r="S535" t="s">
        <v>2367</v>
      </c>
      <c r="T535" t="s">
        <v>2063</v>
      </c>
      <c r="U535" t="s">
        <v>427</v>
      </c>
      <c r="V535" t="s">
        <v>106</v>
      </c>
      <c r="W535" t="s">
        <v>373</v>
      </c>
      <c r="X535" t="s">
        <v>106</v>
      </c>
      <c r="Y535" t="s">
        <v>108</v>
      </c>
      <c r="Z535" t="s">
        <v>108</v>
      </c>
      <c r="AA535" t="s">
        <v>1819</v>
      </c>
      <c r="AB535" t="s">
        <v>2368</v>
      </c>
    </row>
    <row r="536" spans="1:28" x14ac:dyDescent="0.3">
      <c r="A536" t="s">
        <v>1378</v>
      </c>
      <c r="B536">
        <v>3</v>
      </c>
      <c r="C536">
        <v>35</v>
      </c>
      <c r="D536">
        <v>32</v>
      </c>
      <c r="E536" t="s">
        <v>128</v>
      </c>
      <c r="F536" s="12">
        <v>45400</v>
      </c>
      <c r="G536" t="s">
        <v>656</v>
      </c>
      <c r="H536" s="12">
        <v>45400</v>
      </c>
      <c r="I536" t="s">
        <v>328</v>
      </c>
      <c r="J536" t="s">
        <v>458</v>
      </c>
      <c r="K536">
        <v>1</v>
      </c>
      <c r="L536">
        <v>38.1</v>
      </c>
      <c r="P536" t="s">
        <v>106</v>
      </c>
      <c r="Q536" t="s">
        <v>106</v>
      </c>
      <c r="R536" t="s">
        <v>106</v>
      </c>
      <c r="S536" t="s">
        <v>2243</v>
      </c>
      <c r="T536" t="s">
        <v>981</v>
      </c>
      <c r="U536" t="s">
        <v>1539</v>
      </c>
      <c r="V536" t="s">
        <v>106</v>
      </c>
      <c r="W536" t="s">
        <v>443</v>
      </c>
      <c r="X536" t="s">
        <v>106</v>
      </c>
      <c r="Y536" t="s">
        <v>108</v>
      </c>
      <c r="Z536" t="s">
        <v>108</v>
      </c>
      <c r="AA536" t="s">
        <v>1819</v>
      </c>
      <c r="AB536" t="s">
        <v>106</v>
      </c>
    </row>
    <row r="537" spans="1:28" x14ac:dyDescent="0.3">
      <c r="A537" t="s">
        <v>1378</v>
      </c>
      <c r="B537">
        <v>3</v>
      </c>
      <c r="C537">
        <v>35</v>
      </c>
      <c r="D537">
        <v>21</v>
      </c>
      <c r="E537" t="s">
        <v>128</v>
      </c>
      <c r="F537" s="12">
        <v>45400</v>
      </c>
      <c r="G537" t="s">
        <v>503</v>
      </c>
      <c r="H537" s="12">
        <v>45400</v>
      </c>
      <c r="I537" t="s">
        <v>1823</v>
      </c>
      <c r="J537" t="s">
        <v>458</v>
      </c>
      <c r="K537">
        <v>1</v>
      </c>
      <c r="L537">
        <v>37.200000000000003</v>
      </c>
      <c r="P537" t="s">
        <v>106</v>
      </c>
      <c r="Q537" t="s">
        <v>106</v>
      </c>
      <c r="R537" t="s">
        <v>106</v>
      </c>
      <c r="S537" t="s">
        <v>2332</v>
      </c>
      <c r="T537" t="s">
        <v>1101</v>
      </c>
      <c r="U537" t="s">
        <v>905</v>
      </c>
      <c r="V537" t="s">
        <v>106</v>
      </c>
      <c r="W537" t="s">
        <v>443</v>
      </c>
      <c r="X537" t="s">
        <v>106</v>
      </c>
      <c r="Y537" t="s">
        <v>108</v>
      </c>
      <c r="Z537" t="s">
        <v>108</v>
      </c>
      <c r="AA537" t="s">
        <v>1819</v>
      </c>
      <c r="AB537" t="s">
        <v>106</v>
      </c>
    </row>
    <row r="538" spans="1:28" x14ac:dyDescent="0.3">
      <c r="A538" t="s">
        <v>1378</v>
      </c>
      <c r="B538">
        <v>3</v>
      </c>
      <c r="C538">
        <v>35</v>
      </c>
      <c r="D538">
        <v>16</v>
      </c>
      <c r="E538" t="s">
        <v>128</v>
      </c>
      <c r="F538" s="12">
        <v>45400</v>
      </c>
      <c r="G538" t="s">
        <v>1820</v>
      </c>
      <c r="H538" s="12">
        <v>45400</v>
      </c>
      <c r="I538" t="s">
        <v>556</v>
      </c>
      <c r="J538" t="s">
        <v>458</v>
      </c>
      <c r="K538">
        <v>1</v>
      </c>
      <c r="L538">
        <v>37.9</v>
      </c>
      <c r="P538" t="s">
        <v>106</v>
      </c>
      <c r="Q538" t="s">
        <v>106</v>
      </c>
      <c r="R538" t="s">
        <v>106</v>
      </c>
      <c r="S538" t="s">
        <v>106</v>
      </c>
      <c r="T538" t="s">
        <v>1458</v>
      </c>
      <c r="U538" t="s">
        <v>1468</v>
      </c>
      <c r="V538" t="s">
        <v>106</v>
      </c>
      <c r="W538" t="s">
        <v>443</v>
      </c>
      <c r="X538" t="s">
        <v>106</v>
      </c>
      <c r="Y538" t="s">
        <v>108</v>
      </c>
      <c r="Z538" t="s">
        <v>108</v>
      </c>
      <c r="AA538" t="s">
        <v>1821</v>
      </c>
      <c r="AB538" t="s">
        <v>106</v>
      </c>
    </row>
    <row r="539" spans="1:28" x14ac:dyDescent="0.3">
      <c r="A539" t="s">
        <v>1378</v>
      </c>
      <c r="B539">
        <v>3</v>
      </c>
      <c r="C539">
        <v>35</v>
      </c>
      <c r="D539">
        <v>15</v>
      </c>
      <c r="E539" t="s">
        <v>128</v>
      </c>
      <c r="F539" s="12">
        <v>45400</v>
      </c>
      <c r="G539" t="s">
        <v>1797</v>
      </c>
      <c r="H539" s="12">
        <v>45400</v>
      </c>
      <c r="I539" t="s">
        <v>556</v>
      </c>
      <c r="J539" t="s">
        <v>458</v>
      </c>
      <c r="K539">
        <v>2</v>
      </c>
      <c r="L539">
        <v>38</v>
      </c>
      <c r="P539" t="s">
        <v>106</v>
      </c>
      <c r="Q539" t="s">
        <v>106</v>
      </c>
      <c r="R539" t="s">
        <v>106</v>
      </c>
      <c r="S539" t="s">
        <v>2130</v>
      </c>
      <c r="T539" t="s">
        <v>1101</v>
      </c>
      <c r="U539" t="s">
        <v>1596</v>
      </c>
      <c r="V539" t="s">
        <v>106</v>
      </c>
      <c r="W539" t="s">
        <v>443</v>
      </c>
      <c r="X539" t="s">
        <v>106</v>
      </c>
      <c r="Y539" t="s">
        <v>108</v>
      </c>
      <c r="Z539" t="s">
        <v>108</v>
      </c>
      <c r="AA539" t="s">
        <v>1821</v>
      </c>
      <c r="AB539" t="s">
        <v>106</v>
      </c>
    </row>
    <row r="540" spans="1:28" x14ac:dyDescent="0.3">
      <c r="A540" t="s">
        <v>1378</v>
      </c>
      <c r="B540">
        <v>3</v>
      </c>
      <c r="C540">
        <v>35</v>
      </c>
      <c r="D540">
        <v>14</v>
      </c>
      <c r="E540" t="s">
        <v>128</v>
      </c>
      <c r="F540" s="12">
        <v>45400</v>
      </c>
      <c r="G540" t="s">
        <v>1797</v>
      </c>
      <c r="H540" s="12">
        <v>45400</v>
      </c>
      <c r="I540" t="s">
        <v>556</v>
      </c>
      <c r="J540" t="s">
        <v>458</v>
      </c>
      <c r="K540">
        <v>1</v>
      </c>
      <c r="L540">
        <v>38.700000000000003</v>
      </c>
      <c r="P540" t="s">
        <v>106</v>
      </c>
      <c r="Q540" t="s">
        <v>106</v>
      </c>
      <c r="R540" t="s">
        <v>106</v>
      </c>
      <c r="S540" t="s">
        <v>106</v>
      </c>
      <c r="T540" t="s">
        <v>1208</v>
      </c>
      <c r="U540" t="s">
        <v>1590</v>
      </c>
      <c r="V540" t="s">
        <v>106</v>
      </c>
      <c r="W540" t="s">
        <v>443</v>
      </c>
      <c r="X540" t="s">
        <v>106</v>
      </c>
      <c r="Y540" t="s">
        <v>108</v>
      </c>
      <c r="Z540" t="s">
        <v>108</v>
      </c>
      <c r="AA540" t="s">
        <v>1821</v>
      </c>
      <c r="AB540" t="s">
        <v>106</v>
      </c>
    </row>
    <row r="541" spans="1:28" x14ac:dyDescent="0.3">
      <c r="A541" t="s">
        <v>1378</v>
      </c>
      <c r="B541">
        <v>3</v>
      </c>
      <c r="C541">
        <v>35</v>
      </c>
      <c r="D541">
        <v>13</v>
      </c>
      <c r="E541" t="s">
        <v>128</v>
      </c>
      <c r="F541" s="12">
        <v>45400</v>
      </c>
      <c r="G541" t="s">
        <v>1797</v>
      </c>
      <c r="H541" s="12">
        <v>45400</v>
      </c>
      <c r="I541" t="s">
        <v>556</v>
      </c>
      <c r="J541" t="s">
        <v>458</v>
      </c>
      <c r="K541">
        <v>2</v>
      </c>
      <c r="L541">
        <v>38.700000000000003</v>
      </c>
      <c r="P541" t="s">
        <v>106</v>
      </c>
      <c r="Q541" t="s">
        <v>106</v>
      </c>
      <c r="R541" t="s">
        <v>106</v>
      </c>
      <c r="S541" t="s">
        <v>1541</v>
      </c>
      <c r="T541" t="s">
        <v>1495</v>
      </c>
      <c r="U541" t="s">
        <v>1468</v>
      </c>
      <c r="V541" t="s">
        <v>106</v>
      </c>
      <c r="W541" t="s">
        <v>443</v>
      </c>
      <c r="X541" t="s">
        <v>106</v>
      </c>
      <c r="Y541" t="s">
        <v>108</v>
      </c>
      <c r="Z541" t="s">
        <v>108</v>
      </c>
      <c r="AA541" t="s">
        <v>1821</v>
      </c>
      <c r="AB541" t="s">
        <v>106</v>
      </c>
    </row>
    <row r="542" spans="1:28" x14ac:dyDescent="0.3">
      <c r="A542" t="s">
        <v>1378</v>
      </c>
      <c r="B542">
        <v>4</v>
      </c>
      <c r="C542">
        <v>60</v>
      </c>
      <c r="D542">
        <v>42</v>
      </c>
      <c r="E542" t="s">
        <v>128</v>
      </c>
      <c r="F542" s="12">
        <v>45400</v>
      </c>
      <c r="G542" t="s">
        <v>1998</v>
      </c>
      <c r="H542" s="12">
        <v>45400</v>
      </c>
      <c r="I542" t="s">
        <v>844</v>
      </c>
      <c r="J542" t="s">
        <v>1363</v>
      </c>
      <c r="K542">
        <v>1</v>
      </c>
      <c r="L542">
        <v>62.6</v>
      </c>
      <c r="P542" t="s">
        <v>106</v>
      </c>
      <c r="Q542" t="s">
        <v>106</v>
      </c>
      <c r="R542" t="s">
        <v>106</v>
      </c>
      <c r="S542" t="s">
        <v>106</v>
      </c>
      <c r="T542" t="s">
        <v>1899</v>
      </c>
      <c r="U542" t="s">
        <v>1590</v>
      </c>
      <c r="V542" t="s">
        <v>106</v>
      </c>
      <c r="W542" t="s">
        <v>373</v>
      </c>
      <c r="X542" t="s">
        <v>106</v>
      </c>
      <c r="Y542" t="s">
        <v>108</v>
      </c>
      <c r="Z542" t="s">
        <v>104</v>
      </c>
      <c r="AA542" t="s">
        <v>1819</v>
      </c>
      <c r="AB542" t="s">
        <v>1911</v>
      </c>
    </row>
    <row r="543" spans="1:28" x14ac:dyDescent="0.3">
      <c r="A543" t="s">
        <v>1378</v>
      </c>
      <c r="B543">
        <v>4</v>
      </c>
      <c r="C543">
        <v>60</v>
      </c>
      <c r="D543">
        <v>31</v>
      </c>
      <c r="E543" t="s">
        <v>128</v>
      </c>
      <c r="F543" s="12">
        <v>45400</v>
      </c>
      <c r="G543" t="s">
        <v>1562</v>
      </c>
      <c r="H543" s="12">
        <v>45400</v>
      </c>
      <c r="I543" t="s">
        <v>328</v>
      </c>
      <c r="J543" t="s">
        <v>458</v>
      </c>
      <c r="K543">
        <v>2</v>
      </c>
      <c r="L543">
        <v>60.3</v>
      </c>
      <c r="P543" t="s">
        <v>106</v>
      </c>
      <c r="Q543" t="s">
        <v>106</v>
      </c>
      <c r="R543" t="s">
        <v>106</v>
      </c>
      <c r="S543" t="s">
        <v>106</v>
      </c>
      <c r="T543" t="s">
        <v>975</v>
      </c>
      <c r="U543" t="s">
        <v>1353</v>
      </c>
      <c r="V543" t="s">
        <v>106</v>
      </c>
      <c r="W543" t="s">
        <v>443</v>
      </c>
      <c r="X543" t="s">
        <v>106</v>
      </c>
      <c r="Y543" t="s">
        <v>108</v>
      </c>
      <c r="Z543" t="s">
        <v>104</v>
      </c>
      <c r="AA543" t="s">
        <v>1819</v>
      </c>
      <c r="AB543" t="s">
        <v>106</v>
      </c>
    </row>
    <row r="544" spans="1:28" x14ac:dyDescent="0.3">
      <c r="A544" t="s">
        <v>1378</v>
      </c>
      <c r="B544">
        <v>4</v>
      </c>
      <c r="C544">
        <v>60</v>
      </c>
      <c r="D544">
        <v>46</v>
      </c>
      <c r="E544" t="s">
        <v>308</v>
      </c>
      <c r="F544" s="12">
        <v>45400</v>
      </c>
      <c r="G544" t="s">
        <v>2660</v>
      </c>
      <c r="H544" s="12" t="s">
        <v>106</v>
      </c>
      <c r="I544" t="s">
        <v>106</v>
      </c>
      <c r="J544" t="s">
        <v>106</v>
      </c>
      <c r="L544">
        <v>60.3</v>
      </c>
      <c r="P544" t="s">
        <v>106</v>
      </c>
      <c r="Q544" t="s">
        <v>106</v>
      </c>
      <c r="R544" t="s">
        <v>106</v>
      </c>
      <c r="S544" t="s">
        <v>106</v>
      </c>
      <c r="T544" t="s">
        <v>2013</v>
      </c>
      <c r="U544" t="s">
        <v>106</v>
      </c>
      <c r="V544" t="s">
        <v>106</v>
      </c>
      <c r="W544" t="s">
        <v>373</v>
      </c>
      <c r="X544" t="s">
        <v>106</v>
      </c>
      <c r="Y544" t="s">
        <v>108</v>
      </c>
      <c r="Z544" t="s">
        <v>104</v>
      </c>
      <c r="AA544" t="s">
        <v>1384</v>
      </c>
      <c r="AB544" t="s">
        <v>106</v>
      </c>
    </row>
    <row r="545" spans="1:28" x14ac:dyDescent="0.3">
      <c r="A545" t="s">
        <v>1378</v>
      </c>
      <c r="B545">
        <v>4</v>
      </c>
      <c r="C545">
        <v>60</v>
      </c>
      <c r="D545">
        <v>48</v>
      </c>
      <c r="E545" t="s">
        <v>128</v>
      </c>
      <c r="F545" s="12">
        <v>45400</v>
      </c>
      <c r="G545" t="s">
        <v>1183</v>
      </c>
      <c r="H545" s="12">
        <v>45400</v>
      </c>
      <c r="I545" t="s">
        <v>813</v>
      </c>
      <c r="J545" t="s">
        <v>1363</v>
      </c>
      <c r="K545">
        <v>2</v>
      </c>
      <c r="L545">
        <v>62.8</v>
      </c>
      <c r="P545" t="s">
        <v>106</v>
      </c>
      <c r="Q545" t="s">
        <v>106</v>
      </c>
      <c r="R545" t="s">
        <v>106</v>
      </c>
      <c r="S545" t="s">
        <v>106</v>
      </c>
      <c r="T545" t="s">
        <v>587</v>
      </c>
      <c r="U545" t="s">
        <v>1596</v>
      </c>
      <c r="V545" t="s">
        <v>106</v>
      </c>
      <c r="W545" t="s">
        <v>373</v>
      </c>
      <c r="X545" t="s">
        <v>106</v>
      </c>
      <c r="Y545" t="s">
        <v>108</v>
      </c>
      <c r="Z545" t="s">
        <v>104</v>
      </c>
      <c r="AA545" t="s">
        <v>1384</v>
      </c>
      <c r="AB545" t="s">
        <v>2661</v>
      </c>
    </row>
    <row r="546" spans="1:28" x14ac:dyDescent="0.3">
      <c r="A546" t="s">
        <v>1378</v>
      </c>
      <c r="B546">
        <v>4</v>
      </c>
      <c r="C546">
        <v>60</v>
      </c>
      <c r="D546">
        <v>30</v>
      </c>
      <c r="E546" t="s">
        <v>128</v>
      </c>
      <c r="F546" s="12">
        <v>45400</v>
      </c>
      <c r="G546" t="s">
        <v>852</v>
      </c>
      <c r="H546" s="12">
        <v>45400</v>
      </c>
      <c r="I546" t="s">
        <v>328</v>
      </c>
      <c r="J546" t="s">
        <v>458</v>
      </c>
      <c r="K546">
        <v>1</v>
      </c>
      <c r="L546">
        <v>59.8</v>
      </c>
      <c r="P546" t="s">
        <v>106</v>
      </c>
      <c r="Q546" t="s">
        <v>106</v>
      </c>
      <c r="R546" t="s">
        <v>106</v>
      </c>
      <c r="S546" t="s">
        <v>1964</v>
      </c>
      <c r="T546" t="s">
        <v>1006</v>
      </c>
      <c r="U546" t="s">
        <v>1615</v>
      </c>
      <c r="V546" t="s">
        <v>106</v>
      </c>
      <c r="W546" t="s">
        <v>443</v>
      </c>
      <c r="X546" t="s">
        <v>106</v>
      </c>
      <c r="Y546" t="s">
        <v>108</v>
      </c>
      <c r="Z546" t="s">
        <v>104</v>
      </c>
      <c r="AA546" t="s">
        <v>1819</v>
      </c>
      <c r="AB546" t="s">
        <v>106</v>
      </c>
    </row>
    <row r="547" spans="1:28" x14ac:dyDescent="0.3">
      <c r="A547" t="s">
        <v>1378</v>
      </c>
      <c r="B547">
        <v>4</v>
      </c>
      <c r="C547">
        <v>60</v>
      </c>
      <c r="D547">
        <v>28</v>
      </c>
      <c r="E547" t="s">
        <v>128</v>
      </c>
      <c r="F547" s="12">
        <v>45400</v>
      </c>
      <c r="G547" t="s">
        <v>313</v>
      </c>
      <c r="H547" s="12">
        <v>45400</v>
      </c>
      <c r="I547" t="s">
        <v>1823</v>
      </c>
      <c r="J547" t="s">
        <v>458</v>
      </c>
      <c r="K547">
        <v>2</v>
      </c>
      <c r="L547">
        <v>62.3</v>
      </c>
      <c r="P547" t="s">
        <v>106</v>
      </c>
      <c r="Q547" t="s">
        <v>106</v>
      </c>
      <c r="R547" t="s">
        <v>106</v>
      </c>
      <c r="S547" t="s">
        <v>1762</v>
      </c>
      <c r="T547" t="s">
        <v>2662</v>
      </c>
      <c r="U547" t="s">
        <v>427</v>
      </c>
      <c r="V547" t="s">
        <v>106</v>
      </c>
      <c r="W547" t="s">
        <v>443</v>
      </c>
      <c r="X547" t="s">
        <v>106</v>
      </c>
      <c r="Y547" t="s">
        <v>108</v>
      </c>
      <c r="Z547" t="s">
        <v>108</v>
      </c>
      <c r="AA547" t="s">
        <v>1819</v>
      </c>
      <c r="AB547" t="s">
        <v>106</v>
      </c>
    </row>
    <row r="548" spans="1:28" x14ac:dyDescent="0.3">
      <c r="A548" t="s">
        <v>1378</v>
      </c>
      <c r="B548">
        <v>4</v>
      </c>
      <c r="C548">
        <v>60</v>
      </c>
      <c r="D548">
        <v>27</v>
      </c>
      <c r="E548" t="s">
        <v>128</v>
      </c>
      <c r="F548" s="12">
        <v>45400</v>
      </c>
      <c r="G548" t="s">
        <v>313</v>
      </c>
      <c r="H548" s="12">
        <v>45400</v>
      </c>
      <c r="I548" t="s">
        <v>1823</v>
      </c>
      <c r="J548" t="s">
        <v>458</v>
      </c>
      <c r="K548">
        <v>1</v>
      </c>
      <c r="L548">
        <v>62.4</v>
      </c>
      <c r="P548" t="s">
        <v>106</v>
      </c>
      <c r="Q548" t="s">
        <v>106</v>
      </c>
      <c r="R548" t="s">
        <v>106</v>
      </c>
      <c r="S548" t="s">
        <v>1798</v>
      </c>
      <c r="T548" t="s">
        <v>1931</v>
      </c>
      <c r="U548" t="s">
        <v>1356</v>
      </c>
      <c r="V548" t="s">
        <v>106</v>
      </c>
      <c r="W548" t="s">
        <v>443</v>
      </c>
      <c r="X548" t="s">
        <v>106</v>
      </c>
      <c r="Y548" t="s">
        <v>108</v>
      </c>
      <c r="Z548" t="s">
        <v>108</v>
      </c>
      <c r="AA548" t="s">
        <v>1819</v>
      </c>
      <c r="AB548" t="s">
        <v>106</v>
      </c>
    </row>
    <row r="549" spans="1:28" x14ac:dyDescent="0.3">
      <c r="A549" t="s">
        <v>1378</v>
      </c>
      <c r="B549">
        <v>4</v>
      </c>
      <c r="C549">
        <v>60</v>
      </c>
      <c r="D549">
        <v>20</v>
      </c>
      <c r="E549" t="s">
        <v>128</v>
      </c>
      <c r="F549" s="12">
        <v>45400</v>
      </c>
      <c r="G549" t="s">
        <v>1043</v>
      </c>
      <c r="H549" s="12">
        <v>45400</v>
      </c>
      <c r="I549" t="s">
        <v>556</v>
      </c>
      <c r="J549" t="s">
        <v>458</v>
      </c>
      <c r="K549">
        <v>2</v>
      </c>
      <c r="L549">
        <v>61.5</v>
      </c>
      <c r="P549" t="s">
        <v>106</v>
      </c>
      <c r="Q549" t="s">
        <v>106</v>
      </c>
      <c r="R549" t="s">
        <v>106</v>
      </c>
      <c r="S549" t="s">
        <v>2166</v>
      </c>
      <c r="T549" t="s">
        <v>1131</v>
      </c>
      <c r="U549" t="s">
        <v>427</v>
      </c>
      <c r="V549" t="s">
        <v>106</v>
      </c>
      <c r="W549" t="s">
        <v>443</v>
      </c>
      <c r="X549" t="s">
        <v>106</v>
      </c>
      <c r="Y549" t="s">
        <v>108</v>
      </c>
      <c r="Z549" t="s">
        <v>104</v>
      </c>
      <c r="AA549" t="s">
        <v>1821</v>
      </c>
      <c r="AB549" t="s">
        <v>106</v>
      </c>
    </row>
    <row r="550" spans="1:28" x14ac:dyDescent="0.3">
      <c r="A550" t="s">
        <v>1378</v>
      </c>
      <c r="B550">
        <v>4</v>
      </c>
      <c r="C550">
        <v>60</v>
      </c>
      <c r="D550">
        <v>19</v>
      </c>
      <c r="E550" t="s">
        <v>128</v>
      </c>
      <c r="F550" s="12">
        <v>45400</v>
      </c>
      <c r="G550" t="s">
        <v>1820</v>
      </c>
      <c r="H550" s="12">
        <v>45400</v>
      </c>
      <c r="I550" t="s">
        <v>556</v>
      </c>
      <c r="J550" t="s">
        <v>458</v>
      </c>
      <c r="K550">
        <v>1</v>
      </c>
      <c r="L550">
        <v>61.4</v>
      </c>
      <c r="P550" t="s">
        <v>106</v>
      </c>
      <c r="Q550" t="s">
        <v>106</v>
      </c>
      <c r="R550" t="s">
        <v>106</v>
      </c>
      <c r="S550" t="s">
        <v>2166</v>
      </c>
      <c r="T550" t="s">
        <v>975</v>
      </c>
      <c r="U550" t="s">
        <v>1604</v>
      </c>
      <c r="V550" t="s">
        <v>106</v>
      </c>
      <c r="W550" t="s">
        <v>443</v>
      </c>
      <c r="X550" t="s">
        <v>106</v>
      </c>
      <c r="Y550" t="s">
        <v>108</v>
      </c>
      <c r="Z550" t="s">
        <v>104</v>
      </c>
      <c r="AA550" t="s">
        <v>1821</v>
      </c>
      <c r="AB550" t="s">
        <v>106</v>
      </c>
    </row>
    <row r="551" spans="1:28" x14ac:dyDescent="0.3">
      <c r="A551" t="s">
        <v>1378</v>
      </c>
      <c r="B551">
        <v>4</v>
      </c>
      <c r="C551">
        <v>60</v>
      </c>
      <c r="D551">
        <v>59</v>
      </c>
      <c r="E551" t="s">
        <v>128</v>
      </c>
      <c r="F551" s="12">
        <v>45400</v>
      </c>
      <c r="G551" t="s">
        <v>998</v>
      </c>
      <c r="H551" s="12">
        <v>45400</v>
      </c>
      <c r="I551" t="s">
        <v>1833</v>
      </c>
      <c r="J551" t="s">
        <v>1363</v>
      </c>
      <c r="K551">
        <v>1</v>
      </c>
      <c r="L551">
        <v>62.2</v>
      </c>
      <c r="P551" t="s">
        <v>106</v>
      </c>
      <c r="Q551" t="s">
        <v>106</v>
      </c>
      <c r="R551" t="s">
        <v>106</v>
      </c>
      <c r="S551" t="s">
        <v>1355</v>
      </c>
      <c r="T551" t="s">
        <v>760</v>
      </c>
      <c r="U551" t="s">
        <v>106</v>
      </c>
      <c r="V551" t="s">
        <v>106</v>
      </c>
      <c r="W551" t="s">
        <v>373</v>
      </c>
      <c r="X551" t="s">
        <v>106</v>
      </c>
      <c r="Y551" t="s">
        <v>108</v>
      </c>
      <c r="Z551" t="s">
        <v>104</v>
      </c>
      <c r="AA551" t="s">
        <v>1384</v>
      </c>
      <c r="AB551" t="s">
        <v>2663</v>
      </c>
    </row>
    <row r="552" spans="1:28" x14ac:dyDescent="0.3">
      <c r="A552" t="s">
        <v>1378</v>
      </c>
      <c r="B552">
        <v>4</v>
      </c>
      <c r="C552">
        <v>60</v>
      </c>
      <c r="D552">
        <v>43</v>
      </c>
      <c r="E552" t="s">
        <v>128</v>
      </c>
      <c r="F552" s="12">
        <v>45400</v>
      </c>
      <c r="G552" t="s">
        <v>2138</v>
      </c>
      <c r="H552" s="12">
        <v>45400</v>
      </c>
      <c r="I552" t="s">
        <v>844</v>
      </c>
      <c r="J552" t="s">
        <v>1363</v>
      </c>
      <c r="K552">
        <v>2</v>
      </c>
      <c r="L552">
        <v>56.8</v>
      </c>
      <c r="P552" t="s">
        <v>106</v>
      </c>
      <c r="Q552" t="s">
        <v>106</v>
      </c>
      <c r="R552" t="s">
        <v>106</v>
      </c>
      <c r="S552" t="s">
        <v>2664</v>
      </c>
      <c r="T552" t="s">
        <v>977</v>
      </c>
      <c r="U552" t="s">
        <v>106</v>
      </c>
      <c r="V552" t="s">
        <v>106</v>
      </c>
      <c r="W552" t="s">
        <v>373</v>
      </c>
      <c r="X552" t="s">
        <v>106</v>
      </c>
      <c r="Y552" t="s">
        <v>108</v>
      </c>
      <c r="Z552" t="s">
        <v>104</v>
      </c>
      <c r="AA552" t="s">
        <v>1819</v>
      </c>
      <c r="AB552" t="s">
        <v>106</v>
      </c>
    </row>
    <row r="553" spans="1:28" x14ac:dyDescent="0.3">
      <c r="A553" t="s">
        <v>1378</v>
      </c>
      <c r="B553">
        <v>4</v>
      </c>
      <c r="C553">
        <v>60</v>
      </c>
      <c r="D553">
        <v>60</v>
      </c>
      <c r="E553" t="s">
        <v>128</v>
      </c>
      <c r="F553" s="12">
        <v>45400</v>
      </c>
      <c r="G553" t="s">
        <v>1001</v>
      </c>
      <c r="H553" s="12">
        <v>45400</v>
      </c>
      <c r="I553" t="s">
        <v>1833</v>
      </c>
      <c r="J553" t="s">
        <v>1363</v>
      </c>
      <c r="K553">
        <v>2</v>
      </c>
      <c r="L553">
        <v>61.4</v>
      </c>
      <c r="P553" t="s">
        <v>106</v>
      </c>
      <c r="Q553" t="s">
        <v>106</v>
      </c>
      <c r="R553" t="s">
        <v>106</v>
      </c>
      <c r="S553" t="s">
        <v>106</v>
      </c>
      <c r="T553" t="s">
        <v>1131</v>
      </c>
      <c r="U553" t="s">
        <v>106</v>
      </c>
      <c r="V553" t="s">
        <v>106</v>
      </c>
      <c r="W553" t="s">
        <v>373</v>
      </c>
      <c r="X553" t="s">
        <v>106</v>
      </c>
      <c r="Y553" t="s">
        <v>108</v>
      </c>
      <c r="Z553" t="s">
        <v>104</v>
      </c>
      <c r="AA553" t="s">
        <v>1384</v>
      </c>
      <c r="AB553" t="s">
        <v>106</v>
      </c>
    </row>
    <row r="554" spans="1:28" x14ac:dyDescent="0.3">
      <c r="A554" t="s">
        <v>1378</v>
      </c>
      <c r="B554">
        <v>4</v>
      </c>
      <c r="C554">
        <v>60</v>
      </c>
      <c r="D554">
        <v>49</v>
      </c>
      <c r="E554" t="s">
        <v>128</v>
      </c>
      <c r="F554" s="12">
        <v>45400</v>
      </c>
      <c r="G554" t="s">
        <v>1183</v>
      </c>
      <c r="H554" s="12">
        <v>45400</v>
      </c>
      <c r="I554" t="s">
        <v>813</v>
      </c>
      <c r="J554" t="s">
        <v>1363</v>
      </c>
      <c r="K554">
        <v>1</v>
      </c>
      <c r="L554">
        <v>59.9</v>
      </c>
      <c r="P554" t="s">
        <v>106</v>
      </c>
      <c r="Q554" t="s">
        <v>106</v>
      </c>
      <c r="R554" t="s">
        <v>106</v>
      </c>
      <c r="S554" t="s">
        <v>2152</v>
      </c>
      <c r="T554" t="s">
        <v>2418</v>
      </c>
      <c r="U554" t="s">
        <v>1539</v>
      </c>
      <c r="V554" t="s">
        <v>106</v>
      </c>
      <c r="W554" t="s">
        <v>373</v>
      </c>
      <c r="X554" t="s">
        <v>106</v>
      </c>
      <c r="Y554" t="s">
        <v>108</v>
      </c>
      <c r="Z554" t="s">
        <v>104</v>
      </c>
      <c r="AA554" t="s">
        <v>1384</v>
      </c>
      <c r="AB554" t="s">
        <v>2390</v>
      </c>
    </row>
    <row r="555" spans="1:28" x14ac:dyDescent="0.3">
      <c r="A555" t="s">
        <v>1378</v>
      </c>
      <c r="B555">
        <v>1</v>
      </c>
      <c r="C555">
        <v>0</v>
      </c>
      <c r="D555">
        <v>78</v>
      </c>
      <c r="E555" t="s">
        <v>128</v>
      </c>
      <c r="F555" s="12">
        <v>45401</v>
      </c>
      <c r="G555" t="s">
        <v>329</v>
      </c>
      <c r="H555" s="12">
        <v>45401</v>
      </c>
      <c r="I555" t="s">
        <v>499</v>
      </c>
      <c r="J555" t="s">
        <v>1363</v>
      </c>
      <c r="K555">
        <v>1</v>
      </c>
      <c r="L555">
        <v>0</v>
      </c>
      <c r="P555" t="s">
        <v>106</v>
      </c>
      <c r="Q555" t="s">
        <v>106</v>
      </c>
      <c r="R555" t="s">
        <v>106</v>
      </c>
      <c r="S555" t="s">
        <v>106</v>
      </c>
      <c r="T555" t="s">
        <v>1090</v>
      </c>
      <c r="U555" t="s">
        <v>106</v>
      </c>
      <c r="V555" t="s">
        <v>106</v>
      </c>
      <c r="W555" t="s">
        <v>443</v>
      </c>
      <c r="X555" t="s">
        <v>106</v>
      </c>
      <c r="Y555" t="s">
        <v>108</v>
      </c>
      <c r="Z555" t="s">
        <v>105</v>
      </c>
      <c r="AA555" t="s">
        <v>1316</v>
      </c>
      <c r="AB555" t="s">
        <v>106</v>
      </c>
    </row>
    <row r="556" spans="1:28" x14ac:dyDescent="0.3">
      <c r="A556" t="s">
        <v>1378</v>
      </c>
      <c r="B556">
        <v>1</v>
      </c>
      <c r="C556">
        <v>0</v>
      </c>
      <c r="D556">
        <v>80</v>
      </c>
      <c r="E556" t="s">
        <v>128</v>
      </c>
      <c r="F556" s="12">
        <v>45401</v>
      </c>
      <c r="G556" t="s">
        <v>329</v>
      </c>
      <c r="H556" s="12">
        <v>45401</v>
      </c>
      <c r="I556" t="s">
        <v>499</v>
      </c>
      <c r="J556" t="s">
        <v>1363</v>
      </c>
      <c r="K556">
        <v>1</v>
      </c>
      <c r="L556">
        <v>0</v>
      </c>
      <c r="P556" t="s">
        <v>106</v>
      </c>
      <c r="Q556" t="s">
        <v>106</v>
      </c>
      <c r="R556" t="s">
        <v>106</v>
      </c>
      <c r="S556" t="s">
        <v>106</v>
      </c>
      <c r="T556" t="s">
        <v>1386</v>
      </c>
      <c r="U556" t="s">
        <v>106</v>
      </c>
      <c r="V556" t="s">
        <v>106</v>
      </c>
      <c r="W556" t="s">
        <v>443</v>
      </c>
      <c r="X556" t="s">
        <v>106</v>
      </c>
      <c r="Y556" t="s">
        <v>108</v>
      </c>
      <c r="Z556" t="s">
        <v>105</v>
      </c>
      <c r="AA556" t="s">
        <v>1316</v>
      </c>
      <c r="AB556" t="s">
        <v>106</v>
      </c>
    </row>
    <row r="557" spans="1:28" x14ac:dyDescent="0.3">
      <c r="A557" t="s">
        <v>1378</v>
      </c>
      <c r="B557">
        <v>1</v>
      </c>
      <c r="C557">
        <v>0</v>
      </c>
      <c r="D557">
        <v>79</v>
      </c>
      <c r="E557" t="s">
        <v>128</v>
      </c>
      <c r="F557" s="12">
        <v>45401</v>
      </c>
      <c r="G557" t="s">
        <v>329</v>
      </c>
      <c r="H557" s="12">
        <v>45401</v>
      </c>
      <c r="I557" t="s">
        <v>499</v>
      </c>
      <c r="J557" t="s">
        <v>1363</v>
      </c>
      <c r="K557">
        <v>2</v>
      </c>
      <c r="L557">
        <v>0</v>
      </c>
      <c r="P557" t="s">
        <v>106</v>
      </c>
      <c r="Q557" t="s">
        <v>106</v>
      </c>
      <c r="R557" t="s">
        <v>106</v>
      </c>
      <c r="S557" t="s">
        <v>106</v>
      </c>
      <c r="T557" t="s">
        <v>977</v>
      </c>
      <c r="U557" t="s">
        <v>106</v>
      </c>
      <c r="V557" t="s">
        <v>106</v>
      </c>
      <c r="W557" t="s">
        <v>443</v>
      </c>
      <c r="X557" t="s">
        <v>106</v>
      </c>
      <c r="Y557" t="s">
        <v>108</v>
      </c>
      <c r="Z557" t="s">
        <v>105</v>
      </c>
      <c r="AA557" t="s">
        <v>1316</v>
      </c>
      <c r="AB557" t="s">
        <v>106</v>
      </c>
    </row>
    <row r="558" spans="1:28" x14ac:dyDescent="0.3">
      <c r="A558" t="s">
        <v>1378</v>
      </c>
      <c r="B558">
        <v>1</v>
      </c>
      <c r="C558">
        <v>0</v>
      </c>
      <c r="D558">
        <v>81</v>
      </c>
      <c r="E558" t="s">
        <v>128</v>
      </c>
      <c r="F558" s="12">
        <v>45401</v>
      </c>
      <c r="G558" t="s">
        <v>329</v>
      </c>
      <c r="H558" s="12">
        <v>45401</v>
      </c>
      <c r="I558" t="s">
        <v>499</v>
      </c>
      <c r="J558" t="s">
        <v>1363</v>
      </c>
      <c r="K558">
        <v>2</v>
      </c>
      <c r="L558">
        <v>0</v>
      </c>
      <c r="P558" t="s">
        <v>106</v>
      </c>
      <c r="Q558" t="s">
        <v>106</v>
      </c>
      <c r="R558" t="s">
        <v>106</v>
      </c>
      <c r="S558" t="s">
        <v>106</v>
      </c>
      <c r="T558" t="s">
        <v>1381</v>
      </c>
      <c r="U558" t="s">
        <v>106</v>
      </c>
      <c r="V558" t="s">
        <v>106</v>
      </c>
      <c r="W558" t="s">
        <v>443</v>
      </c>
      <c r="X558" t="s">
        <v>106</v>
      </c>
      <c r="Y558" t="s">
        <v>108</v>
      </c>
      <c r="Z558" t="s">
        <v>105</v>
      </c>
      <c r="AA558" t="s">
        <v>1316</v>
      </c>
      <c r="AB558" t="s">
        <v>106</v>
      </c>
    </row>
    <row r="559" spans="1:28" x14ac:dyDescent="0.3">
      <c r="A559" t="s">
        <v>1378</v>
      </c>
      <c r="B559">
        <v>2</v>
      </c>
      <c r="C559">
        <v>15</v>
      </c>
      <c r="D559">
        <v>70</v>
      </c>
      <c r="E559" t="s">
        <v>128</v>
      </c>
      <c r="F559" s="12">
        <v>45401</v>
      </c>
      <c r="G559" t="s">
        <v>634</v>
      </c>
      <c r="H559" s="12">
        <v>45401</v>
      </c>
      <c r="I559" t="s">
        <v>499</v>
      </c>
      <c r="J559" t="s">
        <v>1363</v>
      </c>
      <c r="K559">
        <v>2</v>
      </c>
      <c r="L559">
        <v>16.5</v>
      </c>
      <c r="P559" t="s">
        <v>106</v>
      </c>
      <c r="Q559" t="s">
        <v>106</v>
      </c>
      <c r="R559" t="s">
        <v>106</v>
      </c>
      <c r="S559" t="s">
        <v>1837</v>
      </c>
      <c r="T559" t="s">
        <v>1476</v>
      </c>
      <c r="U559" t="s">
        <v>1418</v>
      </c>
      <c r="V559" t="s">
        <v>106</v>
      </c>
      <c r="W559" t="s">
        <v>443</v>
      </c>
      <c r="X559" t="s">
        <v>106</v>
      </c>
      <c r="Y559" t="s">
        <v>108</v>
      </c>
      <c r="Z559" t="s">
        <v>109</v>
      </c>
      <c r="AA559" t="s">
        <v>1384</v>
      </c>
      <c r="AB559" t="s">
        <v>106</v>
      </c>
    </row>
    <row r="560" spans="1:28" x14ac:dyDescent="0.3">
      <c r="A560" t="s">
        <v>1378</v>
      </c>
      <c r="B560">
        <v>2</v>
      </c>
      <c r="C560">
        <v>15</v>
      </c>
      <c r="D560">
        <v>63</v>
      </c>
      <c r="E560" t="s">
        <v>128</v>
      </c>
      <c r="F560" s="12">
        <v>45401</v>
      </c>
      <c r="G560" t="s">
        <v>324</v>
      </c>
      <c r="H560" s="12">
        <v>45401</v>
      </c>
      <c r="I560" t="s">
        <v>1187</v>
      </c>
      <c r="J560" t="s">
        <v>1363</v>
      </c>
      <c r="K560">
        <v>1</v>
      </c>
      <c r="L560">
        <v>15.5</v>
      </c>
      <c r="P560" t="s">
        <v>106</v>
      </c>
      <c r="Q560" t="s">
        <v>106</v>
      </c>
      <c r="R560" t="s">
        <v>106</v>
      </c>
      <c r="S560" t="s">
        <v>1814</v>
      </c>
      <c r="T560" t="s">
        <v>1405</v>
      </c>
      <c r="U560" t="s">
        <v>427</v>
      </c>
      <c r="V560" t="s">
        <v>106</v>
      </c>
      <c r="W560" t="s">
        <v>521</v>
      </c>
      <c r="X560" t="s">
        <v>106</v>
      </c>
      <c r="Y560" t="s">
        <v>108</v>
      </c>
      <c r="Z560" t="s">
        <v>109</v>
      </c>
      <c r="AA560" t="s">
        <v>1384</v>
      </c>
      <c r="AB560" t="s">
        <v>106</v>
      </c>
    </row>
    <row r="561" spans="1:28" x14ac:dyDescent="0.3">
      <c r="A561" t="s">
        <v>1378</v>
      </c>
      <c r="B561">
        <v>2</v>
      </c>
      <c r="C561">
        <v>15</v>
      </c>
      <c r="D561">
        <v>82</v>
      </c>
      <c r="E561" t="s">
        <v>128</v>
      </c>
      <c r="F561" s="12">
        <v>45401</v>
      </c>
      <c r="G561" t="s">
        <v>1838</v>
      </c>
      <c r="H561" s="12">
        <v>45401</v>
      </c>
      <c r="I561" t="s">
        <v>689</v>
      </c>
      <c r="J561" t="s">
        <v>1363</v>
      </c>
      <c r="K561">
        <v>1</v>
      </c>
      <c r="L561">
        <v>16.2</v>
      </c>
      <c r="P561" t="s">
        <v>106</v>
      </c>
      <c r="Q561" t="s">
        <v>106</v>
      </c>
      <c r="R561" t="s">
        <v>106</v>
      </c>
      <c r="S561" t="s">
        <v>106</v>
      </c>
      <c r="T561" t="s">
        <v>1839</v>
      </c>
      <c r="U561" t="s">
        <v>106</v>
      </c>
      <c r="V561" t="s">
        <v>106</v>
      </c>
      <c r="W561" t="s">
        <v>443</v>
      </c>
      <c r="X561" t="s">
        <v>106</v>
      </c>
      <c r="Y561" t="s">
        <v>108</v>
      </c>
      <c r="Z561" t="s">
        <v>109</v>
      </c>
      <c r="AA561" t="s">
        <v>1384</v>
      </c>
      <c r="AB561" t="s">
        <v>106</v>
      </c>
    </row>
    <row r="562" spans="1:28" x14ac:dyDescent="0.3">
      <c r="A562" t="s">
        <v>1378</v>
      </c>
      <c r="B562">
        <v>2</v>
      </c>
      <c r="C562">
        <v>15</v>
      </c>
      <c r="D562">
        <v>64</v>
      </c>
      <c r="E562" t="s">
        <v>128</v>
      </c>
      <c r="F562" s="12">
        <v>45401</v>
      </c>
      <c r="G562" t="s">
        <v>324</v>
      </c>
      <c r="H562" s="12">
        <v>45401</v>
      </c>
      <c r="I562" t="s">
        <v>1187</v>
      </c>
      <c r="J562" t="s">
        <v>1363</v>
      </c>
      <c r="K562">
        <v>2</v>
      </c>
      <c r="L562">
        <v>16.600000000000001</v>
      </c>
      <c r="P562" t="s">
        <v>106</v>
      </c>
      <c r="Q562" t="s">
        <v>106</v>
      </c>
      <c r="R562" t="s">
        <v>106</v>
      </c>
      <c r="S562" t="s">
        <v>106</v>
      </c>
      <c r="T562" t="s">
        <v>1840</v>
      </c>
      <c r="U562" t="s">
        <v>391</v>
      </c>
      <c r="V562" t="s">
        <v>106</v>
      </c>
      <c r="W562" t="s">
        <v>521</v>
      </c>
      <c r="X562" t="s">
        <v>106</v>
      </c>
      <c r="Y562" t="s">
        <v>108</v>
      </c>
      <c r="Z562" t="s">
        <v>109</v>
      </c>
      <c r="AA562" t="s">
        <v>1384</v>
      </c>
      <c r="AB562" t="s">
        <v>106</v>
      </c>
    </row>
    <row r="563" spans="1:28" x14ac:dyDescent="0.3">
      <c r="A563" t="s">
        <v>1378</v>
      </c>
      <c r="B563">
        <v>2</v>
      </c>
      <c r="C563">
        <v>15</v>
      </c>
      <c r="D563">
        <v>69</v>
      </c>
      <c r="E563" t="s">
        <v>128</v>
      </c>
      <c r="F563" s="12">
        <v>45401</v>
      </c>
      <c r="G563" t="s">
        <v>634</v>
      </c>
      <c r="H563" s="12">
        <v>45401</v>
      </c>
      <c r="I563" t="s">
        <v>499</v>
      </c>
      <c r="J563" t="s">
        <v>1363</v>
      </c>
      <c r="K563">
        <v>1</v>
      </c>
      <c r="L563">
        <v>15.4</v>
      </c>
      <c r="P563" t="s">
        <v>106</v>
      </c>
      <c r="Q563" t="s">
        <v>106</v>
      </c>
      <c r="R563" t="s">
        <v>106</v>
      </c>
      <c r="S563" t="s">
        <v>106</v>
      </c>
      <c r="T563" t="s">
        <v>1841</v>
      </c>
      <c r="U563" t="s">
        <v>395</v>
      </c>
      <c r="V563" t="s">
        <v>106</v>
      </c>
      <c r="W563" t="s">
        <v>443</v>
      </c>
      <c r="X563" t="s">
        <v>106</v>
      </c>
      <c r="Y563" t="s">
        <v>108</v>
      </c>
      <c r="Z563" t="s">
        <v>109</v>
      </c>
      <c r="AA563" t="s">
        <v>1384</v>
      </c>
      <c r="AB563" t="s">
        <v>1842</v>
      </c>
    </row>
    <row r="564" spans="1:28" x14ac:dyDescent="0.3">
      <c r="A564" t="s">
        <v>1378</v>
      </c>
      <c r="B564">
        <v>2</v>
      </c>
      <c r="C564">
        <v>15</v>
      </c>
      <c r="D564">
        <v>83</v>
      </c>
      <c r="E564" t="s">
        <v>128</v>
      </c>
      <c r="F564" s="12">
        <v>45401</v>
      </c>
      <c r="G564" t="s">
        <v>403</v>
      </c>
      <c r="H564" s="12">
        <v>45401</v>
      </c>
      <c r="I564" t="s">
        <v>689</v>
      </c>
      <c r="J564" t="s">
        <v>1363</v>
      </c>
      <c r="K564">
        <v>1</v>
      </c>
      <c r="L564">
        <v>15.2</v>
      </c>
      <c r="P564" t="s">
        <v>106</v>
      </c>
      <c r="Q564" t="s">
        <v>106</v>
      </c>
      <c r="R564" t="s">
        <v>106</v>
      </c>
      <c r="S564" t="s">
        <v>106</v>
      </c>
      <c r="T564" t="s">
        <v>1747</v>
      </c>
      <c r="U564" t="s">
        <v>106</v>
      </c>
      <c r="V564" t="s">
        <v>106</v>
      </c>
      <c r="W564" t="s">
        <v>443</v>
      </c>
      <c r="X564" t="s">
        <v>106</v>
      </c>
      <c r="Y564" t="s">
        <v>108</v>
      </c>
      <c r="Z564" t="s">
        <v>109</v>
      </c>
      <c r="AA564" t="s">
        <v>1384</v>
      </c>
      <c r="AB564" t="s">
        <v>106</v>
      </c>
    </row>
    <row r="565" spans="1:28" x14ac:dyDescent="0.3">
      <c r="A565" t="s">
        <v>1378</v>
      </c>
      <c r="B565">
        <v>3</v>
      </c>
      <c r="C565">
        <v>35</v>
      </c>
      <c r="D565">
        <v>71</v>
      </c>
      <c r="E565" t="s">
        <v>128</v>
      </c>
      <c r="F565" s="12">
        <v>45401</v>
      </c>
      <c r="G565" t="s">
        <v>831</v>
      </c>
      <c r="H565" s="12">
        <v>45401</v>
      </c>
      <c r="I565" t="s">
        <v>499</v>
      </c>
      <c r="J565" t="s">
        <v>1363</v>
      </c>
      <c r="K565">
        <v>1</v>
      </c>
      <c r="L565">
        <v>36</v>
      </c>
      <c r="P565" t="s">
        <v>106</v>
      </c>
      <c r="Q565" t="s">
        <v>106</v>
      </c>
      <c r="R565" t="s">
        <v>106</v>
      </c>
      <c r="S565" t="s">
        <v>106</v>
      </c>
      <c r="T565" t="s">
        <v>722</v>
      </c>
      <c r="U565" t="s">
        <v>1411</v>
      </c>
      <c r="V565" t="s">
        <v>106</v>
      </c>
      <c r="W565" t="s">
        <v>443</v>
      </c>
      <c r="X565" t="s">
        <v>106</v>
      </c>
      <c r="Y565" t="s">
        <v>108</v>
      </c>
      <c r="Z565" t="s">
        <v>108</v>
      </c>
      <c r="AA565" t="s">
        <v>1384</v>
      </c>
      <c r="AB565" t="s">
        <v>106</v>
      </c>
    </row>
    <row r="566" spans="1:28" x14ac:dyDescent="0.3">
      <c r="A566" t="s">
        <v>1378</v>
      </c>
      <c r="B566">
        <v>3</v>
      </c>
      <c r="C566">
        <v>35</v>
      </c>
      <c r="D566">
        <v>72</v>
      </c>
      <c r="E566" t="s">
        <v>128</v>
      </c>
      <c r="F566" s="12">
        <v>45401</v>
      </c>
      <c r="G566" t="s">
        <v>419</v>
      </c>
      <c r="H566" s="12">
        <v>45401</v>
      </c>
      <c r="I566" t="s">
        <v>499</v>
      </c>
      <c r="J566" t="s">
        <v>1363</v>
      </c>
      <c r="K566">
        <v>1</v>
      </c>
      <c r="L566">
        <v>37.1</v>
      </c>
      <c r="P566" t="s">
        <v>106</v>
      </c>
      <c r="Q566" t="s">
        <v>106</v>
      </c>
      <c r="R566" t="s">
        <v>106</v>
      </c>
      <c r="S566" t="s">
        <v>2137</v>
      </c>
      <c r="T566" t="s">
        <v>722</v>
      </c>
      <c r="U566" t="s">
        <v>430</v>
      </c>
      <c r="V566" t="s">
        <v>106</v>
      </c>
      <c r="W566" t="s">
        <v>443</v>
      </c>
      <c r="X566" t="s">
        <v>106</v>
      </c>
      <c r="Y566" t="s">
        <v>108</v>
      </c>
      <c r="Z566" t="s">
        <v>108</v>
      </c>
      <c r="AA566" t="s">
        <v>1384</v>
      </c>
      <c r="AB566" t="s">
        <v>106</v>
      </c>
    </row>
    <row r="567" spans="1:28" x14ac:dyDescent="0.3">
      <c r="A567" t="s">
        <v>1378</v>
      </c>
      <c r="B567">
        <v>3</v>
      </c>
      <c r="C567">
        <v>35</v>
      </c>
      <c r="D567">
        <v>68</v>
      </c>
      <c r="E567" t="s">
        <v>128</v>
      </c>
      <c r="F567" s="12">
        <v>45401</v>
      </c>
      <c r="G567" t="s">
        <v>465</v>
      </c>
      <c r="H567" s="12">
        <v>45401</v>
      </c>
      <c r="I567" t="s">
        <v>1187</v>
      </c>
      <c r="J567" t="s">
        <v>1363</v>
      </c>
      <c r="K567">
        <v>2</v>
      </c>
      <c r="L567">
        <v>35.700000000000003</v>
      </c>
      <c r="P567" t="s">
        <v>106</v>
      </c>
      <c r="Q567" t="s">
        <v>106</v>
      </c>
      <c r="R567" t="s">
        <v>106</v>
      </c>
      <c r="S567" t="s">
        <v>106</v>
      </c>
      <c r="T567" t="s">
        <v>2369</v>
      </c>
      <c r="U567" t="s">
        <v>106</v>
      </c>
      <c r="V567" t="s">
        <v>106</v>
      </c>
      <c r="W567" t="s">
        <v>521</v>
      </c>
      <c r="X567" t="s">
        <v>106</v>
      </c>
      <c r="Y567" t="s">
        <v>108</v>
      </c>
      <c r="Z567" t="s">
        <v>108</v>
      </c>
      <c r="AA567" t="s">
        <v>1384</v>
      </c>
      <c r="AB567" t="s">
        <v>106</v>
      </c>
    </row>
    <row r="568" spans="1:28" x14ac:dyDescent="0.3">
      <c r="A568" t="s">
        <v>1378</v>
      </c>
      <c r="B568">
        <v>3</v>
      </c>
      <c r="C568">
        <v>35</v>
      </c>
      <c r="D568">
        <v>73</v>
      </c>
      <c r="E568" t="s">
        <v>128</v>
      </c>
      <c r="F568" s="12">
        <v>45401</v>
      </c>
      <c r="G568" t="s">
        <v>648</v>
      </c>
      <c r="H568" s="12">
        <v>45401</v>
      </c>
      <c r="I568" t="s">
        <v>499</v>
      </c>
      <c r="J568" t="s">
        <v>1363</v>
      </c>
      <c r="K568">
        <v>2</v>
      </c>
      <c r="L568">
        <v>36.200000000000003</v>
      </c>
      <c r="P568" t="s">
        <v>106</v>
      </c>
      <c r="Q568" t="s">
        <v>106</v>
      </c>
      <c r="R568" t="s">
        <v>106</v>
      </c>
      <c r="S568" t="s">
        <v>106</v>
      </c>
      <c r="T568" t="s">
        <v>1701</v>
      </c>
      <c r="U568" t="s">
        <v>395</v>
      </c>
      <c r="V568" t="s">
        <v>106</v>
      </c>
      <c r="W568" t="s">
        <v>443</v>
      </c>
      <c r="X568" t="s">
        <v>106</v>
      </c>
      <c r="Y568" t="s">
        <v>108</v>
      </c>
      <c r="Z568" t="s">
        <v>108</v>
      </c>
      <c r="AA568" t="s">
        <v>1384</v>
      </c>
      <c r="AB568" t="s">
        <v>106</v>
      </c>
    </row>
    <row r="569" spans="1:28" x14ac:dyDescent="0.3">
      <c r="A569" t="s">
        <v>1378</v>
      </c>
      <c r="B569">
        <v>3</v>
      </c>
      <c r="C569">
        <v>35</v>
      </c>
      <c r="D569">
        <v>67</v>
      </c>
      <c r="E569" t="s">
        <v>128</v>
      </c>
      <c r="F569" s="12">
        <v>45401</v>
      </c>
      <c r="G569" t="s">
        <v>465</v>
      </c>
      <c r="H569" s="12">
        <v>45401</v>
      </c>
      <c r="I569" t="s">
        <v>1187</v>
      </c>
      <c r="J569" t="s">
        <v>1363</v>
      </c>
      <c r="K569">
        <v>2</v>
      </c>
      <c r="L569">
        <v>35.299999999999997</v>
      </c>
      <c r="P569" t="s">
        <v>106</v>
      </c>
      <c r="Q569" t="s">
        <v>106</v>
      </c>
      <c r="R569" t="s">
        <v>106</v>
      </c>
      <c r="S569" t="s">
        <v>2370</v>
      </c>
      <c r="T569" t="s">
        <v>1846</v>
      </c>
      <c r="U569" t="s">
        <v>106</v>
      </c>
      <c r="V569" t="s">
        <v>106</v>
      </c>
      <c r="W569" t="s">
        <v>521</v>
      </c>
      <c r="X569" t="s">
        <v>106</v>
      </c>
      <c r="Y569" t="s">
        <v>108</v>
      </c>
      <c r="Z569" t="s">
        <v>108</v>
      </c>
      <c r="AA569" t="s">
        <v>1384</v>
      </c>
      <c r="AB569" t="s">
        <v>106</v>
      </c>
    </row>
    <row r="570" spans="1:28" x14ac:dyDescent="0.3">
      <c r="A570" t="s">
        <v>1378</v>
      </c>
      <c r="B570">
        <v>3</v>
      </c>
      <c r="C570">
        <v>35</v>
      </c>
      <c r="D570">
        <v>66</v>
      </c>
      <c r="E570" t="s">
        <v>128</v>
      </c>
      <c r="F570" s="12">
        <v>45401</v>
      </c>
      <c r="G570" t="s">
        <v>2085</v>
      </c>
      <c r="H570" s="12">
        <v>45401</v>
      </c>
      <c r="I570" t="s">
        <v>1187</v>
      </c>
      <c r="J570" t="s">
        <v>1363</v>
      </c>
      <c r="K570">
        <v>1</v>
      </c>
      <c r="L570">
        <v>35.9</v>
      </c>
      <c r="P570" t="s">
        <v>106</v>
      </c>
      <c r="Q570" t="s">
        <v>106</v>
      </c>
      <c r="R570" t="s">
        <v>106</v>
      </c>
      <c r="S570" t="s">
        <v>106</v>
      </c>
      <c r="T570" t="s">
        <v>1844</v>
      </c>
      <c r="U570" t="s">
        <v>1604</v>
      </c>
      <c r="V570" t="s">
        <v>106</v>
      </c>
      <c r="W570" t="s">
        <v>521</v>
      </c>
      <c r="X570" t="s">
        <v>106</v>
      </c>
      <c r="Y570" t="s">
        <v>108</v>
      </c>
      <c r="Z570" t="s">
        <v>108</v>
      </c>
      <c r="AA570" t="s">
        <v>1384</v>
      </c>
      <c r="AB570" t="s">
        <v>106</v>
      </c>
    </row>
    <row r="571" spans="1:28" x14ac:dyDescent="0.3">
      <c r="A571" t="s">
        <v>1378</v>
      </c>
      <c r="B571">
        <v>3</v>
      </c>
      <c r="C571">
        <v>35</v>
      </c>
      <c r="D571">
        <v>65</v>
      </c>
      <c r="E571" t="s">
        <v>128</v>
      </c>
      <c r="F571" s="12">
        <v>45401</v>
      </c>
      <c r="G571" t="s">
        <v>2085</v>
      </c>
      <c r="H571" s="12">
        <v>45401</v>
      </c>
      <c r="I571" t="s">
        <v>1187</v>
      </c>
      <c r="J571" t="s">
        <v>1363</v>
      </c>
      <c r="K571">
        <v>1</v>
      </c>
      <c r="L571">
        <v>35.1</v>
      </c>
      <c r="P571" t="s">
        <v>106</v>
      </c>
      <c r="Q571" t="s">
        <v>106</v>
      </c>
      <c r="R571" t="s">
        <v>106</v>
      </c>
      <c r="S571" t="s">
        <v>1576</v>
      </c>
      <c r="T571" t="s">
        <v>1817</v>
      </c>
      <c r="U571" t="s">
        <v>429</v>
      </c>
      <c r="V571" t="s">
        <v>106</v>
      </c>
      <c r="W571" t="s">
        <v>521</v>
      </c>
      <c r="X571" t="s">
        <v>106</v>
      </c>
      <c r="Y571" t="s">
        <v>108</v>
      </c>
      <c r="Z571" t="s">
        <v>108</v>
      </c>
      <c r="AA571" t="s">
        <v>1384</v>
      </c>
      <c r="AB571" t="s">
        <v>106</v>
      </c>
    </row>
    <row r="572" spans="1:28" x14ac:dyDescent="0.3">
      <c r="A572" t="s">
        <v>1378</v>
      </c>
      <c r="B572">
        <v>3</v>
      </c>
      <c r="C572">
        <v>35</v>
      </c>
      <c r="D572">
        <v>85</v>
      </c>
      <c r="E572" t="s">
        <v>128</v>
      </c>
      <c r="F572" s="12">
        <v>45401</v>
      </c>
      <c r="G572" t="s">
        <v>2371</v>
      </c>
      <c r="H572" s="12">
        <v>45401</v>
      </c>
      <c r="I572" t="s">
        <v>689</v>
      </c>
      <c r="J572" t="s">
        <v>1363</v>
      </c>
      <c r="K572">
        <v>1</v>
      </c>
      <c r="L572">
        <v>36.9</v>
      </c>
      <c r="P572" t="s">
        <v>106</v>
      </c>
      <c r="Q572" t="s">
        <v>106</v>
      </c>
      <c r="R572" t="s">
        <v>106</v>
      </c>
      <c r="S572" t="s">
        <v>106</v>
      </c>
      <c r="T572" t="s">
        <v>1409</v>
      </c>
      <c r="U572" t="s">
        <v>106</v>
      </c>
      <c r="V572" t="s">
        <v>106</v>
      </c>
      <c r="W572" t="s">
        <v>443</v>
      </c>
      <c r="X572" t="s">
        <v>106</v>
      </c>
      <c r="Y572" t="s">
        <v>108</v>
      </c>
      <c r="Z572" t="s">
        <v>108</v>
      </c>
      <c r="AA572" t="s">
        <v>1384</v>
      </c>
      <c r="AB572" t="s">
        <v>106</v>
      </c>
    </row>
    <row r="573" spans="1:28" x14ac:dyDescent="0.3">
      <c r="A573" t="s">
        <v>1378</v>
      </c>
      <c r="B573">
        <v>3</v>
      </c>
      <c r="C573">
        <v>35</v>
      </c>
      <c r="D573">
        <v>84</v>
      </c>
      <c r="E573" t="s">
        <v>128</v>
      </c>
      <c r="F573" s="12">
        <v>45401</v>
      </c>
      <c r="G573" t="s">
        <v>2371</v>
      </c>
      <c r="H573" s="12">
        <v>45401</v>
      </c>
      <c r="I573" t="s">
        <v>689</v>
      </c>
      <c r="J573" t="s">
        <v>1363</v>
      </c>
      <c r="K573">
        <v>1</v>
      </c>
      <c r="L573">
        <v>36.1</v>
      </c>
      <c r="P573" t="s">
        <v>106</v>
      </c>
      <c r="Q573" t="s">
        <v>106</v>
      </c>
      <c r="R573" t="s">
        <v>106</v>
      </c>
      <c r="S573" t="s">
        <v>106</v>
      </c>
      <c r="T573" t="s">
        <v>1808</v>
      </c>
      <c r="U573" t="s">
        <v>106</v>
      </c>
      <c r="V573" t="s">
        <v>106</v>
      </c>
      <c r="W573" t="s">
        <v>443</v>
      </c>
      <c r="X573" t="s">
        <v>106</v>
      </c>
      <c r="Y573" t="s">
        <v>108</v>
      </c>
      <c r="Z573" t="s">
        <v>108</v>
      </c>
      <c r="AA573" t="s">
        <v>1384</v>
      </c>
      <c r="AB573" t="s">
        <v>106</v>
      </c>
    </row>
    <row r="574" spans="1:28" x14ac:dyDescent="0.3">
      <c r="A574" t="s">
        <v>1378</v>
      </c>
      <c r="B574">
        <v>3</v>
      </c>
      <c r="C574">
        <v>35</v>
      </c>
      <c r="D574">
        <v>74</v>
      </c>
      <c r="E574" t="s">
        <v>128</v>
      </c>
      <c r="F574" s="12">
        <v>45401</v>
      </c>
      <c r="G574" t="s">
        <v>648</v>
      </c>
      <c r="H574" s="12">
        <v>45401</v>
      </c>
      <c r="I574" t="s">
        <v>499</v>
      </c>
      <c r="J574" t="s">
        <v>1363</v>
      </c>
      <c r="K574">
        <v>2</v>
      </c>
      <c r="L574">
        <v>36.700000000000003</v>
      </c>
      <c r="P574" t="s">
        <v>106</v>
      </c>
      <c r="Q574" t="s">
        <v>106</v>
      </c>
      <c r="R574" t="s">
        <v>106</v>
      </c>
      <c r="S574" t="s">
        <v>1813</v>
      </c>
      <c r="T574" t="s">
        <v>1864</v>
      </c>
      <c r="U574" t="s">
        <v>1410</v>
      </c>
      <c r="V574" t="s">
        <v>106</v>
      </c>
      <c r="W574" t="s">
        <v>443</v>
      </c>
      <c r="X574" t="s">
        <v>106</v>
      </c>
      <c r="Y574" t="s">
        <v>108</v>
      </c>
      <c r="Z574" t="s">
        <v>108</v>
      </c>
      <c r="AA574" t="s">
        <v>1384</v>
      </c>
      <c r="AB574" t="s">
        <v>106</v>
      </c>
    </row>
    <row r="575" spans="1:28" x14ac:dyDescent="0.3">
      <c r="A575" t="s">
        <v>1378</v>
      </c>
      <c r="B575">
        <v>4</v>
      </c>
      <c r="C575">
        <v>60</v>
      </c>
      <c r="D575">
        <v>62</v>
      </c>
      <c r="E575" t="s">
        <v>128</v>
      </c>
      <c r="F575" s="12">
        <v>45401</v>
      </c>
      <c r="G575" t="s">
        <v>1505</v>
      </c>
      <c r="H575" s="12">
        <v>45401</v>
      </c>
      <c r="I575" t="s">
        <v>1187</v>
      </c>
      <c r="J575" t="s">
        <v>1363</v>
      </c>
      <c r="K575">
        <v>2</v>
      </c>
      <c r="L575">
        <v>55.8</v>
      </c>
      <c r="P575" t="s">
        <v>106</v>
      </c>
      <c r="Q575" t="s">
        <v>106</v>
      </c>
      <c r="R575" t="s">
        <v>106</v>
      </c>
      <c r="S575" t="s">
        <v>106</v>
      </c>
      <c r="T575" t="s">
        <v>1885</v>
      </c>
      <c r="U575" t="s">
        <v>1604</v>
      </c>
      <c r="V575" t="s">
        <v>106</v>
      </c>
      <c r="W575" t="s">
        <v>521</v>
      </c>
      <c r="X575" t="s">
        <v>106</v>
      </c>
      <c r="Y575" t="s">
        <v>108</v>
      </c>
      <c r="Z575" t="s">
        <v>104</v>
      </c>
      <c r="AA575" t="s">
        <v>1384</v>
      </c>
      <c r="AB575" t="s">
        <v>106</v>
      </c>
    </row>
    <row r="576" spans="1:28" x14ac:dyDescent="0.3">
      <c r="A576" t="s">
        <v>1378</v>
      </c>
      <c r="B576">
        <v>4</v>
      </c>
      <c r="C576">
        <v>60</v>
      </c>
      <c r="D576">
        <v>77</v>
      </c>
      <c r="E576" t="s">
        <v>128</v>
      </c>
      <c r="F576" s="12">
        <v>45401</v>
      </c>
      <c r="G576" t="s">
        <v>390</v>
      </c>
      <c r="H576" s="12">
        <v>45401</v>
      </c>
      <c r="I576" t="s">
        <v>499</v>
      </c>
      <c r="J576" t="s">
        <v>1363</v>
      </c>
      <c r="K576">
        <v>2</v>
      </c>
      <c r="L576">
        <v>62.1</v>
      </c>
      <c r="P576" t="s">
        <v>106</v>
      </c>
      <c r="Q576" t="s">
        <v>106</v>
      </c>
      <c r="R576" t="s">
        <v>106</v>
      </c>
      <c r="S576" t="s">
        <v>106</v>
      </c>
      <c r="T576" t="s">
        <v>1796</v>
      </c>
      <c r="U576" t="s">
        <v>1651</v>
      </c>
      <c r="V576" t="s">
        <v>106</v>
      </c>
      <c r="W576" t="s">
        <v>443</v>
      </c>
      <c r="X576" t="s">
        <v>106</v>
      </c>
      <c r="Y576" t="s">
        <v>108</v>
      </c>
      <c r="Z576" t="s">
        <v>104</v>
      </c>
      <c r="AA576" t="s">
        <v>1384</v>
      </c>
      <c r="AB576" t="s">
        <v>106</v>
      </c>
    </row>
    <row r="577" spans="1:28" x14ac:dyDescent="0.3">
      <c r="A577" t="s">
        <v>1378</v>
      </c>
      <c r="B577">
        <v>4</v>
      </c>
      <c r="C577">
        <v>60</v>
      </c>
      <c r="D577">
        <v>61</v>
      </c>
      <c r="E577" t="s">
        <v>128</v>
      </c>
      <c r="F577" s="12">
        <v>45401</v>
      </c>
      <c r="G577" t="s">
        <v>1505</v>
      </c>
      <c r="H577" s="12">
        <v>45401</v>
      </c>
      <c r="I577" t="s">
        <v>1187</v>
      </c>
      <c r="J577" t="s">
        <v>1363</v>
      </c>
      <c r="K577">
        <v>1</v>
      </c>
      <c r="L577">
        <v>57.9</v>
      </c>
      <c r="P577" t="s">
        <v>106</v>
      </c>
      <c r="Q577" t="s">
        <v>106</v>
      </c>
      <c r="R577" t="s">
        <v>106</v>
      </c>
      <c r="S577" t="s">
        <v>2397</v>
      </c>
      <c r="T577" t="s">
        <v>1850</v>
      </c>
      <c r="U577" t="s">
        <v>1415</v>
      </c>
      <c r="V577" t="s">
        <v>106</v>
      </c>
      <c r="W577" t="s">
        <v>521</v>
      </c>
      <c r="X577" t="s">
        <v>106</v>
      </c>
      <c r="Y577" t="s">
        <v>108</v>
      </c>
      <c r="Z577" t="s">
        <v>104</v>
      </c>
      <c r="AA577" t="s">
        <v>1384</v>
      </c>
      <c r="AB577" t="s">
        <v>106</v>
      </c>
    </row>
    <row r="578" spans="1:28" x14ac:dyDescent="0.3">
      <c r="A578" t="s">
        <v>1378</v>
      </c>
      <c r="B578">
        <v>4</v>
      </c>
      <c r="C578">
        <v>60</v>
      </c>
      <c r="D578">
        <v>86</v>
      </c>
      <c r="E578" t="s">
        <v>128</v>
      </c>
      <c r="F578" s="12">
        <v>45401</v>
      </c>
      <c r="G578" t="s">
        <v>1708</v>
      </c>
      <c r="H578" s="12">
        <v>45401</v>
      </c>
      <c r="I578" t="s">
        <v>689</v>
      </c>
      <c r="J578" t="s">
        <v>1363</v>
      </c>
      <c r="K578">
        <v>1</v>
      </c>
      <c r="L578">
        <v>60.3</v>
      </c>
      <c r="P578" t="s">
        <v>106</v>
      </c>
      <c r="Q578" t="s">
        <v>106</v>
      </c>
      <c r="R578" t="s">
        <v>106</v>
      </c>
      <c r="S578" t="s">
        <v>106</v>
      </c>
      <c r="T578" t="s">
        <v>1495</v>
      </c>
      <c r="U578" t="s">
        <v>106</v>
      </c>
      <c r="V578" t="s">
        <v>106</v>
      </c>
      <c r="W578" t="s">
        <v>443</v>
      </c>
      <c r="X578" t="s">
        <v>106</v>
      </c>
      <c r="Y578" t="s">
        <v>108</v>
      </c>
      <c r="Z578" t="s">
        <v>104</v>
      </c>
      <c r="AA578" t="s">
        <v>1384</v>
      </c>
      <c r="AB578" t="s">
        <v>106</v>
      </c>
    </row>
    <row r="579" spans="1:28" x14ac:dyDescent="0.3">
      <c r="A579" t="s">
        <v>1378</v>
      </c>
      <c r="B579">
        <v>4</v>
      </c>
      <c r="C579">
        <v>60</v>
      </c>
      <c r="D579">
        <v>87</v>
      </c>
      <c r="E579" t="s">
        <v>128</v>
      </c>
      <c r="F579" s="12">
        <v>45401</v>
      </c>
      <c r="G579" t="s">
        <v>1708</v>
      </c>
      <c r="H579" s="12">
        <v>45401</v>
      </c>
      <c r="I579" t="s">
        <v>689</v>
      </c>
      <c r="J579" t="s">
        <v>1363</v>
      </c>
      <c r="K579">
        <v>1</v>
      </c>
      <c r="L579">
        <v>60.8</v>
      </c>
      <c r="P579" t="s">
        <v>106</v>
      </c>
      <c r="Q579" t="s">
        <v>106</v>
      </c>
      <c r="R579" t="s">
        <v>106</v>
      </c>
      <c r="S579" t="s">
        <v>106</v>
      </c>
      <c r="T579" t="s">
        <v>1208</v>
      </c>
      <c r="U579" t="s">
        <v>106</v>
      </c>
      <c r="V579" t="s">
        <v>106</v>
      </c>
      <c r="W579" t="s">
        <v>443</v>
      </c>
      <c r="X579" t="s">
        <v>106</v>
      </c>
      <c r="Y579" t="s">
        <v>108</v>
      </c>
      <c r="Z579" t="s">
        <v>104</v>
      </c>
      <c r="AA579" t="s">
        <v>1384</v>
      </c>
      <c r="AB579" t="s">
        <v>106</v>
      </c>
    </row>
    <row r="580" spans="1:28" x14ac:dyDescent="0.3">
      <c r="A580" t="s">
        <v>1378</v>
      </c>
      <c r="B580">
        <v>4</v>
      </c>
      <c r="C580">
        <v>60</v>
      </c>
      <c r="D580">
        <v>76</v>
      </c>
      <c r="E580" t="s">
        <v>128</v>
      </c>
      <c r="F580" s="12">
        <v>45401</v>
      </c>
      <c r="G580" t="s">
        <v>422</v>
      </c>
      <c r="H580" s="12">
        <v>45401</v>
      </c>
      <c r="I580" t="s">
        <v>499</v>
      </c>
      <c r="J580" t="s">
        <v>1363</v>
      </c>
      <c r="K580">
        <v>2</v>
      </c>
      <c r="L580">
        <v>63.2</v>
      </c>
      <c r="P580" t="s">
        <v>106</v>
      </c>
      <c r="Q580" t="s">
        <v>106</v>
      </c>
      <c r="R580" t="s">
        <v>106</v>
      </c>
      <c r="S580" t="s">
        <v>1630</v>
      </c>
      <c r="T580" t="s">
        <v>1386</v>
      </c>
      <c r="U580" t="s">
        <v>1477</v>
      </c>
      <c r="V580" t="s">
        <v>106</v>
      </c>
      <c r="W580" t="s">
        <v>443</v>
      </c>
      <c r="X580" t="s">
        <v>106</v>
      </c>
      <c r="Y580" t="s">
        <v>108</v>
      </c>
      <c r="Z580" t="s">
        <v>104</v>
      </c>
      <c r="AA580" t="s">
        <v>1384</v>
      </c>
      <c r="AB580" t="s">
        <v>106</v>
      </c>
    </row>
    <row r="581" spans="1:28" x14ac:dyDescent="0.3">
      <c r="A581" t="s">
        <v>1378</v>
      </c>
      <c r="B581">
        <v>4</v>
      </c>
      <c r="C581">
        <v>60</v>
      </c>
      <c r="D581">
        <v>75</v>
      </c>
      <c r="E581" t="s">
        <v>128</v>
      </c>
      <c r="F581" s="12">
        <v>45401</v>
      </c>
      <c r="G581" t="s">
        <v>422</v>
      </c>
      <c r="H581" s="12">
        <v>45401</v>
      </c>
      <c r="I581" t="s">
        <v>499</v>
      </c>
      <c r="J581" t="s">
        <v>1363</v>
      </c>
      <c r="K581">
        <v>1</v>
      </c>
      <c r="L581">
        <v>58.7</v>
      </c>
      <c r="P581" t="s">
        <v>106</v>
      </c>
      <c r="Q581" t="s">
        <v>106</v>
      </c>
      <c r="R581" t="s">
        <v>106</v>
      </c>
      <c r="S581" t="s">
        <v>106</v>
      </c>
      <c r="T581" t="s">
        <v>977</v>
      </c>
      <c r="U581" t="s">
        <v>395</v>
      </c>
      <c r="V581" t="s">
        <v>106</v>
      </c>
      <c r="W581" t="s">
        <v>443</v>
      </c>
      <c r="X581" t="s">
        <v>106</v>
      </c>
      <c r="Y581" t="s">
        <v>108</v>
      </c>
      <c r="Z581" t="s">
        <v>104</v>
      </c>
      <c r="AA581" t="s">
        <v>1384</v>
      </c>
      <c r="AB581" t="s">
        <v>106</v>
      </c>
    </row>
    <row r="582" spans="1:28" x14ac:dyDescent="0.3">
      <c r="A582" t="s">
        <v>1387</v>
      </c>
      <c r="B582">
        <v>1</v>
      </c>
      <c r="C582">
        <v>0</v>
      </c>
      <c r="D582">
        <v>20</v>
      </c>
      <c r="E582" t="s">
        <v>128</v>
      </c>
      <c r="F582" s="12">
        <v>45406</v>
      </c>
      <c r="G582" t="s">
        <v>330</v>
      </c>
      <c r="H582" s="12">
        <v>45406</v>
      </c>
      <c r="I582" t="s">
        <v>704</v>
      </c>
      <c r="J582" t="s">
        <v>1363</v>
      </c>
      <c r="K582">
        <v>2</v>
      </c>
      <c r="L582">
        <v>0</v>
      </c>
      <c r="P582" t="s">
        <v>106</v>
      </c>
      <c r="Q582" t="s">
        <v>106</v>
      </c>
      <c r="R582" t="s">
        <v>106</v>
      </c>
      <c r="S582" t="s">
        <v>1388</v>
      </c>
      <c r="T582" t="s">
        <v>603</v>
      </c>
      <c r="U582" t="s">
        <v>106</v>
      </c>
      <c r="V582" t="s">
        <v>106</v>
      </c>
      <c r="W582" t="s">
        <v>443</v>
      </c>
      <c r="X582" t="s">
        <v>106</v>
      </c>
      <c r="Y582" t="s">
        <v>108</v>
      </c>
      <c r="Z582" t="s">
        <v>105</v>
      </c>
      <c r="AA582" t="s">
        <v>1316</v>
      </c>
      <c r="AB582" t="s">
        <v>106</v>
      </c>
    </row>
    <row r="583" spans="1:28" x14ac:dyDescent="0.3">
      <c r="A583" t="s">
        <v>1387</v>
      </c>
      <c r="B583">
        <v>1</v>
      </c>
      <c r="C583">
        <v>0</v>
      </c>
      <c r="D583">
        <v>27</v>
      </c>
      <c r="E583" t="s">
        <v>128</v>
      </c>
      <c r="F583" s="12">
        <v>45406</v>
      </c>
      <c r="G583" t="s">
        <v>1103</v>
      </c>
      <c r="H583" s="12">
        <v>45406</v>
      </c>
      <c r="I583" t="s">
        <v>435</v>
      </c>
      <c r="J583" t="s">
        <v>1363</v>
      </c>
      <c r="K583">
        <v>1</v>
      </c>
      <c r="L583">
        <v>0</v>
      </c>
      <c r="P583" t="s">
        <v>106</v>
      </c>
      <c r="Q583" t="s">
        <v>106</v>
      </c>
      <c r="R583" t="s">
        <v>106</v>
      </c>
      <c r="S583" t="s">
        <v>106</v>
      </c>
      <c r="T583" t="s">
        <v>1158</v>
      </c>
      <c r="U583" t="s">
        <v>106</v>
      </c>
      <c r="V583" t="s">
        <v>106</v>
      </c>
      <c r="W583" t="s">
        <v>443</v>
      </c>
      <c r="X583" t="s">
        <v>106</v>
      </c>
      <c r="Y583" t="s">
        <v>108</v>
      </c>
      <c r="Z583" t="s">
        <v>105</v>
      </c>
      <c r="AA583" t="s">
        <v>1316</v>
      </c>
      <c r="AB583" t="s">
        <v>106</v>
      </c>
    </row>
    <row r="584" spans="1:28" x14ac:dyDescent="0.3">
      <c r="A584" t="s">
        <v>1387</v>
      </c>
      <c r="B584">
        <v>1</v>
      </c>
      <c r="C584">
        <v>0</v>
      </c>
      <c r="D584">
        <v>19</v>
      </c>
      <c r="E584" t="s">
        <v>128</v>
      </c>
      <c r="F584" s="12">
        <v>45406</v>
      </c>
      <c r="G584" t="s">
        <v>1389</v>
      </c>
      <c r="H584" s="12">
        <v>45406</v>
      </c>
      <c r="I584" t="s">
        <v>704</v>
      </c>
      <c r="J584" t="s">
        <v>1363</v>
      </c>
      <c r="K584">
        <v>1</v>
      </c>
      <c r="L584">
        <v>0</v>
      </c>
      <c r="P584" t="s">
        <v>106</v>
      </c>
      <c r="Q584" t="s">
        <v>106</v>
      </c>
      <c r="R584" t="s">
        <v>106</v>
      </c>
      <c r="S584" t="s">
        <v>1390</v>
      </c>
      <c r="T584" t="s">
        <v>518</v>
      </c>
      <c r="U584" t="s">
        <v>106</v>
      </c>
      <c r="V584" t="s">
        <v>106</v>
      </c>
      <c r="W584" t="s">
        <v>443</v>
      </c>
      <c r="X584" t="s">
        <v>106</v>
      </c>
      <c r="Y584" t="s">
        <v>108</v>
      </c>
      <c r="Z584" t="s">
        <v>105</v>
      </c>
      <c r="AA584" t="s">
        <v>1316</v>
      </c>
      <c r="AB584" t="s">
        <v>106</v>
      </c>
    </row>
    <row r="585" spans="1:28" x14ac:dyDescent="0.3">
      <c r="A585" t="s">
        <v>1387</v>
      </c>
      <c r="B585">
        <v>1</v>
      </c>
      <c r="C585">
        <v>0</v>
      </c>
      <c r="D585">
        <v>45</v>
      </c>
      <c r="E585" t="s">
        <v>128</v>
      </c>
      <c r="F585" s="12">
        <v>45406</v>
      </c>
      <c r="G585" t="s">
        <v>1391</v>
      </c>
      <c r="H585" s="12">
        <v>45406</v>
      </c>
      <c r="I585" t="s">
        <v>1392</v>
      </c>
      <c r="J585" t="s">
        <v>458</v>
      </c>
      <c r="K585">
        <v>1</v>
      </c>
      <c r="L585">
        <v>0</v>
      </c>
      <c r="P585" t="s">
        <v>106</v>
      </c>
      <c r="Q585" t="s">
        <v>106</v>
      </c>
      <c r="R585" t="s">
        <v>106</v>
      </c>
      <c r="S585" t="s">
        <v>106</v>
      </c>
      <c r="T585" t="s">
        <v>1393</v>
      </c>
      <c r="U585" t="s">
        <v>106</v>
      </c>
      <c r="V585" t="s">
        <v>106</v>
      </c>
      <c r="W585" t="s">
        <v>373</v>
      </c>
      <c r="X585" t="s">
        <v>106</v>
      </c>
      <c r="Y585" t="s">
        <v>108</v>
      </c>
      <c r="Z585" t="s">
        <v>105</v>
      </c>
      <c r="AA585" t="s">
        <v>1316</v>
      </c>
      <c r="AB585" t="s">
        <v>106</v>
      </c>
    </row>
    <row r="586" spans="1:28" x14ac:dyDescent="0.3">
      <c r="A586" t="s">
        <v>1387</v>
      </c>
      <c r="B586">
        <v>1</v>
      </c>
      <c r="C586">
        <v>0</v>
      </c>
      <c r="D586">
        <v>28</v>
      </c>
      <c r="E586" t="s">
        <v>128</v>
      </c>
      <c r="F586" s="12">
        <v>45406</v>
      </c>
      <c r="G586" t="s">
        <v>1103</v>
      </c>
      <c r="H586" s="12">
        <v>45406</v>
      </c>
      <c r="I586" t="s">
        <v>435</v>
      </c>
      <c r="J586" t="s">
        <v>1363</v>
      </c>
      <c r="K586">
        <v>2</v>
      </c>
      <c r="L586">
        <v>0</v>
      </c>
      <c r="P586" t="s">
        <v>106</v>
      </c>
      <c r="Q586" t="s">
        <v>106</v>
      </c>
      <c r="R586" t="s">
        <v>106</v>
      </c>
      <c r="S586" t="s">
        <v>106</v>
      </c>
      <c r="T586" t="s">
        <v>1394</v>
      </c>
      <c r="U586" t="s">
        <v>106</v>
      </c>
      <c r="V586" t="s">
        <v>106</v>
      </c>
      <c r="W586" t="s">
        <v>443</v>
      </c>
      <c r="X586" t="s">
        <v>106</v>
      </c>
      <c r="Y586" t="s">
        <v>108</v>
      </c>
      <c r="Z586" t="s">
        <v>105</v>
      </c>
      <c r="AA586" t="s">
        <v>1316</v>
      </c>
      <c r="AB586" t="s">
        <v>106</v>
      </c>
    </row>
    <row r="587" spans="1:28" x14ac:dyDescent="0.3">
      <c r="A587" t="s">
        <v>1387</v>
      </c>
      <c r="B587">
        <v>2</v>
      </c>
      <c r="C587">
        <v>15</v>
      </c>
      <c r="D587">
        <v>15</v>
      </c>
      <c r="E587" t="s">
        <v>128</v>
      </c>
      <c r="F587" s="12">
        <v>45406</v>
      </c>
      <c r="G587" t="s">
        <v>404</v>
      </c>
      <c r="H587" s="12">
        <v>45406</v>
      </c>
      <c r="I587" t="s">
        <v>704</v>
      </c>
      <c r="J587" t="s">
        <v>1363</v>
      </c>
      <c r="K587">
        <v>1</v>
      </c>
      <c r="L587">
        <v>16.5</v>
      </c>
      <c r="P587" t="s">
        <v>106</v>
      </c>
      <c r="Q587" t="s">
        <v>106</v>
      </c>
      <c r="R587" t="s">
        <v>106</v>
      </c>
      <c r="S587" t="s">
        <v>1843</v>
      </c>
      <c r="T587" t="s">
        <v>1844</v>
      </c>
      <c r="U587" t="s">
        <v>106</v>
      </c>
      <c r="V587" t="s">
        <v>106</v>
      </c>
      <c r="W587" t="s">
        <v>443</v>
      </c>
      <c r="X587" t="s">
        <v>106</v>
      </c>
      <c r="Y587" t="s">
        <v>108</v>
      </c>
      <c r="Z587" t="s">
        <v>109</v>
      </c>
      <c r="AA587" t="s">
        <v>1845</v>
      </c>
      <c r="AB587" t="s">
        <v>106</v>
      </c>
    </row>
    <row r="588" spans="1:28" x14ac:dyDescent="0.3">
      <c r="A588" t="s">
        <v>1387</v>
      </c>
      <c r="B588">
        <v>2</v>
      </c>
      <c r="C588">
        <v>15</v>
      </c>
      <c r="D588">
        <v>24</v>
      </c>
      <c r="E588" t="s">
        <v>128</v>
      </c>
      <c r="F588" s="12">
        <v>45406</v>
      </c>
      <c r="G588" t="s">
        <v>1092</v>
      </c>
      <c r="H588" s="12">
        <v>45406</v>
      </c>
      <c r="I588" t="s">
        <v>435</v>
      </c>
      <c r="J588" t="s">
        <v>1363</v>
      </c>
      <c r="K588">
        <v>2</v>
      </c>
      <c r="L588">
        <v>16.399999999999999</v>
      </c>
      <c r="P588" t="s">
        <v>106</v>
      </c>
      <c r="Q588" t="s">
        <v>106</v>
      </c>
      <c r="R588" t="s">
        <v>106</v>
      </c>
      <c r="S588" t="s">
        <v>106</v>
      </c>
      <c r="T588" t="s">
        <v>1846</v>
      </c>
      <c r="U588" t="s">
        <v>106</v>
      </c>
      <c r="V588" t="s">
        <v>106</v>
      </c>
      <c r="W588" t="s">
        <v>443</v>
      </c>
      <c r="X588" t="s">
        <v>106</v>
      </c>
      <c r="Y588" t="s">
        <v>108</v>
      </c>
      <c r="Z588" t="s">
        <v>109</v>
      </c>
      <c r="AA588" t="s">
        <v>1847</v>
      </c>
      <c r="AB588" t="s">
        <v>106</v>
      </c>
    </row>
    <row r="589" spans="1:28" x14ac:dyDescent="0.3">
      <c r="A589" t="s">
        <v>1387</v>
      </c>
      <c r="B589">
        <v>2</v>
      </c>
      <c r="C589">
        <v>15</v>
      </c>
      <c r="D589">
        <v>34</v>
      </c>
      <c r="E589" t="s">
        <v>128</v>
      </c>
      <c r="F589" s="12">
        <v>45406</v>
      </c>
      <c r="G589" t="s">
        <v>1244</v>
      </c>
      <c r="H589" s="12">
        <v>45406</v>
      </c>
      <c r="I589" t="s">
        <v>364</v>
      </c>
      <c r="J589" t="s">
        <v>458</v>
      </c>
      <c r="K589">
        <v>2</v>
      </c>
      <c r="L589">
        <v>15.8</v>
      </c>
      <c r="P589" t="s">
        <v>106</v>
      </c>
      <c r="Q589" t="s">
        <v>106</v>
      </c>
      <c r="R589" t="s">
        <v>106</v>
      </c>
      <c r="S589" t="s">
        <v>106</v>
      </c>
      <c r="T589" t="s">
        <v>1386</v>
      </c>
      <c r="U589" t="s">
        <v>1411</v>
      </c>
      <c r="V589" t="s">
        <v>106</v>
      </c>
      <c r="W589" t="s">
        <v>373</v>
      </c>
      <c r="X589" t="s">
        <v>106</v>
      </c>
      <c r="Y589" t="s">
        <v>108</v>
      </c>
      <c r="Z589" t="s">
        <v>109</v>
      </c>
      <c r="AA589" t="s">
        <v>1848</v>
      </c>
      <c r="AB589" t="s">
        <v>1849</v>
      </c>
    </row>
    <row r="590" spans="1:28" x14ac:dyDescent="0.3">
      <c r="A590" t="s">
        <v>1387</v>
      </c>
      <c r="B590">
        <v>2</v>
      </c>
      <c r="C590">
        <v>15</v>
      </c>
      <c r="D590">
        <v>39</v>
      </c>
      <c r="E590" t="s">
        <v>128</v>
      </c>
      <c r="F590" s="12">
        <v>45406</v>
      </c>
      <c r="G590" t="s">
        <v>1645</v>
      </c>
      <c r="H590" s="12">
        <v>45406</v>
      </c>
      <c r="I590" t="s">
        <v>1392</v>
      </c>
      <c r="J590" t="s">
        <v>458</v>
      </c>
      <c r="K590">
        <v>1</v>
      </c>
      <c r="L590">
        <v>16</v>
      </c>
      <c r="P590" t="s">
        <v>106</v>
      </c>
      <c r="Q590" t="s">
        <v>106</v>
      </c>
      <c r="R590" t="s">
        <v>106</v>
      </c>
      <c r="S590" t="s">
        <v>1430</v>
      </c>
      <c r="T590" t="s">
        <v>1850</v>
      </c>
      <c r="U590" t="s">
        <v>1410</v>
      </c>
      <c r="V590" t="s">
        <v>106</v>
      </c>
      <c r="W590" t="s">
        <v>373</v>
      </c>
      <c r="X590" t="s">
        <v>106</v>
      </c>
      <c r="Y590" t="s">
        <v>108</v>
      </c>
      <c r="Z590" t="s">
        <v>109</v>
      </c>
      <c r="AA590" t="s">
        <v>1848</v>
      </c>
      <c r="AB590" t="s">
        <v>1811</v>
      </c>
    </row>
    <row r="591" spans="1:28" x14ac:dyDescent="0.3">
      <c r="A591" t="s">
        <v>1387</v>
      </c>
      <c r="B591">
        <v>2</v>
      </c>
      <c r="C591">
        <v>15</v>
      </c>
      <c r="D591">
        <v>33</v>
      </c>
      <c r="E591" t="s">
        <v>128</v>
      </c>
      <c r="F591" s="12">
        <v>45406</v>
      </c>
      <c r="G591" t="s">
        <v>1244</v>
      </c>
      <c r="H591" s="12">
        <v>45406</v>
      </c>
      <c r="I591" t="s">
        <v>364</v>
      </c>
      <c r="J591" t="s">
        <v>458</v>
      </c>
      <c r="K591">
        <v>1</v>
      </c>
      <c r="L591">
        <v>16.8</v>
      </c>
      <c r="P591" t="s">
        <v>106</v>
      </c>
      <c r="Q591" t="s">
        <v>106</v>
      </c>
      <c r="R591" t="s">
        <v>106</v>
      </c>
      <c r="S591" t="s">
        <v>1851</v>
      </c>
      <c r="T591" t="s">
        <v>1852</v>
      </c>
      <c r="U591" t="s">
        <v>1780</v>
      </c>
      <c r="V591" t="s">
        <v>106</v>
      </c>
      <c r="W591" t="s">
        <v>373</v>
      </c>
      <c r="X591" t="s">
        <v>106</v>
      </c>
      <c r="Y591" t="s">
        <v>108</v>
      </c>
      <c r="Z591" t="s">
        <v>109</v>
      </c>
      <c r="AA591" t="s">
        <v>1848</v>
      </c>
      <c r="AB591" t="s">
        <v>1811</v>
      </c>
    </row>
    <row r="592" spans="1:28" x14ac:dyDescent="0.3">
      <c r="A592" t="s">
        <v>1387</v>
      </c>
      <c r="B592">
        <v>2</v>
      </c>
      <c r="C592">
        <v>15</v>
      </c>
      <c r="D592">
        <v>40</v>
      </c>
      <c r="E592" t="s">
        <v>128</v>
      </c>
      <c r="F592" s="12">
        <v>45406</v>
      </c>
      <c r="G592" t="s">
        <v>1853</v>
      </c>
      <c r="H592" s="12">
        <v>45406</v>
      </c>
      <c r="I592" t="s">
        <v>1392</v>
      </c>
      <c r="J592" t="s">
        <v>458</v>
      </c>
      <c r="K592">
        <v>2</v>
      </c>
      <c r="L592">
        <v>15.9</v>
      </c>
      <c r="P592" t="s">
        <v>106</v>
      </c>
      <c r="Q592" t="s">
        <v>106</v>
      </c>
      <c r="R592" t="s">
        <v>106</v>
      </c>
      <c r="S592" t="s">
        <v>106</v>
      </c>
      <c r="T592" t="s">
        <v>1854</v>
      </c>
      <c r="U592" t="s">
        <v>719</v>
      </c>
      <c r="V592" t="s">
        <v>106</v>
      </c>
      <c r="W592" t="s">
        <v>373</v>
      </c>
      <c r="X592" t="s">
        <v>106</v>
      </c>
      <c r="Y592" t="s">
        <v>108</v>
      </c>
      <c r="Z592" t="s">
        <v>109</v>
      </c>
      <c r="AA592" t="s">
        <v>1848</v>
      </c>
      <c r="AB592" t="s">
        <v>1855</v>
      </c>
    </row>
    <row r="593" spans="1:28" x14ac:dyDescent="0.3">
      <c r="A593" t="s">
        <v>1387</v>
      </c>
      <c r="B593">
        <v>2</v>
      </c>
      <c r="C593">
        <v>15</v>
      </c>
      <c r="D593">
        <v>29</v>
      </c>
      <c r="E593" t="s">
        <v>308</v>
      </c>
      <c r="F593" s="12">
        <v>45406</v>
      </c>
      <c r="G593" t="s">
        <v>1237</v>
      </c>
      <c r="H593" s="12" t="s">
        <v>106</v>
      </c>
      <c r="I593" t="s">
        <v>106</v>
      </c>
      <c r="J593" t="s">
        <v>106</v>
      </c>
      <c r="L593">
        <v>15.9</v>
      </c>
      <c r="P593" t="s">
        <v>106</v>
      </c>
      <c r="Q593" t="s">
        <v>106</v>
      </c>
      <c r="R593" t="s">
        <v>106</v>
      </c>
      <c r="S593" t="s">
        <v>106</v>
      </c>
      <c r="T593" t="s">
        <v>1158</v>
      </c>
      <c r="U593" t="s">
        <v>106</v>
      </c>
      <c r="V593" t="s">
        <v>106</v>
      </c>
      <c r="W593" t="s">
        <v>1856</v>
      </c>
      <c r="X593" t="s">
        <v>106</v>
      </c>
      <c r="Y593" t="s">
        <v>108</v>
      </c>
      <c r="Z593" t="s">
        <v>109</v>
      </c>
      <c r="AA593" t="s">
        <v>1848</v>
      </c>
      <c r="AB593" t="s">
        <v>106</v>
      </c>
    </row>
    <row r="594" spans="1:28" x14ac:dyDescent="0.3">
      <c r="A594" t="s">
        <v>1387</v>
      </c>
      <c r="B594">
        <v>2</v>
      </c>
      <c r="C594">
        <v>15</v>
      </c>
      <c r="D594">
        <v>30</v>
      </c>
      <c r="E594" t="s">
        <v>308</v>
      </c>
      <c r="F594" s="12">
        <v>45406</v>
      </c>
      <c r="G594" t="s">
        <v>1237</v>
      </c>
      <c r="H594" s="12" t="s">
        <v>106</v>
      </c>
      <c r="I594" t="s">
        <v>106</v>
      </c>
      <c r="J594" t="s">
        <v>106</v>
      </c>
      <c r="L594">
        <v>16</v>
      </c>
      <c r="P594" t="s">
        <v>106</v>
      </c>
      <c r="Q594" t="s">
        <v>106</v>
      </c>
      <c r="R594" t="s">
        <v>106</v>
      </c>
      <c r="S594" t="s">
        <v>106</v>
      </c>
      <c r="T594" t="s">
        <v>1235</v>
      </c>
      <c r="U594" t="s">
        <v>106</v>
      </c>
      <c r="V594" t="s">
        <v>106</v>
      </c>
      <c r="W594" t="s">
        <v>1856</v>
      </c>
      <c r="X594" t="s">
        <v>106</v>
      </c>
      <c r="Y594" t="s">
        <v>108</v>
      </c>
      <c r="Z594" t="s">
        <v>109</v>
      </c>
      <c r="AA594" t="s">
        <v>1848</v>
      </c>
      <c r="AB594" t="s">
        <v>106</v>
      </c>
    </row>
    <row r="595" spans="1:28" x14ac:dyDescent="0.3">
      <c r="A595" t="s">
        <v>1387</v>
      </c>
      <c r="B595">
        <v>2</v>
      </c>
      <c r="C595">
        <v>15</v>
      </c>
      <c r="D595">
        <v>46</v>
      </c>
      <c r="E595" t="s">
        <v>128</v>
      </c>
      <c r="F595" s="12">
        <v>45406</v>
      </c>
      <c r="G595" t="s">
        <v>1857</v>
      </c>
      <c r="H595" s="12">
        <v>45406</v>
      </c>
      <c r="I595" t="s">
        <v>1787</v>
      </c>
      <c r="J595" t="s">
        <v>458</v>
      </c>
      <c r="K595">
        <v>1</v>
      </c>
      <c r="L595">
        <v>16.399999999999999</v>
      </c>
      <c r="P595" t="s">
        <v>106</v>
      </c>
      <c r="Q595" t="s">
        <v>106</v>
      </c>
      <c r="R595" t="s">
        <v>106</v>
      </c>
      <c r="S595" t="s">
        <v>1197</v>
      </c>
      <c r="T595" t="s">
        <v>1393</v>
      </c>
      <c r="U595" t="s">
        <v>1356</v>
      </c>
      <c r="V595" t="s">
        <v>106</v>
      </c>
      <c r="W595" t="s">
        <v>373</v>
      </c>
      <c r="X595" t="s">
        <v>106</v>
      </c>
      <c r="Y595" t="s">
        <v>108</v>
      </c>
      <c r="Z595" t="s">
        <v>109</v>
      </c>
      <c r="AA595" t="s">
        <v>1848</v>
      </c>
      <c r="AB595" t="s">
        <v>1811</v>
      </c>
    </row>
    <row r="596" spans="1:28" x14ac:dyDescent="0.3">
      <c r="A596" t="s">
        <v>1387</v>
      </c>
      <c r="B596">
        <v>2</v>
      </c>
      <c r="C596">
        <v>15</v>
      </c>
      <c r="D596">
        <v>47</v>
      </c>
      <c r="E596" t="s">
        <v>128</v>
      </c>
      <c r="F596" s="12">
        <v>45406</v>
      </c>
      <c r="G596" t="s">
        <v>1857</v>
      </c>
      <c r="H596" s="12">
        <v>45406</v>
      </c>
      <c r="I596" t="s">
        <v>1787</v>
      </c>
      <c r="J596" t="s">
        <v>458</v>
      </c>
      <c r="K596">
        <v>2</v>
      </c>
      <c r="L596">
        <v>17.399999999999999</v>
      </c>
      <c r="P596" t="s">
        <v>106</v>
      </c>
      <c r="Q596" t="s">
        <v>106</v>
      </c>
      <c r="R596" t="s">
        <v>106</v>
      </c>
      <c r="S596" t="s">
        <v>106</v>
      </c>
      <c r="T596" t="s">
        <v>1661</v>
      </c>
      <c r="U596" t="s">
        <v>1591</v>
      </c>
      <c r="V596" t="s">
        <v>106</v>
      </c>
      <c r="W596" t="s">
        <v>373</v>
      </c>
      <c r="X596" t="s">
        <v>106</v>
      </c>
      <c r="Y596" t="s">
        <v>108</v>
      </c>
      <c r="Z596" t="s">
        <v>109</v>
      </c>
      <c r="AA596" t="s">
        <v>1848</v>
      </c>
      <c r="AB596" t="s">
        <v>1858</v>
      </c>
    </row>
    <row r="597" spans="1:28" x14ac:dyDescent="0.3">
      <c r="A597" t="s">
        <v>1387</v>
      </c>
      <c r="B597">
        <v>2</v>
      </c>
      <c r="C597">
        <v>15</v>
      </c>
      <c r="D597">
        <v>23</v>
      </c>
      <c r="E597" t="s">
        <v>128</v>
      </c>
      <c r="F597" s="12">
        <v>45406</v>
      </c>
      <c r="G597" t="s">
        <v>1092</v>
      </c>
      <c r="H597" s="12">
        <v>45406</v>
      </c>
      <c r="I597" t="s">
        <v>435</v>
      </c>
      <c r="J597" t="s">
        <v>1363</v>
      </c>
      <c r="K597">
        <v>1</v>
      </c>
      <c r="L597">
        <v>16.2</v>
      </c>
      <c r="P597" t="s">
        <v>106</v>
      </c>
      <c r="Q597" t="s">
        <v>106</v>
      </c>
      <c r="R597" t="s">
        <v>106</v>
      </c>
      <c r="S597" t="s">
        <v>106</v>
      </c>
      <c r="T597" t="s">
        <v>1859</v>
      </c>
      <c r="U597" t="s">
        <v>106</v>
      </c>
      <c r="V597" t="s">
        <v>106</v>
      </c>
      <c r="W597" t="s">
        <v>443</v>
      </c>
      <c r="X597" t="s">
        <v>106</v>
      </c>
      <c r="Y597" t="s">
        <v>108</v>
      </c>
      <c r="Z597" t="s">
        <v>109</v>
      </c>
      <c r="AA597" t="s">
        <v>1847</v>
      </c>
      <c r="AB597" t="s">
        <v>106</v>
      </c>
    </row>
    <row r="598" spans="1:28" x14ac:dyDescent="0.3">
      <c r="A598" t="s">
        <v>1387</v>
      </c>
      <c r="B598">
        <v>2</v>
      </c>
      <c r="C598">
        <v>15</v>
      </c>
      <c r="D598">
        <v>53</v>
      </c>
      <c r="E598" t="s">
        <v>128</v>
      </c>
      <c r="F598" s="12">
        <v>45406</v>
      </c>
      <c r="G598" t="s">
        <v>1860</v>
      </c>
      <c r="H598" s="12">
        <v>45406</v>
      </c>
      <c r="I598" t="s">
        <v>1861</v>
      </c>
      <c r="J598" t="s">
        <v>458</v>
      </c>
      <c r="K598">
        <v>2</v>
      </c>
      <c r="L598">
        <v>17.399999999999999</v>
      </c>
      <c r="P598" t="s">
        <v>106</v>
      </c>
      <c r="Q598" t="s">
        <v>106</v>
      </c>
      <c r="R598" t="s">
        <v>106</v>
      </c>
      <c r="S598" t="s">
        <v>106</v>
      </c>
      <c r="T598" t="s">
        <v>1862</v>
      </c>
      <c r="U598" t="s">
        <v>106</v>
      </c>
      <c r="V598" t="s">
        <v>106</v>
      </c>
      <c r="W598" t="s">
        <v>373</v>
      </c>
      <c r="X598" t="s">
        <v>106</v>
      </c>
      <c r="Y598" t="s">
        <v>108</v>
      </c>
      <c r="Z598" t="s">
        <v>109</v>
      </c>
      <c r="AA598" t="s">
        <v>1316</v>
      </c>
      <c r="AB598" t="s">
        <v>106</v>
      </c>
    </row>
    <row r="599" spans="1:28" x14ac:dyDescent="0.3">
      <c r="A599" t="s">
        <v>1387</v>
      </c>
      <c r="B599">
        <v>2</v>
      </c>
      <c r="C599">
        <v>15</v>
      </c>
      <c r="D599">
        <v>17</v>
      </c>
      <c r="E599" t="s">
        <v>128</v>
      </c>
      <c r="F599" s="12">
        <v>45406</v>
      </c>
      <c r="G599" t="s">
        <v>405</v>
      </c>
      <c r="H599" s="12">
        <v>45406</v>
      </c>
      <c r="I599" t="s">
        <v>704</v>
      </c>
      <c r="J599" t="s">
        <v>1363</v>
      </c>
      <c r="K599">
        <v>2</v>
      </c>
      <c r="L599">
        <v>16.7</v>
      </c>
      <c r="P599" t="s">
        <v>106</v>
      </c>
      <c r="Q599" t="s">
        <v>106</v>
      </c>
      <c r="R599" t="s">
        <v>106</v>
      </c>
      <c r="S599" t="s">
        <v>1809</v>
      </c>
      <c r="T599" t="s">
        <v>1844</v>
      </c>
      <c r="U599" t="s">
        <v>106</v>
      </c>
      <c r="V599" t="s">
        <v>106</v>
      </c>
      <c r="W599" t="s">
        <v>443</v>
      </c>
      <c r="X599" t="s">
        <v>106</v>
      </c>
      <c r="Y599" t="s">
        <v>108</v>
      </c>
      <c r="Z599" t="s">
        <v>109</v>
      </c>
      <c r="AA599" t="s">
        <v>1845</v>
      </c>
      <c r="AB599" t="s">
        <v>106</v>
      </c>
    </row>
    <row r="600" spans="1:28" x14ac:dyDescent="0.3">
      <c r="A600" t="s">
        <v>1387</v>
      </c>
      <c r="B600">
        <v>2</v>
      </c>
      <c r="C600">
        <v>15</v>
      </c>
      <c r="D600">
        <v>16</v>
      </c>
      <c r="E600" t="s">
        <v>128</v>
      </c>
      <c r="F600" s="12">
        <v>45406</v>
      </c>
      <c r="G600" t="s">
        <v>404</v>
      </c>
      <c r="H600" s="12">
        <v>45406</v>
      </c>
      <c r="I600" t="s">
        <v>704</v>
      </c>
      <c r="J600" t="s">
        <v>1363</v>
      </c>
      <c r="K600">
        <v>1</v>
      </c>
      <c r="L600">
        <v>17.2</v>
      </c>
      <c r="P600" t="s">
        <v>106</v>
      </c>
      <c r="Q600" t="s">
        <v>106</v>
      </c>
      <c r="R600" t="s">
        <v>106</v>
      </c>
      <c r="S600" t="s">
        <v>1863</v>
      </c>
      <c r="T600" t="s">
        <v>1844</v>
      </c>
      <c r="U600" t="s">
        <v>106</v>
      </c>
      <c r="V600" t="s">
        <v>106</v>
      </c>
      <c r="W600" t="s">
        <v>443</v>
      </c>
      <c r="X600" t="s">
        <v>106</v>
      </c>
      <c r="Y600" t="s">
        <v>108</v>
      </c>
      <c r="Z600" t="s">
        <v>109</v>
      </c>
      <c r="AA600" t="s">
        <v>1845</v>
      </c>
      <c r="AB600" t="s">
        <v>106</v>
      </c>
    </row>
    <row r="601" spans="1:28" x14ac:dyDescent="0.3">
      <c r="A601" t="s">
        <v>1387</v>
      </c>
      <c r="B601">
        <v>2</v>
      </c>
      <c r="C601">
        <v>15</v>
      </c>
      <c r="D601">
        <v>18</v>
      </c>
      <c r="E601" t="s">
        <v>128</v>
      </c>
      <c r="F601" s="12">
        <v>45406</v>
      </c>
      <c r="G601" t="s">
        <v>405</v>
      </c>
      <c r="H601" s="12">
        <v>45406</v>
      </c>
      <c r="I601" t="s">
        <v>704</v>
      </c>
      <c r="J601" t="s">
        <v>1363</v>
      </c>
      <c r="K601">
        <v>2</v>
      </c>
      <c r="L601">
        <v>17.399999999999999</v>
      </c>
      <c r="P601" t="s">
        <v>106</v>
      </c>
      <c r="Q601" t="s">
        <v>106</v>
      </c>
      <c r="R601" t="s">
        <v>106</v>
      </c>
      <c r="S601" t="s">
        <v>1535</v>
      </c>
      <c r="T601" t="s">
        <v>1386</v>
      </c>
      <c r="U601" t="s">
        <v>106</v>
      </c>
      <c r="V601" t="s">
        <v>106</v>
      </c>
      <c r="W601" t="s">
        <v>443</v>
      </c>
      <c r="X601" t="s">
        <v>106</v>
      </c>
      <c r="Y601" t="s">
        <v>108</v>
      </c>
      <c r="Z601" t="s">
        <v>109</v>
      </c>
      <c r="AA601" t="s">
        <v>1845</v>
      </c>
      <c r="AB601" t="s">
        <v>106</v>
      </c>
    </row>
    <row r="602" spans="1:28" x14ac:dyDescent="0.3">
      <c r="A602" t="s">
        <v>1387</v>
      </c>
      <c r="B602">
        <v>2</v>
      </c>
      <c r="C602">
        <v>15</v>
      </c>
      <c r="D602">
        <v>52</v>
      </c>
      <c r="E602" t="s">
        <v>128</v>
      </c>
      <c r="F602" s="12">
        <v>45406</v>
      </c>
      <c r="G602" t="s">
        <v>1860</v>
      </c>
      <c r="H602" s="12">
        <v>45406</v>
      </c>
      <c r="I602" t="s">
        <v>1861</v>
      </c>
      <c r="J602" t="s">
        <v>458</v>
      </c>
      <c r="K602">
        <v>2</v>
      </c>
      <c r="L602">
        <v>14.7</v>
      </c>
      <c r="P602" t="s">
        <v>106</v>
      </c>
      <c r="Q602" t="s">
        <v>106</v>
      </c>
      <c r="R602" t="s">
        <v>106</v>
      </c>
      <c r="S602" t="s">
        <v>1135</v>
      </c>
      <c r="T602" t="s">
        <v>1864</v>
      </c>
      <c r="U602" t="s">
        <v>106</v>
      </c>
      <c r="V602" t="s">
        <v>106</v>
      </c>
      <c r="W602" t="s">
        <v>373</v>
      </c>
      <c r="X602" t="s">
        <v>106</v>
      </c>
      <c r="Y602" t="s">
        <v>108</v>
      </c>
      <c r="Z602" t="s">
        <v>109</v>
      </c>
      <c r="AA602" t="s">
        <v>1316</v>
      </c>
      <c r="AB602" t="s">
        <v>106</v>
      </c>
    </row>
    <row r="603" spans="1:28" x14ac:dyDescent="0.3">
      <c r="A603" t="s">
        <v>1387</v>
      </c>
      <c r="B603">
        <v>3</v>
      </c>
      <c r="C603">
        <v>35</v>
      </c>
      <c r="D603">
        <v>41</v>
      </c>
      <c r="E603" t="s">
        <v>128</v>
      </c>
      <c r="F603" s="12">
        <v>45406</v>
      </c>
      <c r="G603" t="s">
        <v>2372</v>
      </c>
      <c r="H603" s="12">
        <v>45406</v>
      </c>
      <c r="I603" t="s">
        <v>1392</v>
      </c>
      <c r="J603" t="s">
        <v>458</v>
      </c>
      <c r="K603">
        <v>1</v>
      </c>
      <c r="L603">
        <v>36.6</v>
      </c>
      <c r="P603" t="s">
        <v>106</v>
      </c>
      <c r="Q603" t="s">
        <v>106</v>
      </c>
      <c r="R603" t="s">
        <v>106</v>
      </c>
      <c r="S603" t="s">
        <v>1714</v>
      </c>
      <c r="T603" t="s">
        <v>1796</v>
      </c>
      <c r="U603" t="s">
        <v>1345</v>
      </c>
      <c r="V603" t="s">
        <v>106</v>
      </c>
      <c r="W603" t="s">
        <v>373</v>
      </c>
      <c r="X603" t="s">
        <v>106</v>
      </c>
      <c r="Y603" t="s">
        <v>108</v>
      </c>
      <c r="Z603" t="s">
        <v>108</v>
      </c>
      <c r="AA603" t="s">
        <v>1848</v>
      </c>
      <c r="AB603" t="s">
        <v>2373</v>
      </c>
    </row>
    <row r="604" spans="1:28" x14ac:dyDescent="0.3">
      <c r="A604" t="s">
        <v>1387</v>
      </c>
      <c r="B604">
        <v>3</v>
      </c>
      <c r="C604">
        <v>35</v>
      </c>
      <c r="D604">
        <v>7</v>
      </c>
      <c r="E604" t="s">
        <v>128</v>
      </c>
      <c r="F604" s="12">
        <v>45406</v>
      </c>
      <c r="G604" t="s">
        <v>1607</v>
      </c>
      <c r="H604" s="12">
        <v>45406</v>
      </c>
      <c r="I604" t="s">
        <v>704</v>
      </c>
      <c r="J604" t="s">
        <v>1363</v>
      </c>
      <c r="K604">
        <v>1</v>
      </c>
      <c r="L604">
        <v>34.4</v>
      </c>
      <c r="P604" t="s">
        <v>106</v>
      </c>
      <c r="Q604" t="s">
        <v>106</v>
      </c>
      <c r="R604" t="s">
        <v>106</v>
      </c>
      <c r="S604" t="s">
        <v>2374</v>
      </c>
      <c r="T604" t="s">
        <v>1850</v>
      </c>
      <c r="U604" t="s">
        <v>1539</v>
      </c>
      <c r="V604" t="s">
        <v>106</v>
      </c>
      <c r="W604" t="s">
        <v>443</v>
      </c>
      <c r="X604" t="s">
        <v>106</v>
      </c>
      <c r="Y604" t="s">
        <v>108</v>
      </c>
      <c r="Z604" t="s">
        <v>108</v>
      </c>
      <c r="AA604" t="s">
        <v>1847</v>
      </c>
      <c r="AB604" t="s">
        <v>106</v>
      </c>
    </row>
    <row r="605" spans="1:28" x14ac:dyDescent="0.3">
      <c r="A605" t="s">
        <v>1387</v>
      </c>
      <c r="B605">
        <v>3</v>
      </c>
      <c r="C605">
        <v>35</v>
      </c>
      <c r="D605">
        <v>8</v>
      </c>
      <c r="E605" t="s">
        <v>128</v>
      </c>
      <c r="F605" s="12">
        <v>45406</v>
      </c>
      <c r="G605" t="s">
        <v>1607</v>
      </c>
      <c r="H605" s="12">
        <v>45406</v>
      </c>
      <c r="I605" t="s">
        <v>704</v>
      </c>
      <c r="J605" t="s">
        <v>1363</v>
      </c>
      <c r="K605">
        <v>1</v>
      </c>
      <c r="L605">
        <v>33</v>
      </c>
      <c r="P605" t="s">
        <v>106</v>
      </c>
      <c r="Q605" t="s">
        <v>106</v>
      </c>
      <c r="R605" t="s">
        <v>106</v>
      </c>
      <c r="S605" t="s">
        <v>1777</v>
      </c>
      <c r="T605" t="s">
        <v>1463</v>
      </c>
      <c r="U605" t="s">
        <v>1604</v>
      </c>
      <c r="V605" t="s">
        <v>106</v>
      </c>
      <c r="W605" t="s">
        <v>443</v>
      </c>
      <c r="X605" t="s">
        <v>106</v>
      </c>
      <c r="Y605" t="s">
        <v>108</v>
      </c>
      <c r="Z605" t="s">
        <v>108</v>
      </c>
      <c r="AA605" t="s">
        <v>1847</v>
      </c>
      <c r="AB605" t="s">
        <v>106</v>
      </c>
    </row>
    <row r="606" spans="1:28" x14ac:dyDescent="0.3">
      <c r="A606" t="s">
        <v>1387</v>
      </c>
      <c r="B606">
        <v>3</v>
      </c>
      <c r="C606">
        <v>35</v>
      </c>
      <c r="D606">
        <v>10</v>
      </c>
      <c r="E606" t="s">
        <v>128</v>
      </c>
      <c r="F606" s="12">
        <v>45406</v>
      </c>
      <c r="G606" t="s">
        <v>1607</v>
      </c>
      <c r="H606" s="12">
        <v>45406</v>
      </c>
      <c r="I606" t="s">
        <v>704</v>
      </c>
      <c r="J606" t="s">
        <v>1363</v>
      </c>
      <c r="K606">
        <v>2</v>
      </c>
      <c r="L606">
        <v>37.4</v>
      </c>
      <c r="P606" t="s">
        <v>106</v>
      </c>
      <c r="Q606" t="s">
        <v>106</v>
      </c>
      <c r="R606" t="s">
        <v>106</v>
      </c>
      <c r="S606" t="s">
        <v>1867</v>
      </c>
      <c r="T606" t="s">
        <v>1459</v>
      </c>
      <c r="U606" t="s">
        <v>1482</v>
      </c>
      <c r="V606" t="s">
        <v>106</v>
      </c>
      <c r="W606" t="s">
        <v>443</v>
      </c>
      <c r="X606" t="s">
        <v>106</v>
      </c>
      <c r="Y606" t="s">
        <v>108</v>
      </c>
      <c r="Z606" t="s">
        <v>108</v>
      </c>
      <c r="AA606" t="s">
        <v>1847</v>
      </c>
      <c r="AB606" t="s">
        <v>106</v>
      </c>
    </row>
    <row r="607" spans="1:28" x14ac:dyDescent="0.3">
      <c r="A607" t="s">
        <v>1387</v>
      </c>
      <c r="B607">
        <v>3</v>
      </c>
      <c r="C607">
        <v>35</v>
      </c>
      <c r="D607">
        <v>21</v>
      </c>
      <c r="E607" t="s">
        <v>128</v>
      </c>
      <c r="F607" s="12">
        <v>45406</v>
      </c>
      <c r="G607" t="s">
        <v>1086</v>
      </c>
      <c r="H607" s="12">
        <v>45406</v>
      </c>
      <c r="I607" t="s">
        <v>435</v>
      </c>
      <c r="J607" t="s">
        <v>1363</v>
      </c>
      <c r="K607">
        <v>1</v>
      </c>
      <c r="L607">
        <v>33.6</v>
      </c>
      <c r="P607" t="s">
        <v>106</v>
      </c>
      <c r="Q607" t="s">
        <v>106</v>
      </c>
      <c r="R607" t="s">
        <v>106</v>
      </c>
      <c r="S607" t="s">
        <v>106</v>
      </c>
      <c r="T607" t="s">
        <v>518</v>
      </c>
      <c r="U607" t="s">
        <v>106</v>
      </c>
      <c r="V607" t="s">
        <v>106</v>
      </c>
      <c r="W607" t="s">
        <v>443</v>
      </c>
      <c r="X607" t="s">
        <v>106</v>
      </c>
      <c r="Y607" t="s">
        <v>108</v>
      </c>
      <c r="Z607" t="s">
        <v>108</v>
      </c>
      <c r="AA607" t="s">
        <v>1847</v>
      </c>
      <c r="AB607" t="s">
        <v>106</v>
      </c>
    </row>
    <row r="608" spans="1:28" x14ac:dyDescent="0.3">
      <c r="A608" t="s">
        <v>1387</v>
      </c>
      <c r="B608">
        <v>3</v>
      </c>
      <c r="C608">
        <v>35</v>
      </c>
      <c r="D608">
        <v>22</v>
      </c>
      <c r="E608" t="s">
        <v>128</v>
      </c>
      <c r="F608" s="12">
        <v>45406</v>
      </c>
      <c r="G608" t="s">
        <v>1086</v>
      </c>
      <c r="H608" s="12">
        <v>45406</v>
      </c>
      <c r="I608" t="s">
        <v>435</v>
      </c>
      <c r="J608" t="s">
        <v>1363</v>
      </c>
      <c r="K608">
        <v>2</v>
      </c>
      <c r="L608">
        <v>34.1</v>
      </c>
      <c r="P608" t="s">
        <v>106</v>
      </c>
      <c r="Q608" t="s">
        <v>106</v>
      </c>
      <c r="R608" t="s">
        <v>106</v>
      </c>
      <c r="S608" t="s">
        <v>106</v>
      </c>
      <c r="T608" t="s">
        <v>1859</v>
      </c>
      <c r="U608" t="s">
        <v>106</v>
      </c>
      <c r="V608" t="s">
        <v>106</v>
      </c>
      <c r="W608" t="s">
        <v>443</v>
      </c>
      <c r="X608" t="s">
        <v>106</v>
      </c>
      <c r="Y608" t="s">
        <v>108</v>
      </c>
      <c r="Z608" t="s">
        <v>108</v>
      </c>
      <c r="AA608" t="s">
        <v>1847</v>
      </c>
      <c r="AB608" t="s">
        <v>106</v>
      </c>
    </row>
    <row r="609" spans="1:28" x14ac:dyDescent="0.3">
      <c r="A609" t="s">
        <v>1387</v>
      </c>
      <c r="B609">
        <v>3</v>
      </c>
      <c r="C609">
        <v>35</v>
      </c>
      <c r="D609">
        <v>36</v>
      </c>
      <c r="E609" t="s">
        <v>128</v>
      </c>
      <c r="F609" s="12">
        <v>45406</v>
      </c>
      <c r="G609" t="s">
        <v>1152</v>
      </c>
      <c r="H609" s="12">
        <v>45406</v>
      </c>
      <c r="I609" t="s">
        <v>364</v>
      </c>
      <c r="J609" t="s">
        <v>458</v>
      </c>
      <c r="K609">
        <v>2</v>
      </c>
      <c r="L609">
        <v>34.9</v>
      </c>
      <c r="P609" t="s">
        <v>106</v>
      </c>
      <c r="Q609" t="s">
        <v>106</v>
      </c>
      <c r="R609" t="s">
        <v>106</v>
      </c>
      <c r="S609" t="s">
        <v>106</v>
      </c>
      <c r="T609" t="s">
        <v>1131</v>
      </c>
      <c r="U609" t="s">
        <v>1604</v>
      </c>
      <c r="V609" t="s">
        <v>106</v>
      </c>
      <c r="W609" t="s">
        <v>373</v>
      </c>
      <c r="X609" t="s">
        <v>106</v>
      </c>
      <c r="Y609" t="s">
        <v>108</v>
      </c>
      <c r="Z609" t="s">
        <v>108</v>
      </c>
      <c r="AA609" t="s">
        <v>1848</v>
      </c>
      <c r="AB609" t="s">
        <v>2375</v>
      </c>
    </row>
    <row r="610" spans="1:28" x14ac:dyDescent="0.3">
      <c r="A610" t="s">
        <v>1387</v>
      </c>
      <c r="B610">
        <v>3</v>
      </c>
      <c r="C610">
        <v>35</v>
      </c>
      <c r="D610">
        <v>42</v>
      </c>
      <c r="E610" t="s">
        <v>128</v>
      </c>
      <c r="F610" s="12">
        <v>45406</v>
      </c>
      <c r="G610" t="s">
        <v>2372</v>
      </c>
      <c r="H610" s="12">
        <v>45406</v>
      </c>
      <c r="I610" t="s">
        <v>1392</v>
      </c>
      <c r="J610" t="s">
        <v>458</v>
      </c>
      <c r="K610">
        <v>2</v>
      </c>
      <c r="L610">
        <v>35.299999999999997</v>
      </c>
      <c r="P610" t="s">
        <v>106</v>
      </c>
      <c r="Q610" t="s">
        <v>106</v>
      </c>
      <c r="R610" t="s">
        <v>106</v>
      </c>
      <c r="S610" t="s">
        <v>106</v>
      </c>
      <c r="T610" t="s">
        <v>1910</v>
      </c>
      <c r="U610" t="s">
        <v>1651</v>
      </c>
      <c r="V610" t="s">
        <v>106</v>
      </c>
      <c r="W610" t="s">
        <v>373</v>
      </c>
      <c r="X610" t="s">
        <v>106</v>
      </c>
      <c r="Y610" t="s">
        <v>108</v>
      </c>
      <c r="Z610" t="s">
        <v>108</v>
      </c>
      <c r="AA610" t="s">
        <v>1848</v>
      </c>
      <c r="AB610" t="s">
        <v>2376</v>
      </c>
    </row>
    <row r="611" spans="1:28" x14ac:dyDescent="0.3">
      <c r="A611" t="s">
        <v>1387</v>
      </c>
      <c r="B611">
        <v>3</v>
      </c>
      <c r="C611">
        <v>35</v>
      </c>
      <c r="D611">
        <v>9</v>
      </c>
      <c r="E611" t="s">
        <v>128</v>
      </c>
      <c r="F611" s="12">
        <v>45406</v>
      </c>
      <c r="G611" t="s">
        <v>1607</v>
      </c>
      <c r="H611" s="12">
        <v>45406</v>
      </c>
      <c r="I611" t="s">
        <v>704</v>
      </c>
      <c r="J611" t="s">
        <v>1363</v>
      </c>
      <c r="K611">
        <v>2</v>
      </c>
      <c r="L611">
        <v>36.5</v>
      </c>
      <c r="P611" t="s">
        <v>106</v>
      </c>
      <c r="Q611" t="s">
        <v>106</v>
      </c>
      <c r="R611" t="s">
        <v>106</v>
      </c>
      <c r="S611" t="s">
        <v>2133</v>
      </c>
      <c r="T611" t="s">
        <v>1516</v>
      </c>
      <c r="U611" t="s">
        <v>1615</v>
      </c>
      <c r="V611" t="s">
        <v>106</v>
      </c>
      <c r="W611" t="s">
        <v>443</v>
      </c>
      <c r="X611" t="s">
        <v>106</v>
      </c>
      <c r="Y611" t="s">
        <v>108</v>
      </c>
      <c r="Z611" t="s">
        <v>108</v>
      </c>
      <c r="AA611" t="s">
        <v>1847</v>
      </c>
      <c r="AB611" t="s">
        <v>106</v>
      </c>
    </row>
    <row r="612" spans="1:28" x14ac:dyDescent="0.3">
      <c r="A612" t="s">
        <v>1387</v>
      </c>
      <c r="B612">
        <v>3</v>
      </c>
      <c r="C612">
        <v>35</v>
      </c>
      <c r="D612">
        <v>49</v>
      </c>
      <c r="E612" t="s">
        <v>128</v>
      </c>
      <c r="F612" s="12">
        <v>45406</v>
      </c>
      <c r="G612" t="s">
        <v>2377</v>
      </c>
      <c r="H612" s="12">
        <v>45406</v>
      </c>
      <c r="I612" t="s">
        <v>1787</v>
      </c>
      <c r="J612" t="s">
        <v>458</v>
      </c>
      <c r="K612">
        <v>2</v>
      </c>
      <c r="L612">
        <v>35</v>
      </c>
      <c r="P612" t="s">
        <v>106</v>
      </c>
      <c r="Q612" t="s">
        <v>106</v>
      </c>
      <c r="R612" t="s">
        <v>106</v>
      </c>
      <c r="S612" t="s">
        <v>106</v>
      </c>
      <c r="T612" t="s">
        <v>1449</v>
      </c>
      <c r="U612" t="s">
        <v>904</v>
      </c>
      <c r="V612" t="s">
        <v>106</v>
      </c>
      <c r="W612" t="s">
        <v>373</v>
      </c>
      <c r="X612" t="s">
        <v>106</v>
      </c>
      <c r="Y612" t="s">
        <v>108</v>
      </c>
      <c r="Z612" t="s">
        <v>108</v>
      </c>
      <c r="AA612" t="s">
        <v>1848</v>
      </c>
      <c r="AB612" t="s">
        <v>2378</v>
      </c>
    </row>
    <row r="613" spans="1:28" x14ac:dyDescent="0.3">
      <c r="A613" t="s">
        <v>1387</v>
      </c>
      <c r="B613">
        <v>3</v>
      </c>
      <c r="C613">
        <v>35</v>
      </c>
      <c r="D613">
        <v>48</v>
      </c>
      <c r="E613" t="s">
        <v>128</v>
      </c>
      <c r="F613" s="12">
        <v>45406</v>
      </c>
      <c r="G613" t="s">
        <v>2377</v>
      </c>
      <c r="H613" s="12">
        <v>45406</v>
      </c>
      <c r="I613" t="s">
        <v>1787</v>
      </c>
      <c r="J613" t="s">
        <v>458</v>
      </c>
      <c r="K613">
        <v>1</v>
      </c>
      <c r="L613">
        <v>35.200000000000003</v>
      </c>
      <c r="P613" t="s">
        <v>106</v>
      </c>
      <c r="Q613" t="s">
        <v>106</v>
      </c>
      <c r="R613" t="s">
        <v>106</v>
      </c>
      <c r="S613" t="s">
        <v>1446</v>
      </c>
      <c r="T613" t="s">
        <v>1476</v>
      </c>
      <c r="U613" t="s">
        <v>430</v>
      </c>
      <c r="V613" t="s">
        <v>106</v>
      </c>
      <c r="W613" t="s">
        <v>373</v>
      </c>
      <c r="X613" t="s">
        <v>106</v>
      </c>
      <c r="Y613" t="s">
        <v>108</v>
      </c>
      <c r="Z613" t="s">
        <v>108</v>
      </c>
      <c r="AA613" t="s">
        <v>1848</v>
      </c>
      <c r="AB613" t="s">
        <v>2379</v>
      </c>
    </row>
    <row r="614" spans="1:28" x14ac:dyDescent="0.3">
      <c r="A614" t="s">
        <v>1387</v>
      </c>
      <c r="B614">
        <v>3</v>
      </c>
      <c r="C614">
        <v>35</v>
      </c>
      <c r="D614">
        <v>55</v>
      </c>
      <c r="E614" t="s">
        <v>128</v>
      </c>
      <c r="F614" s="12">
        <v>45406</v>
      </c>
      <c r="G614" t="s">
        <v>1500</v>
      </c>
      <c r="H614" s="12">
        <v>45406</v>
      </c>
      <c r="I614" t="s">
        <v>1861</v>
      </c>
      <c r="J614" t="s">
        <v>458</v>
      </c>
      <c r="K614">
        <v>2</v>
      </c>
      <c r="L614">
        <v>38.200000000000003</v>
      </c>
      <c r="P614" t="s">
        <v>106</v>
      </c>
      <c r="Q614" t="s">
        <v>106</v>
      </c>
      <c r="R614" t="s">
        <v>106</v>
      </c>
      <c r="S614" t="s">
        <v>106</v>
      </c>
      <c r="T614" t="s">
        <v>1701</v>
      </c>
      <c r="U614" t="s">
        <v>106</v>
      </c>
      <c r="V614" t="s">
        <v>106</v>
      </c>
      <c r="W614" t="s">
        <v>373</v>
      </c>
      <c r="X614" t="s">
        <v>106</v>
      </c>
      <c r="Y614" t="s">
        <v>108</v>
      </c>
      <c r="Z614" t="s">
        <v>108</v>
      </c>
      <c r="AA614" t="s">
        <v>1316</v>
      </c>
      <c r="AB614" t="s">
        <v>106</v>
      </c>
    </row>
    <row r="615" spans="1:28" x14ac:dyDescent="0.3">
      <c r="A615" t="s">
        <v>1387</v>
      </c>
      <c r="B615">
        <v>3</v>
      </c>
      <c r="C615">
        <v>35</v>
      </c>
      <c r="D615">
        <v>35</v>
      </c>
      <c r="E615" t="s">
        <v>128</v>
      </c>
      <c r="F615" s="12">
        <v>45406</v>
      </c>
      <c r="G615" t="s">
        <v>1250</v>
      </c>
      <c r="H615" s="12">
        <v>45406</v>
      </c>
      <c r="I615" t="s">
        <v>364</v>
      </c>
      <c r="J615" t="s">
        <v>458</v>
      </c>
      <c r="K615">
        <v>1</v>
      </c>
      <c r="L615">
        <v>34</v>
      </c>
      <c r="P615" t="s">
        <v>106</v>
      </c>
      <c r="Q615" t="s">
        <v>106</v>
      </c>
      <c r="R615" t="s">
        <v>106</v>
      </c>
      <c r="S615" t="s">
        <v>965</v>
      </c>
      <c r="T615" t="s">
        <v>1791</v>
      </c>
      <c r="U615" t="s">
        <v>1477</v>
      </c>
      <c r="V615" t="s">
        <v>106</v>
      </c>
      <c r="W615" t="s">
        <v>373</v>
      </c>
      <c r="X615" t="s">
        <v>106</v>
      </c>
      <c r="Y615" t="s">
        <v>108</v>
      </c>
      <c r="Z615" t="s">
        <v>108</v>
      </c>
      <c r="AA615" t="s">
        <v>1848</v>
      </c>
      <c r="AB615" t="s">
        <v>2380</v>
      </c>
    </row>
    <row r="616" spans="1:28" x14ac:dyDescent="0.3">
      <c r="A616" t="s">
        <v>1387</v>
      </c>
      <c r="B616">
        <v>3</v>
      </c>
      <c r="C616">
        <v>35</v>
      </c>
      <c r="D616">
        <v>54</v>
      </c>
      <c r="E616" t="s">
        <v>128</v>
      </c>
      <c r="F616" s="12">
        <v>45406</v>
      </c>
      <c r="G616" t="s">
        <v>1500</v>
      </c>
      <c r="H616" s="12">
        <v>45406</v>
      </c>
      <c r="I616" t="s">
        <v>1861</v>
      </c>
      <c r="J616" t="s">
        <v>458</v>
      </c>
      <c r="K616">
        <v>2</v>
      </c>
      <c r="L616">
        <v>36.6</v>
      </c>
      <c r="P616" t="s">
        <v>106</v>
      </c>
      <c r="Q616" t="s">
        <v>106</v>
      </c>
      <c r="R616" t="s">
        <v>106</v>
      </c>
      <c r="S616" t="s">
        <v>1664</v>
      </c>
      <c r="T616" t="s">
        <v>1386</v>
      </c>
      <c r="U616" t="s">
        <v>106</v>
      </c>
      <c r="V616" t="s">
        <v>106</v>
      </c>
      <c r="W616" t="s">
        <v>373</v>
      </c>
      <c r="X616" t="s">
        <v>106</v>
      </c>
      <c r="Y616" t="s">
        <v>108</v>
      </c>
      <c r="Z616" t="s">
        <v>108</v>
      </c>
      <c r="AA616" t="s">
        <v>1316</v>
      </c>
      <c r="AB616" t="s">
        <v>106</v>
      </c>
    </row>
    <row r="617" spans="1:28" x14ac:dyDescent="0.3">
      <c r="A617" t="s">
        <v>1387</v>
      </c>
      <c r="B617">
        <v>4</v>
      </c>
      <c r="C617">
        <v>60</v>
      </c>
      <c r="D617">
        <v>32</v>
      </c>
      <c r="E617" t="s">
        <v>308</v>
      </c>
      <c r="F617" s="12">
        <v>45406</v>
      </c>
      <c r="G617" t="s">
        <v>1240</v>
      </c>
      <c r="H617" s="12" t="s">
        <v>106</v>
      </c>
      <c r="I617" t="s">
        <v>106</v>
      </c>
      <c r="J617" t="s">
        <v>106</v>
      </c>
      <c r="L617">
        <v>60.7</v>
      </c>
      <c r="P617" t="s">
        <v>106</v>
      </c>
      <c r="Q617" t="s">
        <v>106</v>
      </c>
      <c r="R617" t="s">
        <v>106</v>
      </c>
      <c r="S617" t="s">
        <v>106</v>
      </c>
      <c r="T617" t="s">
        <v>776</v>
      </c>
      <c r="U617" t="s">
        <v>106</v>
      </c>
      <c r="V617" t="s">
        <v>106</v>
      </c>
      <c r="W617" t="s">
        <v>1856</v>
      </c>
      <c r="X617" t="s">
        <v>106</v>
      </c>
      <c r="Y617" t="s">
        <v>108</v>
      </c>
      <c r="Z617" t="s">
        <v>104</v>
      </c>
      <c r="AA617" t="s">
        <v>1848</v>
      </c>
      <c r="AB617" t="s">
        <v>106</v>
      </c>
    </row>
    <row r="618" spans="1:28" x14ac:dyDescent="0.3">
      <c r="A618" t="s">
        <v>1387</v>
      </c>
      <c r="B618">
        <v>4</v>
      </c>
      <c r="C618">
        <v>60</v>
      </c>
      <c r="D618">
        <v>37</v>
      </c>
      <c r="E618" t="s">
        <v>128</v>
      </c>
      <c r="F618" s="12">
        <v>45406</v>
      </c>
      <c r="G618" t="s">
        <v>1152</v>
      </c>
      <c r="H618" s="12">
        <v>45406</v>
      </c>
      <c r="I618" t="s">
        <v>364</v>
      </c>
      <c r="J618" t="s">
        <v>458</v>
      </c>
      <c r="K618">
        <v>1</v>
      </c>
      <c r="L618">
        <v>62.2</v>
      </c>
      <c r="P618" t="s">
        <v>106</v>
      </c>
      <c r="Q618" t="s">
        <v>106</v>
      </c>
      <c r="R618" t="s">
        <v>106</v>
      </c>
      <c r="S618" t="s">
        <v>1792</v>
      </c>
      <c r="T618" t="s">
        <v>1459</v>
      </c>
      <c r="U618" t="s">
        <v>106</v>
      </c>
      <c r="V618" t="s">
        <v>106</v>
      </c>
      <c r="W618" t="s">
        <v>373</v>
      </c>
      <c r="X618" t="s">
        <v>106</v>
      </c>
      <c r="Y618" t="s">
        <v>108</v>
      </c>
      <c r="Z618" t="s">
        <v>104</v>
      </c>
      <c r="AA618" t="s">
        <v>1848</v>
      </c>
      <c r="AB618" t="s">
        <v>2665</v>
      </c>
    </row>
    <row r="619" spans="1:28" x14ac:dyDescent="0.3">
      <c r="A619" t="s">
        <v>1387</v>
      </c>
      <c r="B619">
        <v>4</v>
      </c>
      <c r="C619">
        <v>60</v>
      </c>
      <c r="D619">
        <v>38</v>
      </c>
      <c r="E619" t="s">
        <v>128</v>
      </c>
      <c r="F619" s="12">
        <v>45406</v>
      </c>
      <c r="G619" t="s">
        <v>1152</v>
      </c>
      <c r="H619" s="12">
        <v>45406</v>
      </c>
      <c r="I619" t="s">
        <v>364</v>
      </c>
      <c r="J619" t="s">
        <v>458</v>
      </c>
      <c r="K619">
        <v>2</v>
      </c>
      <c r="L619">
        <v>60.8</v>
      </c>
      <c r="P619" t="s">
        <v>106</v>
      </c>
      <c r="Q619" t="s">
        <v>106</v>
      </c>
      <c r="R619" t="s">
        <v>106</v>
      </c>
      <c r="S619" t="s">
        <v>106</v>
      </c>
      <c r="T619" t="s">
        <v>1463</v>
      </c>
      <c r="U619" t="s">
        <v>106</v>
      </c>
      <c r="V619" t="s">
        <v>106</v>
      </c>
      <c r="W619" t="s">
        <v>373</v>
      </c>
      <c r="X619" t="s">
        <v>106</v>
      </c>
      <c r="Y619" t="s">
        <v>108</v>
      </c>
      <c r="Z619" t="s">
        <v>104</v>
      </c>
      <c r="AA619" t="s">
        <v>1848</v>
      </c>
      <c r="AB619" t="s">
        <v>106</v>
      </c>
    </row>
    <row r="620" spans="1:28" x14ac:dyDescent="0.3">
      <c r="A620" t="s">
        <v>1387</v>
      </c>
      <c r="B620">
        <v>4</v>
      </c>
      <c r="C620">
        <v>60</v>
      </c>
      <c r="D620">
        <v>26</v>
      </c>
      <c r="E620" t="s">
        <v>128</v>
      </c>
      <c r="F620" s="12">
        <v>45406</v>
      </c>
      <c r="G620" t="s">
        <v>1094</v>
      </c>
      <c r="H620" s="12">
        <v>45406</v>
      </c>
      <c r="I620" t="s">
        <v>435</v>
      </c>
      <c r="J620" t="s">
        <v>1363</v>
      </c>
      <c r="K620">
        <v>2</v>
      </c>
      <c r="L620">
        <v>60.1</v>
      </c>
      <c r="P620" t="s">
        <v>106</v>
      </c>
      <c r="Q620" t="s">
        <v>106</v>
      </c>
      <c r="R620" t="s">
        <v>106</v>
      </c>
      <c r="S620" t="s">
        <v>106</v>
      </c>
      <c r="T620" t="s">
        <v>1409</v>
      </c>
      <c r="U620" t="s">
        <v>106</v>
      </c>
      <c r="V620" t="s">
        <v>106</v>
      </c>
      <c r="W620" t="s">
        <v>443</v>
      </c>
      <c r="X620" t="s">
        <v>106</v>
      </c>
      <c r="Y620" t="s">
        <v>108</v>
      </c>
      <c r="Z620" t="s">
        <v>104</v>
      </c>
      <c r="AA620" t="s">
        <v>1847</v>
      </c>
      <c r="AB620" t="s">
        <v>106</v>
      </c>
    </row>
    <row r="621" spans="1:28" x14ac:dyDescent="0.3">
      <c r="A621" t="s">
        <v>1387</v>
      </c>
      <c r="B621">
        <v>4</v>
      </c>
      <c r="C621">
        <v>60</v>
      </c>
      <c r="D621">
        <v>44</v>
      </c>
      <c r="E621" t="s">
        <v>128</v>
      </c>
      <c r="F621" s="12">
        <v>45406</v>
      </c>
      <c r="G621" t="s">
        <v>2088</v>
      </c>
      <c r="H621" s="12">
        <v>45406</v>
      </c>
      <c r="I621" t="s">
        <v>1392</v>
      </c>
      <c r="J621" t="s">
        <v>458</v>
      </c>
      <c r="K621">
        <v>2</v>
      </c>
      <c r="L621">
        <v>59.7</v>
      </c>
      <c r="P621" t="s">
        <v>106</v>
      </c>
      <c r="Q621" t="s">
        <v>106</v>
      </c>
      <c r="R621" t="s">
        <v>106</v>
      </c>
      <c r="S621" t="s">
        <v>106</v>
      </c>
      <c r="T621" t="s">
        <v>2063</v>
      </c>
      <c r="U621" t="s">
        <v>106</v>
      </c>
      <c r="V621" t="s">
        <v>106</v>
      </c>
      <c r="W621" t="s">
        <v>373</v>
      </c>
      <c r="X621" t="s">
        <v>106</v>
      </c>
      <c r="Y621" t="s">
        <v>108</v>
      </c>
      <c r="Z621" t="s">
        <v>104</v>
      </c>
      <c r="AA621" t="s">
        <v>1848</v>
      </c>
      <c r="AB621" t="s">
        <v>106</v>
      </c>
    </row>
    <row r="622" spans="1:28" x14ac:dyDescent="0.3">
      <c r="A622" t="s">
        <v>1387</v>
      </c>
      <c r="B622">
        <v>4</v>
      </c>
      <c r="C622">
        <v>60</v>
      </c>
      <c r="D622">
        <v>50</v>
      </c>
      <c r="E622" t="s">
        <v>128</v>
      </c>
      <c r="F622" s="12">
        <v>45406</v>
      </c>
      <c r="G622" t="s">
        <v>1784</v>
      </c>
      <c r="H622" s="12">
        <v>45406</v>
      </c>
      <c r="I622" t="s">
        <v>1787</v>
      </c>
      <c r="J622" t="s">
        <v>458</v>
      </c>
      <c r="K622">
        <v>1</v>
      </c>
      <c r="L622">
        <v>62.5</v>
      </c>
      <c r="P622" t="s">
        <v>106</v>
      </c>
      <c r="Q622" t="s">
        <v>106</v>
      </c>
      <c r="R622" t="s">
        <v>106</v>
      </c>
      <c r="S622" t="s">
        <v>1717</v>
      </c>
      <c r="T622" t="s">
        <v>1825</v>
      </c>
      <c r="U622" t="s">
        <v>106</v>
      </c>
      <c r="V622" t="s">
        <v>106</v>
      </c>
      <c r="W622" t="s">
        <v>373</v>
      </c>
      <c r="X622" t="s">
        <v>106</v>
      </c>
      <c r="Y622" t="s">
        <v>108</v>
      </c>
      <c r="Z622" t="s">
        <v>104</v>
      </c>
      <c r="AA622" t="s">
        <v>1848</v>
      </c>
      <c r="AB622" t="s">
        <v>2666</v>
      </c>
    </row>
    <row r="623" spans="1:28" x14ac:dyDescent="0.3">
      <c r="A623" t="s">
        <v>1387</v>
      </c>
      <c r="B623">
        <v>4</v>
      </c>
      <c r="C623">
        <v>60</v>
      </c>
      <c r="D623">
        <v>51</v>
      </c>
      <c r="E623" t="s">
        <v>128</v>
      </c>
      <c r="F623" s="12">
        <v>45406</v>
      </c>
      <c r="G623" t="s">
        <v>1930</v>
      </c>
      <c r="H623" s="12">
        <v>45406</v>
      </c>
      <c r="I623" t="s">
        <v>1787</v>
      </c>
      <c r="J623" t="s">
        <v>458</v>
      </c>
      <c r="K623">
        <v>2</v>
      </c>
      <c r="L623">
        <v>62</v>
      </c>
      <c r="P623" t="s">
        <v>106</v>
      </c>
      <c r="Q623" t="s">
        <v>106</v>
      </c>
      <c r="R623" t="s">
        <v>106</v>
      </c>
      <c r="S623" t="s">
        <v>106</v>
      </c>
      <c r="T623" t="s">
        <v>1864</v>
      </c>
      <c r="U623" t="s">
        <v>106</v>
      </c>
      <c r="V623" t="s">
        <v>106</v>
      </c>
      <c r="W623" t="s">
        <v>373</v>
      </c>
      <c r="X623" t="s">
        <v>106</v>
      </c>
      <c r="Y623" t="s">
        <v>108</v>
      </c>
      <c r="Z623" t="s">
        <v>104</v>
      </c>
      <c r="AA623" t="s">
        <v>1848</v>
      </c>
      <c r="AB623" t="s">
        <v>106</v>
      </c>
    </row>
    <row r="624" spans="1:28" x14ac:dyDescent="0.3">
      <c r="A624" t="s">
        <v>1387</v>
      </c>
      <c r="B624">
        <v>4</v>
      </c>
      <c r="C624">
        <v>60</v>
      </c>
      <c r="D624">
        <v>25</v>
      </c>
      <c r="E624" t="s">
        <v>128</v>
      </c>
      <c r="F624" s="12">
        <v>45406</v>
      </c>
      <c r="G624" t="s">
        <v>1094</v>
      </c>
      <c r="H624" s="12">
        <v>45406</v>
      </c>
      <c r="I624" t="s">
        <v>435</v>
      </c>
      <c r="J624" t="s">
        <v>1363</v>
      </c>
      <c r="K624">
        <v>1</v>
      </c>
      <c r="L624">
        <v>59.6</v>
      </c>
      <c r="P624" t="s">
        <v>106</v>
      </c>
      <c r="Q624" t="s">
        <v>106</v>
      </c>
      <c r="R624" t="s">
        <v>106</v>
      </c>
      <c r="S624" t="s">
        <v>106</v>
      </c>
      <c r="T624" t="s">
        <v>1459</v>
      </c>
      <c r="U624" t="s">
        <v>106</v>
      </c>
      <c r="V624" t="s">
        <v>106</v>
      </c>
      <c r="W624" t="s">
        <v>443</v>
      </c>
      <c r="X624" t="s">
        <v>106</v>
      </c>
      <c r="Y624" t="s">
        <v>108</v>
      </c>
      <c r="Z624" t="s">
        <v>104</v>
      </c>
      <c r="AA624" t="s">
        <v>1847</v>
      </c>
      <c r="AB624" t="s">
        <v>106</v>
      </c>
    </row>
    <row r="625" spans="1:28" x14ac:dyDescent="0.3">
      <c r="A625" t="s">
        <v>1387</v>
      </c>
      <c r="B625">
        <v>4</v>
      </c>
      <c r="C625">
        <v>60</v>
      </c>
      <c r="D625">
        <v>11</v>
      </c>
      <c r="E625" t="s">
        <v>128</v>
      </c>
      <c r="F625" s="12">
        <v>45406</v>
      </c>
      <c r="G625" t="s">
        <v>376</v>
      </c>
      <c r="H625" s="12">
        <v>45406</v>
      </c>
      <c r="I625" t="s">
        <v>704</v>
      </c>
      <c r="J625" t="s">
        <v>1363</v>
      </c>
      <c r="K625">
        <v>1</v>
      </c>
      <c r="L625">
        <v>62.2</v>
      </c>
      <c r="P625" t="s">
        <v>106</v>
      </c>
      <c r="Q625" t="s">
        <v>106</v>
      </c>
      <c r="R625" t="s">
        <v>106</v>
      </c>
      <c r="S625" t="s">
        <v>1507</v>
      </c>
      <c r="T625" t="s">
        <v>1016</v>
      </c>
      <c r="U625" t="s">
        <v>1359</v>
      </c>
      <c r="V625" t="s">
        <v>106</v>
      </c>
      <c r="W625" t="s">
        <v>443</v>
      </c>
      <c r="X625" t="s">
        <v>106</v>
      </c>
      <c r="Y625" t="s">
        <v>108</v>
      </c>
      <c r="Z625" t="s">
        <v>104</v>
      </c>
      <c r="AA625" t="s">
        <v>1845</v>
      </c>
      <c r="AB625" t="s">
        <v>106</v>
      </c>
    </row>
    <row r="626" spans="1:28" x14ac:dyDescent="0.3">
      <c r="A626" t="s">
        <v>1387</v>
      </c>
      <c r="B626">
        <v>4</v>
      </c>
      <c r="C626">
        <v>60</v>
      </c>
      <c r="D626">
        <v>56</v>
      </c>
      <c r="E626" t="s">
        <v>128</v>
      </c>
      <c r="F626" s="12">
        <v>45406</v>
      </c>
      <c r="G626" t="s">
        <v>2667</v>
      </c>
      <c r="H626" s="12">
        <v>45406</v>
      </c>
      <c r="I626" t="s">
        <v>1861</v>
      </c>
      <c r="J626" t="s">
        <v>458</v>
      </c>
      <c r="K626">
        <v>2</v>
      </c>
      <c r="L626">
        <v>63.8</v>
      </c>
      <c r="P626" t="s">
        <v>106</v>
      </c>
      <c r="Q626" t="s">
        <v>106</v>
      </c>
      <c r="R626" t="s">
        <v>106</v>
      </c>
      <c r="S626" t="s">
        <v>1514</v>
      </c>
      <c r="T626" t="s">
        <v>1747</v>
      </c>
      <c r="U626" t="s">
        <v>106</v>
      </c>
      <c r="V626" t="s">
        <v>106</v>
      </c>
      <c r="W626" t="s">
        <v>373</v>
      </c>
      <c r="X626" t="s">
        <v>106</v>
      </c>
      <c r="Y626" t="s">
        <v>108</v>
      </c>
      <c r="Z626" t="s">
        <v>104</v>
      </c>
      <c r="AA626" t="s">
        <v>1316</v>
      </c>
      <c r="AB626" t="s">
        <v>106</v>
      </c>
    </row>
    <row r="627" spans="1:28" x14ac:dyDescent="0.3">
      <c r="A627" t="s">
        <v>1387</v>
      </c>
      <c r="B627">
        <v>4</v>
      </c>
      <c r="C627">
        <v>60</v>
      </c>
      <c r="D627">
        <v>57</v>
      </c>
      <c r="E627" t="s">
        <v>128</v>
      </c>
      <c r="F627" s="12">
        <v>45406</v>
      </c>
      <c r="G627" t="s">
        <v>2667</v>
      </c>
      <c r="H627" s="12">
        <v>45406</v>
      </c>
      <c r="I627" t="s">
        <v>1861</v>
      </c>
      <c r="J627" t="s">
        <v>458</v>
      </c>
      <c r="K627">
        <v>2</v>
      </c>
      <c r="L627">
        <v>63.3</v>
      </c>
      <c r="P627" t="s">
        <v>106</v>
      </c>
      <c r="Q627" t="s">
        <v>106</v>
      </c>
      <c r="R627" t="s">
        <v>106</v>
      </c>
      <c r="S627" t="s">
        <v>106</v>
      </c>
      <c r="T627" t="s">
        <v>722</v>
      </c>
      <c r="U627" t="s">
        <v>106</v>
      </c>
      <c r="V627" t="s">
        <v>106</v>
      </c>
      <c r="W627" t="s">
        <v>373</v>
      </c>
      <c r="X627" t="s">
        <v>106</v>
      </c>
      <c r="Y627" t="s">
        <v>108</v>
      </c>
      <c r="Z627" t="s">
        <v>104</v>
      </c>
      <c r="AA627" t="s">
        <v>1316</v>
      </c>
      <c r="AB627" t="s">
        <v>106</v>
      </c>
    </row>
    <row r="628" spans="1:28" x14ac:dyDescent="0.3">
      <c r="A628" t="s">
        <v>1387</v>
      </c>
      <c r="B628">
        <v>4</v>
      </c>
      <c r="C628">
        <v>60</v>
      </c>
      <c r="D628">
        <v>12</v>
      </c>
      <c r="E628" t="s">
        <v>128</v>
      </c>
      <c r="F628" s="12">
        <v>45406</v>
      </c>
      <c r="G628" t="s">
        <v>376</v>
      </c>
      <c r="H628" s="12">
        <v>45406</v>
      </c>
      <c r="I628" t="s">
        <v>704</v>
      </c>
      <c r="J628" t="s">
        <v>1363</v>
      </c>
      <c r="K628">
        <v>1</v>
      </c>
      <c r="L628">
        <v>58</v>
      </c>
      <c r="P628" t="s">
        <v>106</v>
      </c>
      <c r="Q628" t="s">
        <v>106</v>
      </c>
      <c r="R628" t="s">
        <v>106</v>
      </c>
      <c r="S628" t="s">
        <v>1507</v>
      </c>
      <c r="T628" t="s">
        <v>776</v>
      </c>
      <c r="U628" t="s">
        <v>1596</v>
      </c>
      <c r="V628" t="s">
        <v>106</v>
      </c>
      <c r="W628" t="s">
        <v>443</v>
      </c>
      <c r="X628" t="s">
        <v>106</v>
      </c>
      <c r="Y628" t="s">
        <v>108</v>
      </c>
      <c r="Z628" t="s">
        <v>104</v>
      </c>
      <c r="AA628" t="s">
        <v>1845</v>
      </c>
      <c r="AB628" t="s">
        <v>106</v>
      </c>
    </row>
    <row r="629" spans="1:28" x14ac:dyDescent="0.3">
      <c r="A629" t="s">
        <v>1387</v>
      </c>
      <c r="B629">
        <v>4</v>
      </c>
      <c r="C629">
        <v>60</v>
      </c>
      <c r="D629">
        <v>13</v>
      </c>
      <c r="E629" t="s">
        <v>128</v>
      </c>
      <c r="F629" s="12">
        <v>45406</v>
      </c>
      <c r="G629" t="s">
        <v>376</v>
      </c>
      <c r="H629" s="12">
        <v>45406</v>
      </c>
      <c r="I629" t="s">
        <v>704</v>
      </c>
      <c r="J629" t="s">
        <v>1363</v>
      </c>
      <c r="K629">
        <v>2</v>
      </c>
      <c r="L629">
        <v>58.2</v>
      </c>
      <c r="P629" t="s">
        <v>106</v>
      </c>
      <c r="Q629" t="s">
        <v>106</v>
      </c>
      <c r="R629" t="s">
        <v>106</v>
      </c>
      <c r="S629" t="s">
        <v>2121</v>
      </c>
      <c r="T629" t="s">
        <v>1084</v>
      </c>
      <c r="U629" t="s">
        <v>1738</v>
      </c>
      <c r="V629" t="s">
        <v>106</v>
      </c>
      <c r="W629" t="s">
        <v>443</v>
      </c>
      <c r="X629" t="s">
        <v>106</v>
      </c>
      <c r="Y629" t="s">
        <v>108</v>
      </c>
      <c r="Z629" t="s">
        <v>104</v>
      </c>
      <c r="AA629" t="s">
        <v>1845</v>
      </c>
      <c r="AB629" t="s">
        <v>106</v>
      </c>
    </row>
    <row r="630" spans="1:28" x14ac:dyDescent="0.3">
      <c r="A630" t="s">
        <v>1387</v>
      </c>
      <c r="B630">
        <v>4</v>
      </c>
      <c r="C630">
        <v>60</v>
      </c>
      <c r="D630">
        <v>31</v>
      </c>
      <c r="E630" t="s">
        <v>308</v>
      </c>
      <c r="F630" s="12">
        <v>45406</v>
      </c>
      <c r="G630" t="s">
        <v>1240</v>
      </c>
      <c r="H630" s="12" t="s">
        <v>106</v>
      </c>
      <c r="I630" t="s">
        <v>106</v>
      </c>
      <c r="J630" t="s">
        <v>106</v>
      </c>
      <c r="L630">
        <v>63.8</v>
      </c>
      <c r="P630" t="s">
        <v>106</v>
      </c>
      <c r="Q630" t="s">
        <v>106</v>
      </c>
      <c r="R630" t="s">
        <v>106</v>
      </c>
      <c r="S630" t="s">
        <v>106</v>
      </c>
      <c r="T630" t="s">
        <v>1459</v>
      </c>
      <c r="U630" t="s">
        <v>106</v>
      </c>
      <c r="V630" t="s">
        <v>106</v>
      </c>
      <c r="W630" t="s">
        <v>1856</v>
      </c>
      <c r="X630" t="s">
        <v>106</v>
      </c>
      <c r="Y630" t="s">
        <v>108</v>
      </c>
      <c r="Z630" t="s">
        <v>104</v>
      </c>
      <c r="AA630" t="s">
        <v>1848</v>
      </c>
      <c r="AB630" t="s">
        <v>106</v>
      </c>
    </row>
    <row r="631" spans="1:28" x14ac:dyDescent="0.3">
      <c r="A631" t="s">
        <v>1387</v>
      </c>
      <c r="B631">
        <v>4</v>
      </c>
      <c r="C631">
        <v>60</v>
      </c>
      <c r="D631">
        <v>43</v>
      </c>
      <c r="E631" t="s">
        <v>128</v>
      </c>
      <c r="F631" s="12">
        <v>45406</v>
      </c>
      <c r="G631" t="s">
        <v>2088</v>
      </c>
      <c r="H631" s="12">
        <v>45406</v>
      </c>
      <c r="I631" t="s">
        <v>1392</v>
      </c>
      <c r="J631" t="s">
        <v>458</v>
      </c>
      <c r="K631">
        <v>1</v>
      </c>
      <c r="L631">
        <v>57.6</v>
      </c>
      <c r="P631" t="s">
        <v>106</v>
      </c>
      <c r="Q631" t="s">
        <v>106</v>
      </c>
      <c r="R631" t="s">
        <v>106</v>
      </c>
      <c r="S631" t="s">
        <v>1196</v>
      </c>
      <c r="T631" t="s">
        <v>1291</v>
      </c>
      <c r="U631" t="s">
        <v>106</v>
      </c>
      <c r="V631" t="s">
        <v>106</v>
      </c>
      <c r="W631" t="s">
        <v>373</v>
      </c>
      <c r="X631" t="s">
        <v>106</v>
      </c>
      <c r="Y631" t="s">
        <v>108</v>
      </c>
      <c r="Z631" t="s">
        <v>104</v>
      </c>
      <c r="AA631" t="s">
        <v>1848</v>
      </c>
      <c r="AB631" t="s">
        <v>2668</v>
      </c>
    </row>
    <row r="632" spans="1:28" x14ac:dyDescent="0.3">
      <c r="A632" t="s">
        <v>1387</v>
      </c>
      <c r="B632">
        <v>4</v>
      </c>
      <c r="C632">
        <v>60</v>
      </c>
      <c r="D632">
        <v>14</v>
      </c>
      <c r="E632" t="s">
        <v>128</v>
      </c>
      <c r="F632" s="12">
        <v>45406</v>
      </c>
      <c r="G632" t="s">
        <v>445</v>
      </c>
      <c r="H632" s="12">
        <v>45406</v>
      </c>
      <c r="I632" t="s">
        <v>704</v>
      </c>
      <c r="J632" t="s">
        <v>1363</v>
      </c>
      <c r="K632">
        <v>2</v>
      </c>
      <c r="L632">
        <v>62.6</v>
      </c>
      <c r="P632" t="s">
        <v>106</v>
      </c>
      <c r="Q632" t="s">
        <v>106</v>
      </c>
      <c r="R632" t="s">
        <v>106</v>
      </c>
      <c r="S632" t="s">
        <v>2118</v>
      </c>
      <c r="T632" t="s">
        <v>1478</v>
      </c>
      <c r="U632" t="s">
        <v>391</v>
      </c>
      <c r="V632" t="s">
        <v>106</v>
      </c>
      <c r="W632" t="s">
        <v>443</v>
      </c>
      <c r="X632" t="s">
        <v>106</v>
      </c>
      <c r="Y632" t="s">
        <v>108</v>
      </c>
      <c r="Z632" t="s">
        <v>104</v>
      </c>
      <c r="AA632" t="s">
        <v>1845</v>
      </c>
      <c r="AB632" t="s">
        <v>106</v>
      </c>
    </row>
    <row r="633" spans="1:28" x14ac:dyDescent="0.3">
      <c r="A633" t="s">
        <v>1387</v>
      </c>
      <c r="B633">
        <v>2</v>
      </c>
      <c r="C633">
        <v>15</v>
      </c>
      <c r="D633">
        <v>66</v>
      </c>
      <c r="E633" t="s">
        <v>128</v>
      </c>
      <c r="F633" s="12">
        <v>45407</v>
      </c>
      <c r="G633" t="s">
        <v>877</v>
      </c>
      <c r="H633" s="12">
        <v>45407</v>
      </c>
      <c r="I633" t="s">
        <v>470</v>
      </c>
      <c r="J633" t="s">
        <v>458</v>
      </c>
      <c r="K633">
        <v>1</v>
      </c>
      <c r="L633">
        <v>15</v>
      </c>
      <c r="P633" t="s">
        <v>106</v>
      </c>
      <c r="Q633" t="s">
        <v>106</v>
      </c>
      <c r="R633" t="s">
        <v>106</v>
      </c>
      <c r="S633" t="s">
        <v>106</v>
      </c>
      <c r="T633" t="s">
        <v>1400</v>
      </c>
      <c r="U633" t="s">
        <v>106</v>
      </c>
      <c r="V633" t="s">
        <v>106</v>
      </c>
      <c r="W633" t="s">
        <v>443</v>
      </c>
      <c r="X633" t="s">
        <v>106</v>
      </c>
      <c r="Y633" t="s">
        <v>108</v>
      </c>
      <c r="Z633" t="s">
        <v>109</v>
      </c>
      <c r="AA633" t="s">
        <v>106</v>
      </c>
      <c r="AB633" t="s">
        <v>106</v>
      </c>
    </row>
    <row r="634" spans="1:28" x14ac:dyDescent="0.3">
      <c r="A634" t="s">
        <v>1387</v>
      </c>
      <c r="B634">
        <v>2</v>
      </c>
      <c r="C634">
        <v>15</v>
      </c>
      <c r="D634">
        <v>58</v>
      </c>
      <c r="E634" t="s">
        <v>128</v>
      </c>
      <c r="F634" s="12">
        <v>45407</v>
      </c>
      <c r="G634" t="s">
        <v>1429</v>
      </c>
      <c r="H634" s="12">
        <v>45407</v>
      </c>
      <c r="I634" t="s">
        <v>1865</v>
      </c>
      <c r="J634" t="s">
        <v>458</v>
      </c>
      <c r="K634">
        <v>1</v>
      </c>
      <c r="L634">
        <v>16.600000000000001</v>
      </c>
      <c r="P634" t="s">
        <v>106</v>
      </c>
      <c r="Q634" t="s">
        <v>106</v>
      </c>
      <c r="R634" t="s">
        <v>106</v>
      </c>
      <c r="S634" t="s">
        <v>1866</v>
      </c>
      <c r="T634" t="s">
        <v>1844</v>
      </c>
      <c r="U634" t="s">
        <v>391</v>
      </c>
      <c r="V634" t="s">
        <v>106</v>
      </c>
      <c r="W634" t="s">
        <v>443</v>
      </c>
      <c r="X634" t="s">
        <v>106</v>
      </c>
      <c r="Y634" t="s">
        <v>108</v>
      </c>
      <c r="Z634" t="s">
        <v>109</v>
      </c>
      <c r="AA634" t="s">
        <v>1848</v>
      </c>
      <c r="AB634" t="s">
        <v>1332</v>
      </c>
    </row>
    <row r="635" spans="1:28" x14ac:dyDescent="0.3">
      <c r="A635" t="s">
        <v>1387</v>
      </c>
      <c r="B635">
        <v>2</v>
      </c>
      <c r="C635">
        <v>15</v>
      </c>
      <c r="D635">
        <v>67</v>
      </c>
      <c r="E635" t="s">
        <v>128</v>
      </c>
      <c r="F635" s="12">
        <v>45407</v>
      </c>
      <c r="G635" t="s">
        <v>877</v>
      </c>
      <c r="H635" s="12">
        <v>45407</v>
      </c>
      <c r="I635" t="s">
        <v>470</v>
      </c>
      <c r="J635" t="s">
        <v>458</v>
      </c>
      <c r="K635">
        <v>2</v>
      </c>
      <c r="L635">
        <v>16</v>
      </c>
      <c r="P635" t="s">
        <v>106</v>
      </c>
      <c r="Q635" t="s">
        <v>106</v>
      </c>
      <c r="R635" t="s">
        <v>106</v>
      </c>
      <c r="S635" t="s">
        <v>1867</v>
      </c>
      <c r="T635" t="s">
        <v>1476</v>
      </c>
      <c r="U635" t="s">
        <v>106</v>
      </c>
      <c r="V635" t="s">
        <v>106</v>
      </c>
      <c r="W635" t="s">
        <v>443</v>
      </c>
      <c r="X635" t="s">
        <v>106</v>
      </c>
      <c r="Y635" t="s">
        <v>108</v>
      </c>
      <c r="Z635" t="s">
        <v>109</v>
      </c>
      <c r="AA635" t="s">
        <v>106</v>
      </c>
      <c r="AB635" t="s">
        <v>106</v>
      </c>
    </row>
    <row r="636" spans="1:28" x14ac:dyDescent="0.3">
      <c r="A636" t="s">
        <v>1387</v>
      </c>
      <c r="B636">
        <v>2</v>
      </c>
      <c r="C636">
        <v>15</v>
      </c>
      <c r="D636">
        <v>59</v>
      </c>
      <c r="E636" t="s">
        <v>128</v>
      </c>
      <c r="F636" s="12">
        <v>45407</v>
      </c>
      <c r="G636" t="s">
        <v>1429</v>
      </c>
      <c r="H636" s="12">
        <v>45407</v>
      </c>
      <c r="I636" t="s">
        <v>1865</v>
      </c>
      <c r="J636" t="s">
        <v>458</v>
      </c>
      <c r="K636">
        <v>2</v>
      </c>
      <c r="L636">
        <v>16.7</v>
      </c>
      <c r="P636" t="s">
        <v>106</v>
      </c>
      <c r="Q636" t="s">
        <v>106</v>
      </c>
      <c r="R636" t="s">
        <v>106</v>
      </c>
      <c r="S636" t="s">
        <v>1868</v>
      </c>
      <c r="T636" t="s">
        <v>1478</v>
      </c>
      <c r="U636" t="s">
        <v>1539</v>
      </c>
      <c r="V636" t="s">
        <v>106</v>
      </c>
      <c r="W636" t="s">
        <v>443</v>
      </c>
      <c r="X636" t="s">
        <v>106</v>
      </c>
      <c r="Y636" t="s">
        <v>108</v>
      </c>
      <c r="Z636" t="s">
        <v>109</v>
      </c>
      <c r="AA636" t="s">
        <v>1848</v>
      </c>
      <c r="AB636" t="s">
        <v>1869</v>
      </c>
    </row>
    <row r="637" spans="1:28" x14ac:dyDescent="0.3">
      <c r="A637" t="s">
        <v>1387</v>
      </c>
      <c r="B637">
        <v>3</v>
      </c>
      <c r="C637">
        <v>35</v>
      </c>
      <c r="D637">
        <v>62</v>
      </c>
      <c r="E637" t="s">
        <v>128</v>
      </c>
      <c r="F637" s="12">
        <v>45407</v>
      </c>
      <c r="G637" t="s">
        <v>1618</v>
      </c>
      <c r="H637" s="12">
        <v>45407</v>
      </c>
      <c r="I637" t="s">
        <v>1865</v>
      </c>
      <c r="J637" t="s">
        <v>458</v>
      </c>
      <c r="K637">
        <v>1</v>
      </c>
      <c r="L637">
        <v>38.6</v>
      </c>
      <c r="P637" t="s">
        <v>106</v>
      </c>
      <c r="Q637" t="s">
        <v>106</v>
      </c>
      <c r="R637" t="s">
        <v>106</v>
      </c>
      <c r="S637" t="s">
        <v>1884</v>
      </c>
      <c r="T637" t="s">
        <v>1832</v>
      </c>
      <c r="U637" t="s">
        <v>1738</v>
      </c>
      <c r="V637" t="s">
        <v>106</v>
      </c>
      <c r="W637" t="s">
        <v>443</v>
      </c>
      <c r="X637" t="s">
        <v>106</v>
      </c>
      <c r="Y637" t="s">
        <v>108</v>
      </c>
      <c r="Z637" t="s">
        <v>108</v>
      </c>
      <c r="AA637" t="s">
        <v>1848</v>
      </c>
      <c r="AB637" t="s">
        <v>106</v>
      </c>
    </row>
    <row r="638" spans="1:28" x14ac:dyDescent="0.3">
      <c r="A638" t="s">
        <v>1387</v>
      </c>
      <c r="B638">
        <v>3</v>
      </c>
      <c r="C638">
        <v>35</v>
      </c>
      <c r="D638">
        <v>65</v>
      </c>
      <c r="E638" t="s">
        <v>128</v>
      </c>
      <c r="F638" s="12">
        <v>45407</v>
      </c>
      <c r="G638" t="s">
        <v>876</v>
      </c>
      <c r="H638" s="12">
        <v>45407</v>
      </c>
      <c r="I638" t="s">
        <v>470</v>
      </c>
      <c r="J638" t="s">
        <v>458</v>
      </c>
      <c r="K638">
        <v>2</v>
      </c>
      <c r="L638">
        <v>37.5</v>
      </c>
      <c r="P638" t="s">
        <v>106</v>
      </c>
      <c r="Q638" t="s">
        <v>106</v>
      </c>
      <c r="R638" t="s">
        <v>106</v>
      </c>
      <c r="S638" t="s">
        <v>1814</v>
      </c>
      <c r="T638" t="s">
        <v>1386</v>
      </c>
      <c r="U638" t="s">
        <v>106</v>
      </c>
      <c r="V638" t="s">
        <v>106</v>
      </c>
      <c r="W638" t="s">
        <v>443</v>
      </c>
      <c r="X638" t="s">
        <v>106</v>
      </c>
      <c r="Y638" t="s">
        <v>108</v>
      </c>
      <c r="Z638" t="s">
        <v>108</v>
      </c>
      <c r="AA638" t="s">
        <v>106</v>
      </c>
      <c r="AB638" t="s">
        <v>106</v>
      </c>
    </row>
    <row r="639" spans="1:28" x14ac:dyDescent="0.3">
      <c r="A639" t="s">
        <v>1387</v>
      </c>
      <c r="B639">
        <v>3</v>
      </c>
      <c r="C639">
        <v>35</v>
      </c>
      <c r="D639">
        <v>64</v>
      </c>
      <c r="E639" t="s">
        <v>128</v>
      </c>
      <c r="F639" s="12">
        <v>45407</v>
      </c>
      <c r="G639" t="s">
        <v>876</v>
      </c>
      <c r="H639" s="12">
        <v>45407</v>
      </c>
      <c r="I639" t="s">
        <v>470</v>
      </c>
      <c r="J639" t="s">
        <v>458</v>
      </c>
      <c r="K639">
        <v>1</v>
      </c>
      <c r="L639">
        <v>37.4</v>
      </c>
      <c r="P639" t="s">
        <v>106</v>
      </c>
      <c r="Q639" t="s">
        <v>106</v>
      </c>
      <c r="R639" t="s">
        <v>106</v>
      </c>
      <c r="S639" t="s">
        <v>106</v>
      </c>
      <c r="T639" t="s">
        <v>2095</v>
      </c>
      <c r="U639" t="s">
        <v>106</v>
      </c>
      <c r="V639" t="s">
        <v>106</v>
      </c>
      <c r="W639" t="s">
        <v>443</v>
      </c>
      <c r="X639" t="s">
        <v>106</v>
      </c>
      <c r="Y639" t="s">
        <v>108</v>
      </c>
      <c r="Z639" t="s">
        <v>108</v>
      </c>
      <c r="AA639" t="s">
        <v>106</v>
      </c>
      <c r="AB639" t="s">
        <v>106</v>
      </c>
    </row>
    <row r="640" spans="1:28" x14ac:dyDescent="0.3">
      <c r="A640" t="s">
        <v>1387</v>
      </c>
      <c r="B640">
        <v>3</v>
      </c>
      <c r="C640">
        <v>35</v>
      </c>
      <c r="D640">
        <v>63</v>
      </c>
      <c r="E640" t="s">
        <v>128</v>
      </c>
      <c r="F640" s="12">
        <v>45407</v>
      </c>
      <c r="G640" t="s">
        <v>2340</v>
      </c>
      <c r="H640" s="12">
        <v>45407</v>
      </c>
      <c r="I640" t="s">
        <v>1865</v>
      </c>
      <c r="J640" t="s">
        <v>458</v>
      </c>
      <c r="K640">
        <v>2</v>
      </c>
      <c r="L640">
        <v>38.200000000000003</v>
      </c>
      <c r="P640" t="s">
        <v>106</v>
      </c>
      <c r="Q640" t="s">
        <v>106</v>
      </c>
      <c r="R640" t="s">
        <v>106</v>
      </c>
      <c r="S640" t="s">
        <v>2381</v>
      </c>
      <c r="T640" t="s">
        <v>2095</v>
      </c>
      <c r="U640" t="s">
        <v>1596</v>
      </c>
      <c r="V640" t="s">
        <v>106</v>
      </c>
      <c r="W640" t="s">
        <v>443</v>
      </c>
      <c r="X640" t="s">
        <v>106</v>
      </c>
      <c r="Y640" t="s">
        <v>108</v>
      </c>
      <c r="Z640" t="s">
        <v>108</v>
      </c>
      <c r="AA640" t="s">
        <v>1848</v>
      </c>
      <c r="AB640" t="s">
        <v>106</v>
      </c>
    </row>
    <row r="641" spans="1:28" x14ac:dyDescent="0.3">
      <c r="A641" t="s">
        <v>1387</v>
      </c>
      <c r="B641">
        <v>4</v>
      </c>
      <c r="C641">
        <v>60</v>
      </c>
      <c r="D641">
        <v>60</v>
      </c>
      <c r="E641" t="s">
        <v>128</v>
      </c>
      <c r="F641" s="12">
        <v>45407</v>
      </c>
      <c r="G641" t="s">
        <v>862</v>
      </c>
      <c r="H641" s="12">
        <v>45407</v>
      </c>
      <c r="I641" t="s">
        <v>1865</v>
      </c>
      <c r="J641" t="s">
        <v>458</v>
      </c>
      <c r="K641">
        <v>1</v>
      </c>
      <c r="L641">
        <v>61.1</v>
      </c>
      <c r="P641" t="s">
        <v>106</v>
      </c>
      <c r="Q641" t="s">
        <v>106</v>
      </c>
      <c r="R641" t="s">
        <v>106</v>
      </c>
      <c r="S641" t="s">
        <v>2147</v>
      </c>
      <c r="T641" t="s">
        <v>1458</v>
      </c>
      <c r="U641" t="s">
        <v>391</v>
      </c>
      <c r="V641" t="s">
        <v>106</v>
      </c>
      <c r="W641" t="s">
        <v>443</v>
      </c>
      <c r="X641" t="s">
        <v>106</v>
      </c>
      <c r="Y641" t="s">
        <v>108</v>
      </c>
      <c r="Z641" t="s">
        <v>104</v>
      </c>
      <c r="AA641" t="s">
        <v>1848</v>
      </c>
      <c r="AB641" t="s">
        <v>106</v>
      </c>
    </row>
    <row r="642" spans="1:28" x14ac:dyDescent="0.3">
      <c r="A642" t="s">
        <v>1387</v>
      </c>
      <c r="B642">
        <v>4</v>
      </c>
      <c r="C642">
        <v>60</v>
      </c>
      <c r="D642">
        <v>68</v>
      </c>
      <c r="E642" t="s">
        <v>128</v>
      </c>
      <c r="F642" s="12">
        <v>45407</v>
      </c>
      <c r="G642" t="s">
        <v>2535</v>
      </c>
      <c r="H642" s="12">
        <v>45407</v>
      </c>
      <c r="I642" t="s">
        <v>470</v>
      </c>
      <c r="J642" t="s">
        <v>458</v>
      </c>
      <c r="K642">
        <v>1</v>
      </c>
      <c r="L642">
        <v>59.1</v>
      </c>
      <c r="P642" t="s">
        <v>106</v>
      </c>
      <c r="Q642" t="s">
        <v>106</v>
      </c>
      <c r="R642" t="s">
        <v>106</v>
      </c>
      <c r="S642" t="s">
        <v>106</v>
      </c>
      <c r="T642" t="s">
        <v>1864</v>
      </c>
      <c r="U642" t="s">
        <v>106</v>
      </c>
      <c r="V642" t="s">
        <v>106</v>
      </c>
      <c r="W642" t="s">
        <v>443</v>
      </c>
      <c r="X642" t="s">
        <v>106</v>
      </c>
      <c r="Y642" t="s">
        <v>108</v>
      </c>
      <c r="Z642" t="s">
        <v>104</v>
      </c>
      <c r="AA642" t="s">
        <v>106</v>
      </c>
      <c r="AB642" t="s">
        <v>106</v>
      </c>
    </row>
    <row r="643" spans="1:28" x14ac:dyDescent="0.3">
      <c r="A643" t="s">
        <v>1387</v>
      </c>
      <c r="B643">
        <v>4</v>
      </c>
      <c r="C643">
        <v>60</v>
      </c>
      <c r="D643">
        <v>69</v>
      </c>
      <c r="E643" t="s">
        <v>128</v>
      </c>
      <c r="F643" s="12">
        <v>45407</v>
      </c>
      <c r="G643" t="s">
        <v>488</v>
      </c>
      <c r="H643" s="12">
        <v>45407</v>
      </c>
      <c r="I643" t="s">
        <v>470</v>
      </c>
      <c r="J643" t="s">
        <v>458</v>
      </c>
      <c r="K643">
        <v>1</v>
      </c>
      <c r="L643">
        <v>62.3</v>
      </c>
      <c r="P643" t="s">
        <v>106</v>
      </c>
      <c r="Q643" t="s">
        <v>106</v>
      </c>
      <c r="R643" t="s">
        <v>106</v>
      </c>
      <c r="S643" t="s">
        <v>2242</v>
      </c>
      <c r="T643" t="s">
        <v>1495</v>
      </c>
      <c r="U643" t="s">
        <v>106</v>
      </c>
      <c r="V643" t="s">
        <v>106</v>
      </c>
      <c r="W643" t="s">
        <v>443</v>
      </c>
      <c r="X643" t="s">
        <v>106</v>
      </c>
      <c r="Y643" t="s">
        <v>108</v>
      </c>
      <c r="Z643" t="s">
        <v>104</v>
      </c>
      <c r="AA643" t="s">
        <v>106</v>
      </c>
      <c r="AB643" t="s">
        <v>106</v>
      </c>
    </row>
    <row r="644" spans="1:28" x14ac:dyDescent="0.3">
      <c r="A644" t="s">
        <v>1387</v>
      </c>
      <c r="B644">
        <v>4</v>
      </c>
      <c r="C644">
        <v>60</v>
      </c>
      <c r="D644">
        <v>61</v>
      </c>
      <c r="E644" t="s">
        <v>128</v>
      </c>
      <c r="F644" s="12">
        <v>45407</v>
      </c>
      <c r="G644" t="s">
        <v>861</v>
      </c>
      <c r="H644" s="12">
        <v>45407</v>
      </c>
      <c r="I644" t="s">
        <v>1865</v>
      </c>
      <c r="J644" t="s">
        <v>458</v>
      </c>
      <c r="K644">
        <v>2</v>
      </c>
      <c r="L644">
        <v>61.1</v>
      </c>
      <c r="P644" t="s">
        <v>106</v>
      </c>
      <c r="Q644" t="s">
        <v>106</v>
      </c>
      <c r="R644" t="s">
        <v>106</v>
      </c>
      <c r="S644" t="s">
        <v>2242</v>
      </c>
      <c r="T644" t="s">
        <v>1458</v>
      </c>
      <c r="U644" t="s">
        <v>1468</v>
      </c>
      <c r="V644" t="s">
        <v>106</v>
      </c>
      <c r="W644" t="s">
        <v>443</v>
      </c>
      <c r="X644" t="s">
        <v>106</v>
      </c>
      <c r="Y644" t="s">
        <v>108</v>
      </c>
      <c r="Z644" t="s">
        <v>104</v>
      </c>
      <c r="AA644" t="s">
        <v>1848</v>
      </c>
      <c r="AB644" t="s">
        <v>106</v>
      </c>
    </row>
    <row r="645" spans="1:28" x14ac:dyDescent="0.3">
      <c r="A645" t="s">
        <v>1395</v>
      </c>
      <c r="B645">
        <v>1</v>
      </c>
      <c r="C645">
        <v>0</v>
      </c>
      <c r="D645">
        <v>9</v>
      </c>
      <c r="E645" t="s">
        <v>110</v>
      </c>
      <c r="F645" s="12">
        <v>45425</v>
      </c>
      <c r="G645" t="s">
        <v>1396</v>
      </c>
      <c r="H645" s="12">
        <v>45425</v>
      </c>
      <c r="I645" t="s">
        <v>1397</v>
      </c>
      <c r="J645" t="s">
        <v>1398</v>
      </c>
      <c r="L645">
        <v>0</v>
      </c>
      <c r="P645" t="s">
        <v>106</v>
      </c>
      <c r="Q645" t="s">
        <v>106</v>
      </c>
      <c r="R645" t="s">
        <v>106</v>
      </c>
      <c r="S645" t="s">
        <v>1399</v>
      </c>
      <c r="T645" t="s">
        <v>1400</v>
      </c>
      <c r="U645" t="s">
        <v>106</v>
      </c>
      <c r="V645" t="s">
        <v>106</v>
      </c>
      <c r="W645" t="s">
        <v>443</v>
      </c>
      <c r="X645" t="s">
        <v>106</v>
      </c>
      <c r="Y645" t="s">
        <v>108</v>
      </c>
      <c r="Z645" t="s">
        <v>104</v>
      </c>
      <c r="AA645" t="s">
        <v>1316</v>
      </c>
      <c r="AB645" t="s">
        <v>106</v>
      </c>
    </row>
    <row r="646" spans="1:28" x14ac:dyDescent="0.3">
      <c r="A646" t="s">
        <v>1395</v>
      </c>
      <c r="B646">
        <v>2</v>
      </c>
      <c r="C646">
        <v>15</v>
      </c>
      <c r="D646">
        <v>11</v>
      </c>
      <c r="E646" t="s">
        <v>110</v>
      </c>
      <c r="F646" s="12">
        <v>45425</v>
      </c>
      <c r="G646" t="s">
        <v>1870</v>
      </c>
      <c r="H646" s="12">
        <v>45425</v>
      </c>
      <c r="I646" t="s">
        <v>1397</v>
      </c>
      <c r="J646" t="s">
        <v>1398</v>
      </c>
      <c r="L646">
        <v>16.899999999999999</v>
      </c>
      <c r="P646" t="s">
        <v>106</v>
      </c>
      <c r="Q646" t="s">
        <v>106</v>
      </c>
      <c r="R646" t="s">
        <v>106</v>
      </c>
      <c r="S646" t="s">
        <v>106</v>
      </c>
      <c r="T646" t="s">
        <v>1377</v>
      </c>
      <c r="U646" t="s">
        <v>106</v>
      </c>
      <c r="V646" t="s">
        <v>106</v>
      </c>
      <c r="W646" t="s">
        <v>443</v>
      </c>
      <c r="X646" t="s">
        <v>106</v>
      </c>
      <c r="Y646" t="s">
        <v>108</v>
      </c>
      <c r="Z646" t="s">
        <v>109</v>
      </c>
      <c r="AA646" t="s">
        <v>1871</v>
      </c>
      <c r="AB646" t="s">
        <v>106</v>
      </c>
    </row>
    <row r="647" spans="1:28" x14ac:dyDescent="0.3">
      <c r="A647" t="s">
        <v>1395</v>
      </c>
      <c r="B647">
        <v>2</v>
      </c>
      <c r="C647">
        <v>15</v>
      </c>
      <c r="D647">
        <v>5</v>
      </c>
      <c r="E647" t="s">
        <v>110</v>
      </c>
      <c r="F647" s="12">
        <v>45425</v>
      </c>
      <c r="G647" t="s">
        <v>1872</v>
      </c>
      <c r="H647" s="12">
        <v>45425</v>
      </c>
      <c r="I647" t="s">
        <v>1397</v>
      </c>
      <c r="J647" t="s">
        <v>1398</v>
      </c>
      <c r="L647">
        <v>17.600000000000001</v>
      </c>
      <c r="P647" t="s">
        <v>106</v>
      </c>
      <c r="Q647" t="s">
        <v>106</v>
      </c>
      <c r="R647" t="s">
        <v>106</v>
      </c>
      <c r="S647" t="s">
        <v>1873</v>
      </c>
      <c r="T647" t="s">
        <v>1874</v>
      </c>
      <c r="U647" t="s">
        <v>106</v>
      </c>
      <c r="V647" t="s">
        <v>106</v>
      </c>
      <c r="W647" t="s">
        <v>443</v>
      </c>
      <c r="X647" t="s">
        <v>106</v>
      </c>
      <c r="Y647" t="s">
        <v>108</v>
      </c>
      <c r="Z647" t="s">
        <v>109</v>
      </c>
      <c r="AA647" t="s">
        <v>1871</v>
      </c>
      <c r="AB647" t="s">
        <v>106</v>
      </c>
    </row>
    <row r="648" spans="1:28" x14ac:dyDescent="0.3">
      <c r="A648" t="s">
        <v>1395</v>
      </c>
      <c r="B648">
        <v>2</v>
      </c>
      <c r="C648">
        <v>15</v>
      </c>
      <c r="D648">
        <v>6</v>
      </c>
      <c r="E648" t="s">
        <v>110</v>
      </c>
      <c r="F648" s="12">
        <v>45425</v>
      </c>
      <c r="G648" t="s">
        <v>1875</v>
      </c>
      <c r="H648" s="12">
        <v>45425</v>
      </c>
      <c r="I648" t="s">
        <v>1397</v>
      </c>
      <c r="J648" t="s">
        <v>1398</v>
      </c>
      <c r="L648">
        <v>17.5</v>
      </c>
      <c r="P648" t="s">
        <v>106</v>
      </c>
      <c r="Q648" t="s">
        <v>106</v>
      </c>
      <c r="R648" t="s">
        <v>106</v>
      </c>
      <c r="S648" t="s">
        <v>1490</v>
      </c>
      <c r="T648" t="s">
        <v>1876</v>
      </c>
      <c r="U648" t="s">
        <v>106</v>
      </c>
      <c r="V648" t="s">
        <v>106</v>
      </c>
      <c r="W648" t="s">
        <v>443</v>
      </c>
      <c r="X648" t="s">
        <v>106</v>
      </c>
      <c r="Y648" t="s">
        <v>108</v>
      </c>
      <c r="Z648" t="s">
        <v>109</v>
      </c>
      <c r="AA648" t="s">
        <v>1871</v>
      </c>
      <c r="AB648" t="s">
        <v>106</v>
      </c>
    </row>
    <row r="649" spans="1:28" x14ac:dyDescent="0.3">
      <c r="A649" t="s">
        <v>1395</v>
      </c>
      <c r="B649">
        <v>3</v>
      </c>
      <c r="C649">
        <v>35</v>
      </c>
      <c r="D649">
        <v>1</v>
      </c>
      <c r="E649" t="s">
        <v>110</v>
      </c>
      <c r="F649" s="12">
        <v>45425</v>
      </c>
      <c r="G649" t="s">
        <v>1339</v>
      </c>
      <c r="H649" s="12">
        <v>45425</v>
      </c>
      <c r="I649" t="s">
        <v>1397</v>
      </c>
      <c r="J649" t="s">
        <v>1398</v>
      </c>
      <c r="L649">
        <v>38.1</v>
      </c>
      <c r="P649" t="s">
        <v>106</v>
      </c>
      <c r="Q649" t="s">
        <v>106</v>
      </c>
      <c r="R649" t="s">
        <v>106</v>
      </c>
      <c r="S649" t="s">
        <v>1355</v>
      </c>
      <c r="T649" t="s">
        <v>1825</v>
      </c>
      <c r="U649" t="s">
        <v>106</v>
      </c>
      <c r="V649" t="s">
        <v>106</v>
      </c>
      <c r="W649" t="s">
        <v>443</v>
      </c>
      <c r="X649" t="s">
        <v>106</v>
      </c>
      <c r="Y649" t="s">
        <v>108</v>
      </c>
      <c r="Z649" t="s">
        <v>108</v>
      </c>
      <c r="AA649" t="s">
        <v>1871</v>
      </c>
      <c r="AB649" t="s">
        <v>106</v>
      </c>
    </row>
    <row r="650" spans="1:28" x14ac:dyDescent="0.3">
      <c r="A650" t="s">
        <v>1395</v>
      </c>
      <c r="B650">
        <v>3</v>
      </c>
      <c r="C650">
        <v>35</v>
      </c>
      <c r="D650">
        <v>12</v>
      </c>
      <c r="E650" t="s">
        <v>110</v>
      </c>
      <c r="F650" s="12">
        <v>45425</v>
      </c>
      <c r="G650" t="s">
        <v>2382</v>
      </c>
      <c r="H650" s="12">
        <v>45425</v>
      </c>
      <c r="I650" t="s">
        <v>1397</v>
      </c>
      <c r="J650" t="s">
        <v>1398</v>
      </c>
      <c r="L650">
        <v>38.6</v>
      </c>
      <c r="P650" t="s">
        <v>106</v>
      </c>
      <c r="Q650" t="s">
        <v>106</v>
      </c>
      <c r="R650" t="s">
        <v>106</v>
      </c>
      <c r="S650" t="s">
        <v>106</v>
      </c>
      <c r="T650" t="s">
        <v>809</v>
      </c>
      <c r="U650" t="s">
        <v>106</v>
      </c>
      <c r="V650" t="s">
        <v>106</v>
      </c>
      <c r="W650" t="s">
        <v>443</v>
      </c>
      <c r="X650" t="s">
        <v>106</v>
      </c>
      <c r="Y650" t="s">
        <v>108</v>
      </c>
      <c r="Z650" t="s">
        <v>109</v>
      </c>
      <c r="AA650" t="s">
        <v>1871</v>
      </c>
      <c r="AB650" t="s">
        <v>106</v>
      </c>
    </row>
    <row r="651" spans="1:28" x14ac:dyDescent="0.3">
      <c r="A651" t="s">
        <v>1395</v>
      </c>
      <c r="B651">
        <v>3</v>
      </c>
      <c r="C651">
        <v>35</v>
      </c>
      <c r="D651">
        <v>2</v>
      </c>
      <c r="E651" t="s">
        <v>110</v>
      </c>
      <c r="F651" s="12">
        <v>45425</v>
      </c>
      <c r="G651" t="s">
        <v>1339</v>
      </c>
      <c r="H651" s="12">
        <v>45425</v>
      </c>
      <c r="I651" t="s">
        <v>1397</v>
      </c>
      <c r="J651" t="s">
        <v>1398</v>
      </c>
      <c r="L651">
        <v>38.6</v>
      </c>
      <c r="P651" t="s">
        <v>106</v>
      </c>
      <c r="Q651" t="s">
        <v>106</v>
      </c>
      <c r="R651" t="s">
        <v>106</v>
      </c>
      <c r="S651" t="s">
        <v>1570</v>
      </c>
      <c r="T651" t="s">
        <v>1793</v>
      </c>
      <c r="U651" t="s">
        <v>106</v>
      </c>
      <c r="V651" t="s">
        <v>106</v>
      </c>
      <c r="W651" t="s">
        <v>443</v>
      </c>
      <c r="X651" t="s">
        <v>106</v>
      </c>
      <c r="Y651" t="s">
        <v>108</v>
      </c>
      <c r="Z651" t="s">
        <v>108</v>
      </c>
      <c r="AA651" t="s">
        <v>1871</v>
      </c>
      <c r="AB651" t="s">
        <v>106</v>
      </c>
    </row>
    <row r="652" spans="1:28" x14ac:dyDescent="0.3">
      <c r="A652" t="s">
        <v>1395</v>
      </c>
      <c r="B652">
        <v>3</v>
      </c>
      <c r="C652">
        <v>35</v>
      </c>
      <c r="D652">
        <v>3</v>
      </c>
      <c r="E652" t="s">
        <v>110</v>
      </c>
      <c r="F652" s="12">
        <v>45425</v>
      </c>
      <c r="G652" t="s">
        <v>2198</v>
      </c>
      <c r="H652" s="12">
        <v>45425</v>
      </c>
      <c r="I652" t="s">
        <v>1397</v>
      </c>
      <c r="J652" t="s">
        <v>1398</v>
      </c>
      <c r="L652">
        <v>39.9</v>
      </c>
      <c r="P652" t="s">
        <v>106</v>
      </c>
      <c r="Q652" t="s">
        <v>106</v>
      </c>
      <c r="R652" t="s">
        <v>106</v>
      </c>
      <c r="S652" t="s">
        <v>1717</v>
      </c>
      <c r="T652" t="s">
        <v>1485</v>
      </c>
      <c r="U652" t="s">
        <v>106</v>
      </c>
      <c r="V652" t="s">
        <v>106</v>
      </c>
      <c r="W652" t="s">
        <v>443</v>
      </c>
      <c r="X652" t="s">
        <v>106</v>
      </c>
      <c r="Y652" t="s">
        <v>108</v>
      </c>
      <c r="Z652" t="s">
        <v>108</v>
      </c>
      <c r="AA652" t="s">
        <v>1871</v>
      </c>
      <c r="AB652" t="s">
        <v>106</v>
      </c>
    </row>
    <row r="653" spans="1:28" x14ac:dyDescent="0.3">
      <c r="A653" t="s">
        <v>1395</v>
      </c>
      <c r="B653">
        <v>3</v>
      </c>
      <c r="C653">
        <v>35</v>
      </c>
      <c r="D653">
        <v>4</v>
      </c>
      <c r="E653" t="s">
        <v>110</v>
      </c>
      <c r="F653" s="12">
        <v>45425</v>
      </c>
      <c r="G653" t="s">
        <v>1905</v>
      </c>
      <c r="H653" s="12">
        <v>45425</v>
      </c>
      <c r="I653" t="s">
        <v>1397</v>
      </c>
      <c r="J653" t="s">
        <v>1398</v>
      </c>
      <c r="L653">
        <v>38.5</v>
      </c>
      <c r="P653" t="s">
        <v>106</v>
      </c>
      <c r="Q653" t="s">
        <v>106</v>
      </c>
      <c r="R653" t="s">
        <v>106</v>
      </c>
      <c r="S653" t="s">
        <v>2179</v>
      </c>
      <c r="T653" t="s">
        <v>1379</v>
      </c>
      <c r="U653" t="s">
        <v>106</v>
      </c>
      <c r="V653" t="s">
        <v>106</v>
      </c>
      <c r="W653" t="s">
        <v>443</v>
      </c>
      <c r="X653" t="s">
        <v>106</v>
      </c>
      <c r="Y653" t="s">
        <v>108</v>
      </c>
      <c r="Z653" t="s">
        <v>108</v>
      </c>
      <c r="AA653" t="s">
        <v>1871</v>
      </c>
      <c r="AB653" t="s">
        <v>106</v>
      </c>
    </row>
    <row r="654" spans="1:28" x14ac:dyDescent="0.3">
      <c r="A654" t="s">
        <v>1395</v>
      </c>
      <c r="B654">
        <v>4</v>
      </c>
      <c r="C654">
        <v>60</v>
      </c>
      <c r="D654">
        <v>7</v>
      </c>
      <c r="E654" t="s">
        <v>110</v>
      </c>
      <c r="F654" s="12">
        <v>45425</v>
      </c>
      <c r="G654" t="s">
        <v>2669</v>
      </c>
      <c r="H654" s="12">
        <v>45425</v>
      </c>
      <c r="I654" t="s">
        <v>1397</v>
      </c>
      <c r="J654" t="s">
        <v>1398</v>
      </c>
      <c r="L654">
        <v>62.1</v>
      </c>
      <c r="P654" t="s">
        <v>106</v>
      </c>
      <c r="Q654" t="s">
        <v>106</v>
      </c>
      <c r="R654" t="s">
        <v>106</v>
      </c>
      <c r="S654" t="s">
        <v>2356</v>
      </c>
      <c r="T654" t="s">
        <v>937</v>
      </c>
      <c r="U654" t="s">
        <v>106</v>
      </c>
      <c r="V654" t="s">
        <v>106</v>
      </c>
      <c r="W654" t="s">
        <v>443</v>
      </c>
      <c r="X654" t="s">
        <v>106</v>
      </c>
      <c r="Y654" t="s">
        <v>108</v>
      </c>
      <c r="Z654" t="s">
        <v>104</v>
      </c>
      <c r="AA654" t="s">
        <v>1871</v>
      </c>
      <c r="AB654" t="s">
        <v>106</v>
      </c>
    </row>
    <row r="655" spans="1:28" x14ac:dyDescent="0.3">
      <c r="A655" t="s">
        <v>1395</v>
      </c>
      <c r="B655">
        <v>4</v>
      </c>
      <c r="C655">
        <v>60</v>
      </c>
      <c r="D655">
        <v>8</v>
      </c>
      <c r="E655" t="s">
        <v>110</v>
      </c>
      <c r="F655" s="12">
        <v>45425</v>
      </c>
      <c r="G655" t="s">
        <v>2669</v>
      </c>
      <c r="H655" s="12">
        <v>45425</v>
      </c>
      <c r="I655" t="s">
        <v>1397</v>
      </c>
      <c r="J655" t="s">
        <v>1398</v>
      </c>
      <c r="L655">
        <v>63.2</v>
      </c>
      <c r="P655" t="s">
        <v>106</v>
      </c>
      <c r="Q655" t="s">
        <v>106</v>
      </c>
      <c r="R655" t="s">
        <v>106</v>
      </c>
      <c r="S655" t="s">
        <v>1570</v>
      </c>
      <c r="T655" t="s">
        <v>1074</v>
      </c>
      <c r="U655" t="s">
        <v>106</v>
      </c>
      <c r="V655" t="s">
        <v>106</v>
      </c>
      <c r="W655" t="s">
        <v>443</v>
      </c>
      <c r="X655" t="s">
        <v>106</v>
      </c>
      <c r="Y655" t="s">
        <v>108</v>
      </c>
      <c r="Z655" t="s">
        <v>104</v>
      </c>
      <c r="AA655" t="s">
        <v>1871</v>
      </c>
      <c r="AB655" t="s">
        <v>106</v>
      </c>
    </row>
    <row r="656" spans="1:28" x14ac:dyDescent="0.3">
      <c r="A656" t="s">
        <v>1395</v>
      </c>
      <c r="B656">
        <v>4</v>
      </c>
      <c r="C656">
        <v>60</v>
      </c>
      <c r="D656">
        <v>10</v>
      </c>
      <c r="E656" t="s">
        <v>308</v>
      </c>
      <c r="F656" s="12">
        <v>45425</v>
      </c>
      <c r="G656" t="s">
        <v>2568</v>
      </c>
      <c r="H656" s="12">
        <v>45425</v>
      </c>
      <c r="I656" t="s">
        <v>1397</v>
      </c>
      <c r="J656" t="s">
        <v>1398</v>
      </c>
      <c r="L656">
        <v>64.7</v>
      </c>
      <c r="P656" t="s">
        <v>106</v>
      </c>
      <c r="Q656" t="s">
        <v>106</v>
      </c>
      <c r="R656" t="s">
        <v>106</v>
      </c>
      <c r="S656" t="s">
        <v>106</v>
      </c>
      <c r="T656" t="s">
        <v>1712</v>
      </c>
      <c r="U656" t="s">
        <v>106</v>
      </c>
      <c r="V656" t="s">
        <v>106</v>
      </c>
      <c r="W656" t="s">
        <v>443</v>
      </c>
      <c r="X656" t="s">
        <v>106</v>
      </c>
      <c r="Y656" t="s">
        <v>108</v>
      </c>
      <c r="Z656" t="s">
        <v>104</v>
      </c>
      <c r="AA656" t="s">
        <v>1871</v>
      </c>
      <c r="AB656" t="s">
        <v>106</v>
      </c>
    </row>
    <row r="657" spans="1:28" x14ac:dyDescent="0.3">
      <c r="A657" t="s">
        <v>1395</v>
      </c>
      <c r="B657">
        <v>1</v>
      </c>
      <c r="C657">
        <v>0</v>
      </c>
      <c r="D657">
        <v>20</v>
      </c>
      <c r="E657" t="s">
        <v>128</v>
      </c>
      <c r="F657" s="12">
        <v>45426</v>
      </c>
      <c r="G657" t="s">
        <v>1401</v>
      </c>
      <c r="H657" s="12">
        <v>45426</v>
      </c>
      <c r="I657" t="s">
        <v>1402</v>
      </c>
      <c r="J657" t="s">
        <v>477</v>
      </c>
      <c r="K657">
        <v>2</v>
      </c>
      <c r="L657">
        <v>0</v>
      </c>
      <c r="P657" t="s">
        <v>106</v>
      </c>
      <c r="Q657" t="s">
        <v>106</v>
      </c>
      <c r="R657" t="s">
        <v>106</v>
      </c>
      <c r="S657" t="s">
        <v>106</v>
      </c>
      <c r="T657" t="s">
        <v>975</v>
      </c>
      <c r="U657" t="s">
        <v>106</v>
      </c>
      <c r="V657" t="s">
        <v>106</v>
      </c>
      <c r="W657" t="s">
        <v>373</v>
      </c>
      <c r="X657" t="s">
        <v>106</v>
      </c>
      <c r="Y657" t="s">
        <v>108</v>
      </c>
      <c r="Z657" t="s">
        <v>105</v>
      </c>
      <c r="AA657" t="s">
        <v>1316</v>
      </c>
      <c r="AB657" t="s">
        <v>106</v>
      </c>
    </row>
    <row r="658" spans="1:28" x14ac:dyDescent="0.3">
      <c r="A658" t="s">
        <v>1395</v>
      </c>
      <c r="B658">
        <v>1</v>
      </c>
      <c r="C658">
        <v>0</v>
      </c>
      <c r="D658">
        <v>19</v>
      </c>
      <c r="E658" t="s">
        <v>128</v>
      </c>
      <c r="F658" s="12">
        <v>45426</v>
      </c>
      <c r="G658" t="s">
        <v>375</v>
      </c>
      <c r="H658" s="12">
        <v>45426</v>
      </c>
      <c r="I658" t="s">
        <v>1402</v>
      </c>
      <c r="J658" t="s">
        <v>477</v>
      </c>
      <c r="K658">
        <v>1</v>
      </c>
      <c r="L658">
        <v>0</v>
      </c>
      <c r="P658" t="s">
        <v>106</v>
      </c>
      <c r="Q658" t="s">
        <v>106</v>
      </c>
      <c r="R658" t="s">
        <v>106</v>
      </c>
      <c r="S658" t="s">
        <v>106</v>
      </c>
      <c r="T658" t="s">
        <v>1403</v>
      </c>
      <c r="U658" t="s">
        <v>106</v>
      </c>
      <c r="V658" t="s">
        <v>106</v>
      </c>
      <c r="W658" t="s">
        <v>373</v>
      </c>
      <c r="X658" t="s">
        <v>106</v>
      </c>
      <c r="Y658" t="s">
        <v>108</v>
      </c>
      <c r="Z658" t="s">
        <v>105</v>
      </c>
      <c r="AA658" t="s">
        <v>1316</v>
      </c>
      <c r="AB658" t="s">
        <v>106</v>
      </c>
    </row>
    <row r="659" spans="1:28" x14ac:dyDescent="0.3">
      <c r="A659" t="s">
        <v>1395</v>
      </c>
      <c r="B659">
        <v>2</v>
      </c>
      <c r="C659">
        <v>15</v>
      </c>
      <c r="D659">
        <v>21</v>
      </c>
      <c r="E659" t="s">
        <v>308</v>
      </c>
      <c r="F659" s="12">
        <v>45426</v>
      </c>
      <c r="G659" t="s">
        <v>475</v>
      </c>
      <c r="H659" s="12" t="s">
        <v>106</v>
      </c>
      <c r="I659" t="s">
        <v>106</v>
      </c>
      <c r="J659" t="s">
        <v>106</v>
      </c>
      <c r="L659">
        <v>15.2</v>
      </c>
      <c r="P659" t="s">
        <v>106</v>
      </c>
      <c r="Q659" t="s">
        <v>106</v>
      </c>
      <c r="R659" t="s">
        <v>106</v>
      </c>
      <c r="S659" t="s">
        <v>1135</v>
      </c>
      <c r="T659" t="s">
        <v>1817</v>
      </c>
      <c r="U659" t="s">
        <v>106</v>
      </c>
      <c r="V659" t="s">
        <v>106</v>
      </c>
      <c r="W659" t="s">
        <v>373</v>
      </c>
      <c r="X659" t="s">
        <v>106</v>
      </c>
      <c r="Y659" t="s">
        <v>108</v>
      </c>
      <c r="Z659" t="s">
        <v>109</v>
      </c>
      <c r="AA659" t="s">
        <v>1871</v>
      </c>
      <c r="AB659" t="s">
        <v>1877</v>
      </c>
    </row>
    <row r="660" spans="1:28" x14ac:dyDescent="0.3">
      <c r="A660" t="s">
        <v>1395</v>
      </c>
      <c r="B660">
        <v>2</v>
      </c>
      <c r="C660">
        <v>15</v>
      </c>
      <c r="D660">
        <v>14</v>
      </c>
      <c r="E660" t="s">
        <v>128</v>
      </c>
      <c r="F660" s="12">
        <v>45426</v>
      </c>
      <c r="G660" t="s">
        <v>389</v>
      </c>
      <c r="H660" s="12">
        <v>45426</v>
      </c>
      <c r="I660" t="s">
        <v>1402</v>
      </c>
      <c r="J660" t="s">
        <v>477</v>
      </c>
      <c r="K660">
        <v>2</v>
      </c>
      <c r="L660">
        <v>16.5</v>
      </c>
      <c r="P660" t="s">
        <v>106</v>
      </c>
      <c r="Q660" t="s">
        <v>106</v>
      </c>
      <c r="R660" t="s">
        <v>106</v>
      </c>
      <c r="S660" t="s">
        <v>106</v>
      </c>
      <c r="T660" t="s">
        <v>1041</v>
      </c>
      <c r="U660" t="s">
        <v>429</v>
      </c>
      <c r="V660" t="s">
        <v>106</v>
      </c>
      <c r="W660" t="s">
        <v>1321</v>
      </c>
      <c r="X660" t="s">
        <v>106</v>
      </c>
      <c r="Y660" t="s">
        <v>108</v>
      </c>
      <c r="Z660" t="s">
        <v>109</v>
      </c>
      <c r="AA660" t="s">
        <v>1871</v>
      </c>
      <c r="AB660" t="s">
        <v>1878</v>
      </c>
    </row>
    <row r="661" spans="1:28" x14ac:dyDescent="0.3">
      <c r="A661" t="s">
        <v>1395</v>
      </c>
      <c r="B661">
        <v>2</v>
      </c>
      <c r="C661">
        <v>15</v>
      </c>
      <c r="D661">
        <v>13</v>
      </c>
      <c r="E661" t="s">
        <v>128</v>
      </c>
      <c r="F661" s="12">
        <v>45426</v>
      </c>
      <c r="G661" t="s">
        <v>731</v>
      </c>
      <c r="H661" s="12">
        <v>45426</v>
      </c>
      <c r="I661" t="s">
        <v>1402</v>
      </c>
      <c r="J661" t="s">
        <v>477</v>
      </c>
      <c r="K661">
        <v>1</v>
      </c>
      <c r="L661">
        <v>16.8</v>
      </c>
      <c r="P661" t="s">
        <v>106</v>
      </c>
      <c r="Q661" t="s">
        <v>106</v>
      </c>
      <c r="R661" t="s">
        <v>106</v>
      </c>
      <c r="S661" t="s">
        <v>1204</v>
      </c>
      <c r="T661" t="s">
        <v>1832</v>
      </c>
      <c r="U661" t="s">
        <v>1418</v>
      </c>
      <c r="V661" t="s">
        <v>106</v>
      </c>
      <c r="W661" t="s">
        <v>1321</v>
      </c>
      <c r="X661" t="s">
        <v>106</v>
      </c>
      <c r="Y661" t="s">
        <v>108</v>
      </c>
      <c r="Z661" t="s">
        <v>109</v>
      </c>
      <c r="AA661" t="s">
        <v>1871</v>
      </c>
      <c r="AB661" t="s">
        <v>715</v>
      </c>
    </row>
    <row r="662" spans="1:28" x14ac:dyDescent="0.3">
      <c r="A662" t="s">
        <v>1395</v>
      </c>
      <c r="B662">
        <v>3</v>
      </c>
      <c r="C662">
        <v>35</v>
      </c>
      <c r="D662">
        <v>22</v>
      </c>
      <c r="E662" t="s">
        <v>308</v>
      </c>
      <c r="F662" s="12">
        <v>45426</v>
      </c>
      <c r="G662" t="s">
        <v>475</v>
      </c>
      <c r="H662" s="12" t="s">
        <v>106</v>
      </c>
      <c r="I662" t="s">
        <v>106</v>
      </c>
      <c r="J662" t="s">
        <v>106</v>
      </c>
      <c r="L662">
        <v>37.6</v>
      </c>
      <c r="P662" t="s">
        <v>106</v>
      </c>
      <c r="Q662" t="s">
        <v>106</v>
      </c>
      <c r="R662" t="s">
        <v>106</v>
      </c>
      <c r="S662" t="s">
        <v>1777</v>
      </c>
      <c r="T662" t="s">
        <v>723</v>
      </c>
      <c r="U662" t="s">
        <v>106</v>
      </c>
      <c r="V662" t="s">
        <v>106</v>
      </c>
      <c r="W662" t="s">
        <v>373</v>
      </c>
      <c r="X662" t="s">
        <v>106</v>
      </c>
      <c r="Y662" t="s">
        <v>108</v>
      </c>
      <c r="Z662" t="s">
        <v>108</v>
      </c>
      <c r="AA662" t="s">
        <v>1871</v>
      </c>
      <c r="AB662" t="s">
        <v>2383</v>
      </c>
    </row>
    <row r="663" spans="1:28" x14ac:dyDescent="0.3">
      <c r="A663" t="s">
        <v>1395</v>
      </c>
      <c r="B663">
        <v>3</v>
      </c>
      <c r="C663">
        <v>35</v>
      </c>
      <c r="D663">
        <v>16</v>
      </c>
      <c r="E663" t="s">
        <v>128</v>
      </c>
      <c r="F663" s="12">
        <v>45426</v>
      </c>
      <c r="G663" t="s">
        <v>2384</v>
      </c>
      <c r="H663" s="12">
        <v>45426</v>
      </c>
      <c r="I663" t="s">
        <v>1402</v>
      </c>
      <c r="J663" t="s">
        <v>477</v>
      </c>
      <c r="K663">
        <v>2</v>
      </c>
      <c r="L663">
        <v>36.799999999999997</v>
      </c>
      <c r="P663" t="s">
        <v>106</v>
      </c>
      <c r="Q663" t="s">
        <v>106</v>
      </c>
      <c r="R663" t="s">
        <v>106</v>
      </c>
      <c r="S663" t="s">
        <v>106</v>
      </c>
      <c r="T663" t="s">
        <v>1084</v>
      </c>
      <c r="U663" t="s">
        <v>1477</v>
      </c>
      <c r="V663" t="s">
        <v>106</v>
      </c>
      <c r="W663" t="s">
        <v>373</v>
      </c>
      <c r="X663" t="s">
        <v>106</v>
      </c>
      <c r="Y663" t="s">
        <v>108</v>
      </c>
      <c r="Z663" t="s">
        <v>108</v>
      </c>
      <c r="AA663" t="s">
        <v>1871</v>
      </c>
      <c r="AB663" t="s">
        <v>2385</v>
      </c>
    </row>
    <row r="664" spans="1:28" x14ac:dyDescent="0.3">
      <c r="A664" t="s">
        <v>1395</v>
      </c>
      <c r="B664">
        <v>3</v>
      </c>
      <c r="C664">
        <v>35</v>
      </c>
      <c r="D664">
        <v>15</v>
      </c>
      <c r="E664" t="s">
        <v>128</v>
      </c>
      <c r="F664" s="12">
        <v>45426</v>
      </c>
      <c r="G664" t="s">
        <v>2384</v>
      </c>
      <c r="H664" s="12">
        <v>45426</v>
      </c>
      <c r="I664" t="s">
        <v>1402</v>
      </c>
      <c r="J664" t="s">
        <v>477</v>
      </c>
      <c r="K664">
        <v>1</v>
      </c>
      <c r="L664">
        <v>38.200000000000003</v>
      </c>
      <c r="P664" t="s">
        <v>106</v>
      </c>
      <c r="Q664" t="s">
        <v>106</v>
      </c>
      <c r="R664" t="s">
        <v>106</v>
      </c>
      <c r="S664" t="s">
        <v>1753</v>
      </c>
      <c r="T664" t="s">
        <v>1796</v>
      </c>
      <c r="U664" t="s">
        <v>1615</v>
      </c>
      <c r="V664" t="s">
        <v>106</v>
      </c>
      <c r="W664" t="s">
        <v>373</v>
      </c>
      <c r="X664" t="s">
        <v>106</v>
      </c>
      <c r="Y664" t="s">
        <v>108</v>
      </c>
      <c r="Z664" t="s">
        <v>108</v>
      </c>
      <c r="AA664" t="s">
        <v>1871</v>
      </c>
      <c r="AB664" t="s">
        <v>2386</v>
      </c>
    </row>
    <row r="665" spans="1:28" x14ac:dyDescent="0.3">
      <c r="A665" t="s">
        <v>1395</v>
      </c>
      <c r="B665">
        <v>4</v>
      </c>
      <c r="C665">
        <v>60</v>
      </c>
      <c r="D665">
        <v>23</v>
      </c>
      <c r="E665" t="s">
        <v>308</v>
      </c>
      <c r="F665" s="12">
        <v>45426</v>
      </c>
      <c r="G665" t="s">
        <v>1337</v>
      </c>
      <c r="H665" s="12" t="s">
        <v>106</v>
      </c>
      <c r="I665" t="s">
        <v>106</v>
      </c>
      <c r="J665" t="s">
        <v>106</v>
      </c>
      <c r="L665">
        <v>61.5</v>
      </c>
      <c r="P665" t="s">
        <v>106</v>
      </c>
      <c r="Q665" t="s">
        <v>106</v>
      </c>
      <c r="R665" t="s">
        <v>106</v>
      </c>
      <c r="S665" t="s">
        <v>1795</v>
      </c>
      <c r="T665" t="s">
        <v>2670</v>
      </c>
      <c r="U665" t="s">
        <v>106</v>
      </c>
      <c r="V665" t="s">
        <v>106</v>
      </c>
      <c r="W665" t="s">
        <v>373</v>
      </c>
      <c r="X665" t="s">
        <v>106</v>
      </c>
      <c r="Y665" t="s">
        <v>108</v>
      </c>
      <c r="Z665" t="s">
        <v>104</v>
      </c>
      <c r="AA665" t="s">
        <v>1871</v>
      </c>
      <c r="AB665" t="s">
        <v>1922</v>
      </c>
    </row>
    <row r="666" spans="1:28" x14ac:dyDescent="0.3">
      <c r="A666" t="s">
        <v>1395</v>
      </c>
      <c r="B666">
        <v>4</v>
      </c>
      <c r="C666">
        <v>60</v>
      </c>
      <c r="D666">
        <v>18</v>
      </c>
      <c r="E666" t="s">
        <v>128</v>
      </c>
      <c r="F666" s="12">
        <v>45426</v>
      </c>
      <c r="G666" t="s">
        <v>1955</v>
      </c>
      <c r="H666" s="12">
        <v>45426</v>
      </c>
      <c r="I666" t="s">
        <v>1402</v>
      </c>
      <c r="J666" t="s">
        <v>477</v>
      </c>
      <c r="K666">
        <v>2</v>
      </c>
      <c r="L666">
        <v>62.1</v>
      </c>
      <c r="P666" t="s">
        <v>106</v>
      </c>
      <c r="Q666" t="s">
        <v>106</v>
      </c>
      <c r="R666" t="s">
        <v>106</v>
      </c>
      <c r="S666" t="s">
        <v>106</v>
      </c>
      <c r="T666" t="s">
        <v>961</v>
      </c>
      <c r="U666" t="s">
        <v>106</v>
      </c>
      <c r="V666" t="s">
        <v>106</v>
      </c>
      <c r="W666" t="s">
        <v>373</v>
      </c>
      <c r="X666" t="s">
        <v>106</v>
      </c>
      <c r="Y666" t="s">
        <v>108</v>
      </c>
      <c r="Z666" t="s">
        <v>104</v>
      </c>
      <c r="AA666" t="s">
        <v>1871</v>
      </c>
      <c r="AB666" t="s">
        <v>106</v>
      </c>
    </row>
    <row r="667" spans="1:28" x14ac:dyDescent="0.3">
      <c r="A667" t="s">
        <v>1395</v>
      </c>
      <c r="B667">
        <v>4</v>
      </c>
      <c r="C667">
        <v>60</v>
      </c>
      <c r="D667">
        <v>17</v>
      </c>
      <c r="E667" t="s">
        <v>128</v>
      </c>
      <c r="F667" s="12">
        <v>45426</v>
      </c>
      <c r="G667" t="s">
        <v>1955</v>
      </c>
      <c r="H667" s="12">
        <v>45426</v>
      </c>
      <c r="I667" t="s">
        <v>1402</v>
      </c>
      <c r="J667" t="s">
        <v>477</v>
      </c>
      <c r="K667">
        <v>1</v>
      </c>
      <c r="L667">
        <v>61.3</v>
      </c>
      <c r="P667" t="s">
        <v>106</v>
      </c>
      <c r="Q667" t="s">
        <v>106</v>
      </c>
      <c r="R667" t="s">
        <v>106</v>
      </c>
      <c r="S667" t="s">
        <v>1908</v>
      </c>
      <c r="T667" t="s">
        <v>1242</v>
      </c>
      <c r="U667" t="s">
        <v>1780</v>
      </c>
      <c r="V667" t="s">
        <v>106</v>
      </c>
      <c r="W667" t="s">
        <v>373</v>
      </c>
      <c r="X667" t="s">
        <v>106</v>
      </c>
      <c r="Y667" t="s">
        <v>108</v>
      </c>
      <c r="Z667" t="s">
        <v>104</v>
      </c>
      <c r="AA667" t="s">
        <v>1871</v>
      </c>
      <c r="AB667" t="s">
        <v>2431</v>
      </c>
    </row>
    <row r="668" spans="1:28" x14ac:dyDescent="0.3">
      <c r="A668" t="s">
        <v>1395</v>
      </c>
      <c r="B668">
        <v>1</v>
      </c>
      <c r="C668">
        <v>0</v>
      </c>
      <c r="D668">
        <v>61</v>
      </c>
      <c r="E668" t="s">
        <v>128</v>
      </c>
      <c r="F668" s="12">
        <v>45427</v>
      </c>
      <c r="G668" t="s">
        <v>572</v>
      </c>
      <c r="H668" s="12">
        <v>45427</v>
      </c>
      <c r="I668" t="s">
        <v>698</v>
      </c>
      <c r="J668" t="s">
        <v>1363</v>
      </c>
      <c r="K668">
        <v>1</v>
      </c>
      <c r="L668">
        <v>0</v>
      </c>
      <c r="P668" t="s">
        <v>106</v>
      </c>
      <c r="Q668" t="s">
        <v>106</v>
      </c>
      <c r="R668" t="s">
        <v>106</v>
      </c>
      <c r="S668" t="s">
        <v>1404</v>
      </c>
      <c r="T668" t="s">
        <v>1405</v>
      </c>
      <c r="U668" t="s">
        <v>106</v>
      </c>
      <c r="V668" t="s">
        <v>106</v>
      </c>
      <c r="W668" t="s">
        <v>373</v>
      </c>
      <c r="X668" t="s">
        <v>106</v>
      </c>
      <c r="Y668" t="s">
        <v>108</v>
      </c>
      <c r="Z668" t="s">
        <v>105</v>
      </c>
      <c r="AA668" t="s">
        <v>1316</v>
      </c>
      <c r="AB668" t="s">
        <v>106</v>
      </c>
    </row>
    <row r="669" spans="1:28" x14ac:dyDescent="0.3">
      <c r="A669" t="s">
        <v>1395</v>
      </c>
      <c r="B669">
        <v>1</v>
      </c>
      <c r="C669">
        <v>0</v>
      </c>
      <c r="D669">
        <v>62</v>
      </c>
      <c r="E669" t="s">
        <v>128</v>
      </c>
      <c r="F669" s="12">
        <v>45427</v>
      </c>
      <c r="G669" t="s">
        <v>572</v>
      </c>
      <c r="H669" s="12">
        <v>45427</v>
      </c>
      <c r="I669" t="s">
        <v>698</v>
      </c>
      <c r="J669" t="s">
        <v>1363</v>
      </c>
      <c r="K669">
        <v>2</v>
      </c>
      <c r="L669">
        <v>0</v>
      </c>
      <c r="P669" t="s">
        <v>106</v>
      </c>
      <c r="Q669" t="s">
        <v>106</v>
      </c>
      <c r="R669" t="s">
        <v>106</v>
      </c>
      <c r="S669" t="s">
        <v>106</v>
      </c>
      <c r="T669" t="s">
        <v>1217</v>
      </c>
      <c r="U669" t="s">
        <v>106</v>
      </c>
      <c r="V669" t="s">
        <v>106</v>
      </c>
      <c r="W669" t="s">
        <v>373</v>
      </c>
      <c r="X669" t="s">
        <v>106</v>
      </c>
      <c r="Y669" t="s">
        <v>108</v>
      </c>
      <c r="Z669" t="s">
        <v>105</v>
      </c>
      <c r="AA669" t="s">
        <v>1316</v>
      </c>
      <c r="AB669" t="s">
        <v>106</v>
      </c>
    </row>
    <row r="670" spans="1:28" x14ac:dyDescent="0.3">
      <c r="A670" t="s">
        <v>1395</v>
      </c>
      <c r="B670">
        <v>2</v>
      </c>
      <c r="C670">
        <v>15</v>
      </c>
      <c r="D670">
        <v>34</v>
      </c>
      <c r="E670" t="s">
        <v>128</v>
      </c>
      <c r="F670" s="12">
        <v>45427</v>
      </c>
      <c r="G670" t="s">
        <v>1406</v>
      </c>
      <c r="H670" s="12">
        <v>45426</v>
      </c>
      <c r="I670" t="s">
        <v>1879</v>
      </c>
      <c r="J670" t="s">
        <v>458</v>
      </c>
      <c r="K670">
        <v>1</v>
      </c>
      <c r="L670">
        <v>17.7</v>
      </c>
      <c r="P670" t="s">
        <v>106</v>
      </c>
      <c r="Q670" t="s">
        <v>106</v>
      </c>
      <c r="R670" t="s">
        <v>106</v>
      </c>
      <c r="S670" t="s">
        <v>1579</v>
      </c>
      <c r="T670" t="s">
        <v>1386</v>
      </c>
      <c r="U670" t="s">
        <v>1596</v>
      </c>
      <c r="V670" t="s">
        <v>106</v>
      </c>
      <c r="W670" t="s">
        <v>443</v>
      </c>
      <c r="X670" t="s">
        <v>106</v>
      </c>
      <c r="Y670" t="s">
        <v>108</v>
      </c>
      <c r="Z670" t="s">
        <v>109</v>
      </c>
      <c r="AA670" t="s">
        <v>1871</v>
      </c>
      <c r="AB670" t="s">
        <v>1880</v>
      </c>
    </row>
    <row r="671" spans="1:28" x14ac:dyDescent="0.3">
      <c r="A671" t="s">
        <v>1395</v>
      </c>
      <c r="B671">
        <v>2</v>
      </c>
      <c r="C671">
        <v>15</v>
      </c>
      <c r="D671">
        <v>35</v>
      </c>
      <c r="E671" t="s">
        <v>128</v>
      </c>
      <c r="F671" s="12">
        <v>45427</v>
      </c>
      <c r="G671" t="s">
        <v>1406</v>
      </c>
      <c r="H671" s="12">
        <v>45426</v>
      </c>
      <c r="I671" t="s">
        <v>1879</v>
      </c>
      <c r="J671" t="s">
        <v>458</v>
      </c>
      <c r="K671">
        <v>2</v>
      </c>
      <c r="L671">
        <v>17.899999999999999</v>
      </c>
      <c r="P671" t="s">
        <v>106</v>
      </c>
      <c r="Q671" t="s">
        <v>106</v>
      </c>
      <c r="R671" t="s">
        <v>106</v>
      </c>
      <c r="S671" t="s">
        <v>106</v>
      </c>
      <c r="T671" t="s">
        <v>984</v>
      </c>
      <c r="U671" t="s">
        <v>391</v>
      </c>
      <c r="V671" t="s">
        <v>106</v>
      </c>
      <c r="W671" t="s">
        <v>443</v>
      </c>
      <c r="X671" t="s">
        <v>106</v>
      </c>
      <c r="Y671" t="s">
        <v>108</v>
      </c>
      <c r="Z671" t="s">
        <v>109</v>
      </c>
      <c r="AA671" t="s">
        <v>1871</v>
      </c>
      <c r="AB671" t="s">
        <v>106</v>
      </c>
    </row>
    <row r="672" spans="1:28" x14ac:dyDescent="0.3">
      <c r="A672" t="s">
        <v>1395</v>
      </c>
      <c r="B672">
        <v>2</v>
      </c>
      <c r="C672">
        <v>15</v>
      </c>
      <c r="D672">
        <v>36</v>
      </c>
      <c r="E672" t="s">
        <v>128</v>
      </c>
      <c r="F672" s="12">
        <v>45427</v>
      </c>
      <c r="G672" t="s">
        <v>1881</v>
      </c>
      <c r="H672" s="12">
        <v>45426</v>
      </c>
      <c r="I672" t="s">
        <v>1879</v>
      </c>
      <c r="J672" t="s">
        <v>458</v>
      </c>
      <c r="K672">
        <v>1</v>
      </c>
      <c r="L672">
        <v>16.600000000000001</v>
      </c>
      <c r="P672" t="s">
        <v>106</v>
      </c>
      <c r="Q672" t="s">
        <v>106</v>
      </c>
      <c r="R672" t="s">
        <v>106</v>
      </c>
      <c r="S672" t="s">
        <v>106</v>
      </c>
      <c r="T672" t="s">
        <v>1585</v>
      </c>
      <c r="U672" t="s">
        <v>106</v>
      </c>
      <c r="V672" t="s">
        <v>106</v>
      </c>
      <c r="W672" t="s">
        <v>443</v>
      </c>
      <c r="X672" t="s">
        <v>106</v>
      </c>
      <c r="Y672" t="s">
        <v>108</v>
      </c>
      <c r="Z672" t="s">
        <v>109</v>
      </c>
      <c r="AA672" t="s">
        <v>1871</v>
      </c>
      <c r="AB672" t="s">
        <v>106</v>
      </c>
    </row>
    <row r="673" spans="1:28" x14ac:dyDescent="0.3">
      <c r="A673" t="s">
        <v>1395</v>
      </c>
      <c r="B673">
        <v>2</v>
      </c>
      <c r="C673">
        <v>15</v>
      </c>
      <c r="D673">
        <v>37</v>
      </c>
      <c r="E673" t="s">
        <v>128</v>
      </c>
      <c r="F673" s="12">
        <v>45427</v>
      </c>
      <c r="G673" t="s">
        <v>1881</v>
      </c>
      <c r="H673" s="12">
        <v>45426</v>
      </c>
      <c r="I673" t="s">
        <v>1879</v>
      </c>
      <c r="J673" t="s">
        <v>458</v>
      </c>
      <c r="K673">
        <v>2</v>
      </c>
      <c r="L673">
        <v>16.899999999999999</v>
      </c>
      <c r="P673" t="s">
        <v>106</v>
      </c>
      <c r="Q673" t="s">
        <v>106</v>
      </c>
      <c r="R673" t="s">
        <v>106</v>
      </c>
      <c r="S673" t="s">
        <v>1664</v>
      </c>
      <c r="T673" t="s">
        <v>937</v>
      </c>
      <c r="U673" t="s">
        <v>106</v>
      </c>
      <c r="V673" t="s">
        <v>106</v>
      </c>
      <c r="W673" t="s">
        <v>443</v>
      </c>
      <c r="X673" t="s">
        <v>106</v>
      </c>
      <c r="Y673" t="s">
        <v>108</v>
      </c>
      <c r="Z673" t="s">
        <v>109</v>
      </c>
      <c r="AA673" t="s">
        <v>1871</v>
      </c>
      <c r="AB673" t="s">
        <v>106</v>
      </c>
    </row>
    <row r="674" spans="1:28" x14ac:dyDescent="0.3">
      <c r="A674" t="s">
        <v>1395</v>
      </c>
      <c r="B674">
        <v>2</v>
      </c>
      <c r="C674">
        <v>15</v>
      </c>
      <c r="D674">
        <v>28</v>
      </c>
      <c r="E674" t="s">
        <v>128</v>
      </c>
      <c r="F674" s="12">
        <v>45427</v>
      </c>
      <c r="G674" t="s">
        <v>1882</v>
      </c>
      <c r="H674" s="12">
        <v>45426</v>
      </c>
      <c r="I674" t="s">
        <v>1883</v>
      </c>
      <c r="J674" t="s">
        <v>458</v>
      </c>
      <c r="K674">
        <v>1</v>
      </c>
      <c r="L674">
        <v>17.7</v>
      </c>
      <c r="P674" t="s">
        <v>106</v>
      </c>
      <c r="Q674" t="s">
        <v>106</v>
      </c>
      <c r="R674" t="s">
        <v>106</v>
      </c>
      <c r="S674" t="s">
        <v>106</v>
      </c>
      <c r="T674" t="s">
        <v>1208</v>
      </c>
      <c r="U674" t="s">
        <v>1626</v>
      </c>
      <c r="V674" t="s">
        <v>106</v>
      </c>
      <c r="W674" t="s">
        <v>443</v>
      </c>
      <c r="X674" t="s">
        <v>106</v>
      </c>
      <c r="Y674" t="s">
        <v>108</v>
      </c>
      <c r="Z674" t="s">
        <v>109</v>
      </c>
      <c r="AA674" t="s">
        <v>1871</v>
      </c>
      <c r="AB674" t="s">
        <v>106</v>
      </c>
    </row>
    <row r="675" spans="1:28" x14ac:dyDescent="0.3">
      <c r="A675" t="s">
        <v>1395</v>
      </c>
      <c r="B675">
        <v>2</v>
      </c>
      <c r="C675">
        <v>15</v>
      </c>
      <c r="D675">
        <v>43</v>
      </c>
      <c r="E675" t="s">
        <v>128</v>
      </c>
      <c r="F675" s="12">
        <v>45427</v>
      </c>
      <c r="G675" t="s">
        <v>709</v>
      </c>
      <c r="H675" s="12">
        <v>45427</v>
      </c>
      <c r="I675" t="s">
        <v>1663</v>
      </c>
      <c r="J675" t="s">
        <v>1290</v>
      </c>
      <c r="K675">
        <v>2</v>
      </c>
      <c r="L675">
        <v>15.9</v>
      </c>
      <c r="P675" t="s">
        <v>106</v>
      </c>
      <c r="Q675" t="s">
        <v>106</v>
      </c>
      <c r="R675" t="s">
        <v>106</v>
      </c>
      <c r="S675" t="s">
        <v>1884</v>
      </c>
      <c r="T675" t="s">
        <v>1885</v>
      </c>
      <c r="U675" t="s">
        <v>841</v>
      </c>
      <c r="V675" t="s">
        <v>106</v>
      </c>
      <c r="W675" t="s">
        <v>443</v>
      </c>
      <c r="X675" t="s">
        <v>106</v>
      </c>
      <c r="Y675" t="s">
        <v>108</v>
      </c>
      <c r="Z675" t="s">
        <v>109</v>
      </c>
      <c r="AA675" t="s">
        <v>1871</v>
      </c>
      <c r="AB675" t="s">
        <v>1886</v>
      </c>
    </row>
    <row r="676" spans="1:28" x14ac:dyDescent="0.3">
      <c r="A676" t="s">
        <v>1395</v>
      </c>
      <c r="B676">
        <v>2</v>
      </c>
      <c r="C676">
        <v>15</v>
      </c>
      <c r="D676">
        <v>44</v>
      </c>
      <c r="E676" t="s">
        <v>128</v>
      </c>
      <c r="F676" s="12">
        <v>45427</v>
      </c>
      <c r="G676" t="s">
        <v>709</v>
      </c>
      <c r="H676" s="12">
        <v>45427</v>
      </c>
      <c r="I676" t="s">
        <v>1663</v>
      </c>
      <c r="J676" t="s">
        <v>1290</v>
      </c>
      <c r="K676">
        <v>1</v>
      </c>
      <c r="L676">
        <v>16</v>
      </c>
      <c r="P676" t="s">
        <v>106</v>
      </c>
      <c r="Q676" t="s">
        <v>106</v>
      </c>
      <c r="R676" t="s">
        <v>106</v>
      </c>
      <c r="S676" t="s">
        <v>106</v>
      </c>
      <c r="T676" t="s">
        <v>1793</v>
      </c>
      <c r="U676" t="s">
        <v>708</v>
      </c>
      <c r="V676" t="s">
        <v>106</v>
      </c>
      <c r="W676" t="s">
        <v>443</v>
      </c>
      <c r="X676" t="s">
        <v>106</v>
      </c>
      <c r="Y676" t="s">
        <v>108</v>
      </c>
      <c r="Z676" t="s">
        <v>109</v>
      </c>
      <c r="AA676" t="s">
        <v>1871</v>
      </c>
      <c r="AB676" t="s">
        <v>1887</v>
      </c>
    </row>
    <row r="677" spans="1:28" x14ac:dyDescent="0.3">
      <c r="A677" t="s">
        <v>1395</v>
      </c>
      <c r="B677">
        <v>2</v>
      </c>
      <c r="C677">
        <v>15</v>
      </c>
      <c r="D677">
        <v>63</v>
      </c>
      <c r="E677" t="s">
        <v>128</v>
      </c>
      <c r="F677" s="12">
        <v>45427</v>
      </c>
      <c r="G677" t="s">
        <v>406</v>
      </c>
      <c r="H677" s="12">
        <v>45427</v>
      </c>
      <c r="I677" t="s">
        <v>331</v>
      </c>
      <c r="J677" t="s">
        <v>458</v>
      </c>
      <c r="K677">
        <v>1</v>
      </c>
      <c r="L677">
        <v>17.100000000000001</v>
      </c>
      <c r="P677" t="s">
        <v>106</v>
      </c>
      <c r="Q677" t="s">
        <v>106</v>
      </c>
      <c r="R677" t="s">
        <v>106</v>
      </c>
      <c r="S677" t="s">
        <v>1717</v>
      </c>
      <c r="T677" t="s">
        <v>1832</v>
      </c>
      <c r="U677" t="s">
        <v>1468</v>
      </c>
      <c r="V677" t="s">
        <v>106</v>
      </c>
      <c r="W677" t="s">
        <v>373</v>
      </c>
      <c r="X677" t="s">
        <v>106</v>
      </c>
      <c r="Y677" t="s">
        <v>108</v>
      </c>
      <c r="Z677" t="s">
        <v>109</v>
      </c>
      <c r="AA677" t="s">
        <v>1871</v>
      </c>
      <c r="AB677" t="s">
        <v>1888</v>
      </c>
    </row>
    <row r="678" spans="1:28" x14ac:dyDescent="0.3">
      <c r="A678" t="s">
        <v>1395</v>
      </c>
      <c r="B678">
        <v>2</v>
      </c>
      <c r="C678">
        <v>15</v>
      </c>
      <c r="D678">
        <v>64</v>
      </c>
      <c r="E678" t="s">
        <v>128</v>
      </c>
      <c r="F678" s="12">
        <v>45427</v>
      </c>
      <c r="G678" t="s">
        <v>1461</v>
      </c>
      <c r="H678" s="12">
        <v>45427</v>
      </c>
      <c r="I678" t="s">
        <v>331</v>
      </c>
      <c r="J678" t="s">
        <v>458</v>
      </c>
      <c r="K678">
        <v>2</v>
      </c>
      <c r="L678">
        <v>16.3</v>
      </c>
      <c r="P678" t="s">
        <v>106</v>
      </c>
      <c r="Q678" t="s">
        <v>106</v>
      </c>
      <c r="R678" t="s">
        <v>106</v>
      </c>
      <c r="S678" t="s">
        <v>106</v>
      </c>
      <c r="T678" t="s">
        <v>1889</v>
      </c>
      <c r="U678" t="s">
        <v>1615</v>
      </c>
      <c r="V678" t="s">
        <v>106</v>
      </c>
      <c r="W678" t="s">
        <v>373</v>
      </c>
      <c r="X678" t="s">
        <v>106</v>
      </c>
      <c r="Y678" t="s">
        <v>108</v>
      </c>
      <c r="Z678" t="s">
        <v>109</v>
      </c>
      <c r="AA678" t="s">
        <v>1871</v>
      </c>
      <c r="AB678" t="s">
        <v>1890</v>
      </c>
    </row>
    <row r="679" spans="1:28" x14ac:dyDescent="0.3">
      <c r="A679" t="s">
        <v>1395</v>
      </c>
      <c r="B679">
        <v>2</v>
      </c>
      <c r="C679">
        <v>15</v>
      </c>
      <c r="D679">
        <v>56</v>
      </c>
      <c r="E679" t="s">
        <v>128</v>
      </c>
      <c r="F679" s="12">
        <v>45427</v>
      </c>
      <c r="G679" t="s">
        <v>1708</v>
      </c>
      <c r="H679" s="12">
        <v>45427</v>
      </c>
      <c r="I679" t="s">
        <v>698</v>
      </c>
      <c r="J679" t="s">
        <v>1363</v>
      </c>
      <c r="K679">
        <v>2</v>
      </c>
      <c r="L679">
        <v>17.2</v>
      </c>
      <c r="P679" t="s">
        <v>106</v>
      </c>
      <c r="Q679" t="s">
        <v>106</v>
      </c>
      <c r="R679" t="s">
        <v>106</v>
      </c>
      <c r="S679" t="s">
        <v>106</v>
      </c>
      <c r="T679" t="s">
        <v>1400</v>
      </c>
      <c r="U679" t="s">
        <v>1410</v>
      </c>
      <c r="V679" t="s">
        <v>106</v>
      </c>
      <c r="W679" t="s">
        <v>373</v>
      </c>
      <c r="X679" t="s">
        <v>106</v>
      </c>
      <c r="Y679" t="s">
        <v>108</v>
      </c>
      <c r="Z679" t="s">
        <v>109</v>
      </c>
      <c r="AA679" t="s">
        <v>1871</v>
      </c>
      <c r="AB679" t="s">
        <v>1891</v>
      </c>
    </row>
    <row r="680" spans="1:28" x14ac:dyDescent="0.3">
      <c r="A680" t="s">
        <v>1395</v>
      </c>
      <c r="B680">
        <v>2</v>
      </c>
      <c r="C680">
        <v>15</v>
      </c>
      <c r="D680">
        <v>24</v>
      </c>
      <c r="E680" t="s">
        <v>128</v>
      </c>
      <c r="F680" s="12">
        <v>45427</v>
      </c>
      <c r="G680" t="s">
        <v>1892</v>
      </c>
      <c r="H680" s="12">
        <v>45426</v>
      </c>
      <c r="I680" t="s">
        <v>1883</v>
      </c>
      <c r="J680" t="s">
        <v>458</v>
      </c>
      <c r="K680">
        <v>1</v>
      </c>
      <c r="L680">
        <v>17.7</v>
      </c>
      <c r="P680" t="s">
        <v>106</v>
      </c>
      <c r="Q680" t="s">
        <v>106</v>
      </c>
      <c r="R680" t="s">
        <v>106</v>
      </c>
      <c r="S680" t="s">
        <v>1714</v>
      </c>
      <c r="T680" t="s">
        <v>1090</v>
      </c>
      <c r="U680" t="s">
        <v>1596</v>
      </c>
      <c r="V680" t="s">
        <v>106</v>
      </c>
      <c r="W680" t="s">
        <v>443</v>
      </c>
      <c r="X680" t="s">
        <v>106</v>
      </c>
      <c r="Y680" t="s">
        <v>108</v>
      </c>
      <c r="Z680" t="s">
        <v>109</v>
      </c>
      <c r="AA680" t="s">
        <v>1871</v>
      </c>
      <c r="AB680" t="s">
        <v>106</v>
      </c>
    </row>
    <row r="681" spans="1:28" x14ac:dyDescent="0.3">
      <c r="A681" t="s">
        <v>1395</v>
      </c>
      <c r="B681">
        <v>2</v>
      </c>
      <c r="C681">
        <v>15</v>
      </c>
      <c r="D681">
        <v>55</v>
      </c>
      <c r="E681" t="s">
        <v>128</v>
      </c>
      <c r="F681" s="12">
        <v>45427</v>
      </c>
      <c r="G681" t="s">
        <v>1708</v>
      </c>
      <c r="H681" s="12">
        <v>45427</v>
      </c>
      <c r="I681" t="s">
        <v>698</v>
      </c>
      <c r="J681" t="s">
        <v>1363</v>
      </c>
      <c r="K681">
        <v>1</v>
      </c>
      <c r="L681">
        <v>15.8</v>
      </c>
      <c r="P681" t="s">
        <v>106</v>
      </c>
      <c r="Q681" t="s">
        <v>106</v>
      </c>
      <c r="R681" t="s">
        <v>106</v>
      </c>
      <c r="S681" t="s">
        <v>1335</v>
      </c>
      <c r="T681" t="s">
        <v>1475</v>
      </c>
      <c r="U681" t="s">
        <v>1410</v>
      </c>
      <c r="V681" t="s">
        <v>106</v>
      </c>
      <c r="W681" t="s">
        <v>373</v>
      </c>
      <c r="X681" t="s">
        <v>106</v>
      </c>
      <c r="Y681" t="s">
        <v>108</v>
      </c>
      <c r="Z681" t="s">
        <v>109</v>
      </c>
      <c r="AA681" t="s">
        <v>1871</v>
      </c>
      <c r="AB681" t="s">
        <v>715</v>
      </c>
    </row>
    <row r="682" spans="1:28" x14ac:dyDescent="0.3">
      <c r="A682" t="s">
        <v>1395</v>
      </c>
      <c r="B682">
        <v>2</v>
      </c>
      <c r="C682">
        <v>15</v>
      </c>
      <c r="D682">
        <v>49</v>
      </c>
      <c r="E682" t="s">
        <v>128</v>
      </c>
      <c r="F682" s="12">
        <v>45427</v>
      </c>
      <c r="G682" t="s">
        <v>381</v>
      </c>
      <c r="H682" s="12">
        <v>45427</v>
      </c>
      <c r="I682" t="s">
        <v>1469</v>
      </c>
      <c r="J682" t="s">
        <v>1290</v>
      </c>
      <c r="K682">
        <v>2</v>
      </c>
      <c r="L682">
        <v>15.8</v>
      </c>
      <c r="P682" t="s">
        <v>106</v>
      </c>
      <c r="Q682" t="s">
        <v>106</v>
      </c>
      <c r="R682" t="s">
        <v>106</v>
      </c>
      <c r="S682" t="s">
        <v>1893</v>
      </c>
      <c r="T682" t="s">
        <v>984</v>
      </c>
      <c r="U682" t="s">
        <v>429</v>
      </c>
      <c r="V682" t="s">
        <v>106</v>
      </c>
      <c r="W682" t="s">
        <v>443</v>
      </c>
      <c r="X682" t="s">
        <v>106</v>
      </c>
      <c r="Y682" t="s">
        <v>108</v>
      </c>
      <c r="Z682" t="s">
        <v>108</v>
      </c>
      <c r="AA682" t="s">
        <v>1871</v>
      </c>
      <c r="AB682" t="s">
        <v>1894</v>
      </c>
    </row>
    <row r="683" spans="1:28" x14ac:dyDescent="0.3">
      <c r="A683" t="s">
        <v>1395</v>
      </c>
      <c r="B683">
        <v>2</v>
      </c>
      <c r="C683">
        <v>15</v>
      </c>
      <c r="D683">
        <v>50</v>
      </c>
      <c r="E683" t="s">
        <v>128</v>
      </c>
      <c r="F683" s="12">
        <v>45427</v>
      </c>
      <c r="G683" t="s">
        <v>381</v>
      </c>
      <c r="H683" s="12">
        <v>45427</v>
      </c>
      <c r="I683" t="s">
        <v>1469</v>
      </c>
      <c r="J683" t="s">
        <v>1290</v>
      </c>
      <c r="K683">
        <v>1</v>
      </c>
      <c r="L683">
        <v>17.2</v>
      </c>
      <c r="P683" t="s">
        <v>106</v>
      </c>
      <c r="Q683" t="s">
        <v>106</v>
      </c>
      <c r="R683" t="s">
        <v>106</v>
      </c>
      <c r="S683" t="s">
        <v>1895</v>
      </c>
      <c r="T683" t="s">
        <v>1372</v>
      </c>
      <c r="U683" t="s">
        <v>1468</v>
      </c>
      <c r="V683" t="s">
        <v>106</v>
      </c>
      <c r="W683" t="s">
        <v>443</v>
      </c>
      <c r="X683" t="s">
        <v>106</v>
      </c>
      <c r="Y683" t="s">
        <v>108</v>
      </c>
      <c r="Z683" t="s">
        <v>108</v>
      </c>
      <c r="AA683" t="s">
        <v>1871</v>
      </c>
      <c r="AB683" t="s">
        <v>1896</v>
      </c>
    </row>
    <row r="684" spans="1:28" x14ac:dyDescent="0.3">
      <c r="A684" t="s">
        <v>1395</v>
      </c>
      <c r="B684">
        <v>3</v>
      </c>
      <c r="C684">
        <v>35</v>
      </c>
      <c r="D684">
        <v>66</v>
      </c>
      <c r="E684" t="s">
        <v>128</v>
      </c>
      <c r="F684" s="12">
        <v>45427</v>
      </c>
      <c r="G684" t="s">
        <v>1461</v>
      </c>
      <c r="H684" s="12">
        <v>45427</v>
      </c>
      <c r="I684" t="s">
        <v>331</v>
      </c>
      <c r="J684" t="s">
        <v>458</v>
      </c>
      <c r="K684">
        <v>2</v>
      </c>
      <c r="L684">
        <v>35.9</v>
      </c>
      <c r="P684" t="s">
        <v>106</v>
      </c>
      <c r="Q684" t="s">
        <v>106</v>
      </c>
      <c r="R684" t="s">
        <v>106</v>
      </c>
      <c r="S684" t="s">
        <v>106</v>
      </c>
      <c r="T684" t="s">
        <v>2387</v>
      </c>
      <c r="U684" t="s">
        <v>1356</v>
      </c>
      <c r="V684" t="s">
        <v>106</v>
      </c>
      <c r="W684" t="s">
        <v>373</v>
      </c>
      <c r="X684" t="s">
        <v>106</v>
      </c>
      <c r="Y684" t="s">
        <v>108</v>
      </c>
      <c r="Z684" t="s">
        <v>108</v>
      </c>
      <c r="AA684" t="s">
        <v>1871</v>
      </c>
      <c r="AB684" t="s">
        <v>2375</v>
      </c>
    </row>
    <row r="685" spans="1:28" x14ac:dyDescent="0.3">
      <c r="A685" t="s">
        <v>1395</v>
      </c>
      <c r="B685">
        <v>3</v>
      </c>
      <c r="C685">
        <v>35</v>
      </c>
      <c r="D685">
        <v>65</v>
      </c>
      <c r="E685" t="s">
        <v>128</v>
      </c>
      <c r="F685" s="12">
        <v>45427</v>
      </c>
      <c r="G685" t="s">
        <v>1461</v>
      </c>
      <c r="H685" s="12">
        <v>45427</v>
      </c>
      <c r="I685" t="s">
        <v>331</v>
      </c>
      <c r="J685" t="s">
        <v>458</v>
      </c>
      <c r="K685">
        <v>1</v>
      </c>
      <c r="L685">
        <v>33.299999999999997</v>
      </c>
      <c r="P685" t="s">
        <v>106</v>
      </c>
      <c r="Q685" t="s">
        <v>106</v>
      </c>
      <c r="R685" t="s">
        <v>106</v>
      </c>
      <c r="S685" t="s">
        <v>2388</v>
      </c>
      <c r="T685" t="s">
        <v>1864</v>
      </c>
      <c r="U685" t="s">
        <v>1382</v>
      </c>
      <c r="V685" t="s">
        <v>106</v>
      </c>
      <c r="W685" t="s">
        <v>373</v>
      </c>
      <c r="X685" t="s">
        <v>106</v>
      </c>
      <c r="Y685" t="s">
        <v>108</v>
      </c>
      <c r="Z685" t="s">
        <v>108</v>
      </c>
      <c r="AA685" t="s">
        <v>1871</v>
      </c>
      <c r="AB685" t="s">
        <v>2389</v>
      </c>
    </row>
    <row r="686" spans="1:28" x14ac:dyDescent="0.3">
      <c r="A686" t="s">
        <v>1395</v>
      </c>
      <c r="B686">
        <v>3</v>
      </c>
      <c r="C686">
        <v>35</v>
      </c>
      <c r="D686">
        <v>40</v>
      </c>
      <c r="E686" t="s">
        <v>128</v>
      </c>
      <c r="F686" s="12">
        <v>45427</v>
      </c>
      <c r="G686" t="s">
        <v>1396</v>
      </c>
      <c r="H686" s="12">
        <v>45426</v>
      </c>
      <c r="I686" t="s">
        <v>1879</v>
      </c>
      <c r="J686" t="s">
        <v>458</v>
      </c>
      <c r="K686">
        <v>1</v>
      </c>
      <c r="L686">
        <v>34.799999999999997</v>
      </c>
      <c r="P686" t="s">
        <v>106</v>
      </c>
      <c r="Q686" t="s">
        <v>106</v>
      </c>
      <c r="R686" t="s">
        <v>106</v>
      </c>
      <c r="S686" t="s">
        <v>1677</v>
      </c>
      <c r="T686" t="s">
        <v>1771</v>
      </c>
      <c r="U686" t="s">
        <v>106</v>
      </c>
      <c r="V686" t="s">
        <v>106</v>
      </c>
      <c r="W686" t="s">
        <v>443</v>
      </c>
      <c r="X686" t="s">
        <v>106</v>
      </c>
      <c r="Y686" t="s">
        <v>108</v>
      </c>
      <c r="Z686" t="s">
        <v>109</v>
      </c>
      <c r="AA686" t="s">
        <v>1871</v>
      </c>
      <c r="AB686" t="s">
        <v>106</v>
      </c>
    </row>
    <row r="687" spans="1:28" x14ac:dyDescent="0.3">
      <c r="A687" t="s">
        <v>1395</v>
      </c>
      <c r="B687">
        <v>3</v>
      </c>
      <c r="C687">
        <v>35</v>
      </c>
      <c r="D687">
        <v>58</v>
      </c>
      <c r="E687" t="s">
        <v>128</v>
      </c>
      <c r="F687" s="12">
        <v>45427</v>
      </c>
      <c r="G687" t="s">
        <v>797</v>
      </c>
      <c r="H687" s="12">
        <v>45427</v>
      </c>
      <c r="I687" t="s">
        <v>698</v>
      </c>
      <c r="J687" t="s">
        <v>1363</v>
      </c>
      <c r="K687">
        <v>2</v>
      </c>
      <c r="L687">
        <v>36.6</v>
      </c>
      <c r="P687" t="s">
        <v>106</v>
      </c>
      <c r="Q687" t="s">
        <v>106</v>
      </c>
      <c r="R687" t="s">
        <v>106</v>
      </c>
      <c r="S687" t="s">
        <v>106</v>
      </c>
      <c r="T687" t="s">
        <v>1543</v>
      </c>
      <c r="U687" t="s">
        <v>1410</v>
      </c>
      <c r="V687" t="s">
        <v>106</v>
      </c>
      <c r="W687" t="s">
        <v>373</v>
      </c>
      <c r="X687" t="s">
        <v>106</v>
      </c>
      <c r="Y687" t="s">
        <v>108</v>
      </c>
      <c r="Z687" t="s">
        <v>108</v>
      </c>
      <c r="AA687" t="s">
        <v>1871</v>
      </c>
      <c r="AB687" t="s">
        <v>2390</v>
      </c>
    </row>
    <row r="688" spans="1:28" x14ac:dyDescent="0.3">
      <c r="A688" t="s">
        <v>1395</v>
      </c>
      <c r="B688">
        <v>3</v>
      </c>
      <c r="C688">
        <v>35</v>
      </c>
      <c r="D688">
        <v>33</v>
      </c>
      <c r="E688" t="s">
        <v>128</v>
      </c>
      <c r="F688" s="12">
        <v>45427</v>
      </c>
      <c r="G688" t="s">
        <v>1882</v>
      </c>
      <c r="H688" s="12">
        <v>45426</v>
      </c>
      <c r="I688" t="s">
        <v>1879</v>
      </c>
      <c r="J688" t="s">
        <v>458</v>
      </c>
      <c r="K688">
        <v>2</v>
      </c>
      <c r="L688">
        <v>38</v>
      </c>
      <c r="P688" t="s">
        <v>106</v>
      </c>
      <c r="Q688" t="s">
        <v>106</v>
      </c>
      <c r="R688" t="s">
        <v>106</v>
      </c>
      <c r="S688" t="s">
        <v>106</v>
      </c>
      <c r="T688" t="s">
        <v>884</v>
      </c>
      <c r="U688" t="s">
        <v>1468</v>
      </c>
      <c r="V688" t="s">
        <v>106</v>
      </c>
      <c r="W688" t="s">
        <v>443</v>
      </c>
      <c r="X688" t="s">
        <v>106</v>
      </c>
      <c r="Y688" t="s">
        <v>108</v>
      </c>
      <c r="Z688" t="s">
        <v>109</v>
      </c>
      <c r="AA688" t="s">
        <v>1871</v>
      </c>
      <c r="AB688" t="s">
        <v>2391</v>
      </c>
    </row>
    <row r="689" spans="1:28" x14ac:dyDescent="0.3">
      <c r="A689" t="s">
        <v>1395</v>
      </c>
      <c r="B689">
        <v>3</v>
      </c>
      <c r="C689">
        <v>35</v>
      </c>
      <c r="D689">
        <v>57</v>
      </c>
      <c r="E689" t="s">
        <v>128</v>
      </c>
      <c r="F689" s="12">
        <v>45427</v>
      </c>
      <c r="G689" t="s">
        <v>1708</v>
      </c>
      <c r="H689" s="12">
        <v>45427</v>
      </c>
      <c r="I689" t="s">
        <v>698</v>
      </c>
      <c r="J689" t="s">
        <v>1363</v>
      </c>
      <c r="K689">
        <v>1</v>
      </c>
      <c r="L689">
        <v>35.9</v>
      </c>
      <c r="P689" t="s">
        <v>106</v>
      </c>
      <c r="Q689" t="s">
        <v>106</v>
      </c>
      <c r="R689" t="s">
        <v>106</v>
      </c>
      <c r="S689" t="s">
        <v>2392</v>
      </c>
      <c r="T689" t="s">
        <v>1291</v>
      </c>
      <c r="U689" t="s">
        <v>1477</v>
      </c>
      <c r="V689" t="s">
        <v>106</v>
      </c>
      <c r="W689" t="s">
        <v>373</v>
      </c>
      <c r="X689" t="s">
        <v>106</v>
      </c>
      <c r="Y689" t="s">
        <v>108</v>
      </c>
      <c r="Z689" t="s">
        <v>108</v>
      </c>
      <c r="AA689" t="s">
        <v>1871</v>
      </c>
      <c r="AB689" t="s">
        <v>2393</v>
      </c>
    </row>
    <row r="690" spans="1:28" x14ac:dyDescent="0.3">
      <c r="A690" t="s">
        <v>1395</v>
      </c>
      <c r="B690">
        <v>3</v>
      </c>
      <c r="C690">
        <v>35</v>
      </c>
      <c r="D690">
        <v>51</v>
      </c>
      <c r="E690" t="s">
        <v>128</v>
      </c>
      <c r="F690" s="12">
        <v>45427</v>
      </c>
      <c r="G690" t="s">
        <v>407</v>
      </c>
      <c r="H690" s="12">
        <v>45427</v>
      </c>
      <c r="I690" t="s">
        <v>1469</v>
      </c>
      <c r="J690" t="s">
        <v>1290</v>
      </c>
      <c r="K690">
        <v>2</v>
      </c>
      <c r="L690">
        <v>35</v>
      </c>
      <c r="P690" t="s">
        <v>106</v>
      </c>
      <c r="Q690" t="s">
        <v>106</v>
      </c>
      <c r="R690" t="s">
        <v>106</v>
      </c>
      <c r="S690" t="s">
        <v>2249</v>
      </c>
      <c r="T690" t="s">
        <v>1876</v>
      </c>
      <c r="U690" t="s">
        <v>1411</v>
      </c>
      <c r="V690" t="s">
        <v>106</v>
      </c>
      <c r="W690" t="s">
        <v>443</v>
      </c>
      <c r="X690" t="s">
        <v>106</v>
      </c>
      <c r="Y690" t="s">
        <v>108</v>
      </c>
      <c r="Z690" t="s">
        <v>108</v>
      </c>
      <c r="AA690" t="s">
        <v>1871</v>
      </c>
      <c r="AB690" t="s">
        <v>2394</v>
      </c>
    </row>
    <row r="691" spans="1:28" x14ac:dyDescent="0.3">
      <c r="A691" t="s">
        <v>1395</v>
      </c>
      <c r="B691">
        <v>3</v>
      </c>
      <c r="C691">
        <v>35</v>
      </c>
      <c r="D691">
        <v>48</v>
      </c>
      <c r="E691" t="s">
        <v>128</v>
      </c>
      <c r="F691" s="12">
        <v>45427</v>
      </c>
      <c r="G691" t="s">
        <v>1986</v>
      </c>
      <c r="H691" s="12">
        <v>45427</v>
      </c>
      <c r="I691" t="s">
        <v>1663</v>
      </c>
      <c r="J691" t="s">
        <v>1290</v>
      </c>
      <c r="K691">
        <v>1</v>
      </c>
      <c r="L691">
        <v>37.799999999999997</v>
      </c>
      <c r="P691" t="s">
        <v>106</v>
      </c>
      <c r="Q691" t="s">
        <v>106</v>
      </c>
      <c r="R691" t="s">
        <v>106</v>
      </c>
      <c r="S691" t="s">
        <v>1576</v>
      </c>
      <c r="T691" t="s">
        <v>1791</v>
      </c>
      <c r="U691" t="s">
        <v>106</v>
      </c>
      <c r="V691" t="s">
        <v>106</v>
      </c>
      <c r="W691" t="s">
        <v>443</v>
      </c>
      <c r="X691" t="s">
        <v>106</v>
      </c>
      <c r="Y691" t="s">
        <v>108</v>
      </c>
      <c r="Z691" t="s">
        <v>108</v>
      </c>
      <c r="AA691" t="s">
        <v>1871</v>
      </c>
      <c r="AB691" t="s">
        <v>106</v>
      </c>
    </row>
    <row r="692" spans="1:28" x14ac:dyDescent="0.3">
      <c r="A692" t="s">
        <v>1395</v>
      </c>
      <c r="B692">
        <v>3</v>
      </c>
      <c r="C692">
        <v>35</v>
      </c>
      <c r="D692">
        <v>47</v>
      </c>
      <c r="E692" t="s">
        <v>128</v>
      </c>
      <c r="F692" s="12">
        <v>45427</v>
      </c>
      <c r="G692" t="s">
        <v>2156</v>
      </c>
      <c r="H692" s="12">
        <v>45427</v>
      </c>
      <c r="I692" t="s">
        <v>1663</v>
      </c>
      <c r="J692" t="s">
        <v>1290</v>
      </c>
      <c r="K692">
        <v>2</v>
      </c>
      <c r="L692">
        <v>37.6</v>
      </c>
      <c r="P692" t="s">
        <v>106</v>
      </c>
      <c r="Q692" t="s">
        <v>106</v>
      </c>
      <c r="R692" t="s">
        <v>106</v>
      </c>
      <c r="S692" t="s">
        <v>106</v>
      </c>
      <c r="T692" t="s">
        <v>1208</v>
      </c>
      <c r="U692" t="s">
        <v>1382</v>
      </c>
      <c r="V692" t="s">
        <v>106</v>
      </c>
      <c r="W692" t="s">
        <v>443</v>
      </c>
      <c r="X692" t="s">
        <v>106</v>
      </c>
      <c r="Y692" t="s">
        <v>108</v>
      </c>
      <c r="Z692" t="s">
        <v>108</v>
      </c>
      <c r="AA692" t="s">
        <v>1871</v>
      </c>
      <c r="AB692" t="s">
        <v>106</v>
      </c>
    </row>
    <row r="693" spans="1:28" x14ac:dyDescent="0.3">
      <c r="A693" t="s">
        <v>1395</v>
      </c>
      <c r="B693">
        <v>3</v>
      </c>
      <c r="C693">
        <v>35</v>
      </c>
      <c r="D693">
        <v>41</v>
      </c>
      <c r="E693" t="s">
        <v>128</v>
      </c>
      <c r="F693" s="12">
        <v>45427</v>
      </c>
      <c r="G693" t="s">
        <v>1396</v>
      </c>
      <c r="H693" s="12">
        <v>45426</v>
      </c>
      <c r="I693" t="s">
        <v>1879</v>
      </c>
      <c r="J693" t="s">
        <v>458</v>
      </c>
      <c r="K693">
        <v>2</v>
      </c>
      <c r="L693">
        <v>35</v>
      </c>
      <c r="P693" t="s">
        <v>106</v>
      </c>
      <c r="Q693" t="s">
        <v>106</v>
      </c>
      <c r="R693" t="s">
        <v>106</v>
      </c>
      <c r="S693" t="s">
        <v>106</v>
      </c>
      <c r="T693" t="s">
        <v>1105</v>
      </c>
      <c r="U693" t="s">
        <v>106</v>
      </c>
      <c r="V693" t="s">
        <v>106</v>
      </c>
      <c r="W693" t="s">
        <v>443</v>
      </c>
      <c r="X693" t="s">
        <v>106</v>
      </c>
      <c r="Y693" t="s">
        <v>108</v>
      </c>
      <c r="Z693" t="s">
        <v>109</v>
      </c>
      <c r="AA693" t="s">
        <v>1871</v>
      </c>
      <c r="AB693" t="s">
        <v>106</v>
      </c>
    </row>
    <row r="694" spans="1:28" x14ac:dyDescent="0.3">
      <c r="A694" t="s">
        <v>1395</v>
      </c>
      <c r="B694">
        <v>3</v>
      </c>
      <c r="C694">
        <v>35</v>
      </c>
      <c r="D694">
        <v>27</v>
      </c>
      <c r="E694" t="s">
        <v>128</v>
      </c>
      <c r="F694" s="12">
        <v>45427</v>
      </c>
      <c r="G694" t="s">
        <v>2395</v>
      </c>
      <c r="H694" s="12">
        <v>45426</v>
      </c>
      <c r="I694" t="s">
        <v>1883</v>
      </c>
      <c r="J694" t="s">
        <v>458</v>
      </c>
      <c r="K694">
        <v>2</v>
      </c>
      <c r="L694">
        <v>37.5</v>
      </c>
      <c r="P694" t="s">
        <v>106</v>
      </c>
      <c r="Q694" t="s">
        <v>106</v>
      </c>
      <c r="R694" t="s">
        <v>106</v>
      </c>
      <c r="S694" t="s">
        <v>106</v>
      </c>
      <c r="T694" t="s">
        <v>1459</v>
      </c>
      <c r="U694" t="s">
        <v>1596</v>
      </c>
      <c r="V694" t="s">
        <v>106</v>
      </c>
      <c r="W694" t="s">
        <v>443</v>
      </c>
      <c r="X694" t="s">
        <v>106</v>
      </c>
      <c r="Y694" t="s">
        <v>108</v>
      </c>
      <c r="Z694" t="s">
        <v>109</v>
      </c>
      <c r="AA694" t="s">
        <v>1871</v>
      </c>
      <c r="AB694" t="s">
        <v>106</v>
      </c>
    </row>
    <row r="695" spans="1:28" x14ac:dyDescent="0.3">
      <c r="A695" t="s">
        <v>1395</v>
      </c>
      <c r="B695">
        <v>3</v>
      </c>
      <c r="C695">
        <v>35</v>
      </c>
      <c r="D695">
        <v>26</v>
      </c>
      <c r="E695" t="s">
        <v>128</v>
      </c>
      <c r="F695" s="12">
        <v>45427</v>
      </c>
      <c r="G695" t="s">
        <v>2395</v>
      </c>
      <c r="H695" s="12">
        <v>45426</v>
      </c>
      <c r="I695" t="s">
        <v>1883</v>
      </c>
      <c r="J695" t="s">
        <v>458</v>
      </c>
      <c r="K695">
        <v>1</v>
      </c>
      <c r="L695">
        <v>37.299999999999997</v>
      </c>
      <c r="P695" t="s">
        <v>106</v>
      </c>
      <c r="Q695" t="s">
        <v>106</v>
      </c>
      <c r="R695" t="s">
        <v>106</v>
      </c>
      <c r="S695" t="s">
        <v>1490</v>
      </c>
      <c r="T695" t="s">
        <v>981</v>
      </c>
      <c r="U695" t="s">
        <v>1359</v>
      </c>
      <c r="V695" t="s">
        <v>106</v>
      </c>
      <c r="W695" t="s">
        <v>443</v>
      </c>
      <c r="X695" t="s">
        <v>106</v>
      </c>
      <c r="Y695" t="s">
        <v>108</v>
      </c>
      <c r="Z695" t="s">
        <v>109</v>
      </c>
      <c r="AA695" t="s">
        <v>1871</v>
      </c>
      <c r="AB695" t="s">
        <v>106</v>
      </c>
    </row>
    <row r="696" spans="1:28" x14ac:dyDescent="0.3">
      <c r="A696" t="s">
        <v>1395</v>
      </c>
      <c r="B696">
        <v>3</v>
      </c>
      <c r="C696">
        <v>35</v>
      </c>
      <c r="D696">
        <v>42</v>
      </c>
      <c r="E696" t="s">
        <v>128</v>
      </c>
      <c r="F696" s="12">
        <v>45427</v>
      </c>
      <c r="G696" t="s">
        <v>1966</v>
      </c>
      <c r="H696" s="12">
        <v>45427</v>
      </c>
      <c r="I696" t="s">
        <v>1663</v>
      </c>
      <c r="J696" t="s">
        <v>1290</v>
      </c>
      <c r="K696">
        <v>1</v>
      </c>
      <c r="L696">
        <v>39.200000000000003</v>
      </c>
      <c r="P696" t="s">
        <v>106</v>
      </c>
      <c r="Q696" t="s">
        <v>106</v>
      </c>
      <c r="R696" t="s">
        <v>106</v>
      </c>
      <c r="S696" t="s">
        <v>106</v>
      </c>
      <c r="T696" t="s">
        <v>2075</v>
      </c>
      <c r="U696" t="s">
        <v>904</v>
      </c>
      <c r="V696" t="s">
        <v>106</v>
      </c>
      <c r="W696" t="s">
        <v>443</v>
      </c>
      <c r="X696" t="s">
        <v>106</v>
      </c>
      <c r="Y696" t="s">
        <v>108</v>
      </c>
      <c r="Z696" t="s">
        <v>108</v>
      </c>
      <c r="AA696" t="s">
        <v>1871</v>
      </c>
      <c r="AB696" t="s">
        <v>715</v>
      </c>
    </row>
    <row r="697" spans="1:28" x14ac:dyDescent="0.3">
      <c r="A697" t="s">
        <v>1395</v>
      </c>
      <c r="B697">
        <v>3</v>
      </c>
      <c r="C697">
        <v>35</v>
      </c>
      <c r="D697">
        <v>32</v>
      </c>
      <c r="E697" t="s">
        <v>128</v>
      </c>
      <c r="F697" s="12">
        <v>45427</v>
      </c>
      <c r="G697" t="s">
        <v>1882</v>
      </c>
      <c r="H697" s="12">
        <v>45426</v>
      </c>
      <c r="I697" t="s">
        <v>1879</v>
      </c>
      <c r="J697" t="s">
        <v>458</v>
      </c>
      <c r="K697">
        <v>1</v>
      </c>
      <c r="L697">
        <v>37.700000000000003</v>
      </c>
      <c r="P697" t="s">
        <v>106</v>
      </c>
      <c r="Q697" t="s">
        <v>106</v>
      </c>
      <c r="R697" t="s">
        <v>106</v>
      </c>
      <c r="S697" t="s">
        <v>1753</v>
      </c>
      <c r="T697" t="s">
        <v>2030</v>
      </c>
      <c r="U697" t="s">
        <v>1539</v>
      </c>
      <c r="V697" t="s">
        <v>106</v>
      </c>
      <c r="W697" t="s">
        <v>443</v>
      </c>
      <c r="X697" t="s">
        <v>106</v>
      </c>
      <c r="Y697" t="s">
        <v>108</v>
      </c>
      <c r="Z697" t="s">
        <v>109</v>
      </c>
      <c r="AA697" t="s">
        <v>1871</v>
      </c>
      <c r="AB697" t="s">
        <v>2396</v>
      </c>
    </row>
    <row r="698" spans="1:28" x14ac:dyDescent="0.3">
      <c r="A698" t="s">
        <v>1395</v>
      </c>
      <c r="B698">
        <v>3</v>
      </c>
      <c r="C698">
        <v>35</v>
      </c>
      <c r="D698">
        <v>52</v>
      </c>
      <c r="E698" t="s">
        <v>128</v>
      </c>
      <c r="F698" s="12">
        <v>45427</v>
      </c>
      <c r="G698" t="s">
        <v>503</v>
      </c>
      <c r="H698" s="12">
        <v>45427</v>
      </c>
      <c r="I698" t="s">
        <v>1469</v>
      </c>
      <c r="J698" t="s">
        <v>1290</v>
      </c>
      <c r="K698">
        <v>1</v>
      </c>
      <c r="L698">
        <v>37.299999999999997</v>
      </c>
      <c r="P698" t="s">
        <v>106</v>
      </c>
      <c r="Q698" t="s">
        <v>106</v>
      </c>
      <c r="R698" t="s">
        <v>106</v>
      </c>
      <c r="S698" t="s">
        <v>2397</v>
      </c>
      <c r="T698" t="s">
        <v>2200</v>
      </c>
      <c r="U698" t="s">
        <v>1359</v>
      </c>
      <c r="V698" t="s">
        <v>106</v>
      </c>
      <c r="W698" t="s">
        <v>443</v>
      </c>
      <c r="X698" t="s">
        <v>106</v>
      </c>
      <c r="Y698" t="s">
        <v>108</v>
      </c>
      <c r="Z698" t="s">
        <v>108</v>
      </c>
      <c r="AA698" t="s">
        <v>1871</v>
      </c>
      <c r="AB698" t="s">
        <v>2398</v>
      </c>
    </row>
    <row r="699" spans="1:28" x14ac:dyDescent="0.3">
      <c r="A699" t="s">
        <v>1395</v>
      </c>
      <c r="B699">
        <v>4</v>
      </c>
      <c r="C699">
        <v>60</v>
      </c>
      <c r="D699">
        <v>39</v>
      </c>
      <c r="E699" t="s">
        <v>128</v>
      </c>
      <c r="F699" s="12">
        <v>45427</v>
      </c>
      <c r="G699" t="s">
        <v>1881</v>
      </c>
      <c r="H699" s="12">
        <v>45426</v>
      </c>
      <c r="I699" t="s">
        <v>1879</v>
      </c>
      <c r="J699" t="s">
        <v>458</v>
      </c>
      <c r="K699">
        <v>2</v>
      </c>
      <c r="L699">
        <v>59</v>
      </c>
      <c r="P699" t="s">
        <v>106</v>
      </c>
      <c r="Q699" t="s">
        <v>106</v>
      </c>
      <c r="R699" t="s">
        <v>106</v>
      </c>
      <c r="S699" t="s">
        <v>106</v>
      </c>
      <c r="T699" t="s">
        <v>1101</v>
      </c>
      <c r="U699" t="s">
        <v>106</v>
      </c>
      <c r="V699" t="s">
        <v>106</v>
      </c>
      <c r="W699" t="s">
        <v>443</v>
      </c>
      <c r="X699" t="s">
        <v>106</v>
      </c>
      <c r="Y699" t="s">
        <v>108</v>
      </c>
      <c r="Z699" t="s">
        <v>109</v>
      </c>
      <c r="AA699" t="s">
        <v>1871</v>
      </c>
      <c r="AB699" t="s">
        <v>106</v>
      </c>
    </row>
    <row r="700" spans="1:28" x14ac:dyDescent="0.3">
      <c r="A700" t="s">
        <v>1395</v>
      </c>
      <c r="B700">
        <v>4</v>
      </c>
      <c r="C700">
        <v>60</v>
      </c>
      <c r="D700">
        <v>45</v>
      </c>
      <c r="E700" t="s">
        <v>128</v>
      </c>
      <c r="F700" s="12">
        <v>45427</v>
      </c>
      <c r="G700" t="s">
        <v>1346</v>
      </c>
      <c r="H700" s="12">
        <v>45427</v>
      </c>
      <c r="I700" t="s">
        <v>1663</v>
      </c>
      <c r="J700" t="s">
        <v>1290</v>
      </c>
      <c r="K700">
        <v>2</v>
      </c>
      <c r="L700">
        <v>60</v>
      </c>
      <c r="P700" t="s">
        <v>106</v>
      </c>
      <c r="Q700" t="s">
        <v>106</v>
      </c>
      <c r="R700" t="s">
        <v>106</v>
      </c>
      <c r="S700" t="s">
        <v>2534</v>
      </c>
      <c r="T700" t="s">
        <v>946</v>
      </c>
      <c r="U700" t="s">
        <v>1415</v>
      </c>
      <c r="V700" t="s">
        <v>106</v>
      </c>
      <c r="W700" t="s">
        <v>443</v>
      </c>
      <c r="X700" t="s">
        <v>106</v>
      </c>
      <c r="Y700" t="s">
        <v>108</v>
      </c>
      <c r="Z700" t="s">
        <v>104</v>
      </c>
      <c r="AA700" t="s">
        <v>1871</v>
      </c>
      <c r="AB700" t="s">
        <v>2671</v>
      </c>
    </row>
    <row r="701" spans="1:28" x14ac:dyDescent="0.3">
      <c r="A701" t="s">
        <v>1395</v>
      </c>
      <c r="B701">
        <v>4</v>
      </c>
      <c r="C701">
        <v>60</v>
      </c>
      <c r="D701">
        <v>60</v>
      </c>
      <c r="E701" t="s">
        <v>128</v>
      </c>
      <c r="F701" s="12">
        <v>45427</v>
      </c>
      <c r="G701" t="s">
        <v>797</v>
      </c>
      <c r="H701" s="12">
        <v>45427</v>
      </c>
      <c r="I701" t="s">
        <v>698</v>
      </c>
      <c r="J701" t="s">
        <v>1363</v>
      </c>
      <c r="K701">
        <v>2</v>
      </c>
      <c r="L701">
        <v>61</v>
      </c>
      <c r="P701" t="s">
        <v>106</v>
      </c>
      <c r="Q701" t="s">
        <v>106</v>
      </c>
      <c r="R701" t="s">
        <v>106</v>
      </c>
      <c r="S701" t="s">
        <v>106</v>
      </c>
      <c r="T701" t="s">
        <v>1850</v>
      </c>
      <c r="U701" t="s">
        <v>1410</v>
      </c>
      <c r="V701" t="s">
        <v>106</v>
      </c>
      <c r="W701" t="s">
        <v>373</v>
      </c>
      <c r="X701" t="s">
        <v>106</v>
      </c>
      <c r="Y701" t="s">
        <v>108</v>
      </c>
      <c r="Z701" t="s">
        <v>104</v>
      </c>
      <c r="AA701" t="s">
        <v>1871</v>
      </c>
      <c r="AB701" t="s">
        <v>106</v>
      </c>
    </row>
    <row r="702" spans="1:28" x14ac:dyDescent="0.3">
      <c r="A702" t="s">
        <v>1395</v>
      </c>
      <c r="B702">
        <v>4</v>
      </c>
      <c r="C702">
        <v>60</v>
      </c>
      <c r="D702">
        <v>59</v>
      </c>
      <c r="E702" t="s">
        <v>128</v>
      </c>
      <c r="F702" s="12">
        <v>45427</v>
      </c>
      <c r="G702" t="s">
        <v>797</v>
      </c>
      <c r="H702" s="12">
        <v>45427</v>
      </c>
      <c r="I702" t="s">
        <v>698</v>
      </c>
      <c r="J702" t="s">
        <v>1363</v>
      </c>
      <c r="K702">
        <v>1</v>
      </c>
      <c r="L702">
        <v>58.5</v>
      </c>
      <c r="P702" t="s">
        <v>106</v>
      </c>
      <c r="Q702" t="s">
        <v>106</v>
      </c>
      <c r="R702" t="s">
        <v>106</v>
      </c>
      <c r="S702" t="s">
        <v>106</v>
      </c>
      <c r="T702" t="s">
        <v>1747</v>
      </c>
      <c r="U702" t="s">
        <v>905</v>
      </c>
      <c r="V702" t="s">
        <v>106</v>
      </c>
      <c r="W702" t="s">
        <v>373</v>
      </c>
      <c r="X702" t="s">
        <v>106</v>
      </c>
      <c r="Y702" t="s">
        <v>108</v>
      </c>
      <c r="Z702" t="s">
        <v>104</v>
      </c>
      <c r="AA702" t="s">
        <v>1871</v>
      </c>
      <c r="AB702" t="s">
        <v>2672</v>
      </c>
    </row>
    <row r="703" spans="1:28" x14ac:dyDescent="0.3">
      <c r="A703" t="s">
        <v>1395</v>
      </c>
      <c r="B703">
        <v>4</v>
      </c>
      <c r="C703">
        <v>60</v>
      </c>
      <c r="D703">
        <v>67</v>
      </c>
      <c r="E703" t="s">
        <v>128</v>
      </c>
      <c r="F703" s="12">
        <v>45427</v>
      </c>
      <c r="G703" t="s">
        <v>1461</v>
      </c>
      <c r="H703" s="12">
        <v>45427</v>
      </c>
      <c r="I703" t="s">
        <v>331</v>
      </c>
      <c r="J703" t="s">
        <v>458</v>
      </c>
      <c r="K703">
        <v>1</v>
      </c>
      <c r="L703">
        <v>61.6</v>
      </c>
      <c r="P703" t="s">
        <v>106</v>
      </c>
      <c r="Q703" t="s">
        <v>106</v>
      </c>
      <c r="R703" t="s">
        <v>106</v>
      </c>
      <c r="S703" t="s">
        <v>1532</v>
      </c>
      <c r="T703" t="s">
        <v>1804</v>
      </c>
      <c r="U703" t="s">
        <v>1477</v>
      </c>
      <c r="V703" t="s">
        <v>106</v>
      </c>
      <c r="W703" t="s">
        <v>373</v>
      </c>
      <c r="X703" t="s">
        <v>106</v>
      </c>
      <c r="Y703" t="s">
        <v>108</v>
      </c>
      <c r="Z703" t="s">
        <v>104</v>
      </c>
      <c r="AA703" t="s">
        <v>1871</v>
      </c>
      <c r="AB703" t="s">
        <v>2673</v>
      </c>
    </row>
    <row r="704" spans="1:28" x14ac:dyDescent="0.3">
      <c r="A704" t="s">
        <v>1395</v>
      </c>
      <c r="B704">
        <v>4</v>
      </c>
      <c r="C704">
        <v>60</v>
      </c>
      <c r="D704">
        <v>68</v>
      </c>
      <c r="E704" t="s">
        <v>128</v>
      </c>
      <c r="F704" s="12">
        <v>45427</v>
      </c>
      <c r="G704" t="s">
        <v>1461</v>
      </c>
      <c r="H704" s="12">
        <v>45427</v>
      </c>
      <c r="I704" t="s">
        <v>331</v>
      </c>
      <c r="J704" t="s">
        <v>458</v>
      </c>
      <c r="K704">
        <v>2</v>
      </c>
      <c r="L704">
        <v>62</v>
      </c>
      <c r="P704" t="s">
        <v>106</v>
      </c>
      <c r="Q704" t="s">
        <v>106</v>
      </c>
      <c r="R704" t="s">
        <v>106</v>
      </c>
      <c r="S704" t="s">
        <v>106</v>
      </c>
      <c r="T704" t="s">
        <v>1495</v>
      </c>
      <c r="U704" t="s">
        <v>905</v>
      </c>
      <c r="V704" t="s">
        <v>106</v>
      </c>
      <c r="W704" t="s">
        <v>373</v>
      </c>
      <c r="X704" t="s">
        <v>106</v>
      </c>
      <c r="Y704" t="s">
        <v>108</v>
      </c>
      <c r="Z704" t="s">
        <v>104</v>
      </c>
      <c r="AA704" t="s">
        <v>1871</v>
      </c>
      <c r="AB704" t="s">
        <v>106</v>
      </c>
    </row>
    <row r="705" spans="1:28" x14ac:dyDescent="0.3">
      <c r="A705" t="s">
        <v>1395</v>
      </c>
      <c r="B705">
        <v>4</v>
      </c>
      <c r="C705">
        <v>60</v>
      </c>
      <c r="D705">
        <v>46</v>
      </c>
      <c r="E705" t="s">
        <v>128</v>
      </c>
      <c r="F705" s="12">
        <v>45427</v>
      </c>
      <c r="G705" t="s">
        <v>1346</v>
      </c>
      <c r="H705" s="12">
        <v>45427</v>
      </c>
      <c r="I705" t="s">
        <v>1663</v>
      </c>
      <c r="J705" t="s">
        <v>1290</v>
      </c>
      <c r="K705">
        <v>1</v>
      </c>
      <c r="L705">
        <v>57.3</v>
      </c>
      <c r="P705" t="s">
        <v>106</v>
      </c>
      <c r="Q705" t="s">
        <v>106</v>
      </c>
      <c r="R705" t="s">
        <v>106</v>
      </c>
      <c r="S705" t="s">
        <v>106</v>
      </c>
      <c r="T705" t="s">
        <v>1208</v>
      </c>
      <c r="U705" t="s">
        <v>1590</v>
      </c>
      <c r="V705" t="s">
        <v>106</v>
      </c>
      <c r="W705" t="s">
        <v>443</v>
      </c>
      <c r="X705" t="s">
        <v>106</v>
      </c>
      <c r="Y705" t="s">
        <v>108</v>
      </c>
      <c r="Z705" t="s">
        <v>104</v>
      </c>
      <c r="AA705" t="s">
        <v>1871</v>
      </c>
      <c r="AB705" t="s">
        <v>2674</v>
      </c>
    </row>
    <row r="706" spans="1:28" x14ac:dyDescent="0.3">
      <c r="A706" t="s">
        <v>1395</v>
      </c>
      <c r="B706">
        <v>4</v>
      </c>
      <c r="C706">
        <v>60</v>
      </c>
      <c r="D706">
        <v>54</v>
      </c>
      <c r="E706" t="s">
        <v>128</v>
      </c>
      <c r="F706" s="12">
        <v>45427</v>
      </c>
      <c r="G706" t="s">
        <v>419</v>
      </c>
      <c r="H706" s="12">
        <v>45427</v>
      </c>
      <c r="I706" t="s">
        <v>1469</v>
      </c>
      <c r="J706" t="s">
        <v>1290</v>
      </c>
      <c r="K706">
        <v>1</v>
      </c>
      <c r="L706">
        <v>61.7</v>
      </c>
      <c r="P706" t="s">
        <v>106</v>
      </c>
      <c r="Q706" t="s">
        <v>106</v>
      </c>
      <c r="R706" t="s">
        <v>106</v>
      </c>
      <c r="S706" t="s">
        <v>1917</v>
      </c>
      <c r="T706" t="s">
        <v>1145</v>
      </c>
      <c r="U706" t="s">
        <v>391</v>
      </c>
      <c r="V706" t="s">
        <v>106</v>
      </c>
      <c r="W706" t="s">
        <v>443</v>
      </c>
      <c r="X706" t="s">
        <v>106</v>
      </c>
      <c r="Y706" t="s">
        <v>108</v>
      </c>
      <c r="Z706" t="s">
        <v>108</v>
      </c>
      <c r="AA706" t="s">
        <v>1871</v>
      </c>
      <c r="AB706" t="s">
        <v>106</v>
      </c>
    </row>
    <row r="707" spans="1:28" x14ac:dyDescent="0.3">
      <c r="A707" t="s">
        <v>1395</v>
      </c>
      <c r="B707">
        <v>4</v>
      </c>
      <c r="C707">
        <v>60</v>
      </c>
      <c r="D707">
        <v>38</v>
      </c>
      <c r="E707" t="s">
        <v>128</v>
      </c>
      <c r="F707" s="12">
        <v>45427</v>
      </c>
      <c r="G707" t="s">
        <v>1881</v>
      </c>
      <c r="H707" s="12">
        <v>45426</v>
      </c>
      <c r="I707" t="s">
        <v>1879</v>
      </c>
      <c r="J707" t="s">
        <v>458</v>
      </c>
      <c r="K707">
        <v>1</v>
      </c>
      <c r="L707">
        <v>62.5</v>
      </c>
      <c r="P707" t="s">
        <v>106</v>
      </c>
      <c r="Q707" t="s">
        <v>106</v>
      </c>
      <c r="R707" t="s">
        <v>106</v>
      </c>
      <c r="S707" t="s">
        <v>106</v>
      </c>
      <c r="T707" t="s">
        <v>1097</v>
      </c>
      <c r="U707" t="s">
        <v>106</v>
      </c>
      <c r="V707" t="s">
        <v>106</v>
      </c>
      <c r="W707" t="s">
        <v>443</v>
      </c>
      <c r="X707" t="s">
        <v>106</v>
      </c>
      <c r="Y707" t="s">
        <v>108</v>
      </c>
      <c r="Z707" t="s">
        <v>109</v>
      </c>
      <c r="AA707" t="s">
        <v>1871</v>
      </c>
      <c r="AB707" t="s">
        <v>106</v>
      </c>
    </row>
    <row r="708" spans="1:28" x14ac:dyDescent="0.3">
      <c r="A708" t="s">
        <v>1395</v>
      </c>
      <c r="B708">
        <v>4</v>
      </c>
      <c r="C708">
        <v>60</v>
      </c>
      <c r="D708">
        <v>53</v>
      </c>
      <c r="E708" t="s">
        <v>128</v>
      </c>
      <c r="F708" s="12">
        <v>45427</v>
      </c>
      <c r="G708" t="s">
        <v>503</v>
      </c>
      <c r="H708" s="12">
        <v>45427</v>
      </c>
      <c r="I708" t="s">
        <v>1469</v>
      </c>
      <c r="J708" t="s">
        <v>1290</v>
      </c>
      <c r="K708">
        <v>2</v>
      </c>
      <c r="L708">
        <v>61.2</v>
      </c>
      <c r="P708" t="s">
        <v>106</v>
      </c>
      <c r="Q708" t="s">
        <v>106</v>
      </c>
      <c r="R708" t="s">
        <v>106</v>
      </c>
      <c r="S708" t="s">
        <v>1912</v>
      </c>
      <c r="T708" t="s">
        <v>2059</v>
      </c>
      <c r="U708" t="s">
        <v>1590</v>
      </c>
      <c r="V708" t="s">
        <v>106</v>
      </c>
      <c r="W708" t="s">
        <v>443</v>
      </c>
      <c r="X708" t="s">
        <v>106</v>
      </c>
      <c r="Y708" t="s">
        <v>108</v>
      </c>
      <c r="Z708" t="s">
        <v>108</v>
      </c>
      <c r="AA708" t="s">
        <v>1871</v>
      </c>
      <c r="AB708" t="s">
        <v>2675</v>
      </c>
    </row>
    <row r="709" spans="1:28" x14ac:dyDescent="0.3">
      <c r="A709" t="s">
        <v>1395</v>
      </c>
      <c r="B709">
        <v>4</v>
      </c>
      <c r="C709">
        <v>60</v>
      </c>
      <c r="D709">
        <v>31</v>
      </c>
      <c r="E709" t="s">
        <v>128</v>
      </c>
      <c r="F709" s="12">
        <v>45427</v>
      </c>
      <c r="G709" t="s">
        <v>1882</v>
      </c>
      <c r="H709" s="12">
        <v>45426</v>
      </c>
      <c r="I709" t="s">
        <v>1879</v>
      </c>
      <c r="J709" t="s">
        <v>458</v>
      </c>
      <c r="K709">
        <v>2</v>
      </c>
      <c r="L709">
        <v>63.6</v>
      </c>
      <c r="P709" t="s">
        <v>106</v>
      </c>
      <c r="Q709" t="s">
        <v>106</v>
      </c>
      <c r="R709" t="s">
        <v>106</v>
      </c>
      <c r="S709" t="s">
        <v>106</v>
      </c>
      <c r="T709" t="s">
        <v>1403</v>
      </c>
      <c r="U709" t="s">
        <v>427</v>
      </c>
      <c r="V709" t="s">
        <v>106</v>
      </c>
      <c r="W709" t="s">
        <v>443</v>
      </c>
      <c r="X709" t="s">
        <v>106</v>
      </c>
      <c r="Y709" t="s">
        <v>108</v>
      </c>
      <c r="Z709" t="s">
        <v>109</v>
      </c>
      <c r="AA709" t="s">
        <v>1871</v>
      </c>
      <c r="AB709" t="s">
        <v>2676</v>
      </c>
    </row>
    <row r="710" spans="1:28" x14ac:dyDescent="0.3">
      <c r="A710" t="s">
        <v>1395</v>
      </c>
      <c r="B710">
        <v>4</v>
      </c>
      <c r="C710">
        <v>60</v>
      </c>
      <c r="D710">
        <v>30</v>
      </c>
      <c r="E710" t="s">
        <v>128</v>
      </c>
      <c r="F710" s="12">
        <v>45427</v>
      </c>
      <c r="G710" t="s">
        <v>1882</v>
      </c>
      <c r="H710" s="12">
        <v>45426</v>
      </c>
      <c r="I710" t="s">
        <v>1879</v>
      </c>
      <c r="J710" t="s">
        <v>458</v>
      </c>
      <c r="K710">
        <v>1</v>
      </c>
      <c r="L710">
        <v>61.2</v>
      </c>
      <c r="P710" t="s">
        <v>106</v>
      </c>
      <c r="Q710" t="s">
        <v>106</v>
      </c>
      <c r="R710" t="s">
        <v>106</v>
      </c>
      <c r="S710" t="s">
        <v>106</v>
      </c>
      <c r="T710" t="s">
        <v>1278</v>
      </c>
      <c r="U710" t="s">
        <v>391</v>
      </c>
      <c r="V710" t="s">
        <v>106</v>
      </c>
      <c r="W710" t="s">
        <v>443</v>
      </c>
      <c r="X710" t="s">
        <v>106</v>
      </c>
      <c r="Y710" t="s">
        <v>108</v>
      </c>
      <c r="Z710" t="s">
        <v>109</v>
      </c>
      <c r="AA710" t="s">
        <v>1871</v>
      </c>
      <c r="AB710" t="s">
        <v>715</v>
      </c>
    </row>
    <row r="711" spans="1:28" x14ac:dyDescent="0.3">
      <c r="A711" t="s">
        <v>1395</v>
      </c>
      <c r="B711">
        <v>4</v>
      </c>
      <c r="C711">
        <v>60</v>
      </c>
      <c r="D711">
        <v>29</v>
      </c>
      <c r="E711" t="s">
        <v>128</v>
      </c>
      <c r="F711" s="12">
        <v>45427</v>
      </c>
      <c r="G711" t="s">
        <v>1882</v>
      </c>
      <c r="H711" s="12">
        <v>45426</v>
      </c>
      <c r="I711" t="s">
        <v>1883</v>
      </c>
      <c r="J711" t="s">
        <v>458</v>
      </c>
      <c r="K711">
        <v>2</v>
      </c>
      <c r="L711">
        <v>63.1</v>
      </c>
      <c r="P711" t="s">
        <v>106</v>
      </c>
      <c r="Q711" t="s">
        <v>106</v>
      </c>
      <c r="R711" t="s">
        <v>106</v>
      </c>
      <c r="S711" t="s">
        <v>2309</v>
      </c>
      <c r="T711" t="s">
        <v>1536</v>
      </c>
      <c r="U711" t="s">
        <v>1359</v>
      </c>
      <c r="V711" t="s">
        <v>106</v>
      </c>
      <c r="W711" t="s">
        <v>443</v>
      </c>
      <c r="X711" t="s">
        <v>106</v>
      </c>
      <c r="Y711" t="s">
        <v>108</v>
      </c>
      <c r="Z711" t="s">
        <v>109</v>
      </c>
      <c r="AA711" t="s">
        <v>1871</v>
      </c>
      <c r="AB711" t="s">
        <v>106</v>
      </c>
    </row>
    <row r="712" spans="1:28" x14ac:dyDescent="0.3">
      <c r="A712" t="s">
        <v>1395</v>
      </c>
      <c r="B712">
        <v>4</v>
      </c>
      <c r="C712">
        <v>60</v>
      </c>
      <c r="D712">
        <v>25</v>
      </c>
      <c r="E712" t="s">
        <v>128</v>
      </c>
      <c r="F712" s="12">
        <v>45427</v>
      </c>
      <c r="G712" t="s">
        <v>2395</v>
      </c>
      <c r="H712" s="12">
        <v>45426</v>
      </c>
      <c r="I712" t="s">
        <v>1883</v>
      </c>
      <c r="J712" t="s">
        <v>458</v>
      </c>
      <c r="K712">
        <v>2</v>
      </c>
      <c r="L712">
        <v>64.2</v>
      </c>
      <c r="P712" t="s">
        <v>106</v>
      </c>
      <c r="Q712" t="s">
        <v>106</v>
      </c>
      <c r="R712" t="s">
        <v>106</v>
      </c>
      <c r="S712" t="s">
        <v>1714</v>
      </c>
      <c r="T712" t="s">
        <v>996</v>
      </c>
      <c r="U712" t="s">
        <v>1626</v>
      </c>
      <c r="V712" t="s">
        <v>106</v>
      </c>
      <c r="W712" t="s">
        <v>443</v>
      </c>
      <c r="X712" t="s">
        <v>106</v>
      </c>
      <c r="Y712" t="s">
        <v>108</v>
      </c>
      <c r="Z712" t="s">
        <v>109</v>
      </c>
      <c r="AA712" t="s">
        <v>1871</v>
      </c>
      <c r="AB712" t="s">
        <v>106</v>
      </c>
    </row>
    <row r="713" spans="1:28" x14ac:dyDescent="0.3">
      <c r="A713" t="s">
        <v>1395</v>
      </c>
      <c r="B713">
        <v>1</v>
      </c>
      <c r="C713">
        <v>0</v>
      </c>
      <c r="D713">
        <v>90</v>
      </c>
      <c r="E713" t="s">
        <v>128</v>
      </c>
      <c r="F713" s="12">
        <v>45428</v>
      </c>
      <c r="G713" t="s">
        <v>1406</v>
      </c>
      <c r="H713" s="12">
        <v>45427</v>
      </c>
      <c r="I713" t="s">
        <v>1407</v>
      </c>
      <c r="J713" t="s">
        <v>458</v>
      </c>
      <c r="K713">
        <v>2</v>
      </c>
      <c r="L713">
        <v>0</v>
      </c>
      <c r="P713" t="s">
        <v>106</v>
      </c>
      <c r="Q713" t="s">
        <v>106</v>
      </c>
      <c r="R713" t="s">
        <v>106</v>
      </c>
      <c r="S713" t="s">
        <v>1408</v>
      </c>
      <c r="T713" t="s">
        <v>1409</v>
      </c>
      <c r="U713" t="s">
        <v>1410</v>
      </c>
      <c r="V713" t="s">
        <v>106</v>
      </c>
      <c r="W713" t="s">
        <v>443</v>
      </c>
      <c r="X713" t="s">
        <v>106</v>
      </c>
      <c r="Y713" t="s">
        <v>108</v>
      </c>
      <c r="Z713" t="s">
        <v>104</v>
      </c>
      <c r="AA713" t="s">
        <v>1316</v>
      </c>
      <c r="AB713" t="s">
        <v>106</v>
      </c>
    </row>
    <row r="714" spans="1:28" x14ac:dyDescent="0.3">
      <c r="A714" t="s">
        <v>1395</v>
      </c>
      <c r="B714">
        <v>1</v>
      </c>
      <c r="C714">
        <v>0</v>
      </c>
      <c r="D714">
        <v>91</v>
      </c>
      <c r="E714" t="s">
        <v>128</v>
      </c>
      <c r="F714" s="12">
        <v>45428</v>
      </c>
      <c r="G714" t="s">
        <v>1406</v>
      </c>
      <c r="H714" s="12">
        <v>45427</v>
      </c>
      <c r="I714" t="s">
        <v>1407</v>
      </c>
      <c r="J714" t="s">
        <v>458</v>
      </c>
      <c r="K714">
        <v>2</v>
      </c>
      <c r="L714">
        <v>0</v>
      </c>
      <c r="P714" t="s">
        <v>106</v>
      </c>
      <c r="Q714" t="s">
        <v>106</v>
      </c>
      <c r="R714" t="s">
        <v>106</v>
      </c>
      <c r="S714" t="s">
        <v>106</v>
      </c>
      <c r="T714" t="s">
        <v>1274</v>
      </c>
      <c r="U714" t="s">
        <v>1411</v>
      </c>
      <c r="V714" t="s">
        <v>106</v>
      </c>
      <c r="W714" t="s">
        <v>443</v>
      </c>
      <c r="X714" t="s">
        <v>106</v>
      </c>
      <c r="Y714" t="s">
        <v>108</v>
      </c>
      <c r="Z714" t="s">
        <v>104</v>
      </c>
      <c r="AA714" t="s">
        <v>1316</v>
      </c>
      <c r="AB714" t="s">
        <v>106</v>
      </c>
    </row>
    <row r="715" spans="1:28" x14ac:dyDescent="0.3">
      <c r="A715" t="s">
        <v>1395</v>
      </c>
      <c r="B715">
        <v>2</v>
      </c>
      <c r="C715">
        <v>15</v>
      </c>
      <c r="D715">
        <v>94</v>
      </c>
      <c r="E715" t="s">
        <v>128</v>
      </c>
      <c r="F715" s="12">
        <v>45428</v>
      </c>
      <c r="G715" t="s">
        <v>501</v>
      </c>
      <c r="H715" s="12">
        <v>45428</v>
      </c>
      <c r="I715" t="s">
        <v>1636</v>
      </c>
      <c r="J715" t="s">
        <v>1290</v>
      </c>
      <c r="K715">
        <v>2</v>
      </c>
      <c r="L715">
        <v>17.5</v>
      </c>
      <c r="P715" t="s">
        <v>106</v>
      </c>
      <c r="Q715" t="s">
        <v>106</v>
      </c>
      <c r="R715" t="s">
        <v>106</v>
      </c>
      <c r="S715" t="s">
        <v>106</v>
      </c>
      <c r="T715" t="s">
        <v>1097</v>
      </c>
      <c r="U715" t="s">
        <v>106</v>
      </c>
      <c r="V715" t="s">
        <v>106</v>
      </c>
      <c r="W715" t="s">
        <v>443</v>
      </c>
      <c r="X715" t="s">
        <v>106</v>
      </c>
      <c r="Y715" t="s">
        <v>108</v>
      </c>
      <c r="Z715" t="s">
        <v>109</v>
      </c>
      <c r="AA715" t="s">
        <v>1897</v>
      </c>
      <c r="AB715" t="s">
        <v>106</v>
      </c>
    </row>
    <row r="716" spans="1:28" x14ac:dyDescent="0.3">
      <c r="A716" t="s">
        <v>1395</v>
      </c>
      <c r="B716">
        <v>2</v>
      </c>
      <c r="C716">
        <v>15</v>
      </c>
      <c r="D716">
        <v>69</v>
      </c>
      <c r="E716" t="s">
        <v>128</v>
      </c>
      <c r="F716" s="12">
        <v>45428</v>
      </c>
      <c r="G716" t="s">
        <v>1898</v>
      </c>
      <c r="H716" s="12">
        <v>45427</v>
      </c>
      <c r="I716" t="s">
        <v>1633</v>
      </c>
      <c r="J716" t="s">
        <v>458</v>
      </c>
      <c r="K716">
        <v>2</v>
      </c>
      <c r="L716">
        <v>15.6</v>
      </c>
      <c r="P716" t="s">
        <v>106</v>
      </c>
      <c r="Q716" t="s">
        <v>106</v>
      </c>
      <c r="R716" t="s">
        <v>106</v>
      </c>
      <c r="S716" t="s">
        <v>106</v>
      </c>
      <c r="T716" t="s">
        <v>1899</v>
      </c>
      <c r="U716" t="s">
        <v>1591</v>
      </c>
      <c r="V716" t="s">
        <v>106</v>
      </c>
      <c r="W716" t="s">
        <v>443</v>
      </c>
      <c r="X716" t="s">
        <v>106</v>
      </c>
      <c r="Y716" t="s">
        <v>108</v>
      </c>
      <c r="Z716" t="s">
        <v>109</v>
      </c>
      <c r="AA716" t="s">
        <v>1897</v>
      </c>
      <c r="AB716" t="s">
        <v>1900</v>
      </c>
    </row>
    <row r="717" spans="1:28" x14ac:dyDescent="0.3">
      <c r="A717" t="s">
        <v>1395</v>
      </c>
      <c r="B717">
        <v>2</v>
      </c>
      <c r="C717">
        <v>15</v>
      </c>
      <c r="D717">
        <v>70</v>
      </c>
      <c r="E717" t="s">
        <v>128</v>
      </c>
      <c r="F717" s="12">
        <v>45428</v>
      </c>
      <c r="G717" t="s">
        <v>472</v>
      </c>
      <c r="H717" s="12">
        <v>45427</v>
      </c>
      <c r="I717" t="s">
        <v>1633</v>
      </c>
      <c r="J717" t="s">
        <v>458</v>
      </c>
      <c r="K717">
        <v>2</v>
      </c>
      <c r="L717">
        <v>15.7</v>
      </c>
      <c r="P717" t="s">
        <v>106</v>
      </c>
      <c r="Q717" t="s">
        <v>106</v>
      </c>
      <c r="R717" t="s">
        <v>106</v>
      </c>
      <c r="S717" t="s">
        <v>1511</v>
      </c>
      <c r="T717" t="s">
        <v>1899</v>
      </c>
      <c r="U717" t="s">
        <v>391</v>
      </c>
      <c r="V717" t="s">
        <v>106</v>
      </c>
      <c r="W717" t="s">
        <v>443</v>
      </c>
      <c r="X717" t="s">
        <v>106</v>
      </c>
      <c r="Y717" t="s">
        <v>108</v>
      </c>
      <c r="Z717" t="s">
        <v>109</v>
      </c>
      <c r="AA717" t="s">
        <v>1897</v>
      </c>
      <c r="AB717" t="s">
        <v>1901</v>
      </c>
    </row>
    <row r="718" spans="1:28" x14ac:dyDescent="0.3">
      <c r="A718" t="s">
        <v>1395</v>
      </c>
      <c r="B718">
        <v>2</v>
      </c>
      <c r="C718">
        <v>15</v>
      </c>
      <c r="D718">
        <v>71</v>
      </c>
      <c r="E718" t="s">
        <v>308</v>
      </c>
      <c r="F718" s="12">
        <v>45428</v>
      </c>
      <c r="G718" t="s">
        <v>472</v>
      </c>
      <c r="H718" s="12">
        <v>45427</v>
      </c>
      <c r="I718" t="s">
        <v>1633</v>
      </c>
      <c r="J718" t="s">
        <v>458</v>
      </c>
      <c r="K718">
        <v>2</v>
      </c>
      <c r="L718">
        <v>15.1</v>
      </c>
      <c r="P718" t="s">
        <v>106</v>
      </c>
      <c r="Q718" t="s">
        <v>106</v>
      </c>
      <c r="R718" t="s">
        <v>106</v>
      </c>
      <c r="S718" t="s">
        <v>106</v>
      </c>
      <c r="T718" t="s">
        <v>1459</v>
      </c>
      <c r="U718" t="s">
        <v>106</v>
      </c>
      <c r="V718" t="s">
        <v>106</v>
      </c>
      <c r="W718" t="s">
        <v>443</v>
      </c>
      <c r="X718" t="s">
        <v>106</v>
      </c>
      <c r="Y718" t="s">
        <v>108</v>
      </c>
      <c r="Z718" t="s">
        <v>109</v>
      </c>
      <c r="AA718" t="s">
        <v>1897</v>
      </c>
      <c r="AB718" t="s">
        <v>1902</v>
      </c>
    </row>
    <row r="719" spans="1:28" x14ac:dyDescent="0.3">
      <c r="A719" t="s">
        <v>1395</v>
      </c>
      <c r="B719">
        <v>2</v>
      </c>
      <c r="C719">
        <v>15</v>
      </c>
      <c r="D719">
        <v>114</v>
      </c>
      <c r="E719" t="s">
        <v>128</v>
      </c>
      <c r="F719" s="12">
        <v>45428</v>
      </c>
      <c r="G719" t="s">
        <v>1903</v>
      </c>
      <c r="H719" s="12">
        <v>45428</v>
      </c>
      <c r="I719" t="s">
        <v>322</v>
      </c>
      <c r="J719" t="s">
        <v>458</v>
      </c>
      <c r="K719">
        <v>2</v>
      </c>
      <c r="L719">
        <v>15.9</v>
      </c>
      <c r="P719" t="s">
        <v>106</v>
      </c>
      <c r="Q719" t="s">
        <v>106</v>
      </c>
      <c r="R719" t="s">
        <v>106</v>
      </c>
      <c r="S719" t="s">
        <v>106</v>
      </c>
      <c r="T719" t="s">
        <v>722</v>
      </c>
      <c r="U719" t="s">
        <v>391</v>
      </c>
      <c r="V719" t="s">
        <v>106</v>
      </c>
      <c r="W719" t="s">
        <v>373</v>
      </c>
      <c r="X719" t="s">
        <v>106</v>
      </c>
      <c r="Y719" t="s">
        <v>108</v>
      </c>
      <c r="Z719" t="s">
        <v>109</v>
      </c>
      <c r="AA719" t="s">
        <v>1897</v>
      </c>
      <c r="AB719" t="s">
        <v>1904</v>
      </c>
    </row>
    <row r="720" spans="1:28" x14ac:dyDescent="0.3">
      <c r="A720" t="s">
        <v>1395</v>
      </c>
      <c r="B720">
        <v>2</v>
      </c>
      <c r="C720">
        <v>15</v>
      </c>
      <c r="D720">
        <v>110</v>
      </c>
      <c r="E720" t="s">
        <v>128</v>
      </c>
      <c r="F720" s="12">
        <v>45428</v>
      </c>
      <c r="G720" t="s">
        <v>457</v>
      </c>
      <c r="H720" s="12">
        <v>45428</v>
      </c>
      <c r="I720" t="s">
        <v>1520</v>
      </c>
      <c r="J720" t="s">
        <v>1290</v>
      </c>
      <c r="K720">
        <v>2</v>
      </c>
      <c r="L720">
        <v>15.6</v>
      </c>
      <c r="P720" t="s">
        <v>106</v>
      </c>
      <c r="Q720" t="s">
        <v>106</v>
      </c>
      <c r="R720" t="s">
        <v>106</v>
      </c>
      <c r="S720" t="s">
        <v>106</v>
      </c>
      <c r="T720" t="s">
        <v>1822</v>
      </c>
      <c r="U720" t="s">
        <v>430</v>
      </c>
      <c r="V720" t="s">
        <v>106</v>
      </c>
      <c r="W720" t="s">
        <v>443</v>
      </c>
      <c r="X720" t="s">
        <v>106</v>
      </c>
      <c r="Y720" t="s">
        <v>108</v>
      </c>
      <c r="Z720" t="s">
        <v>108</v>
      </c>
      <c r="AA720" t="s">
        <v>1419</v>
      </c>
      <c r="AB720" t="s">
        <v>106</v>
      </c>
    </row>
    <row r="721" spans="1:28" x14ac:dyDescent="0.3">
      <c r="A721" t="s">
        <v>1395</v>
      </c>
      <c r="B721">
        <v>2</v>
      </c>
      <c r="C721">
        <v>15</v>
      </c>
      <c r="D721">
        <v>89</v>
      </c>
      <c r="E721" t="s">
        <v>128</v>
      </c>
      <c r="F721" s="12">
        <v>45428</v>
      </c>
      <c r="G721" t="s">
        <v>1406</v>
      </c>
      <c r="H721" s="12">
        <v>45427</v>
      </c>
      <c r="I721" t="s">
        <v>1407</v>
      </c>
      <c r="J721" t="s">
        <v>458</v>
      </c>
      <c r="K721">
        <v>2</v>
      </c>
      <c r="L721">
        <v>15.7</v>
      </c>
      <c r="P721" t="s">
        <v>106</v>
      </c>
      <c r="Q721" t="s">
        <v>106</v>
      </c>
      <c r="R721" t="s">
        <v>106</v>
      </c>
      <c r="S721" t="s">
        <v>1893</v>
      </c>
      <c r="T721" t="s">
        <v>1808</v>
      </c>
      <c r="U721" t="s">
        <v>1615</v>
      </c>
      <c r="V721" t="s">
        <v>106</v>
      </c>
      <c r="W721" t="s">
        <v>443</v>
      </c>
      <c r="X721" t="s">
        <v>106</v>
      </c>
      <c r="Y721" t="s">
        <v>108</v>
      </c>
      <c r="Z721" t="s">
        <v>104</v>
      </c>
      <c r="AA721" t="s">
        <v>1897</v>
      </c>
      <c r="AB721" t="s">
        <v>106</v>
      </c>
    </row>
    <row r="722" spans="1:28" x14ac:dyDescent="0.3">
      <c r="A722" t="s">
        <v>1395</v>
      </c>
      <c r="B722">
        <v>2</v>
      </c>
      <c r="C722">
        <v>15</v>
      </c>
      <c r="D722">
        <v>104</v>
      </c>
      <c r="E722" t="s">
        <v>128</v>
      </c>
      <c r="F722" s="12">
        <v>45428</v>
      </c>
      <c r="G722" t="s">
        <v>139</v>
      </c>
      <c r="H722" s="12">
        <v>45428</v>
      </c>
      <c r="I722" t="s">
        <v>805</v>
      </c>
      <c r="J722" t="s">
        <v>1290</v>
      </c>
      <c r="K722">
        <v>2</v>
      </c>
      <c r="L722">
        <v>17.2</v>
      </c>
      <c r="P722" t="s">
        <v>106</v>
      </c>
      <c r="Q722" t="s">
        <v>106</v>
      </c>
      <c r="R722" t="s">
        <v>106</v>
      </c>
      <c r="S722" t="s">
        <v>106</v>
      </c>
      <c r="T722" t="s">
        <v>1235</v>
      </c>
      <c r="U722" t="s">
        <v>106</v>
      </c>
      <c r="V722" t="s">
        <v>106</v>
      </c>
      <c r="W722" t="s">
        <v>443</v>
      </c>
      <c r="X722" t="s">
        <v>106</v>
      </c>
      <c r="Y722" t="s">
        <v>108</v>
      </c>
      <c r="Z722" t="s">
        <v>109</v>
      </c>
      <c r="AA722" t="s">
        <v>1419</v>
      </c>
      <c r="AB722" t="s">
        <v>106</v>
      </c>
    </row>
    <row r="723" spans="1:28" x14ac:dyDescent="0.3">
      <c r="A723" t="s">
        <v>1395</v>
      </c>
      <c r="B723">
        <v>2</v>
      </c>
      <c r="C723">
        <v>15</v>
      </c>
      <c r="D723">
        <v>103</v>
      </c>
      <c r="E723" t="s">
        <v>128</v>
      </c>
      <c r="F723" s="12">
        <v>45428</v>
      </c>
      <c r="G723" t="s">
        <v>139</v>
      </c>
      <c r="H723" s="12">
        <v>45428</v>
      </c>
      <c r="I723" t="s">
        <v>805</v>
      </c>
      <c r="J723" t="s">
        <v>1290</v>
      </c>
      <c r="K723">
        <v>2</v>
      </c>
      <c r="L723">
        <v>17.2</v>
      </c>
      <c r="P723" t="s">
        <v>106</v>
      </c>
      <c r="Q723" t="s">
        <v>106</v>
      </c>
      <c r="R723" t="s">
        <v>106</v>
      </c>
      <c r="S723" t="s">
        <v>1667</v>
      </c>
      <c r="T723" t="s">
        <v>1808</v>
      </c>
      <c r="U723" t="s">
        <v>106</v>
      </c>
      <c r="V723" t="s">
        <v>106</v>
      </c>
      <c r="W723" t="s">
        <v>443</v>
      </c>
      <c r="X723" t="s">
        <v>106</v>
      </c>
      <c r="Y723" t="s">
        <v>108</v>
      </c>
      <c r="Z723" t="s">
        <v>109</v>
      </c>
      <c r="AA723" t="s">
        <v>1419</v>
      </c>
      <c r="AB723" t="s">
        <v>106</v>
      </c>
    </row>
    <row r="724" spans="1:28" x14ac:dyDescent="0.3">
      <c r="A724" t="s">
        <v>1395</v>
      </c>
      <c r="B724">
        <v>2</v>
      </c>
      <c r="C724">
        <v>15</v>
      </c>
      <c r="D724">
        <v>81</v>
      </c>
      <c r="E724" t="s">
        <v>128</v>
      </c>
      <c r="F724" s="12">
        <v>45428</v>
      </c>
      <c r="G724" t="s">
        <v>1905</v>
      </c>
      <c r="H724" s="12">
        <v>45427</v>
      </c>
      <c r="I724" t="s">
        <v>978</v>
      </c>
      <c r="J724" t="s">
        <v>458</v>
      </c>
      <c r="K724">
        <v>2</v>
      </c>
      <c r="L724">
        <v>15.7</v>
      </c>
      <c r="P724" t="s">
        <v>106</v>
      </c>
      <c r="Q724" t="s">
        <v>106</v>
      </c>
      <c r="R724" t="s">
        <v>106</v>
      </c>
      <c r="S724" t="s">
        <v>1906</v>
      </c>
      <c r="T724" t="s">
        <v>1431</v>
      </c>
      <c r="U724" t="s">
        <v>427</v>
      </c>
      <c r="V724" t="s">
        <v>106</v>
      </c>
      <c r="W724" t="s">
        <v>443</v>
      </c>
      <c r="X724" t="s">
        <v>106</v>
      </c>
      <c r="Y724" t="s">
        <v>108</v>
      </c>
      <c r="Z724" t="s">
        <v>109</v>
      </c>
      <c r="AA724" t="s">
        <v>1897</v>
      </c>
      <c r="AB724" t="s">
        <v>1907</v>
      </c>
    </row>
    <row r="725" spans="1:28" x14ac:dyDescent="0.3">
      <c r="A725" t="s">
        <v>1395</v>
      </c>
      <c r="B725">
        <v>2</v>
      </c>
      <c r="C725">
        <v>15</v>
      </c>
      <c r="D725">
        <v>98</v>
      </c>
      <c r="E725" t="s">
        <v>308</v>
      </c>
      <c r="F725" s="12">
        <v>45428</v>
      </c>
      <c r="G725" t="s">
        <v>313</v>
      </c>
      <c r="H725" s="12">
        <v>45428</v>
      </c>
      <c r="I725" t="s">
        <v>805</v>
      </c>
      <c r="J725" t="s">
        <v>1290</v>
      </c>
      <c r="K725">
        <v>2</v>
      </c>
      <c r="L725">
        <v>17.399999999999999</v>
      </c>
      <c r="P725" t="s">
        <v>106</v>
      </c>
      <c r="Q725" t="s">
        <v>106</v>
      </c>
      <c r="R725" t="s">
        <v>106</v>
      </c>
      <c r="S725" t="s">
        <v>1908</v>
      </c>
      <c r="T725" t="s">
        <v>1291</v>
      </c>
      <c r="U725" t="s">
        <v>1477</v>
      </c>
      <c r="V725" t="s">
        <v>106</v>
      </c>
      <c r="W725" t="s">
        <v>443</v>
      </c>
      <c r="X725" t="s">
        <v>106</v>
      </c>
      <c r="Y725" t="s">
        <v>108</v>
      </c>
      <c r="Z725" t="s">
        <v>109</v>
      </c>
      <c r="AA725" t="s">
        <v>1419</v>
      </c>
      <c r="AB725" t="s">
        <v>1900</v>
      </c>
    </row>
    <row r="726" spans="1:28" x14ac:dyDescent="0.3">
      <c r="A726" t="s">
        <v>1395</v>
      </c>
      <c r="B726">
        <v>2</v>
      </c>
      <c r="C726">
        <v>15</v>
      </c>
      <c r="D726">
        <v>88</v>
      </c>
      <c r="E726" t="s">
        <v>128</v>
      </c>
      <c r="F726" s="12">
        <v>45428</v>
      </c>
      <c r="G726" t="s">
        <v>1406</v>
      </c>
      <c r="H726" s="12">
        <v>45427</v>
      </c>
      <c r="I726" t="s">
        <v>1407</v>
      </c>
      <c r="J726" t="s">
        <v>458</v>
      </c>
      <c r="K726">
        <v>2</v>
      </c>
      <c r="L726">
        <v>15.6</v>
      </c>
      <c r="P726" t="s">
        <v>106</v>
      </c>
      <c r="Q726" t="s">
        <v>106</v>
      </c>
      <c r="R726" t="s">
        <v>106</v>
      </c>
      <c r="S726" t="s">
        <v>106</v>
      </c>
      <c r="T726" t="s">
        <v>1899</v>
      </c>
      <c r="U726" t="s">
        <v>905</v>
      </c>
      <c r="V726" t="s">
        <v>106</v>
      </c>
      <c r="W726" t="s">
        <v>443</v>
      </c>
      <c r="X726" t="s">
        <v>106</v>
      </c>
      <c r="Y726" t="s">
        <v>108</v>
      </c>
      <c r="Z726" t="s">
        <v>104</v>
      </c>
      <c r="AA726" t="s">
        <v>1897</v>
      </c>
      <c r="AB726" t="s">
        <v>1909</v>
      </c>
    </row>
    <row r="727" spans="1:28" x14ac:dyDescent="0.3">
      <c r="A727" t="s">
        <v>1395</v>
      </c>
      <c r="B727">
        <v>2</v>
      </c>
      <c r="C727">
        <v>15</v>
      </c>
      <c r="D727">
        <v>95</v>
      </c>
      <c r="E727" t="s">
        <v>128</v>
      </c>
      <c r="F727" s="12">
        <v>45428</v>
      </c>
      <c r="G727" t="s">
        <v>499</v>
      </c>
      <c r="H727" s="12">
        <v>45428</v>
      </c>
      <c r="I727" t="s">
        <v>1636</v>
      </c>
      <c r="J727" t="s">
        <v>1290</v>
      </c>
      <c r="K727">
        <v>2</v>
      </c>
      <c r="L727">
        <v>17.7</v>
      </c>
      <c r="P727" t="s">
        <v>106</v>
      </c>
      <c r="Q727" t="s">
        <v>106</v>
      </c>
      <c r="R727" t="s">
        <v>106</v>
      </c>
      <c r="S727" t="s">
        <v>106</v>
      </c>
      <c r="T727" t="s">
        <v>1105</v>
      </c>
      <c r="U727" t="s">
        <v>106</v>
      </c>
      <c r="V727" t="s">
        <v>106</v>
      </c>
      <c r="W727" t="s">
        <v>443</v>
      </c>
      <c r="X727" t="s">
        <v>106</v>
      </c>
      <c r="Y727" t="s">
        <v>108</v>
      </c>
      <c r="Z727" t="s">
        <v>109</v>
      </c>
      <c r="AA727" t="s">
        <v>1897</v>
      </c>
      <c r="AB727" t="s">
        <v>106</v>
      </c>
    </row>
    <row r="728" spans="1:28" x14ac:dyDescent="0.3">
      <c r="A728" t="s">
        <v>1395</v>
      </c>
      <c r="B728">
        <v>2</v>
      </c>
      <c r="C728">
        <v>15</v>
      </c>
      <c r="D728">
        <v>113</v>
      </c>
      <c r="E728" t="s">
        <v>128</v>
      </c>
      <c r="F728" s="12">
        <v>45428</v>
      </c>
      <c r="G728" t="s">
        <v>883</v>
      </c>
      <c r="H728" s="12">
        <v>45428</v>
      </c>
      <c r="I728" t="s">
        <v>322</v>
      </c>
      <c r="J728" t="s">
        <v>458</v>
      </c>
      <c r="K728">
        <v>1</v>
      </c>
      <c r="L728">
        <v>16.7</v>
      </c>
      <c r="P728" t="s">
        <v>106</v>
      </c>
      <c r="Q728" t="s">
        <v>106</v>
      </c>
      <c r="R728" t="s">
        <v>106</v>
      </c>
      <c r="S728" t="s">
        <v>1399</v>
      </c>
      <c r="T728" t="s">
        <v>1495</v>
      </c>
      <c r="U728" t="s">
        <v>1415</v>
      </c>
      <c r="V728" t="s">
        <v>106</v>
      </c>
      <c r="W728" t="s">
        <v>373</v>
      </c>
      <c r="X728" t="s">
        <v>106</v>
      </c>
      <c r="Y728" t="s">
        <v>108</v>
      </c>
      <c r="Z728" t="s">
        <v>109</v>
      </c>
      <c r="AA728" t="s">
        <v>1897</v>
      </c>
      <c r="AB728" t="s">
        <v>715</v>
      </c>
    </row>
    <row r="729" spans="1:28" x14ac:dyDescent="0.3">
      <c r="A729" t="s">
        <v>1395</v>
      </c>
      <c r="B729">
        <v>2</v>
      </c>
      <c r="C729">
        <v>15</v>
      </c>
      <c r="D729">
        <v>80</v>
      </c>
      <c r="E729" t="s">
        <v>128</v>
      </c>
      <c r="F729" s="12">
        <v>45428</v>
      </c>
      <c r="G729" t="s">
        <v>1905</v>
      </c>
      <c r="H729" s="12">
        <v>45427</v>
      </c>
      <c r="I729" t="s">
        <v>978</v>
      </c>
      <c r="J729" t="s">
        <v>458</v>
      </c>
      <c r="K729">
        <v>2</v>
      </c>
      <c r="L729">
        <v>15.4</v>
      </c>
      <c r="P729" t="s">
        <v>106</v>
      </c>
      <c r="Q729" t="s">
        <v>106</v>
      </c>
      <c r="R729" t="s">
        <v>106</v>
      </c>
      <c r="S729" t="s">
        <v>106</v>
      </c>
      <c r="T729" t="s">
        <v>1910</v>
      </c>
      <c r="U729" t="s">
        <v>1410</v>
      </c>
      <c r="V729" t="s">
        <v>106</v>
      </c>
      <c r="W729" t="s">
        <v>443</v>
      </c>
      <c r="X729" t="s">
        <v>106</v>
      </c>
      <c r="Y729" t="s">
        <v>108</v>
      </c>
      <c r="Z729" t="s">
        <v>109</v>
      </c>
      <c r="AA729" t="s">
        <v>1897</v>
      </c>
      <c r="AB729" t="s">
        <v>1911</v>
      </c>
    </row>
    <row r="730" spans="1:28" x14ac:dyDescent="0.3">
      <c r="A730" t="s">
        <v>1395</v>
      </c>
      <c r="B730">
        <v>2</v>
      </c>
      <c r="C730">
        <v>15</v>
      </c>
      <c r="D730">
        <v>109</v>
      </c>
      <c r="E730" t="s">
        <v>128</v>
      </c>
      <c r="F730" s="12">
        <v>45428</v>
      </c>
      <c r="G730" t="s">
        <v>457</v>
      </c>
      <c r="H730" s="12">
        <v>45428</v>
      </c>
      <c r="I730" t="s">
        <v>1520</v>
      </c>
      <c r="J730" t="s">
        <v>1290</v>
      </c>
      <c r="K730">
        <v>2</v>
      </c>
      <c r="L730">
        <v>15.9</v>
      </c>
      <c r="P730" t="s">
        <v>106</v>
      </c>
      <c r="Q730" t="s">
        <v>106</v>
      </c>
      <c r="R730" t="s">
        <v>106</v>
      </c>
      <c r="S730" t="s">
        <v>1912</v>
      </c>
      <c r="T730" t="s">
        <v>1793</v>
      </c>
      <c r="U730" t="s">
        <v>1468</v>
      </c>
      <c r="V730" t="s">
        <v>106</v>
      </c>
      <c r="W730" t="s">
        <v>443</v>
      </c>
      <c r="X730" t="s">
        <v>106</v>
      </c>
      <c r="Y730" t="s">
        <v>108</v>
      </c>
      <c r="Z730" t="s">
        <v>108</v>
      </c>
      <c r="AA730" t="s">
        <v>1419</v>
      </c>
      <c r="AB730" t="s">
        <v>106</v>
      </c>
    </row>
    <row r="731" spans="1:28" x14ac:dyDescent="0.3">
      <c r="A731" t="s">
        <v>1395</v>
      </c>
      <c r="B731">
        <v>3</v>
      </c>
      <c r="C731">
        <v>35</v>
      </c>
      <c r="D731">
        <v>78</v>
      </c>
      <c r="E731" t="s">
        <v>128</v>
      </c>
      <c r="F731" s="12">
        <v>45428</v>
      </c>
      <c r="G731" t="s">
        <v>2198</v>
      </c>
      <c r="H731" s="12">
        <v>45427</v>
      </c>
      <c r="I731" t="s">
        <v>978</v>
      </c>
      <c r="J731" t="s">
        <v>458</v>
      </c>
      <c r="K731">
        <v>2</v>
      </c>
      <c r="L731">
        <v>36.1</v>
      </c>
      <c r="P731" t="s">
        <v>106</v>
      </c>
      <c r="Q731" t="s">
        <v>106</v>
      </c>
      <c r="R731" t="s">
        <v>106</v>
      </c>
      <c r="S731" t="s">
        <v>106</v>
      </c>
      <c r="T731" t="s">
        <v>1793</v>
      </c>
      <c r="U731" t="s">
        <v>1615</v>
      </c>
      <c r="V731" t="s">
        <v>106</v>
      </c>
      <c r="W731" t="s">
        <v>443</v>
      </c>
      <c r="X731" t="s">
        <v>106</v>
      </c>
      <c r="Y731" t="s">
        <v>108</v>
      </c>
      <c r="Z731" t="s">
        <v>108</v>
      </c>
      <c r="AA731" t="s">
        <v>1897</v>
      </c>
      <c r="AB731" t="s">
        <v>1900</v>
      </c>
    </row>
    <row r="732" spans="1:28" x14ac:dyDescent="0.3">
      <c r="A732" t="s">
        <v>1395</v>
      </c>
      <c r="B732">
        <v>3</v>
      </c>
      <c r="C732">
        <v>35</v>
      </c>
      <c r="D732">
        <v>79</v>
      </c>
      <c r="E732" t="s">
        <v>128</v>
      </c>
      <c r="F732" s="12">
        <v>45428</v>
      </c>
      <c r="G732" t="s">
        <v>2198</v>
      </c>
      <c r="H732" s="12">
        <v>45427</v>
      </c>
      <c r="I732" t="s">
        <v>978</v>
      </c>
      <c r="J732" t="s">
        <v>458</v>
      </c>
      <c r="K732">
        <v>2</v>
      </c>
      <c r="L732">
        <v>36.700000000000003</v>
      </c>
      <c r="P732" t="s">
        <v>106</v>
      </c>
      <c r="Q732" t="s">
        <v>106</v>
      </c>
      <c r="R732" t="s">
        <v>106</v>
      </c>
      <c r="S732" t="s">
        <v>2374</v>
      </c>
      <c r="T732" t="s">
        <v>1793</v>
      </c>
      <c r="U732" t="s">
        <v>1415</v>
      </c>
      <c r="V732" t="s">
        <v>106</v>
      </c>
      <c r="W732" t="s">
        <v>443</v>
      </c>
      <c r="X732" t="s">
        <v>106</v>
      </c>
      <c r="Y732" t="s">
        <v>108</v>
      </c>
      <c r="Z732" t="s">
        <v>108</v>
      </c>
      <c r="AA732" t="s">
        <v>1897</v>
      </c>
      <c r="AB732" t="s">
        <v>2399</v>
      </c>
    </row>
    <row r="733" spans="1:28" x14ac:dyDescent="0.3">
      <c r="A733" t="s">
        <v>1395</v>
      </c>
      <c r="B733">
        <v>3</v>
      </c>
      <c r="C733">
        <v>35</v>
      </c>
      <c r="D733">
        <v>86</v>
      </c>
      <c r="E733" t="s">
        <v>128</v>
      </c>
      <c r="F733" s="12">
        <v>45428</v>
      </c>
      <c r="G733" t="s">
        <v>1882</v>
      </c>
      <c r="H733" s="12">
        <v>45427</v>
      </c>
      <c r="I733" t="s">
        <v>1407</v>
      </c>
      <c r="J733" t="s">
        <v>458</v>
      </c>
      <c r="K733">
        <v>2</v>
      </c>
      <c r="L733">
        <v>36.1</v>
      </c>
      <c r="P733" t="s">
        <v>106</v>
      </c>
      <c r="Q733" t="s">
        <v>106</v>
      </c>
      <c r="R733" t="s">
        <v>106</v>
      </c>
      <c r="S733" t="s">
        <v>106</v>
      </c>
      <c r="T733" t="s">
        <v>1810</v>
      </c>
      <c r="U733" t="s">
        <v>1415</v>
      </c>
      <c r="V733" t="s">
        <v>106</v>
      </c>
      <c r="W733" t="s">
        <v>443</v>
      </c>
      <c r="X733" t="s">
        <v>106</v>
      </c>
      <c r="Y733" t="s">
        <v>108</v>
      </c>
      <c r="Z733" t="s">
        <v>104</v>
      </c>
      <c r="AA733" t="s">
        <v>1897</v>
      </c>
      <c r="AB733" t="s">
        <v>2400</v>
      </c>
    </row>
    <row r="734" spans="1:28" x14ac:dyDescent="0.3">
      <c r="A734" t="s">
        <v>1395</v>
      </c>
      <c r="B734">
        <v>3</v>
      </c>
      <c r="C734">
        <v>35</v>
      </c>
      <c r="D734">
        <v>87</v>
      </c>
      <c r="E734" t="s">
        <v>128</v>
      </c>
      <c r="F734" s="12">
        <v>45428</v>
      </c>
      <c r="G734" t="s">
        <v>1882</v>
      </c>
      <c r="H734" s="12">
        <v>45427</v>
      </c>
      <c r="I734" t="s">
        <v>1407</v>
      </c>
      <c r="J734" t="s">
        <v>458</v>
      </c>
      <c r="K734">
        <v>2</v>
      </c>
      <c r="L734">
        <v>35.6</v>
      </c>
      <c r="P734" t="s">
        <v>106</v>
      </c>
      <c r="Q734" t="s">
        <v>106</v>
      </c>
      <c r="R734" t="s">
        <v>106</v>
      </c>
      <c r="S734" t="s">
        <v>2249</v>
      </c>
      <c r="T734" t="s">
        <v>1463</v>
      </c>
      <c r="U734" t="s">
        <v>1345</v>
      </c>
      <c r="V734" t="s">
        <v>106</v>
      </c>
      <c r="W734" t="s">
        <v>443</v>
      </c>
      <c r="X734" t="s">
        <v>106</v>
      </c>
      <c r="Y734" t="s">
        <v>108</v>
      </c>
      <c r="Z734" t="s">
        <v>104</v>
      </c>
      <c r="AA734" t="s">
        <v>1897</v>
      </c>
      <c r="AB734" t="s">
        <v>2401</v>
      </c>
    </row>
    <row r="735" spans="1:28" x14ac:dyDescent="0.3">
      <c r="A735" t="s">
        <v>1395</v>
      </c>
      <c r="B735">
        <v>3</v>
      </c>
      <c r="C735">
        <v>35</v>
      </c>
      <c r="D735">
        <v>76</v>
      </c>
      <c r="E735" t="s">
        <v>128</v>
      </c>
      <c r="F735" s="12">
        <v>45428</v>
      </c>
      <c r="G735" t="s">
        <v>2402</v>
      </c>
      <c r="H735" s="12">
        <v>45427</v>
      </c>
      <c r="I735" t="s">
        <v>1633</v>
      </c>
      <c r="J735" t="s">
        <v>458</v>
      </c>
      <c r="K735">
        <v>2</v>
      </c>
      <c r="L735">
        <v>36.700000000000003</v>
      </c>
      <c r="P735" t="s">
        <v>106</v>
      </c>
      <c r="Q735" t="s">
        <v>106</v>
      </c>
      <c r="R735" t="s">
        <v>106</v>
      </c>
      <c r="S735" t="s">
        <v>106</v>
      </c>
      <c r="T735" t="s">
        <v>1793</v>
      </c>
      <c r="U735" t="s">
        <v>1410</v>
      </c>
      <c r="V735" t="s">
        <v>106</v>
      </c>
      <c r="W735" t="s">
        <v>443</v>
      </c>
      <c r="X735" t="s">
        <v>106</v>
      </c>
      <c r="Y735" t="s">
        <v>108</v>
      </c>
      <c r="Z735" t="s">
        <v>109</v>
      </c>
      <c r="AA735" t="s">
        <v>1897</v>
      </c>
      <c r="AB735" t="s">
        <v>106</v>
      </c>
    </row>
    <row r="736" spans="1:28" x14ac:dyDescent="0.3">
      <c r="A736" t="s">
        <v>1395</v>
      </c>
      <c r="B736">
        <v>3</v>
      </c>
      <c r="C736">
        <v>35</v>
      </c>
      <c r="D736">
        <v>99</v>
      </c>
      <c r="E736" t="s">
        <v>308</v>
      </c>
      <c r="F736" s="12">
        <v>45428</v>
      </c>
      <c r="G736" t="s">
        <v>313</v>
      </c>
      <c r="H736" s="12">
        <v>45428</v>
      </c>
      <c r="I736" t="s">
        <v>805</v>
      </c>
      <c r="J736" t="s">
        <v>1290</v>
      </c>
      <c r="K736">
        <v>2</v>
      </c>
      <c r="L736">
        <v>38.700000000000003</v>
      </c>
      <c r="P736" t="s">
        <v>106</v>
      </c>
      <c r="Q736" t="s">
        <v>106</v>
      </c>
      <c r="R736" t="s">
        <v>106</v>
      </c>
      <c r="S736" t="s">
        <v>106</v>
      </c>
      <c r="T736" t="s">
        <v>1467</v>
      </c>
      <c r="U736" t="s">
        <v>427</v>
      </c>
      <c r="V736" t="s">
        <v>106</v>
      </c>
      <c r="W736" t="s">
        <v>443</v>
      </c>
      <c r="X736" t="s">
        <v>106</v>
      </c>
      <c r="Y736" t="s">
        <v>108</v>
      </c>
      <c r="Z736" t="s">
        <v>108</v>
      </c>
      <c r="AA736" t="s">
        <v>1419</v>
      </c>
      <c r="AB736" t="s">
        <v>106</v>
      </c>
    </row>
    <row r="737" spans="1:28" x14ac:dyDescent="0.3">
      <c r="A737" t="s">
        <v>1395</v>
      </c>
      <c r="B737">
        <v>3</v>
      </c>
      <c r="C737">
        <v>35</v>
      </c>
      <c r="D737">
        <v>92</v>
      </c>
      <c r="E737" t="s">
        <v>128</v>
      </c>
      <c r="F737" s="12">
        <v>45428</v>
      </c>
      <c r="G737" t="s">
        <v>501</v>
      </c>
      <c r="H737" s="12">
        <v>45428</v>
      </c>
      <c r="I737" t="s">
        <v>1636</v>
      </c>
      <c r="J737" t="s">
        <v>1290</v>
      </c>
      <c r="K737">
        <v>2</v>
      </c>
      <c r="L737">
        <v>36.5</v>
      </c>
      <c r="P737" t="s">
        <v>106</v>
      </c>
      <c r="Q737" t="s">
        <v>106</v>
      </c>
      <c r="R737" t="s">
        <v>106</v>
      </c>
      <c r="S737" t="s">
        <v>106</v>
      </c>
      <c r="T737" t="s">
        <v>1485</v>
      </c>
      <c r="U737" t="s">
        <v>1468</v>
      </c>
      <c r="V737" t="s">
        <v>106</v>
      </c>
      <c r="W737" t="s">
        <v>443</v>
      </c>
      <c r="X737" t="s">
        <v>106</v>
      </c>
      <c r="Y737" t="s">
        <v>108</v>
      </c>
      <c r="Z737" t="s">
        <v>108</v>
      </c>
      <c r="AA737" t="s">
        <v>1897</v>
      </c>
      <c r="AB737" t="s">
        <v>1900</v>
      </c>
    </row>
    <row r="738" spans="1:28" x14ac:dyDescent="0.3">
      <c r="A738" t="s">
        <v>1395</v>
      </c>
      <c r="B738">
        <v>3</v>
      </c>
      <c r="C738">
        <v>35</v>
      </c>
      <c r="D738">
        <v>93</v>
      </c>
      <c r="E738" t="s">
        <v>128</v>
      </c>
      <c r="F738" s="12">
        <v>45428</v>
      </c>
      <c r="G738" t="s">
        <v>501</v>
      </c>
      <c r="H738" s="12">
        <v>45428</v>
      </c>
      <c r="I738" t="s">
        <v>1636</v>
      </c>
      <c r="J738" t="s">
        <v>1290</v>
      </c>
      <c r="K738">
        <v>2</v>
      </c>
      <c r="L738">
        <v>36.200000000000003</v>
      </c>
      <c r="P738" t="s">
        <v>106</v>
      </c>
      <c r="Q738" t="s">
        <v>106</v>
      </c>
      <c r="R738" t="s">
        <v>106</v>
      </c>
      <c r="S738" t="s">
        <v>106</v>
      </c>
      <c r="T738" t="s">
        <v>1463</v>
      </c>
      <c r="U738" t="s">
        <v>106</v>
      </c>
      <c r="V738" t="s">
        <v>106</v>
      </c>
      <c r="W738" t="s">
        <v>443</v>
      </c>
      <c r="X738" t="s">
        <v>106</v>
      </c>
      <c r="Y738" t="s">
        <v>108</v>
      </c>
      <c r="Z738" t="s">
        <v>108</v>
      </c>
      <c r="AA738" t="s">
        <v>1897</v>
      </c>
      <c r="AB738" t="s">
        <v>106</v>
      </c>
    </row>
    <row r="739" spans="1:28" x14ac:dyDescent="0.3">
      <c r="A739" t="s">
        <v>1395</v>
      </c>
      <c r="B739">
        <v>3</v>
      </c>
      <c r="C739">
        <v>35</v>
      </c>
      <c r="D739">
        <v>105</v>
      </c>
      <c r="E739" t="s">
        <v>128</v>
      </c>
      <c r="F739" s="12">
        <v>45428</v>
      </c>
      <c r="G739" t="s">
        <v>675</v>
      </c>
      <c r="H739" s="12">
        <v>45428</v>
      </c>
      <c r="I739" t="s">
        <v>805</v>
      </c>
      <c r="J739" t="s">
        <v>1290</v>
      </c>
      <c r="K739">
        <v>2</v>
      </c>
      <c r="L739">
        <v>36.700000000000003</v>
      </c>
      <c r="P739" t="s">
        <v>106</v>
      </c>
      <c r="Q739" t="s">
        <v>106</v>
      </c>
      <c r="R739" t="s">
        <v>106</v>
      </c>
      <c r="S739" t="s">
        <v>2403</v>
      </c>
      <c r="T739" t="s">
        <v>1859</v>
      </c>
      <c r="U739" t="s">
        <v>1780</v>
      </c>
      <c r="V739" t="s">
        <v>106</v>
      </c>
      <c r="W739" t="s">
        <v>443</v>
      </c>
      <c r="X739" t="s">
        <v>106</v>
      </c>
      <c r="Y739" t="s">
        <v>108</v>
      </c>
      <c r="Z739" t="s">
        <v>108</v>
      </c>
      <c r="AA739" t="s">
        <v>1419</v>
      </c>
      <c r="AB739" t="s">
        <v>106</v>
      </c>
    </row>
    <row r="740" spans="1:28" x14ac:dyDescent="0.3">
      <c r="A740" t="s">
        <v>1395</v>
      </c>
      <c r="B740">
        <v>3</v>
      </c>
      <c r="C740">
        <v>35</v>
      </c>
      <c r="D740">
        <v>106</v>
      </c>
      <c r="E740" t="s">
        <v>128</v>
      </c>
      <c r="F740" s="12">
        <v>45428</v>
      </c>
      <c r="G740" t="s">
        <v>675</v>
      </c>
      <c r="H740" s="12">
        <v>45428</v>
      </c>
      <c r="I740" t="s">
        <v>805</v>
      </c>
      <c r="J740" t="s">
        <v>1290</v>
      </c>
      <c r="K740">
        <v>2</v>
      </c>
      <c r="L740">
        <v>36.700000000000003</v>
      </c>
      <c r="P740" t="s">
        <v>106</v>
      </c>
      <c r="Q740" t="s">
        <v>106</v>
      </c>
      <c r="R740" t="s">
        <v>106</v>
      </c>
      <c r="S740" t="s">
        <v>1895</v>
      </c>
      <c r="T740" t="s">
        <v>1478</v>
      </c>
      <c r="U740" t="s">
        <v>1415</v>
      </c>
      <c r="V740" t="s">
        <v>106</v>
      </c>
      <c r="W740" t="s">
        <v>443</v>
      </c>
      <c r="X740" t="s">
        <v>106</v>
      </c>
      <c r="Y740" t="s">
        <v>108</v>
      </c>
      <c r="Z740" t="s">
        <v>108</v>
      </c>
      <c r="AA740" t="s">
        <v>1419</v>
      </c>
      <c r="AB740" t="s">
        <v>106</v>
      </c>
    </row>
    <row r="741" spans="1:28" x14ac:dyDescent="0.3">
      <c r="A741" t="s">
        <v>1395</v>
      </c>
      <c r="B741">
        <v>3</v>
      </c>
      <c r="C741">
        <v>35</v>
      </c>
      <c r="D741">
        <v>107</v>
      </c>
      <c r="E741" t="s">
        <v>128</v>
      </c>
      <c r="F741" s="12">
        <v>45428</v>
      </c>
      <c r="G741" t="s">
        <v>457</v>
      </c>
      <c r="H741" s="12">
        <v>45428</v>
      </c>
      <c r="I741" t="s">
        <v>1520</v>
      </c>
      <c r="J741" t="s">
        <v>1290</v>
      </c>
      <c r="K741">
        <v>2</v>
      </c>
      <c r="L741">
        <v>36.5</v>
      </c>
      <c r="P741" t="s">
        <v>106</v>
      </c>
      <c r="Q741" t="s">
        <v>106</v>
      </c>
      <c r="R741" t="s">
        <v>106</v>
      </c>
      <c r="S741" t="s">
        <v>106</v>
      </c>
      <c r="T741" t="s">
        <v>2063</v>
      </c>
      <c r="U741" t="s">
        <v>1410</v>
      </c>
      <c r="V741" t="s">
        <v>106</v>
      </c>
      <c r="W741" t="s">
        <v>443</v>
      </c>
      <c r="X741" t="s">
        <v>106</v>
      </c>
      <c r="Y741" t="s">
        <v>108</v>
      </c>
      <c r="Z741" t="s">
        <v>108</v>
      </c>
      <c r="AA741" t="s">
        <v>1419</v>
      </c>
      <c r="AB741" t="s">
        <v>1900</v>
      </c>
    </row>
    <row r="742" spans="1:28" x14ac:dyDescent="0.3">
      <c r="A742" t="s">
        <v>1395</v>
      </c>
      <c r="B742">
        <v>3</v>
      </c>
      <c r="C742">
        <v>35</v>
      </c>
      <c r="D742">
        <v>108</v>
      </c>
      <c r="E742" t="s">
        <v>128</v>
      </c>
      <c r="F742" s="12">
        <v>45428</v>
      </c>
      <c r="G742" t="s">
        <v>457</v>
      </c>
      <c r="H742" s="12">
        <v>45428</v>
      </c>
      <c r="I742" t="s">
        <v>1520</v>
      </c>
      <c r="J742" t="s">
        <v>1290</v>
      </c>
      <c r="K742">
        <v>2</v>
      </c>
      <c r="L742">
        <v>36.4</v>
      </c>
      <c r="P742" t="s">
        <v>106</v>
      </c>
      <c r="Q742" t="s">
        <v>106</v>
      </c>
      <c r="R742" t="s">
        <v>106</v>
      </c>
      <c r="S742" t="s">
        <v>1906</v>
      </c>
      <c r="T742" t="s">
        <v>1885</v>
      </c>
      <c r="U742" t="s">
        <v>1382</v>
      </c>
      <c r="V742" t="s">
        <v>106</v>
      </c>
      <c r="W742" t="s">
        <v>443</v>
      </c>
      <c r="X742" t="s">
        <v>106</v>
      </c>
      <c r="Y742" t="s">
        <v>108</v>
      </c>
      <c r="Z742" t="s">
        <v>108</v>
      </c>
      <c r="AA742" t="s">
        <v>1419</v>
      </c>
      <c r="AB742" t="s">
        <v>106</v>
      </c>
    </row>
    <row r="743" spans="1:28" x14ac:dyDescent="0.3">
      <c r="A743" t="s">
        <v>1395</v>
      </c>
      <c r="B743">
        <v>3</v>
      </c>
      <c r="C743">
        <v>35</v>
      </c>
      <c r="D743">
        <v>115</v>
      </c>
      <c r="E743" t="s">
        <v>128</v>
      </c>
      <c r="F743" s="12">
        <v>45428</v>
      </c>
      <c r="G743" t="s">
        <v>1773</v>
      </c>
      <c r="H743" s="12">
        <v>45428</v>
      </c>
      <c r="I743" t="s">
        <v>322</v>
      </c>
      <c r="J743" t="s">
        <v>458</v>
      </c>
      <c r="K743">
        <v>1</v>
      </c>
      <c r="L743">
        <v>37</v>
      </c>
      <c r="P743" t="s">
        <v>106</v>
      </c>
      <c r="Q743" t="s">
        <v>106</v>
      </c>
      <c r="R743" t="s">
        <v>106</v>
      </c>
      <c r="S743" t="s">
        <v>106</v>
      </c>
      <c r="T743" t="s">
        <v>989</v>
      </c>
      <c r="U743" t="s">
        <v>905</v>
      </c>
      <c r="V743" t="s">
        <v>106</v>
      </c>
      <c r="W743" t="s">
        <v>373</v>
      </c>
      <c r="X743" t="s">
        <v>106</v>
      </c>
      <c r="Y743" t="s">
        <v>108</v>
      </c>
      <c r="Z743" t="s">
        <v>108</v>
      </c>
      <c r="AA743" t="s">
        <v>1897</v>
      </c>
      <c r="AB743" t="s">
        <v>2404</v>
      </c>
    </row>
    <row r="744" spans="1:28" x14ac:dyDescent="0.3">
      <c r="A744" t="s">
        <v>1395</v>
      </c>
      <c r="B744">
        <v>3</v>
      </c>
      <c r="C744">
        <v>35</v>
      </c>
      <c r="D744">
        <v>75</v>
      </c>
      <c r="E744" t="s">
        <v>128</v>
      </c>
      <c r="F744" s="12">
        <v>45428</v>
      </c>
      <c r="G744" t="s">
        <v>2402</v>
      </c>
      <c r="H744" s="12">
        <v>45427</v>
      </c>
      <c r="I744" t="s">
        <v>1633</v>
      </c>
      <c r="J744" t="s">
        <v>458</v>
      </c>
      <c r="K744">
        <v>2</v>
      </c>
      <c r="L744">
        <v>36.1</v>
      </c>
      <c r="P744" t="s">
        <v>106</v>
      </c>
      <c r="Q744" t="s">
        <v>106</v>
      </c>
      <c r="R744" t="s">
        <v>106</v>
      </c>
      <c r="S744" t="s">
        <v>2108</v>
      </c>
      <c r="T744" t="s">
        <v>1381</v>
      </c>
      <c r="U744" t="s">
        <v>1410</v>
      </c>
      <c r="V744" t="s">
        <v>106</v>
      </c>
      <c r="W744" t="s">
        <v>443</v>
      </c>
      <c r="X744" t="s">
        <v>106</v>
      </c>
      <c r="Y744" t="s">
        <v>108</v>
      </c>
      <c r="Z744" t="s">
        <v>109</v>
      </c>
      <c r="AA744" t="s">
        <v>1897</v>
      </c>
      <c r="AB744" t="s">
        <v>106</v>
      </c>
    </row>
    <row r="745" spans="1:28" x14ac:dyDescent="0.3">
      <c r="A745" t="s">
        <v>1395</v>
      </c>
      <c r="B745">
        <v>3</v>
      </c>
      <c r="C745">
        <v>35</v>
      </c>
      <c r="D745">
        <v>116</v>
      </c>
      <c r="E745" t="s">
        <v>128</v>
      </c>
      <c r="F745" s="12">
        <v>45428</v>
      </c>
      <c r="G745" t="s">
        <v>319</v>
      </c>
      <c r="H745" s="12">
        <v>45428</v>
      </c>
      <c r="I745" t="s">
        <v>322</v>
      </c>
      <c r="J745" t="s">
        <v>458</v>
      </c>
      <c r="K745">
        <v>2</v>
      </c>
      <c r="L745">
        <v>36.799999999999997</v>
      </c>
      <c r="P745" t="s">
        <v>106</v>
      </c>
      <c r="Q745" t="s">
        <v>106</v>
      </c>
      <c r="R745" t="s">
        <v>106</v>
      </c>
      <c r="S745" t="s">
        <v>1494</v>
      </c>
      <c r="T745" t="s">
        <v>671</v>
      </c>
      <c r="U745" t="s">
        <v>904</v>
      </c>
      <c r="V745" t="s">
        <v>106</v>
      </c>
      <c r="W745" t="s">
        <v>373</v>
      </c>
      <c r="X745" t="s">
        <v>106</v>
      </c>
      <c r="Y745" t="s">
        <v>108</v>
      </c>
      <c r="Z745" t="s">
        <v>108</v>
      </c>
      <c r="AA745" t="s">
        <v>1897</v>
      </c>
      <c r="AB745" t="s">
        <v>2390</v>
      </c>
    </row>
    <row r="746" spans="1:28" x14ac:dyDescent="0.3">
      <c r="A746" t="s">
        <v>1395</v>
      </c>
      <c r="B746">
        <v>3</v>
      </c>
      <c r="C746">
        <v>35</v>
      </c>
      <c r="D746">
        <v>77</v>
      </c>
      <c r="E746" t="s">
        <v>308</v>
      </c>
      <c r="F746" s="12">
        <v>45428</v>
      </c>
      <c r="G746" t="s">
        <v>2402</v>
      </c>
      <c r="H746" s="12">
        <v>45427</v>
      </c>
      <c r="I746" t="s">
        <v>1633</v>
      </c>
      <c r="J746" t="s">
        <v>458</v>
      </c>
      <c r="K746">
        <v>2</v>
      </c>
      <c r="L746">
        <v>36.700000000000003</v>
      </c>
      <c r="P746" t="s">
        <v>106</v>
      </c>
      <c r="Q746" t="s">
        <v>106</v>
      </c>
      <c r="R746" t="s">
        <v>106</v>
      </c>
      <c r="S746" t="s">
        <v>106</v>
      </c>
      <c r="T746" t="s">
        <v>1274</v>
      </c>
      <c r="U746" t="s">
        <v>106</v>
      </c>
      <c r="V746" t="s">
        <v>106</v>
      </c>
      <c r="W746" t="s">
        <v>443</v>
      </c>
      <c r="X746" t="s">
        <v>106</v>
      </c>
      <c r="Y746" t="s">
        <v>108</v>
      </c>
      <c r="Z746" t="s">
        <v>109</v>
      </c>
      <c r="AA746" t="s">
        <v>1897</v>
      </c>
      <c r="AB746" t="s">
        <v>106</v>
      </c>
    </row>
    <row r="747" spans="1:28" x14ac:dyDescent="0.3">
      <c r="A747" t="s">
        <v>1395</v>
      </c>
      <c r="B747">
        <v>4</v>
      </c>
      <c r="C747">
        <v>60</v>
      </c>
      <c r="D747">
        <v>117</v>
      </c>
      <c r="E747" t="s">
        <v>128</v>
      </c>
      <c r="F747" s="12">
        <v>45428</v>
      </c>
      <c r="G747" t="s">
        <v>683</v>
      </c>
      <c r="H747" s="12">
        <v>45428</v>
      </c>
      <c r="I747" t="s">
        <v>322</v>
      </c>
      <c r="J747" t="s">
        <v>458</v>
      </c>
      <c r="K747">
        <v>1</v>
      </c>
      <c r="L747">
        <v>62.9</v>
      </c>
      <c r="P747" t="s">
        <v>106</v>
      </c>
      <c r="Q747" t="s">
        <v>106</v>
      </c>
      <c r="R747" t="s">
        <v>106</v>
      </c>
      <c r="S747" t="s">
        <v>106</v>
      </c>
      <c r="T747" t="s">
        <v>1217</v>
      </c>
      <c r="U747" t="s">
        <v>1615</v>
      </c>
      <c r="V747" t="s">
        <v>106</v>
      </c>
      <c r="W747" t="s">
        <v>373</v>
      </c>
      <c r="X747" t="s">
        <v>106</v>
      </c>
      <c r="Y747" t="s">
        <v>108</v>
      </c>
      <c r="Z747" t="s">
        <v>104</v>
      </c>
      <c r="AA747" t="s">
        <v>1897</v>
      </c>
      <c r="AB747" t="s">
        <v>2677</v>
      </c>
    </row>
    <row r="748" spans="1:28" x14ac:dyDescent="0.3">
      <c r="A748" t="s">
        <v>1395</v>
      </c>
      <c r="B748">
        <v>4</v>
      </c>
      <c r="C748">
        <v>60</v>
      </c>
      <c r="D748">
        <v>102</v>
      </c>
      <c r="E748" t="s">
        <v>128</v>
      </c>
      <c r="F748" s="12">
        <v>45428</v>
      </c>
      <c r="G748" t="s">
        <v>1746</v>
      </c>
      <c r="H748" s="12">
        <v>45428</v>
      </c>
      <c r="I748" t="s">
        <v>805</v>
      </c>
      <c r="J748" t="s">
        <v>1290</v>
      </c>
      <c r="K748">
        <v>2</v>
      </c>
      <c r="L748">
        <v>60.2</v>
      </c>
      <c r="P748" t="s">
        <v>106</v>
      </c>
      <c r="Q748" t="s">
        <v>106</v>
      </c>
      <c r="R748" t="s">
        <v>106</v>
      </c>
      <c r="S748" t="s">
        <v>1667</v>
      </c>
      <c r="T748" t="s">
        <v>881</v>
      </c>
      <c r="U748" t="s">
        <v>106</v>
      </c>
      <c r="V748" t="s">
        <v>106</v>
      </c>
      <c r="W748" t="s">
        <v>443</v>
      </c>
      <c r="X748" t="s">
        <v>106</v>
      </c>
      <c r="Y748" t="s">
        <v>108</v>
      </c>
      <c r="Z748" t="s">
        <v>104</v>
      </c>
      <c r="AA748" t="s">
        <v>1419</v>
      </c>
      <c r="AB748" t="s">
        <v>106</v>
      </c>
    </row>
    <row r="749" spans="1:28" x14ac:dyDescent="0.3">
      <c r="A749" t="s">
        <v>1395</v>
      </c>
      <c r="B749">
        <v>4</v>
      </c>
      <c r="C749">
        <v>60</v>
      </c>
      <c r="D749">
        <v>101</v>
      </c>
      <c r="E749" t="s">
        <v>128</v>
      </c>
      <c r="F749" s="12">
        <v>45428</v>
      </c>
      <c r="G749" t="s">
        <v>1746</v>
      </c>
      <c r="H749" s="12">
        <v>45428</v>
      </c>
      <c r="I749" t="s">
        <v>805</v>
      </c>
      <c r="J749" t="s">
        <v>1290</v>
      </c>
      <c r="K749">
        <v>2</v>
      </c>
      <c r="L749">
        <v>58.4</v>
      </c>
      <c r="P749" t="s">
        <v>106</v>
      </c>
      <c r="Q749" t="s">
        <v>106</v>
      </c>
      <c r="R749" t="s">
        <v>106</v>
      </c>
      <c r="S749" t="s">
        <v>106</v>
      </c>
      <c r="T749" t="s">
        <v>1409</v>
      </c>
      <c r="U749" t="s">
        <v>1468</v>
      </c>
      <c r="V749" t="s">
        <v>106</v>
      </c>
      <c r="W749" t="s">
        <v>443</v>
      </c>
      <c r="X749" t="s">
        <v>106</v>
      </c>
      <c r="Y749" t="s">
        <v>108</v>
      </c>
      <c r="Z749" t="s">
        <v>104</v>
      </c>
      <c r="AA749" t="s">
        <v>1419</v>
      </c>
      <c r="AB749" t="s">
        <v>106</v>
      </c>
    </row>
    <row r="750" spans="1:28" x14ac:dyDescent="0.3">
      <c r="A750" t="s">
        <v>1395</v>
      </c>
      <c r="B750">
        <v>4</v>
      </c>
      <c r="C750">
        <v>60</v>
      </c>
      <c r="D750">
        <v>100</v>
      </c>
      <c r="E750" t="s">
        <v>308</v>
      </c>
      <c r="F750" s="12">
        <v>45428</v>
      </c>
      <c r="G750" t="s">
        <v>313</v>
      </c>
      <c r="H750" s="12">
        <v>45428</v>
      </c>
      <c r="I750" t="s">
        <v>805</v>
      </c>
      <c r="J750" t="s">
        <v>1290</v>
      </c>
      <c r="K750">
        <v>2</v>
      </c>
      <c r="L750">
        <v>64.599999999999994</v>
      </c>
      <c r="P750" t="s">
        <v>106</v>
      </c>
      <c r="Q750" t="s">
        <v>106</v>
      </c>
      <c r="R750" t="s">
        <v>106</v>
      </c>
      <c r="S750" t="s">
        <v>2370</v>
      </c>
      <c r="T750" t="s">
        <v>971</v>
      </c>
      <c r="U750" t="s">
        <v>1604</v>
      </c>
      <c r="V750" t="s">
        <v>106</v>
      </c>
      <c r="W750" t="s">
        <v>443</v>
      </c>
      <c r="X750" t="s">
        <v>106</v>
      </c>
      <c r="Y750" t="s">
        <v>108</v>
      </c>
      <c r="Z750" t="s">
        <v>104</v>
      </c>
      <c r="AA750" t="s">
        <v>1419</v>
      </c>
      <c r="AB750" t="s">
        <v>106</v>
      </c>
    </row>
    <row r="751" spans="1:28" x14ac:dyDescent="0.3">
      <c r="A751" t="s">
        <v>1395</v>
      </c>
      <c r="B751">
        <v>4</v>
      </c>
      <c r="C751">
        <v>60</v>
      </c>
      <c r="D751">
        <v>82</v>
      </c>
      <c r="E751" t="s">
        <v>128</v>
      </c>
      <c r="F751" s="12">
        <v>45428</v>
      </c>
      <c r="G751" t="s">
        <v>1905</v>
      </c>
      <c r="H751" s="12">
        <v>45427</v>
      </c>
      <c r="I751" t="s">
        <v>978</v>
      </c>
      <c r="J751" t="s">
        <v>458</v>
      </c>
      <c r="K751">
        <v>2</v>
      </c>
      <c r="L751">
        <v>60.6</v>
      </c>
      <c r="P751" t="s">
        <v>106</v>
      </c>
      <c r="Q751" t="s">
        <v>106</v>
      </c>
      <c r="R751" t="s">
        <v>106</v>
      </c>
      <c r="S751" t="s">
        <v>106</v>
      </c>
      <c r="T751" t="s">
        <v>1409</v>
      </c>
      <c r="U751" t="s">
        <v>1468</v>
      </c>
      <c r="V751" t="s">
        <v>106</v>
      </c>
      <c r="W751" t="s">
        <v>443</v>
      </c>
      <c r="X751" t="s">
        <v>106</v>
      </c>
      <c r="Y751" t="s">
        <v>108</v>
      </c>
      <c r="Z751" t="s">
        <v>104</v>
      </c>
      <c r="AA751" t="s">
        <v>1897</v>
      </c>
      <c r="AB751" t="s">
        <v>2678</v>
      </c>
    </row>
    <row r="752" spans="1:28" x14ac:dyDescent="0.3">
      <c r="A752" t="s">
        <v>1395</v>
      </c>
      <c r="B752">
        <v>4</v>
      </c>
      <c r="C752">
        <v>60</v>
      </c>
      <c r="D752">
        <v>97</v>
      </c>
      <c r="E752" t="s">
        <v>128</v>
      </c>
      <c r="F752" s="12">
        <v>45428</v>
      </c>
      <c r="G752" t="s">
        <v>876</v>
      </c>
      <c r="H752" s="12">
        <v>45428</v>
      </c>
      <c r="I752" t="s">
        <v>1636</v>
      </c>
      <c r="J752" t="s">
        <v>1290</v>
      </c>
      <c r="K752">
        <v>2</v>
      </c>
      <c r="L752">
        <v>61.2</v>
      </c>
      <c r="P752" t="s">
        <v>106</v>
      </c>
      <c r="Q752" t="s">
        <v>106</v>
      </c>
      <c r="R752" t="s">
        <v>106</v>
      </c>
      <c r="S752" t="s">
        <v>106</v>
      </c>
      <c r="T752" t="s">
        <v>1235</v>
      </c>
      <c r="U752" t="s">
        <v>106</v>
      </c>
      <c r="V752" t="s">
        <v>106</v>
      </c>
      <c r="W752" t="s">
        <v>443</v>
      </c>
      <c r="X752" t="s">
        <v>106</v>
      </c>
      <c r="Y752" t="s">
        <v>108</v>
      </c>
      <c r="Z752" t="s">
        <v>104</v>
      </c>
      <c r="AA752" t="s">
        <v>1897</v>
      </c>
      <c r="AB752" t="s">
        <v>106</v>
      </c>
    </row>
    <row r="753" spans="1:28" x14ac:dyDescent="0.3">
      <c r="A753" t="s">
        <v>1395</v>
      </c>
      <c r="B753">
        <v>4</v>
      </c>
      <c r="C753">
        <v>60</v>
      </c>
      <c r="D753">
        <v>111</v>
      </c>
      <c r="E753" t="s">
        <v>128</v>
      </c>
      <c r="F753" s="12">
        <v>45428</v>
      </c>
      <c r="G753" t="s">
        <v>457</v>
      </c>
      <c r="H753" s="12">
        <v>45428</v>
      </c>
      <c r="I753" t="s">
        <v>1520</v>
      </c>
      <c r="J753" t="s">
        <v>1290</v>
      </c>
      <c r="K753">
        <v>2</v>
      </c>
      <c r="L753">
        <v>61.9</v>
      </c>
      <c r="P753" t="s">
        <v>106</v>
      </c>
      <c r="Q753" t="s">
        <v>106</v>
      </c>
      <c r="R753" t="s">
        <v>106</v>
      </c>
      <c r="S753" t="s">
        <v>1893</v>
      </c>
      <c r="T753" t="s">
        <v>971</v>
      </c>
      <c r="U753" t="s">
        <v>1418</v>
      </c>
      <c r="V753" t="s">
        <v>106</v>
      </c>
      <c r="W753" t="s">
        <v>443</v>
      </c>
      <c r="X753" t="s">
        <v>106</v>
      </c>
      <c r="Y753" t="s">
        <v>108</v>
      </c>
      <c r="Z753" t="s">
        <v>108</v>
      </c>
      <c r="AA753" t="s">
        <v>1419</v>
      </c>
      <c r="AB753" t="s">
        <v>106</v>
      </c>
    </row>
    <row r="754" spans="1:28" x14ac:dyDescent="0.3">
      <c r="A754" t="s">
        <v>1395</v>
      </c>
      <c r="B754">
        <v>4</v>
      </c>
      <c r="C754">
        <v>60</v>
      </c>
      <c r="D754">
        <v>112</v>
      </c>
      <c r="E754" t="s">
        <v>128</v>
      </c>
      <c r="F754" s="12">
        <v>45428</v>
      </c>
      <c r="G754" t="s">
        <v>457</v>
      </c>
      <c r="H754" s="12">
        <v>45428</v>
      </c>
      <c r="I754" t="s">
        <v>1520</v>
      </c>
      <c r="J754" t="s">
        <v>1290</v>
      </c>
      <c r="K754">
        <v>2</v>
      </c>
      <c r="L754">
        <v>61.3</v>
      </c>
      <c r="P754" t="s">
        <v>106</v>
      </c>
      <c r="Q754" t="s">
        <v>106</v>
      </c>
      <c r="R754" t="s">
        <v>106</v>
      </c>
      <c r="S754" t="s">
        <v>106</v>
      </c>
      <c r="T754" t="s">
        <v>1899</v>
      </c>
      <c r="U754" t="s">
        <v>1591</v>
      </c>
      <c r="V754" t="s">
        <v>106</v>
      </c>
      <c r="W754" t="s">
        <v>443</v>
      </c>
      <c r="X754" t="s">
        <v>106</v>
      </c>
      <c r="Y754" t="s">
        <v>108</v>
      </c>
      <c r="Z754" t="s">
        <v>108</v>
      </c>
      <c r="AA754" t="s">
        <v>1419</v>
      </c>
      <c r="AB754" t="s">
        <v>106</v>
      </c>
    </row>
    <row r="755" spans="1:28" x14ac:dyDescent="0.3">
      <c r="A755" t="s">
        <v>1395</v>
      </c>
      <c r="B755">
        <v>4</v>
      </c>
      <c r="C755">
        <v>60</v>
      </c>
      <c r="D755">
        <v>96</v>
      </c>
      <c r="E755" t="s">
        <v>128</v>
      </c>
      <c r="F755" s="12">
        <v>45428</v>
      </c>
      <c r="G755" t="s">
        <v>1051</v>
      </c>
      <c r="H755" s="12">
        <v>45428</v>
      </c>
      <c r="I755" t="s">
        <v>1636</v>
      </c>
      <c r="J755" t="s">
        <v>1290</v>
      </c>
      <c r="K755">
        <v>2</v>
      </c>
      <c r="L755">
        <v>61.4</v>
      </c>
      <c r="P755" t="s">
        <v>106</v>
      </c>
      <c r="Q755" t="s">
        <v>106</v>
      </c>
      <c r="R755" t="s">
        <v>106</v>
      </c>
      <c r="S755" t="s">
        <v>106</v>
      </c>
      <c r="T755" t="s">
        <v>1235</v>
      </c>
      <c r="U755" t="s">
        <v>106</v>
      </c>
      <c r="V755" t="s">
        <v>106</v>
      </c>
      <c r="W755" t="s">
        <v>443</v>
      </c>
      <c r="X755" t="s">
        <v>106</v>
      </c>
      <c r="Y755" t="s">
        <v>108</v>
      </c>
      <c r="Z755" t="s">
        <v>104</v>
      </c>
      <c r="AA755" t="s">
        <v>1897</v>
      </c>
      <c r="AB755" t="s">
        <v>106</v>
      </c>
    </row>
    <row r="756" spans="1:28" x14ac:dyDescent="0.3">
      <c r="A756" t="s">
        <v>1395</v>
      </c>
      <c r="B756">
        <v>4</v>
      </c>
      <c r="C756">
        <v>60</v>
      </c>
      <c r="D756">
        <v>85</v>
      </c>
      <c r="E756" t="s">
        <v>128</v>
      </c>
      <c r="F756" s="12">
        <v>45428</v>
      </c>
      <c r="G756" t="s">
        <v>1865</v>
      </c>
      <c r="H756" s="12">
        <v>45427</v>
      </c>
      <c r="I756" t="s">
        <v>1407</v>
      </c>
      <c r="J756" t="s">
        <v>458</v>
      </c>
      <c r="K756">
        <v>2</v>
      </c>
      <c r="L756">
        <v>60.9</v>
      </c>
      <c r="P756" t="s">
        <v>106</v>
      </c>
      <c r="Q756" t="s">
        <v>106</v>
      </c>
      <c r="R756" t="s">
        <v>106</v>
      </c>
      <c r="S756" t="s">
        <v>1843</v>
      </c>
      <c r="T756" t="s">
        <v>1409</v>
      </c>
      <c r="U756" t="s">
        <v>1382</v>
      </c>
      <c r="V756" t="s">
        <v>106</v>
      </c>
      <c r="W756" t="s">
        <v>443</v>
      </c>
      <c r="X756" t="s">
        <v>106</v>
      </c>
      <c r="Y756" t="s">
        <v>108</v>
      </c>
      <c r="Z756" t="s">
        <v>104</v>
      </c>
      <c r="AA756" t="s">
        <v>1897</v>
      </c>
      <c r="AB756" t="s">
        <v>2679</v>
      </c>
    </row>
    <row r="757" spans="1:28" x14ac:dyDescent="0.3">
      <c r="A757" t="s">
        <v>1395</v>
      </c>
      <c r="B757">
        <v>4</v>
      </c>
      <c r="C757">
        <v>60</v>
      </c>
      <c r="D757">
        <v>72</v>
      </c>
      <c r="E757" t="s">
        <v>308</v>
      </c>
      <c r="F757" s="12">
        <v>45428</v>
      </c>
      <c r="G757" t="s">
        <v>2402</v>
      </c>
      <c r="H757" s="12">
        <v>45427</v>
      </c>
      <c r="I757" t="s">
        <v>1633</v>
      </c>
      <c r="J757" t="s">
        <v>458</v>
      </c>
      <c r="K757">
        <v>2</v>
      </c>
      <c r="L757">
        <v>60.1</v>
      </c>
      <c r="P757" t="s">
        <v>106</v>
      </c>
      <c r="Q757" t="s">
        <v>106</v>
      </c>
      <c r="R757" t="s">
        <v>106</v>
      </c>
      <c r="S757" t="s">
        <v>1866</v>
      </c>
      <c r="T757" t="s">
        <v>1049</v>
      </c>
      <c r="U757" t="s">
        <v>106</v>
      </c>
      <c r="V757" t="s">
        <v>106</v>
      </c>
      <c r="W757" t="s">
        <v>443</v>
      </c>
      <c r="X757" t="s">
        <v>106</v>
      </c>
      <c r="Y757" t="s">
        <v>108</v>
      </c>
      <c r="Z757" t="s">
        <v>109</v>
      </c>
      <c r="AA757" t="s">
        <v>1897</v>
      </c>
      <c r="AB757" t="s">
        <v>2672</v>
      </c>
    </row>
    <row r="758" spans="1:28" x14ac:dyDescent="0.3">
      <c r="A758" t="s">
        <v>1395</v>
      </c>
      <c r="B758">
        <v>4</v>
      </c>
      <c r="C758">
        <v>60</v>
      </c>
      <c r="D758">
        <v>118</v>
      </c>
      <c r="E758" t="s">
        <v>128</v>
      </c>
      <c r="F758" s="12">
        <v>45428</v>
      </c>
      <c r="G758" t="s">
        <v>683</v>
      </c>
      <c r="H758" s="12">
        <v>45428</v>
      </c>
      <c r="I758" t="s">
        <v>322</v>
      </c>
      <c r="J758" t="s">
        <v>458</v>
      </c>
      <c r="K758">
        <v>2</v>
      </c>
      <c r="L758">
        <v>61</v>
      </c>
      <c r="P758" t="s">
        <v>106</v>
      </c>
      <c r="Q758" t="s">
        <v>106</v>
      </c>
      <c r="R758" t="s">
        <v>106</v>
      </c>
      <c r="S758" t="s">
        <v>1717</v>
      </c>
      <c r="T758" t="s">
        <v>1459</v>
      </c>
      <c r="U758" t="s">
        <v>429</v>
      </c>
      <c r="V758" t="s">
        <v>106</v>
      </c>
      <c r="W758" t="s">
        <v>373</v>
      </c>
      <c r="X758" t="s">
        <v>106</v>
      </c>
      <c r="Y758" t="s">
        <v>108</v>
      </c>
      <c r="Z758" t="s">
        <v>104</v>
      </c>
      <c r="AA758" t="s">
        <v>1897</v>
      </c>
      <c r="AB758" t="s">
        <v>106</v>
      </c>
    </row>
    <row r="759" spans="1:28" x14ac:dyDescent="0.3">
      <c r="A759" t="s">
        <v>1395</v>
      </c>
      <c r="B759">
        <v>4</v>
      </c>
      <c r="C759">
        <v>60</v>
      </c>
      <c r="D759">
        <v>83</v>
      </c>
      <c r="E759" t="s">
        <v>128</v>
      </c>
      <c r="F759" s="12">
        <v>45428</v>
      </c>
      <c r="G759" t="s">
        <v>2522</v>
      </c>
      <c r="H759" s="12">
        <v>45427</v>
      </c>
      <c r="I759" t="s">
        <v>978</v>
      </c>
      <c r="J759" t="s">
        <v>458</v>
      </c>
      <c r="K759">
        <v>2</v>
      </c>
      <c r="L759">
        <v>60.1</v>
      </c>
      <c r="P759" t="s">
        <v>106</v>
      </c>
      <c r="Q759" t="s">
        <v>106</v>
      </c>
      <c r="R759" t="s">
        <v>106</v>
      </c>
      <c r="S759" t="s">
        <v>1404</v>
      </c>
      <c r="T759" t="s">
        <v>1431</v>
      </c>
      <c r="U759" t="s">
        <v>427</v>
      </c>
      <c r="V759" t="s">
        <v>106</v>
      </c>
      <c r="W759" t="s">
        <v>443</v>
      </c>
      <c r="X759" t="s">
        <v>106</v>
      </c>
      <c r="Y759" t="s">
        <v>108</v>
      </c>
      <c r="Z759" t="s">
        <v>104</v>
      </c>
      <c r="AA759" t="s">
        <v>1897</v>
      </c>
      <c r="AB759" t="s">
        <v>106</v>
      </c>
    </row>
    <row r="760" spans="1:28" x14ac:dyDescent="0.3">
      <c r="A760" t="s">
        <v>1395</v>
      </c>
      <c r="B760">
        <v>4</v>
      </c>
      <c r="C760">
        <v>60</v>
      </c>
      <c r="D760">
        <v>73</v>
      </c>
      <c r="E760" t="s">
        <v>128</v>
      </c>
      <c r="F760" s="12">
        <v>45428</v>
      </c>
      <c r="G760" t="s">
        <v>2402</v>
      </c>
      <c r="H760" s="12">
        <v>45427</v>
      </c>
      <c r="I760" t="s">
        <v>1633</v>
      </c>
      <c r="J760" t="s">
        <v>458</v>
      </c>
      <c r="K760">
        <v>2</v>
      </c>
      <c r="L760">
        <v>59.2</v>
      </c>
      <c r="P760" t="s">
        <v>106</v>
      </c>
      <c r="Q760" t="s">
        <v>106</v>
      </c>
      <c r="R760" t="s">
        <v>106</v>
      </c>
      <c r="S760" t="s">
        <v>106</v>
      </c>
      <c r="T760" t="s">
        <v>1495</v>
      </c>
      <c r="U760" t="s">
        <v>1415</v>
      </c>
      <c r="V760" t="s">
        <v>106</v>
      </c>
      <c r="W760" t="s">
        <v>443</v>
      </c>
      <c r="X760" t="s">
        <v>106</v>
      </c>
      <c r="Y760" t="s">
        <v>108</v>
      </c>
      <c r="Z760" t="s">
        <v>109</v>
      </c>
      <c r="AA760" t="s">
        <v>1897</v>
      </c>
      <c r="AB760" t="s">
        <v>2680</v>
      </c>
    </row>
    <row r="761" spans="1:28" x14ac:dyDescent="0.3">
      <c r="A761" t="s">
        <v>1395</v>
      </c>
      <c r="B761">
        <v>4</v>
      </c>
      <c r="C761">
        <v>60</v>
      </c>
      <c r="D761">
        <v>74</v>
      </c>
      <c r="E761" t="s">
        <v>128</v>
      </c>
      <c r="F761" s="12">
        <v>45428</v>
      </c>
      <c r="G761" t="s">
        <v>2402</v>
      </c>
      <c r="H761" s="12">
        <v>45427</v>
      </c>
      <c r="I761" t="s">
        <v>1633</v>
      </c>
      <c r="J761" t="s">
        <v>458</v>
      </c>
      <c r="K761">
        <v>2</v>
      </c>
      <c r="L761">
        <v>60.9</v>
      </c>
      <c r="P761" t="s">
        <v>106</v>
      </c>
      <c r="Q761" t="s">
        <v>106</v>
      </c>
      <c r="R761" t="s">
        <v>106</v>
      </c>
      <c r="S761" t="s">
        <v>106</v>
      </c>
      <c r="T761" t="s">
        <v>1876</v>
      </c>
      <c r="U761" t="s">
        <v>1418</v>
      </c>
      <c r="V761" t="s">
        <v>106</v>
      </c>
      <c r="W761" t="s">
        <v>443</v>
      </c>
      <c r="X761" t="s">
        <v>106</v>
      </c>
      <c r="Y761" t="s">
        <v>108</v>
      </c>
      <c r="Z761" t="s">
        <v>109</v>
      </c>
      <c r="AA761" t="s">
        <v>1897</v>
      </c>
      <c r="AB761" t="s">
        <v>106</v>
      </c>
    </row>
    <row r="762" spans="1:28" x14ac:dyDescent="0.3">
      <c r="A762" t="s">
        <v>1395</v>
      </c>
      <c r="B762">
        <v>4</v>
      </c>
      <c r="C762">
        <v>60</v>
      </c>
      <c r="D762">
        <v>84</v>
      </c>
      <c r="E762" t="s">
        <v>128</v>
      </c>
      <c r="F762" s="12">
        <v>45428</v>
      </c>
      <c r="G762" t="s">
        <v>2522</v>
      </c>
      <c r="H762" s="12">
        <v>45427</v>
      </c>
      <c r="I762" t="s">
        <v>1407</v>
      </c>
      <c r="J762" t="s">
        <v>458</v>
      </c>
      <c r="K762">
        <v>2</v>
      </c>
      <c r="L762">
        <v>59.2</v>
      </c>
      <c r="P762" t="s">
        <v>106</v>
      </c>
      <c r="Q762" t="s">
        <v>106</v>
      </c>
      <c r="R762" t="s">
        <v>106</v>
      </c>
      <c r="S762" t="s">
        <v>106</v>
      </c>
      <c r="T762" t="s">
        <v>1495</v>
      </c>
      <c r="U762" t="s">
        <v>1382</v>
      </c>
      <c r="V762" t="s">
        <v>106</v>
      </c>
      <c r="W762" t="s">
        <v>443</v>
      </c>
      <c r="X762" t="s">
        <v>106</v>
      </c>
      <c r="Y762" t="s">
        <v>108</v>
      </c>
      <c r="Z762" t="s">
        <v>104</v>
      </c>
      <c r="AA762" t="s">
        <v>1897</v>
      </c>
      <c r="AB762" t="s">
        <v>1900</v>
      </c>
    </row>
    <row r="763" spans="1:28" x14ac:dyDescent="0.3">
      <c r="A763" t="s">
        <v>1395</v>
      </c>
      <c r="B763">
        <v>1</v>
      </c>
      <c r="C763">
        <v>0</v>
      </c>
      <c r="D763">
        <v>150</v>
      </c>
      <c r="E763" t="s">
        <v>128</v>
      </c>
      <c r="F763" s="12">
        <v>45429</v>
      </c>
      <c r="G763" t="s">
        <v>1412</v>
      </c>
      <c r="H763" s="12">
        <v>45429</v>
      </c>
      <c r="I763" t="s">
        <v>1413</v>
      </c>
      <c r="J763" t="s">
        <v>471</v>
      </c>
      <c r="K763">
        <v>1</v>
      </c>
      <c r="L763">
        <v>0</v>
      </c>
      <c r="P763" t="s">
        <v>106</v>
      </c>
      <c r="Q763" t="s">
        <v>106</v>
      </c>
      <c r="R763" t="s">
        <v>106</v>
      </c>
      <c r="S763" t="s">
        <v>1414</v>
      </c>
      <c r="T763" t="s">
        <v>884</v>
      </c>
      <c r="U763" t="s">
        <v>1415</v>
      </c>
      <c r="V763" t="s">
        <v>106</v>
      </c>
      <c r="W763" t="s">
        <v>373</v>
      </c>
      <c r="X763" t="s">
        <v>106</v>
      </c>
      <c r="Y763" t="s">
        <v>108</v>
      </c>
      <c r="Z763" t="s">
        <v>105</v>
      </c>
      <c r="AA763" t="s">
        <v>1316</v>
      </c>
      <c r="AB763" t="s">
        <v>106</v>
      </c>
    </row>
    <row r="764" spans="1:28" x14ac:dyDescent="0.3">
      <c r="A764" t="s">
        <v>1395</v>
      </c>
      <c r="B764">
        <v>1</v>
      </c>
      <c r="C764">
        <v>0</v>
      </c>
      <c r="D764">
        <v>151</v>
      </c>
      <c r="E764" t="s">
        <v>128</v>
      </c>
      <c r="F764" s="12">
        <v>45429</v>
      </c>
      <c r="G764" t="s">
        <v>1110</v>
      </c>
      <c r="H764" s="12">
        <v>45429</v>
      </c>
      <c r="I764" t="s">
        <v>1413</v>
      </c>
      <c r="J764" t="s">
        <v>471</v>
      </c>
      <c r="K764">
        <v>2</v>
      </c>
      <c r="L764">
        <v>0</v>
      </c>
      <c r="P764" t="s">
        <v>106</v>
      </c>
      <c r="Q764" t="s">
        <v>106</v>
      </c>
      <c r="R764" t="s">
        <v>106</v>
      </c>
      <c r="S764" t="s">
        <v>106</v>
      </c>
      <c r="T764" t="s">
        <v>1403</v>
      </c>
      <c r="U764" t="s">
        <v>106</v>
      </c>
      <c r="V764" t="s">
        <v>106</v>
      </c>
      <c r="W764" t="s">
        <v>373</v>
      </c>
      <c r="X764" t="s">
        <v>106</v>
      </c>
      <c r="Y764" t="s">
        <v>108</v>
      </c>
      <c r="Z764" t="s">
        <v>105</v>
      </c>
      <c r="AA764" t="s">
        <v>1316</v>
      </c>
      <c r="AB764" t="s">
        <v>106</v>
      </c>
    </row>
    <row r="765" spans="1:28" x14ac:dyDescent="0.3">
      <c r="A765" t="s">
        <v>1395</v>
      </c>
      <c r="B765">
        <v>1</v>
      </c>
      <c r="C765">
        <v>0</v>
      </c>
      <c r="D765">
        <v>125</v>
      </c>
      <c r="E765" t="s">
        <v>128</v>
      </c>
      <c r="F765" s="12">
        <v>45429</v>
      </c>
      <c r="G765" t="s">
        <v>1416</v>
      </c>
      <c r="H765" s="12">
        <v>45428</v>
      </c>
      <c r="I765" t="s">
        <v>1417</v>
      </c>
      <c r="J765" t="s">
        <v>458</v>
      </c>
      <c r="K765">
        <v>2</v>
      </c>
      <c r="L765">
        <v>0</v>
      </c>
      <c r="P765" t="s">
        <v>106</v>
      </c>
      <c r="Q765" t="s">
        <v>106</v>
      </c>
      <c r="R765" t="s">
        <v>106</v>
      </c>
      <c r="S765" t="s">
        <v>106</v>
      </c>
      <c r="T765" t="s">
        <v>722</v>
      </c>
      <c r="U765" t="s">
        <v>1418</v>
      </c>
      <c r="V765" t="s">
        <v>106</v>
      </c>
      <c r="W765" t="s">
        <v>443</v>
      </c>
      <c r="X765" t="s">
        <v>106</v>
      </c>
      <c r="Y765" t="s">
        <v>108</v>
      </c>
      <c r="Z765" t="s">
        <v>105</v>
      </c>
      <c r="AA765" t="s">
        <v>1419</v>
      </c>
      <c r="AB765" t="s">
        <v>106</v>
      </c>
    </row>
    <row r="766" spans="1:28" x14ac:dyDescent="0.3">
      <c r="A766" t="s">
        <v>1395</v>
      </c>
      <c r="B766">
        <v>2</v>
      </c>
      <c r="C766">
        <v>15</v>
      </c>
      <c r="D766">
        <v>145</v>
      </c>
      <c r="E766" t="s">
        <v>128</v>
      </c>
      <c r="F766" s="12">
        <v>45429</v>
      </c>
      <c r="G766" t="s">
        <v>794</v>
      </c>
      <c r="H766" s="12">
        <v>45429</v>
      </c>
      <c r="I766" t="s">
        <v>1413</v>
      </c>
      <c r="J766" t="s">
        <v>471</v>
      </c>
      <c r="K766">
        <v>2</v>
      </c>
      <c r="L766">
        <v>15.3</v>
      </c>
      <c r="P766" t="s">
        <v>106</v>
      </c>
      <c r="Q766" t="s">
        <v>106</v>
      </c>
      <c r="R766" t="s">
        <v>106</v>
      </c>
      <c r="S766" t="s">
        <v>106</v>
      </c>
      <c r="T766" t="s">
        <v>1495</v>
      </c>
      <c r="U766" t="s">
        <v>1615</v>
      </c>
      <c r="V766" t="s">
        <v>106</v>
      </c>
      <c r="W766" t="s">
        <v>373</v>
      </c>
      <c r="X766" t="s">
        <v>106</v>
      </c>
      <c r="Y766" t="s">
        <v>108</v>
      </c>
      <c r="Z766" t="s">
        <v>109</v>
      </c>
      <c r="AA766" t="s">
        <v>1419</v>
      </c>
      <c r="AB766" t="s">
        <v>1913</v>
      </c>
    </row>
    <row r="767" spans="1:28" x14ac:dyDescent="0.3">
      <c r="A767" t="s">
        <v>1395</v>
      </c>
      <c r="B767">
        <v>2</v>
      </c>
      <c r="C767">
        <v>15</v>
      </c>
      <c r="D767">
        <v>144</v>
      </c>
      <c r="E767" t="s">
        <v>128</v>
      </c>
      <c r="F767" s="12">
        <v>45429</v>
      </c>
      <c r="G767" t="s">
        <v>794</v>
      </c>
      <c r="H767" s="12">
        <v>45429</v>
      </c>
      <c r="I767" t="s">
        <v>1413</v>
      </c>
      <c r="J767" t="s">
        <v>471</v>
      </c>
      <c r="K767">
        <v>1</v>
      </c>
      <c r="L767">
        <v>15.7</v>
      </c>
      <c r="P767" t="s">
        <v>106</v>
      </c>
      <c r="Q767" t="s">
        <v>106</v>
      </c>
      <c r="R767" t="s">
        <v>106</v>
      </c>
      <c r="S767" t="s">
        <v>1124</v>
      </c>
      <c r="T767" t="s">
        <v>1810</v>
      </c>
      <c r="U767" t="s">
        <v>1615</v>
      </c>
      <c r="V767" t="s">
        <v>106</v>
      </c>
      <c r="W767" t="s">
        <v>373</v>
      </c>
      <c r="X767" t="s">
        <v>106</v>
      </c>
      <c r="Y767" t="s">
        <v>108</v>
      </c>
      <c r="Z767" t="s">
        <v>109</v>
      </c>
      <c r="AA767" t="s">
        <v>1419</v>
      </c>
      <c r="AB767" t="s">
        <v>715</v>
      </c>
    </row>
    <row r="768" spans="1:28" x14ac:dyDescent="0.3">
      <c r="A768" t="s">
        <v>1395</v>
      </c>
      <c r="B768">
        <v>2</v>
      </c>
      <c r="C768">
        <v>15</v>
      </c>
      <c r="D768">
        <v>136</v>
      </c>
      <c r="E768" t="s">
        <v>128</v>
      </c>
      <c r="F768" s="12">
        <v>45429</v>
      </c>
      <c r="G768" t="s">
        <v>1914</v>
      </c>
      <c r="H768" s="12">
        <v>45429</v>
      </c>
      <c r="I768" t="s">
        <v>1578</v>
      </c>
      <c r="J768" t="s">
        <v>1290</v>
      </c>
      <c r="K768">
        <v>2</v>
      </c>
      <c r="L768">
        <v>17.5</v>
      </c>
      <c r="P768" t="s">
        <v>106</v>
      </c>
      <c r="Q768" t="s">
        <v>106</v>
      </c>
      <c r="R768" t="s">
        <v>106</v>
      </c>
      <c r="S768" t="s">
        <v>106</v>
      </c>
      <c r="T768" t="s">
        <v>1822</v>
      </c>
      <c r="U768" t="s">
        <v>395</v>
      </c>
      <c r="V768" t="s">
        <v>106</v>
      </c>
      <c r="W768" t="s">
        <v>443</v>
      </c>
      <c r="X768" t="s">
        <v>106</v>
      </c>
      <c r="Y768" t="s">
        <v>108</v>
      </c>
      <c r="Z768" t="s">
        <v>109</v>
      </c>
      <c r="AA768" t="s">
        <v>1419</v>
      </c>
      <c r="AB768" t="s">
        <v>1915</v>
      </c>
    </row>
    <row r="769" spans="1:28" x14ac:dyDescent="0.3">
      <c r="A769" t="s">
        <v>1395</v>
      </c>
      <c r="B769">
        <v>2</v>
      </c>
      <c r="C769">
        <v>15</v>
      </c>
      <c r="D769">
        <v>137</v>
      </c>
      <c r="E769" t="s">
        <v>128</v>
      </c>
      <c r="F769" s="12">
        <v>45429</v>
      </c>
      <c r="G769" t="s">
        <v>1770</v>
      </c>
      <c r="H769" s="12">
        <v>45429</v>
      </c>
      <c r="I769" t="s">
        <v>1578</v>
      </c>
      <c r="J769" t="s">
        <v>1290</v>
      </c>
      <c r="K769">
        <v>2</v>
      </c>
      <c r="L769">
        <v>17.100000000000001</v>
      </c>
      <c r="P769" t="s">
        <v>106</v>
      </c>
      <c r="Q769" t="s">
        <v>106</v>
      </c>
      <c r="R769" t="s">
        <v>106</v>
      </c>
      <c r="S769" t="s">
        <v>106</v>
      </c>
      <c r="T769" t="s">
        <v>975</v>
      </c>
      <c r="U769" t="s">
        <v>427</v>
      </c>
      <c r="V769" t="s">
        <v>106</v>
      </c>
      <c r="W769" t="s">
        <v>443</v>
      </c>
      <c r="X769" t="s">
        <v>106</v>
      </c>
      <c r="Y769" t="s">
        <v>108</v>
      </c>
      <c r="Z769" t="s">
        <v>109</v>
      </c>
      <c r="AA769" t="s">
        <v>1419</v>
      </c>
      <c r="AB769" t="s">
        <v>106</v>
      </c>
    </row>
    <row r="770" spans="1:28" x14ac:dyDescent="0.3">
      <c r="A770" t="s">
        <v>1395</v>
      </c>
      <c r="B770">
        <v>2</v>
      </c>
      <c r="C770">
        <v>15</v>
      </c>
      <c r="D770">
        <v>128</v>
      </c>
      <c r="E770" t="s">
        <v>128</v>
      </c>
      <c r="F770" s="12">
        <v>45429</v>
      </c>
      <c r="G770" t="s">
        <v>1457</v>
      </c>
      <c r="H770" s="12">
        <v>45428</v>
      </c>
      <c r="I770" t="s">
        <v>1916</v>
      </c>
      <c r="J770" t="s">
        <v>458</v>
      </c>
      <c r="K770">
        <v>2</v>
      </c>
      <c r="L770">
        <v>17.7</v>
      </c>
      <c r="P770" t="s">
        <v>106</v>
      </c>
      <c r="Q770" t="s">
        <v>106</v>
      </c>
      <c r="R770" t="s">
        <v>106</v>
      </c>
      <c r="S770" t="s">
        <v>1917</v>
      </c>
      <c r="T770" t="s">
        <v>1069</v>
      </c>
      <c r="U770" t="s">
        <v>1415</v>
      </c>
      <c r="V770" t="s">
        <v>106</v>
      </c>
      <c r="W770" t="s">
        <v>443</v>
      </c>
      <c r="X770" t="s">
        <v>106</v>
      </c>
      <c r="Y770" t="s">
        <v>108</v>
      </c>
      <c r="Z770" t="s">
        <v>109</v>
      </c>
      <c r="AA770" t="s">
        <v>1419</v>
      </c>
      <c r="AB770" t="s">
        <v>1918</v>
      </c>
    </row>
    <row r="771" spans="1:28" x14ac:dyDescent="0.3">
      <c r="A771" t="s">
        <v>1395</v>
      </c>
      <c r="B771">
        <v>2</v>
      </c>
      <c r="C771">
        <v>15</v>
      </c>
      <c r="D771">
        <v>122</v>
      </c>
      <c r="E771" t="s">
        <v>128</v>
      </c>
      <c r="F771" s="12">
        <v>45429</v>
      </c>
      <c r="G771" t="s">
        <v>1919</v>
      </c>
      <c r="H771" s="12">
        <v>45428</v>
      </c>
      <c r="I771" t="s">
        <v>1417</v>
      </c>
      <c r="J771" t="s">
        <v>458</v>
      </c>
      <c r="K771">
        <v>2</v>
      </c>
      <c r="L771">
        <v>17.600000000000001</v>
      </c>
      <c r="P771" t="s">
        <v>106</v>
      </c>
      <c r="Q771" t="s">
        <v>106</v>
      </c>
      <c r="R771" t="s">
        <v>106</v>
      </c>
      <c r="S771" t="s">
        <v>1317</v>
      </c>
      <c r="T771" t="s">
        <v>1400</v>
      </c>
      <c r="U771" t="s">
        <v>1604</v>
      </c>
      <c r="V771" t="s">
        <v>106</v>
      </c>
      <c r="W771" t="s">
        <v>443</v>
      </c>
      <c r="X771" t="s">
        <v>106</v>
      </c>
      <c r="Y771" t="s">
        <v>108</v>
      </c>
      <c r="Z771" t="s">
        <v>109</v>
      </c>
      <c r="AA771" t="s">
        <v>1419</v>
      </c>
      <c r="AB771" t="s">
        <v>1920</v>
      </c>
    </row>
    <row r="772" spans="1:28" x14ac:dyDescent="0.3">
      <c r="A772" t="s">
        <v>1395</v>
      </c>
      <c r="B772">
        <v>2</v>
      </c>
      <c r="C772">
        <v>15</v>
      </c>
      <c r="D772">
        <v>153</v>
      </c>
      <c r="E772" t="s">
        <v>128</v>
      </c>
      <c r="F772" s="12">
        <v>45429</v>
      </c>
      <c r="G772" t="s">
        <v>1434</v>
      </c>
      <c r="H772" s="12">
        <v>45429</v>
      </c>
      <c r="I772" t="s">
        <v>385</v>
      </c>
      <c r="J772" t="s">
        <v>471</v>
      </c>
      <c r="K772">
        <v>2</v>
      </c>
      <c r="L772">
        <v>15.2</v>
      </c>
      <c r="P772" t="s">
        <v>106</v>
      </c>
      <c r="Q772" t="s">
        <v>106</v>
      </c>
      <c r="R772" t="s">
        <v>106</v>
      </c>
      <c r="S772" t="s">
        <v>106</v>
      </c>
      <c r="T772" t="s">
        <v>971</v>
      </c>
      <c r="U772" t="s">
        <v>1468</v>
      </c>
      <c r="V772" t="s">
        <v>106</v>
      </c>
      <c r="W772" t="s">
        <v>373</v>
      </c>
      <c r="X772" t="s">
        <v>106</v>
      </c>
      <c r="Y772" t="s">
        <v>108</v>
      </c>
      <c r="Z772" t="s">
        <v>109</v>
      </c>
      <c r="AA772" t="s">
        <v>1419</v>
      </c>
      <c r="AB772" t="s">
        <v>1921</v>
      </c>
    </row>
    <row r="773" spans="1:28" x14ac:dyDescent="0.3">
      <c r="A773" t="s">
        <v>1395</v>
      </c>
      <c r="B773">
        <v>2</v>
      </c>
      <c r="C773">
        <v>15</v>
      </c>
      <c r="D773">
        <v>139</v>
      </c>
      <c r="E773" t="s">
        <v>128</v>
      </c>
      <c r="F773" s="12">
        <v>45429</v>
      </c>
      <c r="G773" t="s">
        <v>789</v>
      </c>
      <c r="H773" s="12">
        <v>45429</v>
      </c>
      <c r="I773" t="s">
        <v>404</v>
      </c>
      <c r="J773" t="s">
        <v>471</v>
      </c>
      <c r="K773">
        <v>2</v>
      </c>
      <c r="L773">
        <v>14.7</v>
      </c>
      <c r="P773" t="s">
        <v>106</v>
      </c>
      <c r="Q773" t="s">
        <v>106</v>
      </c>
      <c r="R773" t="s">
        <v>106</v>
      </c>
      <c r="S773" t="s">
        <v>106</v>
      </c>
      <c r="T773" t="s">
        <v>1394</v>
      </c>
      <c r="U773" t="s">
        <v>1539</v>
      </c>
      <c r="V773" t="s">
        <v>106</v>
      </c>
      <c r="W773" t="s">
        <v>443</v>
      </c>
      <c r="X773" t="s">
        <v>106</v>
      </c>
      <c r="Y773" t="s">
        <v>108</v>
      </c>
      <c r="Z773" t="s">
        <v>109</v>
      </c>
      <c r="AA773" t="s">
        <v>1419</v>
      </c>
      <c r="AB773" t="s">
        <v>1922</v>
      </c>
    </row>
    <row r="774" spans="1:28" x14ac:dyDescent="0.3">
      <c r="A774" t="s">
        <v>1395</v>
      </c>
      <c r="B774">
        <v>2</v>
      </c>
      <c r="C774">
        <v>15</v>
      </c>
      <c r="D774">
        <v>121</v>
      </c>
      <c r="E774" t="s">
        <v>128</v>
      </c>
      <c r="F774" s="12">
        <v>45429</v>
      </c>
      <c r="G774" t="s">
        <v>1919</v>
      </c>
      <c r="H774" s="12">
        <v>45428</v>
      </c>
      <c r="I774" t="s">
        <v>1417</v>
      </c>
      <c r="J774" t="s">
        <v>458</v>
      </c>
      <c r="K774">
        <v>2</v>
      </c>
      <c r="L774">
        <v>18.100000000000001</v>
      </c>
      <c r="P774" t="s">
        <v>106</v>
      </c>
      <c r="Q774" t="s">
        <v>106</v>
      </c>
      <c r="R774" t="s">
        <v>106</v>
      </c>
      <c r="S774" t="s">
        <v>106</v>
      </c>
      <c r="T774" t="s">
        <v>881</v>
      </c>
      <c r="U774" t="s">
        <v>1615</v>
      </c>
      <c r="V774" t="s">
        <v>106</v>
      </c>
      <c r="W774" t="s">
        <v>443</v>
      </c>
      <c r="X774" t="s">
        <v>106</v>
      </c>
      <c r="Y774" t="s">
        <v>108</v>
      </c>
      <c r="Z774" t="s">
        <v>109</v>
      </c>
      <c r="AA774" t="s">
        <v>1419</v>
      </c>
      <c r="AB774" t="s">
        <v>1923</v>
      </c>
    </row>
    <row r="775" spans="1:28" x14ac:dyDescent="0.3">
      <c r="A775" t="s">
        <v>1395</v>
      </c>
      <c r="B775">
        <v>2</v>
      </c>
      <c r="C775">
        <v>15</v>
      </c>
      <c r="D775">
        <v>129</v>
      </c>
      <c r="E775" t="s">
        <v>128</v>
      </c>
      <c r="F775" s="12">
        <v>45429</v>
      </c>
      <c r="G775" t="s">
        <v>1457</v>
      </c>
      <c r="H775" s="12">
        <v>45428</v>
      </c>
      <c r="I775" t="s">
        <v>1916</v>
      </c>
      <c r="J775" t="s">
        <v>458</v>
      </c>
      <c r="K775">
        <v>2</v>
      </c>
      <c r="L775">
        <v>17.5</v>
      </c>
      <c r="P775" t="s">
        <v>106</v>
      </c>
      <c r="Q775" t="s">
        <v>106</v>
      </c>
      <c r="R775" t="s">
        <v>106</v>
      </c>
      <c r="S775" t="s">
        <v>106</v>
      </c>
      <c r="T775" t="s">
        <v>806</v>
      </c>
      <c r="U775" t="s">
        <v>1780</v>
      </c>
      <c r="V775" t="s">
        <v>106</v>
      </c>
      <c r="W775" t="s">
        <v>443</v>
      </c>
      <c r="X775" t="s">
        <v>106</v>
      </c>
      <c r="Y775" t="s">
        <v>108</v>
      </c>
      <c r="Z775" t="s">
        <v>109</v>
      </c>
      <c r="AA775" t="s">
        <v>1419</v>
      </c>
      <c r="AB775" t="s">
        <v>1924</v>
      </c>
    </row>
    <row r="776" spans="1:28" x14ac:dyDescent="0.3">
      <c r="A776" t="s">
        <v>1395</v>
      </c>
      <c r="B776">
        <v>2</v>
      </c>
      <c r="C776">
        <v>15</v>
      </c>
      <c r="D776">
        <v>138</v>
      </c>
      <c r="E776" t="s">
        <v>128</v>
      </c>
      <c r="F776" s="12">
        <v>45429</v>
      </c>
      <c r="G776" t="s">
        <v>789</v>
      </c>
      <c r="H776" s="12">
        <v>45429</v>
      </c>
      <c r="I776" t="s">
        <v>404</v>
      </c>
      <c r="J776" t="s">
        <v>471</v>
      </c>
      <c r="K776">
        <v>2</v>
      </c>
      <c r="L776">
        <v>14.8</v>
      </c>
      <c r="P776" t="s">
        <v>106</v>
      </c>
      <c r="Q776" t="s">
        <v>106</v>
      </c>
      <c r="R776" t="s">
        <v>106</v>
      </c>
      <c r="S776" t="s">
        <v>1925</v>
      </c>
      <c r="T776" t="s">
        <v>1459</v>
      </c>
      <c r="U776" t="s">
        <v>1604</v>
      </c>
      <c r="V776" t="s">
        <v>106</v>
      </c>
      <c r="W776" t="s">
        <v>443</v>
      </c>
      <c r="X776" t="s">
        <v>106</v>
      </c>
      <c r="Y776" t="s">
        <v>108</v>
      </c>
      <c r="Z776" t="s">
        <v>109</v>
      </c>
      <c r="AA776" t="s">
        <v>1419</v>
      </c>
      <c r="AB776" t="s">
        <v>1926</v>
      </c>
    </row>
    <row r="777" spans="1:28" x14ac:dyDescent="0.3">
      <c r="A777" t="s">
        <v>1395</v>
      </c>
      <c r="B777">
        <v>2</v>
      </c>
      <c r="C777">
        <v>15</v>
      </c>
      <c r="D777">
        <v>152</v>
      </c>
      <c r="E777" t="s">
        <v>128</v>
      </c>
      <c r="F777" s="12">
        <v>45429</v>
      </c>
      <c r="G777" t="s">
        <v>1927</v>
      </c>
      <c r="H777" s="12">
        <v>45429</v>
      </c>
      <c r="I777" t="s">
        <v>385</v>
      </c>
      <c r="J777" t="s">
        <v>471</v>
      </c>
      <c r="K777">
        <v>1</v>
      </c>
      <c r="L777">
        <v>14.1</v>
      </c>
      <c r="P777" t="s">
        <v>106</v>
      </c>
      <c r="Q777" t="s">
        <v>106</v>
      </c>
      <c r="R777" t="s">
        <v>106</v>
      </c>
      <c r="S777" t="s">
        <v>1446</v>
      </c>
      <c r="T777" t="s">
        <v>1928</v>
      </c>
      <c r="U777" t="s">
        <v>1410</v>
      </c>
      <c r="V777" t="s">
        <v>106</v>
      </c>
      <c r="W777" t="s">
        <v>373</v>
      </c>
      <c r="X777" t="s">
        <v>106</v>
      </c>
      <c r="Y777" t="s">
        <v>108</v>
      </c>
      <c r="Z777" t="s">
        <v>109</v>
      </c>
      <c r="AA777" t="s">
        <v>1419</v>
      </c>
      <c r="AB777" t="s">
        <v>1929</v>
      </c>
    </row>
    <row r="778" spans="1:28" x14ac:dyDescent="0.3">
      <c r="A778" t="s">
        <v>1395</v>
      </c>
      <c r="B778">
        <v>3</v>
      </c>
      <c r="C778">
        <v>35</v>
      </c>
      <c r="D778">
        <v>134</v>
      </c>
      <c r="E778" t="s">
        <v>128</v>
      </c>
      <c r="F778" s="12">
        <v>45429</v>
      </c>
      <c r="G778" t="s">
        <v>1914</v>
      </c>
      <c r="H778" s="12">
        <v>45429</v>
      </c>
      <c r="I778" t="s">
        <v>1578</v>
      </c>
      <c r="J778" t="s">
        <v>1290</v>
      </c>
      <c r="K778">
        <v>2</v>
      </c>
      <c r="L778">
        <v>38.700000000000003</v>
      </c>
      <c r="P778" t="s">
        <v>106</v>
      </c>
      <c r="Q778" t="s">
        <v>106</v>
      </c>
      <c r="R778" t="s">
        <v>106</v>
      </c>
      <c r="S778" t="s">
        <v>2339</v>
      </c>
      <c r="T778" t="s">
        <v>1793</v>
      </c>
      <c r="U778" t="s">
        <v>1477</v>
      </c>
      <c r="V778" t="s">
        <v>106</v>
      </c>
      <c r="W778" t="s">
        <v>443</v>
      </c>
      <c r="X778" t="s">
        <v>106</v>
      </c>
      <c r="Y778" t="s">
        <v>108</v>
      </c>
      <c r="Z778" t="s">
        <v>108</v>
      </c>
      <c r="AA778" t="s">
        <v>1419</v>
      </c>
      <c r="AB778" t="s">
        <v>2405</v>
      </c>
    </row>
    <row r="779" spans="1:28" x14ac:dyDescent="0.3">
      <c r="A779" t="s">
        <v>1395</v>
      </c>
      <c r="B779">
        <v>3</v>
      </c>
      <c r="C779">
        <v>35</v>
      </c>
      <c r="D779">
        <v>140</v>
      </c>
      <c r="E779" t="s">
        <v>128</v>
      </c>
      <c r="F779" s="12">
        <v>45429</v>
      </c>
      <c r="G779" t="s">
        <v>139</v>
      </c>
      <c r="H779" s="12">
        <v>45429</v>
      </c>
      <c r="I779" t="s">
        <v>404</v>
      </c>
      <c r="J779" t="s">
        <v>471</v>
      </c>
      <c r="K779">
        <v>2</v>
      </c>
      <c r="L779">
        <v>36.1</v>
      </c>
      <c r="P779" t="s">
        <v>106</v>
      </c>
      <c r="Q779" t="s">
        <v>106</v>
      </c>
      <c r="R779" t="s">
        <v>106</v>
      </c>
      <c r="S779" t="s">
        <v>1866</v>
      </c>
      <c r="T779" t="s">
        <v>1381</v>
      </c>
      <c r="U779" t="s">
        <v>395</v>
      </c>
      <c r="V779" t="s">
        <v>106</v>
      </c>
      <c r="W779" t="s">
        <v>443</v>
      </c>
      <c r="X779" t="s">
        <v>106</v>
      </c>
      <c r="Y779" t="s">
        <v>108</v>
      </c>
      <c r="Z779" t="s">
        <v>108</v>
      </c>
      <c r="AA779" t="s">
        <v>1419</v>
      </c>
      <c r="AB779" t="s">
        <v>2406</v>
      </c>
    </row>
    <row r="780" spans="1:28" x14ac:dyDescent="0.3">
      <c r="A780" t="s">
        <v>1395</v>
      </c>
      <c r="B780">
        <v>3</v>
      </c>
      <c r="C780">
        <v>35</v>
      </c>
      <c r="D780">
        <v>127</v>
      </c>
      <c r="E780" t="s">
        <v>128</v>
      </c>
      <c r="F780" s="12">
        <v>45429</v>
      </c>
      <c r="G780" t="s">
        <v>517</v>
      </c>
      <c r="H780" s="12">
        <v>45428</v>
      </c>
      <c r="I780" t="s">
        <v>1916</v>
      </c>
      <c r="J780" t="s">
        <v>458</v>
      </c>
      <c r="K780">
        <v>2</v>
      </c>
      <c r="L780">
        <v>38.700000000000003</v>
      </c>
      <c r="P780" t="s">
        <v>106</v>
      </c>
      <c r="Q780" t="s">
        <v>106</v>
      </c>
      <c r="R780" t="s">
        <v>106</v>
      </c>
      <c r="S780" t="s">
        <v>2407</v>
      </c>
      <c r="T780" t="s">
        <v>1796</v>
      </c>
      <c r="U780" t="s">
        <v>1418</v>
      </c>
      <c r="V780" t="s">
        <v>106</v>
      </c>
      <c r="W780" t="s">
        <v>443</v>
      </c>
      <c r="X780" t="s">
        <v>106</v>
      </c>
      <c r="Y780" t="s">
        <v>108</v>
      </c>
      <c r="Z780" t="s">
        <v>108</v>
      </c>
      <c r="AA780" t="s">
        <v>1419</v>
      </c>
      <c r="AB780" t="s">
        <v>2408</v>
      </c>
    </row>
    <row r="781" spans="1:28" x14ac:dyDescent="0.3">
      <c r="A781" t="s">
        <v>1395</v>
      </c>
      <c r="B781">
        <v>3</v>
      </c>
      <c r="C781">
        <v>35</v>
      </c>
      <c r="D781">
        <v>119</v>
      </c>
      <c r="E781" t="s">
        <v>128</v>
      </c>
      <c r="F781" s="12">
        <v>45429</v>
      </c>
      <c r="G781" t="s">
        <v>2409</v>
      </c>
      <c r="H781" s="12">
        <v>45428</v>
      </c>
      <c r="I781" t="s">
        <v>1417</v>
      </c>
      <c r="J781" t="s">
        <v>458</v>
      </c>
      <c r="K781">
        <v>2</v>
      </c>
      <c r="L781">
        <v>38.6</v>
      </c>
      <c r="P781" t="s">
        <v>106</v>
      </c>
      <c r="Q781" t="s">
        <v>106</v>
      </c>
      <c r="R781" t="s">
        <v>106</v>
      </c>
      <c r="S781" t="s">
        <v>106</v>
      </c>
      <c r="T781" t="s">
        <v>1379</v>
      </c>
      <c r="U781" t="s">
        <v>391</v>
      </c>
      <c r="V781" t="s">
        <v>106</v>
      </c>
      <c r="W781" t="s">
        <v>443</v>
      </c>
      <c r="X781" t="s">
        <v>106</v>
      </c>
      <c r="Y781" t="s">
        <v>108</v>
      </c>
      <c r="Z781" t="s">
        <v>108</v>
      </c>
      <c r="AA781" t="s">
        <v>1419</v>
      </c>
      <c r="AB781" t="s">
        <v>1900</v>
      </c>
    </row>
    <row r="782" spans="1:28" x14ac:dyDescent="0.3">
      <c r="A782" t="s">
        <v>1395</v>
      </c>
      <c r="B782">
        <v>3</v>
      </c>
      <c r="C782">
        <v>35</v>
      </c>
      <c r="D782">
        <v>141</v>
      </c>
      <c r="E782" t="s">
        <v>128</v>
      </c>
      <c r="F782" s="12">
        <v>45429</v>
      </c>
      <c r="G782" t="s">
        <v>592</v>
      </c>
      <c r="H782" s="12">
        <v>45429</v>
      </c>
      <c r="I782" t="s">
        <v>404</v>
      </c>
      <c r="J782" t="s">
        <v>471</v>
      </c>
      <c r="K782">
        <v>2</v>
      </c>
      <c r="L782">
        <v>35.700000000000003</v>
      </c>
      <c r="P782" t="s">
        <v>106</v>
      </c>
      <c r="Q782" t="s">
        <v>106</v>
      </c>
      <c r="R782" t="s">
        <v>106</v>
      </c>
      <c r="S782" t="s">
        <v>106</v>
      </c>
      <c r="T782" t="s">
        <v>1476</v>
      </c>
      <c r="U782" t="s">
        <v>905</v>
      </c>
      <c r="V782" t="s">
        <v>106</v>
      </c>
      <c r="W782" t="s">
        <v>443</v>
      </c>
      <c r="X782" t="s">
        <v>106</v>
      </c>
      <c r="Y782" t="s">
        <v>108</v>
      </c>
      <c r="Z782" t="s">
        <v>108</v>
      </c>
      <c r="AA782" t="s">
        <v>1419</v>
      </c>
      <c r="AB782" t="s">
        <v>2410</v>
      </c>
    </row>
    <row r="783" spans="1:28" x14ac:dyDescent="0.3">
      <c r="A783" t="s">
        <v>1395</v>
      </c>
      <c r="B783">
        <v>3</v>
      </c>
      <c r="C783">
        <v>35</v>
      </c>
      <c r="D783">
        <v>146</v>
      </c>
      <c r="E783" t="s">
        <v>128</v>
      </c>
      <c r="F783" s="12">
        <v>45429</v>
      </c>
      <c r="G783" t="s">
        <v>637</v>
      </c>
      <c r="H783" s="12">
        <v>45429</v>
      </c>
      <c r="I783" t="s">
        <v>1413</v>
      </c>
      <c r="J783" t="s">
        <v>471</v>
      </c>
      <c r="K783">
        <v>1</v>
      </c>
      <c r="L783">
        <v>38.299999999999997</v>
      </c>
      <c r="P783" t="s">
        <v>106</v>
      </c>
      <c r="Q783" t="s">
        <v>106</v>
      </c>
      <c r="R783" t="s">
        <v>106</v>
      </c>
      <c r="S783" t="s">
        <v>106</v>
      </c>
      <c r="T783" t="s">
        <v>1825</v>
      </c>
      <c r="U783" t="s">
        <v>1415</v>
      </c>
      <c r="V783" t="s">
        <v>106</v>
      </c>
      <c r="W783" t="s">
        <v>373</v>
      </c>
      <c r="X783" t="s">
        <v>106</v>
      </c>
      <c r="Y783" t="s">
        <v>108</v>
      </c>
      <c r="Z783" t="s">
        <v>108</v>
      </c>
      <c r="AA783" t="s">
        <v>1419</v>
      </c>
      <c r="AB783" t="s">
        <v>2411</v>
      </c>
    </row>
    <row r="784" spans="1:28" x14ac:dyDescent="0.3">
      <c r="A784" t="s">
        <v>1395</v>
      </c>
      <c r="B784">
        <v>3</v>
      </c>
      <c r="C784">
        <v>35</v>
      </c>
      <c r="D784">
        <v>147</v>
      </c>
      <c r="E784" t="s">
        <v>128</v>
      </c>
      <c r="F784" s="12">
        <v>45429</v>
      </c>
      <c r="G784" t="s">
        <v>637</v>
      </c>
      <c r="H784" s="12">
        <v>45429</v>
      </c>
      <c r="I784" t="s">
        <v>1413</v>
      </c>
      <c r="J784" t="s">
        <v>471</v>
      </c>
      <c r="K784">
        <v>2</v>
      </c>
      <c r="L784">
        <v>36.9</v>
      </c>
      <c r="P784" t="s">
        <v>106</v>
      </c>
      <c r="Q784" t="s">
        <v>106</v>
      </c>
      <c r="R784" t="s">
        <v>106</v>
      </c>
      <c r="S784" t="s">
        <v>2109</v>
      </c>
      <c r="T784" t="s">
        <v>1463</v>
      </c>
      <c r="U784" t="s">
        <v>430</v>
      </c>
      <c r="V784" t="s">
        <v>106</v>
      </c>
      <c r="W784" t="s">
        <v>373</v>
      </c>
      <c r="X784" t="s">
        <v>106</v>
      </c>
      <c r="Y784" t="s">
        <v>108</v>
      </c>
      <c r="Z784" t="s">
        <v>108</v>
      </c>
      <c r="AA784" t="s">
        <v>1419</v>
      </c>
      <c r="AB784" t="s">
        <v>2412</v>
      </c>
    </row>
    <row r="785" spans="1:28" x14ac:dyDescent="0.3">
      <c r="A785" t="s">
        <v>1395</v>
      </c>
      <c r="B785">
        <v>3</v>
      </c>
      <c r="C785">
        <v>35</v>
      </c>
      <c r="D785">
        <v>126</v>
      </c>
      <c r="E785" t="s">
        <v>128</v>
      </c>
      <c r="F785" s="12">
        <v>45429</v>
      </c>
      <c r="G785" t="s">
        <v>1865</v>
      </c>
      <c r="H785" s="12">
        <v>45428</v>
      </c>
      <c r="I785" t="s">
        <v>1916</v>
      </c>
      <c r="J785" t="s">
        <v>458</v>
      </c>
      <c r="K785">
        <v>2</v>
      </c>
      <c r="L785">
        <v>39.299999999999997</v>
      </c>
      <c r="P785" t="s">
        <v>106</v>
      </c>
      <c r="Q785" t="s">
        <v>106</v>
      </c>
      <c r="R785" t="s">
        <v>106</v>
      </c>
      <c r="S785" t="s">
        <v>106</v>
      </c>
      <c r="T785" t="s">
        <v>1101</v>
      </c>
      <c r="U785" t="s">
        <v>1382</v>
      </c>
      <c r="V785" t="s">
        <v>106</v>
      </c>
      <c r="W785" t="s">
        <v>443</v>
      </c>
      <c r="X785" t="s">
        <v>106</v>
      </c>
      <c r="Y785" t="s">
        <v>108</v>
      </c>
      <c r="Z785" t="s">
        <v>108</v>
      </c>
      <c r="AA785" t="s">
        <v>1419</v>
      </c>
      <c r="AB785" t="s">
        <v>1900</v>
      </c>
    </row>
    <row r="786" spans="1:28" x14ac:dyDescent="0.3">
      <c r="A786" t="s">
        <v>1395</v>
      </c>
      <c r="B786">
        <v>3</v>
      </c>
      <c r="C786">
        <v>35</v>
      </c>
      <c r="D786">
        <v>135</v>
      </c>
      <c r="E786" t="s">
        <v>128</v>
      </c>
      <c r="F786" s="12">
        <v>45429</v>
      </c>
      <c r="G786" t="s">
        <v>1914</v>
      </c>
      <c r="H786" s="12">
        <v>45429</v>
      </c>
      <c r="I786" t="s">
        <v>1578</v>
      </c>
      <c r="J786" t="s">
        <v>1290</v>
      </c>
      <c r="K786">
        <v>2</v>
      </c>
      <c r="L786">
        <v>38.200000000000003</v>
      </c>
      <c r="P786" t="s">
        <v>106</v>
      </c>
      <c r="Q786" t="s">
        <v>106</v>
      </c>
      <c r="R786" t="s">
        <v>106</v>
      </c>
      <c r="S786" t="s">
        <v>106</v>
      </c>
      <c r="T786" t="s">
        <v>678</v>
      </c>
      <c r="U786" t="s">
        <v>1539</v>
      </c>
      <c r="V786" t="s">
        <v>106</v>
      </c>
      <c r="W786" t="s">
        <v>443</v>
      </c>
      <c r="X786" t="s">
        <v>106</v>
      </c>
      <c r="Y786" t="s">
        <v>108</v>
      </c>
      <c r="Z786" t="s">
        <v>108</v>
      </c>
      <c r="AA786" t="s">
        <v>1419</v>
      </c>
      <c r="AB786" t="s">
        <v>2413</v>
      </c>
    </row>
    <row r="787" spans="1:28" x14ac:dyDescent="0.3">
      <c r="A787" t="s">
        <v>1395</v>
      </c>
      <c r="B787">
        <v>3</v>
      </c>
      <c r="C787">
        <v>35</v>
      </c>
      <c r="D787">
        <v>154</v>
      </c>
      <c r="E787" t="s">
        <v>128</v>
      </c>
      <c r="F787" s="12">
        <v>45429</v>
      </c>
      <c r="G787" t="s">
        <v>371</v>
      </c>
      <c r="H787" s="12">
        <v>45429</v>
      </c>
      <c r="I787" t="s">
        <v>385</v>
      </c>
      <c r="J787" t="s">
        <v>471</v>
      </c>
      <c r="K787">
        <v>1</v>
      </c>
      <c r="L787">
        <v>38.200000000000003</v>
      </c>
      <c r="P787" t="s">
        <v>106</v>
      </c>
      <c r="Q787" t="s">
        <v>106</v>
      </c>
      <c r="R787" t="s">
        <v>106</v>
      </c>
      <c r="S787" t="s">
        <v>106</v>
      </c>
      <c r="T787" t="s">
        <v>1069</v>
      </c>
      <c r="U787" t="s">
        <v>1615</v>
      </c>
      <c r="V787" t="s">
        <v>106</v>
      </c>
      <c r="W787" t="s">
        <v>373</v>
      </c>
      <c r="X787" t="s">
        <v>106</v>
      </c>
      <c r="Y787" t="s">
        <v>108</v>
      </c>
      <c r="Z787" t="s">
        <v>108</v>
      </c>
      <c r="AA787" t="s">
        <v>1419</v>
      </c>
      <c r="AB787" t="s">
        <v>2414</v>
      </c>
    </row>
    <row r="788" spans="1:28" x14ac:dyDescent="0.3">
      <c r="A788" t="s">
        <v>1395</v>
      </c>
      <c r="B788">
        <v>3</v>
      </c>
      <c r="C788">
        <v>35</v>
      </c>
      <c r="D788">
        <v>155</v>
      </c>
      <c r="E788" t="s">
        <v>128</v>
      </c>
      <c r="F788" s="12">
        <v>45429</v>
      </c>
      <c r="G788" t="s">
        <v>371</v>
      </c>
      <c r="H788" s="12">
        <v>45429</v>
      </c>
      <c r="I788" t="s">
        <v>385</v>
      </c>
      <c r="J788" t="s">
        <v>471</v>
      </c>
      <c r="K788">
        <v>2</v>
      </c>
      <c r="L788">
        <v>36.799999999999997</v>
      </c>
      <c r="P788" t="s">
        <v>106</v>
      </c>
      <c r="Q788" t="s">
        <v>106</v>
      </c>
      <c r="R788" t="s">
        <v>106</v>
      </c>
      <c r="S788" t="s">
        <v>2359</v>
      </c>
      <c r="T788" t="s">
        <v>1935</v>
      </c>
      <c r="U788" t="s">
        <v>1418</v>
      </c>
      <c r="V788" t="s">
        <v>106</v>
      </c>
      <c r="W788" t="s">
        <v>373</v>
      </c>
      <c r="X788" t="s">
        <v>106</v>
      </c>
      <c r="Y788" t="s">
        <v>108</v>
      </c>
      <c r="Z788" t="s">
        <v>108</v>
      </c>
      <c r="AA788" t="s">
        <v>1419</v>
      </c>
      <c r="AB788" t="s">
        <v>2415</v>
      </c>
    </row>
    <row r="789" spans="1:28" x14ac:dyDescent="0.3">
      <c r="A789" t="s">
        <v>1395</v>
      </c>
      <c r="B789">
        <v>3</v>
      </c>
      <c r="C789">
        <v>35</v>
      </c>
      <c r="D789">
        <v>120</v>
      </c>
      <c r="E789" t="s">
        <v>128</v>
      </c>
      <c r="F789" s="12">
        <v>45429</v>
      </c>
      <c r="G789" t="s">
        <v>1919</v>
      </c>
      <c r="H789" s="12">
        <v>45428</v>
      </c>
      <c r="I789" t="s">
        <v>1417</v>
      </c>
      <c r="J789" t="s">
        <v>458</v>
      </c>
      <c r="K789">
        <v>2</v>
      </c>
      <c r="L789">
        <v>38.6</v>
      </c>
      <c r="P789" t="s">
        <v>106</v>
      </c>
      <c r="Q789" t="s">
        <v>106</v>
      </c>
      <c r="R789" t="s">
        <v>106</v>
      </c>
      <c r="S789" t="s">
        <v>106</v>
      </c>
      <c r="T789" t="s">
        <v>1131</v>
      </c>
      <c r="U789" t="s">
        <v>905</v>
      </c>
      <c r="V789" t="s">
        <v>106</v>
      </c>
      <c r="W789" t="s">
        <v>443</v>
      </c>
      <c r="X789" t="s">
        <v>106</v>
      </c>
      <c r="Y789" t="s">
        <v>108</v>
      </c>
      <c r="Z789" t="s">
        <v>108</v>
      </c>
      <c r="AA789" t="s">
        <v>1419</v>
      </c>
      <c r="AB789" t="s">
        <v>2416</v>
      </c>
    </row>
    <row r="790" spans="1:28" x14ac:dyDescent="0.3">
      <c r="A790" t="s">
        <v>1395</v>
      </c>
      <c r="B790">
        <v>4</v>
      </c>
      <c r="C790">
        <v>60</v>
      </c>
      <c r="D790">
        <v>124</v>
      </c>
      <c r="E790" t="s">
        <v>128</v>
      </c>
      <c r="F790" s="12">
        <v>45429</v>
      </c>
      <c r="G790" t="s">
        <v>1339</v>
      </c>
      <c r="H790" s="12">
        <v>45428</v>
      </c>
      <c r="I790" t="s">
        <v>1417</v>
      </c>
      <c r="J790" t="s">
        <v>458</v>
      </c>
      <c r="K790">
        <v>2</v>
      </c>
      <c r="L790">
        <v>63.9</v>
      </c>
      <c r="P790" t="s">
        <v>106</v>
      </c>
      <c r="Q790" t="s">
        <v>106</v>
      </c>
      <c r="R790" t="s">
        <v>106</v>
      </c>
      <c r="S790" t="s">
        <v>106</v>
      </c>
      <c r="T790" t="s">
        <v>1274</v>
      </c>
      <c r="U790" t="s">
        <v>1359</v>
      </c>
      <c r="V790" t="s">
        <v>106</v>
      </c>
      <c r="W790" t="s">
        <v>443</v>
      </c>
      <c r="X790" t="s">
        <v>106</v>
      </c>
      <c r="Y790" t="s">
        <v>108</v>
      </c>
      <c r="Z790" t="s">
        <v>104</v>
      </c>
      <c r="AA790" t="s">
        <v>1419</v>
      </c>
      <c r="AB790" t="s">
        <v>106</v>
      </c>
    </row>
    <row r="791" spans="1:28" x14ac:dyDescent="0.3">
      <c r="A791" t="s">
        <v>1395</v>
      </c>
      <c r="B791">
        <v>4</v>
      </c>
      <c r="C791">
        <v>60</v>
      </c>
      <c r="D791">
        <v>149</v>
      </c>
      <c r="E791" t="s">
        <v>128</v>
      </c>
      <c r="F791" s="12">
        <v>45429</v>
      </c>
      <c r="G791" t="s">
        <v>1957</v>
      </c>
      <c r="H791" s="12">
        <v>45429</v>
      </c>
      <c r="I791" t="s">
        <v>1413</v>
      </c>
      <c r="J791" t="s">
        <v>471</v>
      </c>
      <c r="K791">
        <v>2</v>
      </c>
      <c r="L791">
        <v>62.1</v>
      </c>
      <c r="P791" t="s">
        <v>106</v>
      </c>
      <c r="Q791" t="s">
        <v>106</v>
      </c>
      <c r="R791" t="s">
        <v>106</v>
      </c>
      <c r="S791" t="s">
        <v>1809</v>
      </c>
      <c r="T791" t="s">
        <v>1475</v>
      </c>
      <c r="U791" t="s">
        <v>1539</v>
      </c>
      <c r="V791" t="s">
        <v>106</v>
      </c>
      <c r="W791" t="s">
        <v>373</v>
      </c>
      <c r="X791" t="s">
        <v>106</v>
      </c>
      <c r="Y791" t="s">
        <v>108</v>
      </c>
      <c r="Z791" t="s">
        <v>104</v>
      </c>
      <c r="AA791" t="s">
        <v>1419</v>
      </c>
      <c r="AB791" t="s">
        <v>106</v>
      </c>
    </row>
    <row r="792" spans="1:28" x14ac:dyDescent="0.3">
      <c r="A792" t="s">
        <v>1395</v>
      </c>
      <c r="B792">
        <v>4</v>
      </c>
      <c r="C792">
        <v>60</v>
      </c>
      <c r="D792">
        <v>123</v>
      </c>
      <c r="E792" t="s">
        <v>128</v>
      </c>
      <c r="F792" s="12">
        <v>45429</v>
      </c>
      <c r="G792" t="s">
        <v>1339</v>
      </c>
      <c r="H792" s="12">
        <v>45428</v>
      </c>
      <c r="I792" t="s">
        <v>1417</v>
      </c>
      <c r="J792" t="s">
        <v>458</v>
      </c>
      <c r="K792">
        <v>2</v>
      </c>
      <c r="L792">
        <v>63.1</v>
      </c>
      <c r="P792" t="s">
        <v>106</v>
      </c>
      <c r="Q792" t="s">
        <v>106</v>
      </c>
      <c r="R792" t="s">
        <v>106</v>
      </c>
      <c r="S792" t="s">
        <v>2681</v>
      </c>
      <c r="T792" t="s">
        <v>760</v>
      </c>
      <c r="U792" t="s">
        <v>1410</v>
      </c>
      <c r="V792" t="s">
        <v>106</v>
      </c>
      <c r="W792" t="s">
        <v>443</v>
      </c>
      <c r="X792" t="s">
        <v>106</v>
      </c>
      <c r="Y792" t="s">
        <v>108</v>
      </c>
      <c r="Z792" t="s">
        <v>104</v>
      </c>
      <c r="AA792" t="s">
        <v>1419</v>
      </c>
      <c r="AB792" t="s">
        <v>2682</v>
      </c>
    </row>
    <row r="793" spans="1:28" x14ac:dyDescent="0.3">
      <c r="A793" t="s">
        <v>1395</v>
      </c>
      <c r="B793">
        <v>4</v>
      </c>
      <c r="C793">
        <v>60</v>
      </c>
      <c r="D793">
        <v>143</v>
      </c>
      <c r="E793" t="s">
        <v>128</v>
      </c>
      <c r="F793" s="12">
        <v>45429</v>
      </c>
      <c r="G793" t="s">
        <v>823</v>
      </c>
      <c r="H793" s="12">
        <v>45429</v>
      </c>
      <c r="I793" t="s">
        <v>404</v>
      </c>
      <c r="J793" t="s">
        <v>471</v>
      </c>
      <c r="K793">
        <v>2</v>
      </c>
      <c r="L793">
        <v>60.1</v>
      </c>
      <c r="P793" t="s">
        <v>106</v>
      </c>
      <c r="Q793" t="s">
        <v>106</v>
      </c>
      <c r="R793" t="s">
        <v>106</v>
      </c>
      <c r="S793" t="s">
        <v>106</v>
      </c>
      <c r="T793" t="s">
        <v>1485</v>
      </c>
      <c r="U793" t="s">
        <v>427</v>
      </c>
      <c r="V793" t="s">
        <v>106</v>
      </c>
      <c r="W793" t="s">
        <v>443</v>
      </c>
      <c r="X793" t="s">
        <v>106</v>
      </c>
      <c r="Y793" t="s">
        <v>108</v>
      </c>
      <c r="Z793" t="s">
        <v>104</v>
      </c>
      <c r="AA793" t="s">
        <v>1419</v>
      </c>
      <c r="AB793" t="s">
        <v>106</v>
      </c>
    </row>
    <row r="794" spans="1:28" x14ac:dyDescent="0.3">
      <c r="A794" t="s">
        <v>1395</v>
      </c>
      <c r="B794">
        <v>4</v>
      </c>
      <c r="C794">
        <v>60</v>
      </c>
      <c r="D794">
        <v>142</v>
      </c>
      <c r="E794" t="s">
        <v>128</v>
      </c>
      <c r="F794" s="12">
        <v>45429</v>
      </c>
      <c r="G794" t="s">
        <v>823</v>
      </c>
      <c r="H794" s="12">
        <v>45429</v>
      </c>
      <c r="I794" t="s">
        <v>404</v>
      </c>
      <c r="J794" t="s">
        <v>471</v>
      </c>
      <c r="K794">
        <v>2</v>
      </c>
      <c r="L794">
        <v>59.6</v>
      </c>
      <c r="P794" t="s">
        <v>106</v>
      </c>
      <c r="Q794" t="s">
        <v>106</v>
      </c>
      <c r="R794" t="s">
        <v>106</v>
      </c>
      <c r="S794" t="s">
        <v>1667</v>
      </c>
      <c r="T794" t="s">
        <v>1822</v>
      </c>
      <c r="U794" t="s">
        <v>1539</v>
      </c>
      <c r="V794" t="s">
        <v>106</v>
      </c>
      <c r="W794" t="s">
        <v>443</v>
      </c>
      <c r="X794" t="s">
        <v>106</v>
      </c>
      <c r="Y794" t="s">
        <v>108</v>
      </c>
      <c r="Z794" t="s">
        <v>104</v>
      </c>
      <c r="AA794" t="s">
        <v>1419</v>
      </c>
      <c r="AB794" t="s">
        <v>2683</v>
      </c>
    </row>
    <row r="795" spans="1:28" x14ac:dyDescent="0.3">
      <c r="A795" t="s">
        <v>1395</v>
      </c>
      <c r="B795">
        <v>4</v>
      </c>
      <c r="C795">
        <v>60</v>
      </c>
      <c r="D795">
        <v>156</v>
      </c>
      <c r="E795" t="s">
        <v>128</v>
      </c>
      <c r="F795" s="12">
        <v>45429</v>
      </c>
      <c r="G795" t="s">
        <v>371</v>
      </c>
      <c r="H795" s="12">
        <v>45429</v>
      </c>
      <c r="I795" t="s">
        <v>385</v>
      </c>
      <c r="J795" t="s">
        <v>471</v>
      </c>
      <c r="K795">
        <v>1</v>
      </c>
      <c r="L795">
        <v>62</v>
      </c>
      <c r="P795" t="s">
        <v>106</v>
      </c>
      <c r="Q795" t="s">
        <v>106</v>
      </c>
      <c r="R795" t="s">
        <v>106</v>
      </c>
      <c r="S795" t="s">
        <v>106</v>
      </c>
      <c r="T795" t="s">
        <v>2296</v>
      </c>
      <c r="U795" t="s">
        <v>1410</v>
      </c>
      <c r="V795" t="s">
        <v>106</v>
      </c>
      <c r="W795" t="s">
        <v>373</v>
      </c>
      <c r="X795" t="s">
        <v>106</v>
      </c>
      <c r="Y795" t="s">
        <v>108</v>
      </c>
      <c r="Z795" t="s">
        <v>104</v>
      </c>
      <c r="AA795" t="s">
        <v>1419</v>
      </c>
      <c r="AB795" t="s">
        <v>2684</v>
      </c>
    </row>
    <row r="796" spans="1:28" x14ac:dyDescent="0.3">
      <c r="A796" t="s">
        <v>1395</v>
      </c>
      <c r="B796">
        <v>4</v>
      </c>
      <c r="C796">
        <v>60</v>
      </c>
      <c r="D796">
        <v>131</v>
      </c>
      <c r="E796" t="s">
        <v>128</v>
      </c>
      <c r="F796" s="12">
        <v>45429</v>
      </c>
      <c r="G796" t="s">
        <v>2052</v>
      </c>
      <c r="H796" s="12">
        <v>45428</v>
      </c>
      <c r="I796" t="s">
        <v>1916</v>
      </c>
      <c r="J796" t="s">
        <v>458</v>
      </c>
      <c r="K796">
        <v>2</v>
      </c>
      <c r="L796">
        <v>64.400000000000006</v>
      </c>
      <c r="P796" t="s">
        <v>106</v>
      </c>
      <c r="Q796" t="s">
        <v>106</v>
      </c>
      <c r="R796" t="s">
        <v>106</v>
      </c>
      <c r="S796" t="s">
        <v>106</v>
      </c>
      <c r="T796" t="s">
        <v>1793</v>
      </c>
      <c r="U796" t="s">
        <v>841</v>
      </c>
      <c r="V796" t="s">
        <v>106</v>
      </c>
      <c r="W796" t="s">
        <v>443</v>
      </c>
      <c r="X796" t="s">
        <v>106</v>
      </c>
      <c r="Y796" t="s">
        <v>108</v>
      </c>
      <c r="Z796" t="s">
        <v>104</v>
      </c>
      <c r="AA796" t="s">
        <v>1419</v>
      </c>
      <c r="AB796" t="s">
        <v>106</v>
      </c>
    </row>
    <row r="797" spans="1:28" x14ac:dyDescent="0.3">
      <c r="A797" t="s">
        <v>1395</v>
      </c>
      <c r="B797">
        <v>4</v>
      </c>
      <c r="C797">
        <v>60</v>
      </c>
      <c r="D797">
        <v>132</v>
      </c>
      <c r="E797" t="s">
        <v>128</v>
      </c>
      <c r="F797" s="12">
        <v>45429</v>
      </c>
      <c r="G797" t="s">
        <v>2136</v>
      </c>
      <c r="H797" s="12">
        <v>45429</v>
      </c>
      <c r="I797" t="s">
        <v>1578</v>
      </c>
      <c r="J797" t="s">
        <v>1290</v>
      </c>
      <c r="K797">
        <v>2</v>
      </c>
      <c r="L797">
        <v>62</v>
      </c>
      <c r="P797" t="s">
        <v>106</v>
      </c>
      <c r="Q797" t="s">
        <v>106</v>
      </c>
      <c r="R797" t="s">
        <v>106</v>
      </c>
      <c r="S797" t="s">
        <v>106</v>
      </c>
      <c r="T797" t="s">
        <v>1141</v>
      </c>
      <c r="U797" t="s">
        <v>427</v>
      </c>
      <c r="V797" t="s">
        <v>106</v>
      </c>
      <c r="W797" t="s">
        <v>443</v>
      </c>
      <c r="X797" t="s">
        <v>106</v>
      </c>
      <c r="Y797" t="s">
        <v>108</v>
      </c>
      <c r="Z797" t="s">
        <v>104</v>
      </c>
      <c r="AA797" t="s">
        <v>1419</v>
      </c>
      <c r="AB797" t="s">
        <v>1900</v>
      </c>
    </row>
    <row r="798" spans="1:28" x14ac:dyDescent="0.3">
      <c r="A798" t="s">
        <v>1395</v>
      </c>
      <c r="B798">
        <v>4</v>
      </c>
      <c r="C798">
        <v>60</v>
      </c>
      <c r="D798">
        <v>133</v>
      </c>
      <c r="E798" t="s">
        <v>128</v>
      </c>
      <c r="F798" s="12">
        <v>45429</v>
      </c>
      <c r="G798" t="s">
        <v>1914</v>
      </c>
      <c r="H798" s="12">
        <v>45429</v>
      </c>
      <c r="I798" t="s">
        <v>1578</v>
      </c>
      <c r="J798" t="s">
        <v>1290</v>
      </c>
      <c r="K798">
        <v>2</v>
      </c>
      <c r="L798">
        <v>61.4</v>
      </c>
      <c r="P798" t="s">
        <v>106</v>
      </c>
      <c r="Q798" t="s">
        <v>106</v>
      </c>
      <c r="R798" t="s">
        <v>106</v>
      </c>
      <c r="S798" t="s">
        <v>1667</v>
      </c>
      <c r="T798" t="s">
        <v>1899</v>
      </c>
      <c r="U798" t="s">
        <v>1410</v>
      </c>
      <c r="V798" t="s">
        <v>106</v>
      </c>
      <c r="W798" t="s">
        <v>443</v>
      </c>
      <c r="X798" t="s">
        <v>106</v>
      </c>
      <c r="Y798" t="s">
        <v>108</v>
      </c>
      <c r="Z798" t="s">
        <v>104</v>
      </c>
      <c r="AA798" t="s">
        <v>1419</v>
      </c>
      <c r="AB798" t="s">
        <v>2685</v>
      </c>
    </row>
    <row r="799" spans="1:28" x14ac:dyDescent="0.3">
      <c r="A799" t="s">
        <v>1395</v>
      </c>
      <c r="B799">
        <v>4</v>
      </c>
      <c r="C799">
        <v>60</v>
      </c>
      <c r="D799">
        <v>157</v>
      </c>
      <c r="E799" t="s">
        <v>128</v>
      </c>
      <c r="F799" s="12">
        <v>45429</v>
      </c>
      <c r="G799" t="s">
        <v>737</v>
      </c>
      <c r="H799" s="12">
        <v>45429</v>
      </c>
      <c r="I799" t="s">
        <v>385</v>
      </c>
      <c r="J799" t="s">
        <v>471</v>
      </c>
      <c r="K799">
        <v>2</v>
      </c>
      <c r="L799">
        <v>59.8</v>
      </c>
      <c r="P799" t="s">
        <v>106</v>
      </c>
      <c r="Q799" t="s">
        <v>106</v>
      </c>
      <c r="R799" t="s">
        <v>106</v>
      </c>
      <c r="S799" t="s">
        <v>1711</v>
      </c>
      <c r="T799" t="s">
        <v>1084</v>
      </c>
      <c r="U799" t="s">
        <v>1415</v>
      </c>
      <c r="V799" t="s">
        <v>106</v>
      </c>
      <c r="W799" t="s">
        <v>373</v>
      </c>
      <c r="X799" t="s">
        <v>106</v>
      </c>
      <c r="Y799" t="s">
        <v>108</v>
      </c>
      <c r="Z799" t="s">
        <v>104</v>
      </c>
      <c r="AA799" t="s">
        <v>1419</v>
      </c>
      <c r="AB799" t="s">
        <v>106</v>
      </c>
    </row>
    <row r="800" spans="1:28" x14ac:dyDescent="0.3">
      <c r="A800" t="s">
        <v>1395</v>
      </c>
      <c r="B800">
        <v>4</v>
      </c>
      <c r="C800">
        <v>60</v>
      </c>
      <c r="D800">
        <v>130</v>
      </c>
      <c r="E800" t="s">
        <v>128</v>
      </c>
      <c r="F800" s="12">
        <v>45429</v>
      </c>
      <c r="G800" t="s">
        <v>2052</v>
      </c>
      <c r="H800" s="12">
        <v>45428</v>
      </c>
      <c r="I800" t="s">
        <v>1916</v>
      </c>
      <c r="J800" t="s">
        <v>458</v>
      </c>
      <c r="K800">
        <v>2</v>
      </c>
      <c r="L800">
        <v>63.1</v>
      </c>
      <c r="P800" t="s">
        <v>106</v>
      </c>
      <c r="Q800" t="s">
        <v>106</v>
      </c>
      <c r="R800" t="s">
        <v>106</v>
      </c>
      <c r="S800" t="s">
        <v>106</v>
      </c>
      <c r="T800" t="s">
        <v>806</v>
      </c>
      <c r="U800" t="s">
        <v>1382</v>
      </c>
      <c r="V800" t="s">
        <v>106</v>
      </c>
      <c r="W800" t="s">
        <v>443</v>
      </c>
      <c r="X800" t="s">
        <v>106</v>
      </c>
      <c r="Y800" t="s">
        <v>108</v>
      </c>
      <c r="Z800" t="s">
        <v>104</v>
      </c>
      <c r="AA800" t="s">
        <v>1419</v>
      </c>
      <c r="AB800" t="s">
        <v>2428</v>
      </c>
    </row>
    <row r="801" spans="1:28" x14ac:dyDescent="0.3">
      <c r="A801" t="s">
        <v>1395</v>
      </c>
      <c r="B801">
        <v>4</v>
      </c>
      <c r="C801">
        <v>60</v>
      </c>
      <c r="D801">
        <v>148</v>
      </c>
      <c r="E801" t="s">
        <v>128</v>
      </c>
      <c r="F801" s="12">
        <v>45429</v>
      </c>
      <c r="G801" t="s">
        <v>1957</v>
      </c>
      <c r="H801" s="12">
        <v>45429</v>
      </c>
      <c r="I801" t="s">
        <v>1413</v>
      </c>
      <c r="J801" t="s">
        <v>471</v>
      </c>
      <c r="K801">
        <v>1</v>
      </c>
      <c r="L801">
        <v>60.1</v>
      </c>
      <c r="P801" t="s">
        <v>106</v>
      </c>
      <c r="Q801" t="s">
        <v>106</v>
      </c>
      <c r="R801" t="s">
        <v>106</v>
      </c>
      <c r="S801" t="s">
        <v>106</v>
      </c>
      <c r="T801" t="s">
        <v>760</v>
      </c>
      <c r="U801" t="s">
        <v>1356</v>
      </c>
      <c r="V801" t="s">
        <v>106</v>
      </c>
      <c r="W801" t="s">
        <v>373</v>
      </c>
      <c r="X801" t="s">
        <v>106</v>
      </c>
      <c r="Y801" t="s">
        <v>108</v>
      </c>
      <c r="Z801" t="s">
        <v>104</v>
      </c>
      <c r="AA801" t="s">
        <v>1419</v>
      </c>
      <c r="AB801" t="s">
        <v>2686</v>
      </c>
    </row>
    <row r="802" spans="1:28" x14ac:dyDescent="0.3">
      <c r="A802" t="s">
        <v>1395</v>
      </c>
      <c r="B802">
        <v>2</v>
      </c>
      <c r="C802">
        <v>15</v>
      </c>
      <c r="D802">
        <v>163</v>
      </c>
      <c r="E802" t="s">
        <v>128</v>
      </c>
      <c r="F802" s="12">
        <v>45432</v>
      </c>
      <c r="G802" t="s">
        <v>1578</v>
      </c>
      <c r="H802" s="12">
        <v>45429</v>
      </c>
      <c r="I802" t="s">
        <v>1930</v>
      </c>
      <c r="J802" t="s">
        <v>458</v>
      </c>
      <c r="K802">
        <v>2</v>
      </c>
      <c r="L802">
        <v>17.100000000000001</v>
      </c>
      <c r="P802" t="s">
        <v>106</v>
      </c>
      <c r="Q802" t="s">
        <v>106</v>
      </c>
      <c r="R802" t="s">
        <v>106</v>
      </c>
      <c r="S802" t="s">
        <v>106</v>
      </c>
      <c r="T802" t="s">
        <v>1931</v>
      </c>
      <c r="U802" t="s">
        <v>841</v>
      </c>
      <c r="V802" t="s">
        <v>106</v>
      </c>
      <c r="W802" t="s">
        <v>373</v>
      </c>
      <c r="X802" t="s">
        <v>106</v>
      </c>
      <c r="Y802" t="s">
        <v>108</v>
      </c>
      <c r="Z802" t="s">
        <v>109</v>
      </c>
      <c r="AA802" t="s">
        <v>1419</v>
      </c>
      <c r="AB802" t="s">
        <v>1811</v>
      </c>
    </row>
    <row r="803" spans="1:28" x14ac:dyDescent="0.3">
      <c r="A803" t="s">
        <v>1395</v>
      </c>
      <c r="B803">
        <v>2</v>
      </c>
      <c r="C803">
        <v>15</v>
      </c>
      <c r="D803">
        <v>159</v>
      </c>
      <c r="E803" t="s">
        <v>128</v>
      </c>
      <c r="F803" s="12">
        <v>45432</v>
      </c>
      <c r="G803" t="s">
        <v>517</v>
      </c>
      <c r="H803" s="12">
        <v>45429</v>
      </c>
      <c r="I803" t="s">
        <v>1932</v>
      </c>
      <c r="J803" t="s">
        <v>458</v>
      </c>
      <c r="K803">
        <v>2</v>
      </c>
      <c r="L803">
        <v>17.2</v>
      </c>
      <c r="P803" t="s">
        <v>106</v>
      </c>
      <c r="Q803" t="s">
        <v>106</v>
      </c>
      <c r="R803" t="s">
        <v>106</v>
      </c>
      <c r="S803" t="s">
        <v>1933</v>
      </c>
      <c r="T803" t="s">
        <v>775</v>
      </c>
      <c r="U803" t="s">
        <v>430</v>
      </c>
      <c r="V803" t="s">
        <v>106</v>
      </c>
      <c r="W803" t="s">
        <v>373</v>
      </c>
      <c r="X803" t="s">
        <v>106</v>
      </c>
      <c r="Y803" t="s">
        <v>108</v>
      </c>
      <c r="Z803" t="s">
        <v>109</v>
      </c>
      <c r="AA803" t="s">
        <v>1419</v>
      </c>
      <c r="AB803" t="s">
        <v>1934</v>
      </c>
    </row>
    <row r="804" spans="1:28" x14ac:dyDescent="0.3">
      <c r="A804" t="s">
        <v>1395</v>
      </c>
      <c r="B804">
        <v>2</v>
      </c>
      <c r="C804">
        <v>15</v>
      </c>
      <c r="D804">
        <v>158</v>
      </c>
      <c r="E804" t="s">
        <v>128</v>
      </c>
      <c r="F804" s="12">
        <v>45432</v>
      </c>
      <c r="G804" t="s">
        <v>1865</v>
      </c>
      <c r="H804" s="12">
        <v>45429</v>
      </c>
      <c r="I804" t="s">
        <v>1932</v>
      </c>
      <c r="J804" t="s">
        <v>458</v>
      </c>
      <c r="K804">
        <v>1</v>
      </c>
      <c r="L804">
        <v>16.600000000000001</v>
      </c>
      <c r="P804" t="s">
        <v>106</v>
      </c>
      <c r="Q804" t="s">
        <v>106</v>
      </c>
      <c r="R804" t="s">
        <v>106</v>
      </c>
      <c r="S804" t="s">
        <v>106</v>
      </c>
      <c r="T804" t="s">
        <v>1555</v>
      </c>
      <c r="U804" t="s">
        <v>1382</v>
      </c>
      <c r="V804" t="s">
        <v>106</v>
      </c>
      <c r="W804" t="s">
        <v>373</v>
      </c>
      <c r="X804" t="s">
        <v>106</v>
      </c>
      <c r="Y804" t="s">
        <v>108</v>
      </c>
      <c r="Z804" t="s">
        <v>109</v>
      </c>
      <c r="AA804" t="s">
        <v>1419</v>
      </c>
      <c r="AB804" t="s">
        <v>1811</v>
      </c>
    </row>
    <row r="805" spans="1:28" x14ac:dyDescent="0.3">
      <c r="A805" t="s">
        <v>1395</v>
      </c>
      <c r="B805">
        <v>2</v>
      </c>
      <c r="C805">
        <v>15</v>
      </c>
      <c r="D805">
        <v>164</v>
      </c>
      <c r="E805" t="s">
        <v>128</v>
      </c>
      <c r="F805" s="12">
        <v>45432</v>
      </c>
      <c r="G805" t="s">
        <v>1578</v>
      </c>
      <c r="H805" s="12">
        <v>45429</v>
      </c>
      <c r="I805" t="s">
        <v>1930</v>
      </c>
      <c r="J805" t="s">
        <v>458</v>
      </c>
      <c r="K805">
        <v>1</v>
      </c>
      <c r="L805">
        <v>16.3</v>
      </c>
      <c r="P805" t="s">
        <v>106</v>
      </c>
      <c r="Q805" t="s">
        <v>106</v>
      </c>
      <c r="R805" t="s">
        <v>106</v>
      </c>
      <c r="S805" t="s">
        <v>1025</v>
      </c>
      <c r="T805" t="s">
        <v>1935</v>
      </c>
      <c r="U805" t="s">
        <v>1415</v>
      </c>
      <c r="V805" t="s">
        <v>106</v>
      </c>
      <c r="W805" t="s">
        <v>373</v>
      </c>
      <c r="X805" t="s">
        <v>106</v>
      </c>
      <c r="Y805" t="s">
        <v>108</v>
      </c>
      <c r="Z805" t="s">
        <v>109</v>
      </c>
      <c r="AA805" t="s">
        <v>1419</v>
      </c>
      <c r="AB805" t="s">
        <v>1936</v>
      </c>
    </row>
    <row r="806" spans="1:28" x14ac:dyDescent="0.3">
      <c r="A806" t="s">
        <v>1395</v>
      </c>
      <c r="B806">
        <v>3</v>
      </c>
      <c r="C806">
        <v>35</v>
      </c>
      <c r="D806">
        <v>166</v>
      </c>
      <c r="E806" t="s">
        <v>128</v>
      </c>
      <c r="F806" s="12">
        <v>45432</v>
      </c>
      <c r="G806" t="s">
        <v>2417</v>
      </c>
      <c r="H806" s="12">
        <v>45429</v>
      </c>
      <c r="I806" t="s">
        <v>1930</v>
      </c>
      <c r="J806" t="s">
        <v>458</v>
      </c>
      <c r="K806">
        <v>1</v>
      </c>
      <c r="L806">
        <v>36.799999999999997</v>
      </c>
      <c r="P806" t="s">
        <v>106</v>
      </c>
      <c r="Q806" t="s">
        <v>106</v>
      </c>
      <c r="R806" t="s">
        <v>106</v>
      </c>
      <c r="S806" t="s">
        <v>1135</v>
      </c>
      <c r="T806" t="s">
        <v>2418</v>
      </c>
      <c r="U806" t="s">
        <v>430</v>
      </c>
      <c r="V806" t="s">
        <v>106</v>
      </c>
      <c r="W806" t="s">
        <v>373</v>
      </c>
      <c r="X806" t="s">
        <v>106</v>
      </c>
      <c r="Y806" t="s">
        <v>108</v>
      </c>
      <c r="Z806" t="s">
        <v>108</v>
      </c>
      <c r="AA806" t="s">
        <v>1419</v>
      </c>
      <c r="AB806" t="s">
        <v>2375</v>
      </c>
    </row>
    <row r="807" spans="1:28" x14ac:dyDescent="0.3">
      <c r="A807" t="s">
        <v>1395</v>
      </c>
      <c r="B807">
        <v>3</v>
      </c>
      <c r="C807">
        <v>35</v>
      </c>
      <c r="D807">
        <v>161</v>
      </c>
      <c r="E807" t="s">
        <v>128</v>
      </c>
      <c r="F807" s="12">
        <v>45432</v>
      </c>
      <c r="G807" t="s">
        <v>517</v>
      </c>
      <c r="H807" s="12">
        <v>45429</v>
      </c>
      <c r="I807" t="s">
        <v>1932</v>
      </c>
      <c r="J807" t="s">
        <v>458</v>
      </c>
      <c r="K807">
        <v>2</v>
      </c>
      <c r="L807">
        <v>38.1</v>
      </c>
      <c r="P807" t="s">
        <v>106</v>
      </c>
      <c r="Q807" t="s">
        <v>106</v>
      </c>
      <c r="R807" t="s">
        <v>106</v>
      </c>
      <c r="S807" t="s">
        <v>1399</v>
      </c>
      <c r="T807" t="s">
        <v>1377</v>
      </c>
      <c r="U807" t="s">
        <v>1382</v>
      </c>
      <c r="V807" t="s">
        <v>106</v>
      </c>
      <c r="W807" t="s">
        <v>373</v>
      </c>
      <c r="X807" t="s">
        <v>106</v>
      </c>
      <c r="Y807" t="s">
        <v>108</v>
      </c>
      <c r="Z807" t="s">
        <v>108</v>
      </c>
      <c r="AA807" t="s">
        <v>1419</v>
      </c>
      <c r="AB807" t="s">
        <v>2419</v>
      </c>
    </row>
    <row r="808" spans="1:28" x14ac:dyDescent="0.3">
      <c r="A808" t="s">
        <v>1395</v>
      </c>
      <c r="B808">
        <v>3</v>
      </c>
      <c r="C808">
        <v>35</v>
      </c>
      <c r="D808">
        <v>165</v>
      </c>
      <c r="E808" t="s">
        <v>128</v>
      </c>
      <c r="F808" s="12">
        <v>45432</v>
      </c>
      <c r="G808" t="s">
        <v>2417</v>
      </c>
      <c r="H808" s="12">
        <v>45429</v>
      </c>
      <c r="I808" t="s">
        <v>1930</v>
      </c>
      <c r="J808" t="s">
        <v>458</v>
      </c>
      <c r="K808">
        <v>2</v>
      </c>
      <c r="L808">
        <v>36.700000000000003</v>
      </c>
      <c r="P808" t="s">
        <v>106</v>
      </c>
      <c r="Q808" t="s">
        <v>106</v>
      </c>
      <c r="R808" t="s">
        <v>106</v>
      </c>
      <c r="S808" t="s">
        <v>106</v>
      </c>
      <c r="T808" t="s">
        <v>1463</v>
      </c>
      <c r="U808" t="s">
        <v>1410</v>
      </c>
      <c r="V808" t="s">
        <v>106</v>
      </c>
      <c r="W808" t="s">
        <v>373</v>
      </c>
      <c r="X808" t="s">
        <v>106</v>
      </c>
      <c r="Y808" t="s">
        <v>108</v>
      </c>
      <c r="Z808" t="s">
        <v>108</v>
      </c>
      <c r="AA808" t="s">
        <v>1419</v>
      </c>
      <c r="AB808" t="s">
        <v>2420</v>
      </c>
    </row>
    <row r="809" spans="1:28" x14ac:dyDescent="0.3">
      <c r="A809" t="s">
        <v>1395</v>
      </c>
      <c r="B809">
        <v>3</v>
      </c>
      <c r="C809">
        <v>35</v>
      </c>
      <c r="D809">
        <v>160</v>
      </c>
      <c r="E809" t="s">
        <v>128</v>
      </c>
      <c r="F809" s="12">
        <v>45432</v>
      </c>
      <c r="G809" t="s">
        <v>517</v>
      </c>
      <c r="H809" s="12">
        <v>45429</v>
      </c>
      <c r="I809" t="s">
        <v>1932</v>
      </c>
      <c r="J809" t="s">
        <v>458</v>
      </c>
      <c r="K809">
        <v>1</v>
      </c>
      <c r="L809">
        <v>37.5</v>
      </c>
      <c r="P809" t="s">
        <v>106</v>
      </c>
      <c r="Q809" t="s">
        <v>106</v>
      </c>
      <c r="R809" t="s">
        <v>106</v>
      </c>
      <c r="S809" t="s">
        <v>106</v>
      </c>
      <c r="T809" t="s">
        <v>1555</v>
      </c>
      <c r="U809" t="s">
        <v>1415</v>
      </c>
      <c r="V809" t="s">
        <v>106</v>
      </c>
      <c r="W809" t="s">
        <v>373</v>
      </c>
      <c r="X809" t="s">
        <v>106</v>
      </c>
      <c r="Y809" t="s">
        <v>108</v>
      </c>
      <c r="Z809" t="s">
        <v>108</v>
      </c>
      <c r="AA809" t="s">
        <v>1419</v>
      </c>
      <c r="AB809" t="s">
        <v>2421</v>
      </c>
    </row>
    <row r="810" spans="1:28" x14ac:dyDescent="0.3">
      <c r="A810" t="s">
        <v>1395</v>
      </c>
      <c r="B810">
        <v>4</v>
      </c>
      <c r="C810">
        <v>60</v>
      </c>
      <c r="D810">
        <v>162</v>
      </c>
      <c r="E810" t="s">
        <v>128</v>
      </c>
      <c r="F810" s="12">
        <v>45432</v>
      </c>
      <c r="G810" t="s">
        <v>2052</v>
      </c>
      <c r="H810" s="12">
        <v>45429</v>
      </c>
      <c r="I810" t="s">
        <v>1932</v>
      </c>
      <c r="J810" t="s">
        <v>458</v>
      </c>
      <c r="K810">
        <v>1</v>
      </c>
      <c r="L810">
        <v>61.9</v>
      </c>
      <c r="P810" t="s">
        <v>106</v>
      </c>
      <c r="Q810" t="s">
        <v>106</v>
      </c>
      <c r="R810" t="s">
        <v>106</v>
      </c>
      <c r="S810" t="s">
        <v>1656</v>
      </c>
      <c r="T810" t="s">
        <v>2030</v>
      </c>
      <c r="U810" t="s">
        <v>1539</v>
      </c>
      <c r="V810" t="s">
        <v>106</v>
      </c>
      <c r="W810" t="s">
        <v>373</v>
      </c>
      <c r="X810" t="s">
        <v>106</v>
      </c>
      <c r="Y810" t="s">
        <v>108</v>
      </c>
      <c r="Z810" t="s">
        <v>104</v>
      </c>
      <c r="AA810" t="s">
        <v>1419</v>
      </c>
      <c r="AB810" t="s">
        <v>2687</v>
      </c>
    </row>
    <row r="811" spans="1:28" x14ac:dyDescent="0.3">
      <c r="A811" t="s">
        <v>1395</v>
      </c>
      <c r="B811">
        <v>4</v>
      </c>
      <c r="C811">
        <v>60</v>
      </c>
      <c r="D811">
        <v>168</v>
      </c>
      <c r="E811" t="s">
        <v>128</v>
      </c>
      <c r="F811" s="12">
        <v>45432</v>
      </c>
      <c r="G811" t="s">
        <v>2688</v>
      </c>
      <c r="H811" s="12">
        <v>45429</v>
      </c>
      <c r="I811" t="s">
        <v>1930</v>
      </c>
      <c r="J811" t="s">
        <v>458</v>
      </c>
      <c r="K811">
        <v>1</v>
      </c>
      <c r="L811">
        <v>60.5</v>
      </c>
      <c r="P811" t="s">
        <v>106</v>
      </c>
      <c r="Q811" t="s">
        <v>106</v>
      </c>
      <c r="R811" t="s">
        <v>106</v>
      </c>
      <c r="S811" t="s">
        <v>1851</v>
      </c>
      <c r="T811" t="s">
        <v>975</v>
      </c>
      <c r="U811" t="s">
        <v>1604</v>
      </c>
      <c r="V811" t="s">
        <v>106</v>
      </c>
      <c r="W811" t="s">
        <v>373</v>
      </c>
      <c r="X811" t="s">
        <v>106</v>
      </c>
      <c r="Y811" t="s">
        <v>108</v>
      </c>
      <c r="Z811" t="s">
        <v>104</v>
      </c>
      <c r="AA811" t="s">
        <v>1419</v>
      </c>
      <c r="AB811" t="s">
        <v>106</v>
      </c>
    </row>
    <row r="812" spans="1:28" x14ac:dyDescent="0.3">
      <c r="A812" t="s">
        <v>1395</v>
      </c>
      <c r="B812">
        <v>4</v>
      </c>
      <c r="C812">
        <v>60</v>
      </c>
      <c r="D812">
        <v>167</v>
      </c>
      <c r="E812" t="s">
        <v>128</v>
      </c>
      <c r="F812" s="12">
        <v>45432</v>
      </c>
      <c r="G812" t="s">
        <v>2688</v>
      </c>
      <c r="H812" s="12">
        <v>45429</v>
      </c>
      <c r="I812" t="s">
        <v>1930</v>
      </c>
      <c r="J812" t="s">
        <v>458</v>
      </c>
      <c r="K812">
        <v>2</v>
      </c>
      <c r="L812">
        <v>59.6</v>
      </c>
      <c r="P812" t="s">
        <v>106</v>
      </c>
      <c r="Q812" t="s">
        <v>106</v>
      </c>
      <c r="R812" t="s">
        <v>106</v>
      </c>
      <c r="S812" t="s">
        <v>106</v>
      </c>
      <c r="T812" t="s">
        <v>2200</v>
      </c>
      <c r="U812" t="s">
        <v>1604</v>
      </c>
      <c r="V812" t="s">
        <v>106</v>
      </c>
      <c r="W812" t="s">
        <v>373</v>
      </c>
      <c r="X812" t="s">
        <v>106</v>
      </c>
      <c r="Y812" t="s">
        <v>108</v>
      </c>
      <c r="Z812" t="s">
        <v>104</v>
      </c>
      <c r="AA812" t="s">
        <v>1419</v>
      </c>
      <c r="AB812" t="s">
        <v>2689</v>
      </c>
    </row>
    <row r="813" spans="1:28" x14ac:dyDescent="0.3">
      <c r="A813" t="s">
        <v>1420</v>
      </c>
      <c r="B813">
        <v>1</v>
      </c>
      <c r="C813">
        <v>0</v>
      </c>
      <c r="D813">
        <v>15</v>
      </c>
      <c r="E813" t="s">
        <v>110</v>
      </c>
      <c r="F813" s="12">
        <v>45483</v>
      </c>
      <c r="G813" t="s">
        <v>1139</v>
      </c>
      <c r="H813" s="12">
        <v>45483</v>
      </c>
      <c r="I813" t="s">
        <v>1421</v>
      </c>
      <c r="J813" t="s">
        <v>425</v>
      </c>
      <c r="L813">
        <v>0</v>
      </c>
      <c r="P813" t="s">
        <v>106</v>
      </c>
      <c r="Q813" t="s">
        <v>106</v>
      </c>
      <c r="R813" t="s">
        <v>106</v>
      </c>
      <c r="S813" t="s">
        <v>106</v>
      </c>
      <c r="T813" t="s">
        <v>934</v>
      </c>
      <c r="U813" t="s">
        <v>106</v>
      </c>
      <c r="V813" t="s">
        <v>106</v>
      </c>
      <c r="W813" t="s">
        <v>443</v>
      </c>
      <c r="X813" t="s">
        <v>106</v>
      </c>
      <c r="Y813" t="s">
        <v>108</v>
      </c>
      <c r="Z813" t="s">
        <v>104</v>
      </c>
      <c r="AA813" t="s">
        <v>1422</v>
      </c>
      <c r="AB813" t="s">
        <v>106</v>
      </c>
    </row>
    <row r="814" spans="1:28" x14ac:dyDescent="0.3">
      <c r="A814" t="s">
        <v>1420</v>
      </c>
      <c r="B814">
        <v>1</v>
      </c>
      <c r="C814">
        <v>0</v>
      </c>
      <c r="D814">
        <v>16</v>
      </c>
      <c r="E814" t="s">
        <v>110</v>
      </c>
      <c r="F814" s="12">
        <v>45483</v>
      </c>
      <c r="G814" t="s">
        <v>1139</v>
      </c>
      <c r="H814" s="12">
        <v>45483</v>
      </c>
      <c r="I814" t="s">
        <v>1421</v>
      </c>
      <c r="J814" t="s">
        <v>425</v>
      </c>
      <c r="L814">
        <v>0</v>
      </c>
      <c r="P814" t="s">
        <v>106</v>
      </c>
      <c r="Q814" t="s">
        <v>106</v>
      </c>
      <c r="R814" t="s">
        <v>106</v>
      </c>
      <c r="S814" t="s">
        <v>106</v>
      </c>
      <c r="T814" t="s">
        <v>828</v>
      </c>
      <c r="U814" t="s">
        <v>106</v>
      </c>
      <c r="V814" t="s">
        <v>106</v>
      </c>
      <c r="W814" t="s">
        <v>443</v>
      </c>
      <c r="X814" t="s">
        <v>106</v>
      </c>
      <c r="Y814" t="s">
        <v>108</v>
      </c>
      <c r="Z814" t="s">
        <v>104</v>
      </c>
      <c r="AA814" t="s">
        <v>1422</v>
      </c>
      <c r="AB814" t="s">
        <v>106</v>
      </c>
    </row>
    <row r="815" spans="1:28" x14ac:dyDescent="0.3">
      <c r="A815" t="s">
        <v>1420</v>
      </c>
      <c r="B815">
        <v>2</v>
      </c>
      <c r="C815">
        <v>15</v>
      </c>
      <c r="D815">
        <v>3</v>
      </c>
      <c r="E815" t="s">
        <v>110</v>
      </c>
      <c r="F815" s="12">
        <v>45483</v>
      </c>
      <c r="G815" t="s">
        <v>134</v>
      </c>
      <c r="H815" s="12">
        <v>45483</v>
      </c>
      <c r="I815" t="s">
        <v>1421</v>
      </c>
      <c r="J815" t="s">
        <v>425</v>
      </c>
      <c r="L815">
        <v>17</v>
      </c>
      <c r="P815" t="s">
        <v>106</v>
      </c>
      <c r="Q815" t="s">
        <v>106</v>
      </c>
      <c r="R815" t="s">
        <v>106</v>
      </c>
      <c r="S815" t="s">
        <v>106</v>
      </c>
      <c r="T815" t="s">
        <v>1379</v>
      </c>
      <c r="U815" t="s">
        <v>106</v>
      </c>
      <c r="V815" t="s">
        <v>106</v>
      </c>
      <c r="W815" t="s">
        <v>443</v>
      </c>
      <c r="X815" t="s">
        <v>106</v>
      </c>
      <c r="Y815" t="s">
        <v>108</v>
      </c>
      <c r="Z815" t="s">
        <v>109</v>
      </c>
      <c r="AA815" t="s">
        <v>1422</v>
      </c>
      <c r="AB815" t="s">
        <v>106</v>
      </c>
    </row>
    <row r="816" spans="1:28" x14ac:dyDescent="0.3">
      <c r="A816" t="s">
        <v>1420</v>
      </c>
      <c r="B816">
        <v>2</v>
      </c>
      <c r="C816">
        <v>15</v>
      </c>
      <c r="D816">
        <v>9</v>
      </c>
      <c r="E816" t="s">
        <v>308</v>
      </c>
      <c r="F816" s="12">
        <v>45483</v>
      </c>
      <c r="G816" t="s">
        <v>318</v>
      </c>
      <c r="H816" s="12">
        <v>45483</v>
      </c>
      <c r="I816" t="s">
        <v>1421</v>
      </c>
      <c r="J816" t="s">
        <v>425</v>
      </c>
      <c r="L816">
        <v>15.1</v>
      </c>
      <c r="P816" t="s">
        <v>106</v>
      </c>
      <c r="Q816" t="s">
        <v>106</v>
      </c>
      <c r="R816" t="s">
        <v>106</v>
      </c>
      <c r="S816" t="s">
        <v>106</v>
      </c>
      <c r="T816" t="s">
        <v>984</v>
      </c>
      <c r="U816" t="s">
        <v>106</v>
      </c>
      <c r="V816" t="s">
        <v>106</v>
      </c>
      <c r="W816" t="s">
        <v>443</v>
      </c>
      <c r="X816" t="s">
        <v>106</v>
      </c>
      <c r="Y816" t="s">
        <v>108</v>
      </c>
      <c r="Z816" t="s">
        <v>108</v>
      </c>
      <c r="AA816" t="s">
        <v>1422</v>
      </c>
      <c r="AB816" t="s">
        <v>106</v>
      </c>
    </row>
    <row r="817" spans="1:28" x14ac:dyDescent="0.3">
      <c r="A817" t="s">
        <v>1420</v>
      </c>
      <c r="B817">
        <v>2</v>
      </c>
      <c r="C817">
        <v>15</v>
      </c>
      <c r="D817">
        <v>2</v>
      </c>
      <c r="E817" t="s">
        <v>110</v>
      </c>
      <c r="F817" s="12">
        <v>45483</v>
      </c>
      <c r="G817" t="s">
        <v>134</v>
      </c>
      <c r="H817" s="12">
        <v>45483</v>
      </c>
      <c r="I817" t="s">
        <v>1421</v>
      </c>
      <c r="J817" t="s">
        <v>425</v>
      </c>
      <c r="L817">
        <v>17.3</v>
      </c>
      <c r="P817" t="s">
        <v>106</v>
      </c>
      <c r="Q817" t="s">
        <v>106</v>
      </c>
      <c r="R817" t="s">
        <v>106</v>
      </c>
      <c r="S817" t="s">
        <v>980</v>
      </c>
      <c r="T817" t="s">
        <v>1822</v>
      </c>
      <c r="U817" t="s">
        <v>106</v>
      </c>
      <c r="V817" t="s">
        <v>106</v>
      </c>
      <c r="W817" t="s">
        <v>443</v>
      </c>
      <c r="X817" t="s">
        <v>106</v>
      </c>
      <c r="Y817" t="s">
        <v>108</v>
      </c>
      <c r="Z817" t="s">
        <v>109</v>
      </c>
      <c r="AA817" t="s">
        <v>1422</v>
      </c>
      <c r="AB817" t="s">
        <v>106</v>
      </c>
    </row>
    <row r="818" spans="1:28" x14ac:dyDescent="0.3">
      <c r="A818" t="s">
        <v>1420</v>
      </c>
      <c r="B818">
        <v>2</v>
      </c>
      <c r="C818">
        <v>15</v>
      </c>
      <c r="D818">
        <v>1</v>
      </c>
      <c r="E818" t="s">
        <v>110</v>
      </c>
      <c r="F818" s="12">
        <v>45483</v>
      </c>
      <c r="G818" t="s">
        <v>385</v>
      </c>
      <c r="H818" s="12">
        <v>45483</v>
      </c>
      <c r="I818" t="s">
        <v>1421</v>
      </c>
      <c r="J818" t="s">
        <v>425</v>
      </c>
      <c r="L818">
        <v>16.600000000000001</v>
      </c>
      <c r="P818" t="s">
        <v>106</v>
      </c>
      <c r="Q818" t="s">
        <v>106</v>
      </c>
      <c r="R818" t="s">
        <v>106</v>
      </c>
      <c r="S818" t="s">
        <v>1335</v>
      </c>
      <c r="T818" t="s">
        <v>1022</v>
      </c>
      <c r="U818" t="s">
        <v>106</v>
      </c>
      <c r="V818" t="s">
        <v>106</v>
      </c>
      <c r="W818" t="s">
        <v>443</v>
      </c>
      <c r="X818" t="s">
        <v>106</v>
      </c>
      <c r="Y818" t="s">
        <v>108</v>
      </c>
      <c r="Z818" t="s">
        <v>109</v>
      </c>
      <c r="AA818" t="s">
        <v>1422</v>
      </c>
      <c r="AB818" t="s">
        <v>106</v>
      </c>
    </row>
    <row r="819" spans="1:28" x14ac:dyDescent="0.3">
      <c r="A819" t="s">
        <v>1420</v>
      </c>
      <c r="B819">
        <v>2</v>
      </c>
      <c r="C819">
        <v>15</v>
      </c>
      <c r="D819">
        <v>10</v>
      </c>
      <c r="E819" t="s">
        <v>308</v>
      </c>
      <c r="F819" s="12">
        <v>45483</v>
      </c>
      <c r="G819" t="s">
        <v>318</v>
      </c>
      <c r="H819" s="12">
        <v>45483</v>
      </c>
      <c r="I819" t="s">
        <v>1421</v>
      </c>
      <c r="J819" t="s">
        <v>425</v>
      </c>
      <c r="L819">
        <v>16</v>
      </c>
      <c r="P819" t="s">
        <v>106</v>
      </c>
      <c r="Q819" t="s">
        <v>106</v>
      </c>
      <c r="R819" t="s">
        <v>106</v>
      </c>
      <c r="S819" t="s">
        <v>106</v>
      </c>
      <c r="T819" t="s">
        <v>1899</v>
      </c>
      <c r="U819" t="s">
        <v>106</v>
      </c>
      <c r="V819" t="s">
        <v>106</v>
      </c>
      <c r="W819" t="s">
        <v>443</v>
      </c>
      <c r="X819" t="s">
        <v>106</v>
      </c>
      <c r="Y819" t="s">
        <v>108</v>
      </c>
      <c r="Z819" t="s">
        <v>108</v>
      </c>
      <c r="AA819" t="s">
        <v>1422</v>
      </c>
      <c r="AB819" t="s">
        <v>106</v>
      </c>
    </row>
    <row r="820" spans="1:28" x14ac:dyDescent="0.3">
      <c r="A820" t="s">
        <v>1420</v>
      </c>
      <c r="B820">
        <v>3</v>
      </c>
      <c r="C820">
        <v>35</v>
      </c>
      <c r="D820">
        <v>4</v>
      </c>
      <c r="E820" t="s">
        <v>110</v>
      </c>
      <c r="F820" s="12">
        <v>45483</v>
      </c>
      <c r="G820" t="s">
        <v>569</v>
      </c>
      <c r="H820" s="12">
        <v>45483</v>
      </c>
      <c r="I820" t="s">
        <v>1421</v>
      </c>
      <c r="J820" t="s">
        <v>425</v>
      </c>
      <c r="L820">
        <v>38.1</v>
      </c>
      <c r="P820" t="s">
        <v>106</v>
      </c>
      <c r="Q820" t="s">
        <v>106</v>
      </c>
      <c r="R820" t="s">
        <v>106</v>
      </c>
      <c r="S820" t="s">
        <v>1238</v>
      </c>
      <c r="T820" t="s">
        <v>881</v>
      </c>
      <c r="U820" t="s">
        <v>106</v>
      </c>
      <c r="V820" t="s">
        <v>106</v>
      </c>
      <c r="W820" t="s">
        <v>443</v>
      </c>
      <c r="X820" t="s">
        <v>106</v>
      </c>
      <c r="Y820" t="s">
        <v>108</v>
      </c>
      <c r="Z820" t="s">
        <v>108</v>
      </c>
      <c r="AA820" t="s">
        <v>1422</v>
      </c>
      <c r="AB820" t="s">
        <v>106</v>
      </c>
    </row>
    <row r="821" spans="1:28" x14ac:dyDescent="0.3">
      <c r="A821" t="s">
        <v>1420</v>
      </c>
      <c r="B821">
        <v>3</v>
      </c>
      <c r="C821">
        <v>35</v>
      </c>
      <c r="D821">
        <v>7</v>
      </c>
      <c r="E821" t="s">
        <v>308</v>
      </c>
      <c r="F821" s="12">
        <v>45483</v>
      </c>
      <c r="G821" t="s">
        <v>318</v>
      </c>
      <c r="H821" s="12">
        <v>45483</v>
      </c>
      <c r="I821" t="s">
        <v>1421</v>
      </c>
      <c r="J821" t="s">
        <v>425</v>
      </c>
      <c r="L821">
        <v>36.799999999999997</v>
      </c>
      <c r="P821" t="s">
        <v>106</v>
      </c>
      <c r="Q821" t="s">
        <v>106</v>
      </c>
      <c r="R821" t="s">
        <v>106</v>
      </c>
      <c r="S821" t="s">
        <v>106</v>
      </c>
      <c r="T821" t="s">
        <v>961</v>
      </c>
      <c r="U821" t="s">
        <v>106</v>
      </c>
      <c r="V821" t="s">
        <v>106</v>
      </c>
      <c r="W821" t="s">
        <v>443</v>
      </c>
      <c r="X821" t="s">
        <v>106</v>
      </c>
      <c r="Y821" t="s">
        <v>108</v>
      </c>
      <c r="Z821" t="s">
        <v>108</v>
      </c>
      <c r="AA821" t="s">
        <v>1422</v>
      </c>
      <c r="AB821" t="s">
        <v>106</v>
      </c>
    </row>
    <row r="822" spans="1:28" x14ac:dyDescent="0.3">
      <c r="A822" t="s">
        <v>1420</v>
      </c>
      <c r="B822">
        <v>3</v>
      </c>
      <c r="C822">
        <v>35</v>
      </c>
      <c r="D822">
        <v>8</v>
      </c>
      <c r="E822" t="s">
        <v>308</v>
      </c>
      <c r="F822" s="12">
        <v>45483</v>
      </c>
      <c r="G822" t="s">
        <v>318</v>
      </c>
      <c r="H822" s="12">
        <v>45483</v>
      </c>
      <c r="I822" t="s">
        <v>1421</v>
      </c>
      <c r="J822" t="s">
        <v>425</v>
      </c>
      <c r="L822">
        <v>37</v>
      </c>
      <c r="P822" t="s">
        <v>106</v>
      </c>
      <c r="Q822" t="s">
        <v>106</v>
      </c>
      <c r="R822" t="s">
        <v>106</v>
      </c>
      <c r="S822" t="s">
        <v>106</v>
      </c>
      <c r="T822" t="s">
        <v>1475</v>
      </c>
      <c r="U822" t="s">
        <v>106</v>
      </c>
      <c r="V822" t="s">
        <v>106</v>
      </c>
      <c r="W822" t="s">
        <v>443</v>
      </c>
      <c r="X822" t="s">
        <v>106</v>
      </c>
      <c r="Y822" t="s">
        <v>108</v>
      </c>
      <c r="Z822" t="s">
        <v>108</v>
      </c>
      <c r="AA822" t="s">
        <v>1422</v>
      </c>
      <c r="AB822" t="s">
        <v>106</v>
      </c>
    </row>
    <row r="823" spans="1:28" x14ac:dyDescent="0.3">
      <c r="A823" t="s">
        <v>1420</v>
      </c>
      <c r="B823">
        <v>3</v>
      </c>
      <c r="C823">
        <v>35</v>
      </c>
      <c r="D823">
        <v>5</v>
      </c>
      <c r="E823" t="s">
        <v>110</v>
      </c>
      <c r="F823" s="12">
        <v>45483</v>
      </c>
      <c r="G823" t="s">
        <v>1376</v>
      </c>
      <c r="H823" s="12">
        <v>45483</v>
      </c>
      <c r="I823" t="s">
        <v>1421</v>
      </c>
      <c r="J823" t="s">
        <v>425</v>
      </c>
      <c r="L823">
        <v>37.4</v>
      </c>
      <c r="P823" t="s">
        <v>106</v>
      </c>
      <c r="Q823" t="s">
        <v>106</v>
      </c>
      <c r="R823" t="s">
        <v>106</v>
      </c>
      <c r="S823" t="s">
        <v>1009</v>
      </c>
      <c r="T823" t="s">
        <v>1049</v>
      </c>
      <c r="U823" t="s">
        <v>106</v>
      </c>
      <c r="V823" t="s">
        <v>106</v>
      </c>
      <c r="W823" t="s">
        <v>443</v>
      </c>
      <c r="X823" t="s">
        <v>106</v>
      </c>
      <c r="Y823" t="s">
        <v>108</v>
      </c>
      <c r="Z823" t="s">
        <v>108</v>
      </c>
      <c r="AA823" t="s">
        <v>1422</v>
      </c>
      <c r="AB823" t="s">
        <v>106</v>
      </c>
    </row>
    <row r="824" spans="1:28" x14ac:dyDescent="0.3">
      <c r="A824" t="s">
        <v>1420</v>
      </c>
      <c r="B824">
        <v>3</v>
      </c>
      <c r="C824">
        <v>35</v>
      </c>
      <c r="D824">
        <v>6</v>
      </c>
      <c r="E824" t="s">
        <v>110</v>
      </c>
      <c r="F824" s="12">
        <v>45483</v>
      </c>
      <c r="G824" t="s">
        <v>318</v>
      </c>
      <c r="H824" s="12">
        <v>45483</v>
      </c>
      <c r="I824" t="s">
        <v>1421</v>
      </c>
      <c r="J824" t="s">
        <v>425</v>
      </c>
      <c r="L824">
        <v>37.4</v>
      </c>
      <c r="P824" t="s">
        <v>106</v>
      </c>
      <c r="Q824" t="s">
        <v>106</v>
      </c>
      <c r="R824" t="s">
        <v>106</v>
      </c>
      <c r="S824" t="s">
        <v>106</v>
      </c>
      <c r="T824" t="s">
        <v>1431</v>
      </c>
      <c r="U824" t="s">
        <v>106</v>
      </c>
      <c r="V824" t="s">
        <v>106</v>
      </c>
      <c r="W824" t="s">
        <v>443</v>
      </c>
      <c r="X824" t="s">
        <v>106</v>
      </c>
      <c r="Y824" t="s">
        <v>108</v>
      </c>
      <c r="Z824" t="s">
        <v>108</v>
      </c>
      <c r="AA824" t="s">
        <v>1422</v>
      </c>
      <c r="AB824" t="s">
        <v>106</v>
      </c>
    </row>
    <row r="825" spans="1:28" x14ac:dyDescent="0.3">
      <c r="A825" t="s">
        <v>1420</v>
      </c>
      <c r="B825">
        <v>4</v>
      </c>
      <c r="C825">
        <v>60</v>
      </c>
      <c r="D825">
        <v>13</v>
      </c>
      <c r="E825" t="s">
        <v>110</v>
      </c>
      <c r="F825" s="12">
        <v>45483</v>
      </c>
      <c r="G825" t="s">
        <v>379</v>
      </c>
      <c r="H825" s="12">
        <v>45483</v>
      </c>
      <c r="I825" t="s">
        <v>1421</v>
      </c>
      <c r="J825" t="s">
        <v>425</v>
      </c>
      <c r="L825">
        <v>62</v>
      </c>
      <c r="P825" t="s">
        <v>106</v>
      </c>
      <c r="Q825" t="s">
        <v>106</v>
      </c>
      <c r="R825" t="s">
        <v>106</v>
      </c>
      <c r="S825" t="s">
        <v>1451</v>
      </c>
      <c r="T825" t="s">
        <v>1084</v>
      </c>
      <c r="U825" t="s">
        <v>106</v>
      </c>
      <c r="V825" t="s">
        <v>106</v>
      </c>
      <c r="W825" t="s">
        <v>443</v>
      </c>
      <c r="X825" t="s">
        <v>106</v>
      </c>
      <c r="Y825" t="s">
        <v>108</v>
      </c>
      <c r="Z825" t="s">
        <v>104</v>
      </c>
      <c r="AA825" t="s">
        <v>1422</v>
      </c>
      <c r="AB825" t="s">
        <v>106</v>
      </c>
    </row>
    <row r="826" spans="1:28" x14ac:dyDescent="0.3">
      <c r="A826" t="s">
        <v>1420</v>
      </c>
      <c r="B826">
        <v>4</v>
      </c>
      <c r="C826">
        <v>60</v>
      </c>
      <c r="D826">
        <v>14</v>
      </c>
      <c r="E826" t="s">
        <v>110</v>
      </c>
      <c r="F826" s="12">
        <v>45483</v>
      </c>
      <c r="G826" t="s">
        <v>379</v>
      </c>
      <c r="H826" s="12">
        <v>45483</v>
      </c>
      <c r="I826" t="s">
        <v>1421</v>
      </c>
      <c r="J826" t="s">
        <v>425</v>
      </c>
      <c r="L826">
        <v>60.3</v>
      </c>
      <c r="P826" t="s">
        <v>106</v>
      </c>
      <c r="Q826" t="s">
        <v>106</v>
      </c>
      <c r="R826" t="s">
        <v>106</v>
      </c>
      <c r="S826" t="s">
        <v>106</v>
      </c>
      <c r="T826" t="s">
        <v>1565</v>
      </c>
      <c r="U826" t="s">
        <v>106</v>
      </c>
      <c r="V826" t="s">
        <v>106</v>
      </c>
      <c r="W826" t="s">
        <v>443</v>
      </c>
      <c r="X826" t="s">
        <v>106</v>
      </c>
      <c r="Y826" t="s">
        <v>108</v>
      </c>
      <c r="Z826" t="s">
        <v>104</v>
      </c>
      <c r="AA826" t="s">
        <v>1422</v>
      </c>
      <c r="AB826" t="s">
        <v>106</v>
      </c>
    </row>
    <row r="827" spans="1:28" x14ac:dyDescent="0.3">
      <c r="A827" t="s">
        <v>1420</v>
      </c>
      <c r="B827">
        <v>4</v>
      </c>
      <c r="C827">
        <v>60</v>
      </c>
      <c r="D827">
        <v>12</v>
      </c>
      <c r="E827" t="s">
        <v>308</v>
      </c>
      <c r="F827" s="12">
        <v>45483</v>
      </c>
      <c r="G827" t="s">
        <v>318</v>
      </c>
      <c r="H827" s="12">
        <v>45483</v>
      </c>
      <c r="I827" t="s">
        <v>1421</v>
      </c>
      <c r="J827" t="s">
        <v>425</v>
      </c>
      <c r="L827">
        <v>58</v>
      </c>
      <c r="P827" t="s">
        <v>106</v>
      </c>
      <c r="Q827" t="s">
        <v>106</v>
      </c>
      <c r="R827" t="s">
        <v>106</v>
      </c>
      <c r="S827" t="s">
        <v>106</v>
      </c>
      <c r="T827" t="s">
        <v>1016</v>
      </c>
      <c r="U827" t="s">
        <v>106</v>
      </c>
      <c r="V827" t="s">
        <v>106</v>
      </c>
      <c r="W827" t="s">
        <v>443</v>
      </c>
      <c r="X827" t="s">
        <v>106</v>
      </c>
      <c r="Y827" t="s">
        <v>108</v>
      </c>
      <c r="Z827" t="s">
        <v>108</v>
      </c>
      <c r="AA827" t="s">
        <v>1422</v>
      </c>
      <c r="AB827" t="s">
        <v>106</v>
      </c>
    </row>
    <row r="828" spans="1:28" x14ac:dyDescent="0.3">
      <c r="A828" t="s">
        <v>1420</v>
      </c>
      <c r="B828">
        <v>4</v>
      </c>
      <c r="C828">
        <v>60</v>
      </c>
      <c r="D828">
        <v>11</v>
      </c>
      <c r="E828" t="s">
        <v>308</v>
      </c>
      <c r="F828" s="12">
        <v>45483</v>
      </c>
      <c r="G828" t="s">
        <v>318</v>
      </c>
      <c r="H828" s="12">
        <v>45483</v>
      </c>
      <c r="I828" t="s">
        <v>1421</v>
      </c>
      <c r="J828" t="s">
        <v>425</v>
      </c>
      <c r="L828">
        <v>61</v>
      </c>
      <c r="P828" t="s">
        <v>106</v>
      </c>
      <c r="Q828" t="s">
        <v>106</v>
      </c>
      <c r="R828" t="s">
        <v>106</v>
      </c>
      <c r="S828" t="s">
        <v>106</v>
      </c>
      <c r="T828" t="s">
        <v>1385</v>
      </c>
      <c r="U828" t="s">
        <v>106</v>
      </c>
      <c r="V828" t="s">
        <v>106</v>
      </c>
      <c r="W828" t="s">
        <v>443</v>
      </c>
      <c r="X828" t="s">
        <v>106</v>
      </c>
      <c r="Y828" t="s">
        <v>108</v>
      </c>
      <c r="Z828" t="s">
        <v>108</v>
      </c>
      <c r="AA828" t="s">
        <v>1422</v>
      </c>
      <c r="AB828" t="s">
        <v>106</v>
      </c>
    </row>
    <row r="829" spans="1:28" x14ac:dyDescent="0.3">
      <c r="A829" t="s">
        <v>1423</v>
      </c>
      <c r="B829">
        <v>1</v>
      </c>
      <c r="C829">
        <v>0</v>
      </c>
      <c r="D829">
        <v>10</v>
      </c>
      <c r="E829" t="s">
        <v>110</v>
      </c>
      <c r="F829" s="12">
        <v>45484</v>
      </c>
      <c r="G829" t="s">
        <v>1424</v>
      </c>
      <c r="H829" s="12">
        <v>45484</v>
      </c>
      <c r="I829" t="s">
        <v>1421</v>
      </c>
      <c r="J829" t="s">
        <v>543</v>
      </c>
      <c r="L829">
        <v>0</v>
      </c>
      <c r="P829" t="s">
        <v>106</v>
      </c>
      <c r="Q829" t="s">
        <v>106</v>
      </c>
      <c r="R829" t="s">
        <v>106</v>
      </c>
      <c r="S829" t="s">
        <v>106</v>
      </c>
      <c r="T829" t="s">
        <v>1425</v>
      </c>
      <c r="U829" t="s">
        <v>106</v>
      </c>
      <c r="V829" t="s">
        <v>106</v>
      </c>
      <c r="W829" t="s">
        <v>373</v>
      </c>
      <c r="X829" t="s">
        <v>106</v>
      </c>
      <c r="Y829" t="s">
        <v>108</v>
      </c>
      <c r="Z829" t="s">
        <v>105</v>
      </c>
      <c r="AA829" t="s">
        <v>1316</v>
      </c>
      <c r="AB829" t="s">
        <v>106</v>
      </c>
    </row>
    <row r="830" spans="1:28" x14ac:dyDescent="0.3">
      <c r="A830" t="s">
        <v>1423</v>
      </c>
      <c r="B830">
        <v>1</v>
      </c>
      <c r="C830">
        <v>0</v>
      </c>
      <c r="D830">
        <v>11</v>
      </c>
      <c r="E830" t="s">
        <v>110</v>
      </c>
      <c r="F830" s="12">
        <v>45484</v>
      </c>
      <c r="G830" t="s">
        <v>1426</v>
      </c>
      <c r="H830" s="12">
        <v>45484</v>
      </c>
      <c r="I830" t="s">
        <v>1421</v>
      </c>
      <c r="J830" t="s">
        <v>543</v>
      </c>
      <c r="L830">
        <v>0</v>
      </c>
      <c r="P830" t="s">
        <v>106</v>
      </c>
      <c r="Q830" t="s">
        <v>106</v>
      </c>
      <c r="R830" t="s">
        <v>106</v>
      </c>
      <c r="S830" t="s">
        <v>1427</v>
      </c>
      <c r="T830" t="s">
        <v>884</v>
      </c>
      <c r="U830" t="s">
        <v>106</v>
      </c>
      <c r="V830" t="s">
        <v>106</v>
      </c>
      <c r="W830" t="s">
        <v>373</v>
      </c>
      <c r="X830" t="s">
        <v>106</v>
      </c>
      <c r="Y830" t="s">
        <v>108</v>
      </c>
      <c r="Z830" t="s">
        <v>105</v>
      </c>
      <c r="AA830" t="s">
        <v>1316</v>
      </c>
      <c r="AB830" t="s">
        <v>106</v>
      </c>
    </row>
    <row r="831" spans="1:28" x14ac:dyDescent="0.3">
      <c r="A831" t="s">
        <v>1420</v>
      </c>
      <c r="B831">
        <v>1</v>
      </c>
      <c r="C831">
        <v>0</v>
      </c>
      <c r="D831">
        <v>23</v>
      </c>
      <c r="E831" t="s">
        <v>128</v>
      </c>
      <c r="F831" s="12">
        <v>45484</v>
      </c>
      <c r="G831" t="s">
        <v>1428</v>
      </c>
      <c r="H831" s="12">
        <v>45484</v>
      </c>
      <c r="I831" t="s">
        <v>376</v>
      </c>
      <c r="J831" t="s">
        <v>1363</v>
      </c>
      <c r="K831">
        <v>2</v>
      </c>
      <c r="L831">
        <v>0</v>
      </c>
      <c r="P831" t="s">
        <v>106</v>
      </c>
      <c r="Q831" t="s">
        <v>106</v>
      </c>
      <c r="R831" t="s">
        <v>106</v>
      </c>
      <c r="S831" t="s">
        <v>106</v>
      </c>
      <c r="T831" t="s">
        <v>1097</v>
      </c>
      <c r="U831" t="s">
        <v>106</v>
      </c>
      <c r="V831" t="s">
        <v>106</v>
      </c>
      <c r="W831" t="s">
        <v>373</v>
      </c>
      <c r="X831" t="s">
        <v>106</v>
      </c>
      <c r="Y831" t="s">
        <v>108</v>
      </c>
      <c r="Z831" t="s">
        <v>105</v>
      </c>
      <c r="AA831" t="s">
        <v>1422</v>
      </c>
      <c r="AB831" t="s">
        <v>106</v>
      </c>
    </row>
    <row r="832" spans="1:28" x14ac:dyDescent="0.3">
      <c r="A832" t="s">
        <v>1420</v>
      </c>
      <c r="B832">
        <v>1</v>
      </c>
      <c r="C832">
        <v>0</v>
      </c>
      <c r="D832">
        <v>24</v>
      </c>
      <c r="E832" t="s">
        <v>128</v>
      </c>
      <c r="F832" s="12">
        <v>45484</v>
      </c>
      <c r="G832" t="s">
        <v>1428</v>
      </c>
      <c r="H832" s="12">
        <v>45484</v>
      </c>
      <c r="I832" t="s">
        <v>376</v>
      </c>
      <c r="J832" t="s">
        <v>1363</v>
      </c>
      <c r="K832">
        <v>2</v>
      </c>
      <c r="L832">
        <v>0</v>
      </c>
      <c r="P832" t="s">
        <v>106</v>
      </c>
      <c r="Q832" t="s">
        <v>106</v>
      </c>
      <c r="R832" t="s">
        <v>106</v>
      </c>
      <c r="S832" t="s">
        <v>970</v>
      </c>
      <c r="T832" t="s">
        <v>801</v>
      </c>
      <c r="U832" t="s">
        <v>106</v>
      </c>
      <c r="V832" t="s">
        <v>106</v>
      </c>
      <c r="W832" t="s">
        <v>373</v>
      </c>
      <c r="X832" t="s">
        <v>106</v>
      </c>
      <c r="Y832" t="s">
        <v>108</v>
      </c>
      <c r="Z832" t="s">
        <v>105</v>
      </c>
      <c r="AA832" t="s">
        <v>1422</v>
      </c>
      <c r="AB832" t="s">
        <v>106</v>
      </c>
    </row>
    <row r="833" spans="1:28" x14ac:dyDescent="0.3">
      <c r="A833" t="s">
        <v>1420</v>
      </c>
      <c r="B833">
        <v>2</v>
      </c>
      <c r="C833">
        <v>15</v>
      </c>
      <c r="D833">
        <v>25</v>
      </c>
      <c r="E833" t="s">
        <v>128</v>
      </c>
      <c r="F833" s="12">
        <v>45484</v>
      </c>
      <c r="G833" t="s">
        <v>389</v>
      </c>
      <c r="H833" s="12">
        <v>45484</v>
      </c>
      <c r="I833" t="s">
        <v>106</v>
      </c>
      <c r="J833" t="s">
        <v>458</v>
      </c>
      <c r="L833">
        <v>13.4</v>
      </c>
      <c r="P833" t="s">
        <v>106</v>
      </c>
      <c r="Q833" t="s">
        <v>106</v>
      </c>
      <c r="R833" t="s">
        <v>106</v>
      </c>
      <c r="S833" t="s">
        <v>106</v>
      </c>
      <c r="T833" t="s">
        <v>1485</v>
      </c>
      <c r="U833" t="s">
        <v>106</v>
      </c>
      <c r="V833" t="s">
        <v>106</v>
      </c>
      <c r="W833" t="s">
        <v>443</v>
      </c>
      <c r="X833" t="s">
        <v>106</v>
      </c>
      <c r="Y833" t="s">
        <v>108</v>
      </c>
      <c r="Z833" t="s">
        <v>109</v>
      </c>
      <c r="AA833" t="s">
        <v>106</v>
      </c>
      <c r="AB833" t="s">
        <v>106</v>
      </c>
    </row>
    <row r="834" spans="1:28" x14ac:dyDescent="0.3">
      <c r="A834" t="s">
        <v>1420</v>
      </c>
      <c r="B834">
        <v>2</v>
      </c>
      <c r="C834">
        <v>15</v>
      </c>
      <c r="D834">
        <v>17</v>
      </c>
      <c r="E834" t="s">
        <v>128</v>
      </c>
      <c r="F834" s="12">
        <v>45484</v>
      </c>
      <c r="G834" t="s">
        <v>1937</v>
      </c>
      <c r="H834" s="12">
        <v>45484</v>
      </c>
      <c r="I834" t="s">
        <v>376</v>
      </c>
      <c r="J834" t="s">
        <v>1363</v>
      </c>
      <c r="K834">
        <v>2</v>
      </c>
      <c r="L834">
        <v>14.6</v>
      </c>
      <c r="P834" t="s">
        <v>106</v>
      </c>
      <c r="Q834" t="s">
        <v>106</v>
      </c>
      <c r="R834" t="s">
        <v>106</v>
      </c>
      <c r="S834" t="s">
        <v>1714</v>
      </c>
      <c r="T834" t="s">
        <v>1832</v>
      </c>
      <c r="U834" t="s">
        <v>1263</v>
      </c>
      <c r="V834" t="s">
        <v>106</v>
      </c>
      <c r="W834" t="s">
        <v>373</v>
      </c>
      <c r="X834" t="s">
        <v>106</v>
      </c>
      <c r="Y834" t="s">
        <v>108</v>
      </c>
      <c r="Z834" t="s">
        <v>109</v>
      </c>
      <c r="AA834" t="s">
        <v>1422</v>
      </c>
      <c r="AB834" t="s">
        <v>106</v>
      </c>
    </row>
    <row r="835" spans="1:28" x14ac:dyDescent="0.3">
      <c r="A835" t="s">
        <v>1420</v>
      </c>
      <c r="B835">
        <v>2</v>
      </c>
      <c r="C835">
        <v>15</v>
      </c>
      <c r="D835">
        <v>18</v>
      </c>
      <c r="E835" t="s">
        <v>128</v>
      </c>
      <c r="F835" s="12">
        <v>45484</v>
      </c>
      <c r="G835" t="s">
        <v>1937</v>
      </c>
      <c r="H835" s="12">
        <v>45484</v>
      </c>
      <c r="I835" t="s">
        <v>376</v>
      </c>
      <c r="J835" t="s">
        <v>1363</v>
      </c>
      <c r="K835">
        <v>2</v>
      </c>
      <c r="L835">
        <v>14.4</v>
      </c>
      <c r="P835" t="s">
        <v>106</v>
      </c>
      <c r="Q835" t="s">
        <v>106</v>
      </c>
      <c r="R835" t="s">
        <v>106</v>
      </c>
      <c r="S835" t="s">
        <v>106</v>
      </c>
      <c r="T835" t="s">
        <v>1405</v>
      </c>
      <c r="U835" t="s">
        <v>771</v>
      </c>
      <c r="V835" t="s">
        <v>106</v>
      </c>
      <c r="W835" t="s">
        <v>373</v>
      </c>
      <c r="X835" t="s">
        <v>106</v>
      </c>
      <c r="Y835" t="s">
        <v>108</v>
      </c>
      <c r="Z835" t="s">
        <v>109</v>
      </c>
      <c r="AA835" t="s">
        <v>1422</v>
      </c>
      <c r="AB835" t="s">
        <v>106</v>
      </c>
    </row>
    <row r="836" spans="1:28" x14ac:dyDescent="0.3">
      <c r="A836" t="s">
        <v>1423</v>
      </c>
      <c r="B836">
        <v>2</v>
      </c>
      <c r="C836">
        <v>15</v>
      </c>
      <c r="D836">
        <v>5</v>
      </c>
      <c r="E836" t="s">
        <v>110</v>
      </c>
      <c r="F836" s="12">
        <v>45484</v>
      </c>
      <c r="G836" t="s">
        <v>1938</v>
      </c>
      <c r="H836" s="12">
        <v>45484</v>
      </c>
      <c r="I836" t="s">
        <v>1421</v>
      </c>
      <c r="J836" t="s">
        <v>543</v>
      </c>
      <c r="L836">
        <v>16.100000000000001</v>
      </c>
      <c r="P836" t="s">
        <v>106</v>
      </c>
      <c r="Q836" t="s">
        <v>106</v>
      </c>
      <c r="R836" t="s">
        <v>106</v>
      </c>
      <c r="S836" t="s">
        <v>1939</v>
      </c>
      <c r="T836" t="s">
        <v>1940</v>
      </c>
      <c r="U836" t="s">
        <v>106</v>
      </c>
      <c r="V836" t="s">
        <v>106</v>
      </c>
      <c r="W836" t="s">
        <v>373</v>
      </c>
      <c r="X836" t="s">
        <v>106</v>
      </c>
      <c r="Y836" t="s">
        <v>108</v>
      </c>
      <c r="Z836" t="s">
        <v>109</v>
      </c>
      <c r="AA836" t="s">
        <v>1422</v>
      </c>
      <c r="AB836" t="s">
        <v>106</v>
      </c>
    </row>
    <row r="837" spans="1:28" x14ac:dyDescent="0.3">
      <c r="A837" t="s">
        <v>1420</v>
      </c>
      <c r="B837">
        <v>2</v>
      </c>
      <c r="C837">
        <v>15</v>
      </c>
      <c r="D837">
        <v>26</v>
      </c>
      <c r="E837" t="s">
        <v>128</v>
      </c>
      <c r="F837" s="12">
        <v>45484</v>
      </c>
      <c r="G837" t="s">
        <v>389</v>
      </c>
      <c r="H837" s="12">
        <v>45484</v>
      </c>
      <c r="I837" t="s">
        <v>106</v>
      </c>
      <c r="J837" t="s">
        <v>458</v>
      </c>
      <c r="L837">
        <v>14.1</v>
      </c>
      <c r="P837" t="s">
        <v>106</v>
      </c>
      <c r="Q837" t="s">
        <v>106</v>
      </c>
      <c r="R837" t="s">
        <v>106</v>
      </c>
      <c r="S837" t="s">
        <v>106</v>
      </c>
      <c r="T837" t="s">
        <v>1409</v>
      </c>
      <c r="U837" t="s">
        <v>106</v>
      </c>
      <c r="V837" t="s">
        <v>106</v>
      </c>
      <c r="W837" t="s">
        <v>443</v>
      </c>
      <c r="X837" t="s">
        <v>106</v>
      </c>
      <c r="Y837" t="s">
        <v>108</v>
      </c>
      <c r="Z837" t="s">
        <v>109</v>
      </c>
      <c r="AA837" t="s">
        <v>106</v>
      </c>
      <c r="AB837" t="s">
        <v>106</v>
      </c>
    </row>
    <row r="838" spans="1:28" x14ac:dyDescent="0.3">
      <c r="A838" t="s">
        <v>1423</v>
      </c>
      <c r="B838">
        <v>2</v>
      </c>
      <c r="C838">
        <v>15</v>
      </c>
      <c r="D838">
        <v>1</v>
      </c>
      <c r="E838" t="s">
        <v>308</v>
      </c>
      <c r="F838" s="12">
        <v>45484</v>
      </c>
      <c r="G838" t="s">
        <v>1362</v>
      </c>
      <c r="H838" s="12" t="s">
        <v>106</v>
      </c>
      <c r="I838" t="s">
        <v>106</v>
      </c>
      <c r="J838" t="s">
        <v>106</v>
      </c>
      <c r="L838">
        <v>14.6</v>
      </c>
      <c r="P838" t="s">
        <v>106</v>
      </c>
      <c r="Q838" t="s">
        <v>106</v>
      </c>
      <c r="R838" t="s">
        <v>106</v>
      </c>
      <c r="S838" t="s">
        <v>1714</v>
      </c>
      <c r="T838" t="s">
        <v>1832</v>
      </c>
      <c r="U838" t="s">
        <v>106</v>
      </c>
      <c r="V838" t="s">
        <v>106</v>
      </c>
      <c r="W838" t="s">
        <v>373</v>
      </c>
      <c r="X838" t="s">
        <v>106</v>
      </c>
      <c r="Y838" t="s">
        <v>108</v>
      </c>
      <c r="Z838" t="s">
        <v>109</v>
      </c>
      <c r="AA838" t="s">
        <v>1422</v>
      </c>
      <c r="AB838" t="s">
        <v>106</v>
      </c>
    </row>
    <row r="839" spans="1:28" x14ac:dyDescent="0.3">
      <c r="A839" t="s">
        <v>1423</v>
      </c>
      <c r="B839">
        <v>2</v>
      </c>
      <c r="C839">
        <v>15</v>
      </c>
      <c r="D839">
        <v>4</v>
      </c>
      <c r="E839" t="s">
        <v>110</v>
      </c>
      <c r="F839" s="12">
        <v>45484</v>
      </c>
      <c r="G839" t="s">
        <v>1941</v>
      </c>
      <c r="H839" s="12">
        <v>45484</v>
      </c>
      <c r="I839" t="s">
        <v>1421</v>
      </c>
      <c r="J839" t="s">
        <v>543</v>
      </c>
      <c r="L839">
        <v>16.3</v>
      </c>
      <c r="P839" t="s">
        <v>106</v>
      </c>
      <c r="Q839" t="s">
        <v>106</v>
      </c>
      <c r="R839" t="s">
        <v>106</v>
      </c>
      <c r="S839" t="s">
        <v>106</v>
      </c>
      <c r="T839" t="s">
        <v>1547</v>
      </c>
      <c r="U839" t="s">
        <v>106</v>
      </c>
      <c r="V839" t="s">
        <v>106</v>
      </c>
      <c r="W839" t="s">
        <v>373</v>
      </c>
      <c r="X839" t="s">
        <v>106</v>
      </c>
      <c r="Y839" t="s">
        <v>108</v>
      </c>
      <c r="Z839" t="s">
        <v>109</v>
      </c>
      <c r="AA839" t="s">
        <v>1422</v>
      </c>
      <c r="AB839" t="s">
        <v>106</v>
      </c>
    </row>
    <row r="840" spans="1:28" x14ac:dyDescent="0.3">
      <c r="A840" t="s">
        <v>1423</v>
      </c>
      <c r="B840">
        <v>3</v>
      </c>
      <c r="C840">
        <v>35</v>
      </c>
      <c r="D840">
        <v>7</v>
      </c>
      <c r="E840" t="s">
        <v>110</v>
      </c>
      <c r="F840" s="12">
        <v>45484</v>
      </c>
      <c r="G840" t="s">
        <v>1413</v>
      </c>
      <c r="H840" s="12">
        <v>45484</v>
      </c>
      <c r="I840" t="s">
        <v>1421</v>
      </c>
      <c r="J840" t="s">
        <v>543</v>
      </c>
      <c r="L840">
        <v>35.1</v>
      </c>
      <c r="P840" t="s">
        <v>106</v>
      </c>
      <c r="Q840" t="s">
        <v>106</v>
      </c>
      <c r="R840" t="s">
        <v>106</v>
      </c>
      <c r="S840" t="s">
        <v>2422</v>
      </c>
      <c r="T840" t="s">
        <v>1530</v>
      </c>
      <c r="U840" t="s">
        <v>106</v>
      </c>
      <c r="V840" t="s">
        <v>106</v>
      </c>
      <c r="W840" t="s">
        <v>373</v>
      </c>
      <c r="X840" t="s">
        <v>106</v>
      </c>
      <c r="Y840" t="s">
        <v>108</v>
      </c>
      <c r="Z840" t="s">
        <v>108</v>
      </c>
      <c r="AA840" t="s">
        <v>1422</v>
      </c>
      <c r="AB840" t="s">
        <v>106</v>
      </c>
    </row>
    <row r="841" spans="1:28" x14ac:dyDescent="0.3">
      <c r="A841" t="s">
        <v>1423</v>
      </c>
      <c r="B841">
        <v>3</v>
      </c>
      <c r="C841">
        <v>35</v>
      </c>
      <c r="D841">
        <v>6</v>
      </c>
      <c r="E841" t="s">
        <v>110</v>
      </c>
      <c r="F841" s="12">
        <v>45484</v>
      </c>
      <c r="G841" t="s">
        <v>1413</v>
      </c>
      <c r="H841" s="12">
        <v>45484</v>
      </c>
      <c r="I841" t="s">
        <v>1421</v>
      </c>
      <c r="J841" t="s">
        <v>543</v>
      </c>
      <c r="L841">
        <v>36.700000000000003</v>
      </c>
      <c r="P841" t="s">
        <v>106</v>
      </c>
      <c r="Q841" t="s">
        <v>106</v>
      </c>
      <c r="R841" t="s">
        <v>106</v>
      </c>
      <c r="S841" t="s">
        <v>106</v>
      </c>
      <c r="T841" t="s">
        <v>1381</v>
      </c>
      <c r="U841" t="s">
        <v>106</v>
      </c>
      <c r="V841" t="s">
        <v>106</v>
      </c>
      <c r="W841" t="s">
        <v>373</v>
      </c>
      <c r="X841" t="s">
        <v>106</v>
      </c>
      <c r="Y841" t="s">
        <v>108</v>
      </c>
      <c r="Z841" t="s">
        <v>108</v>
      </c>
      <c r="AA841" t="s">
        <v>1422</v>
      </c>
      <c r="AB841" t="s">
        <v>106</v>
      </c>
    </row>
    <row r="842" spans="1:28" x14ac:dyDescent="0.3">
      <c r="A842" t="s">
        <v>1420</v>
      </c>
      <c r="B842">
        <v>3</v>
      </c>
      <c r="C842">
        <v>35</v>
      </c>
      <c r="D842">
        <v>29</v>
      </c>
      <c r="E842" t="s">
        <v>128</v>
      </c>
      <c r="F842" s="12">
        <v>45484</v>
      </c>
      <c r="G842" t="s">
        <v>137</v>
      </c>
      <c r="H842" s="12">
        <v>45484</v>
      </c>
      <c r="I842" t="s">
        <v>106</v>
      </c>
      <c r="J842" t="s">
        <v>458</v>
      </c>
      <c r="L842">
        <v>31.4</v>
      </c>
      <c r="P842" t="s">
        <v>106</v>
      </c>
      <c r="Q842" t="s">
        <v>106</v>
      </c>
      <c r="R842" t="s">
        <v>106</v>
      </c>
      <c r="S842" t="s">
        <v>106</v>
      </c>
      <c r="T842" t="s">
        <v>1386</v>
      </c>
      <c r="U842" t="s">
        <v>106</v>
      </c>
      <c r="V842" t="s">
        <v>106</v>
      </c>
      <c r="W842" t="s">
        <v>443</v>
      </c>
      <c r="X842" t="s">
        <v>106</v>
      </c>
      <c r="Y842" t="s">
        <v>108</v>
      </c>
      <c r="Z842" t="s">
        <v>108</v>
      </c>
      <c r="AA842" t="s">
        <v>106</v>
      </c>
      <c r="AB842" t="s">
        <v>106</v>
      </c>
    </row>
    <row r="843" spans="1:28" x14ac:dyDescent="0.3">
      <c r="A843" t="s">
        <v>1420</v>
      </c>
      <c r="B843">
        <v>3</v>
      </c>
      <c r="C843">
        <v>35</v>
      </c>
      <c r="D843">
        <v>32</v>
      </c>
      <c r="E843" t="s">
        <v>128</v>
      </c>
      <c r="F843" s="12">
        <v>45484</v>
      </c>
      <c r="G843" t="s">
        <v>475</v>
      </c>
      <c r="H843" s="12">
        <v>45484</v>
      </c>
      <c r="I843" t="s">
        <v>106</v>
      </c>
      <c r="J843" t="s">
        <v>458</v>
      </c>
      <c r="L843">
        <v>36.200000000000003</v>
      </c>
      <c r="P843" t="s">
        <v>106</v>
      </c>
      <c r="Q843" t="s">
        <v>106</v>
      </c>
      <c r="R843" t="s">
        <v>106</v>
      </c>
      <c r="S843" t="s">
        <v>106</v>
      </c>
      <c r="T843" t="s">
        <v>1431</v>
      </c>
      <c r="U843" t="s">
        <v>106</v>
      </c>
      <c r="V843" t="s">
        <v>106</v>
      </c>
      <c r="W843" t="s">
        <v>443</v>
      </c>
      <c r="X843" t="s">
        <v>106</v>
      </c>
      <c r="Y843" t="s">
        <v>108</v>
      </c>
      <c r="Z843" t="s">
        <v>108</v>
      </c>
      <c r="AA843" t="s">
        <v>106</v>
      </c>
      <c r="AB843" t="s">
        <v>106</v>
      </c>
    </row>
    <row r="844" spans="1:28" x14ac:dyDescent="0.3">
      <c r="A844" t="s">
        <v>1423</v>
      </c>
      <c r="B844">
        <v>3</v>
      </c>
      <c r="C844">
        <v>35</v>
      </c>
      <c r="D844">
        <v>2</v>
      </c>
      <c r="E844" t="s">
        <v>308</v>
      </c>
      <c r="F844" s="12">
        <v>45484</v>
      </c>
      <c r="G844" t="s">
        <v>1362</v>
      </c>
      <c r="H844" s="12" t="s">
        <v>106</v>
      </c>
      <c r="I844" t="s">
        <v>106</v>
      </c>
      <c r="J844" t="s">
        <v>106</v>
      </c>
      <c r="L844">
        <v>34.700000000000003</v>
      </c>
      <c r="P844" t="s">
        <v>106</v>
      </c>
      <c r="Q844" t="s">
        <v>106</v>
      </c>
      <c r="R844" t="s">
        <v>106</v>
      </c>
      <c r="S844" t="s">
        <v>983</v>
      </c>
      <c r="T844" t="s">
        <v>1379</v>
      </c>
      <c r="U844" t="s">
        <v>106</v>
      </c>
      <c r="V844" t="s">
        <v>106</v>
      </c>
      <c r="W844" t="s">
        <v>373</v>
      </c>
      <c r="X844" t="s">
        <v>106</v>
      </c>
      <c r="Y844" t="s">
        <v>108</v>
      </c>
      <c r="Z844" t="s">
        <v>108</v>
      </c>
      <c r="AA844" t="s">
        <v>1422</v>
      </c>
      <c r="AB844" t="s">
        <v>106</v>
      </c>
    </row>
    <row r="845" spans="1:28" x14ac:dyDescent="0.3">
      <c r="A845" t="s">
        <v>1420</v>
      </c>
      <c r="B845">
        <v>3</v>
      </c>
      <c r="C845">
        <v>35</v>
      </c>
      <c r="D845">
        <v>30</v>
      </c>
      <c r="E845" t="s">
        <v>128</v>
      </c>
      <c r="F845" s="12">
        <v>45484</v>
      </c>
      <c r="G845" t="s">
        <v>475</v>
      </c>
      <c r="H845" s="12">
        <v>45484</v>
      </c>
      <c r="I845" t="s">
        <v>106</v>
      </c>
      <c r="J845" t="s">
        <v>458</v>
      </c>
      <c r="L845">
        <v>29.3</v>
      </c>
      <c r="P845" t="s">
        <v>106</v>
      </c>
      <c r="Q845" t="s">
        <v>106</v>
      </c>
      <c r="R845" t="s">
        <v>106</v>
      </c>
      <c r="S845" t="s">
        <v>106</v>
      </c>
      <c r="T845" t="s">
        <v>1825</v>
      </c>
      <c r="U845" t="s">
        <v>106</v>
      </c>
      <c r="V845" t="s">
        <v>106</v>
      </c>
      <c r="W845" t="s">
        <v>443</v>
      </c>
      <c r="X845" t="s">
        <v>106</v>
      </c>
      <c r="Y845" t="s">
        <v>108</v>
      </c>
      <c r="Z845" t="s">
        <v>108</v>
      </c>
      <c r="AA845" t="s">
        <v>106</v>
      </c>
      <c r="AB845" t="s">
        <v>106</v>
      </c>
    </row>
    <row r="846" spans="1:28" x14ac:dyDescent="0.3">
      <c r="A846" t="s">
        <v>1420</v>
      </c>
      <c r="B846">
        <v>3</v>
      </c>
      <c r="C846">
        <v>35</v>
      </c>
      <c r="D846">
        <v>31</v>
      </c>
      <c r="E846" t="s">
        <v>128</v>
      </c>
      <c r="F846" s="12">
        <v>45484</v>
      </c>
      <c r="G846" t="s">
        <v>475</v>
      </c>
      <c r="H846" s="12">
        <v>45484</v>
      </c>
      <c r="I846" t="s">
        <v>106</v>
      </c>
      <c r="J846" t="s">
        <v>458</v>
      </c>
      <c r="L846">
        <v>35.4</v>
      </c>
      <c r="P846" t="s">
        <v>106</v>
      </c>
      <c r="Q846" t="s">
        <v>106</v>
      </c>
      <c r="R846" t="s">
        <v>106</v>
      </c>
      <c r="S846" t="s">
        <v>106</v>
      </c>
      <c r="T846" t="s">
        <v>1257</v>
      </c>
      <c r="U846" t="s">
        <v>106</v>
      </c>
      <c r="V846" t="s">
        <v>106</v>
      </c>
      <c r="W846" t="s">
        <v>443</v>
      </c>
      <c r="X846" t="s">
        <v>106</v>
      </c>
      <c r="Y846" t="s">
        <v>108</v>
      </c>
      <c r="Z846" t="s">
        <v>108</v>
      </c>
      <c r="AA846" t="s">
        <v>106</v>
      </c>
      <c r="AB846" t="s">
        <v>106</v>
      </c>
    </row>
    <row r="847" spans="1:28" x14ac:dyDescent="0.3">
      <c r="A847" t="s">
        <v>1420</v>
      </c>
      <c r="B847">
        <v>3</v>
      </c>
      <c r="C847">
        <v>35</v>
      </c>
      <c r="D847">
        <v>19</v>
      </c>
      <c r="E847" t="s">
        <v>128</v>
      </c>
      <c r="F847" s="12">
        <v>45484</v>
      </c>
      <c r="G847" t="s">
        <v>1937</v>
      </c>
      <c r="H847" s="12">
        <v>45484</v>
      </c>
      <c r="I847" t="s">
        <v>376</v>
      </c>
      <c r="J847" t="s">
        <v>1363</v>
      </c>
      <c r="K847">
        <v>2</v>
      </c>
      <c r="L847">
        <v>34.700000000000003</v>
      </c>
      <c r="P847" t="s">
        <v>106</v>
      </c>
      <c r="Q847" t="s">
        <v>106</v>
      </c>
      <c r="R847" t="s">
        <v>106</v>
      </c>
      <c r="S847" t="s">
        <v>983</v>
      </c>
      <c r="T847" t="s">
        <v>1379</v>
      </c>
      <c r="U847" t="s">
        <v>1272</v>
      </c>
      <c r="V847" t="s">
        <v>106</v>
      </c>
      <c r="W847" t="s">
        <v>373</v>
      </c>
      <c r="X847" t="s">
        <v>106</v>
      </c>
      <c r="Y847" t="s">
        <v>108</v>
      </c>
      <c r="Z847" t="s">
        <v>108</v>
      </c>
      <c r="AA847" t="s">
        <v>1422</v>
      </c>
      <c r="AB847" t="s">
        <v>106</v>
      </c>
    </row>
    <row r="848" spans="1:28" x14ac:dyDescent="0.3">
      <c r="A848" t="s">
        <v>1420</v>
      </c>
      <c r="B848">
        <v>3</v>
      </c>
      <c r="C848">
        <v>35</v>
      </c>
      <c r="D848">
        <v>20</v>
      </c>
      <c r="E848" t="s">
        <v>128</v>
      </c>
      <c r="F848" s="12">
        <v>45484</v>
      </c>
      <c r="G848" t="s">
        <v>1937</v>
      </c>
      <c r="H848" s="12">
        <v>45484</v>
      </c>
      <c r="I848" t="s">
        <v>376</v>
      </c>
      <c r="J848" t="s">
        <v>1363</v>
      </c>
      <c r="K848">
        <v>2</v>
      </c>
      <c r="L848">
        <v>35.9</v>
      </c>
      <c r="P848" t="s">
        <v>106</v>
      </c>
      <c r="Q848" t="s">
        <v>106</v>
      </c>
      <c r="R848" t="s">
        <v>106</v>
      </c>
      <c r="S848" t="s">
        <v>106</v>
      </c>
      <c r="T848" t="s">
        <v>1394</v>
      </c>
      <c r="U848" t="s">
        <v>771</v>
      </c>
      <c r="V848" t="s">
        <v>106</v>
      </c>
      <c r="W848" t="s">
        <v>373</v>
      </c>
      <c r="X848" t="s">
        <v>106</v>
      </c>
      <c r="Y848" t="s">
        <v>108</v>
      </c>
      <c r="Z848" t="s">
        <v>108</v>
      </c>
      <c r="AA848" t="s">
        <v>1422</v>
      </c>
      <c r="AB848" t="s">
        <v>106</v>
      </c>
    </row>
    <row r="849" spans="1:28" x14ac:dyDescent="0.3">
      <c r="A849" t="s">
        <v>1423</v>
      </c>
      <c r="B849">
        <v>4</v>
      </c>
      <c r="C849">
        <v>60</v>
      </c>
      <c r="D849">
        <v>3</v>
      </c>
      <c r="E849" t="s">
        <v>308</v>
      </c>
      <c r="F849" s="12">
        <v>45484</v>
      </c>
      <c r="G849" t="s">
        <v>1362</v>
      </c>
      <c r="H849" s="12" t="s">
        <v>106</v>
      </c>
      <c r="I849" t="s">
        <v>106</v>
      </c>
      <c r="J849" t="s">
        <v>106</v>
      </c>
      <c r="L849">
        <v>59.3</v>
      </c>
      <c r="P849" t="s">
        <v>106</v>
      </c>
      <c r="Q849" t="s">
        <v>106</v>
      </c>
      <c r="R849" t="s">
        <v>106</v>
      </c>
      <c r="S849" t="s">
        <v>979</v>
      </c>
      <c r="T849" t="s">
        <v>1145</v>
      </c>
      <c r="U849" t="s">
        <v>106</v>
      </c>
      <c r="V849" t="s">
        <v>106</v>
      </c>
      <c r="W849" t="s">
        <v>373</v>
      </c>
      <c r="X849" t="s">
        <v>106</v>
      </c>
      <c r="Y849" t="s">
        <v>108</v>
      </c>
      <c r="Z849" t="s">
        <v>104</v>
      </c>
      <c r="AA849" t="s">
        <v>1422</v>
      </c>
      <c r="AB849" t="s">
        <v>106</v>
      </c>
    </row>
    <row r="850" spans="1:28" x14ac:dyDescent="0.3">
      <c r="A850" t="s">
        <v>1420</v>
      </c>
      <c r="B850">
        <v>4</v>
      </c>
      <c r="C850">
        <v>60</v>
      </c>
      <c r="D850">
        <v>21</v>
      </c>
      <c r="E850" t="s">
        <v>128</v>
      </c>
      <c r="F850" s="12">
        <v>45484</v>
      </c>
      <c r="G850" t="s">
        <v>1428</v>
      </c>
      <c r="H850" s="12">
        <v>45484</v>
      </c>
      <c r="I850" t="s">
        <v>376</v>
      </c>
      <c r="J850" t="s">
        <v>1363</v>
      </c>
      <c r="K850">
        <v>2</v>
      </c>
      <c r="L850">
        <v>59.3</v>
      </c>
      <c r="P850" t="s">
        <v>106</v>
      </c>
      <c r="Q850" t="s">
        <v>106</v>
      </c>
      <c r="R850" t="s">
        <v>106</v>
      </c>
      <c r="S850" t="s">
        <v>106</v>
      </c>
      <c r="T850" t="s">
        <v>1145</v>
      </c>
      <c r="U850" t="s">
        <v>1415</v>
      </c>
      <c r="V850" t="s">
        <v>106</v>
      </c>
      <c r="W850" t="s">
        <v>373</v>
      </c>
      <c r="X850" t="s">
        <v>106</v>
      </c>
      <c r="Y850" t="s">
        <v>108</v>
      </c>
      <c r="Z850" t="s">
        <v>104</v>
      </c>
      <c r="AA850" t="s">
        <v>1422</v>
      </c>
      <c r="AB850" t="s">
        <v>106</v>
      </c>
    </row>
    <row r="851" spans="1:28" x14ac:dyDescent="0.3">
      <c r="A851" t="s">
        <v>1420</v>
      </c>
      <c r="B851">
        <v>4</v>
      </c>
      <c r="C851">
        <v>60</v>
      </c>
      <c r="D851">
        <v>22</v>
      </c>
      <c r="E851" t="s">
        <v>128</v>
      </c>
      <c r="F851" s="12">
        <v>45484</v>
      </c>
      <c r="G851" t="s">
        <v>1428</v>
      </c>
      <c r="H851" s="12">
        <v>45484</v>
      </c>
      <c r="I851" t="s">
        <v>376</v>
      </c>
      <c r="J851" t="s">
        <v>1363</v>
      </c>
      <c r="K851">
        <v>2</v>
      </c>
      <c r="L851">
        <v>58.4</v>
      </c>
      <c r="P851" t="s">
        <v>106</v>
      </c>
      <c r="Q851" t="s">
        <v>106</v>
      </c>
      <c r="R851" t="s">
        <v>106</v>
      </c>
      <c r="S851" t="s">
        <v>979</v>
      </c>
      <c r="T851" t="s">
        <v>1485</v>
      </c>
      <c r="U851" t="s">
        <v>1418</v>
      </c>
      <c r="V851" t="s">
        <v>106</v>
      </c>
      <c r="W851" t="s">
        <v>373</v>
      </c>
      <c r="X851" t="s">
        <v>106</v>
      </c>
      <c r="Y851" t="s">
        <v>108</v>
      </c>
      <c r="Z851" t="s">
        <v>104</v>
      </c>
      <c r="AA851" t="s">
        <v>1422</v>
      </c>
      <c r="AB851" t="s">
        <v>106</v>
      </c>
    </row>
    <row r="852" spans="1:28" x14ac:dyDescent="0.3">
      <c r="A852" t="s">
        <v>1423</v>
      </c>
      <c r="B852">
        <v>4</v>
      </c>
      <c r="C852">
        <v>60</v>
      </c>
      <c r="D852">
        <v>9</v>
      </c>
      <c r="E852" t="s">
        <v>110</v>
      </c>
      <c r="F852" s="12">
        <v>45484</v>
      </c>
      <c r="G852" t="s">
        <v>1448</v>
      </c>
      <c r="H852" s="12">
        <v>45484</v>
      </c>
      <c r="I852" t="s">
        <v>1421</v>
      </c>
      <c r="J852" t="s">
        <v>543</v>
      </c>
      <c r="L852">
        <v>60.4</v>
      </c>
      <c r="P852" t="s">
        <v>106</v>
      </c>
      <c r="Q852" t="s">
        <v>106</v>
      </c>
      <c r="R852" t="s">
        <v>106</v>
      </c>
      <c r="S852" t="s">
        <v>1451</v>
      </c>
      <c r="T852" t="s">
        <v>1796</v>
      </c>
      <c r="U852" t="s">
        <v>106</v>
      </c>
      <c r="V852" t="s">
        <v>106</v>
      </c>
      <c r="W852" t="s">
        <v>373</v>
      </c>
      <c r="X852" t="s">
        <v>106</v>
      </c>
      <c r="Y852" t="s">
        <v>108</v>
      </c>
      <c r="Z852" t="s">
        <v>104</v>
      </c>
      <c r="AA852" t="s">
        <v>1422</v>
      </c>
      <c r="AB852" t="s">
        <v>106</v>
      </c>
    </row>
    <row r="853" spans="1:28" x14ac:dyDescent="0.3">
      <c r="A853" t="s">
        <v>1420</v>
      </c>
      <c r="B853">
        <v>4</v>
      </c>
      <c r="C853">
        <v>60</v>
      </c>
      <c r="D853">
        <v>28</v>
      </c>
      <c r="E853" t="s">
        <v>128</v>
      </c>
      <c r="F853" s="12">
        <v>45484</v>
      </c>
      <c r="G853" t="s">
        <v>389</v>
      </c>
      <c r="H853" s="12">
        <v>45484</v>
      </c>
      <c r="I853" t="s">
        <v>106</v>
      </c>
      <c r="J853" t="s">
        <v>458</v>
      </c>
      <c r="L853">
        <v>56.7</v>
      </c>
      <c r="P853" t="s">
        <v>106</v>
      </c>
      <c r="Q853" t="s">
        <v>106</v>
      </c>
      <c r="R853" t="s">
        <v>106</v>
      </c>
      <c r="S853" t="s">
        <v>106</v>
      </c>
      <c r="T853" t="s">
        <v>1959</v>
      </c>
      <c r="U853" t="s">
        <v>106</v>
      </c>
      <c r="V853" t="s">
        <v>106</v>
      </c>
      <c r="W853" t="s">
        <v>443</v>
      </c>
      <c r="X853" t="s">
        <v>106</v>
      </c>
      <c r="Y853" t="s">
        <v>108</v>
      </c>
      <c r="Z853" t="s">
        <v>104</v>
      </c>
      <c r="AA853" t="s">
        <v>106</v>
      </c>
      <c r="AB853" t="s">
        <v>106</v>
      </c>
    </row>
    <row r="854" spans="1:28" x14ac:dyDescent="0.3">
      <c r="A854" t="s">
        <v>1420</v>
      </c>
      <c r="B854">
        <v>4</v>
      </c>
      <c r="C854">
        <v>60</v>
      </c>
      <c r="D854">
        <v>27</v>
      </c>
      <c r="E854" t="s">
        <v>128</v>
      </c>
      <c r="F854" s="12">
        <v>45484</v>
      </c>
      <c r="G854" t="s">
        <v>389</v>
      </c>
      <c r="H854" s="12">
        <v>45484</v>
      </c>
      <c r="I854" t="s">
        <v>106</v>
      </c>
      <c r="J854" t="s">
        <v>458</v>
      </c>
      <c r="L854">
        <v>55.6</v>
      </c>
      <c r="P854" t="s">
        <v>106</v>
      </c>
      <c r="Q854" t="s">
        <v>106</v>
      </c>
      <c r="R854" t="s">
        <v>106</v>
      </c>
      <c r="S854" t="s">
        <v>106</v>
      </c>
      <c r="T854" t="s">
        <v>1386</v>
      </c>
      <c r="U854" t="s">
        <v>106</v>
      </c>
      <c r="V854" t="s">
        <v>106</v>
      </c>
      <c r="W854" t="s">
        <v>443</v>
      </c>
      <c r="X854" t="s">
        <v>106</v>
      </c>
      <c r="Y854" t="s">
        <v>108</v>
      </c>
      <c r="Z854" t="s">
        <v>104</v>
      </c>
      <c r="AA854" t="s">
        <v>106</v>
      </c>
      <c r="AB854" t="s">
        <v>106</v>
      </c>
    </row>
    <row r="855" spans="1:28" x14ac:dyDescent="0.3">
      <c r="A855" t="s">
        <v>1423</v>
      </c>
      <c r="B855">
        <v>4</v>
      </c>
      <c r="C855">
        <v>60</v>
      </c>
      <c r="D855">
        <v>8</v>
      </c>
      <c r="E855" t="s">
        <v>110</v>
      </c>
      <c r="F855" s="12">
        <v>45484</v>
      </c>
      <c r="G855" t="s">
        <v>1229</v>
      </c>
      <c r="H855" s="12">
        <v>45484</v>
      </c>
      <c r="I855" t="s">
        <v>1421</v>
      </c>
      <c r="J855" t="s">
        <v>543</v>
      </c>
      <c r="L855">
        <v>60</v>
      </c>
      <c r="P855" t="s">
        <v>106</v>
      </c>
      <c r="Q855" t="s">
        <v>106</v>
      </c>
      <c r="R855" t="s">
        <v>106</v>
      </c>
      <c r="S855" t="s">
        <v>106</v>
      </c>
      <c r="T855" t="s">
        <v>2059</v>
      </c>
      <c r="U855" t="s">
        <v>106</v>
      </c>
      <c r="V855" t="s">
        <v>106</v>
      </c>
      <c r="W855" t="s">
        <v>373</v>
      </c>
      <c r="X855" t="s">
        <v>106</v>
      </c>
      <c r="Y855" t="s">
        <v>108</v>
      </c>
      <c r="Z855" t="s">
        <v>104</v>
      </c>
      <c r="AA855" t="s">
        <v>1422</v>
      </c>
      <c r="AB855" t="s">
        <v>106</v>
      </c>
    </row>
    <row r="856" spans="1:28" x14ac:dyDescent="0.3">
      <c r="A856" t="s">
        <v>1420</v>
      </c>
      <c r="B856">
        <v>1</v>
      </c>
      <c r="C856">
        <v>0</v>
      </c>
      <c r="D856">
        <v>47</v>
      </c>
      <c r="E856" t="s">
        <v>128</v>
      </c>
      <c r="F856" s="12">
        <v>45485</v>
      </c>
      <c r="G856" t="s">
        <v>1429</v>
      </c>
      <c r="H856" s="12">
        <v>45484</v>
      </c>
      <c r="I856" t="s">
        <v>985</v>
      </c>
      <c r="J856" t="s">
        <v>458</v>
      </c>
      <c r="K856">
        <v>2</v>
      </c>
      <c r="L856">
        <v>0</v>
      </c>
      <c r="P856" t="s">
        <v>106</v>
      </c>
      <c r="Q856" t="s">
        <v>106</v>
      </c>
      <c r="R856" t="s">
        <v>106</v>
      </c>
      <c r="S856" t="s">
        <v>1430</v>
      </c>
      <c r="T856" t="s">
        <v>1431</v>
      </c>
      <c r="U856" t="s">
        <v>106</v>
      </c>
      <c r="V856" t="s">
        <v>106</v>
      </c>
      <c r="W856" t="s">
        <v>373</v>
      </c>
      <c r="X856" t="s">
        <v>106</v>
      </c>
      <c r="Y856" t="s">
        <v>108</v>
      </c>
      <c r="Z856" t="s">
        <v>105</v>
      </c>
      <c r="AA856" t="s">
        <v>1316</v>
      </c>
      <c r="AB856" t="s">
        <v>106</v>
      </c>
    </row>
    <row r="857" spans="1:28" x14ac:dyDescent="0.3">
      <c r="A857" t="s">
        <v>1420</v>
      </c>
      <c r="B857">
        <v>1</v>
      </c>
      <c r="C857">
        <v>0</v>
      </c>
      <c r="D857">
        <v>46</v>
      </c>
      <c r="E857" t="s">
        <v>128</v>
      </c>
      <c r="F857" s="12">
        <v>45485</v>
      </c>
      <c r="G857" t="s">
        <v>1429</v>
      </c>
      <c r="H857" s="12">
        <v>45484</v>
      </c>
      <c r="I857" t="s">
        <v>985</v>
      </c>
      <c r="J857" t="s">
        <v>458</v>
      </c>
      <c r="K857">
        <v>1</v>
      </c>
      <c r="L857">
        <v>0</v>
      </c>
      <c r="P857" t="s">
        <v>106</v>
      </c>
      <c r="Q857" t="s">
        <v>106</v>
      </c>
      <c r="R857" t="s">
        <v>106</v>
      </c>
      <c r="S857" t="s">
        <v>106</v>
      </c>
      <c r="T857" t="s">
        <v>1432</v>
      </c>
      <c r="U857" t="s">
        <v>106</v>
      </c>
      <c r="V857" t="s">
        <v>106</v>
      </c>
      <c r="W857" t="s">
        <v>373</v>
      </c>
      <c r="X857" t="s">
        <v>106</v>
      </c>
      <c r="Y857" t="s">
        <v>108</v>
      </c>
      <c r="Z857" t="s">
        <v>105</v>
      </c>
      <c r="AA857" t="s">
        <v>1316</v>
      </c>
      <c r="AB857" t="s">
        <v>106</v>
      </c>
    </row>
    <row r="858" spans="1:28" x14ac:dyDescent="0.3">
      <c r="A858" t="s">
        <v>1420</v>
      </c>
      <c r="B858">
        <v>2</v>
      </c>
      <c r="C858">
        <v>15</v>
      </c>
      <c r="D858">
        <v>34</v>
      </c>
      <c r="E858" t="s">
        <v>128</v>
      </c>
      <c r="F858" s="12">
        <v>45485</v>
      </c>
      <c r="G858" t="s">
        <v>1689</v>
      </c>
      <c r="H858" s="12">
        <v>45484</v>
      </c>
      <c r="I858" t="s">
        <v>1942</v>
      </c>
      <c r="J858" t="s">
        <v>458</v>
      </c>
      <c r="K858">
        <v>2</v>
      </c>
      <c r="L858">
        <v>15.7</v>
      </c>
      <c r="P858" t="s">
        <v>106</v>
      </c>
      <c r="Q858" t="s">
        <v>106</v>
      </c>
      <c r="R858" t="s">
        <v>106</v>
      </c>
      <c r="S858" t="s">
        <v>106</v>
      </c>
      <c r="T858" t="s">
        <v>1899</v>
      </c>
      <c r="U858" t="s">
        <v>430</v>
      </c>
      <c r="V858" t="s">
        <v>106</v>
      </c>
      <c r="W858" t="s">
        <v>373</v>
      </c>
      <c r="X858" t="s">
        <v>106</v>
      </c>
      <c r="Y858" t="s">
        <v>108</v>
      </c>
      <c r="Z858" t="s">
        <v>109</v>
      </c>
      <c r="AA858" t="s">
        <v>1943</v>
      </c>
      <c r="AB858" t="s">
        <v>1944</v>
      </c>
    </row>
    <row r="859" spans="1:28" x14ac:dyDescent="0.3">
      <c r="A859" t="s">
        <v>1420</v>
      </c>
      <c r="B859">
        <v>2</v>
      </c>
      <c r="C859">
        <v>15</v>
      </c>
      <c r="D859">
        <v>41</v>
      </c>
      <c r="E859" t="s">
        <v>128</v>
      </c>
      <c r="F859" s="12">
        <v>45485</v>
      </c>
      <c r="G859" t="s">
        <v>1945</v>
      </c>
      <c r="H859" s="12">
        <v>45484</v>
      </c>
      <c r="I859" t="s">
        <v>985</v>
      </c>
      <c r="J859" t="s">
        <v>458</v>
      </c>
      <c r="K859">
        <v>2</v>
      </c>
      <c r="L859">
        <v>15.7</v>
      </c>
      <c r="P859" t="s">
        <v>106</v>
      </c>
      <c r="Q859" t="s">
        <v>106</v>
      </c>
      <c r="R859" t="s">
        <v>106</v>
      </c>
      <c r="S859" t="s">
        <v>965</v>
      </c>
      <c r="T859" t="s">
        <v>1808</v>
      </c>
      <c r="U859" t="s">
        <v>138</v>
      </c>
      <c r="V859" t="s">
        <v>106</v>
      </c>
      <c r="W859" t="s">
        <v>373</v>
      </c>
      <c r="X859" t="s">
        <v>106</v>
      </c>
      <c r="Y859" t="s">
        <v>108</v>
      </c>
      <c r="Z859" t="s">
        <v>109</v>
      </c>
      <c r="AA859" t="s">
        <v>1943</v>
      </c>
      <c r="AB859" t="s">
        <v>1946</v>
      </c>
    </row>
    <row r="860" spans="1:28" x14ac:dyDescent="0.3">
      <c r="A860" t="s">
        <v>1420</v>
      </c>
      <c r="B860">
        <v>2</v>
      </c>
      <c r="C860">
        <v>15</v>
      </c>
      <c r="D860">
        <v>40</v>
      </c>
      <c r="E860" t="s">
        <v>128</v>
      </c>
      <c r="F860" s="12">
        <v>45485</v>
      </c>
      <c r="G860" t="s">
        <v>1945</v>
      </c>
      <c r="H860" s="12">
        <v>45484</v>
      </c>
      <c r="I860" t="s">
        <v>985</v>
      </c>
      <c r="J860" t="s">
        <v>458</v>
      </c>
      <c r="K860">
        <v>1</v>
      </c>
      <c r="L860">
        <v>14</v>
      </c>
      <c r="P860" t="s">
        <v>106</v>
      </c>
      <c r="Q860" t="s">
        <v>106</v>
      </c>
      <c r="R860" t="s">
        <v>106</v>
      </c>
      <c r="S860" t="s">
        <v>106</v>
      </c>
      <c r="T860" t="s">
        <v>1947</v>
      </c>
      <c r="U860" t="s">
        <v>1604</v>
      </c>
      <c r="V860" t="s">
        <v>106</v>
      </c>
      <c r="W860" t="s">
        <v>373</v>
      </c>
      <c r="X860" t="s">
        <v>106</v>
      </c>
      <c r="Y860" t="s">
        <v>108</v>
      </c>
      <c r="Z860" t="s">
        <v>109</v>
      </c>
      <c r="AA860" t="s">
        <v>1943</v>
      </c>
      <c r="AB860" t="s">
        <v>715</v>
      </c>
    </row>
    <row r="861" spans="1:28" x14ac:dyDescent="0.3">
      <c r="A861" t="s">
        <v>1420</v>
      </c>
      <c r="B861">
        <v>2</v>
      </c>
      <c r="C861">
        <v>15</v>
      </c>
      <c r="D861">
        <v>33</v>
      </c>
      <c r="E861" t="s">
        <v>128</v>
      </c>
      <c r="F861" s="12">
        <v>45485</v>
      </c>
      <c r="G861" t="s">
        <v>1689</v>
      </c>
      <c r="H861" s="12">
        <v>45484</v>
      </c>
      <c r="I861" t="s">
        <v>1942</v>
      </c>
      <c r="J861" t="s">
        <v>458</v>
      </c>
      <c r="K861">
        <v>1</v>
      </c>
      <c r="L861">
        <v>16.8</v>
      </c>
      <c r="P861" t="s">
        <v>106</v>
      </c>
      <c r="Q861" t="s">
        <v>106</v>
      </c>
      <c r="R861" t="s">
        <v>106</v>
      </c>
      <c r="S861" t="s">
        <v>1003</v>
      </c>
      <c r="T861" t="s">
        <v>1935</v>
      </c>
      <c r="U861" t="s">
        <v>1477</v>
      </c>
      <c r="V861" t="s">
        <v>106</v>
      </c>
      <c r="W861" t="s">
        <v>373</v>
      </c>
      <c r="X861" t="s">
        <v>106</v>
      </c>
      <c r="Y861" t="s">
        <v>108</v>
      </c>
      <c r="Z861" t="s">
        <v>109</v>
      </c>
      <c r="AA861" t="s">
        <v>1943</v>
      </c>
      <c r="AB861" t="s">
        <v>715</v>
      </c>
    </row>
    <row r="862" spans="1:28" x14ac:dyDescent="0.3">
      <c r="A862" t="s">
        <v>1420</v>
      </c>
      <c r="B862">
        <v>3</v>
      </c>
      <c r="C862">
        <v>35</v>
      </c>
      <c r="D862">
        <v>42</v>
      </c>
      <c r="E862" t="s">
        <v>128</v>
      </c>
      <c r="F862" s="12">
        <v>45485</v>
      </c>
      <c r="G862" t="s">
        <v>2245</v>
      </c>
      <c r="H862" s="12">
        <v>45484</v>
      </c>
      <c r="I862" t="s">
        <v>985</v>
      </c>
      <c r="J862" t="s">
        <v>458</v>
      </c>
      <c r="K862">
        <v>1</v>
      </c>
      <c r="L862">
        <v>36.5</v>
      </c>
      <c r="P862" t="s">
        <v>106</v>
      </c>
      <c r="Q862" t="s">
        <v>106</v>
      </c>
      <c r="R862" t="s">
        <v>106</v>
      </c>
      <c r="S862" t="s">
        <v>106</v>
      </c>
      <c r="T862" t="s">
        <v>1808</v>
      </c>
      <c r="U862" t="s">
        <v>1410</v>
      </c>
      <c r="V862" t="s">
        <v>106</v>
      </c>
      <c r="W862" t="s">
        <v>373</v>
      </c>
      <c r="X862" t="s">
        <v>106</v>
      </c>
      <c r="Y862" t="s">
        <v>108</v>
      </c>
      <c r="Z862" t="s">
        <v>108</v>
      </c>
      <c r="AA862" t="s">
        <v>1943</v>
      </c>
      <c r="AB862" t="s">
        <v>2423</v>
      </c>
    </row>
    <row r="863" spans="1:28" x14ac:dyDescent="0.3">
      <c r="A863" t="s">
        <v>1420</v>
      </c>
      <c r="B863">
        <v>3</v>
      </c>
      <c r="C863">
        <v>35</v>
      </c>
      <c r="D863">
        <v>37</v>
      </c>
      <c r="E863" t="s">
        <v>128</v>
      </c>
      <c r="F863" s="12">
        <v>45485</v>
      </c>
      <c r="G863" t="s">
        <v>1689</v>
      </c>
      <c r="H863" s="12">
        <v>45484</v>
      </c>
      <c r="I863" t="s">
        <v>1942</v>
      </c>
      <c r="J863" t="s">
        <v>458</v>
      </c>
      <c r="K863">
        <v>1</v>
      </c>
      <c r="L863">
        <v>35.799999999999997</v>
      </c>
      <c r="P863" t="s">
        <v>106</v>
      </c>
      <c r="Q863" t="s">
        <v>106</v>
      </c>
      <c r="R863" t="s">
        <v>106</v>
      </c>
      <c r="S863" t="s">
        <v>106</v>
      </c>
      <c r="T863" t="s">
        <v>1046</v>
      </c>
      <c r="U863" t="s">
        <v>1651</v>
      </c>
      <c r="V863" t="s">
        <v>106</v>
      </c>
      <c r="W863" t="s">
        <v>373</v>
      </c>
      <c r="X863" t="s">
        <v>106</v>
      </c>
      <c r="Y863" t="s">
        <v>108</v>
      </c>
      <c r="Z863" t="s">
        <v>108</v>
      </c>
      <c r="AA863" t="s">
        <v>1943</v>
      </c>
      <c r="AB863" t="s">
        <v>2424</v>
      </c>
    </row>
    <row r="864" spans="1:28" x14ac:dyDescent="0.3">
      <c r="A864" t="s">
        <v>1420</v>
      </c>
      <c r="B864">
        <v>3</v>
      </c>
      <c r="C864">
        <v>35</v>
      </c>
      <c r="D864">
        <v>36</v>
      </c>
      <c r="E864" t="s">
        <v>128</v>
      </c>
      <c r="F864" s="12">
        <v>45485</v>
      </c>
      <c r="G864" t="s">
        <v>1689</v>
      </c>
      <c r="H864" s="12">
        <v>45484</v>
      </c>
      <c r="I864" t="s">
        <v>1942</v>
      </c>
      <c r="J864" t="s">
        <v>458</v>
      </c>
      <c r="K864">
        <v>2</v>
      </c>
      <c r="L864">
        <v>35.5</v>
      </c>
      <c r="P864" t="s">
        <v>106</v>
      </c>
      <c r="Q864" t="s">
        <v>106</v>
      </c>
      <c r="R864" t="s">
        <v>106</v>
      </c>
      <c r="S864" t="s">
        <v>106</v>
      </c>
      <c r="T864" t="s">
        <v>1381</v>
      </c>
      <c r="U864" t="s">
        <v>1591</v>
      </c>
      <c r="V864" t="s">
        <v>106</v>
      </c>
      <c r="W864" t="s">
        <v>373</v>
      </c>
      <c r="X864" t="s">
        <v>106</v>
      </c>
      <c r="Y864" t="s">
        <v>108</v>
      </c>
      <c r="Z864" t="s">
        <v>108</v>
      </c>
      <c r="AA864" t="s">
        <v>1943</v>
      </c>
      <c r="AB864" t="s">
        <v>2425</v>
      </c>
    </row>
    <row r="865" spans="1:28" x14ac:dyDescent="0.3">
      <c r="A865" t="s">
        <v>1420</v>
      </c>
      <c r="B865">
        <v>3</v>
      </c>
      <c r="C865">
        <v>35</v>
      </c>
      <c r="D865">
        <v>35</v>
      </c>
      <c r="E865" t="s">
        <v>128</v>
      </c>
      <c r="F865" s="12">
        <v>45485</v>
      </c>
      <c r="G865" t="s">
        <v>1689</v>
      </c>
      <c r="H865" s="12">
        <v>45484</v>
      </c>
      <c r="I865" t="s">
        <v>1942</v>
      </c>
      <c r="J865" t="s">
        <v>458</v>
      </c>
      <c r="K865">
        <v>1</v>
      </c>
      <c r="L865">
        <v>35.5</v>
      </c>
      <c r="P865" t="s">
        <v>106</v>
      </c>
      <c r="Q865" t="s">
        <v>106</v>
      </c>
      <c r="R865" t="s">
        <v>106</v>
      </c>
      <c r="S865" t="s">
        <v>2208</v>
      </c>
      <c r="T865" t="s">
        <v>1381</v>
      </c>
      <c r="U865" t="s">
        <v>1591</v>
      </c>
      <c r="V865" t="s">
        <v>106</v>
      </c>
      <c r="W865" t="s">
        <v>373</v>
      </c>
      <c r="X865" t="s">
        <v>106</v>
      </c>
      <c r="Y865" t="s">
        <v>108</v>
      </c>
      <c r="Z865" t="s">
        <v>108</v>
      </c>
      <c r="AA865" t="s">
        <v>1943</v>
      </c>
      <c r="AB865" t="s">
        <v>2426</v>
      </c>
    </row>
    <row r="866" spans="1:28" x14ac:dyDescent="0.3">
      <c r="A866" t="s">
        <v>1420</v>
      </c>
      <c r="B866">
        <v>3</v>
      </c>
      <c r="C866">
        <v>35</v>
      </c>
      <c r="D866">
        <v>43</v>
      </c>
      <c r="E866" t="s">
        <v>128</v>
      </c>
      <c r="F866" s="12">
        <v>45485</v>
      </c>
      <c r="G866" t="s">
        <v>2245</v>
      </c>
      <c r="H866" s="12">
        <v>45484</v>
      </c>
      <c r="I866" t="s">
        <v>985</v>
      </c>
      <c r="J866" t="s">
        <v>458</v>
      </c>
      <c r="K866">
        <v>2</v>
      </c>
      <c r="L866">
        <v>35.9</v>
      </c>
      <c r="P866" t="s">
        <v>106</v>
      </c>
      <c r="Q866" t="s">
        <v>106</v>
      </c>
      <c r="R866" t="s">
        <v>106</v>
      </c>
      <c r="S866" t="s">
        <v>1144</v>
      </c>
      <c r="T866" t="s">
        <v>1555</v>
      </c>
      <c r="U866" t="s">
        <v>1345</v>
      </c>
      <c r="V866" t="s">
        <v>106</v>
      </c>
      <c r="W866" t="s">
        <v>373</v>
      </c>
      <c r="X866" t="s">
        <v>106</v>
      </c>
      <c r="Y866" t="s">
        <v>108</v>
      </c>
      <c r="Z866" t="s">
        <v>108</v>
      </c>
      <c r="AA866" t="s">
        <v>1943</v>
      </c>
      <c r="AB866" t="s">
        <v>2427</v>
      </c>
    </row>
    <row r="867" spans="1:28" x14ac:dyDescent="0.3">
      <c r="A867" t="s">
        <v>1420</v>
      </c>
      <c r="B867">
        <v>4</v>
      </c>
      <c r="C867">
        <v>60</v>
      </c>
      <c r="D867">
        <v>44</v>
      </c>
      <c r="E867" t="s">
        <v>128</v>
      </c>
      <c r="F867" s="12">
        <v>45485</v>
      </c>
      <c r="G867" t="s">
        <v>2213</v>
      </c>
      <c r="H867" s="12">
        <v>45484</v>
      </c>
      <c r="I867" t="s">
        <v>985</v>
      </c>
      <c r="J867" t="s">
        <v>458</v>
      </c>
      <c r="K867">
        <v>1</v>
      </c>
      <c r="L867">
        <v>63.3</v>
      </c>
      <c r="P867" t="s">
        <v>106</v>
      </c>
      <c r="Q867" t="s">
        <v>106</v>
      </c>
      <c r="R867" t="s">
        <v>106</v>
      </c>
      <c r="S867" t="s">
        <v>106</v>
      </c>
      <c r="T867" t="s">
        <v>1529</v>
      </c>
      <c r="U867" t="s">
        <v>429</v>
      </c>
      <c r="V867" t="s">
        <v>106</v>
      </c>
      <c r="W867" t="s">
        <v>373</v>
      </c>
      <c r="X867" t="s">
        <v>106</v>
      </c>
      <c r="Y867" t="s">
        <v>108</v>
      </c>
      <c r="Z867" t="s">
        <v>104</v>
      </c>
      <c r="AA867" t="s">
        <v>1943</v>
      </c>
      <c r="AB867" t="s">
        <v>2690</v>
      </c>
    </row>
    <row r="868" spans="1:28" x14ac:dyDescent="0.3">
      <c r="A868" t="s">
        <v>1420</v>
      </c>
      <c r="B868">
        <v>4</v>
      </c>
      <c r="C868">
        <v>60</v>
      </c>
      <c r="D868">
        <v>39</v>
      </c>
      <c r="E868" t="s">
        <v>128</v>
      </c>
      <c r="F868" s="12">
        <v>45485</v>
      </c>
      <c r="G868" t="s">
        <v>2691</v>
      </c>
      <c r="H868" s="12">
        <v>45484</v>
      </c>
      <c r="I868" t="s">
        <v>1942</v>
      </c>
      <c r="J868" t="s">
        <v>458</v>
      </c>
      <c r="K868">
        <v>2</v>
      </c>
      <c r="L868">
        <v>61.9</v>
      </c>
      <c r="P868" t="s">
        <v>106</v>
      </c>
      <c r="Q868" t="s">
        <v>106</v>
      </c>
      <c r="R868" t="s">
        <v>106</v>
      </c>
      <c r="S868" t="s">
        <v>106</v>
      </c>
      <c r="T868" t="s">
        <v>1822</v>
      </c>
      <c r="U868" t="s">
        <v>106</v>
      </c>
      <c r="V868" t="s">
        <v>106</v>
      </c>
      <c r="W868" t="s">
        <v>373</v>
      </c>
      <c r="X868" t="s">
        <v>106</v>
      </c>
      <c r="Y868" t="s">
        <v>108</v>
      </c>
      <c r="Z868" t="s">
        <v>104</v>
      </c>
      <c r="AA868" t="s">
        <v>1943</v>
      </c>
      <c r="AB868" t="s">
        <v>106</v>
      </c>
    </row>
    <row r="869" spans="1:28" x14ac:dyDescent="0.3">
      <c r="A869" t="s">
        <v>1420</v>
      </c>
      <c r="B869">
        <v>4</v>
      </c>
      <c r="C869">
        <v>60</v>
      </c>
      <c r="D869">
        <v>38</v>
      </c>
      <c r="E869" t="s">
        <v>128</v>
      </c>
      <c r="F869" s="12">
        <v>45485</v>
      </c>
      <c r="G869" t="s">
        <v>2691</v>
      </c>
      <c r="H869" s="12">
        <v>45484</v>
      </c>
      <c r="I869" t="s">
        <v>1942</v>
      </c>
      <c r="J869" t="s">
        <v>458</v>
      </c>
      <c r="K869">
        <v>2</v>
      </c>
      <c r="L869">
        <v>62.6</v>
      </c>
      <c r="P869" t="s">
        <v>106</v>
      </c>
      <c r="Q869" t="s">
        <v>106</v>
      </c>
      <c r="R869" t="s">
        <v>106</v>
      </c>
      <c r="S869" t="s">
        <v>1484</v>
      </c>
      <c r="T869" t="s">
        <v>1476</v>
      </c>
      <c r="U869" t="s">
        <v>430</v>
      </c>
      <c r="V869" t="s">
        <v>106</v>
      </c>
      <c r="W869" t="s">
        <v>373</v>
      </c>
      <c r="X869" t="s">
        <v>106</v>
      </c>
      <c r="Y869" t="s">
        <v>108</v>
      </c>
      <c r="Z869" t="s">
        <v>104</v>
      </c>
      <c r="AA869" t="s">
        <v>1943</v>
      </c>
      <c r="AB869" t="s">
        <v>106</v>
      </c>
    </row>
    <row r="870" spans="1:28" x14ac:dyDescent="0.3">
      <c r="A870" t="s">
        <v>1420</v>
      </c>
      <c r="B870">
        <v>4</v>
      </c>
      <c r="C870">
        <v>60</v>
      </c>
      <c r="D870">
        <v>45</v>
      </c>
      <c r="E870" t="s">
        <v>128</v>
      </c>
      <c r="F870" s="12">
        <v>45485</v>
      </c>
      <c r="G870" t="s">
        <v>2213</v>
      </c>
      <c r="H870" s="12">
        <v>45484</v>
      </c>
      <c r="I870" t="s">
        <v>985</v>
      </c>
      <c r="J870" t="s">
        <v>458</v>
      </c>
      <c r="K870">
        <v>2</v>
      </c>
      <c r="L870">
        <v>57</v>
      </c>
      <c r="P870" t="s">
        <v>106</v>
      </c>
      <c r="Q870" t="s">
        <v>106</v>
      </c>
      <c r="R870" t="s">
        <v>106</v>
      </c>
      <c r="S870" t="s">
        <v>1220</v>
      </c>
      <c r="T870" t="s">
        <v>934</v>
      </c>
      <c r="U870" t="s">
        <v>1418</v>
      </c>
      <c r="V870" t="s">
        <v>106</v>
      </c>
      <c r="W870" t="s">
        <v>373</v>
      </c>
      <c r="X870" t="s">
        <v>106</v>
      </c>
      <c r="Y870" t="s">
        <v>108</v>
      </c>
      <c r="Z870" t="s">
        <v>104</v>
      </c>
      <c r="AA870" t="s">
        <v>1943</v>
      </c>
      <c r="AB870" t="s">
        <v>106</v>
      </c>
    </row>
    <row r="871" spans="1:28" x14ac:dyDescent="0.3">
      <c r="A871" t="s">
        <v>1423</v>
      </c>
      <c r="B871">
        <v>2</v>
      </c>
      <c r="C871">
        <v>15</v>
      </c>
      <c r="D871">
        <v>21</v>
      </c>
      <c r="E871" t="s">
        <v>128</v>
      </c>
      <c r="F871" s="12">
        <v>45491</v>
      </c>
      <c r="G871" t="s">
        <v>558</v>
      </c>
      <c r="H871" s="12">
        <v>45490</v>
      </c>
      <c r="I871" t="s">
        <v>364</v>
      </c>
      <c r="J871" t="s">
        <v>1363</v>
      </c>
      <c r="K871">
        <v>2</v>
      </c>
      <c r="L871">
        <v>15.4</v>
      </c>
      <c r="P871" t="s">
        <v>106</v>
      </c>
      <c r="Q871" t="s">
        <v>106</v>
      </c>
      <c r="R871" t="s">
        <v>106</v>
      </c>
      <c r="S871" t="s">
        <v>106</v>
      </c>
      <c r="T871" t="s">
        <v>1822</v>
      </c>
      <c r="U871" t="s">
        <v>708</v>
      </c>
      <c r="V871" t="s">
        <v>106</v>
      </c>
      <c r="W871" t="s">
        <v>373</v>
      </c>
      <c r="X871" t="s">
        <v>106</v>
      </c>
      <c r="Y871" t="s">
        <v>108</v>
      </c>
      <c r="Z871" t="s">
        <v>109</v>
      </c>
      <c r="AA871" t="s">
        <v>1948</v>
      </c>
      <c r="AB871" t="s">
        <v>849</v>
      </c>
    </row>
    <row r="872" spans="1:28" x14ac:dyDescent="0.3">
      <c r="A872" t="s">
        <v>1423</v>
      </c>
      <c r="B872">
        <v>2</v>
      </c>
      <c r="C872">
        <v>15</v>
      </c>
      <c r="D872">
        <v>16</v>
      </c>
      <c r="E872" t="s">
        <v>128</v>
      </c>
      <c r="F872" s="12">
        <v>45491</v>
      </c>
      <c r="G872" t="s">
        <v>1773</v>
      </c>
      <c r="H872" s="12">
        <v>45491</v>
      </c>
      <c r="I872" t="s">
        <v>106</v>
      </c>
      <c r="J872" t="s">
        <v>458</v>
      </c>
      <c r="K872">
        <v>2</v>
      </c>
      <c r="L872">
        <v>16.100000000000001</v>
      </c>
      <c r="P872" t="s">
        <v>106</v>
      </c>
      <c r="Q872" t="s">
        <v>106</v>
      </c>
      <c r="R872" t="s">
        <v>106</v>
      </c>
      <c r="S872" t="s">
        <v>106</v>
      </c>
      <c r="T872" t="s">
        <v>1393</v>
      </c>
      <c r="U872" t="s">
        <v>106</v>
      </c>
      <c r="V872" t="s">
        <v>106</v>
      </c>
      <c r="W872" t="s">
        <v>443</v>
      </c>
      <c r="X872" t="s">
        <v>106</v>
      </c>
      <c r="Y872" t="s">
        <v>108</v>
      </c>
      <c r="Z872" t="s">
        <v>109</v>
      </c>
      <c r="AA872" t="s">
        <v>1948</v>
      </c>
      <c r="AB872" t="s">
        <v>106</v>
      </c>
    </row>
    <row r="873" spans="1:28" x14ac:dyDescent="0.3">
      <c r="A873" t="s">
        <v>1423</v>
      </c>
      <c r="B873">
        <v>2</v>
      </c>
      <c r="C873">
        <v>15</v>
      </c>
      <c r="D873">
        <v>15</v>
      </c>
      <c r="E873" t="s">
        <v>128</v>
      </c>
      <c r="F873" s="12">
        <v>45491</v>
      </c>
      <c r="G873" t="s">
        <v>449</v>
      </c>
      <c r="H873" s="12">
        <v>45491</v>
      </c>
      <c r="I873" t="s">
        <v>106</v>
      </c>
      <c r="J873" t="s">
        <v>458</v>
      </c>
      <c r="K873">
        <v>2</v>
      </c>
      <c r="L873">
        <v>14.4</v>
      </c>
      <c r="P873" t="s">
        <v>106</v>
      </c>
      <c r="Q873" t="s">
        <v>106</v>
      </c>
      <c r="R873" t="s">
        <v>106</v>
      </c>
      <c r="S873" t="s">
        <v>106</v>
      </c>
      <c r="T873" t="s">
        <v>722</v>
      </c>
      <c r="U873" t="s">
        <v>106</v>
      </c>
      <c r="V873" t="s">
        <v>106</v>
      </c>
      <c r="W873" t="s">
        <v>443</v>
      </c>
      <c r="X873" t="s">
        <v>106</v>
      </c>
      <c r="Y873" t="s">
        <v>108</v>
      </c>
      <c r="Z873" t="s">
        <v>109</v>
      </c>
      <c r="AA873" t="s">
        <v>1948</v>
      </c>
      <c r="AB873" t="s">
        <v>106</v>
      </c>
    </row>
    <row r="874" spans="1:28" x14ac:dyDescent="0.3">
      <c r="A874" t="s">
        <v>1423</v>
      </c>
      <c r="B874">
        <v>2</v>
      </c>
      <c r="C874">
        <v>15</v>
      </c>
      <c r="D874">
        <v>20</v>
      </c>
      <c r="E874" t="s">
        <v>128</v>
      </c>
      <c r="F874" s="12">
        <v>45491</v>
      </c>
      <c r="G874" t="s">
        <v>558</v>
      </c>
      <c r="H874" s="12">
        <v>45490</v>
      </c>
      <c r="I874" t="s">
        <v>364</v>
      </c>
      <c r="J874" t="s">
        <v>1363</v>
      </c>
      <c r="K874">
        <v>2</v>
      </c>
      <c r="L874">
        <v>16.3</v>
      </c>
      <c r="P874" t="s">
        <v>106</v>
      </c>
      <c r="Q874" t="s">
        <v>106</v>
      </c>
      <c r="R874" t="s">
        <v>106</v>
      </c>
      <c r="S874" t="s">
        <v>1949</v>
      </c>
      <c r="T874" t="s">
        <v>1458</v>
      </c>
      <c r="U874" t="s">
        <v>904</v>
      </c>
      <c r="V874" t="s">
        <v>106</v>
      </c>
      <c r="W874" t="s">
        <v>373</v>
      </c>
      <c r="X874" t="s">
        <v>106</v>
      </c>
      <c r="Y874" t="s">
        <v>108</v>
      </c>
      <c r="Z874" t="s">
        <v>109</v>
      </c>
      <c r="AA874" t="s">
        <v>1948</v>
      </c>
      <c r="AB874" t="s">
        <v>715</v>
      </c>
    </row>
    <row r="875" spans="1:28" x14ac:dyDescent="0.3">
      <c r="A875" t="s">
        <v>1423</v>
      </c>
      <c r="B875">
        <v>3</v>
      </c>
      <c r="C875">
        <v>35</v>
      </c>
      <c r="D875">
        <v>14</v>
      </c>
      <c r="E875" t="s">
        <v>128</v>
      </c>
      <c r="F875" s="12">
        <v>45491</v>
      </c>
      <c r="G875" t="s">
        <v>449</v>
      </c>
      <c r="H875" s="12">
        <v>45491</v>
      </c>
      <c r="I875" t="s">
        <v>106</v>
      </c>
      <c r="J875" t="s">
        <v>458</v>
      </c>
      <c r="K875">
        <v>2</v>
      </c>
      <c r="L875">
        <v>37.4</v>
      </c>
      <c r="P875" t="s">
        <v>106</v>
      </c>
      <c r="Q875" t="s">
        <v>106</v>
      </c>
      <c r="R875" t="s">
        <v>106</v>
      </c>
      <c r="S875" t="s">
        <v>106</v>
      </c>
      <c r="T875" t="s">
        <v>1381</v>
      </c>
      <c r="U875" t="s">
        <v>106</v>
      </c>
      <c r="V875" t="s">
        <v>106</v>
      </c>
      <c r="W875" t="s">
        <v>443</v>
      </c>
      <c r="X875" t="s">
        <v>106</v>
      </c>
      <c r="Y875" t="s">
        <v>108</v>
      </c>
      <c r="Z875" t="s">
        <v>108</v>
      </c>
      <c r="AA875" t="s">
        <v>1948</v>
      </c>
      <c r="AB875" t="s">
        <v>106</v>
      </c>
    </row>
    <row r="876" spans="1:28" x14ac:dyDescent="0.3">
      <c r="A876" t="s">
        <v>1423</v>
      </c>
      <c r="B876">
        <v>3</v>
      </c>
      <c r="C876">
        <v>35</v>
      </c>
      <c r="D876">
        <v>12</v>
      </c>
      <c r="E876" t="s">
        <v>128</v>
      </c>
      <c r="F876" s="12">
        <v>45491</v>
      </c>
      <c r="G876" t="s">
        <v>1903</v>
      </c>
      <c r="H876" s="12">
        <v>45491</v>
      </c>
      <c r="I876" t="s">
        <v>106</v>
      </c>
      <c r="J876" t="s">
        <v>458</v>
      </c>
      <c r="K876">
        <v>2</v>
      </c>
      <c r="L876">
        <v>38.1</v>
      </c>
      <c r="P876" t="s">
        <v>106</v>
      </c>
      <c r="Q876" t="s">
        <v>106</v>
      </c>
      <c r="R876" t="s">
        <v>106</v>
      </c>
      <c r="S876" t="s">
        <v>106</v>
      </c>
      <c r="T876" t="s">
        <v>1381</v>
      </c>
      <c r="U876" t="s">
        <v>106</v>
      </c>
      <c r="V876" t="s">
        <v>106</v>
      </c>
      <c r="W876" t="s">
        <v>443</v>
      </c>
      <c r="X876" t="s">
        <v>106</v>
      </c>
      <c r="Y876" t="s">
        <v>108</v>
      </c>
      <c r="Z876" t="s">
        <v>108</v>
      </c>
      <c r="AA876" t="s">
        <v>1948</v>
      </c>
      <c r="AB876" t="s">
        <v>106</v>
      </c>
    </row>
    <row r="877" spans="1:28" x14ac:dyDescent="0.3">
      <c r="A877" t="s">
        <v>1423</v>
      </c>
      <c r="B877">
        <v>3</v>
      </c>
      <c r="C877">
        <v>35</v>
      </c>
      <c r="D877">
        <v>22</v>
      </c>
      <c r="E877" t="s">
        <v>128</v>
      </c>
      <c r="F877" s="12">
        <v>45491</v>
      </c>
      <c r="G877" t="s">
        <v>759</v>
      </c>
      <c r="H877" s="12">
        <v>45490</v>
      </c>
      <c r="I877" t="s">
        <v>364</v>
      </c>
      <c r="J877" t="s">
        <v>1363</v>
      </c>
      <c r="K877">
        <v>2</v>
      </c>
      <c r="L877">
        <v>36.299999999999997</v>
      </c>
      <c r="P877" t="s">
        <v>106</v>
      </c>
      <c r="Q877" t="s">
        <v>106</v>
      </c>
      <c r="R877" t="s">
        <v>106</v>
      </c>
      <c r="S877" t="s">
        <v>1015</v>
      </c>
      <c r="T877" t="s">
        <v>924</v>
      </c>
      <c r="U877" t="s">
        <v>1345</v>
      </c>
      <c r="V877" t="s">
        <v>106</v>
      </c>
      <c r="W877" t="s">
        <v>373</v>
      </c>
      <c r="X877" t="s">
        <v>106</v>
      </c>
      <c r="Y877" t="s">
        <v>108</v>
      </c>
      <c r="Z877" t="s">
        <v>108</v>
      </c>
      <c r="AA877" t="s">
        <v>1948</v>
      </c>
      <c r="AB877" t="s">
        <v>2428</v>
      </c>
    </row>
    <row r="878" spans="1:28" x14ac:dyDescent="0.3">
      <c r="A878" t="s">
        <v>1423</v>
      </c>
      <c r="B878">
        <v>3</v>
      </c>
      <c r="C878">
        <v>35</v>
      </c>
      <c r="D878">
        <v>23</v>
      </c>
      <c r="E878" t="s">
        <v>128</v>
      </c>
      <c r="F878" s="12">
        <v>45491</v>
      </c>
      <c r="G878" t="s">
        <v>759</v>
      </c>
      <c r="H878" s="12">
        <v>45490</v>
      </c>
      <c r="I878" t="s">
        <v>364</v>
      </c>
      <c r="J878" t="s">
        <v>1363</v>
      </c>
      <c r="K878">
        <v>2</v>
      </c>
      <c r="L878">
        <v>35.1</v>
      </c>
      <c r="P878" t="s">
        <v>106</v>
      </c>
      <c r="Q878" t="s">
        <v>106</v>
      </c>
      <c r="R878" t="s">
        <v>106</v>
      </c>
      <c r="S878" t="s">
        <v>106</v>
      </c>
      <c r="T878" t="s">
        <v>881</v>
      </c>
      <c r="U878" t="s">
        <v>1780</v>
      </c>
      <c r="V878" t="s">
        <v>106</v>
      </c>
      <c r="W878" t="s">
        <v>373</v>
      </c>
      <c r="X878" t="s">
        <v>106</v>
      </c>
      <c r="Y878" t="s">
        <v>108</v>
      </c>
      <c r="Z878" t="s">
        <v>108</v>
      </c>
      <c r="AA878" t="s">
        <v>1948</v>
      </c>
      <c r="AB878" t="s">
        <v>2429</v>
      </c>
    </row>
    <row r="879" spans="1:28" x14ac:dyDescent="0.3">
      <c r="A879" t="s">
        <v>1423</v>
      </c>
      <c r="B879">
        <v>3</v>
      </c>
      <c r="C879">
        <v>35</v>
      </c>
      <c r="D879">
        <v>13</v>
      </c>
      <c r="E879" t="s">
        <v>128</v>
      </c>
      <c r="F879" s="12">
        <v>45491</v>
      </c>
      <c r="G879" t="s">
        <v>1903</v>
      </c>
      <c r="H879" s="12">
        <v>45491</v>
      </c>
      <c r="I879" t="s">
        <v>106</v>
      </c>
      <c r="J879" t="s">
        <v>458</v>
      </c>
      <c r="K879">
        <v>2</v>
      </c>
      <c r="L879">
        <v>38.299999999999997</v>
      </c>
      <c r="P879" t="s">
        <v>106</v>
      </c>
      <c r="Q879" t="s">
        <v>106</v>
      </c>
      <c r="R879" t="s">
        <v>106</v>
      </c>
      <c r="S879" t="s">
        <v>106</v>
      </c>
      <c r="T879" t="s">
        <v>2095</v>
      </c>
      <c r="U879" t="s">
        <v>106</v>
      </c>
      <c r="V879" t="s">
        <v>106</v>
      </c>
      <c r="W879" t="s">
        <v>443</v>
      </c>
      <c r="X879" t="s">
        <v>106</v>
      </c>
      <c r="Y879" t="s">
        <v>108</v>
      </c>
      <c r="Z879" t="s">
        <v>108</v>
      </c>
      <c r="AA879" t="s">
        <v>1948</v>
      </c>
      <c r="AB879" t="s">
        <v>106</v>
      </c>
    </row>
    <row r="880" spans="1:28" x14ac:dyDescent="0.3">
      <c r="A880" t="s">
        <v>1423</v>
      </c>
      <c r="B880">
        <v>4</v>
      </c>
      <c r="C880">
        <v>60</v>
      </c>
      <c r="D880">
        <v>17</v>
      </c>
      <c r="E880" t="s">
        <v>128</v>
      </c>
      <c r="F880" s="12">
        <v>45491</v>
      </c>
      <c r="G880" t="s">
        <v>1773</v>
      </c>
      <c r="H880" s="12">
        <v>45491</v>
      </c>
      <c r="I880" t="s">
        <v>106</v>
      </c>
      <c r="J880" t="s">
        <v>458</v>
      </c>
      <c r="K880">
        <v>2</v>
      </c>
      <c r="L880">
        <v>62.7</v>
      </c>
      <c r="P880" t="s">
        <v>106</v>
      </c>
      <c r="Q880" t="s">
        <v>106</v>
      </c>
      <c r="R880" t="s">
        <v>106</v>
      </c>
      <c r="S880" t="s">
        <v>106</v>
      </c>
      <c r="T880" t="s">
        <v>1381</v>
      </c>
      <c r="U880" t="s">
        <v>106</v>
      </c>
      <c r="V880" t="s">
        <v>106</v>
      </c>
      <c r="W880" t="s">
        <v>443</v>
      </c>
      <c r="X880" t="s">
        <v>106</v>
      </c>
      <c r="Y880" t="s">
        <v>108</v>
      </c>
      <c r="Z880" t="s">
        <v>104</v>
      </c>
      <c r="AA880" t="s">
        <v>1948</v>
      </c>
      <c r="AB880" t="s">
        <v>106</v>
      </c>
    </row>
    <row r="881" spans="1:28" x14ac:dyDescent="0.3">
      <c r="A881" t="s">
        <v>1423</v>
      </c>
      <c r="B881">
        <v>4</v>
      </c>
      <c r="C881">
        <v>60</v>
      </c>
      <c r="D881">
        <v>18</v>
      </c>
      <c r="E881" t="s">
        <v>128</v>
      </c>
      <c r="F881" s="12">
        <v>45491</v>
      </c>
      <c r="G881" t="s">
        <v>327</v>
      </c>
      <c r="H881" s="12">
        <v>45491</v>
      </c>
      <c r="I881" t="s">
        <v>729</v>
      </c>
      <c r="J881" t="s">
        <v>458</v>
      </c>
      <c r="K881">
        <v>2</v>
      </c>
      <c r="L881">
        <v>63.5</v>
      </c>
      <c r="P881" t="s">
        <v>106</v>
      </c>
      <c r="Q881" t="s">
        <v>106</v>
      </c>
      <c r="R881" t="s">
        <v>106</v>
      </c>
      <c r="S881" t="s">
        <v>106</v>
      </c>
      <c r="T881" t="s">
        <v>1393</v>
      </c>
      <c r="U881" t="s">
        <v>106</v>
      </c>
      <c r="V881" t="s">
        <v>106</v>
      </c>
      <c r="W881" t="s">
        <v>443</v>
      </c>
      <c r="X881" t="s">
        <v>106</v>
      </c>
      <c r="Y881" t="s">
        <v>108</v>
      </c>
      <c r="Z881" t="s">
        <v>104</v>
      </c>
      <c r="AA881" t="s">
        <v>1948</v>
      </c>
      <c r="AB881" t="s">
        <v>106</v>
      </c>
    </row>
    <row r="882" spans="1:28" x14ac:dyDescent="0.3">
      <c r="A882" t="s">
        <v>1423</v>
      </c>
      <c r="B882">
        <v>4</v>
      </c>
      <c r="C882">
        <v>60</v>
      </c>
      <c r="D882">
        <v>19</v>
      </c>
      <c r="E882" t="s">
        <v>128</v>
      </c>
      <c r="F882" s="12">
        <v>45491</v>
      </c>
      <c r="G882" t="s">
        <v>327</v>
      </c>
      <c r="H882" s="12">
        <v>45491</v>
      </c>
      <c r="I882" t="s">
        <v>729</v>
      </c>
      <c r="J882" t="s">
        <v>458</v>
      </c>
      <c r="K882">
        <v>2</v>
      </c>
      <c r="L882">
        <v>64.599999999999994</v>
      </c>
      <c r="P882" t="s">
        <v>106</v>
      </c>
      <c r="Q882" t="s">
        <v>106</v>
      </c>
      <c r="R882" t="s">
        <v>106</v>
      </c>
      <c r="S882" t="s">
        <v>106</v>
      </c>
      <c r="T882" t="s">
        <v>881</v>
      </c>
      <c r="U882" t="s">
        <v>106</v>
      </c>
      <c r="V882" t="s">
        <v>106</v>
      </c>
      <c r="W882" t="s">
        <v>443</v>
      </c>
      <c r="X882" t="s">
        <v>106</v>
      </c>
      <c r="Y882" t="s">
        <v>108</v>
      </c>
      <c r="Z882" t="s">
        <v>104</v>
      </c>
      <c r="AA882" t="s">
        <v>1948</v>
      </c>
      <c r="AB882" t="s">
        <v>106</v>
      </c>
    </row>
    <row r="883" spans="1:28" x14ac:dyDescent="0.3">
      <c r="A883" t="s">
        <v>1423</v>
      </c>
      <c r="B883">
        <v>4</v>
      </c>
      <c r="C883">
        <v>60</v>
      </c>
      <c r="D883">
        <v>25</v>
      </c>
      <c r="E883" t="s">
        <v>128</v>
      </c>
      <c r="F883" s="12">
        <v>45491</v>
      </c>
      <c r="G883" t="s">
        <v>759</v>
      </c>
      <c r="H883" s="12">
        <v>45490</v>
      </c>
      <c r="I883" t="s">
        <v>364</v>
      </c>
      <c r="J883" t="s">
        <v>1363</v>
      </c>
      <c r="K883">
        <v>2</v>
      </c>
      <c r="L883">
        <v>61.1</v>
      </c>
      <c r="P883" t="s">
        <v>106</v>
      </c>
      <c r="Q883" t="s">
        <v>106</v>
      </c>
      <c r="R883" t="s">
        <v>106</v>
      </c>
      <c r="S883" t="s">
        <v>106</v>
      </c>
      <c r="T883" t="s">
        <v>1386</v>
      </c>
      <c r="U883" t="s">
        <v>1411</v>
      </c>
      <c r="V883" t="s">
        <v>106</v>
      </c>
      <c r="W883" t="s">
        <v>373</v>
      </c>
      <c r="X883" t="s">
        <v>106</v>
      </c>
      <c r="Y883" t="s">
        <v>108</v>
      </c>
      <c r="Z883" t="s">
        <v>104</v>
      </c>
      <c r="AA883" t="s">
        <v>1948</v>
      </c>
      <c r="AB883" t="s">
        <v>106</v>
      </c>
    </row>
    <row r="884" spans="1:28" x14ac:dyDescent="0.3">
      <c r="A884" t="s">
        <v>1423</v>
      </c>
      <c r="B884">
        <v>4</v>
      </c>
      <c r="C884">
        <v>60</v>
      </c>
      <c r="D884">
        <v>24</v>
      </c>
      <c r="E884" t="s">
        <v>128</v>
      </c>
      <c r="F884" s="12">
        <v>45491</v>
      </c>
      <c r="G884" t="s">
        <v>759</v>
      </c>
      <c r="H884" s="12">
        <v>45490</v>
      </c>
      <c r="I884" t="s">
        <v>364</v>
      </c>
      <c r="J884" t="s">
        <v>1363</v>
      </c>
      <c r="K884">
        <v>2</v>
      </c>
      <c r="L884">
        <v>59.3</v>
      </c>
      <c r="P884" t="s">
        <v>106</v>
      </c>
      <c r="Q884" t="s">
        <v>106</v>
      </c>
      <c r="R884" t="s">
        <v>106</v>
      </c>
      <c r="S884" t="s">
        <v>1124</v>
      </c>
      <c r="T884" t="s">
        <v>2692</v>
      </c>
      <c r="U884" t="s">
        <v>395</v>
      </c>
      <c r="V884" t="s">
        <v>106</v>
      </c>
      <c r="W884" t="s">
        <v>373</v>
      </c>
      <c r="X884" t="s">
        <v>106</v>
      </c>
      <c r="Y884" t="s">
        <v>108</v>
      </c>
      <c r="Z884" t="s">
        <v>104</v>
      </c>
      <c r="AA884" t="s">
        <v>1948</v>
      </c>
      <c r="AB884" t="s">
        <v>2693</v>
      </c>
    </row>
    <row r="885" spans="1:28" x14ac:dyDescent="0.3">
      <c r="A885" t="s">
        <v>1423</v>
      </c>
      <c r="B885">
        <v>1</v>
      </c>
      <c r="C885">
        <v>0</v>
      </c>
      <c r="D885">
        <v>44</v>
      </c>
      <c r="E885" t="s">
        <v>128</v>
      </c>
      <c r="F885" s="12">
        <v>45492</v>
      </c>
      <c r="G885" t="s">
        <v>1433</v>
      </c>
      <c r="H885" s="12">
        <v>45492</v>
      </c>
      <c r="I885" t="s">
        <v>1434</v>
      </c>
      <c r="J885" t="s">
        <v>458</v>
      </c>
      <c r="K885">
        <v>2</v>
      </c>
      <c r="L885">
        <v>0</v>
      </c>
      <c r="P885" t="s">
        <v>106</v>
      </c>
      <c r="Q885" t="s">
        <v>106</v>
      </c>
      <c r="R885" t="s">
        <v>106</v>
      </c>
      <c r="S885" t="s">
        <v>106</v>
      </c>
      <c r="T885" t="s">
        <v>1435</v>
      </c>
      <c r="U885" t="s">
        <v>106</v>
      </c>
      <c r="V885" t="s">
        <v>106</v>
      </c>
      <c r="W885" t="s">
        <v>373</v>
      </c>
      <c r="X885" t="s">
        <v>106</v>
      </c>
      <c r="Y885" t="s">
        <v>108</v>
      </c>
      <c r="Z885" t="s">
        <v>105</v>
      </c>
      <c r="AA885" t="s">
        <v>1316</v>
      </c>
      <c r="AB885" t="s">
        <v>106</v>
      </c>
    </row>
    <row r="886" spans="1:28" x14ac:dyDescent="0.3">
      <c r="A886" t="s">
        <v>1423</v>
      </c>
      <c r="B886">
        <v>1</v>
      </c>
      <c r="C886">
        <v>0</v>
      </c>
      <c r="D886">
        <v>45</v>
      </c>
      <c r="E886" t="s">
        <v>128</v>
      </c>
      <c r="F886" s="12">
        <v>45492</v>
      </c>
      <c r="G886" t="s">
        <v>1433</v>
      </c>
      <c r="H886" s="12">
        <v>45492</v>
      </c>
      <c r="I886" t="s">
        <v>1434</v>
      </c>
      <c r="J886" t="s">
        <v>458</v>
      </c>
      <c r="K886">
        <v>2</v>
      </c>
      <c r="L886">
        <v>0</v>
      </c>
      <c r="P886" t="s">
        <v>106</v>
      </c>
      <c r="Q886" t="s">
        <v>106</v>
      </c>
      <c r="R886" t="s">
        <v>106</v>
      </c>
      <c r="S886" t="s">
        <v>106</v>
      </c>
      <c r="T886" t="s">
        <v>523</v>
      </c>
      <c r="U886" t="s">
        <v>106</v>
      </c>
      <c r="V886" t="s">
        <v>106</v>
      </c>
      <c r="W886" t="s">
        <v>373</v>
      </c>
      <c r="X886" t="s">
        <v>106</v>
      </c>
      <c r="Y886" t="s">
        <v>108</v>
      </c>
      <c r="Z886" t="s">
        <v>105</v>
      </c>
      <c r="AA886" t="s">
        <v>1316</v>
      </c>
      <c r="AB886" t="s">
        <v>106</v>
      </c>
    </row>
    <row r="887" spans="1:28" x14ac:dyDescent="0.3">
      <c r="A887" t="s">
        <v>1423</v>
      </c>
      <c r="B887">
        <v>2</v>
      </c>
      <c r="C887">
        <v>15</v>
      </c>
      <c r="D887">
        <v>34</v>
      </c>
      <c r="E887" t="s">
        <v>128</v>
      </c>
      <c r="F887" s="12">
        <v>45492</v>
      </c>
      <c r="G887" t="s">
        <v>407</v>
      </c>
      <c r="H887" s="12">
        <v>45492</v>
      </c>
      <c r="I887" t="s">
        <v>1434</v>
      </c>
      <c r="J887" t="s">
        <v>458</v>
      </c>
      <c r="K887">
        <v>2</v>
      </c>
      <c r="L887">
        <v>15.5</v>
      </c>
      <c r="P887" t="s">
        <v>106</v>
      </c>
      <c r="Q887" t="s">
        <v>106</v>
      </c>
      <c r="R887" t="s">
        <v>106</v>
      </c>
      <c r="S887" t="s">
        <v>106</v>
      </c>
      <c r="T887" t="s">
        <v>1257</v>
      </c>
      <c r="U887" t="s">
        <v>106</v>
      </c>
      <c r="V887" t="s">
        <v>106</v>
      </c>
      <c r="W887" t="s">
        <v>443</v>
      </c>
      <c r="X887" t="s">
        <v>106</v>
      </c>
      <c r="Y887" t="s">
        <v>108</v>
      </c>
      <c r="Z887" t="s">
        <v>109</v>
      </c>
      <c r="AA887" t="s">
        <v>1950</v>
      </c>
      <c r="AB887" t="s">
        <v>106</v>
      </c>
    </row>
    <row r="888" spans="1:28" x14ac:dyDescent="0.3">
      <c r="A888" t="s">
        <v>1423</v>
      </c>
      <c r="B888">
        <v>2</v>
      </c>
      <c r="C888">
        <v>15</v>
      </c>
      <c r="D888">
        <v>27</v>
      </c>
      <c r="E888" t="s">
        <v>128</v>
      </c>
      <c r="F888" s="12">
        <v>45492</v>
      </c>
      <c r="G888" t="s">
        <v>1643</v>
      </c>
      <c r="H888" s="12">
        <v>45492</v>
      </c>
      <c r="I888" t="s">
        <v>1434</v>
      </c>
      <c r="J888" t="s">
        <v>1363</v>
      </c>
      <c r="K888">
        <v>2</v>
      </c>
      <c r="L888">
        <v>15.3</v>
      </c>
      <c r="P888" t="s">
        <v>106</v>
      </c>
      <c r="Q888" t="s">
        <v>106</v>
      </c>
      <c r="R888" t="s">
        <v>106</v>
      </c>
      <c r="S888" t="s">
        <v>106</v>
      </c>
      <c r="T888" t="s">
        <v>1951</v>
      </c>
      <c r="U888" t="s">
        <v>106</v>
      </c>
      <c r="V888" t="s">
        <v>106</v>
      </c>
      <c r="W888" t="s">
        <v>443</v>
      </c>
      <c r="X888" t="s">
        <v>106</v>
      </c>
      <c r="Y888" t="s">
        <v>108</v>
      </c>
      <c r="Z888" t="s">
        <v>109</v>
      </c>
      <c r="AA888" t="s">
        <v>1950</v>
      </c>
      <c r="AB888" t="s">
        <v>106</v>
      </c>
    </row>
    <row r="889" spans="1:28" x14ac:dyDescent="0.3">
      <c r="A889" t="s">
        <v>1423</v>
      </c>
      <c r="B889">
        <v>2</v>
      </c>
      <c r="C889">
        <v>15</v>
      </c>
      <c r="D889">
        <v>35</v>
      </c>
      <c r="E889" t="s">
        <v>128</v>
      </c>
      <c r="F889" s="12">
        <v>45492</v>
      </c>
      <c r="G889" t="s">
        <v>1952</v>
      </c>
      <c r="H889" s="12">
        <v>45492</v>
      </c>
      <c r="I889" t="s">
        <v>1434</v>
      </c>
      <c r="J889" t="s">
        <v>458</v>
      </c>
      <c r="K889">
        <v>2</v>
      </c>
      <c r="L889">
        <v>15.6</v>
      </c>
      <c r="P889" t="s">
        <v>106</v>
      </c>
      <c r="Q889" t="s">
        <v>106</v>
      </c>
      <c r="R889" t="s">
        <v>106</v>
      </c>
      <c r="S889" t="s">
        <v>106</v>
      </c>
      <c r="T889" t="s">
        <v>1475</v>
      </c>
      <c r="U889" t="s">
        <v>106</v>
      </c>
      <c r="V889" t="s">
        <v>106</v>
      </c>
      <c r="W889" t="s">
        <v>443</v>
      </c>
      <c r="X889" t="s">
        <v>106</v>
      </c>
      <c r="Y889" t="s">
        <v>108</v>
      </c>
      <c r="Z889" t="s">
        <v>109</v>
      </c>
      <c r="AA889" t="s">
        <v>1950</v>
      </c>
      <c r="AB889" t="s">
        <v>106</v>
      </c>
    </row>
    <row r="890" spans="1:28" x14ac:dyDescent="0.3">
      <c r="A890" t="s">
        <v>1423</v>
      </c>
      <c r="B890">
        <v>2</v>
      </c>
      <c r="C890">
        <v>15</v>
      </c>
      <c r="D890">
        <v>41</v>
      </c>
      <c r="E890" t="s">
        <v>128</v>
      </c>
      <c r="F890" s="12">
        <v>45492</v>
      </c>
      <c r="G890" t="s">
        <v>313</v>
      </c>
      <c r="H890" s="12">
        <v>45492</v>
      </c>
      <c r="I890" t="s">
        <v>1434</v>
      </c>
      <c r="J890" t="s">
        <v>458</v>
      </c>
      <c r="K890">
        <v>2</v>
      </c>
      <c r="L890">
        <v>15.6</v>
      </c>
      <c r="P890" t="s">
        <v>106</v>
      </c>
      <c r="Q890" t="s">
        <v>106</v>
      </c>
      <c r="R890" t="s">
        <v>106</v>
      </c>
      <c r="S890" t="s">
        <v>106</v>
      </c>
      <c r="T890" t="s">
        <v>1825</v>
      </c>
      <c r="U890" t="s">
        <v>106</v>
      </c>
      <c r="V890" t="s">
        <v>106</v>
      </c>
      <c r="W890" t="s">
        <v>443</v>
      </c>
      <c r="X890" t="s">
        <v>106</v>
      </c>
      <c r="Y890" t="s">
        <v>108</v>
      </c>
      <c r="Z890" t="s">
        <v>109</v>
      </c>
      <c r="AA890" t="s">
        <v>1950</v>
      </c>
      <c r="AB890" t="s">
        <v>106</v>
      </c>
    </row>
    <row r="891" spans="1:28" x14ac:dyDescent="0.3">
      <c r="A891" t="s">
        <v>1423</v>
      </c>
      <c r="B891">
        <v>2</v>
      </c>
      <c r="C891">
        <v>15</v>
      </c>
      <c r="D891">
        <v>26</v>
      </c>
      <c r="E891" t="s">
        <v>128</v>
      </c>
      <c r="F891" s="12">
        <v>45492</v>
      </c>
      <c r="G891" t="s">
        <v>1607</v>
      </c>
      <c r="H891" s="12">
        <v>45492</v>
      </c>
      <c r="I891" t="s">
        <v>1434</v>
      </c>
      <c r="J891" t="s">
        <v>1363</v>
      </c>
      <c r="K891">
        <v>2</v>
      </c>
      <c r="L891">
        <v>15</v>
      </c>
      <c r="P891" t="s">
        <v>106</v>
      </c>
      <c r="Q891" t="s">
        <v>106</v>
      </c>
      <c r="R891" t="s">
        <v>106</v>
      </c>
      <c r="S891" t="s">
        <v>106</v>
      </c>
      <c r="T891" t="s">
        <v>1386</v>
      </c>
      <c r="U891" t="s">
        <v>106</v>
      </c>
      <c r="V891" t="s">
        <v>106</v>
      </c>
      <c r="W891" t="s">
        <v>443</v>
      </c>
      <c r="X891" t="s">
        <v>106</v>
      </c>
      <c r="Y891" t="s">
        <v>108</v>
      </c>
      <c r="Z891" t="s">
        <v>109</v>
      </c>
      <c r="AA891" t="s">
        <v>1950</v>
      </c>
      <c r="AB891" t="s">
        <v>106</v>
      </c>
    </row>
    <row r="892" spans="1:28" x14ac:dyDescent="0.3">
      <c r="A892" t="s">
        <v>1423</v>
      </c>
      <c r="B892">
        <v>2</v>
      </c>
      <c r="C892">
        <v>15</v>
      </c>
      <c r="D892">
        <v>40</v>
      </c>
      <c r="E892" t="s">
        <v>128</v>
      </c>
      <c r="F892" s="12">
        <v>45492</v>
      </c>
      <c r="G892" t="s">
        <v>313</v>
      </c>
      <c r="H892" s="12">
        <v>45492</v>
      </c>
      <c r="I892" t="s">
        <v>1434</v>
      </c>
      <c r="J892" t="s">
        <v>458</v>
      </c>
      <c r="K892">
        <v>2</v>
      </c>
      <c r="L892">
        <v>15.9</v>
      </c>
      <c r="P892" t="s">
        <v>106</v>
      </c>
      <c r="Q892" t="s">
        <v>106</v>
      </c>
      <c r="R892" t="s">
        <v>106</v>
      </c>
      <c r="S892" t="s">
        <v>106</v>
      </c>
      <c r="T892" t="s">
        <v>1006</v>
      </c>
      <c r="U892" t="s">
        <v>106</v>
      </c>
      <c r="V892" t="s">
        <v>106</v>
      </c>
      <c r="W892" t="s">
        <v>443</v>
      </c>
      <c r="X892" t="s">
        <v>106</v>
      </c>
      <c r="Y892" t="s">
        <v>108</v>
      </c>
      <c r="Z892" t="s">
        <v>109</v>
      </c>
      <c r="AA892" t="s">
        <v>1950</v>
      </c>
      <c r="AB892" t="s">
        <v>106</v>
      </c>
    </row>
    <row r="893" spans="1:28" x14ac:dyDescent="0.3">
      <c r="A893" t="s">
        <v>1423</v>
      </c>
      <c r="B893">
        <v>3</v>
      </c>
      <c r="C893">
        <v>35</v>
      </c>
      <c r="D893">
        <v>33</v>
      </c>
      <c r="E893" t="s">
        <v>128</v>
      </c>
      <c r="F893" s="12">
        <v>45492</v>
      </c>
      <c r="G893" t="s">
        <v>1389</v>
      </c>
      <c r="H893" s="12">
        <v>45492</v>
      </c>
      <c r="I893" t="s">
        <v>1434</v>
      </c>
      <c r="J893" t="s">
        <v>458</v>
      </c>
      <c r="K893">
        <v>2</v>
      </c>
      <c r="L893">
        <v>37.4</v>
      </c>
      <c r="P893" t="s">
        <v>106</v>
      </c>
      <c r="Q893" t="s">
        <v>106</v>
      </c>
      <c r="R893" t="s">
        <v>106</v>
      </c>
      <c r="S893" t="s">
        <v>106</v>
      </c>
      <c r="T893" t="s">
        <v>1049</v>
      </c>
      <c r="U893" t="s">
        <v>106</v>
      </c>
      <c r="V893" t="s">
        <v>106</v>
      </c>
      <c r="W893" t="s">
        <v>443</v>
      </c>
      <c r="X893" t="s">
        <v>106</v>
      </c>
      <c r="Y893" t="s">
        <v>108</v>
      </c>
      <c r="Z893" t="s">
        <v>108</v>
      </c>
      <c r="AA893" t="s">
        <v>1950</v>
      </c>
      <c r="AB893" t="s">
        <v>106</v>
      </c>
    </row>
    <row r="894" spans="1:28" x14ac:dyDescent="0.3">
      <c r="A894" t="s">
        <v>1423</v>
      </c>
      <c r="B894">
        <v>3</v>
      </c>
      <c r="C894">
        <v>35</v>
      </c>
      <c r="D894">
        <v>31</v>
      </c>
      <c r="E894" t="s">
        <v>128</v>
      </c>
      <c r="F894" s="12">
        <v>45492</v>
      </c>
      <c r="G894" t="s">
        <v>404</v>
      </c>
      <c r="H894" s="12">
        <v>45492</v>
      </c>
      <c r="I894" t="s">
        <v>1434</v>
      </c>
      <c r="J894" t="s">
        <v>1363</v>
      </c>
      <c r="K894">
        <v>2</v>
      </c>
      <c r="L894">
        <v>37.200000000000003</v>
      </c>
      <c r="P894" t="s">
        <v>106</v>
      </c>
      <c r="Q894" t="s">
        <v>106</v>
      </c>
      <c r="R894" t="s">
        <v>106</v>
      </c>
      <c r="S894" t="s">
        <v>106</v>
      </c>
      <c r="T894" t="s">
        <v>1485</v>
      </c>
      <c r="U894" t="s">
        <v>106</v>
      </c>
      <c r="V894" t="s">
        <v>106</v>
      </c>
      <c r="W894" t="s">
        <v>443</v>
      </c>
      <c r="X894" t="s">
        <v>106</v>
      </c>
      <c r="Y894" t="s">
        <v>108</v>
      </c>
      <c r="Z894" t="s">
        <v>108</v>
      </c>
      <c r="AA894" t="s">
        <v>1950</v>
      </c>
      <c r="AB894" t="s">
        <v>106</v>
      </c>
    </row>
    <row r="895" spans="1:28" x14ac:dyDescent="0.3">
      <c r="A895" t="s">
        <v>1423</v>
      </c>
      <c r="B895">
        <v>3</v>
      </c>
      <c r="C895">
        <v>35</v>
      </c>
      <c r="D895">
        <v>38</v>
      </c>
      <c r="E895" t="s">
        <v>128</v>
      </c>
      <c r="F895" s="12">
        <v>45492</v>
      </c>
      <c r="G895" t="s">
        <v>1071</v>
      </c>
      <c r="H895" s="12">
        <v>45492</v>
      </c>
      <c r="I895" t="s">
        <v>1434</v>
      </c>
      <c r="J895" t="s">
        <v>458</v>
      </c>
      <c r="K895">
        <v>2</v>
      </c>
      <c r="L895">
        <v>36.6</v>
      </c>
      <c r="P895" t="s">
        <v>106</v>
      </c>
      <c r="Q895" t="s">
        <v>106</v>
      </c>
      <c r="R895" t="s">
        <v>106</v>
      </c>
      <c r="S895" t="s">
        <v>106</v>
      </c>
      <c r="T895" t="s">
        <v>1386</v>
      </c>
      <c r="U895" t="s">
        <v>106</v>
      </c>
      <c r="V895" t="s">
        <v>106</v>
      </c>
      <c r="W895" t="s">
        <v>443</v>
      </c>
      <c r="X895" t="s">
        <v>106</v>
      </c>
      <c r="Y895" t="s">
        <v>108</v>
      </c>
      <c r="Z895" t="s">
        <v>108</v>
      </c>
      <c r="AA895" t="s">
        <v>1950</v>
      </c>
      <c r="AB895" t="s">
        <v>106</v>
      </c>
    </row>
    <row r="896" spans="1:28" x14ac:dyDescent="0.3">
      <c r="A896" t="s">
        <v>1423</v>
      </c>
      <c r="B896">
        <v>3</v>
      </c>
      <c r="C896">
        <v>35</v>
      </c>
      <c r="D896">
        <v>39</v>
      </c>
      <c r="E896" t="s">
        <v>128</v>
      </c>
      <c r="F896" s="12">
        <v>45492</v>
      </c>
      <c r="G896" t="s">
        <v>1071</v>
      </c>
      <c r="H896" s="12">
        <v>45492</v>
      </c>
      <c r="I896" t="s">
        <v>1434</v>
      </c>
      <c r="J896" t="s">
        <v>458</v>
      </c>
      <c r="K896">
        <v>2</v>
      </c>
      <c r="L896">
        <v>36.5</v>
      </c>
      <c r="P896" t="s">
        <v>106</v>
      </c>
      <c r="Q896" t="s">
        <v>106</v>
      </c>
      <c r="R896" t="s">
        <v>106</v>
      </c>
      <c r="S896" t="s">
        <v>106</v>
      </c>
      <c r="T896" t="s">
        <v>1016</v>
      </c>
      <c r="U896" t="s">
        <v>106</v>
      </c>
      <c r="V896" t="s">
        <v>106</v>
      </c>
      <c r="W896" t="s">
        <v>443</v>
      </c>
      <c r="X896" t="s">
        <v>106</v>
      </c>
      <c r="Y896" t="s">
        <v>108</v>
      </c>
      <c r="Z896" t="s">
        <v>108</v>
      </c>
      <c r="AA896" t="s">
        <v>1950</v>
      </c>
      <c r="AB896" t="s">
        <v>106</v>
      </c>
    </row>
    <row r="897" spans="1:28" x14ac:dyDescent="0.3">
      <c r="A897" t="s">
        <v>1423</v>
      </c>
      <c r="B897">
        <v>3</v>
      </c>
      <c r="C897">
        <v>35</v>
      </c>
      <c r="D897">
        <v>32</v>
      </c>
      <c r="E897" t="s">
        <v>128</v>
      </c>
      <c r="F897" s="12">
        <v>45492</v>
      </c>
      <c r="G897" t="s">
        <v>1389</v>
      </c>
      <c r="H897" s="12">
        <v>45492</v>
      </c>
      <c r="I897" t="s">
        <v>1434</v>
      </c>
      <c r="J897" t="s">
        <v>458</v>
      </c>
      <c r="K897">
        <v>2</v>
      </c>
      <c r="L897">
        <v>38.1</v>
      </c>
      <c r="P897" t="s">
        <v>106</v>
      </c>
      <c r="Q897" t="s">
        <v>106</v>
      </c>
      <c r="R897" t="s">
        <v>106</v>
      </c>
      <c r="S897" t="s">
        <v>106</v>
      </c>
      <c r="T897" t="s">
        <v>1951</v>
      </c>
      <c r="U897" t="s">
        <v>106</v>
      </c>
      <c r="V897" t="s">
        <v>106</v>
      </c>
      <c r="W897" t="s">
        <v>443</v>
      </c>
      <c r="X897" t="s">
        <v>106</v>
      </c>
      <c r="Y897" t="s">
        <v>108</v>
      </c>
      <c r="Z897" t="s">
        <v>108</v>
      </c>
      <c r="AA897" t="s">
        <v>1950</v>
      </c>
      <c r="AB897" t="s">
        <v>106</v>
      </c>
    </row>
    <row r="898" spans="1:28" x14ac:dyDescent="0.3">
      <c r="A898" t="s">
        <v>1423</v>
      </c>
      <c r="B898">
        <v>3</v>
      </c>
      <c r="C898">
        <v>35</v>
      </c>
      <c r="D898">
        <v>30</v>
      </c>
      <c r="E898" t="s">
        <v>128</v>
      </c>
      <c r="F898" s="12">
        <v>45492</v>
      </c>
      <c r="G898" t="s">
        <v>447</v>
      </c>
      <c r="H898" s="12">
        <v>45492</v>
      </c>
      <c r="I898" t="s">
        <v>1434</v>
      </c>
      <c r="J898" t="s">
        <v>1363</v>
      </c>
      <c r="K898">
        <v>2</v>
      </c>
      <c r="L898">
        <v>37.4</v>
      </c>
      <c r="P898" t="s">
        <v>106</v>
      </c>
      <c r="Q898" t="s">
        <v>106</v>
      </c>
      <c r="R898" t="s">
        <v>106</v>
      </c>
      <c r="S898" t="s">
        <v>106</v>
      </c>
      <c r="T898" t="s">
        <v>1947</v>
      </c>
      <c r="U898" t="s">
        <v>106</v>
      </c>
      <c r="V898" t="s">
        <v>106</v>
      </c>
      <c r="W898" t="s">
        <v>443</v>
      </c>
      <c r="X898" t="s">
        <v>106</v>
      </c>
      <c r="Y898" t="s">
        <v>108</v>
      </c>
      <c r="Z898" t="s">
        <v>108</v>
      </c>
      <c r="AA898" t="s">
        <v>1950</v>
      </c>
      <c r="AB898" t="s">
        <v>106</v>
      </c>
    </row>
    <row r="899" spans="1:28" x14ac:dyDescent="0.3">
      <c r="A899" t="s">
        <v>1423</v>
      </c>
      <c r="B899">
        <v>4</v>
      </c>
      <c r="C899">
        <v>60</v>
      </c>
      <c r="D899">
        <v>28</v>
      </c>
      <c r="E899" t="s">
        <v>128</v>
      </c>
      <c r="F899" s="12">
        <v>45492</v>
      </c>
      <c r="G899" t="s">
        <v>336</v>
      </c>
      <c r="H899" s="12">
        <v>45492</v>
      </c>
      <c r="I899" t="s">
        <v>1434</v>
      </c>
      <c r="J899" t="s">
        <v>1363</v>
      </c>
      <c r="K899">
        <v>2</v>
      </c>
      <c r="L899">
        <v>62</v>
      </c>
      <c r="P899" t="s">
        <v>106</v>
      </c>
      <c r="Q899" t="s">
        <v>106</v>
      </c>
      <c r="R899" t="s">
        <v>106</v>
      </c>
      <c r="S899" t="s">
        <v>106</v>
      </c>
      <c r="T899" t="s">
        <v>1409</v>
      </c>
      <c r="U899" t="s">
        <v>106</v>
      </c>
      <c r="V899" t="s">
        <v>106</v>
      </c>
      <c r="W899" t="s">
        <v>443</v>
      </c>
      <c r="X899" t="s">
        <v>106</v>
      </c>
      <c r="Y899" t="s">
        <v>108</v>
      </c>
      <c r="Z899" t="s">
        <v>104</v>
      </c>
      <c r="AA899" t="s">
        <v>1950</v>
      </c>
      <c r="AB899" t="s">
        <v>106</v>
      </c>
    </row>
    <row r="900" spans="1:28" x14ac:dyDescent="0.3">
      <c r="A900" t="s">
        <v>1423</v>
      </c>
      <c r="B900">
        <v>4</v>
      </c>
      <c r="C900">
        <v>60</v>
      </c>
      <c r="D900">
        <v>29</v>
      </c>
      <c r="E900" t="s">
        <v>128</v>
      </c>
      <c r="F900" s="12">
        <v>45492</v>
      </c>
      <c r="G900" t="s">
        <v>336</v>
      </c>
      <c r="H900" s="12">
        <v>45492</v>
      </c>
      <c r="I900" t="s">
        <v>1434</v>
      </c>
      <c r="J900" t="s">
        <v>1363</v>
      </c>
      <c r="K900">
        <v>2</v>
      </c>
      <c r="L900">
        <v>63.3</v>
      </c>
      <c r="P900" t="s">
        <v>106</v>
      </c>
      <c r="Q900" t="s">
        <v>106</v>
      </c>
      <c r="R900" t="s">
        <v>106</v>
      </c>
      <c r="S900" t="s">
        <v>106</v>
      </c>
      <c r="T900" t="s">
        <v>1379</v>
      </c>
      <c r="U900" t="s">
        <v>106</v>
      </c>
      <c r="V900" t="s">
        <v>106</v>
      </c>
      <c r="W900" t="s">
        <v>443</v>
      </c>
      <c r="X900" t="s">
        <v>106</v>
      </c>
      <c r="Y900" t="s">
        <v>108</v>
      </c>
      <c r="Z900" t="s">
        <v>104</v>
      </c>
      <c r="AA900" t="s">
        <v>1950</v>
      </c>
      <c r="AB900" t="s">
        <v>106</v>
      </c>
    </row>
    <row r="901" spans="1:28" x14ac:dyDescent="0.3">
      <c r="A901" t="s">
        <v>1423</v>
      </c>
      <c r="B901">
        <v>4</v>
      </c>
      <c r="C901">
        <v>60</v>
      </c>
      <c r="D901">
        <v>36</v>
      </c>
      <c r="E901" t="s">
        <v>128</v>
      </c>
      <c r="F901" s="12">
        <v>45492</v>
      </c>
      <c r="G901" t="s">
        <v>790</v>
      </c>
      <c r="H901" s="12">
        <v>45492</v>
      </c>
      <c r="I901" t="s">
        <v>1434</v>
      </c>
      <c r="J901" t="s">
        <v>458</v>
      </c>
      <c r="K901">
        <v>2</v>
      </c>
      <c r="L901">
        <v>57.9</v>
      </c>
      <c r="P901" t="s">
        <v>106</v>
      </c>
      <c r="Q901" t="s">
        <v>106</v>
      </c>
      <c r="R901" t="s">
        <v>106</v>
      </c>
      <c r="S901" t="s">
        <v>106</v>
      </c>
      <c r="T901" t="s">
        <v>1804</v>
      </c>
      <c r="U901" t="s">
        <v>106</v>
      </c>
      <c r="V901" t="s">
        <v>106</v>
      </c>
      <c r="W901" t="s">
        <v>443</v>
      </c>
      <c r="X901" t="s">
        <v>106</v>
      </c>
      <c r="Y901" t="s">
        <v>108</v>
      </c>
      <c r="Z901" t="s">
        <v>104</v>
      </c>
      <c r="AA901" t="s">
        <v>1950</v>
      </c>
      <c r="AB901" t="s">
        <v>106</v>
      </c>
    </row>
    <row r="902" spans="1:28" x14ac:dyDescent="0.3">
      <c r="A902" t="s">
        <v>1423</v>
      </c>
      <c r="B902">
        <v>4</v>
      </c>
      <c r="C902">
        <v>60</v>
      </c>
      <c r="D902">
        <v>37</v>
      </c>
      <c r="E902" t="s">
        <v>128</v>
      </c>
      <c r="F902" s="12">
        <v>45492</v>
      </c>
      <c r="G902" t="s">
        <v>790</v>
      </c>
      <c r="H902" s="12">
        <v>45492</v>
      </c>
      <c r="I902" t="s">
        <v>1434</v>
      </c>
      <c r="J902" t="s">
        <v>458</v>
      </c>
      <c r="K902">
        <v>2</v>
      </c>
      <c r="L902">
        <v>59.6</v>
      </c>
      <c r="P902" t="s">
        <v>106</v>
      </c>
      <c r="Q902" t="s">
        <v>106</v>
      </c>
      <c r="R902" t="s">
        <v>106</v>
      </c>
      <c r="S902" t="s">
        <v>106</v>
      </c>
      <c r="T902" t="s">
        <v>1808</v>
      </c>
      <c r="U902" t="s">
        <v>106</v>
      </c>
      <c r="V902" t="s">
        <v>106</v>
      </c>
      <c r="W902" t="s">
        <v>443</v>
      </c>
      <c r="X902" t="s">
        <v>106</v>
      </c>
      <c r="Y902" t="s">
        <v>108</v>
      </c>
      <c r="Z902" t="s">
        <v>104</v>
      </c>
      <c r="AA902" t="s">
        <v>1950</v>
      </c>
      <c r="AB902" t="s">
        <v>106</v>
      </c>
    </row>
    <row r="903" spans="1:28" x14ac:dyDescent="0.3">
      <c r="A903" t="s">
        <v>1423</v>
      </c>
      <c r="B903">
        <v>4</v>
      </c>
      <c r="C903">
        <v>60</v>
      </c>
      <c r="D903">
        <v>42</v>
      </c>
      <c r="E903" t="s">
        <v>128</v>
      </c>
      <c r="F903" s="12">
        <v>45492</v>
      </c>
      <c r="G903" t="s">
        <v>742</v>
      </c>
      <c r="H903" s="12">
        <v>45492</v>
      </c>
      <c r="I903" t="s">
        <v>1434</v>
      </c>
      <c r="J903" t="s">
        <v>458</v>
      </c>
      <c r="K903">
        <v>2</v>
      </c>
      <c r="L903">
        <v>61.5</v>
      </c>
      <c r="P903" t="s">
        <v>106</v>
      </c>
      <c r="Q903" t="s">
        <v>106</v>
      </c>
      <c r="R903" t="s">
        <v>106</v>
      </c>
      <c r="S903" t="s">
        <v>106</v>
      </c>
      <c r="T903" t="s">
        <v>1409</v>
      </c>
      <c r="U903" t="s">
        <v>106</v>
      </c>
      <c r="V903" t="s">
        <v>106</v>
      </c>
      <c r="W903" t="s">
        <v>443</v>
      </c>
      <c r="X903" t="s">
        <v>106</v>
      </c>
      <c r="Y903" t="s">
        <v>108</v>
      </c>
      <c r="Z903" t="s">
        <v>104</v>
      </c>
      <c r="AA903" t="s">
        <v>1950</v>
      </c>
      <c r="AB903" t="s">
        <v>106</v>
      </c>
    </row>
    <row r="904" spans="1:28" x14ac:dyDescent="0.3">
      <c r="A904" t="s">
        <v>1423</v>
      </c>
      <c r="B904">
        <v>4</v>
      </c>
      <c r="C904">
        <v>60</v>
      </c>
      <c r="D904">
        <v>43</v>
      </c>
      <c r="E904" t="s">
        <v>128</v>
      </c>
      <c r="F904" s="12">
        <v>45492</v>
      </c>
      <c r="G904" t="s">
        <v>869</v>
      </c>
      <c r="H904" s="12">
        <v>45492</v>
      </c>
      <c r="I904" t="s">
        <v>1434</v>
      </c>
      <c r="J904" t="s">
        <v>458</v>
      </c>
      <c r="K904">
        <v>2</v>
      </c>
      <c r="L904">
        <v>60.7</v>
      </c>
      <c r="P904" t="s">
        <v>106</v>
      </c>
      <c r="Q904" t="s">
        <v>106</v>
      </c>
      <c r="R904" t="s">
        <v>106</v>
      </c>
      <c r="S904" t="s">
        <v>106</v>
      </c>
      <c r="T904" t="s">
        <v>1839</v>
      </c>
      <c r="U904" t="s">
        <v>106</v>
      </c>
      <c r="V904" t="s">
        <v>106</v>
      </c>
      <c r="W904" t="s">
        <v>443</v>
      </c>
      <c r="X904" t="s">
        <v>106</v>
      </c>
      <c r="Y904" t="s">
        <v>108</v>
      </c>
      <c r="Z904" t="s">
        <v>104</v>
      </c>
      <c r="AA904" t="s">
        <v>1950</v>
      </c>
      <c r="AB904" t="s">
        <v>106</v>
      </c>
    </row>
    <row r="905" spans="1:28" x14ac:dyDescent="0.3">
      <c r="A905" t="s">
        <v>1436</v>
      </c>
      <c r="B905">
        <v>1</v>
      </c>
      <c r="C905">
        <v>0</v>
      </c>
      <c r="D905">
        <v>11</v>
      </c>
      <c r="E905" t="s">
        <v>110</v>
      </c>
      <c r="F905" s="12">
        <v>45503</v>
      </c>
      <c r="G905" t="s">
        <v>1437</v>
      </c>
      <c r="H905" s="12">
        <v>45503</v>
      </c>
      <c r="I905" t="s">
        <v>737</v>
      </c>
      <c r="J905" t="s">
        <v>543</v>
      </c>
      <c r="L905">
        <v>0</v>
      </c>
      <c r="P905" t="s">
        <v>106</v>
      </c>
      <c r="Q905" t="s">
        <v>106</v>
      </c>
      <c r="R905" t="s">
        <v>106</v>
      </c>
      <c r="S905" t="s">
        <v>106</v>
      </c>
      <c r="T905" t="s">
        <v>875</v>
      </c>
      <c r="U905" t="s">
        <v>429</v>
      </c>
      <c r="V905" t="s">
        <v>106</v>
      </c>
      <c r="W905" t="s">
        <v>373</v>
      </c>
      <c r="X905" t="s">
        <v>106</v>
      </c>
      <c r="Y905" t="s">
        <v>108</v>
      </c>
      <c r="Z905" t="s">
        <v>105</v>
      </c>
      <c r="AA905" t="s">
        <v>1316</v>
      </c>
      <c r="AB905" t="s">
        <v>106</v>
      </c>
    </row>
    <row r="906" spans="1:28" x14ac:dyDescent="0.3">
      <c r="A906" t="s">
        <v>1436</v>
      </c>
      <c r="B906">
        <v>1</v>
      </c>
      <c r="C906">
        <v>0</v>
      </c>
      <c r="D906">
        <v>12</v>
      </c>
      <c r="E906" t="s">
        <v>110</v>
      </c>
      <c r="F906" s="12">
        <v>45503</v>
      </c>
      <c r="G906" t="s">
        <v>1169</v>
      </c>
      <c r="H906" s="12">
        <v>45503</v>
      </c>
      <c r="I906" t="s">
        <v>737</v>
      </c>
      <c r="J906" t="s">
        <v>543</v>
      </c>
      <c r="L906">
        <v>0</v>
      </c>
      <c r="P906" t="s">
        <v>106</v>
      </c>
      <c r="Q906" t="s">
        <v>106</v>
      </c>
      <c r="R906" t="s">
        <v>106</v>
      </c>
      <c r="S906" t="s">
        <v>106</v>
      </c>
      <c r="T906" t="s">
        <v>1438</v>
      </c>
      <c r="U906" t="s">
        <v>429</v>
      </c>
      <c r="V906" t="s">
        <v>106</v>
      </c>
      <c r="W906" t="s">
        <v>373</v>
      </c>
      <c r="X906" t="s">
        <v>106</v>
      </c>
      <c r="Y906" t="s">
        <v>108</v>
      </c>
      <c r="Z906" t="s">
        <v>105</v>
      </c>
      <c r="AA906" t="s">
        <v>1316</v>
      </c>
      <c r="AB906" t="s">
        <v>106</v>
      </c>
    </row>
    <row r="907" spans="1:28" x14ac:dyDescent="0.3">
      <c r="A907" t="s">
        <v>1439</v>
      </c>
      <c r="B907">
        <v>1</v>
      </c>
      <c r="C907">
        <v>0</v>
      </c>
      <c r="D907">
        <v>11</v>
      </c>
      <c r="E907" t="s">
        <v>110</v>
      </c>
      <c r="F907" s="12">
        <v>45503</v>
      </c>
      <c r="G907" t="s">
        <v>1437</v>
      </c>
      <c r="H907" s="12">
        <v>45503</v>
      </c>
      <c r="I907" t="s">
        <v>737</v>
      </c>
      <c r="J907" t="s">
        <v>543</v>
      </c>
      <c r="L907">
        <v>0</v>
      </c>
      <c r="P907" t="s">
        <v>106</v>
      </c>
      <c r="Q907" t="s">
        <v>106</v>
      </c>
      <c r="R907" t="s">
        <v>106</v>
      </c>
      <c r="S907" t="s">
        <v>106</v>
      </c>
      <c r="T907" t="s">
        <v>875</v>
      </c>
      <c r="U907" t="s">
        <v>429</v>
      </c>
      <c r="V907" t="s">
        <v>106</v>
      </c>
      <c r="W907" t="s">
        <v>373</v>
      </c>
      <c r="X907" t="s">
        <v>106</v>
      </c>
      <c r="Y907" t="s">
        <v>108</v>
      </c>
      <c r="Z907" t="s">
        <v>105</v>
      </c>
      <c r="AA907" t="s">
        <v>1316</v>
      </c>
      <c r="AB907" t="s">
        <v>106</v>
      </c>
    </row>
    <row r="908" spans="1:28" x14ac:dyDescent="0.3">
      <c r="A908" t="s">
        <v>1439</v>
      </c>
      <c r="B908">
        <v>1</v>
      </c>
      <c r="C908">
        <v>0</v>
      </c>
      <c r="D908">
        <v>12</v>
      </c>
      <c r="E908" t="s">
        <v>110</v>
      </c>
      <c r="F908" s="12">
        <v>45503</v>
      </c>
      <c r="G908" t="s">
        <v>1169</v>
      </c>
      <c r="H908" s="12">
        <v>45503</v>
      </c>
      <c r="I908" t="s">
        <v>737</v>
      </c>
      <c r="J908" t="s">
        <v>543</v>
      </c>
      <c r="L908">
        <v>0</v>
      </c>
      <c r="P908" t="s">
        <v>106</v>
      </c>
      <c r="Q908" t="s">
        <v>106</v>
      </c>
      <c r="R908" t="s">
        <v>106</v>
      </c>
      <c r="S908" t="s">
        <v>106</v>
      </c>
      <c r="T908" t="s">
        <v>1438</v>
      </c>
      <c r="U908" t="s">
        <v>429</v>
      </c>
      <c r="V908" t="s">
        <v>106</v>
      </c>
      <c r="W908" t="s">
        <v>373</v>
      </c>
      <c r="X908" t="s">
        <v>106</v>
      </c>
      <c r="Y908" t="s">
        <v>108</v>
      </c>
      <c r="Z908" t="s">
        <v>105</v>
      </c>
      <c r="AA908" t="s">
        <v>1316</v>
      </c>
      <c r="AB908" t="s">
        <v>106</v>
      </c>
    </row>
    <row r="909" spans="1:28" x14ac:dyDescent="0.3">
      <c r="A909" t="s">
        <v>1439</v>
      </c>
      <c r="B909">
        <v>2</v>
      </c>
      <c r="C909">
        <v>15</v>
      </c>
      <c r="D909">
        <v>4</v>
      </c>
      <c r="E909" t="s">
        <v>110</v>
      </c>
      <c r="F909" s="12">
        <v>45503</v>
      </c>
      <c r="G909" t="s">
        <v>374</v>
      </c>
      <c r="H909" s="12">
        <v>45503</v>
      </c>
      <c r="I909" t="s">
        <v>737</v>
      </c>
      <c r="J909" t="s">
        <v>543</v>
      </c>
      <c r="L909">
        <v>19.2</v>
      </c>
      <c r="P909" t="s">
        <v>106</v>
      </c>
      <c r="Q909" t="s">
        <v>106</v>
      </c>
      <c r="R909" t="s">
        <v>106</v>
      </c>
      <c r="S909" t="s">
        <v>1777</v>
      </c>
      <c r="T909" t="s">
        <v>1953</v>
      </c>
      <c r="U909" t="s">
        <v>429</v>
      </c>
      <c r="V909" t="s">
        <v>106</v>
      </c>
      <c r="W909" t="s">
        <v>373</v>
      </c>
      <c r="X909" t="s">
        <v>106</v>
      </c>
      <c r="Y909" t="s">
        <v>108</v>
      </c>
      <c r="Z909" t="s">
        <v>109</v>
      </c>
      <c r="AA909" t="s">
        <v>1954</v>
      </c>
      <c r="AB909" t="s">
        <v>106</v>
      </c>
    </row>
    <row r="910" spans="1:28" x14ac:dyDescent="0.3">
      <c r="A910" t="s">
        <v>1439</v>
      </c>
      <c r="B910">
        <v>2</v>
      </c>
      <c r="C910">
        <v>15</v>
      </c>
      <c r="D910">
        <v>1</v>
      </c>
      <c r="E910" t="s">
        <v>308</v>
      </c>
      <c r="F910" s="12">
        <v>45503</v>
      </c>
      <c r="G910" t="s">
        <v>555</v>
      </c>
      <c r="H910" s="12" t="s">
        <v>106</v>
      </c>
      <c r="I910" t="s">
        <v>106</v>
      </c>
      <c r="J910" t="s">
        <v>106</v>
      </c>
      <c r="L910">
        <v>16.7</v>
      </c>
      <c r="P910" t="s">
        <v>106</v>
      </c>
      <c r="Q910" t="s">
        <v>106</v>
      </c>
      <c r="R910" t="s">
        <v>106</v>
      </c>
      <c r="S910" t="s">
        <v>106</v>
      </c>
      <c r="T910" t="s">
        <v>781</v>
      </c>
      <c r="U910" t="s">
        <v>106</v>
      </c>
      <c r="V910" t="s">
        <v>106</v>
      </c>
      <c r="W910" t="s">
        <v>373</v>
      </c>
      <c r="X910" t="s">
        <v>106</v>
      </c>
      <c r="Y910" t="s">
        <v>108</v>
      </c>
      <c r="Z910" t="s">
        <v>109</v>
      </c>
      <c r="AA910" t="s">
        <v>1954</v>
      </c>
      <c r="AB910" t="s">
        <v>106</v>
      </c>
    </row>
    <row r="911" spans="1:28" x14ac:dyDescent="0.3">
      <c r="A911" t="s">
        <v>1436</v>
      </c>
      <c r="B911">
        <v>2</v>
      </c>
      <c r="C911">
        <v>15</v>
      </c>
      <c r="D911">
        <v>1</v>
      </c>
      <c r="E911" t="s">
        <v>308</v>
      </c>
      <c r="F911" s="12">
        <v>45503</v>
      </c>
      <c r="G911" t="s">
        <v>555</v>
      </c>
      <c r="H911" s="12" t="s">
        <v>106</v>
      </c>
      <c r="I911" t="s">
        <v>106</v>
      </c>
      <c r="J911" t="s">
        <v>106</v>
      </c>
      <c r="L911">
        <v>16.7</v>
      </c>
      <c r="P911" t="s">
        <v>106</v>
      </c>
      <c r="Q911" t="s">
        <v>106</v>
      </c>
      <c r="R911" t="s">
        <v>106</v>
      </c>
      <c r="S911" t="s">
        <v>106</v>
      </c>
      <c r="T911" t="s">
        <v>781</v>
      </c>
      <c r="U911" t="s">
        <v>106</v>
      </c>
      <c r="V911" t="s">
        <v>106</v>
      </c>
      <c r="W911" t="s">
        <v>373</v>
      </c>
      <c r="X911" t="s">
        <v>106</v>
      </c>
      <c r="Y911" t="s">
        <v>108</v>
      </c>
      <c r="Z911" t="s">
        <v>109</v>
      </c>
      <c r="AA911" t="s">
        <v>1954</v>
      </c>
      <c r="AB911" t="s">
        <v>106</v>
      </c>
    </row>
    <row r="912" spans="1:28" x14ac:dyDescent="0.3">
      <c r="A912" t="s">
        <v>1436</v>
      </c>
      <c r="B912">
        <v>2</v>
      </c>
      <c r="C912">
        <v>15</v>
      </c>
      <c r="D912">
        <v>4</v>
      </c>
      <c r="E912" t="s">
        <v>110</v>
      </c>
      <c r="F912" s="12">
        <v>45503</v>
      </c>
      <c r="G912" t="s">
        <v>374</v>
      </c>
      <c r="H912" s="12">
        <v>45503</v>
      </c>
      <c r="I912" t="s">
        <v>737</v>
      </c>
      <c r="J912" t="s">
        <v>543</v>
      </c>
      <c r="L912">
        <v>19.2</v>
      </c>
      <c r="P912" t="s">
        <v>106</v>
      </c>
      <c r="Q912" t="s">
        <v>106</v>
      </c>
      <c r="R912" t="s">
        <v>106</v>
      </c>
      <c r="S912" t="s">
        <v>1777</v>
      </c>
      <c r="T912" t="s">
        <v>1953</v>
      </c>
      <c r="U912" t="s">
        <v>429</v>
      </c>
      <c r="V912" t="s">
        <v>106</v>
      </c>
      <c r="W912" t="s">
        <v>373</v>
      </c>
      <c r="X912" t="s">
        <v>106</v>
      </c>
      <c r="Y912" t="s">
        <v>108</v>
      </c>
      <c r="Z912" t="s">
        <v>109</v>
      </c>
      <c r="AA912" t="s">
        <v>1954</v>
      </c>
      <c r="AB912" t="s">
        <v>106</v>
      </c>
    </row>
    <row r="913" spans="1:28" x14ac:dyDescent="0.3">
      <c r="A913" t="s">
        <v>1436</v>
      </c>
      <c r="B913">
        <v>2</v>
      </c>
      <c r="C913">
        <v>15</v>
      </c>
      <c r="D913">
        <v>5</v>
      </c>
      <c r="E913" t="s">
        <v>110</v>
      </c>
      <c r="F913" s="12">
        <v>45503</v>
      </c>
      <c r="G913" t="s">
        <v>1955</v>
      </c>
      <c r="H913" s="12">
        <v>45503</v>
      </c>
      <c r="I913" t="s">
        <v>737</v>
      </c>
      <c r="J913" t="s">
        <v>543</v>
      </c>
      <c r="L913">
        <v>19.399999999999999</v>
      </c>
      <c r="P913" t="s">
        <v>106</v>
      </c>
      <c r="Q913" t="s">
        <v>106</v>
      </c>
      <c r="R913" t="s">
        <v>106</v>
      </c>
      <c r="S913" t="s">
        <v>106</v>
      </c>
      <c r="T913" t="s">
        <v>529</v>
      </c>
      <c r="U913" t="s">
        <v>429</v>
      </c>
      <c r="V913" t="s">
        <v>106</v>
      </c>
      <c r="W913" t="s">
        <v>373</v>
      </c>
      <c r="X913" t="s">
        <v>106</v>
      </c>
      <c r="Y913" t="s">
        <v>108</v>
      </c>
      <c r="Z913" t="s">
        <v>109</v>
      </c>
      <c r="AA913" t="s">
        <v>1954</v>
      </c>
      <c r="AB913" t="s">
        <v>106</v>
      </c>
    </row>
    <row r="914" spans="1:28" x14ac:dyDescent="0.3">
      <c r="A914" t="s">
        <v>1439</v>
      </c>
      <c r="B914">
        <v>2</v>
      </c>
      <c r="C914">
        <v>15</v>
      </c>
      <c r="D914">
        <v>5</v>
      </c>
      <c r="E914" t="s">
        <v>110</v>
      </c>
      <c r="F914" s="12">
        <v>45503</v>
      </c>
      <c r="G914" t="s">
        <v>1955</v>
      </c>
      <c r="H914" s="12">
        <v>45503</v>
      </c>
      <c r="I914" t="s">
        <v>737</v>
      </c>
      <c r="J914" t="s">
        <v>543</v>
      </c>
      <c r="L914">
        <v>19.399999999999999</v>
      </c>
      <c r="P914" t="s">
        <v>106</v>
      </c>
      <c r="Q914" t="s">
        <v>106</v>
      </c>
      <c r="R914" t="s">
        <v>106</v>
      </c>
      <c r="S914" t="s">
        <v>106</v>
      </c>
      <c r="T914" t="s">
        <v>529</v>
      </c>
      <c r="U914" t="s">
        <v>429</v>
      </c>
      <c r="V914" t="s">
        <v>106</v>
      </c>
      <c r="W914" t="s">
        <v>373</v>
      </c>
      <c r="X914" t="s">
        <v>106</v>
      </c>
      <c r="Y914" t="s">
        <v>108</v>
      </c>
      <c r="Z914" t="s">
        <v>109</v>
      </c>
      <c r="AA914" t="s">
        <v>1954</v>
      </c>
      <c r="AB914" t="s">
        <v>106</v>
      </c>
    </row>
    <row r="915" spans="1:28" x14ac:dyDescent="0.3">
      <c r="A915" t="s">
        <v>1439</v>
      </c>
      <c r="B915">
        <v>3</v>
      </c>
      <c r="C915">
        <v>35</v>
      </c>
      <c r="D915">
        <v>6</v>
      </c>
      <c r="E915" t="s">
        <v>110</v>
      </c>
      <c r="F915" s="12">
        <v>45503</v>
      </c>
      <c r="G915" t="s">
        <v>1955</v>
      </c>
      <c r="H915" s="12">
        <v>45503</v>
      </c>
      <c r="I915" t="s">
        <v>737</v>
      </c>
      <c r="J915" t="s">
        <v>543</v>
      </c>
      <c r="L915">
        <v>41.7</v>
      </c>
      <c r="P915" t="s">
        <v>106</v>
      </c>
      <c r="Q915" t="s">
        <v>106</v>
      </c>
      <c r="R915" t="s">
        <v>106</v>
      </c>
      <c r="S915" t="s">
        <v>2152</v>
      </c>
      <c r="T915" t="s">
        <v>1959</v>
      </c>
      <c r="U915" t="s">
        <v>429</v>
      </c>
      <c r="V915" t="s">
        <v>106</v>
      </c>
      <c r="W915" t="s">
        <v>373</v>
      </c>
      <c r="X915" t="s">
        <v>106</v>
      </c>
      <c r="Y915" t="s">
        <v>108</v>
      </c>
      <c r="Z915" t="s">
        <v>108</v>
      </c>
      <c r="AA915" t="s">
        <v>1954</v>
      </c>
      <c r="AB915" t="s">
        <v>106</v>
      </c>
    </row>
    <row r="916" spans="1:28" x14ac:dyDescent="0.3">
      <c r="A916" t="s">
        <v>1439</v>
      </c>
      <c r="B916">
        <v>3</v>
      </c>
      <c r="C916">
        <v>35</v>
      </c>
      <c r="D916">
        <v>10</v>
      </c>
      <c r="E916" t="s">
        <v>110</v>
      </c>
      <c r="F916" s="12">
        <v>45503</v>
      </c>
      <c r="G916" t="s">
        <v>375</v>
      </c>
      <c r="H916" s="12">
        <v>45503</v>
      </c>
      <c r="I916" t="s">
        <v>737</v>
      </c>
      <c r="J916" t="s">
        <v>543</v>
      </c>
      <c r="L916">
        <v>41.7</v>
      </c>
      <c r="P916" t="s">
        <v>106</v>
      </c>
      <c r="Q916" t="s">
        <v>106</v>
      </c>
      <c r="R916" t="s">
        <v>106</v>
      </c>
      <c r="S916" t="s">
        <v>106</v>
      </c>
      <c r="T916" t="s">
        <v>977</v>
      </c>
      <c r="U916" t="s">
        <v>429</v>
      </c>
      <c r="V916" t="s">
        <v>106</v>
      </c>
      <c r="W916" t="s">
        <v>373</v>
      </c>
      <c r="X916" t="s">
        <v>106</v>
      </c>
      <c r="Y916" t="s">
        <v>108</v>
      </c>
      <c r="Z916" t="s">
        <v>108</v>
      </c>
      <c r="AA916" t="s">
        <v>1954</v>
      </c>
      <c r="AB916" t="s">
        <v>106</v>
      </c>
    </row>
    <row r="917" spans="1:28" x14ac:dyDescent="0.3">
      <c r="A917" t="s">
        <v>1436</v>
      </c>
      <c r="B917">
        <v>3</v>
      </c>
      <c r="C917">
        <v>35</v>
      </c>
      <c r="D917">
        <v>7</v>
      </c>
      <c r="E917" t="s">
        <v>110</v>
      </c>
      <c r="F917" s="12">
        <v>45503</v>
      </c>
      <c r="G917" t="s">
        <v>1955</v>
      </c>
      <c r="H917" s="12">
        <v>45503</v>
      </c>
      <c r="I917" t="s">
        <v>737</v>
      </c>
      <c r="J917" t="s">
        <v>543</v>
      </c>
      <c r="L917">
        <v>40.6</v>
      </c>
      <c r="P917" t="s">
        <v>106</v>
      </c>
      <c r="Q917" t="s">
        <v>106</v>
      </c>
      <c r="R917" t="s">
        <v>106</v>
      </c>
      <c r="S917" t="s">
        <v>106</v>
      </c>
      <c r="T917" t="s">
        <v>538</v>
      </c>
      <c r="U917" t="s">
        <v>429</v>
      </c>
      <c r="V917" t="s">
        <v>106</v>
      </c>
      <c r="W917" t="s">
        <v>373</v>
      </c>
      <c r="X917" t="s">
        <v>106</v>
      </c>
      <c r="Y917" t="s">
        <v>108</v>
      </c>
      <c r="Z917" t="s">
        <v>108</v>
      </c>
      <c r="AA917" t="s">
        <v>1954</v>
      </c>
      <c r="AB917" t="s">
        <v>106</v>
      </c>
    </row>
    <row r="918" spans="1:28" x14ac:dyDescent="0.3">
      <c r="A918" t="s">
        <v>1436</v>
      </c>
      <c r="B918">
        <v>3</v>
      </c>
      <c r="C918">
        <v>35</v>
      </c>
      <c r="D918">
        <v>6</v>
      </c>
      <c r="E918" t="s">
        <v>110</v>
      </c>
      <c r="F918" s="12">
        <v>45503</v>
      </c>
      <c r="G918" t="s">
        <v>1955</v>
      </c>
      <c r="H918" s="12">
        <v>45503</v>
      </c>
      <c r="I918" t="s">
        <v>737</v>
      </c>
      <c r="J918" t="s">
        <v>543</v>
      </c>
      <c r="L918">
        <v>41.7</v>
      </c>
      <c r="P918" t="s">
        <v>106</v>
      </c>
      <c r="Q918" t="s">
        <v>106</v>
      </c>
      <c r="R918" t="s">
        <v>106</v>
      </c>
      <c r="S918" t="s">
        <v>2152</v>
      </c>
      <c r="T918" t="s">
        <v>1959</v>
      </c>
      <c r="U918" t="s">
        <v>429</v>
      </c>
      <c r="V918" t="s">
        <v>106</v>
      </c>
      <c r="W918" t="s">
        <v>373</v>
      </c>
      <c r="X918" t="s">
        <v>106</v>
      </c>
      <c r="Y918" t="s">
        <v>108</v>
      </c>
      <c r="Z918" t="s">
        <v>108</v>
      </c>
      <c r="AA918" t="s">
        <v>1954</v>
      </c>
      <c r="AB918" t="s">
        <v>106</v>
      </c>
    </row>
    <row r="919" spans="1:28" x14ac:dyDescent="0.3">
      <c r="A919" t="s">
        <v>1439</v>
      </c>
      <c r="B919">
        <v>3</v>
      </c>
      <c r="C919">
        <v>35</v>
      </c>
      <c r="D919">
        <v>2</v>
      </c>
      <c r="E919" t="s">
        <v>308</v>
      </c>
      <c r="F919" s="12">
        <v>45503</v>
      </c>
      <c r="G919" t="s">
        <v>856</v>
      </c>
      <c r="H919" s="12" t="s">
        <v>106</v>
      </c>
      <c r="I919" t="s">
        <v>106</v>
      </c>
      <c r="J919" t="s">
        <v>106</v>
      </c>
      <c r="L919">
        <v>37.299999999999997</v>
      </c>
      <c r="P919" t="s">
        <v>106</v>
      </c>
      <c r="Q919" t="s">
        <v>106</v>
      </c>
      <c r="R919" t="s">
        <v>106</v>
      </c>
      <c r="S919" t="s">
        <v>106</v>
      </c>
      <c r="T919" t="s">
        <v>977</v>
      </c>
      <c r="U919" t="s">
        <v>106</v>
      </c>
      <c r="V919" t="s">
        <v>106</v>
      </c>
      <c r="W919" t="s">
        <v>373</v>
      </c>
      <c r="X919" t="s">
        <v>106</v>
      </c>
      <c r="Y919" t="s">
        <v>108</v>
      </c>
      <c r="Z919" t="s">
        <v>108</v>
      </c>
      <c r="AA919" t="s">
        <v>1954</v>
      </c>
      <c r="AB919" t="s">
        <v>106</v>
      </c>
    </row>
    <row r="920" spans="1:28" x14ac:dyDescent="0.3">
      <c r="A920" t="s">
        <v>1439</v>
      </c>
      <c r="B920">
        <v>3</v>
      </c>
      <c r="C920">
        <v>35</v>
      </c>
      <c r="D920">
        <v>9</v>
      </c>
      <c r="E920" t="s">
        <v>308</v>
      </c>
      <c r="F920" s="12">
        <v>45503</v>
      </c>
      <c r="G920" t="s">
        <v>1163</v>
      </c>
      <c r="H920" s="12" t="s">
        <v>106</v>
      </c>
      <c r="I920" t="s">
        <v>106</v>
      </c>
      <c r="J920" t="s">
        <v>106</v>
      </c>
      <c r="L920">
        <v>35.6</v>
      </c>
      <c r="P920" t="s">
        <v>106</v>
      </c>
      <c r="Q920" t="s">
        <v>106</v>
      </c>
      <c r="R920" t="s">
        <v>106</v>
      </c>
      <c r="S920" t="s">
        <v>106</v>
      </c>
      <c r="T920" t="s">
        <v>1280</v>
      </c>
      <c r="U920" t="s">
        <v>106</v>
      </c>
      <c r="V920" t="s">
        <v>106</v>
      </c>
      <c r="W920" t="s">
        <v>373</v>
      </c>
      <c r="X920" t="s">
        <v>106</v>
      </c>
      <c r="Y920" t="s">
        <v>108</v>
      </c>
      <c r="Z920" t="s">
        <v>108</v>
      </c>
      <c r="AA920" t="s">
        <v>1954</v>
      </c>
      <c r="AB920" t="s">
        <v>106</v>
      </c>
    </row>
    <row r="921" spans="1:28" x14ac:dyDescent="0.3">
      <c r="A921" t="s">
        <v>1436</v>
      </c>
      <c r="B921">
        <v>3</v>
      </c>
      <c r="C921">
        <v>35</v>
      </c>
      <c r="D921">
        <v>9</v>
      </c>
      <c r="E921" t="s">
        <v>308</v>
      </c>
      <c r="F921" s="12">
        <v>45503</v>
      </c>
      <c r="G921" t="s">
        <v>1163</v>
      </c>
      <c r="H921" s="12" t="s">
        <v>106</v>
      </c>
      <c r="I921" t="s">
        <v>106</v>
      </c>
      <c r="J921" t="s">
        <v>106</v>
      </c>
      <c r="L921">
        <v>35.6</v>
      </c>
      <c r="P921" t="s">
        <v>106</v>
      </c>
      <c r="Q921" t="s">
        <v>106</v>
      </c>
      <c r="R921" t="s">
        <v>106</v>
      </c>
      <c r="S921" t="s">
        <v>106</v>
      </c>
      <c r="T921" t="s">
        <v>1280</v>
      </c>
      <c r="U921" t="s">
        <v>106</v>
      </c>
      <c r="V921" t="s">
        <v>106</v>
      </c>
      <c r="W921" t="s">
        <v>373</v>
      </c>
      <c r="X921" t="s">
        <v>106</v>
      </c>
      <c r="Y921" t="s">
        <v>108</v>
      </c>
      <c r="Z921" t="s">
        <v>108</v>
      </c>
      <c r="AA921" t="s">
        <v>1954</v>
      </c>
      <c r="AB921" t="s">
        <v>106</v>
      </c>
    </row>
    <row r="922" spans="1:28" x14ac:dyDescent="0.3">
      <c r="A922" t="s">
        <v>1436</v>
      </c>
      <c r="B922">
        <v>3</v>
      </c>
      <c r="C922">
        <v>35</v>
      </c>
      <c r="D922">
        <v>10</v>
      </c>
      <c r="E922" t="s">
        <v>110</v>
      </c>
      <c r="F922" s="12">
        <v>45503</v>
      </c>
      <c r="G922" t="s">
        <v>375</v>
      </c>
      <c r="H922" s="12">
        <v>45503</v>
      </c>
      <c r="I922" t="s">
        <v>737</v>
      </c>
      <c r="J922" t="s">
        <v>543</v>
      </c>
      <c r="L922">
        <v>41.7</v>
      </c>
      <c r="P922" t="s">
        <v>106</v>
      </c>
      <c r="Q922" t="s">
        <v>106</v>
      </c>
      <c r="R922" t="s">
        <v>106</v>
      </c>
      <c r="S922" t="s">
        <v>106</v>
      </c>
      <c r="T922" t="s">
        <v>977</v>
      </c>
      <c r="U922" t="s">
        <v>429</v>
      </c>
      <c r="V922" t="s">
        <v>106</v>
      </c>
      <c r="W922" t="s">
        <v>373</v>
      </c>
      <c r="X922" t="s">
        <v>106</v>
      </c>
      <c r="Y922" t="s">
        <v>108</v>
      </c>
      <c r="Z922" t="s">
        <v>108</v>
      </c>
      <c r="AA922" t="s">
        <v>1954</v>
      </c>
      <c r="AB922" t="s">
        <v>106</v>
      </c>
    </row>
    <row r="923" spans="1:28" x14ac:dyDescent="0.3">
      <c r="A923" t="s">
        <v>1439</v>
      </c>
      <c r="B923">
        <v>3</v>
      </c>
      <c r="C923">
        <v>35</v>
      </c>
      <c r="D923">
        <v>7</v>
      </c>
      <c r="E923" t="s">
        <v>110</v>
      </c>
      <c r="F923" s="12">
        <v>45503</v>
      </c>
      <c r="G923" t="s">
        <v>1955</v>
      </c>
      <c r="H923" s="12">
        <v>45503</v>
      </c>
      <c r="I923" t="s">
        <v>737</v>
      </c>
      <c r="J923" t="s">
        <v>543</v>
      </c>
      <c r="L923">
        <v>40.6</v>
      </c>
      <c r="P923" t="s">
        <v>106</v>
      </c>
      <c r="Q923" t="s">
        <v>106</v>
      </c>
      <c r="R923" t="s">
        <v>106</v>
      </c>
      <c r="S923" t="s">
        <v>106</v>
      </c>
      <c r="T923" t="s">
        <v>538</v>
      </c>
      <c r="U923" t="s">
        <v>429</v>
      </c>
      <c r="V923" t="s">
        <v>106</v>
      </c>
      <c r="W923" t="s">
        <v>373</v>
      </c>
      <c r="X923" t="s">
        <v>106</v>
      </c>
      <c r="Y923" t="s">
        <v>108</v>
      </c>
      <c r="Z923" t="s">
        <v>108</v>
      </c>
      <c r="AA923" t="s">
        <v>1954</v>
      </c>
      <c r="AB923" t="s">
        <v>106</v>
      </c>
    </row>
    <row r="924" spans="1:28" x14ac:dyDescent="0.3">
      <c r="A924" t="s">
        <v>1436</v>
      </c>
      <c r="B924">
        <v>3</v>
      </c>
      <c r="C924">
        <v>35</v>
      </c>
      <c r="D924">
        <v>2</v>
      </c>
      <c r="E924" t="s">
        <v>308</v>
      </c>
      <c r="F924" s="12">
        <v>45503</v>
      </c>
      <c r="G924" t="s">
        <v>856</v>
      </c>
      <c r="H924" s="12" t="s">
        <v>106</v>
      </c>
      <c r="I924" t="s">
        <v>106</v>
      </c>
      <c r="J924" t="s">
        <v>106</v>
      </c>
      <c r="L924">
        <v>37.299999999999997</v>
      </c>
      <c r="P924" t="s">
        <v>106</v>
      </c>
      <c r="Q924" t="s">
        <v>106</v>
      </c>
      <c r="R924" t="s">
        <v>106</v>
      </c>
      <c r="S924" t="s">
        <v>106</v>
      </c>
      <c r="T924" t="s">
        <v>977</v>
      </c>
      <c r="U924" t="s">
        <v>106</v>
      </c>
      <c r="V924" t="s">
        <v>106</v>
      </c>
      <c r="W924" t="s">
        <v>373</v>
      </c>
      <c r="X924" t="s">
        <v>106</v>
      </c>
      <c r="Y924" t="s">
        <v>108</v>
      </c>
      <c r="Z924" t="s">
        <v>108</v>
      </c>
      <c r="AA924" t="s">
        <v>1954</v>
      </c>
      <c r="AB924" t="s">
        <v>106</v>
      </c>
    </row>
    <row r="925" spans="1:28" x14ac:dyDescent="0.3">
      <c r="A925" t="s">
        <v>1439</v>
      </c>
      <c r="B925">
        <v>4</v>
      </c>
      <c r="C925">
        <v>60</v>
      </c>
      <c r="D925">
        <v>3</v>
      </c>
      <c r="E925" t="s">
        <v>308</v>
      </c>
      <c r="F925" s="12">
        <v>45503</v>
      </c>
      <c r="G925" t="s">
        <v>131</v>
      </c>
      <c r="H925" s="12" t="s">
        <v>106</v>
      </c>
      <c r="I925" t="s">
        <v>106</v>
      </c>
      <c r="J925" t="s">
        <v>106</v>
      </c>
      <c r="L925">
        <v>60.9</v>
      </c>
      <c r="P925" t="s">
        <v>106</v>
      </c>
      <c r="Q925" t="s">
        <v>106</v>
      </c>
      <c r="R925" t="s">
        <v>106</v>
      </c>
      <c r="S925" t="s">
        <v>106</v>
      </c>
      <c r="T925" t="s">
        <v>1606</v>
      </c>
      <c r="U925" t="s">
        <v>106</v>
      </c>
      <c r="V925" t="s">
        <v>106</v>
      </c>
      <c r="W925" t="s">
        <v>373</v>
      </c>
      <c r="X925" t="s">
        <v>106</v>
      </c>
      <c r="Y925" t="s">
        <v>108</v>
      </c>
      <c r="Z925" t="s">
        <v>104</v>
      </c>
      <c r="AA925" t="s">
        <v>1954</v>
      </c>
      <c r="AB925" t="s">
        <v>106</v>
      </c>
    </row>
    <row r="926" spans="1:28" x14ac:dyDescent="0.3">
      <c r="A926" t="s">
        <v>1439</v>
      </c>
      <c r="B926">
        <v>4</v>
      </c>
      <c r="C926">
        <v>60</v>
      </c>
      <c r="D926">
        <v>8</v>
      </c>
      <c r="E926" t="s">
        <v>110</v>
      </c>
      <c r="F926" s="12">
        <v>45503</v>
      </c>
      <c r="G926" t="s">
        <v>1163</v>
      </c>
      <c r="H926" s="12">
        <v>45503</v>
      </c>
      <c r="I926" t="s">
        <v>737</v>
      </c>
      <c r="J926" t="s">
        <v>543</v>
      </c>
      <c r="L926">
        <v>67.2</v>
      </c>
      <c r="P926" t="s">
        <v>106</v>
      </c>
      <c r="Q926" t="s">
        <v>106</v>
      </c>
      <c r="R926" t="s">
        <v>106</v>
      </c>
      <c r="S926" t="s">
        <v>1367</v>
      </c>
      <c r="T926" t="s">
        <v>1589</v>
      </c>
      <c r="U926" t="s">
        <v>429</v>
      </c>
      <c r="V926" t="s">
        <v>106</v>
      </c>
      <c r="W926" t="s">
        <v>373</v>
      </c>
      <c r="X926" t="s">
        <v>106</v>
      </c>
      <c r="Y926" t="s">
        <v>108</v>
      </c>
      <c r="Z926" t="s">
        <v>104</v>
      </c>
      <c r="AA926" t="s">
        <v>1954</v>
      </c>
      <c r="AB926" t="s">
        <v>106</v>
      </c>
    </row>
    <row r="927" spans="1:28" x14ac:dyDescent="0.3">
      <c r="A927" t="s">
        <v>1436</v>
      </c>
      <c r="B927">
        <v>4</v>
      </c>
      <c r="C927">
        <v>60</v>
      </c>
      <c r="D927">
        <v>3</v>
      </c>
      <c r="E927" t="s">
        <v>308</v>
      </c>
      <c r="F927" s="12">
        <v>45503</v>
      </c>
      <c r="G927" t="s">
        <v>131</v>
      </c>
      <c r="H927" s="12" t="s">
        <v>106</v>
      </c>
      <c r="I927" t="s">
        <v>106</v>
      </c>
      <c r="J927" t="s">
        <v>106</v>
      </c>
      <c r="L927">
        <v>60.9</v>
      </c>
      <c r="P927" t="s">
        <v>106</v>
      </c>
      <c r="Q927" t="s">
        <v>106</v>
      </c>
      <c r="R927" t="s">
        <v>106</v>
      </c>
      <c r="S927" t="s">
        <v>106</v>
      </c>
      <c r="T927" t="s">
        <v>1606</v>
      </c>
      <c r="U927" t="s">
        <v>106</v>
      </c>
      <c r="V927" t="s">
        <v>106</v>
      </c>
      <c r="W927" t="s">
        <v>373</v>
      </c>
      <c r="X927" t="s">
        <v>106</v>
      </c>
      <c r="Y927" t="s">
        <v>108</v>
      </c>
      <c r="Z927" t="s">
        <v>104</v>
      </c>
      <c r="AA927" t="s">
        <v>1954</v>
      </c>
      <c r="AB927" t="s">
        <v>106</v>
      </c>
    </row>
    <row r="928" spans="1:28" x14ac:dyDescent="0.3">
      <c r="A928" t="s">
        <v>1436</v>
      </c>
      <c r="B928">
        <v>4</v>
      </c>
      <c r="C928">
        <v>60</v>
      </c>
      <c r="D928">
        <v>8</v>
      </c>
      <c r="E928" t="s">
        <v>110</v>
      </c>
      <c r="F928" s="12">
        <v>45503</v>
      </c>
      <c r="G928" t="s">
        <v>1163</v>
      </c>
      <c r="H928" s="12">
        <v>45503</v>
      </c>
      <c r="I928" t="s">
        <v>737</v>
      </c>
      <c r="J928" t="s">
        <v>543</v>
      </c>
      <c r="L928">
        <v>67.2</v>
      </c>
      <c r="P928" t="s">
        <v>106</v>
      </c>
      <c r="Q928" t="s">
        <v>106</v>
      </c>
      <c r="R928" t="s">
        <v>106</v>
      </c>
      <c r="S928" t="s">
        <v>1367</v>
      </c>
      <c r="T928" t="s">
        <v>1589</v>
      </c>
      <c r="U928" t="s">
        <v>429</v>
      </c>
      <c r="V928" t="s">
        <v>106</v>
      </c>
      <c r="W928" t="s">
        <v>373</v>
      </c>
      <c r="X928" t="s">
        <v>106</v>
      </c>
      <c r="Y928" t="s">
        <v>108</v>
      </c>
      <c r="Z928" t="s">
        <v>104</v>
      </c>
      <c r="AA928" t="s">
        <v>1954</v>
      </c>
      <c r="AB928" t="s">
        <v>106</v>
      </c>
    </row>
    <row r="929" spans="1:28" x14ac:dyDescent="0.3">
      <c r="A929" t="s">
        <v>1440</v>
      </c>
      <c r="B929">
        <v>1</v>
      </c>
      <c r="C929">
        <v>0</v>
      </c>
      <c r="D929">
        <v>10</v>
      </c>
      <c r="E929" t="s">
        <v>110</v>
      </c>
      <c r="F929" s="12">
        <v>45504</v>
      </c>
      <c r="G929" t="s">
        <v>134</v>
      </c>
      <c r="H929" s="12">
        <v>45504</v>
      </c>
      <c r="I929" t="s">
        <v>1441</v>
      </c>
      <c r="J929" t="s">
        <v>543</v>
      </c>
      <c r="L929">
        <v>0</v>
      </c>
      <c r="P929" t="s">
        <v>106</v>
      </c>
      <c r="Q929" t="s">
        <v>106</v>
      </c>
      <c r="R929" t="s">
        <v>106</v>
      </c>
      <c r="S929" t="s">
        <v>1442</v>
      </c>
      <c r="T929" t="s">
        <v>1425</v>
      </c>
      <c r="U929" t="s">
        <v>106</v>
      </c>
      <c r="V929" t="s">
        <v>106</v>
      </c>
      <c r="W929" t="s">
        <v>373</v>
      </c>
      <c r="X929" t="s">
        <v>106</v>
      </c>
      <c r="Y929" t="s">
        <v>108</v>
      </c>
      <c r="Z929" t="s">
        <v>105</v>
      </c>
      <c r="AA929" t="s">
        <v>1316</v>
      </c>
      <c r="AB929" t="s">
        <v>106</v>
      </c>
    </row>
    <row r="930" spans="1:28" x14ac:dyDescent="0.3">
      <c r="A930" t="s">
        <v>1440</v>
      </c>
      <c r="B930">
        <v>1</v>
      </c>
      <c r="C930">
        <v>0</v>
      </c>
      <c r="D930">
        <v>11</v>
      </c>
      <c r="E930" t="s">
        <v>110</v>
      </c>
      <c r="F930" s="12">
        <v>45504</v>
      </c>
      <c r="G930" t="s">
        <v>134</v>
      </c>
      <c r="H930" s="12">
        <v>45504</v>
      </c>
      <c r="I930" t="s">
        <v>1441</v>
      </c>
      <c r="J930" t="s">
        <v>543</v>
      </c>
      <c r="L930">
        <v>0</v>
      </c>
      <c r="P930" t="s">
        <v>106</v>
      </c>
      <c r="Q930" t="s">
        <v>106</v>
      </c>
      <c r="R930" t="s">
        <v>106</v>
      </c>
      <c r="S930" t="s">
        <v>106</v>
      </c>
      <c r="T930" t="s">
        <v>1443</v>
      </c>
      <c r="U930" t="s">
        <v>106</v>
      </c>
      <c r="V930" t="s">
        <v>106</v>
      </c>
      <c r="W930" t="s">
        <v>373</v>
      </c>
      <c r="X930" t="s">
        <v>106</v>
      </c>
      <c r="Y930" t="s">
        <v>108</v>
      </c>
      <c r="Z930" t="s">
        <v>105</v>
      </c>
      <c r="AA930" t="s">
        <v>1316</v>
      </c>
      <c r="AB930" t="s">
        <v>106</v>
      </c>
    </row>
    <row r="931" spans="1:28" x14ac:dyDescent="0.3">
      <c r="A931" t="s">
        <v>1439</v>
      </c>
      <c r="B931">
        <v>2</v>
      </c>
      <c r="C931">
        <v>15</v>
      </c>
      <c r="D931">
        <v>13</v>
      </c>
      <c r="E931" t="s">
        <v>110</v>
      </c>
      <c r="F931" s="12">
        <v>45504</v>
      </c>
      <c r="G931" t="s">
        <v>1956</v>
      </c>
      <c r="H931" s="12">
        <v>45504</v>
      </c>
      <c r="I931" t="s">
        <v>354</v>
      </c>
      <c r="J931" t="s">
        <v>543</v>
      </c>
      <c r="L931">
        <v>15.6</v>
      </c>
      <c r="P931" t="s">
        <v>106</v>
      </c>
      <c r="Q931" t="s">
        <v>106</v>
      </c>
      <c r="R931" t="s">
        <v>106</v>
      </c>
      <c r="S931" t="s">
        <v>1789</v>
      </c>
      <c r="T931" t="s">
        <v>1372</v>
      </c>
      <c r="U931" t="s">
        <v>1356</v>
      </c>
      <c r="V931" t="s">
        <v>106</v>
      </c>
      <c r="W931" t="s">
        <v>373</v>
      </c>
      <c r="X931" t="s">
        <v>106</v>
      </c>
      <c r="Y931" t="s">
        <v>108</v>
      </c>
      <c r="Z931" t="s">
        <v>109</v>
      </c>
      <c r="AA931" t="s">
        <v>1954</v>
      </c>
      <c r="AB931" t="s">
        <v>106</v>
      </c>
    </row>
    <row r="932" spans="1:28" x14ac:dyDescent="0.3">
      <c r="A932" t="s">
        <v>1436</v>
      </c>
      <c r="B932">
        <v>2</v>
      </c>
      <c r="C932">
        <v>15</v>
      </c>
      <c r="D932">
        <v>13</v>
      </c>
      <c r="E932" t="s">
        <v>110</v>
      </c>
      <c r="F932" s="12">
        <v>45504</v>
      </c>
      <c r="G932" t="s">
        <v>1956</v>
      </c>
      <c r="H932" s="12">
        <v>45504</v>
      </c>
      <c r="I932" t="s">
        <v>354</v>
      </c>
      <c r="J932" t="s">
        <v>543</v>
      </c>
      <c r="L932">
        <v>15.6</v>
      </c>
      <c r="P932" t="s">
        <v>106</v>
      </c>
      <c r="Q932" t="s">
        <v>106</v>
      </c>
      <c r="R932" t="s">
        <v>106</v>
      </c>
      <c r="S932" t="s">
        <v>1789</v>
      </c>
      <c r="T932" t="s">
        <v>1372</v>
      </c>
      <c r="U932" t="s">
        <v>1356</v>
      </c>
      <c r="V932" t="s">
        <v>106</v>
      </c>
      <c r="W932" t="s">
        <v>373</v>
      </c>
      <c r="X932" t="s">
        <v>106</v>
      </c>
      <c r="Y932" t="s">
        <v>108</v>
      </c>
      <c r="Z932" t="s">
        <v>109</v>
      </c>
      <c r="AA932" t="s">
        <v>1954</v>
      </c>
      <c r="AB932" t="s">
        <v>106</v>
      </c>
    </row>
    <row r="933" spans="1:28" x14ac:dyDescent="0.3">
      <c r="A933" t="s">
        <v>1440</v>
      </c>
      <c r="B933">
        <v>2</v>
      </c>
      <c r="C933">
        <v>15</v>
      </c>
      <c r="D933">
        <v>1</v>
      </c>
      <c r="E933" t="s">
        <v>308</v>
      </c>
      <c r="F933" s="12">
        <v>45504</v>
      </c>
      <c r="G933" t="s">
        <v>403</v>
      </c>
      <c r="H933" s="12" t="s">
        <v>106</v>
      </c>
      <c r="I933" t="s">
        <v>106</v>
      </c>
      <c r="J933" t="s">
        <v>106</v>
      </c>
      <c r="L933">
        <v>16.7</v>
      </c>
      <c r="P933" t="s">
        <v>106</v>
      </c>
      <c r="Q933" t="s">
        <v>106</v>
      </c>
      <c r="R933" t="s">
        <v>106</v>
      </c>
      <c r="S933" t="s">
        <v>106</v>
      </c>
      <c r="T933" t="s">
        <v>781</v>
      </c>
      <c r="U933" t="s">
        <v>106</v>
      </c>
      <c r="V933" t="s">
        <v>106</v>
      </c>
      <c r="W933" t="s">
        <v>373</v>
      </c>
      <c r="X933" t="s">
        <v>106</v>
      </c>
      <c r="Y933" t="s">
        <v>108</v>
      </c>
      <c r="Z933" t="s">
        <v>109</v>
      </c>
      <c r="AA933" t="s">
        <v>1954</v>
      </c>
      <c r="AB933" t="s">
        <v>106</v>
      </c>
    </row>
    <row r="934" spans="1:28" x14ac:dyDescent="0.3">
      <c r="A934" t="s">
        <v>1440</v>
      </c>
      <c r="B934">
        <v>2</v>
      </c>
      <c r="C934">
        <v>15</v>
      </c>
      <c r="D934">
        <v>4</v>
      </c>
      <c r="E934" t="s">
        <v>110</v>
      </c>
      <c r="F934" s="12">
        <v>45504</v>
      </c>
      <c r="G934" t="s">
        <v>1957</v>
      </c>
      <c r="H934" s="12">
        <v>45504</v>
      </c>
      <c r="I934" t="s">
        <v>1441</v>
      </c>
      <c r="J934" t="s">
        <v>543</v>
      </c>
      <c r="L934">
        <v>16.3</v>
      </c>
      <c r="P934" t="s">
        <v>106</v>
      </c>
      <c r="Q934" t="s">
        <v>106</v>
      </c>
      <c r="R934" t="s">
        <v>106</v>
      </c>
      <c r="S934" t="s">
        <v>1430</v>
      </c>
      <c r="T934" t="s">
        <v>666</v>
      </c>
      <c r="U934" t="s">
        <v>106</v>
      </c>
      <c r="V934" t="s">
        <v>106</v>
      </c>
      <c r="W934" t="s">
        <v>373</v>
      </c>
      <c r="X934" t="s">
        <v>106</v>
      </c>
      <c r="Y934" t="s">
        <v>108</v>
      </c>
      <c r="Z934" t="s">
        <v>109</v>
      </c>
      <c r="AA934" t="s">
        <v>1954</v>
      </c>
      <c r="AB934" t="s">
        <v>106</v>
      </c>
    </row>
    <row r="935" spans="1:28" x14ac:dyDescent="0.3">
      <c r="A935" t="s">
        <v>1440</v>
      </c>
      <c r="B935">
        <v>2</v>
      </c>
      <c r="C935">
        <v>15</v>
      </c>
      <c r="D935">
        <v>5</v>
      </c>
      <c r="E935" t="s">
        <v>110</v>
      </c>
      <c r="F935" s="12">
        <v>45504</v>
      </c>
      <c r="G935" t="s">
        <v>1957</v>
      </c>
      <c r="H935" s="12">
        <v>45504</v>
      </c>
      <c r="I935" t="s">
        <v>1441</v>
      </c>
      <c r="J935" t="s">
        <v>543</v>
      </c>
      <c r="L935">
        <v>16.100000000000001</v>
      </c>
      <c r="P935" t="s">
        <v>106</v>
      </c>
      <c r="Q935" t="s">
        <v>106</v>
      </c>
      <c r="R935" t="s">
        <v>106</v>
      </c>
      <c r="S935" t="s">
        <v>106</v>
      </c>
      <c r="T935" t="s">
        <v>1217</v>
      </c>
      <c r="U935" t="s">
        <v>106</v>
      </c>
      <c r="V935" t="s">
        <v>106</v>
      </c>
      <c r="W935" t="s">
        <v>373</v>
      </c>
      <c r="X935" t="s">
        <v>106</v>
      </c>
      <c r="Y935" t="s">
        <v>108</v>
      </c>
      <c r="Z935" t="s">
        <v>109</v>
      </c>
      <c r="AA935" t="s">
        <v>1954</v>
      </c>
      <c r="AB935" t="s">
        <v>106</v>
      </c>
    </row>
    <row r="936" spans="1:28" x14ac:dyDescent="0.3">
      <c r="A936" t="s">
        <v>1439</v>
      </c>
      <c r="B936">
        <v>3</v>
      </c>
      <c r="C936">
        <v>35</v>
      </c>
      <c r="D936">
        <v>14</v>
      </c>
      <c r="E936" t="s">
        <v>110</v>
      </c>
      <c r="F936" s="12">
        <v>45504</v>
      </c>
      <c r="G936" t="s">
        <v>1956</v>
      </c>
      <c r="H936" s="12">
        <v>45504</v>
      </c>
      <c r="I936" t="s">
        <v>354</v>
      </c>
      <c r="J936" t="s">
        <v>543</v>
      </c>
      <c r="L936">
        <v>37</v>
      </c>
      <c r="P936" t="s">
        <v>106</v>
      </c>
      <c r="Q936" t="s">
        <v>106</v>
      </c>
      <c r="R936" t="s">
        <v>106</v>
      </c>
      <c r="S936" t="s">
        <v>106</v>
      </c>
      <c r="T936" t="s">
        <v>882</v>
      </c>
      <c r="U936" t="s">
        <v>1351</v>
      </c>
      <c r="V936" t="s">
        <v>106</v>
      </c>
      <c r="W936" t="s">
        <v>373</v>
      </c>
      <c r="X936" t="s">
        <v>106</v>
      </c>
      <c r="Y936" t="s">
        <v>108</v>
      </c>
      <c r="Z936" t="s">
        <v>108</v>
      </c>
      <c r="AA936" t="s">
        <v>1954</v>
      </c>
      <c r="AB936" t="s">
        <v>106</v>
      </c>
    </row>
    <row r="937" spans="1:28" x14ac:dyDescent="0.3">
      <c r="A937" t="s">
        <v>1440</v>
      </c>
      <c r="B937">
        <v>3</v>
      </c>
      <c r="C937">
        <v>35</v>
      </c>
      <c r="D937">
        <v>2</v>
      </c>
      <c r="E937" t="s">
        <v>308</v>
      </c>
      <c r="F937" s="12">
        <v>45504</v>
      </c>
      <c r="G937" t="s">
        <v>2430</v>
      </c>
      <c r="H937" s="12" t="s">
        <v>106</v>
      </c>
      <c r="I937" t="s">
        <v>106</v>
      </c>
      <c r="J937" t="s">
        <v>106</v>
      </c>
      <c r="L937">
        <v>35.6</v>
      </c>
      <c r="P937" t="s">
        <v>106</v>
      </c>
      <c r="Q937" t="s">
        <v>106</v>
      </c>
      <c r="R937" t="s">
        <v>106</v>
      </c>
      <c r="S937" t="s">
        <v>106</v>
      </c>
      <c r="T937" t="s">
        <v>1280</v>
      </c>
      <c r="U937" t="s">
        <v>106</v>
      </c>
      <c r="V937" t="s">
        <v>106</v>
      </c>
      <c r="W937" t="s">
        <v>373</v>
      </c>
      <c r="X937" t="s">
        <v>106</v>
      </c>
      <c r="Y937" t="s">
        <v>108</v>
      </c>
      <c r="Z937" t="s">
        <v>108</v>
      </c>
      <c r="AA937" t="s">
        <v>1954</v>
      </c>
      <c r="AB937" t="s">
        <v>106</v>
      </c>
    </row>
    <row r="938" spans="1:28" x14ac:dyDescent="0.3">
      <c r="A938" t="s">
        <v>1436</v>
      </c>
      <c r="B938">
        <v>3</v>
      </c>
      <c r="C938">
        <v>35</v>
      </c>
      <c r="D938">
        <v>14</v>
      </c>
      <c r="E938" t="s">
        <v>110</v>
      </c>
      <c r="F938" s="12">
        <v>45504</v>
      </c>
      <c r="G938" t="s">
        <v>1956</v>
      </c>
      <c r="H938" s="12">
        <v>45504</v>
      </c>
      <c r="I938" t="s">
        <v>354</v>
      </c>
      <c r="J938" t="s">
        <v>543</v>
      </c>
      <c r="L938">
        <v>37</v>
      </c>
      <c r="P938" t="s">
        <v>106</v>
      </c>
      <c r="Q938" t="s">
        <v>106</v>
      </c>
      <c r="R938" t="s">
        <v>106</v>
      </c>
      <c r="S938" t="s">
        <v>106</v>
      </c>
      <c r="T938" t="s">
        <v>882</v>
      </c>
      <c r="U938" t="s">
        <v>1351</v>
      </c>
      <c r="V938" t="s">
        <v>106</v>
      </c>
      <c r="W938" t="s">
        <v>373</v>
      </c>
      <c r="X938" t="s">
        <v>106</v>
      </c>
      <c r="Y938" t="s">
        <v>108</v>
      </c>
      <c r="Z938" t="s">
        <v>108</v>
      </c>
      <c r="AA938" t="s">
        <v>1954</v>
      </c>
      <c r="AB938" t="s">
        <v>106</v>
      </c>
    </row>
    <row r="939" spans="1:28" x14ac:dyDescent="0.3">
      <c r="A939" t="s">
        <v>1440</v>
      </c>
      <c r="B939">
        <v>3</v>
      </c>
      <c r="C939">
        <v>35</v>
      </c>
      <c r="D939">
        <v>6</v>
      </c>
      <c r="E939" t="s">
        <v>110</v>
      </c>
      <c r="F939" s="12">
        <v>45504</v>
      </c>
      <c r="G939" t="s">
        <v>930</v>
      </c>
      <c r="H939" s="12">
        <v>45504</v>
      </c>
      <c r="I939" t="s">
        <v>1441</v>
      </c>
      <c r="J939" t="s">
        <v>543</v>
      </c>
      <c r="L939">
        <v>37.299999999999997</v>
      </c>
      <c r="P939" t="s">
        <v>106</v>
      </c>
      <c r="Q939" t="s">
        <v>106</v>
      </c>
      <c r="R939" t="s">
        <v>106</v>
      </c>
      <c r="S939" t="s">
        <v>2388</v>
      </c>
      <c r="T939" t="s">
        <v>1565</v>
      </c>
      <c r="U939" t="s">
        <v>106</v>
      </c>
      <c r="V939" t="s">
        <v>106</v>
      </c>
      <c r="W939" t="s">
        <v>373</v>
      </c>
      <c r="X939" t="s">
        <v>106</v>
      </c>
      <c r="Y939" t="s">
        <v>108</v>
      </c>
      <c r="Z939" t="s">
        <v>108</v>
      </c>
      <c r="AA939" t="s">
        <v>1954</v>
      </c>
      <c r="AB939" t="s">
        <v>106</v>
      </c>
    </row>
    <row r="940" spans="1:28" x14ac:dyDescent="0.3">
      <c r="A940" t="s">
        <v>1436</v>
      </c>
      <c r="B940">
        <v>3</v>
      </c>
      <c r="C940">
        <v>35</v>
      </c>
      <c r="D940">
        <v>15</v>
      </c>
      <c r="E940" t="s">
        <v>110</v>
      </c>
      <c r="F940" s="12">
        <v>45504</v>
      </c>
      <c r="G940" t="s">
        <v>1956</v>
      </c>
      <c r="H940" s="12">
        <v>45504</v>
      </c>
      <c r="I940" t="s">
        <v>354</v>
      </c>
      <c r="J940" t="s">
        <v>543</v>
      </c>
      <c r="L940">
        <v>37.1</v>
      </c>
      <c r="P940" t="s">
        <v>106</v>
      </c>
      <c r="Q940" t="s">
        <v>106</v>
      </c>
      <c r="R940" t="s">
        <v>106</v>
      </c>
      <c r="S940" t="s">
        <v>1777</v>
      </c>
      <c r="T940" t="s">
        <v>1120</v>
      </c>
      <c r="U940" t="s">
        <v>1626</v>
      </c>
      <c r="V940" t="s">
        <v>106</v>
      </c>
      <c r="W940" t="s">
        <v>373</v>
      </c>
      <c r="X940" t="s">
        <v>106</v>
      </c>
      <c r="Y940" t="s">
        <v>108</v>
      </c>
      <c r="Z940" t="s">
        <v>108</v>
      </c>
      <c r="AA940" t="s">
        <v>1954</v>
      </c>
      <c r="AB940" t="s">
        <v>106</v>
      </c>
    </row>
    <row r="941" spans="1:28" x14ac:dyDescent="0.3">
      <c r="A941" t="s">
        <v>1440</v>
      </c>
      <c r="B941">
        <v>3</v>
      </c>
      <c r="C941">
        <v>35</v>
      </c>
      <c r="D941">
        <v>7</v>
      </c>
      <c r="E941" t="s">
        <v>110</v>
      </c>
      <c r="F941" s="12">
        <v>45504</v>
      </c>
      <c r="G941" t="s">
        <v>321</v>
      </c>
      <c r="H941" s="12">
        <v>45504</v>
      </c>
      <c r="I941" t="s">
        <v>1441</v>
      </c>
      <c r="J941" t="s">
        <v>543</v>
      </c>
      <c r="L941">
        <v>36.799999999999997</v>
      </c>
      <c r="P941" t="s">
        <v>106</v>
      </c>
      <c r="Q941" t="s">
        <v>106</v>
      </c>
      <c r="R941" t="s">
        <v>106</v>
      </c>
      <c r="S941" t="s">
        <v>106</v>
      </c>
      <c r="T941" t="s">
        <v>1549</v>
      </c>
      <c r="U941" t="s">
        <v>106</v>
      </c>
      <c r="V941" t="s">
        <v>106</v>
      </c>
      <c r="W941" t="s">
        <v>373</v>
      </c>
      <c r="X941" t="s">
        <v>106</v>
      </c>
      <c r="Y941" t="s">
        <v>108</v>
      </c>
      <c r="Z941" t="s">
        <v>108</v>
      </c>
      <c r="AA941" t="s">
        <v>1954</v>
      </c>
      <c r="AB941" t="s">
        <v>106</v>
      </c>
    </row>
    <row r="942" spans="1:28" x14ac:dyDescent="0.3">
      <c r="A942" t="s">
        <v>1439</v>
      </c>
      <c r="B942">
        <v>3</v>
      </c>
      <c r="C942">
        <v>35</v>
      </c>
      <c r="D942">
        <v>15</v>
      </c>
      <c r="E942" t="s">
        <v>110</v>
      </c>
      <c r="F942" s="12">
        <v>45504</v>
      </c>
      <c r="G942" t="s">
        <v>1956</v>
      </c>
      <c r="H942" s="12">
        <v>45504</v>
      </c>
      <c r="I942" t="s">
        <v>354</v>
      </c>
      <c r="J942" t="s">
        <v>543</v>
      </c>
      <c r="L942">
        <v>37.1</v>
      </c>
      <c r="P942" t="s">
        <v>106</v>
      </c>
      <c r="Q942" t="s">
        <v>106</v>
      </c>
      <c r="R942" t="s">
        <v>106</v>
      </c>
      <c r="S942" t="s">
        <v>1777</v>
      </c>
      <c r="T942" t="s">
        <v>1120</v>
      </c>
      <c r="U942" t="s">
        <v>1626</v>
      </c>
      <c r="V942" t="s">
        <v>106</v>
      </c>
      <c r="W942" t="s">
        <v>373</v>
      </c>
      <c r="X942" t="s">
        <v>106</v>
      </c>
      <c r="Y942" t="s">
        <v>108</v>
      </c>
      <c r="Z942" t="s">
        <v>108</v>
      </c>
      <c r="AA942" t="s">
        <v>1954</v>
      </c>
      <c r="AB942" t="s">
        <v>106</v>
      </c>
    </row>
    <row r="943" spans="1:28" x14ac:dyDescent="0.3">
      <c r="A943" t="s">
        <v>1440</v>
      </c>
      <c r="B943">
        <v>4</v>
      </c>
      <c r="C943">
        <v>60</v>
      </c>
      <c r="D943">
        <v>9</v>
      </c>
      <c r="E943" t="s">
        <v>110</v>
      </c>
      <c r="F943" s="12">
        <v>45504</v>
      </c>
      <c r="G943" t="s">
        <v>2040</v>
      </c>
      <c r="H943" s="12">
        <v>45504</v>
      </c>
      <c r="I943" t="s">
        <v>1441</v>
      </c>
      <c r="J943" t="s">
        <v>543</v>
      </c>
      <c r="L943">
        <v>61.7</v>
      </c>
      <c r="P943" t="s">
        <v>106</v>
      </c>
      <c r="Q943" t="s">
        <v>106</v>
      </c>
      <c r="R943" t="s">
        <v>106</v>
      </c>
      <c r="S943" t="s">
        <v>106</v>
      </c>
      <c r="T943" t="s">
        <v>2627</v>
      </c>
      <c r="U943" t="s">
        <v>106</v>
      </c>
      <c r="V943" t="s">
        <v>106</v>
      </c>
      <c r="W943" t="s">
        <v>373</v>
      </c>
      <c r="X943" t="s">
        <v>106</v>
      </c>
      <c r="Y943" t="s">
        <v>108</v>
      </c>
      <c r="Z943" t="s">
        <v>104</v>
      </c>
      <c r="AA943" t="s">
        <v>1954</v>
      </c>
      <c r="AB943" t="s">
        <v>106</v>
      </c>
    </row>
    <row r="944" spans="1:28" x14ac:dyDescent="0.3">
      <c r="A944" t="s">
        <v>1440</v>
      </c>
      <c r="B944">
        <v>4</v>
      </c>
      <c r="C944">
        <v>60</v>
      </c>
      <c r="D944">
        <v>8</v>
      </c>
      <c r="E944" t="s">
        <v>110</v>
      </c>
      <c r="F944" s="12">
        <v>45504</v>
      </c>
      <c r="G944" t="s">
        <v>1412</v>
      </c>
      <c r="H944" s="12">
        <v>45504</v>
      </c>
      <c r="I944" t="s">
        <v>1441</v>
      </c>
      <c r="J944" t="s">
        <v>543</v>
      </c>
      <c r="L944">
        <v>61.8</v>
      </c>
      <c r="P944" t="s">
        <v>106</v>
      </c>
      <c r="Q944" t="s">
        <v>106</v>
      </c>
      <c r="R944" t="s">
        <v>106</v>
      </c>
      <c r="S944" t="s">
        <v>2179</v>
      </c>
      <c r="T944" t="s">
        <v>1006</v>
      </c>
      <c r="U944" t="s">
        <v>106</v>
      </c>
      <c r="V944" t="s">
        <v>106</v>
      </c>
      <c r="W944" t="s">
        <v>373</v>
      </c>
      <c r="X944" t="s">
        <v>106</v>
      </c>
      <c r="Y944" t="s">
        <v>108</v>
      </c>
      <c r="Z944" t="s">
        <v>104</v>
      </c>
      <c r="AA944" t="s">
        <v>1954</v>
      </c>
      <c r="AB944" t="s">
        <v>106</v>
      </c>
    </row>
    <row r="945" spans="1:28" x14ac:dyDescent="0.3">
      <c r="A945" t="s">
        <v>1440</v>
      </c>
      <c r="B945">
        <v>4</v>
      </c>
      <c r="C945">
        <v>60</v>
      </c>
      <c r="D945">
        <v>3</v>
      </c>
      <c r="E945" t="s">
        <v>308</v>
      </c>
      <c r="F945" s="12">
        <v>45504</v>
      </c>
      <c r="G945" t="s">
        <v>2430</v>
      </c>
      <c r="H945" s="12" t="s">
        <v>106</v>
      </c>
      <c r="I945" t="s">
        <v>106</v>
      </c>
      <c r="J945" t="s">
        <v>106</v>
      </c>
      <c r="L945">
        <v>60.9</v>
      </c>
      <c r="P945" t="s">
        <v>106</v>
      </c>
      <c r="Q945" t="s">
        <v>106</v>
      </c>
      <c r="R945" t="s">
        <v>106</v>
      </c>
      <c r="S945" t="s">
        <v>106</v>
      </c>
      <c r="T945" t="s">
        <v>977</v>
      </c>
      <c r="U945" t="s">
        <v>106</v>
      </c>
      <c r="V945" t="s">
        <v>106</v>
      </c>
      <c r="W945" t="s">
        <v>373</v>
      </c>
      <c r="X945" t="s">
        <v>106</v>
      </c>
      <c r="Y945" t="s">
        <v>108</v>
      </c>
      <c r="Z945" t="s">
        <v>104</v>
      </c>
      <c r="AA945" t="s">
        <v>1954</v>
      </c>
      <c r="AB945" t="s">
        <v>106</v>
      </c>
    </row>
    <row r="946" spans="1:28" x14ac:dyDescent="0.3">
      <c r="A946" t="s">
        <v>1436</v>
      </c>
      <c r="B946">
        <v>4</v>
      </c>
      <c r="C946">
        <v>60</v>
      </c>
      <c r="D946">
        <v>16</v>
      </c>
      <c r="E946" t="s">
        <v>110</v>
      </c>
      <c r="F946" s="12">
        <v>45504</v>
      </c>
      <c r="G946" t="s">
        <v>2064</v>
      </c>
      <c r="H946" s="12">
        <v>45504</v>
      </c>
      <c r="I946" t="s">
        <v>354</v>
      </c>
      <c r="J946" t="s">
        <v>543</v>
      </c>
      <c r="L946">
        <v>63.8</v>
      </c>
      <c r="P946" t="s">
        <v>106</v>
      </c>
      <c r="Q946" t="s">
        <v>106</v>
      </c>
      <c r="R946" t="s">
        <v>106</v>
      </c>
      <c r="S946" t="s">
        <v>1404</v>
      </c>
      <c r="T946" t="s">
        <v>1379</v>
      </c>
      <c r="U946" t="s">
        <v>1483</v>
      </c>
      <c r="V946" t="s">
        <v>106</v>
      </c>
      <c r="W946" t="s">
        <v>373</v>
      </c>
      <c r="X946" t="s">
        <v>106</v>
      </c>
      <c r="Y946" t="s">
        <v>108</v>
      </c>
      <c r="Z946" t="s">
        <v>104</v>
      </c>
      <c r="AA946" t="s">
        <v>1954</v>
      </c>
      <c r="AB946" t="s">
        <v>106</v>
      </c>
    </row>
    <row r="947" spans="1:28" x14ac:dyDescent="0.3">
      <c r="A947" t="s">
        <v>1439</v>
      </c>
      <c r="B947">
        <v>4</v>
      </c>
      <c r="C947">
        <v>60</v>
      </c>
      <c r="D947">
        <v>16</v>
      </c>
      <c r="E947" t="s">
        <v>110</v>
      </c>
      <c r="F947" s="12">
        <v>45504</v>
      </c>
      <c r="G947" t="s">
        <v>2064</v>
      </c>
      <c r="H947" s="12">
        <v>45504</v>
      </c>
      <c r="I947" t="s">
        <v>354</v>
      </c>
      <c r="J947" t="s">
        <v>543</v>
      </c>
      <c r="L947">
        <v>63.8</v>
      </c>
      <c r="P947" t="s">
        <v>106</v>
      </c>
      <c r="Q947" t="s">
        <v>106</v>
      </c>
      <c r="R947" t="s">
        <v>106</v>
      </c>
      <c r="S947" t="s">
        <v>1404</v>
      </c>
      <c r="T947" t="s">
        <v>1379</v>
      </c>
      <c r="U947" t="s">
        <v>1483</v>
      </c>
      <c r="V947" t="s">
        <v>106</v>
      </c>
      <c r="W947" t="s">
        <v>373</v>
      </c>
      <c r="X947" t="s">
        <v>106</v>
      </c>
      <c r="Y947" t="s">
        <v>108</v>
      </c>
      <c r="Z947" t="s">
        <v>104</v>
      </c>
      <c r="AA947" t="s">
        <v>1954</v>
      </c>
      <c r="AB947" t="s">
        <v>106</v>
      </c>
    </row>
    <row r="948" spans="1:28" x14ac:dyDescent="0.3">
      <c r="A948" t="s">
        <v>1439</v>
      </c>
      <c r="B948">
        <v>2</v>
      </c>
      <c r="C948">
        <v>15</v>
      </c>
      <c r="D948">
        <v>18</v>
      </c>
      <c r="E948" t="s">
        <v>128</v>
      </c>
      <c r="F948" s="12">
        <v>45505</v>
      </c>
      <c r="G948" t="s">
        <v>408</v>
      </c>
      <c r="H948" s="12">
        <v>45505</v>
      </c>
      <c r="I948" t="s">
        <v>326</v>
      </c>
      <c r="J948" t="s">
        <v>458</v>
      </c>
      <c r="K948">
        <v>2</v>
      </c>
      <c r="L948">
        <v>14.2</v>
      </c>
      <c r="P948" t="s">
        <v>106</v>
      </c>
      <c r="Q948" t="s">
        <v>106</v>
      </c>
      <c r="R948" t="s">
        <v>106</v>
      </c>
      <c r="S948" t="s">
        <v>1628</v>
      </c>
      <c r="T948" t="s">
        <v>1568</v>
      </c>
      <c r="U948" t="s">
        <v>1738</v>
      </c>
      <c r="V948" t="s">
        <v>106</v>
      </c>
      <c r="W948" t="s">
        <v>373</v>
      </c>
      <c r="X948" t="s">
        <v>106</v>
      </c>
      <c r="Y948" t="s">
        <v>108</v>
      </c>
      <c r="Z948" t="s">
        <v>109</v>
      </c>
      <c r="AA948" t="s">
        <v>1954</v>
      </c>
      <c r="AB948" t="s">
        <v>1958</v>
      </c>
    </row>
    <row r="949" spans="1:28" x14ac:dyDescent="0.3">
      <c r="A949" t="s">
        <v>1436</v>
      </c>
      <c r="B949">
        <v>2</v>
      </c>
      <c r="C949">
        <v>15</v>
      </c>
      <c r="D949">
        <v>17</v>
      </c>
      <c r="E949" t="s">
        <v>128</v>
      </c>
      <c r="F949" s="12">
        <v>45505</v>
      </c>
      <c r="G949" t="s">
        <v>577</v>
      </c>
      <c r="H949" s="12">
        <v>45505</v>
      </c>
      <c r="I949" t="s">
        <v>326</v>
      </c>
      <c r="J949" t="s">
        <v>458</v>
      </c>
      <c r="K949">
        <v>2</v>
      </c>
      <c r="L949">
        <v>15</v>
      </c>
      <c r="P949" t="s">
        <v>106</v>
      </c>
      <c r="Q949" t="s">
        <v>106</v>
      </c>
      <c r="R949" t="s">
        <v>106</v>
      </c>
      <c r="S949" t="s">
        <v>106</v>
      </c>
      <c r="T949" t="s">
        <v>1449</v>
      </c>
      <c r="U949" t="s">
        <v>1347</v>
      </c>
      <c r="V949" t="s">
        <v>106</v>
      </c>
      <c r="W949" t="s">
        <v>373</v>
      </c>
      <c r="X949" t="s">
        <v>106</v>
      </c>
      <c r="Y949" t="s">
        <v>108</v>
      </c>
      <c r="Z949" t="s">
        <v>109</v>
      </c>
      <c r="AA949" t="s">
        <v>1954</v>
      </c>
      <c r="AB949" t="s">
        <v>715</v>
      </c>
    </row>
    <row r="950" spans="1:28" x14ac:dyDescent="0.3">
      <c r="A950" t="s">
        <v>1436</v>
      </c>
      <c r="B950">
        <v>2</v>
      </c>
      <c r="C950">
        <v>15</v>
      </c>
      <c r="D950">
        <v>18</v>
      </c>
      <c r="E950" t="s">
        <v>128</v>
      </c>
      <c r="F950" s="12">
        <v>45505</v>
      </c>
      <c r="G950" t="s">
        <v>408</v>
      </c>
      <c r="H950" s="12">
        <v>45505</v>
      </c>
      <c r="I950" t="s">
        <v>326</v>
      </c>
      <c r="J950" t="s">
        <v>458</v>
      </c>
      <c r="K950">
        <v>2</v>
      </c>
      <c r="L950">
        <v>14.2</v>
      </c>
      <c r="P950" t="s">
        <v>106</v>
      </c>
      <c r="Q950" t="s">
        <v>106</v>
      </c>
      <c r="R950" t="s">
        <v>106</v>
      </c>
      <c r="S950" t="s">
        <v>1628</v>
      </c>
      <c r="T950" t="s">
        <v>1568</v>
      </c>
      <c r="U950" t="s">
        <v>1738</v>
      </c>
      <c r="V950" t="s">
        <v>106</v>
      </c>
      <c r="W950" t="s">
        <v>373</v>
      </c>
      <c r="X950" t="s">
        <v>106</v>
      </c>
      <c r="Y950" t="s">
        <v>108</v>
      </c>
      <c r="Z950" t="s">
        <v>109</v>
      </c>
      <c r="AA950" t="s">
        <v>1954</v>
      </c>
      <c r="AB950" t="s">
        <v>1958</v>
      </c>
    </row>
    <row r="951" spans="1:28" x14ac:dyDescent="0.3">
      <c r="A951" t="s">
        <v>1436</v>
      </c>
      <c r="B951">
        <v>2</v>
      </c>
      <c r="C951">
        <v>15</v>
      </c>
      <c r="D951">
        <v>25</v>
      </c>
      <c r="E951" t="s">
        <v>128</v>
      </c>
      <c r="F951" s="12">
        <v>45505</v>
      </c>
      <c r="G951" t="s">
        <v>337</v>
      </c>
      <c r="H951" s="12">
        <v>45505</v>
      </c>
      <c r="I951" t="s">
        <v>1448</v>
      </c>
      <c r="J951" t="s">
        <v>458</v>
      </c>
      <c r="K951">
        <v>2</v>
      </c>
      <c r="L951">
        <v>16.399999999999999</v>
      </c>
      <c r="P951" t="s">
        <v>106</v>
      </c>
      <c r="Q951" t="s">
        <v>106</v>
      </c>
      <c r="R951" t="s">
        <v>106</v>
      </c>
      <c r="S951" t="s">
        <v>106</v>
      </c>
      <c r="T951" t="s">
        <v>1959</v>
      </c>
      <c r="U951" t="s">
        <v>1347</v>
      </c>
      <c r="V951" t="s">
        <v>106</v>
      </c>
      <c r="W951" t="s">
        <v>443</v>
      </c>
      <c r="X951" t="s">
        <v>106</v>
      </c>
      <c r="Y951" t="s">
        <v>108</v>
      </c>
      <c r="Z951" t="s">
        <v>109</v>
      </c>
      <c r="AA951" t="s">
        <v>1954</v>
      </c>
      <c r="AB951" t="s">
        <v>1960</v>
      </c>
    </row>
    <row r="952" spans="1:28" x14ac:dyDescent="0.3">
      <c r="A952" t="s">
        <v>1439</v>
      </c>
      <c r="B952">
        <v>2</v>
      </c>
      <c r="C952">
        <v>15</v>
      </c>
      <c r="D952">
        <v>31</v>
      </c>
      <c r="E952" t="s">
        <v>128</v>
      </c>
      <c r="F952" s="12">
        <v>45505</v>
      </c>
      <c r="G952" t="s">
        <v>735</v>
      </c>
      <c r="H952" s="12">
        <v>45505</v>
      </c>
      <c r="I952" t="s">
        <v>1445</v>
      </c>
      <c r="J952" t="s">
        <v>471</v>
      </c>
      <c r="K952">
        <v>2</v>
      </c>
      <c r="L952">
        <v>15.2</v>
      </c>
      <c r="P952" t="s">
        <v>106</v>
      </c>
      <c r="Q952" t="s">
        <v>106</v>
      </c>
      <c r="R952" t="s">
        <v>106</v>
      </c>
      <c r="S952" t="s">
        <v>1563</v>
      </c>
      <c r="T952" t="s">
        <v>1885</v>
      </c>
      <c r="U952" t="s">
        <v>1600</v>
      </c>
      <c r="V952" t="s">
        <v>106</v>
      </c>
      <c r="W952" t="s">
        <v>443</v>
      </c>
      <c r="X952" t="s">
        <v>106</v>
      </c>
      <c r="Y952" t="s">
        <v>108</v>
      </c>
      <c r="Z952" t="s">
        <v>109</v>
      </c>
      <c r="AA952" t="s">
        <v>1954</v>
      </c>
      <c r="AB952" t="s">
        <v>1961</v>
      </c>
    </row>
    <row r="953" spans="1:28" x14ac:dyDescent="0.3">
      <c r="A953" t="s">
        <v>1436</v>
      </c>
      <c r="B953">
        <v>2</v>
      </c>
      <c r="C953">
        <v>15</v>
      </c>
      <c r="D953">
        <v>26</v>
      </c>
      <c r="E953" t="s">
        <v>128</v>
      </c>
      <c r="F953" s="12">
        <v>45505</v>
      </c>
      <c r="G953" t="s">
        <v>585</v>
      </c>
      <c r="H953" s="12">
        <v>45505</v>
      </c>
      <c r="I953" t="s">
        <v>1448</v>
      </c>
      <c r="J953" t="s">
        <v>458</v>
      </c>
      <c r="K953">
        <v>2</v>
      </c>
      <c r="L953">
        <v>16</v>
      </c>
      <c r="P953" t="s">
        <v>106</v>
      </c>
      <c r="Q953" t="s">
        <v>106</v>
      </c>
      <c r="R953" t="s">
        <v>106</v>
      </c>
      <c r="S953" t="s">
        <v>1404</v>
      </c>
      <c r="T953" t="s">
        <v>1049</v>
      </c>
      <c r="U953" t="s">
        <v>1347</v>
      </c>
      <c r="V953" t="s">
        <v>106</v>
      </c>
      <c r="W953" t="s">
        <v>443</v>
      </c>
      <c r="X953" t="s">
        <v>106</v>
      </c>
      <c r="Y953" t="s">
        <v>108</v>
      </c>
      <c r="Z953" t="s">
        <v>109</v>
      </c>
      <c r="AA953" t="s">
        <v>1954</v>
      </c>
      <c r="AB953" t="s">
        <v>1962</v>
      </c>
    </row>
    <row r="954" spans="1:28" x14ac:dyDescent="0.3">
      <c r="A954" t="s">
        <v>1439</v>
      </c>
      <c r="B954">
        <v>2</v>
      </c>
      <c r="C954">
        <v>15</v>
      </c>
      <c r="D954">
        <v>26</v>
      </c>
      <c r="E954" t="s">
        <v>128</v>
      </c>
      <c r="F954" s="12">
        <v>45505</v>
      </c>
      <c r="G954" t="s">
        <v>585</v>
      </c>
      <c r="H954" s="12">
        <v>45505</v>
      </c>
      <c r="I954" t="s">
        <v>1448</v>
      </c>
      <c r="J954" t="s">
        <v>458</v>
      </c>
      <c r="K954">
        <v>2</v>
      </c>
      <c r="L954">
        <v>16</v>
      </c>
      <c r="P954" t="s">
        <v>106</v>
      </c>
      <c r="Q954" t="s">
        <v>106</v>
      </c>
      <c r="R954" t="s">
        <v>106</v>
      </c>
      <c r="S954" t="s">
        <v>1404</v>
      </c>
      <c r="T954" t="s">
        <v>1049</v>
      </c>
      <c r="U954" t="s">
        <v>1347</v>
      </c>
      <c r="V954" t="s">
        <v>106</v>
      </c>
      <c r="W954" t="s">
        <v>443</v>
      </c>
      <c r="X954" t="s">
        <v>106</v>
      </c>
      <c r="Y954" t="s">
        <v>108</v>
      </c>
      <c r="Z954" t="s">
        <v>109</v>
      </c>
      <c r="AA954" t="s">
        <v>1954</v>
      </c>
      <c r="AB954" t="s">
        <v>1962</v>
      </c>
    </row>
    <row r="955" spans="1:28" x14ac:dyDescent="0.3">
      <c r="A955" t="s">
        <v>1439</v>
      </c>
      <c r="B955">
        <v>2</v>
      </c>
      <c r="C955">
        <v>15</v>
      </c>
      <c r="D955">
        <v>25</v>
      </c>
      <c r="E955" t="s">
        <v>128</v>
      </c>
      <c r="F955" s="12">
        <v>45505</v>
      </c>
      <c r="G955" t="s">
        <v>337</v>
      </c>
      <c r="H955" s="12">
        <v>45505</v>
      </c>
      <c r="I955" t="s">
        <v>1448</v>
      </c>
      <c r="J955" t="s">
        <v>458</v>
      </c>
      <c r="K955">
        <v>2</v>
      </c>
      <c r="L955">
        <v>16.399999999999999</v>
      </c>
      <c r="P955" t="s">
        <v>106</v>
      </c>
      <c r="Q955" t="s">
        <v>106</v>
      </c>
      <c r="R955" t="s">
        <v>106</v>
      </c>
      <c r="S955" t="s">
        <v>106</v>
      </c>
      <c r="T955" t="s">
        <v>1959</v>
      </c>
      <c r="U955" t="s">
        <v>1347</v>
      </c>
      <c r="V955" t="s">
        <v>106</v>
      </c>
      <c r="W955" t="s">
        <v>443</v>
      </c>
      <c r="X955" t="s">
        <v>106</v>
      </c>
      <c r="Y955" t="s">
        <v>108</v>
      </c>
      <c r="Z955" t="s">
        <v>109</v>
      </c>
      <c r="AA955" t="s">
        <v>1954</v>
      </c>
      <c r="AB955" t="s">
        <v>1960</v>
      </c>
    </row>
    <row r="956" spans="1:28" x14ac:dyDescent="0.3">
      <c r="A956" t="s">
        <v>1436</v>
      </c>
      <c r="B956">
        <v>2</v>
      </c>
      <c r="C956">
        <v>15</v>
      </c>
      <c r="D956">
        <v>31</v>
      </c>
      <c r="E956" t="s">
        <v>128</v>
      </c>
      <c r="F956" s="12">
        <v>45505</v>
      </c>
      <c r="G956" t="s">
        <v>735</v>
      </c>
      <c r="H956" s="12">
        <v>45505</v>
      </c>
      <c r="I956" t="s">
        <v>1445</v>
      </c>
      <c r="J956" t="s">
        <v>471</v>
      </c>
      <c r="K956">
        <v>2</v>
      </c>
      <c r="L956">
        <v>15.2</v>
      </c>
      <c r="P956" t="s">
        <v>106</v>
      </c>
      <c r="Q956" t="s">
        <v>106</v>
      </c>
      <c r="R956" t="s">
        <v>106</v>
      </c>
      <c r="S956" t="s">
        <v>1563</v>
      </c>
      <c r="T956" t="s">
        <v>1885</v>
      </c>
      <c r="U956" t="s">
        <v>1600</v>
      </c>
      <c r="V956" t="s">
        <v>106</v>
      </c>
      <c r="W956" t="s">
        <v>443</v>
      </c>
      <c r="X956" t="s">
        <v>106</v>
      </c>
      <c r="Y956" t="s">
        <v>108</v>
      </c>
      <c r="Z956" t="s">
        <v>109</v>
      </c>
      <c r="AA956" t="s">
        <v>1954</v>
      </c>
      <c r="AB956" t="s">
        <v>1961</v>
      </c>
    </row>
    <row r="957" spans="1:28" x14ac:dyDescent="0.3">
      <c r="A957" t="s">
        <v>1436</v>
      </c>
      <c r="B957">
        <v>2</v>
      </c>
      <c r="C957">
        <v>15</v>
      </c>
      <c r="D957">
        <v>32</v>
      </c>
      <c r="E957" t="s">
        <v>128</v>
      </c>
      <c r="F957" s="12">
        <v>45505</v>
      </c>
      <c r="G957" t="s">
        <v>371</v>
      </c>
      <c r="H957" s="12">
        <v>45505</v>
      </c>
      <c r="I957" t="s">
        <v>1445</v>
      </c>
      <c r="J957" t="s">
        <v>471</v>
      </c>
      <c r="K957">
        <v>2</v>
      </c>
      <c r="L957">
        <v>16</v>
      </c>
      <c r="P957" t="s">
        <v>106</v>
      </c>
      <c r="Q957" t="s">
        <v>106</v>
      </c>
      <c r="R957" t="s">
        <v>106</v>
      </c>
      <c r="S957" t="s">
        <v>106</v>
      </c>
      <c r="T957" t="s">
        <v>1959</v>
      </c>
      <c r="U957" t="s">
        <v>1410</v>
      </c>
      <c r="V957" t="s">
        <v>106</v>
      </c>
      <c r="W957" t="s">
        <v>443</v>
      </c>
      <c r="X957" t="s">
        <v>106</v>
      </c>
      <c r="Y957" t="s">
        <v>108</v>
      </c>
      <c r="Z957" t="s">
        <v>109</v>
      </c>
      <c r="AA957" t="s">
        <v>1954</v>
      </c>
      <c r="AB957" t="s">
        <v>1963</v>
      </c>
    </row>
    <row r="958" spans="1:28" x14ac:dyDescent="0.3">
      <c r="A958" t="s">
        <v>1439</v>
      </c>
      <c r="B958">
        <v>2</v>
      </c>
      <c r="C958">
        <v>15</v>
      </c>
      <c r="D958">
        <v>32</v>
      </c>
      <c r="E958" t="s">
        <v>128</v>
      </c>
      <c r="F958" s="12">
        <v>45505</v>
      </c>
      <c r="G958" t="s">
        <v>371</v>
      </c>
      <c r="H958" s="12">
        <v>45505</v>
      </c>
      <c r="I958" t="s">
        <v>1445</v>
      </c>
      <c r="J958" t="s">
        <v>471</v>
      </c>
      <c r="K958">
        <v>2</v>
      </c>
      <c r="L958">
        <v>16</v>
      </c>
      <c r="P958" t="s">
        <v>106</v>
      </c>
      <c r="Q958" t="s">
        <v>106</v>
      </c>
      <c r="R958" t="s">
        <v>106</v>
      </c>
      <c r="S958" t="s">
        <v>106</v>
      </c>
      <c r="T958" t="s">
        <v>1959</v>
      </c>
      <c r="U958" t="s">
        <v>1410</v>
      </c>
      <c r="V958" t="s">
        <v>106</v>
      </c>
      <c r="W958" t="s">
        <v>443</v>
      </c>
      <c r="X958" t="s">
        <v>106</v>
      </c>
      <c r="Y958" t="s">
        <v>108</v>
      </c>
      <c r="Z958" t="s">
        <v>109</v>
      </c>
      <c r="AA958" t="s">
        <v>1954</v>
      </c>
      <c r="AB958" t="s">
        <v>1963</v>
      </c>
    </row>
    <row r="959" spans="1:28" x14ac:dyDescent="0.3">
      <c r="A959" t="s">
        <v>1439</v>
      </c>
      <c r="B959">
        <v>2</v>
      </c>
      <c r="C959">
        <v>15</v>
      </c>
      <c r="D959">
        <v>17</v>
      </c>
      <c r="E959" t="s">
        <v>128</v>
      </c>
      <c r="F959" s="12">
        <v>45505</v>
      </c>
      <c r="G959" t="s">
        <v>577</v>
      </c>
      <c r="H959" s="12">
        <v>45505</v>
      </c>
      <c r="I959" t="s">
        <v>326</v>
      </c>
      <c r="J959" t="s">
        <v>458</v>
      </c>
      <c r="K959">
        <v>2</v>
      </c>
      <c r="L959">
        <v>15</v>
      </c>
      <c r="P959" t="s">
        <v>106</v>
      </c>
      <c r="Q959" t="s">
        <v>106</v>
      </c>
      <c r="R959" t="s">
        <v>106</v>
      </c>
      <c r="S959" t="s">
        <v>106</v>
      </c>
      <c r="T959" t="s">
        <v>1449</v>
      </c>
      <c r="U959" t="s">
        <v>1347</v>
      </c>
      <c r="V959" t="s">
        <v>106</v>
      </c>
      <c r="W959" t="s">
        <v>373</v>
      </c>
      <c r="X959" t="s">
        <v>106</v>
      </c>
      <c r="Y959" t="s">
        <v>108</v>
      </c>
      <c r="Z959" t="s">
        <v>109</v>
      </c>
      <c r="AA959" t="s">
        <v>1954</v>
      </c>
      <c r="AB959" t="s">
        <v>715</v>
      </c>
    </row>
    <row r="960" spans="1:28" x14ac:dyDescent="0.3">
      <c r="A960" t="s">
        <v>1436</v>
      </c>
      <c r="B960">
        <v>3</v>
      </c>
      <c r="C960">
        <v>35</v>
      </c>
      <c r="D960">
        <v>19</v>
      </c>
      <c r="E960" t="s">
        <v>128</v>
      </c>
      <c r="F960" s="12">
        <v>45505</v>
      </c>
      <c r="G960" t="s">
        <v>1489</v>
      </c>
      <c r="H960" s="12">
        <v>45505</v>
      </c>
      <c r="I960" t="s">
        <v>326</v>
      </c>
      <c r="J960" t="s">
        <v>458</v>
      </c>
      <c r="K960">
        <v>2</v>
      </c>
      <c r="L960">
        <v>34.299999999999997</v>
      </c>
      <c r="P960" t="s">
        <v>106</v>
      </c>
      <c r="Q960" t="s">
        <v>106</v>
      </c>
      <c r="R960" t="s">
        <v>106</v>
      </c>
      <c r="S960" t="s">
        <v>106</v>
      </c>
      <c r="T960" t="s">
        <v>984</v>
      </c>
      <c r="U960" t="s">
        <v>1410</v>
      </c>
      <c r="V960" t="s">
        <v>106</v>
      </c>
      <c r="W960" t="s">
        <v>373</v>
      </c>
      <c r="X960" t="s">
        <v>106</v>
      </c>
      <c r="Y960" t="s">
        <v>108</v>
      </c>
      <c r="Z960" t="s">
        <v>108</v>
      </c>
      <c r="AA960" t="s">
        <v>1954</v>
      </c>
      <c r="AB960" t="s">
        <v>2431</v>
      </c>
    </row>
    <row r="961" spans="1:28" x14ac:dyDescent="0.3">
      <c r="A961" t="s">
        <v>1436</v>
      </c>
      <c r="B961">
        <v>3</v>
      </c>
      <c r="C961">
        <v>35</v>
      </c>
      <c r="D961">
        <v>20</v>
      </c>
      <c r="E961" t="s">
        <v>128</v>
      </c>
      <c r="F961" s="12">
        <v>45505</v>
      </c>
      <c r="G961" t="s">
        <v>1489</v>
      </c>
      <c r="H961" s="12">
        <v>45505</v>
      </c>
      <c r="I961" t="s">
        <v>326</v>
      </c>
      <c r="J961" t="s">
        <v>458</v>
      </c>
      <c r="K961">
        <v>2</v>
      </c>
      <c r="L961">
        <v>34.6</v>
      </c>
      <c r="P961" t="s">
        <v>106</v>
      </c>
      <c r="Q961" t="s">
        <v>106</v>
      </c>
      <c r="R961" t="s">
        <v>106</v>
      </c>
      <c r="S961" t="s">
        <v>1816</v>
      </c>
      <c r="T961" t="s">
        <v>1208</v>
      </c>
      <c r="U961" t="s">
        <v>1483</v>
      </c>
      <c r="V961" t="s">
        <v>106</v>
      </c>
      <c r="W961" t="s">
        <v>373</v>
      </c>
      <c r="X961" t="s">
        <v>106</v>
      </c>
      <c r="Y961" t="s">
        <v>108</v>
      </c>
      <c r="Z961" t="s">
        <v>108</v>
      </c>
      <c r="AA961" t="s">
        <v>1954</v>
      </c>
      <c r="AB961" t="s">
        <v>2432</v>
      </c>
    </row>
    <row r="962" spans="1:28" x14ac:dyDescent="0.3">
      <c r="A962" t="s">
        <v>1439</v>
      </c>
      <c r="B962">
        <v>3</v>
      </c>
      <c r="C962">
        <v>35</v>
      </c>
      <c r="D962">
        <v>28</v>
      </c>
      <c r="E962" t="s">
        <v>128</v>
      </c>
      <c r="F962" s="12">
        <v>45505</v>
      </c>
      <c r="G962" t="s">
        <v>134</v>
      </c>
      <c r="H962" s="12">
        <v>45505</v>
      </c>
      <c r="I962" t="s">
        <v>1448</v>
      </c>
      <c r="J962" t="s">
        <v>458</v>
      </c>
      <c r="K962">
        <v>2</v>
      </c>
      <c r="L962">
        <v>37.299999999999997</v>
      </c>
      <c r="P962" t="s">
        <v>106</v>
      </c>
      <c r="Q962" t="s">
        <v>106</v>
      </c>
      <c r="R962" t="s">
        <v>106</v>
      </c>
      <c r="S962" t="s">
        <v>1798</v>
      </c>
      <c r="T962" t="s">
        <v>1876</v>
      </c>
      <c r="U962" t="s">
        <v>1980</v>
      </c>
      <c r="V962" t="s">
        <v>106</v>
      </c>
      <c r="W962" t="s">
        <v>443</v>
      </c>
      <c r="X962" t="s">
        <v>106</v>
      </c>
      <c r="Y962" t="s">
        <v>108</v>
      </c>
      <c r="Z962" t="s">
        <v>108</v>
      </c>
      <c r="AA962" t="s">
        <v>1954</v>
      </c>
      <c r="AB962" t="s">
        <v>2433</v>
      </c>
    </row>
    <row r="963" spans="1:28" x14ac:dyDescent="0.3">
      <c r="A963" t="s">
        <v>1439</v>
      </c>
      <c r="B963">
        <v>3</v>
      </c>
      <c r="C963">
        <v>35</v>
      </c>
      <c r="D963">
        <v>30</v>
      </c>
      <c r="E963" t="s">
        <v>128</v>
      </c>
      <c r="F963" s="12">
        <v>45505</v>
      </c>
      <c r="G963" t="s">
        <v>1927</v>
      </c>
      <c r="H963" s="12">
        <v>45505</v>
      </c>
      <c r="I963" t="s">
        <v>1445</v>
      </c>
      <c r="J963" t="s">
        <v>471</v>
      </c>
      <c r="K963">
        <v>2</v>
      </c>
      <c r="L963">
        <v>35.5</v>
      </c>
      <c r="P963" t="s">
        <v>106</v>
      </c>
      <c r="Q963" t="s">
        <v>106</v>
      </c>
      <c r="R963" t="s">
        <v>106</v>
      </c>
      <c r="S963" t="s">
        <v>106</v>
      </c>
      <c r="T963" t="s">
        <v>1876</v>
      </c>
      <c r="U963" t="s">
        <v>1626</v>
      </c>
      <c r="V963" t="s">
        <v>106</v>
      </c>
      <c r="W963" t="s">
        <v>443</v>
      </c>
      <c r="X963" t="s">
        <v>106</v>
      </c>
      <c r="Y963" t="s">
        <v>108</v>
      </c>
      <c r="Z963" t="s">
        <v>108</v>
      </c>
      <c r="AA963" t="s">
        <v>1954</v>
      </c>
      <c r="AB963" t="s">
        <v>2434</v>
      </c>
    </row>
    <row r="964" spans="1:28" x14ac:dyDescent="0.3">
      <c r="A964" t="s">
        <v>1439</v>
      </c>
      <c r="B964">
        <v>3</v>
      </c>
      <c r="C964">
        <v>35</v>
      </c>
      <c r="D964">
        <v>27</v>
      </c>
      <c r="E964" t="s">
        <v>128</v>
      </c>
      <c r="F964" s="12">
        <v>45505</v>
      </c>
      <c r="G964" t="s">
        <v>385</v>
      </c>
      <c r="H964" s="12">
        <v>45505</v>
      </c>
      <c r="I964" t="s">
        <v>1448</v>
      </c>
      <c r="J964" t="s">
        <v>458</v>
      </c>
      <c r="K964">
        <v>2</v>
      </c>
      <c r="L964">
        <v>38.5</v>
      </c>
      <c r="P964" t="s">
        <v>106</v>
      </c>
      <c r="Q964" t="s">
        <v>106</v>
      </c>
      <c r="R964" t="s">
        <v>106</v>
      </c>
      <c r="S964" t="s">
        <v>106</v>
      </c>
      <c r="T964" t="s">
        <v>1379</v>
      </c>
      <c r="U964" t="s">
        <v>1968</v>
      </c>
      <c r="V964" t="s">
        <v>106</v>
      </c>
      <c r="W964" t="s">
        <v>443</v>
      </c>
      <c r="X964" t="s">
        <v>106</v>
      </c>
      <c r="Y964" t="s">
        <v>108</v>
      </c>
      <c r="Z964" t="s">
        <v>108</v>
      </c>
      <c r="AA964" t="s">
        <v>1954</v>
      </c>
      <c r="AB964" t="s">
        <v>2435</v>
      </c>
    </row>
    <row r="965" spans="1:28" x14ac:dyDescent="0.3">
      <c r="A965" t="s">
        <v>1436</v>
      </c>
      <c r="B965">
        <v>3</v>
      </c>
      <c r="C965">
        <v>35</v>
      </c>
      <c r="D965">
        <v>30</v>
      </c>
      <c r="E965" t="s">
        <v>128</v>
      </c>
      <c r="F965" s="12">
        <v>45505</v>
      </c>
      <c r="G965" t="s">
        <v>1927</v>
      </c>
      <c r="H965" s="12">
        <v>45505</v>
      </c>
      <c r="I965" t="s">
        <v>1445</v>
      </c>
      <c r="J965" t="s">
        <v>471</v>
      </c>
      <c r="K965">
        <v>2</v>
      </c>
      <c r="L965">
        <v>35.5</v>
      </c>
      <c r="P965" t="s">
        <v>106</v>
      </c>
      <c r="Q965" t="s">
        <v>106</v>
      </c>
      <c r="R965" t="s">
        <v>106</v>
      </c>
      <c r="S965" t="s">
        <v>106</v>
      </c>
      <c r="T965" t="s">
        <v>1876</v>
      </c>
      <c r="U965" t="s">
        <v>1626</v>
      </c>
      <c r="V965" t="s">
        <v>106</v>
      </c>
      <c r="W965" t="s">
        <v>443</v>
      </c>
      <c r="X965" t="s">
        <v>106</v>
      </c>
      <c r="Y965" t="s">
        <v>108</v>
      </c>
      <c r="Z965" t="s">
        <v>108</v>
      </c>
      <c r="AA965" t="s">
        <v>1954</v>
      </c>
      <c r="AB965" t="s">
        <v>2434</v>
      </c>
    </row>
    <row r="966" spans="1:28" x14ac:dyDescent="0.3">
      <c r="A966" t="s">
        <v>1439</v>
      </c>
      <c r="B966">
        <v>3</v>
      </c>
      <c r="C966">
        <v>35</v>
      </c>
      <c r="D966">
        <v>19</v>
      </c>
      <c r="E966" t="s">
        <v>128</v>
      </c>
      <c r="F966" s="12">
        <v>45505</v>
      </c>
      <c r="G966" t="s">
        <v>1489</v>
      </c>
      <c r="H966" s="12">
        <v>45505</v>
      </c>
      <c r="I966" t="s">
        <v>326</v>
      </c>
      <c r="J966" t="s">
        <v>458</v>
      </c>
      <c r="K966">
        <v>2</v>
      </c>
      <c r="L966">
        <v>34.299999999999997</v>
      </c>
      <c r="P966" t="s">
        <v>106</v>
      </c>
      <c r="Q966" t="s">
        <v>106</v>
      </c>
      <c r="R966" t="s">
        <v>106</v>
      </c>
      <c r="S966" t="s">
        <v>106</v>
      </c>
      <c r="T966" t="s">
        <v>984</v>
      </c>
      <c r="U966" t="s">
        <v>1410</v>
      </c>
      <c r="V966" t="s">
        <v>106</v>
      </c>
      <c r="W966" t="s">
        <v>373</v>
      </c>
      <c r="X966" t="s">
        <v>106</v>
      </c>
      <c r="Y966" t="s">
        <v>108</v>
      </c>
      <c r="Z966" t="s">
        <v>108</v>
      </c>
      <c r="AA966" t="s">
        <v>1954</v>
      </c>
      <c r="AB966" t="s">
        <v>2431</v>
      </c>
    </row>
    <row r="967" spans="1:28" x14ac:dyDescent="0.3">
      <c r="A967" t="s">
        <v>1436</v>
      </c>
      <c r="B967">
        <v>3</v>
      </c>
      <c r="C967">
        <v>35</v>
      </c>
      <c r="D967">
        <v>29</v>
      </c>
      <c r="E967" t="s">
        <v>128</v>
      </c>
      <c r="F967" s="12">
        <v>45505</v>
      </c>
      <c r="G967" t="s">
        <v>512</v>
      </c>
      <c r="H967" s="12">
        <v>45505</v>
      </c>
      <c r="I967" t="s">
        <v>1445</v>
      </c>
      <c r="J967" t="s">
        <v>471</v>
      </c>
      <c r="K967">
        <v>2</v>
      </c>
      <c r="L967">
        <v>36.200000000000003</v>
      </c>
      <c r="P967" t="s">
        <v>106</v>
      </c>
      <c r="Q967" t="s">
        <v>106</v>
      </c>
      <c r="R967" t="s">
        <v>106</v>
      </c>
      <c r="S967" t="s">
        <v>1783</v>
      </c>
      <c r="T967" t="s">
        <v>1951</v>
      </c>
      <c r="U967" t="s">
        <v>1351</v>
      </c>
      <c r="V967" t="s">
        <v>106</v>
      </c>
      <c r="W967" t="s">
        <v>443</v>
      </c>
      <c r="X967" t="s">
        <v>106</v>
      </c>
      <c r="Y967" t="s">
        <v>108</v>
      </c>
      <c r="Z967" t="s">
        <v>108</v>
      </c>
      <c r="AA967" t="s">
        <v>1954</v>
      </c>
      <c r="AB967" t="s">
        <v>1960</v>
      </c>
    </row>
    <row r="968" spans="1:28" x14ac:dyDescent="0.3">
      <c r="A968" t="s">
        <v>1436</v>
      </c>
      <c r="B968">
        <v>3</v>
      </c>
      <c r="C968">
        <v>35</v>
      </c>
      <c r="D968">
        <v>28</v>
      </c>
      <c r="E968" t="s">
        <v>128</v>
      </c>
      <c r="F968" s="12">
        <v>45505</v>
      </c>
      <c r="G968" t="s">
        <v>134</v>
      </c>
      <c r="H968" s="12">
        <v>45505</v>
      </c>
      <c r="I968" t="s">
        <v>1448</v>
      </c>
      <c r="J968" t="s">
        <v>458</v>
      </c>
      <c r="K968">
        <v>2</v>
      </c>
      <c r="L968">
        <v>37.299999999999997</v>
      </c>
      <c r="P968" t="s">
        <v>106</v>
      </c>
      <c r="Q968" t="s">
        <v>106</v>
      </c>
      <c r="R968" t="s">
        <v>106</v>
      </c>
      <c r="S968" t="s">
        <v>1798</v>
      </c>
      <c r="T968" t="s">
        <v>1876</v>
      </c>
      <c r="U968" t="s">
        <v>1980</v>
      </c>
      <c r="V968" t="s">
        <v>106</v>
      </c>
      <c r="W968" t="s">
        <v>443</v>
      </c>
      <c r="X968" t="s">
        <v>106</v>
      </c>
      <c r="Y968" t="s">
        <v>108</v>
      </c>
      <c r="Z968" t="s">
        <v>108</v>
      </c>
      <c r="AA968" t="s">
        <v>1954</v>
      </c>
      <c r="AB968" t="s">
        <v>2433</v>
      </c>
    </row>
    <row r="969" spans="1:28" x14ac:dyDescent="0.3">
      <c r="A969" t="s">
        <v>1439</v>
      </c>
      <c r="B969">
        <v>3</v>
      </c>
      <c r="C969">
        <v>35</v>
      </c>
      <c r="D969">
        <v>20</v>
      </c>
      <c r="E969" t="s">
        <v>128</v>
      </c>
      <c r="F969" s="12">
        <v>45505</v>
      </c>
      <c r="G969" t="s">
        <v>1489</v>
      </c>
      <c r="H969" s="12">
        <v>45505</v>
      </c>
      <c r="I969" t="s">
        <v>326</v>
      </c>
      <c r="J969" t="s">
        <v>458</v>
      </c>
      <c r="K969">
        <v>2</v>
      </c>
      <c r="L969">
        <v>34.6</v>
      </c>
      <c r="P969" t="s">
        <v>106</v>
      </c>
      <c r="Q969" t="s">
        <v>106</v>
      </c>
      <c r="R969" t="s">
        <v>106</v>
      </c>
      <c r="S969" t="s">
        <v>1816</v>
      </c>
      <c r="T969" t="s">
        <v>1208</v>
      </c>
      <c r="U969" t="s">
        <v>1483</v>
      </c>
      <c r="V969" t="s">
        <v>106</v>
      </c>
      <c r="W969" t="s">
        <v>373</v>
      </c>
      <c r="X969" t="s">
        <v>106</v>
      </c>
      <c r="Y969" t="s">
        <v>108</v>
      </c>
      <c r="Z969" t="s">
        <v>108</v>
      </c>
      <c r="AA969" t="s">
        <v>1954</v>
      </c>
      <c r="AB969" t="s">
        <v>2432</v>
      </c>
    </row>
    <row r="970" spans="1:28" x14ac:dyDescent="0.3">
      <c r="A970" t="s">
        <v>1436</v>
      </c>
      <c r="B970">
        <v>3</v>
      </c>
      <c r="C970">
        <v>35</v>
      </c>
      <c r="D970">
        <v>27</v>
      </c>
      <c r="E970" t="s">
        <v>128</v>
      </c>
      <c r="F970" s="12">
        <v>45505</v>
      </c>
      <c r="G970" t="s">
        <v>385</v>
      </c>
      <c r="H970" s="12">
        <v>45505</v>
      </c>
      <c r="I970" t="s">
        <v>1448</v>
      </c>
      <c r="J970" t="s">
        <v>458</v>
      </c>
      <c r="K970">
        <v>2</v>
      </c>
      <c r="L970">
        <v>38.5</v>
      </c>
      <c r="P970" t="s">
        <v>106</v>
      </c>
      <c r="Q970" t="s">
        <v>106</v>
      </c>
      <c r="R970" t="s">
        <v>106</v>
      </c>
      <c r="S970" t="s">
        <v>106</v>
      </c>
      <c r="T970" t="s">
        <v>1379</v>
      </c>
      <c r="U970" t="s">
        <v>1968</v>
      </c>
      <c r="V970" t="s">
        <v>106</v>
      </c>
      <c r="W970" t="s">
        <v>443</v>
      </c>
      <c r="X970" t="s">
        <v>106</v>
      </c>
      <c r="Y970" t="s">
        <v>108</v>
      </c>
      <c r="Z970" t="s">
        <v>108</v>
      </c>
      <c r="AA970" t="s">
        <v>1954</v>
      </c>
      <c r="AB970" t="s">
        <v>2435</v>
      </c>
    </row>
    <row r="971" spans="1:28" x14ac:dyDescent="0.3">
      <c r="A971" t="s">
        <v>1439</v>
      </c>
      <c r="B971">
        <v>3</v>
      </c>
      <c r="C971">
        <v>35</v>
      </c>
      <c r="D971">
        <v>29</v>
      </c>
      <c r="E971" t="s">
        <v>128</v>
      </c>
      <c r="F971" s="12">
        <v>45505</v>
      </c>
      <c r="G971" t="s">
        <v>512</v>
      </c>
      <c r="H971" s="12">
        <v>45505</v>
      </c>
      <c r="I971" t="s">
        <v>1445</v>
      </c>
      <c r="J971" t="s">
        <v>471</v>
      </c>
      <c r="K971">
        <v>2</v>
      </c>
      <c r="L971">
        <v>36.200000000000003</v>
      </c>
      <c r="P971" t="s">
        <v>106</v>
      </c>
      <c r="Q971" t="s">
        <v>106</v>
      </c>
      <c r="R971" t="s">
        <v>106</v>
      </c>
      <c r="S971" t="s">
        <v>1783</v>
      </c>
      <c r="T971" t="s">
        <v>1951</v>
      </c>
      <c r="U971" t="s">
        <v>1351</v>
      </c>
      <c r="V971" t="s">
        <v>106</v>
      </c>
      <c r="W971" t="s">
        <v>443</v>
      </c>
      <c r="X971" t="s">
        <v>106</v>
      </c>
      <c r="Y971" t="s">
        <v>108</v>
      </c>
      <c r="Z971" t="s">
        <v>108</v>
      </c>
      <c r="AA971" t="s">
        <v>1954</v>
      </c>
      <c r="AB971" t="s">
        <v>1960</v>
      </c>
    </row>
    <row r="972" spans="1:28" x14ac:dyDescent="0.3">
      <c r="A972" t="s">
        <v>1439</v>
      </c>
      <c r="B972">
        <v>4</v>
      </c>
      <c r="C972">
        <v>60</v>
      </c>
      <c r="D972">
        <v>21</v>
      </c>
      <c r="E972" t="s">
        <v>128</v>
      </c>
      <c r="F972" s="12">
        <v>45505</v>
      </c>
      <c r="G972" t="s">
        <v>619</v>
      </c>
      <c r="H972" s="12">
        <v>45505</v>
      </c>
      <c r="I972" t="s">
        <v>326</v>
      </c>
      <c r="J972" t="s">
        <v>458</v>
      </c>
      <c r="K972">
        <v>2</v>
      </c>
      <c r="L972">
        <v>58</v>
      </c>
      <c r="P972" t="s">
        <v>106</v>
      </c>
      <c r="Q972" t="s">
        <v>106</v>
      </c>
      <c r="R972" t="s">
        <v>106</v>
      </c>
      <c r="S972" t="s">
        <v>106</v>
      </c>
      <c r="T972" t="s">
        <v>1822</v>
      </c>
      <c r="U972" t="s">
        <v>1626</v>
      </c>
      <c r="V972" t="s">
        <v>106</v>
      </c>
      <c r="W972" t="s">
        <v>373</v>
      </c>
      <c r="X972" t="s">
        <v>106</v>
      </c>
      <c r="Y972" t="s">
        <v>108</v>
      </c>
      <c r="Z972" t="s">
        <v>104</v>
      </c>
      <c r="AA972" t="s">
        <v>1954</v>
      </c>
      <c r="AB972" t="s">
        <v>1878</v>
      </c>
    </row>
    <row r="973" spans="1:28" x14ac:dyDescent="0.3">
      <c r="A973" t="s">
        <v>1436</v>
      </c>
      <c r="B973">
        <v>4</v>
      </c>
      <c r="C973">
        <v>60</v>
      </c>
      <c r="D973">
        <v>21</v>
      </c>
      <c r="E973" t="s">
        <v>128</v>
      </c>
      <c r="F973" s="12">
        <v>45505</v>
      </c>
      <c r="G973" t="s">
        <v>619</v>
      </c>
      <c r="H973" s="12">
        <v>45505</v>
      </c>
      <c r="I973" t="s">
        <v>326</v>
      </c>
      <c r="J973" t="s">
        <v>458</v>
      </c>
      <c r="K973">
        <v>2</v>
      </c>
      <c r="L973">
        <v>58</v>
      </c>
      <c r="P973" t="s">
        <v>106</v>
      </c>
      <c r="Q973" t="s">
        <v>106</v>
      </c>
      <c r="R973" t="s">
        <v>106</v>
      </c>
      <c r="S973" t="s">
        <v>106</v>
      </c>
      <c r="T973" t="s">
        <v>1822</v>
      </c>
      <c r="U973" t="s">
        <v>1626</v>
      </c>
      <c r="V973" t="s">
        <v>106</v>
      </c>
      <c r="W973" t="s">
        <v>373</v>
      </c>
      <c r="X973" t="s">
        <v>106</v>
      </c>
      <c r="Y973" t="s">
        <v>108</v>
      </c>
      <c r="Z973" t="s">
        <v>104</v>
      </c>
      <c r="AA973" t="s">
        <v>1954</v>
      </c>
      <c r="AB973" t="s">
        <v>1878</v>
      </c>
    </row>
    <row r="974" spans="1:28" x14ac:dyDescent="0.3">
      <c r="A974" t="s">
        <v>1436</v>
      </c>
      <c r="B974">
        <v>4</v>
      </c>
      <c r="C974">
        <v>60</v>
      </c>
      <c r="D974">
        <v>33</v>
      </c>
      <c r="E974" t="s">
        <v>128</v>
      </c>
      <c r="F974" s="12">
        <v>45505</v>
      </c>
      <c r="G974" t="s">
        <v>738</v>
      </c>
      <c r="H974" s="12">
        <v>45505</v>
      </c>
      <c r="I974" t="s">
        <v>1445</v>
      </c>
      <c r="J974" t="s">
        <v>471</v>
      </c>
      <c r="K974">
        <v>2</v>
      </c>
      <c r="L974">
        <v>59.1</v>
      </c>
      <c r="P974" t="s">
        <v>106</v>
      </c>
      <c r="Q974" t="s">
        <v>106</v>
      </c>
      <c r="R974" t="s">
        <v>106</v>
      </c>
      <c r="S974" t="s">
        <v>106</v>
      </c>
      <c r="T974" t="s">
        <v>1959</v>
      </c>
      <c r="U974" t="s">
        <v>1738</v>
      </c>
      <c r="V974" t="s">
        <v>106</v>
      </c>
      <c r="W974" t="s">
        <v>443</v>
      </c>
      <c r="X974" t="s">
        <v>106</v>
      </c>
      <c r="Y974" t="s">
        <v>108</v>
      </c>
      <c r="Z974" t="s">
        <v>104</v>
      </c>
      <c r="AA974" t="s">
        <v>1954</v>
      </c>
      <c r="AB974" t="s">
        <v>2694</v>
      </c>
    </row>
    <row r="975" spans="1:28" x14ac:dyDescent="0.3">
      <c r="A975" t="s">
        <v>1436</v>
      </c>
      <c r="B975">
        <v>4</v>
      </c>
      <c r="C975">
        <v>60</v>
      </c>
      <c r="D975">
        <v>34</v>
      </c>
      <c r="E975" t="s">
        <v>128</v>
      </c>
      <c r="F975" s="12">
        <v>45505</v>
      </c>
      <c r="G975" t="s">
        <v>2475</v>
      </c>
      <c r="H975" s="12">
        <v>45505</v>
      </c>
      <c r="I975" t="s">
        <v>1445</v>
      </c>
      <c r="J975" t="s">
        <v>471</v>
      </c>
      <c r="K975">
        <v>2</v>
      </c>
      <c r="L975">
        <v>60</v>
      </c>
      <c r="P975" t="s">
        <v>106</v>
      </c>
      <c r="Q975" t="s">
        <v>106</v>
      </c>
      <c r="R975" t="s">
        <v>106</v>
      </c>
      <c r="S975" t="s">
        <v>1678</v>
      </c>
      <c r="T975" t="s">
        <v>1400</v>
      </c>
      <c r="U975" t="s">
        <v>1626</v>
      </c>
      <c r="V975" t="s">
        <v>106</v>
      </c>
      <c r="W975" t="s">
        <v>443</v>
      </c>
      <c r="X975" t="s">
        <v>106</v>
      </c>
      <c r="Y975" t="s">
        <v>108</v>
      </c>
      <c r="Z975" t="s">
        <v>104</v>
      </c>
      <c r="AA975" t="s">
        <v>1954</v>
      </c>
      <c r="AB975" t="s">
        <v>1447</v>
      </c>
    </row>
    <row r="976" spans="1:28" x14ac:dyDescent="0.3">
      <c r="A976" t="s">
        <v>1436</v>
      </c>
      <c r="B976">
        <v>4</v>
      </c>
      <c r="C976">
        <v>60</v>
      </c>
      <c r="D976">
        <v>22</v>
      </c>
      <c r="E976" t="s">
        <v>128</v>
      </c>
      <c r="F976" s="12">
        <v>45505</v>
      </c>
      <c r="G976" t="s">
        <v>619</v>
      </c>
      <c r="H976" s="12">
        <v>45505</v>
      </c>
      <c r="I976" t="s">
        <v>326</v>
      </c>
      <c r="J976" t="s">
        <v>458</v>
      </c>
      <c r="K976">
        <v>2</v>
      </c>
      <c r="L976">
        <v>57.5</v>
      </c>
      <c r="P976" t="s">
        <v>106</v>
      </c>
      <c r="Q976" t="s">
        <v>106</v>
      </c>
      <c r="R976" t="s">
        <v>106</v>
      </c>
      <c r="S976" t="s">
        <v>1570</v>
      </c>
      <c r="T976" t="s">
        <v>1063</v>
      </c>
      <c r="U976" t="s">
        <v>1596</v>
      </c>
      <c r="V976" t="s">
        <v>106</v>
      </c>
      <c r="W976" t="s">
        <v>373</v>
      </c>
      <c r="X976" t="s">
        <v>106</v>
      </c>
      <c r="Y976" t="s">
        <v>108</v>
      </c>
      <c r="Z976" t="s">
        <v>104</v>
      </c>
      <c r="AA976" t="s">
        <v>1954</v>
      </c>
      <c r="AB976" t="s">
        <v>715</v>
      </c>
    </row>
    <row r="977" spans="1:28" x14ac:dyDescent="0.3">
      <c r="A977" t="s">
        <v>1436</v>
      </c>
      <c r="B977">
        <v>4</v>
      </c>
      <c r="C977">
        <v>60</v>
      </c>
      <c r="D977">
        <v>23</v>
      </c>
      <c r="E977" t="s">
        <v>128</v>
      </c>
      <c r="F977" s="12">
        <v>45505</v>
      </c>
      <c r="G977" t="s">
        <v>1237</v>
      </c>
      <c r="H977" s="12">
        <v>45505</v>
      </c>
      <c r="I977" t="s">
        <v>1448</v>
      </c>
      <c r="J977" t="s">
        <v>458</v>
      </c>
      <c r="K977">
        <v>2</v>
      </c>
      <c r="L977">
        <v>62</v>
      </c>
      <c r="P977" t="s">
        <v>106</v>
      </c>
      <c r="Q977" t="s">
        <v>106</v>
      </c>
      <c r="R977" t="s">
        <v>106</v>
      </c>
      <c r="S977" t="s">
        <v>106</v>
      </c>
      <c r="T977" t="s">
        <v>1409</v>
      </c>
      <c r="U977" t="s">
        <v>1353</v>
      </c>
      <c r="V977" t="s">
        <v>106</v>
      </c>
      <c r="W977" t="s">
        <v>443</v>
      </c>
      <c r="X977" t="s">
        <v>106</v>
      </c>
      <c r="Y977" t="s">
        <v>108</v>
      </c>
      <c r="Z977" t="s">
        <v>104</v>
      </c>
      <c r="AA977" t="s">
        <v>1954</v>
      </c>
      <c r="AB977" t="s">
        <v>2695</v>
      </c>
    </row>
    <row r="978" spans="1:28" x14ac:dyDescent="0.3">
      <c r="A978" t="s">
        <v>1439</v>
      </c>
      <c r="B978">
        <v>4</v>
      </c>
      <c r="C978">
        <v>60</v>
      </c>
      <c r="D978">
        <v>34</v>
      </c>
      <c r="E978" t="s">
        <v>128</v>
      </c>
      <c r="F978" s="12">
        <v>45505</v>
      </c>
      <c r="G978" t="s">
        <v>2475</v>
      </c>
      <c r="H978" s="12">
        <v>45505</v>
      </c>
      <c r="I978" t="s">
        <v>1445</v>
      </c>
      <c r="J978" t="s">
        <v>471</v>
      </c>
      <c r="K978">
        <v>2</v>
      </c>
      <c r="L978">
        <v>60</v>
      </c>
      <c r="P978" t="s">
        <v>106</v>
      </c>
      <c r="Q978" t="s">
        <v>106</v>
      </c>
      <c r="R978" t="s">
        <v>106</v>
      </c>
      <c r="S978" t="s">
        <v>1678</v>
      </c>
      <c r="T978" t="s">
        <v>1400</v>
      </c>
      <c r="U978" t="s">
        <v>1626</v>
      </c>
      <c r="V978" t="s">
        <v>106</v>
      </c>
      <c r="W978" t="s">
        <v>443</v>
      </c>
      <c r="X978" t="s">
        <v>106</v>
      </c>
      <c r="Y978" t="s">
        <v>108</v>
      </c>
      <c r="Z978" t="s">
        <v>104</v>
      </c>
      <c r="AA978" t="s">
        <v>1954</v>
      </c>
      <c r="AB978" t="s">
        <v>1447</v>
      </c>
    </row>
    <row r="979" spans="1:28" x14ac:dyDescent="0.3">
      <c r="A979" t="s">
        <v>1439</v>
      </c>
      <c r="B979">
        <v>4</v>
      </c>
      <c r="C979">
        <v>60</v>
      </c>
      <c r="D979">
        <v>22</v>
      </c>
      <c r="E979" t="s">
        <v>128</v>
      </c>
      <c r="F979" s="12">
        <v>45505</v>
      </c>
      <c r="G979" t="s">
        <v>619</v>
      </c>
      <c r="H979" s="12">
        <v>45505</v>
      </c>
      <c r="I979" t="s">
        <v>326</v>
      </c>
      <c r="J979" t="s">
        <v>458</v>
      </c>
      <c r="K979">
        <v>2</v>
      </c>
      <c r="L979">
        <v>57.5</v>
      </c>
      <c r="P979" t="s">
        <v>106</v>
      </c>
      <c r="Q979" t="s">
        <v>106</v>
      </c>
      <c r="R979" t="s">
        <v>106</v>
      </c>
      <c r="S979" t="s">
        <v>1570</v>
      </c>
      <c r="T979" t="s">
        <v>1063</v>
      </c>
      <c r="U979" t="s">
        <v>1596</v>
      </c>
      <c r="V979" t="s">
        <v>106</v>
      </c>
      <c r="W979" t="s">
        <v>373</v>
      </c>
      <c r="X979" t="s">
        <v>106</v>
      </c>
      <c r="Y979" t="s">
        <v>108</v>
      </c>
      <c r="Z979" t="s">
        <v>104</v>
      </c>
      <c r="AA979" t="s">
        <v>1954</v>
      </c>
      <c r="AB979" t="s">
        <v>715</v>
      </c>
    </row>
    <row r="980" spans="1:28" x14ac:dyDescent="0.3">
      <c r="A980" t="s">
        <v>1439</v>
      </c>
      <c r="B980">
        <v>4</v>
      </c>
      <c r="C980">
        <v>60</v>
      </c>
      <c r="D980">
        <v>24</v>
      </c>
      <c r="E980" t="s">
        <v>128</v>
      </c>
      <c r="F980" s="12">
        <v>45505</v>
      </c>
      <c r="G980" t="s">
        <v>1237</v>
      </c>
      <c r="H980" s="12">
        <v>45505</v>
      </c>
      <c r="I980" t="s">
        <v>1448</v>
      </c>
      <c r="J980" t="s">
        <v>458</v>
      </c>
      <c r="K980">
        <v>2</v>
      </c>
      <c r="L980">
        <v>60.9</v>
      </c>
      <c r="P980" t="s">
        <v>106</v>
      </c>
      <c r="Q980" t="s">
        <v>106</v>
      </c>
      <c r="R980" t="s">
        <v>106</v>
      </c>
      <c r="S980" t="s">
        <v>1795</v>
      </c>
      <c r="T980" t="s">
        <v>1508</v>
      </c>
      <c r="U980" t="s">
        <v>1626</v>
      </c>
      <c r="V980" t="s">
        <v>106</v>
      </c>
      <c r="W980" t="s">
        <v>443</v>
      </c>
      <c r="X980" t="s">
        <v>106</v>
      </c>
      <c r="Y980" t="s">
        <v>108</v>
      </c>
      <c r="Z980" t="s">
        <v>104</v>
      </c>
      <c r="AA980" t="s">
        <v>1954</v>
      </c>
      <c r="AB980" t="s">
        <v>2696</v>
      </c>
    </row>
    <row r="981" spans="1:28" x14ac:dyDescent="0.3">
      <c r="A981" t="s">
        <v>1436</v>
      </c>
      <c r="B981">
        <v>4</v>
      </c>
      <c r="C981">
        <v>60</v>
      </c>
      <c r="D981">
        <v>24</v>
      </c>
      <c r="E981" t="s">
        <v>128</v>
      </c>
      <c r="F981" s="12">
        <v>45505</v>
      </c>
      <c r="G981" t="s">
        <v>1237</v>
      </c>
      <c r="H981" s="12">
        <v>45505</v>
      </c>
      <c r="I981" t="s">
        <v>1448</v>
      </c>
      <c r="J981" t="s">
        <v>458</v>
      </c>
      <c r="K981">
        <v>2</v>
      </c>
      <c r="L981">
        <v>60.9</v>
      </c>
      <c r="P981" t="s">
        <v>106</v>
      </c>
      <c r="Q981" t="s">
        <v>106</v>
      </c>
      <c r="R981" t="s">
        <v>106</v>
      </c>
      <c r="S981" t="s">
        <v>1795</v>
      </c>
      <c r="T981" t="s">
        <v>1508</v>
      </c>
      <c r="U981" t="s">
        <v>1626</v>
      </c>
      <c r="V981" t="s">
        <v>106</v>
      </c>
      <c r="W981" t="s">
        <v>443</v>
      </c>
      <c r="X981" t="s">
        <v>106</v>
      </c>
      <c r="Y981" t="s">
        <v>108</v>
      </c>
      <c r="Z981" t="s">
        <v>104</v>
      </c>
      <c r="AA981" t="s">
        <v>1954</v>
      </c>
      <c r="AB981" t="s">
        <v>2696</v>
      </c>
    </row>
    <row r="982" spans="1:28" x14ac:dyDescent="0.3">
      <c r="A982" t="s">
        <v>1439</v>
      </c>
      <c r="B982">
        <v>4</v>
      </c>
      <c r="C982">
        <v>60</v>
      </c>
      <c r="D982">
        <v>23</v>
      </c>
      <c r="E982" t="s">
        <v>128</v>
      </c>
      <c r="F982" s="12">
        <v>45505</v>
      </c>
      <c r="G982" t="s">
        <v>1237</v>
      </c>
      <c r="H982" s="12">
        <v>45505</v>
      </c>
      <c r="I982" t="s">
        <v>1448</v>
      </c>
      <c r="J982" t="s">
        <v>458</v>
      </c>
      <c r="K982">
        <v>2</v>
      </c>
      <c r="L982">
        <v>62</v>
      </c>
      <c r="P982" t="s">
        <v>106</v>
      </c>
      <c r="Q982" t="s">
        <v>106</v>
      </c>
      <c r="R982" t="s">
        <v>106</v>
      </c>
      <c r="S982" t="s">
        <v>106</v>
      </c>
      <c r="T982" t="s">
        <v>1409</v>
      </c>
      <c r="U982" t="s">
        <v>1353</v>
      </c>
      <c r="V982" t="s">
        <v>106</v>
      </c>
      <c r="W982" t="s">
        <v>443</v>
      </c>
      <c r="X982" t="s">
        <v>106</v>
      </c>
      <c r="Y982" t="s">
        <v>108</v>
      </c>
      <c r="Z982" t="s">
        <v>104</v>
      </c>
      <c r="AA982" t="s">
        <v>1954</v>
      </c>
      <c r="AB982" t="s">
        <v>2695</v>
      </c>
    </row>
    <row r="983" spans="1:28" x14ac:dyDescent="0.3">
      <c r="A983" t="s">
        <v>1439</v>
      </c>
      <c r="B983">
        <v>4</v>
      </c>
      <c r="C983">
        <v>60</v>
      </c>
      <c r="D983">
        <v>33</v>
      </c>
      <c r="E983" t="s">
        <v>128</v>
      </c>
      <c r="F983" s="12">
        <v>45505</v>
      </c>
      <c r="G983" t="s">
        <v>738</v>
      </c>
      <c r="H983" s="12">
        <v>45505</v>
      </c>
      <c r="I983" t="s">
        <v>1445</v>
      </c>
      <c r="J983" t="s">
        <v>471</v>
      </c>
      <c r="K983">
        <v>2</v>
      </c>
      <c r="L983">
        <v>59.1</v>
      </c>
      <c r="P983" t="s">
        <v>106</v>
      </c>
      <c r="Q983" t="s">
        <v>106</v>
      </c>
      <c r="R983" t="s">
        <v>106</v>
      </c>
      <c r="S983" t="s">
        <v>106</v>
      </c>
      <c r="T983" t="s">
        <v>1959</v>
      </c>
      <c r="U983" t="s">
        <v>1738</v>
      </c>
      <c r="V983" t="s">
        <v>106</v>
      </c>
      <c r="W983" t="s">
        <v>443</v>
      </c>
      <c r="X983" t="s">
        <v>106</v>
      </c>
      <c r="Y983" t="s">
        <v>108</v>
      </c>
      <c r="Z983" t="s">
        <v>104</v>
      </c>
      <c r="AA983" t="s">
        <v>1954</v>
      </c>
      <c r="AB983" t="s">
        <v>2694</v>
      </c>
    </row>
    <row r="984" spans="1:28" x14ac:dyDescent="0.3">
      <c r="A984" t="s">
        <v>1439</v>
      </c>
      <c r="B984">
        <v>1</v>
      </c>
      <c r="C984">
        <v>0</v>
      </c>
      <c r="D984">
        <v>36</v>
      </c>
      <c r="E984" t="s">
        <v>128</v>
      </c>
      <c r="F984" s="12">
        <v>45506</v>
      </c>
      <c r="G984" t="s">
        <v>1444</v>
      </c>
      <c r="H984" s="12">
        <v>45505</v>
      </c>
      <c r="I984" t="s">
        <v>1445</v>
      </c>
      <c r="J984" t="s">
        <v>471</v>
      </c>
      <c r="K984">
        <v>2</v>
      </c>
      <c r="L984">
        <v>0</v>
      </c>
      <c r="P984" t="s">
        <v>106</v>
      </c>
      <c r="Q984" t="s">
        <v>106</v>
      </c>
      <c r="R984" t="s">
        <v>106</v>
      </c>
      <c r="S984" t="s">
        <v>1446</v>
      </c>
      <c r="T984" t="s">
        <v>937</v>
      </c>
      <c r="U984" t="s">
        <v>106</v>
      </c>
      <c r="V984" t="s">
        <v>106</v>
      </c>
      <c r="W984" t="s">
        <v>443</v>
      </c>
      <c r="X984" t="s">
        <v>106</v>
      </c>
      <c r="Y984" t="s">
        <v>108</v>
      </c>
      <c r="Z984" t="s">
        <v>104</v>
      </c>
      <c r="AA984" t="s">
        <v>1316</v>
      </c>
      <c r="AB984" t="s">
        <v>1447</v>
      </c>
    </row>
    <row r="985" spans="1:28" x14ac:dyDescent="0.3">
      <c r="A985" t="s">
        <v>1436</v>
      </c>
      <c r="B985">
        <v>1</v>
      </c>
      <c r="C985">
        <v>0</v>
      </c>
      <c r="D985">
        <v>35</v>
      </c>
      <c r="E985" t="s">
        <v>128</v>
      </c>
      <c r="F985" s="12">
        <v>45506</v>
      </c>
      <c r="G985" t="s">
        <v>1444</v>
      </c>
      <c r="H985" s="12">
        <v>45505</v>
      </c>
      <c r="I985" t="s">
        <v>1448</v>
      </c>
      <c r="J985" t="s">
        <v>458</v>
      </c>
      <c r="K985">
        <v>2</v>
      </c>
      <c r="L985">
        <v>0</v>
      </c>
      <c r="P985" t="s">
        <v>106</v>
      </c>
      <c r="Q985" t="s">
        <v>106</v>
      </c>
      <c r="R985" t="s">
        <v>106</v>
      </c>
      <c r="S985" t="s">
        <v>106</v>
      </c>
      <c r="T985" t="s">
        <v>1449</v>
      </c>
      <c r="U985" t="s">
        <v>106</v>
      </c>
      <c r="V985" t="s">
        <v>106</v>
      </c>
      <c r="W985" t="s">
        <v>443</v>
      </c>
      <c r="X985" t="s">
        <v>106</v>
      </c>
      <c r="Y985" t="s">
        <v>108</v>
      </c>
      <c r="Z985" t="s">
        <v>104</v>
      </c>
      <c r="AA985" t="s">
        <v>1316</v>
      </c>
      <c r="AB985" t="s">
        <v>1447</v>
      </c>
    </row>
    <row r="986" spans="1:28" x14ac:dyDescent="0.3">
      <c r="A986" t="s">
        <v>1439</v>
      </c>
      <c r="B986">
        <v>1</v>
      </c>
      <c r="C986">
        <v>0</v>
      </c>
      <c r="D986">
        <v>35</v>
      </c>
      <c r="E986" t="s">
        <v>128</v>
      </c>
      <c r="F986" s="12">
        <v>45506</v>
      </c>
      <c r="G986" t="s">
        <v>1444</v>
      </c>
      <c r="H986" s="12">
        <v>45505</v>
      </c>
      <c r="I986" t="s">
        <v>1448</v>
      </c>
      <c r="J986" t="s">
        <v>458</v>
      </c>
      <c r="K986">
        <v>2</v>
      </c>
      <c r="L986">
        <v>0</v>
      </c>
      <c r="P986" t="s">
        <v>106</v>
      </c>
      <c r="Q986" t="s">
        <v>106</v>
      </c>
      <c r="R986" t="s">
        <v>106</v>
      </c>
      <c r="S986" t="s">
        <v>106</v>
      </c>
      <c r="T986" t="s">
        <v>1449</v>
      </c>
      <c r="U986" t="s">
        <v>106</v>
      </c>
      <c r="V986" t="s">
        <v>106</v>
      </c>
      <c r="W986" t="s">
        <v>443</v>
      </c>
      <c r="X986" t="s">
        <v>106</v>
      </c>
      <c r="Y986" t="s">
        <v>108</v>
      </c>
      <c r="Z986" t="s">
        <v>104</v>
      </c>
      <c r="AA986" t="s">
        <v>1316</v>
      </c>
      <c r="AB986" t="s">
        <v>1447</v>
      </c>
    </row>
    <row r="987" spans="1:28" x14ac:dyDescent="0.3">
      <c r="A987" t="s">
        <v>1436</v>
      </c>
      <c r="B987">
        <v>1</v>
      </c>
      <c r="C987">
        <v>0</v>
      </c>
      <c r="D987">
        <v>36</v>
      </c>
      <c r="E987" t="s">
        <v>128</v>
      </c>
      <c r="F987" s="12">
        <v>45506</v>
      </c>
      <c r="G987" t="s">
        <v>1444</v>
      </c>
      <c r="H987" s="12">
        <v>45505</v>
      </c>
      <c r="I987" t="s">
        <v>1445</v>
      </c>
      <c r="J987" t="s">
        <v>471</v>
      </c>
      <c r="K987">
        <v>2</v>
      </c>
      <c r="L987">
        <v>0</v>
      </c>
      <c r="P987" t="s">
        <v>106</v>
      </c>
      <c r="Q987" t="s">
        <v>106</v>
      </c>
      <c r="R987" t="s">
        <v>106</v>
      </c>
      <c r="S987" t="s">
        <v>1446</v>
      </c>
      <c r="T987" t="s">
        <v>937</v>
      </c>
      <c r="U987" t="s">
        <v>106</v>
      </c>
      <c r="V987" t="s">
        <v>106</v>
      </c>
      <c r="W987" t="s">
        <v>443</v>
      </c>
      <c r="X987" t="s">
        <v>106</v>
      </c>
      <c r="Y987" t="s">
        <v>108</v>
      </c>
      <c r="Z987" t="s">
        <v>104</v>
      </c>
      <c r="AA987" t="s">
        <v>1316</v>
      </c>
      <c r="AB987" t="s">
        <v>1447</v>
      </c>
    </row>
    <row r="988" spans="1:28" x14ac:dyDescent="0.3">
      <c r="A988" t="s">
        <v>1439</v>
      </c>
      <c r="B988">
        <v>2</v>
      </c>
      <c r="C988">
        <v>15</v>
      </c>
      <c r="D988">
        <v>41</v>
      </c>
      <c r="E988" t="s">
        <v>128</v>
      </c>
      <c r="F988" s="12">
        <v>45506</v>
      </c>
      <c r="G988" t="s">
        <v>1945</v>
      </c>
      <c r="H988" s="12">
        <v>45506</v>
      </c>
      <c r="I988" t="s">
        <v>1339</v>
      </c>
      <c r="J988" t="s">
        <v>458</v>
      </c>
      <c r="K988">
        <v>2</v>
      </c>
      <c r="L988">
        <v>14.6</v>
      </c>
      <c r="P988" t="s">
        <v>106</v>
      </c>
      <c r="Q988" t="s">
        <v>106</v>
      </c>
      <c r="R988" t="s">
        <v>106</v>
      </c>
      <c r="S988" t="s">
        <v>1964</v>
      </c>
      <c r="T988" t="s">
        <v>1495</v>
      </c>
      <c r="U988" t="s">
        <v>1615</v>
      </c>
      <c r="V988" t="s">
        <v>106</v>
      </c>
      <c r="W988" t="s">
        <v>443</v>
      </c>
      <c r="X988" t="s">
        <v>106</v>
      </c>
      <c r="Y988" t="s">
        <v>108</v>
      </c>
      <c r="Z988" t="s">
        <v>109</v>
      </c>
      <c r="AA988" t="s">
        <v>1954</v>
      </c>
      <c r="AB988" t="s">
        <v>106</v>
      </c>
    </row>
    <row r="989" spans="1:28" x14ac:dyDescent="0.3">
      <c r="A989" t="s">
        <v>1439</v>
      </c>
      <c r="B989">
        <v>2</v>
      </c>
      <c r="C989">
        <v>15</v>
      </c>
      <c r="D989">
        <v>43</v>
      </c>
      <c r="E989" t="s">
        <v>128</v>
      </c>
      <c r="F989" s="12">
        <v>45506</v>
      </c>
      <c r="G989" t="s">
        <v>409</v>
      </c>
      <c r="H989" s="12">
        <v>45506</v>
      </c>
      <c r="I989" t="s">
        <v>1346</v>
      </c>
      <c r="J989" t="s">
        <v>458</v>
      </c>
      <c r="K989">
        <v>2</v>
      </c>
      <c r="L989">
        <v>14.3</v>
      </c>
      <c r="P989" t="s">
        <v>106</v>
      </c>
      <c r="Q989" t="s">
        <v>106</v>
      </c>
      <c r="R989" t="s">
        <v>106</v>
      </c>
      <c r="S989" t="s">
        <v>1204</v>
      </c>
      <c r="T989" t="s">
        <v>1372</v>
      </c>
      <c r="U989" t="s">
        <v>1734</v>
      </c>
      <c r="V989" t="s">
        <v>106</v>
      </c>
      <c r="W989" t="s">
        <v>373</v>
      </c>
      <c r="X989" t="s">
        <v>106</v>
      </c>
      <c r="Y989" t="s">
        <v>108</v>
      </c>
      <c r="Z989" t="s">
        <v>109</v>
      </c>
      <c r="AA989" t="s">
        <v>1954</v>
      </c>
      <c r="AB989" t="s">
        <v>715</v>
      </c>
    </row>
    <row r="990" spans="1:28" x14ac:dyDescent="0.3">
      <c r="A990" t="s">
        <v>1436</v>
      </c>
      <c r="B990">
        <v>2</v>
      </c>
      <c r="C990">
        <v>15</v>
      </c>
      <c r="D990">
        <v>44</v>
      </c>
      <c r="E990" t="s">
        <v>128</v>
      </c>
      <c r="F990" s="12">
        <v>45506</v>
      </c>
      <c r="G990" t="s">
        <v>878</v>
      </c>
      <c r="H990" s="12">
        <v>45506</v>
      </c>
      <c r="I990" t="s">
        <v>1346</v>
      </c>
      <c r="J990" t="s">
        <v>458</v>
      </c>
      <c r="K990">
        <v>2</v>
      </c>
      <c r="L990">
        <v>13.3</v>
      </c>
      <c r="P990" t="s">
        <v>106</v>
      </c>
      <c r="Q990" t="s">
        <v>106</v>
      </c>
      <c r="R990" t="s">
        <v>106</v>
      </c>
      <c r="S990" t="s">
        <v>106</v>
      </c>
      <c r="T990" t="s">
        <v>1074</v>
      </c>
      <c r="U990" t="s">
        <v>1539</v>
      </c>
      <c r="V990" t="s">
        <v>106</v>
      </c>
      <c r="W990" t="s">
        <v>373</v>
      </c>
      <c r="X990" t="s">
        <v>106</v>
      </c>
      <c r="Y990" t="s">
        <v>108</v>
      </c>
      <c r="Z990" t="s">
        <v>109</v>
      </c>
      <c r="AA990" t="s">
        <v>1954</v>
      </c>
      <c r="AB990" t="s">
        <v>1965</v>
      </c>
    </row>
    <row r="991" spans="1:28" x14ac:dyDescent="0.3">
      <c r="A991" t="s">
        <v>1439</v>
      </c>
      <c r="B991">
        <v>2</v>
      </c>
      <c r="C991">
        <v>15</v>
      </c>
      <c r="D991">
        <v>42</v>
      </c>
      <c r="E991" t="s">
        <v>128</v>
      </c>
      <c r="F991" s="12">
        <v>45506</v>
      </c>
      <c r="G991" t="s">
        <v>1945</v>
      </c>
      <c r="H991" s="12">
        <v>45506</v>
      </c>
      <c r="I991" t="s">
        <v>1339</v>
      </c>
      <c r="J991" t="s">
        <v>458</v>
      </c>
      <c r="K991">
        <v>2</v>
      </c>
      <c r="L991">
        <v>14.7</v>
      </c>
      <c r="P991" t="s">
        <v>106</v>
      </c>
      <c r="Q991" t="s">
        <v>106</v>
      </c>
      <c r="R991" t="s">
        <v>106</v>
      </c>
      <c r="S991" t="s">
        <v>106</v>
      </c>
      <c r="T991" t="s">
        <v>1796</v>
      </c>
      <c r="U991" t="s">
        <v>1359</v>
      </c>
      <c r="V991" t="s">
        <v>106</v>
      </c>
      <c r="W991" t="s">
        <v>443</v>
      </c>
      <c r="X991" t="s">
        <v>106</v>
      </c>
      <c r="Y991" t="s">
        <v>108</v>
      </c>
      <c r="Z991" t="s">
        <v>109</v>
      </c>
      <c r="AA991" t="s">
        <v>1954</v>
      </c>
      <c r="AB991" t="s">
        <v>106</v>
      </c>
    </row>
    <row r="992" spans="1:28" x14ac:dyDescent="0.3">
      <c r="A992" t="s">
        <v>1439</v>
      </c>
      <c r="B992">
        <v>2</v>
      </c>
      <c r="C992">
        <v>15</v>
      </c>
      <c r="D992">
        <v>44</v>
      </c>
      <c r="E992" t="s">
        <v>128</v>
      </c>
      <c r="F992" s="12">
        <v>45506</v>
      </c>
      <c r="G992" t="s">
        <v>878</v>
      </c>
      <c r="H992" s="12">
        <v>45506</v>
      </c>
      <c r="I992" t="s">
        <v>1346</v>
      </c>
      <c r="J992" t="s">
        <v>458</v>
      </c>
      <c r="K992">
        <v>2</v>
      </c>
      <c r="L992">
        <v>13.3</v>
      </c>
      <c r="P992" t="s">
        <v>106</v>
      </c>
      <c r="Q992" t="s">
        <v>106</v>
      </c>
      <c r="R992" t="s">
        <v>106</v>
      </c>
      <c r="S992" t="s">
        <v>106</v>
      </c>
      <c r="T992" t="s">
        <v>1074</v>
      </c>
      <c r="U992" t="s">
        <v>1539</v>
      </c>
      <c r="V992" t="s">
        <v>106</v>
      </c>
      <c r="W992" t="s">
        <v>373</v>
      </c>
      <c r="X992" t="s">
        <v>106</v>
      </c>
      <c r="Y992" t="s">
        <v>108</v>
      </c>
      <c r="Z992" t="s">
        <v>109</v>
      </c>
      <c r="AA992" t="s">
        <v>1954</v>
      </c>
      <c r="AB992" t="s">
        <v>1965</v>
      </c>
    </row>
    <row r="993" spans="1:28" x14ac:dyDescent="0.3">
      <c r="A993" t="s">
        <v>1436</v>
      </c>
      <c r="B993">
        <v>2</v>
      </c>
      <c r="C993">
        <v>15</v>
      </c>
      <c r="D993">
        <v>42</v>
      </c>
      <c r="E993" t="s">
        <v>128</v>
      </c>
      <c r="F993" s="12">
        <v>45506</v>
      </c>
      <c r="G993" t="s">
        <v>1945</v>
      </c>
      <c r="H993" s="12">
        <v>45506</v>
      </c>
      <c r="I993" t="s">
        <v>1339</v>
      </c>
      <c r="J993" t="s">
        <v>458</v>
      </c>
      <c r="K993">
        <v>2</v>
      </c>
      <c r="L993">
        <v>14.7</v>
      </c>
      <c r="P993" t="s">
        <v>106</v>
      </c>
      <c r="Q993" t="s">
        <v>106</v>
      </c>
      <c r="R993" t="s">
        <v>106</v>
      </c>
      <c r="S993" t="s">
        <v>106</v>
      </c>
      <c r="T993" t="s">
        <v>1796</v>
      </c>
      <c r="U993" t="s">
        <v>106</v>
      </c>
      <c r="V993" t="s">
        <v>106</v>
      </c>
      <c r="W993" t="s">
        <v>443</v>
      </c>
      <c r="X993" t="s">
        <v>106</v>
      </c>
      <c r="Y993" t="s">
        <v>108</v>
      </c>
      <c r="Z993" t="s">
        <v>109</v>
      </c>
      <c r="AA993" t="s">
        <v>1954</v>
      </c>
      <c r="AB993" t="s">
        <v>106</v>
      </c>
    </row>
    <row r="994" spans="1:28" x14ac:dyDescent="0.3">
      <c r="A994" t="s">
        <v>1436</v>
      </c>
      <c r="B994">
        <v>2</v>
      </c>
      <c r="C994">
        <v>15</v>
      </c>
      <c r="D994">
        <v>41</v>
      </c>
      <c r="E994" t="s">
        <v>128</v>
      </c>
      <c r="F994" s="12">
        <v>45506</v>
      </c>
      <c r="G994" t="s">
        <v>1945</v>
      </c>
      <c r="H994" s="12">
        <v>45506</v>
      </c>
      <c r="I994" t="s">
        <v>1339</v>
      </c>
      <c r="J994" t="s">
        <v>458</v>
      </c>
      <c r="K994">
        <v>2</v>
      </c>
      <c r="L994">
        <v>14.6</v>
      </c>
      <c r="P994" t="s">
        <v>106</v>
      </c>
      <c r="Q994" t="s">
        <v>106</v>
      </c>
      <c r="R994" t="s">
        <v>106</v>
      </c>
      <c r="S994" t="s">
        <v>1964</v>
      </c>
      <c r="T994" t="s">
        <v>1495</v>
      </c>
      <c r="U994" t="s">
        <v>106</v>
      </c>
      <c r="V994" t="s">
        <v>106</v>
      </c>
      <c r="W994" t="s">
        <v>443</v>
      </c>
      <c r="X994" t="s">
        <v>106</v>
      </c>
      <c r="Y994" t="s">
        <v>108</v>
      </c>
      <c r="Z994" t="s">
        <v>109</v>
      </c>
      <c r="AA994" t="s">
        <v>1954</v>
      </c>
      <c r="AB994" t="s">
        <v>106</v>
      </c>
    </row>
    <row r="995" spans="1:28" x14ac:dyDescent="0.3">
      <c r="A995" t="s">
        <v>1436</v>
      </c>
      <c r="B995">
        <v>2</v>
      </c>
      <c r="C995">
        <v>15</v>
      </c>
      <c r="D995">
        <v>43</v>
      </c>
      <c r="E995" t="s">
        <v>128</v>
      </c>
      <c r="F995" s="12">
        <v>45506</v>
      </c>
      <c r="G995" t="s">
        <v>409</v>
      </c>
      <c r="H995" s="12">
        <v>45506</v>
      </c>
      <c r="I995" t="s">
        <v>1346</v>
      </c>
      <c r="J995" t="s">
        <v>458</v>
      </c>
      <c r="K995">
        <v>2</v>
      </c>
      <c r="L995">
        <v>14.3</v>
      </c>
      <c r="P995" t="s">
        <v>106</v>
      </c>
      <c r="Q995" t="s">
        <v>106</v>
      </c>
      <c r="R995" t="s">
        <v>106</v>
      </c>
      <c r="S995" t="s">
        <v>1204</v>
      </c>
      <c r="T995" t="s">
        <v>1372</v>
      </c>
      <c r="U995" t="s">
        <v>1734</v>
      </c>
      <c r="V995" t="s">
        <v>106</v>
      </c>
      <c r="W995" t="s">
        <v>373</v>
      </c>
      <c r="X995" t="s">
        <v>106</v>
      </c>
      <c r="Y995" t="s">
        <v>108</v>
      </c>
      <c r="Z995" t="s">
        <v>109</v>
      </c>
      <c r="AA995" t="s">
        <v>1954</v>
      </c>
      <c r="AB995" t="s">
        <v>715</v>
      </c>
    </row>
    <row r="996" spans="1:28" x14ac:dyDescent="0.3">
      <c r="A996" t="s">
        <v>1439</v>
      </c>
      <c r="B996">
        <v>3</v>
      </c>
      <c r="C996">
        <v>35</v>
      </c>
      <c r="D996">
        <v>55</v>
      </c>
      <c r="E996" t="s">
        <v>2010</v>
      </c>
      <c r="F996" s="12">
        <v>45506</v>
      </c>
      <c r="G996" t="s">
        <v>309</v>
      </c>
      <c r="H996" s="12">
        <v>45506</v>
      </c>
      <c r="I996" t="s">
        <v>106</v>
      </c>
      <c r="J996" t="s">
        <v>106</v>
      </c>
      <c r="L996">
        <v>37.200000000000003</v>
      </c>
      <c r="P996" t="s">
        <v>106</v>
      </c>
      <c r="Q996" t="s">
        <v>106</v>
      </c>
      <c r="R996" t="s">
        <v>106</v>
      </c>
      <c r="S996" t="s">
        <v>1231</v>
      </c>
      <c r="T996" t="s">
        <v>1478</v>
      </c>
      <c r="U996" t="s">
        <v>2054</v>
      </c>
      <c r="V996" t="s">
        <v>106</v>
      </c>
      <c r="W996" t="s">
        <v>443</v>
      </c>
      <c r="X996" t="s">
        <v>106</v>
      </c>
      <c r="Y996" t="s">
        <v>108</v>
      </c>
      <c r="Z996" t="s">
        <v>108</v>
      </c>
      <c r="AA996" t="s">
        <v>106</v>
      </c>
      <c r="AB996" t="s">
        <v>106</v>
      </c>
    </row>
    <row r="997" spans="1:28" x14ac:dyDescent="0.3">
      <c r="A997" t="s">
        <v>1439</v>
      </c>
      <c r="B997">
        <v>3</v>
      </c>
      <c r="C997">
        <v>35</v>
      </c>
      <c r="D997">
        <v>56</v>
      </c>
      <c r="E997" t="s">
        <v>2010</v>
      </c>
      <c r="F997" s="12">
        <v>45506</v>
      </c>
      <c r="G997" t="s">
        <v>1642</v>
      </c>
      <c r="H997" s="12">
        <v>45506</v>
      </c>
      <c r="I997" t="s">
        <v>106</v>
      </c>
      <c r="J997" t="s">
        <v>106</v>
      </c>
      <c r="L997">
        <v>36.6</v>
      </c>
      <c r="P997" t="s">
        <v>106</v>
      </c>
      <c r="Q997" t="s">
        <v>106</v>
      </c>
      <c r="R997" t="s">
        <v>106</v>
      </c>
      <c r="S997" t="s">
        <v>1442</v>
      </c>
      <c r="T997" t="s">
        <v>1449</v>
      </c>
      <c r="U997" t="s">
        <v>2054</v>
      </c>
      <c r="V997" t="s">
        <v>106</v>
      </c>
      <c r="W997" t="s">
        <v>443</v>
      </c>
      <c r="X997" t="s">
        <v>106</v>
      </c>
      <c r="Y997" t="s">
        <v>108</v>
      </c>
      <c r="Z997" t="s">
        <v>108</v>
      </c>
      <c r="AA997" t="s">
        <v>106</v>
      </c>
      <c r="AB997" t="s">
        <v>106</v>
      </c>
    </row>
    <row r="998" spans="1:28" x14ac:dyDescent="0.3">
      <c r="A998" t="s">
        <v>1439</v>
      </c>
      <c r="B998">
        <v>3</v>
      </c>
      <c r="C998">
        <v>35</v>
      </c>
      <c r="D998">
        <v>54</v>
      </c>
      <c r="E998" t="s">
        <v>2010</v>
      </c>
      <c r="F998" s="12">
        <v>45506</v>
      </c>
      <c r="G998" t="s">
        <v>316</v>
      </c>
      <c r="H998" s="12">
        <v>45506</v>
      </c>
      <c r="I998" t="s">
        <v>106</v>
      </c>
      <c r="J998" t="s">
        <v>106</v>
      </c>
      <c r="L998">
        <v>27.9</v>
      </c>
      <c r="P998" t="s">
        <v>106</v>
      </c>
      <c r="Q998" t="s">
        <v>106</v>
      </c>
      <c r="R998" t="s">
        <v>106</v>
      </c>
      <c r="S998" t="s">
        <v>1595</v>
      </c>
      <c r="T998" t="s">
        <v>1864</v>
      </c>
      <c r="U998" t="s">
        <v>334</v>
      </c>
      <c r="V998" t="s">
        <v>106</v>
      </c>
      <c r="W998" t="s">
        <v>443</v>
      </c>
      <c r="X998" t="s">
        <v>106</v>
      </c>
      <c r="Y998" t="s">
        <v>108</v>
      </c>
      <c r="Z998" t="s">
        <v>108</v>
      </c>
      <c r="AA998" t="s">
        <v>106</v>
      </c>
      <c r="AB998" t="s">
        <v>106</v>
      </c>
    </row>
    <row r="999" spans="1:28" x14ac:dyDescent="0.3">
      <c r="A999" t="s">
        <v>1439</v>
      </c>
      <c r="B999">
        <v>3</v>
      </c>
      <c r="C999">
        <v>35</v>
      </c>
      <c r="D999">
        <v>53</v>
      </c>
      <c r="E999" t="s">
        <v>2010</v>
      </c>
      <c r="F999" s="12">
        <v>45506</v>
      </c>
      <c r="G999" t="s">
        <v>435</v>
      </c>
      <c r="H999" s="12">
        <v>45506</v>
      </c>
      <c r="I999" t="s">
        <v>106</v>
      </c>
      <c r="J999" t="s">
        <v>106</v>
      </c>
      <c r="L999">
        <v>29.2</v>
      </c>
      <c r="P999" t="s">
        <v>106</v>
      </c>
      <c r="Q999" t="s">
        <v>106</v>
      </c>
      <c r="R999" t="s">
        <v>106</v>
      </c>
      <c r="S999" t="s">
        <v>2257</v>
      </c>
      <c r="T999" t="s">
        <v>1864</v>
      </c>
      <c r="U999" t="s">
        <v>334</v>
      </c>
      <c r="V999" t="s">
        <v>106</v>
      </c>
      <c r="W999" t="s">
        <v>443</v>
      </c>
      <c r="X999" t="s">
        <v>106</v>
      </c>
      <c r="Y999" t="s">
        <v>108</v>
      </c>
      <c r="Z999" t="s">
        <v>108</v>
      </c>
      <c r="AA999" t="s">
        <v>106</v>
      </c>
      <c r="AB999" t="s">
        <v>106</v>
      </c>
    </row>
    <row r="1000" spans="1:28" x14ac:dyDescent="0.3">
      <c r="A1000" t="s">
        <v>1436</v>
      </c>
      <c r="B1000">
        <v>3</v>
      </c>
      <c r="C1000">
        <v>35</v>
      </c>
      <c r="D1000">
        <v>46</v>
      </c>
      <c r="E1000" t="s">
        <v>128</v>
      </c>
      <c r="F1000" s="12">
        <v>45506</v>
      </c>
      <c r="G1000" t="s">
        <v>561</v>
      </c>
      <c r="H1000" s="12">
        <v>45506</v>
      </c>
      <c r="I1000" t="s">
        <v>1346</v>
      </c>
      <c r="J1000" t="s">
        <v>458</v>
      </c>
      <c r="K1000">
        <v>2</v>
      </c>
      <c r="L1000">
        <v>31.1</v>
      </c>
      <c r="P1000" t="s">
        <v>106</v>
      </c>
      <c r="Q1000" t="s">
        <v>106</v>
      </c>
      <c r="R1000" t="s">
        <v>106</v>
      </c>
      <c r="S1000" t="s">
        <v>1628</v>
      </c>
      <c r="T1000" t="s">
        <v>884</v>
      </c>
      <c r="U1000" t="s">
        <v>1651</v>
      </c>
      <c r="V1000" t="s">
        <v>106</v>
      </c>
      <c r="W1000" t="s">
        <v>373</v>
      </c>
      <c r="X1000" t="s">
        <v>106</v>
      </c>
      <c r="Y1000" t="s">
        <v>108</v>
      </c>
      <c r="Z1000" t="s">
        <v>108</v>
      </c>
      <c r="AA1000" t="s">
        <v>2436</v>
      </c>
      <c r="AB1000" t="s">
        <v>2437</v>
      </c>
    </row>
    <row r="1001" spans="1:28" x14ac:dyDescent="0.3">
      <c r="A1001" t="s">
        <v>1436</v>
      </c>
      <c r="B1001">
        <v>3</v>
      </c>
      <c r="C1001">
        <v>35</v>
      </c>
      <c r="D1001">
        <v>45</v>
      </c>
      <c r="E1001" t="s">
        <v>128</v>
      </c>
      <c r="F1001" s="12">
        <v>45506</v>
      </c>
      <c r="G1001" t="s">
        <v>1697</v>
      </c>
      <c r="H1001" s="12">
        <v>45506</v>
      </c>
      <c r="I1001" t="s">
        <v>1346</v>
      </c>
      <c r="J1001" t="s">
        <v>458</v>
      </c>
      <c r="K1001">
        <v>2</v>
      </c>
      <c r="L1001">
        <v>34.4</v>
      </c>
      <c r="P1001" t="s">
        <v>106</v>
      </c>
      <c r="Q1001" t="s">
        <v>106</v>
      </c>
      <c r="R1001" t="s">
        <v>106</v>
      </c>
      <c r="S1001" t="s">
        <v>106</v>
      </c>
      <c r="T1001" t="s">
        <v>1141</v>
      </c>
      <c r="U1001" t="s">
        <v>1772</v>
      </c>
      <c r="V1001" t="s">
        <v>106</v>
      </c>
      <c r="W1001" t="s">
        <v>373</v>
      </c>
      <c r="X1001" t="s">
        <v>106</v>
      </c>
      <c r="Y1001" t="s">
        <v>108</v>
      </c>
      <c r="Z1001" t="s">
        <v>108</v>
      </c>
      <c r="AA1001" t="s">
        <v>1954</v>
      </c>
      <c r="AB1001" t="s">
        <v>2438</v>
      </c>
    </row>
    <row r="1002" spans="1:28" x14ac:dyDescent="0.3">
      <c r="A1002" t="s">
        <v>1439</v>
      </c>
      <c r="B1002">
        <v>3</v>
      </c>
      <c r="C1002">
        <v>35</v>
      </c>
      <c r="D1002">
        <v>58</v>
      </c>
      <c r="E1002" t="s">
        <v>2010</v>
      </c>
      <c r="F1002" s="12">
        <v>45506</v>
      </c>
      <c r="G1002" t="s">
        <v>410</v>
      </c>
      <c r="H1002" s="12">
        <v>45506</v>
      </c>
      <c r="I1002" t="s">
        <v>106</v>
      </c>
      <c r="J1002" t="s">
        <v>106</v>
      </c>
      <c r="L1002">
        <v>34.4</v>
      </c>
      <c r="P1002" t="s">
        <v>106</v>
      </c>
      <c r="Q1002" t="s">
        <v>106</v>
      </c>
      <c r="R1002" t="s">
        <v>106</v>
      </c>
      <c r="S1002" t="s">
        <v>1399</v>
      </c>
      <c r="T1002" t="s">
        <v>1822</v>
      </c>
      <c r="U1002" t="s">
        <v>2439</v>
      </c>
      <c r="V1002" t="s">
        <v>106</v>
      </c>
      <c r="W1002" t="s">
        <v>443</v>
      </c>
      <c r="X1002" t="s">
        <v>106</v>
      </c>
      <c r="Y1002" t="s">
        <v>108</v>
      </c>
      <c r="Z1002" t="s">
        <v>108</v>
      </c>
      <c r="AA1002" t="s">
        <v>106</v>
      </c>
      <c r="AB1002" t="s">
        <v>2440</v>
      </c>
    </row>
    <row r="1003" spans="1:28" x14ac:dyDescent="0.3">
      <c r="A1003" t="s">
        <v>1436</v>
      </c>
      <c r="B1003">
        <v>3</v>
      </c>
      <c r="C1003">
        <v>35</v>
      </c>
      <c r="D1003">
        <v>51</v>
      </c>
      <c r="E1003" t="s">
        <v>311</v>
      </c>
      <c r="F1003" s="12">
        <v>45506</v>
      </c>
      <c r="G1003" t="s">
        <v>745</v>
      </c>
      <c r="H1003" s="12" t="s">
        <v>106</v>
      </c>
      <c r="I1003" t="s">
        <v>106</v>
      </c>
      <c r="J1003" t="s">
        <v>106</v>
      </c>
      <c r="L1003">
        <v>28.4</v>
      </c>
      <c r="P1003" t="s">
        <v>106</v>
      </c>
      <c r="Q1003" t="s">
        <v>106</v>
      </c>
      <c r="R1003" t="s">
        <v>106</v>
      </c>
      <c r="S1003" t="s">
        <v>106</v>
      </c>
      <c r="T1003" t="s">
        <v>1145</v>
      </c>
      <c r="U1003" t="s">
        <v>106</v>
      </c>
      <c r="V1003" t="s">
        <v>106</v>
      </c>
      <c r="W1003" t="s">
        <v>373</v>
      </c>
      <c r="X1003" t="s">
        <v>106</v>
      </c>
      <c r="Y1003" t="s">
        <v>108</v>
      </c>
      <c r="Z1003" t="s">
        <v>108</v>
      </c>
      <c r="AA1003" t="s">
        <v>2436</v>
      </c>
      <c r="AB1003" t="s">
        <v>106</v>
      </c>
    </row>
    <row r="1004" spans="1:28" x14ac:dyDescent="0.3">
      <c r="A1004" t="s">
        <v>1439</v>
      </c>
      <c r="B1004">
        <v>3</v>
      </c>
      <c r="C1004">
        <v>35</v>
      </c>
      <c r="D1004">
        <v>51</v>
      </c>
      <c r="E1004" t="s">
        <v>311</v>
      </c>
      <c r="F1004" s="12">
        <v>45506</v>
      </c>
      <c r="G1004" t="s">
        <v>745</v>
      </c>
      <c r="H1004" s="12" t="s">
        <v>106</v>
      </c>
      <c r="I1004" t="s">
        <v>106</v>
      </c>
      <c r="J1004" t="s">
        <v>106</v>
      </c>
      <c r="L1004">
        <v>28.4</v>
      </c>
      <c r="P1004" t="s">
        <v>106</v>
      </c>
      <c r="Q1004" t="s">
        <v>106</v>
      </c>
      <c r="R1004" t="s">
        <v>106</v>
      </c>
      <c r="S1004" t="s">
        <v>106</v>
      </c>
      <c r="T1004" t="s">
        <v>1145</v>
      </c>
      <c r="U1004" t="s">
        <v>106</v>
      </c>
      <c r="V1004" t="s">
        <v>106</v>
      </c>
      <c r="W1004" t="s">
        <v>373</v>
      </c>
      <c r="X1004" t="s">
        <v>106</v>
      </c>
      <c r="Y1004" t="s">
        <v>108</v>
      </c>
      <c r="Z1004" t="s">
        <v>108</v>
      </c>
      <c r="AA1004" t="s">
        <v>2436</v>
      </c>
      <c r="AB1004" t="s">
        <v>2441</v>
      </c>
    </row>
    <row r="1005" spans="1:28" x14ac:dyDescent="0.3">
      <c r="A1005" t="s">
        <v>1436</v>
      </c>
      <c r="B1005">
        <v>3</v>
      </c>
      <c r="C1005">
        <v>35</v>
      </c>
      <c r="D1005">
        <v>50</v>
      </c>
      <c r="E1005" t="s">
        <v>311</v>
      </c>
      <c r="F1005" s="12">
        <v>45506</v>
      </c>
      <c r="G1005" t="s">
        <v>745</v>
      </c>
      <c r="H1005" s="12" t="s">
        <v>106</v>
      </c>
      <c r="I1005" t="s">
        <v>106</v>
      </c>
      <c r="J1005" t="s">
        <v>106</v>
      </c>
      <c r="L1005">
        <v>27.1</v>
      </c>
      <c r="P1005" t="s">
        <v>106</v>
      </c>
      <c r="Q1005" t="s">
        <v>106</v>
      </c>
      <c r="R1005" t="s">
        <v>106</v>
      </c>
      <c r="S1005" t="s">
        <v>106</v>
      </c>
      <c r="T1005" t="s">
        <v>993</v>
      </c>
      <c r="U1005" t="s">
        <v>106</v>
      </c>
      <c r="V1005" t="s">
        <v>106</v>
      </c>
      <c r="W1005" t="s">
        <v>373</v>
      </c>
      <c r="X1005" t="s">
        <v>106</v>
      </c>
      <c r="Y1005" t="s">
        <v>108</v>
      </c>
      <c r="Z1005" t="s">
        <v>108</v>
      </c>
      <c r="AA1005" t="s">
        <v>2436</v>
      </c>
      <c r="AB1005" t="s">
        <v>106</v>
      </c>
    </row>
    <row r="1006" spans="1:28" x14ac:dyDescent="0.3">
      <c r="A1006" t="s">
        <v>1436</v>
      </c>
      <c r="B1006">
        <v>3</v>
      </c>
      <c r="C1006">
        <v>35</v>
      </c>
      <c r="D1006">
        <v>38</v>
      </c>
      <c r="E1006" t="s">
        <v>128</v>
      </c>
      <c r="F1006" s="12">
        <v>45506</v>
      </c>
      <c r="G1006" t="s">
        <v>1013</v>
      </c>
      <c r="H1006" s="12">
        <v>45506</v>
      </c>
      <c r="I1006" t="s">
        <v>1339</v>
      </c>
      <c r="J1006" t="s">
        <v>458</v>
      </c>
      <c r="K1006">
        <v>2</v>
      </c>
      <c r="L1006">
        <v>35.4</v>
      </c>
      <c r="P1006" t="s">
        <v>106</v>
      </c>
      <c r="Q1006" t="s">
        <v>106</v>
      </c>
      <c r="R1006" t="s">
        <v>106</v>
      </c>
      <c r="S1006" t="s">
        <v>965</v>
      </c>
      <c r="T1006" t="s">
        <v>1796</v>
      </c>
      <c r="U1006" t="s">
        <v>106</v>
      </c>
      <c r="V1006" t="s">
        <v>106</v>
      </c>
      <c r="W1006" t="s">
        <v>443</v>
      </c>
      <c r="X1006" t="s">
        <v>106</v>
      </c>
      <c r="Y1006" t="s">
        <v>108</v>
      </c>
      <c r="Z1006" t="s">
        <v>108</v>
      </c>
      <c r="AA1006" t="s">
        <v>1954</v>
      </c>
      <c r="AB1006" t="s">
        <v>106</v>
      </c>
    </row>
    <row r="1007" spans="1:28" x14ac:dyDescent="0.3">
      <c r="A1007" t="s">
        <v>1436</v>
      </c>
      <c r="B1007">
        <v>3</v>
      </c>
      <c r="C1007">
        <v>35</v>
      </c>
      <c r="D1007">
        <v>37</v>
      </c>
      <c r="E1007" t="s">
        <v>128</v>
      </c>
      <c r="F1007" s="12">
        <v>45506</v>
      </c>
      <c r="G1007" t="s">
        <v>1013</v>
      </c>
      <c r="H1007" s="12">
        <v>45506</v>
      </c>
      <c r="I1007" t="s">
        <v>1339</v>
      </c>
      <c r="J1007" t="s">
        <v>458</v>
      </c>
      <c r="K1007">
        <v>2</v>
      </c>
      <c r="L1007">
        <v>35.200000000000003</v>
      </c>
      <c r="P1007" t="s">
        <v>106</v>
      </c>
      <c r="Q1007" t="s">
        <v>106</v>
      </c>
      <c r="R1007" t="s">
        <v>106</v>
      </c>
      <c r="S1007" t="s">
        <v>106</v>
      </c>
      <c r="T1007" t="s">
        <v>1409</v>
      </c>
      <c r="U1007" t="s">
        <v>106</v>
      </c>
      <c r="V1007" t="s">
        <v>106</v>
      </c>
      <c r="W1007" t="s">
        <v>443</v>
      </c>
      <c r="X1007" t="s">
        <v>106</v>
      </c>
      <c r="Y1007" t="s">
        <v>108</v>
      </c>
      <c r="Z1007" t="s">
        <v>108</v>
      </c>
      <c r="AA1007" t="s">
        <v>1954</v>
      </c>
      <c r="AB1007" t="s">
        <v>715</v>
      </c>
    </row>
    <row r="1008" spans="1:28" x14ac:dyDescent="0.3">
      <c r="A1008" t="s">
        <v>1439</v>
      </c>
      <c r="B1008">
        <v>3</v>
      </c>
      <c r="C1008">
        <v>35</v>
      </c>
      <c r="D1008">
        <v>38</v>
      </c>
      <c r="E1008" t="s">
        <v>128</v>
      </c>
      <c r="F1008" s="12">
        <v>45506</v>
      </c>
      <c r="G1008" t="s">
        <v>1013</v>
      </c>
      <c r="H1008" s="12">
        <v>45506</v>
      </c>
      <c r="I1008" t="s">
        <v>1339</v>
      </c>
      <c r="J1008" t="s">
        <v>458</v>
      </c>
      <c r="K1008">
        <v>2</v>
      </c>
      <c r="L1008">
        <v>35.4</v>
      </c>
      <c r="P1008" t="s">
        <v>106</v>
      </c>
      <c r="Q1008" t="s">
        <v>106</v>
      </c>
      <c r="R1008" t="s">
        <v>106</v>
      </c>
      <c r="S1008" t="s">
        <v>965</v>
      </c>
      <c r="T1008" t="s">
        <v>1796</v>
      </c>
      <c r="U1008" t="s">
        <v>1631</v>
      </c>
      <c r="V1008" t="s">
        <v>106</v>
      </c>
      <c r="W1008" t="s">
        <v>443</v>
      </c>
      <c r="X1008" t="s">
        <v>106</v>
      </c>
      <c r="Y1008" t="s">
        <v>108</v>
      </c>
      <c r="Z1008" t="s">
        <v>108</v>
      </c>
      <c r="AA1008" t="s">
        <v>1954</v>
      </c>
      <c r="AB1008" t="s">
        <v>106</v>
      </c>
    </row>
    <row r="1009" spans="1:28" x14ac:dyDescent="0.3">
      <c r="A1009" t="s">
        <v>1439</v>
      </c>
      <c r="B1009">
        <v>3</v>
      </c>
      <c r="C1009">
        <v>35</v>
      </c>
      <c r="D1009">
        <v>45</v>
      </c>
      <c r="E1009" t="s">
        <v>128</v>
      </c>
      <c r="F1009" s="12">
        <v>45506</v>
      </c>
      <c r="G1009" t="s">
        <v>1697</v>
      </c>
      <c r="H1009" s="12">
        <v>45506</v>
      </c>
      <c r="I1009" t="s">
        <v>1346</v>
      </c>
      <c r="J1009" t="s">
        <v>458</v>
      </c>
      <c r="K1009">
        <v>2</v>
      </c>
      <c r="L1009">
        <v>34.4</v>
      </c>
      <c r="P1009" t="s">
        <v>106</v>
      </c>
      <c r="Q1009" t="s">
        <v>106</v>
      </c>
      <c r="R1009" t="s">
        <v>106</v>
      </c>
      <c r="S1009" t="s">
        <v>106</v>
      </c>
      <c r="T1009" t="s">
        <v>1141</v>
      </c>
      <c r="U1009" t="s">
        <v>1772</v>
      </c>
      <c r="V1009" t="s">
        <v>106</v>
      </c>
      <c r="W1009" t="s">
        <v>373</v>
      </c>
      <c r="X1009" t="s">
        <v>106</v>
      </c>
      <c r="Y1009" t="s">
        <v>108</v>
      </c>
      <c r="Z1009" t="s">
        <v>108</v>
      </c>
      <c r="AA1009" t="s">
        <v>1954</v>
      </c>
      <c r="AB1009" t="s">
        <v>2438</v>
      </c>
    </row>
    <row r="1010" spans="1:28" x14ac:dyDescent="0.3">
      <c r="A1010" t="s">
        <v>1439</v>
      </c>
      <c r="B1010">
        <v>3</v>
      </c>
      <c r="C1010">
        <v>35</v>
      </c>
      <c r="D1010">
        <v>57</v>
      </c>
      <c r="E1010" t="s">
        <v>2010</v>
      </c>
      <c r="F1010" s="12">
        <v>45506</v>
      </c>
      <c r="G1010" t="s">
        <v>415</v>
      </c>
      <c r="H1010" s="12">
        <v>45506</v>
      </c>
      <c r="I1010" t="s">
        <v>106</v>
      </c>
      <c r="J1010" t="s">
        <v>106</v>
      </c>
      <c r="L1010">
        <v>37.5</v>
      </c>
      <c r="P1010" t="s">
        <v>106</v>
      </c>
      <c r="Q1010" t="s">
        <v>106</v>
      </c>
      <c r="R1010" t="s">
        <v>106</v>
      </c>
      <c r="S1010" t="s">
        <v>2160</v>
      </c>
      <c r="T1010" t="s">
        <v>1793</v>
      </c>
      <c r="U1010" t="s">
        <v>2019</v>
      </c>
      <c r="V1010" t="s">
        <v>106</v>
      </c>
      <c r="W1010" t="s">
        <v>443</v>
      </c>
      <c r="X1010" t="s">
        <v>106</v>
      </c>
      <c r="Y1010" t="s">
        <v>108</v>
      </c>
      <c r="Z1010" t="s">
        <v>108</v>
      </c>
      <c r="AA1010" t="s">
        <v>106</v>
      </c>
      <c r="AB1010" t="s">
        <v>106</v>
      </c>
    </row>
    <row r="1011" spans="1:28" x14ac:dyDescent="0.3">
      <c r="A1011" t="s">
        <v>1439</v>
      </c>
      <c r="B1011">
        <v>3</v>
      </c>
      <c r="C1011">
        <v>35</v>
      </c>
      <c r="D1011">
        <v>50</v>
      </c>
      <c r="E1011" t="s">
        <v>311</v>
      </c>
      <c r="F1011" s="12">
        <v>45506</v>
      </c>
      <c r="G1011" t="s">
        <v>745</v>
      </c>
      <c r="H1011" s="12" t="s">
        <v>106</v>
      </c>
      <c r="I1011" t="s">
        <v>106</v>
      </c>
      <c r="J1011" t="s">
        <v>106</v>
      </c>
      <c r="L1011">
        <v>27.1</v>
      </c>
      <c r="P1011" t="s">
        <v>106</v>
      </c>
      <c r="Q1011" t="s">
        <v>106</v>
      </c>
      <c r="R1011" t="s">
        <v>106</v>
      </c>
      <c r="S1011" t="s">
        <v>106</v>
      </c>
      <c r="T1011" t="s">
        <v>993</v>
      </c>
      <c r="U1011" t="s">
        <v>106</v>
      </c>
      <c r="V1011" t="s">
        <v>106</v>
      </c>
      <c r="W1011" t="s">
        <v>373</v>
      </c>
      <c r="X1011" t="s">
        <v>106</v>
      </c>
      <c r="Y1011" t="s">
        <v>108</v>
      </c>
      <c r="Z1011" t="s">
        <v>108</v>
      </c>
      <c r="AA1011" t="s">
        <v>2436</v>
      </c>
      <c r="AB1011" t="s">
        <v>2441</v>
      </c>
    </row>
    <row r="1012" spans="1:28" x14ac:dyDescent="0.3">
      <c r="A1012" t="s">
        <v>1439</v>
      </c>
      <c r="B1012">
        <v>3</v>
      </c>
      <c r="C1012">
        <v>35</v>
      </c>
      <c r="D1012">
        <v>59</v>
      </c>
      <c r="E1012" t="s">
        <v>2010</v>
      </c>
      <c r="F1012" s="12">
        <v>45506</v>
      </c>
      <c r="G1012" t="s">
        <v>656</v>
      </c>
      <c r="H1012" s="12">
        <v>45506</v>
      </c>
      <c r="I1012" t="s">
        <v>106</v>
      </c>
      <c r="J1012" t="s">
        <v>106</v>
      </c>
      <c r="L1012">
        <v>27.1</v>
      </c>
      <c r="P1012" t="s">
        <v>106</v>
      </c>
      <c r="Q1012" t="s">
        <v>106</v>
      </c>
      <c r="R1012" t="s">
        <v>106</v>
      </c>
      <c r="S1012" t="s">
        <v>1238</v>
      </c>
      <c r="T1012" t="s">
        <v>1876</v>
      </c>
      <c r="U1012" t="s">
        <v>420</v>
      </c>
      <c r="V1012" t="s">
        <v>106</v>
      </c>
      <c r="W1012" t="s">
        <v>443</v>
      </c>
      <c r="X1012" t="s">
        <v>106</v>
      </c>
      <c r="Y1012" t="s">
        <v>108</v>
      </c>
      <c r="Z1012" t="s">
        <v>108</v>
      </c>
      <c r="AA1012" t="s">
        <v>106</v>
      </c>
      <c r="AB1012" t="s">
        <v>2440</v>
      </c>
    </row>
    <row r="1013" spans="1:28" x14ac:dyDescent="0.3">
      <c r="A1013" t="s">
        <v>1439</v>
      </c>
      <c r="B1013">
        <v>3</v>
      </c>
      <c r="C1013">
        <v>35</v>
      </c>
      <c r="D1013">
        <v>37</v>
      </c>
      <c r="E1013" t="s">
        <v>128</v>
      </c>
      <c r="F1013" s="12">
        <v>45506</v>
      </c>
      <c r="G1013" t="s">
        <v>1013</v>
      </c>
      <c r="H1013" s="12">
        <v>45506</v>
      </c>
      <c r="I1013" t="s">
        <v>1339</v>
      </c>
      <c r="J1013" t="s">
        <v>458</v>
      </c>
      <c r="K1013">
        <v>2</v>
      </c>
      <c r="L1013">
        <v>35.200000000000003</v>
      </c>
      <c r="P1013" t="s">
        <v>106</v>
      </c>
      <c r="Q1013" t="s">
        <v>106</v>
      </c>
      <c r="R1013" t="s">
        <v>106</v>
      </c>
      <c r="S1013" t="s">
        <v>106</v>
      </c>
      <c r="T1013" t="s">
        <v>1409</v>
      </c>
      <c r="U1013" t="s">
        <v>1482</v>
      </c>
      <c r="V1013" t="s">
        <v>106</v>
      </c>
      <c r="W1013" t="s">
        <v>443</v>
      </c>
      <c r="X1013" t="s">
        <v>106</v>
      </c>
      <c r="Y1013" t="s">
        <v>108</v>
      </c>
      <c r="Z1013" t="s">
        <v>108</v>
      </c>
      <c r="AA1013" t="s">
        <v>1954</v>
      </c>
      <c r="AB1013" t="s">
        <v>715</v>
      </c>
    </row>
    <row r="1014" spans="1:28" x14ac:dyDescent="0.3">
      <c r="A1014" t="s">
        <v>1439</v>
      </c>
      <c r="B1014">
        <v>3</v>
      </c>
      <c r="C1014">
        <v>35</v>
      </c>
      <c r="D1014">
        <v>49</v>
      </c>
      <c r="E1014" t="s">
        <v>308</v>
      </c>
      <c r="F1014" s="12">
        <v>45506</v>
      </c>
      <c r="G1014" t="s">
        <v>2442</v>
      </c>
      <c r="H1014" s="12" t="s">
        <v>106</v>
      </c>
      <c r="I1014" t="s">
        <v>106</v>
      </c>
      <c r="J1014" t="s">
        <v>106</v>
      </c>
      <c r="L1014">
        <v>26.8</v>
      </c>
      <c r="P1014" t="s">
        <v>106</v>
      </c>
      <c r="Q1014" t="s">
        <v>106</v>
      </c>
      <c r="R1014" t="s">
        <v>106</v>
      </c>
      <c r="S1014" t="s">
        <v>106</v>
      </c>
      <c r="T1014" t="s">
        <v>106</v>
      </c>
      <c r="U1014" t="s">
        <v>106</v>
      </c>
      <c r="V1014" t="s">
        <v>106</v>
      </c>
      <c r="W1014" t="s">
        <v>373</v>
      </c>
      <c r="X1014" t="s">
        <v>106</v>
      </c>
      <c r="Y1014" t="s">
        <v>108</v>
      </c>
      <c r="Z1014" t="s">
        <v>108</v>
      </c>
      <c r="AA1014" t="s">
        <v>2436</v>
      </c>
      <c r="AB1014" t="s">
        <v>2441</v>
      </c>
    </row>
    <row r="1015" spans="1:28" x14ac:dyDescent="0.3">
      <c r="A1015" t="s">
        <v>1439</v>
      </c>
      <c r="B1015">
        <v>3</v>
      </c>
      <c r="C1015">
        <v>35</v>
      </c>
      <c r="D1015">
        <v>46</v>
      </c>
      <c r="E1015" t="s">
        <v>128</v>
      </c>
      <c r="F1015" s="12">
        <v>45506</v>
      </c>
      <c r="G1015" t="s">
        <v>561</v>
      </c>
      <c r="H1015" s="12">
        <v>45506</v>
      </c>
      <c r="I1015" t="s">
        <v>1346</v>
      </c>
      <c r="J1015" t="s">
        <v>458</v>
      </c>
      <c r="K1015">
        <v>2</v>
      </c>
      <c r="L1015">
        <v>31.1</v>
      </c>
      <c r="P1015" t="s">
        <v>106</v>
      </c>
      <c r="Q1015" t="s">
        <v>106</v>
      </c>
      <c r="R1015" t="s">
        <v>106</v>
      </c>
      <c r="S1015" t="s">
        <v>1628</v>
      </c>
      <c r="T1015" t="s">
        <v>884</v>
      </c>
      <c r="U1015" t="s">
        <v>1651</v>
      </c>
      <c r="V1015" t="s">
        <v>106</v>
      </c>
      <c r="W1015" t="s">
        <v>373</v>
      </c>
      <c r="X1015" t="s">
        <v>106</v>
      </c>
      <c r="Y1015" t="s">
        <v>108</v>
      </c>
      <c r="Z1015" t="s">
        <v>108</v>
      </c>
      <c r="AA1015" t="s">
        <v>2436</v>
      </c>
      <c r="AB1015" t="s">
        <v>2437</v>
      </c>
    </row>
    <row r="1016" spans="1:28" x14ac:dyDescent="0.3">
      <c r="A1016" t="s">
        <v>1439</v>
      </c>
      <c r="B1016">
        <v>3</v>
      </c>
      <c r="C1016">
        <v>35</v>
      </c>
      <c r="D1016">
        <v>52</v>
      </c>
      <c r="E1016" t="s">
        <v>2010</v>
      </c>
      <c r="F1016" s="12">
        <v>45506</v>
      </c>
      <c r="G1016" t="s">
        <v>326</v>
      </c>
      <c r="H1016" s="12">
        <v>45506</v>
      </c>
      <c r="I1016" t="s">
        <v>106</v>
      </c>
      <c r="J1016" t="s">
        <v>106</v>
      </c>
      <c r="L1016">
        <v>29.5</v>
      </c>
      <c r="P1016" t="s">
        <v>106</v>
      </c>
      <c r="Q1016" t="s">
        <v>106</v>
      </c>
      <c r="R1016" t="s">
        <v>106</v>
      </c>
      <c r="S1016" t="s">
        <v>2443</v>
      </c>
      <c r="T1016" t="s">
        <v>1854</v>
      </c>
      <c r="U1016" t="s">
        <v>769</v>
      </c>
      <c r="V1016" t="s">
        <v>106</v>
      </c>
      <c r="W1016" t="s">
        <v>443</v>
      </c>
      <c r="X1016" t="s">
        <v>106</v>
      </c>
      <c r="Y1016" t="s">
        <v>108</v>
      </c>
      <c r="Z1016" t="s">
        <v>108</v>
      </c>
      <c r="AA1016" t="s">
        <v>106</v>
      </c>
      <c r="AB1016" t="s">
        <v>106</v>
      </c>
    </row>
    <row r="1017" spans="1:28" x14ac:dyDescent="0.3">
      <c r="A1017" t="s">
        <v>1436</v>
      </c>
      <c r="B1017">
        <v>3</v>
      </c>
      <c r="C1017">
        <v>35</v>
      </c>
      <c r="D1017">
        <v>49</v>
      </c>
      <c r="E1017" t="s">
        <v>308</v>
      </c>
      <c r="F1017" s="12">
        <v>45506</v>
      </c>
      <c r="G1017" t="s">
        <v>2442</v>
      </c>
      <c r="H1017" s="12" t="s">
        <v>106</v>
      </c>
      <c r="I1017" t="s">
        <v>106</v>
      </c>
      <c r="J1017" t="s">
        <v>106</v>
      </c>
      <c r="L1017">
        <v>26.8</v>
      </c>
      <c r="P1017" t="s">
        <v>106</v>
      </c>
      <c r="Q1017" t="s">
        <v>106</v>
      </c>
      <c r="R1017" t="s">
        <v>106</v>
      </c>
      <c r="S1017" t="s">
        <v>106</v>
      </c>
      <c r="T1017" t="s">
        <v>106</v>
      </c>
      <c r="U1017" t="s">
        <v>106</v>
      </c>
      <c r="V1017" t="s">
        <v>106</v>
      </c>
      <c r="W1017" t="s">
        <v>373</v>
      </c>
      <c r="X1017" t="s">
        <v>106</v>
      </c>
      <c r="Y1017" t="s">
        <v>108</v>
      </c>
      <c r="Z1017" t="s">
        <v>108</v>
      </c>
      <c r="AA1017" t="s">
        <v>2436</v>
      </c>
      <c r="AB1017" t="s">
        <v>2444</v>
      </c>
    </row>
    <row r="1018" spans="1:28" x14ac:dyDescent="0.3">
      <c r="A1018" t="s">
        <v>1436</v>
      </c>
      <c r="B1018">
        <v>4</v>
      </c>
      <c r="C1018">
        <v>60</v>
      </c>
      <c r="D1018">
        <v>48</v>
      </c>
      <c r="E1018" t="s">
        <v>128</v>
      </c>
      <c r="F1018" s="12">
        <v>45506</v>
      </c>
      <c r="G1018" t="s">
        <v>1956</v>
      </c>
      <c r="H1018" s="12">
        <v>45506</v>
      </c>
      <c r="I1018" t="s">
        <v>1346</v>
      </c>
      <c r="J1018" t="s">
        <v>458</v>
      </c>
      <c r="K1018">
        <v>2</v>
      </c>
      <c r="L1018">
        <v>55.3</v>
      </c>
      <c r="P1018" t="s">
        <v>106</v>
      </c>
      <c r="Q1018" t="s">
        <v>106</v>
      </c>
      <c r="R1018" t="s">
        <v>106</v>
      </c>
      <c r="S1018" t="s">
        <v>979</v>
      </c>
      <c r="T1018" t="s">
        <v>2697</v>
      </c>
      <c r="U1018" t="s">
        <v>141</v>
      </c>
      <c r="V1018" t="s">
        <v>106</v>
      </c>
      <c r="W1018" t="s">
        <v>373</v>
      </c>
      <c r="X1018" t="s">
        <v>106</v>
      </c>
      <c r="Y1018" t="s">
        <v>108</v>
      </c>
      <c r="Z1018" t="s">
        <v>104</v>
      </c>
      <c r="AA1018" t="s">
        <v>1954</v>
      </c>
      <c r="AB1018" t="s">
        <v>106</v>
      </c>
    </row>
    <row r="1019" spans="1:28" x14ac:dyDescent="0.3">
      <c r="A1019" t="s">
        <v>1436</v>
      </c>
      <c r="B1019">
        <v>4</v>
      </c>
      <c r="C1019">
        <v>60</v>
      </c>
      <c r="D1019">
        <v>40</v>
      </c>
      <c r="E1019" t="s">
        <v>128</v>
      </c>
      <c r="F1019" s="12">
        <v>45506</v>
      </c>
      <c r="G1019" t="s">
        <v>554</v>
      </c>
      <c r="H1019" s="12">
        <v>45506</v>
      </c>
      <c r="I1019" t="s">
        <v>1339</v>
      </c>
      <c r="J1019" t="s">
        <v>458</v>
      </c>
      <c r="K1019">
        <v>2</v>
      </c>
      <c r="L1019">
        <v>55.7</v>
      </c>
      <c r="P1019" t="s">
        <v>106</v>
      </c>
      <c r="Q1019" t="s">
        <v>106</v>
      </c>
      <c r="R1019" t="s">
        <v>106</v>
      </c>
      <c r="S1019" t="s">
        <v>106</v>
      </c>
      <c r="T1019" t="s">
        <v>808</v>
      </c>
      <c r="U1019" t="s">
        <v>106</v>
      </c>
      <c r="V1019" t="s">
        <v>106</v>
      </c>
      <c r="W1019" t="s">
        <v>443</v>
      </c>
      <c r="X1019" t="s">
        <v>106</v>
      </c>
      <c r="Y1019" t="s">
        <v>108</v>
      </c>
      <c r="Z1019" t="s">
        <v>104</v>
      </c>
      <c r="AA1019" t="s">
        <v>1954</v>
      </c>
      <c r="AB1019" t="s">
        <v>106</v>
      </c>
    </row>
    <row r="1020" spans="1:28" x14ac:dyDescent="0.3">
      <c r="A1020" t="s">
        <v>1436</v>
      </c>
      <c r="B1020">
        <v>4</v>
      </c>
      <c r="C1020">
        <v>60</v>
      </c>
      <c r="D1020">
        <v>39</v>
      </c>
      <c r="E1020" t="s">
        <v>128</v>
      </c>
      <c r="F1020" s="12">
        <v>45506</v>
      </c>
      <c r="G1020" t="s">
        <v>1024</v>
      </c>
      <c r="H1020" s="12">
        <v>45506</v>
      </c>
      <c r="I1020" t="s">
        <v>1339</v>
      </c>
      <c r="J1020" t="s">
        <v>458</v>
      </c>
      <c r="K1020">
        <v>2</v>
      </c>
      <c r="L1020">
        <v>55.6</v>
      </c>
      <c r="P1020" t="s">
        <v>106</v>
      </c>
      <c r="Q1020" t="s">
        <v>106</v>
      </c>
      <c r="R1020" t="s">
        <v>106</v>
      </c>
      <c r="S1020" t="s">
        <v>1238</v>
      </c>
      <c r="T1020" t="s">
        <v>1804</v>
      </c>
      <c r="U1020" t="s">
        <v>106</v>
      </c>
      <c r="V1020" t="s">
        <v>106</v>
      </c>
      <c r="W1020" t="s">
        <v>443</v>
      </c>
      <c r="X1020" t="s">
        <v>106</v>
      </c>
      <c r="Y1020" t="s">
        <v>108</v>
      </c>
      <c r="Z1020" t="s">
        <v>104</v>
      </c>
      <c r="AA1020" t="s">
        <v>1954</v>
      </c>
      <c r="AB1020" t="s">
        <v>106</v>
      </c>
    </row>
    <row r="1021" spans="1:28" x14ac:dyDescent="0.3">
      <c r="A1021" t="s">
        <v>1436</v>
      </c>
      <c r="B1021">
        <v>4</v>
      </c>
      <c r="C1021">
        <v>60</v>
      </c>
      <c r="D1021">
        <v>47</v>
      </c>
      <c r="E1021" t="s">
        <v>128</v>
      </c>
      <c r="F1021" s="12">
        <v>45506</v>
      </c>
      <c r="G1021" t="s">
        <v>1702</v>
      </c>
      <c r="H1021" s="12">
        <v>45506</v>
      </c>
      <c r="I1021" t="s">
        <v>1346</v>
      </c>
      <c r="J1021" t="s">
        <v>458</v>
      </c>
      <c r="K1021">
        <v>2</v>
      </c>
      <c r="L1021">
        <v>58.3</v>
      </c>
      <c r="P1021" t="s">
        <v>106</v>
      </c>
      <c r="Q1021" t="s">
        <v>106</v>
      </c>
      <c r="R1021" t="s">
        <v>106</v>
      </c>
      <c r="S1021" t="s">
        <v>106</v>
      </c>
      <c r="T1021" t="s">
        <v>1063</v>
      </c>
      <c r="U1021" t="s">
        <v>905</v>
      </c>
      <c r="V1021" t="s">
        <v>106</v>
      </c>
      <c r="W1021" t="s">
        <v>373</v>
      </c>
      <c r="X1021" t="s">
        <v>106</v>
      </c>
      <c r="Y1021" t="s">
        <v>108</v>
      </c>
      <c r="Z1021" t="s">
        <v>104</v>
      </c>
      <c r="AA1021" t="s">
        <v>1954</v>
      </c>
      <c r="AB1021" t="s">
        <v>2698</v>
      </c>
    </row>
    <row r="1022" spans="1:28" x14ac:dyDescent="0.3">
      <c r="A1022" t="s">
        <v>1439</v>
      </c>
      <c r="B1022">
        <v>4</v>
      </c>
      <c r="C1022">
        <v>60</v>
      </c>
      <c r="D1022">
        <v>48</v>
      </c>
      <c r="E1022" t="s">
        <v>128</v>
      </c>
      <c r="F1022" s="12">
        <v>45506</v>
      </c>
      <c r="G1022" t="s">
        <v>1956</v>
      </c>
      <c r="H1022" s="12">
        <v>45506</v>
      </c>
      <c r="I1022" t="s">
        <v>1346</v>
      </c>
      <c r="J1022" t="s">
        <v>458</v>
      </c>
      <c r="K1022">
        <v>2</v>
      </c>
      <c r="L1022">
        <v>55.3</v>
      </c>
      <c r="P1022" t="s">
        <v>106</v>
      </c>
      <c r="Q1022" t="s">
        <v>106</v>
      </c>
      <c r="R1022" t="s">
        <v>106</v>
      </c>
      <c r="S1022" t="s">
        <v>979</v>
      </c>
      <c r="T1022" t="s">
        <v>2697</v>
      </c>
      <c r="U1022" t="s">
        <v>141</v>
      </c>
      <c r="V1022" t="s">
        <v>106</v>
      </c>
      <c r="W1022" t="s">
        <v>373</v>
      </c>
      <c r="X1022" t="s">
        <v>106</v>
      </c>
      <c r="Y1022" t="s">
        <v>108</v>
      </c>
      <c r="Z1022" t="s">
        <v>104</v>
      </c>
      <c r="AA1022" t="s">
        <v>1954</v>
      </c>
      <c r="AB1022" t="s">
        <v>106</v>
      </c>
    </row>
    <row r="1023" spans="1:28" x14ac:dyDescent="0.3">
      <c r="A1023" t="s">
        <v>1439</v>
      </c>
      <c r="B1023">
        <v>4</v>
      </c>
      <c r="C1023">
        <v>60</v>
      </c>
      <c r="D1023">
        <v>47</v>
      </c>
      <c r="E1023" t="s">
        <v>128</v>
      </c>
      <c r="F1023" s="12">
        <v>45506</v>
      </c>
      <c r="G1023" t="s">
        <v>1702</v>
      </c>
      <c r="H1023" s="12">
        <v>45506</v>
      </c>
      <c r="I1023" t="s">
        <v>1346</v>
      </c>
      <c r="J1023" t="s">
        <v>458</v>
      </c>
      <c r="K1023">
        <v>2</v>
      </c>
      <c r="L1023">
        <v>58.3</v>
      </c>
      <c r="P1023" t="s">
        <v>106</v>
      </c>
      <c r="Q1023" t="s">
        <v>106</v>
      </c>
      <c r="R1023" t="s">
        <v>106</v>
      </c>
      <c r="S1023" t="s">
        <v>106</v>
      </c>
      <c r="T1023" t="s">
        <v>1063</v>
      </c>
      <c r="U1023" t="s">
        <v>905</v>
      </c>
      <c r="V1023" t="s">
        <v>106</v>
      </c>
      <c r="W1023" t="s">
        <v>373</v>
      </c>
      <c r="X1023" t="s">
        <v>106</v>
      </c>
      <c r="Y1023" t="s">
        <v>108</v>
      </c>
      <c r="Z1023" t="s">
        <v>104</v>
      </c>
      <c r="AA1023" t="s">
        <v>1954</v>
      </c>
      <c r="AB1023" t="s">
        <v>2698</v>
      </c>
    </row>
    <row r="1024" spans="1:28" x14ac:dyDescent="0.3">
      <c r="A1024" t="s">
        <v>1439</v>
      </c>
      <c r="B1024">
        <v>4</v>
      </c>
      <c r="C1024">
        <v>60</v>
      </c>
      <c r="D1024">
        <v>40</v>
      </c>
      <c r="E1024" t="s">
        <v>128</v>
      </c>
      <c r="F1024" s="12">
        <v>45506</v>
      </c>
      <c r="G1024" t="s">
        <v>554</v>
      </c>
      <c r="H1024" s="12">
        <v>45506</v>
      </c>
      <c r="I1024" t="s">
        <v>1339</v>
      </c>
      <c r="J1024" t="s">
        <v>458</v>
      </c>
      <c r="K1024">
        <v>2</v>
      </c>
      <c r="L1024">
        <v>55.7</v>
      </c>
      <c r="P1024" t="s">
        <v>106</v>
      </c>
      <c r="Q1024" t="s">
        <v>106</v>
      </c>
      <c r="R1024" t="s">
        <v>106</v>
      </c>
      <c r="S1024" t="s">
        <v>106</v>
      </c>
      <c r="T1024" t="s">
        <v>808</v>
      </c>
      <c r="U1024" t="s">
        <v>1468</v>
      </c>
      <c r="V1024" t="s">
        <v>106</v>
      </c>
      <c r="W1024" t="s">
        <v>443</v>
      </c>
      <c r="X1024" t="s">
        <v>106</v>
      </c>
      <c r="Y1024" t="s">
        <v>108</v>
      </c>
      <c r="Z1024" t="s">
        <v>104</v>
      </c>
      <c r="AA1024" t="s">
        <v>1954</v>
      </c>
      <c r="AB1024" t="s">
        <v>106</v>
      </c>
    </row>
    <row r="1025" spans="1:28" x14ac:dyDescent="0.3">
      <c r="A1025" t="s">
        <v>1439</v>
      </c>
      <c r="B1025">
        <v>4</v>
      </c>
      <c r="C1025">
        <v>60</v>
      </c>
      <c r="D1025">
        <v>39</v>
      </c>
      <c r="E1025" t="s">
        <v>128</v>
      </c>
      <c r="F1025" s="12">
        <v>45506</v>
      </c>
      <c r="G1025" t="s">
        <v>1024</v>
      </c>
      <c r="H1025" s="12">
        <v>45506</v>
      </c>
      <c r="I1025" t="s">
        <v>1339</v>
      </c>
      <c r="J1025" t="s">
        <v>458</v>
      </c>
      <c r="K1025">
        <v>2</v>
      </c>
      <c r="L1025">
        <v>55.6</v>
      </c>
      <c r="P1025" t="s">
        <v>106</v>
      </c>
      <c r="Q1025" t="s">
        <v>106</v>
      </c>
      <c r="R1025" t="s">
        <v>106</v>
      </c>
      <c r="S1025" t="s">
        <v>1238</v>
      </c>
      <c r="T1025" t="s">
        <v>1804</v>
      </c>
      <c r="U1025" t="s">
        <v>1539</v>
      </c>
      <c r="V1025" t="s">
        <v>106</v>
      </c>
      <c r="W1025" t="s">
        <v>443</v>
      </c>
      <c r="X1025" t="s">
        <v>106</v>
      </c>
      <c r="Y1025" t="s">
        <v>108</v>
      </c>
      <c r="Z1025" t="s">
        <v>104</v>
      </c>
      <c r="AA1025" t="s">
        <v>1954</v>
      </c>
      <c r="AB1025" t="s">
        <v>106</v>
      </c>
    </row>
    <row r="1026" spans="1:28" x14ac:dyDescent="0.3">
      <c r="A1026" t="s">
        <v>1439</v>
      </c>
      <c r="B1026">
        <v>2</v>
      </c>
      <c r="C1026">
        <v>15</v>
      </c>
      <c r="D1026">
        <v>61</v>
      </c>
      <c r="E1026" t="s">
        <v>128</v>
      </c>
      <c r="F1026" s="12">
        <v>45509</v>
      </c>
      <c r="G1026" t="s">
        <v>1966</v>
      </c>
      <c r="H1026" s="12">
        <v>45509</v>
      </c>
      <c r="I1026" t="s">
        <v>1967</v>
      </c>
      <c r="J1026" t="s">
        <v>1363</v>
      </c>
      <c r="K1026">
        <v>2</v>
      </c>
      <c r="L1026">
        <v>12.8</v>
      </c>
      <c r="P1026" t="s">
        <v>106</v>
      </c>
      <c r="Q1026" t="s">
        <v>106</v>
      </c>
      <c r="R1026" t="s">
        <v>106</v>
      </c>
      <c r="S1026" t="s">
        <v>1048</v>
      </c>
      <c r="T1026" t="s">
        <v>1257</v>
      </c>
      <c r="U1026" t="s">
        <v>1968</v>
      </c>
      <c r="V1026" t="s">
        <v>106</v>
      </c>
      <c r="W1026" t="s">
        <v>443</v>
      </c>
      <c r="X1026" t="s">
        <v>106</v>
      </c>
      <c r="Y1026" t="s">
        <v>108</v>
      </c>
      <c r="Z1026" t="s">
        <v>109</v>
      </c>
      <c r="AA1026" t="s">
        <v>1954</v>
      </c>
      <c r="AB1026" t="s">
        <v>106</v>
      </c>
    </row>
    <row r="1027" spans="1:28" x14ac:dyDescent="0.3">
      <c r="A1027" t="s">
        <v>1439</v>
      </c>
      <c r="B1027">
        <v>2</v>
      </c>
      <c r="C1027">
        <v>15</v>
      </c>
      <c r="D1027">
        <v>72</v>
      </c>
      <c r="E1027" t="s">
        <v>128</v>
      </c>
      <c r="F1027" s="12">
        <v>45509</v>
      </c>
      <c r="G1027" t="s">
        <v>1969</v>
      </c>
      <c r="H1027" s="12">
        <v>45509</v>
      </c>
      <c r="I1027" t="s">
        <v>697</v>
      </c>
      <c r="J1027" t="s">
        <v>1363</v>
      </c>
      <c r="K1027">
        <v>2</v>
      </c>
      <c r="L1027">
        <v>15.3</v>
      </c>
      <c r="P1027" t="s">
        <v>106</v>
      </c>
      <c r="Q1027" t="s">
        <v>106</v>
      </c>
      <c r="R1027" t="s">
        <v>106</v>
      </c>
      <c r="S1027" t="s">
        <v>1220</v>
      </c>
      <c r="T1027" t="s">
        <v>1235</v>
      </c>
      <c r="U1027" t="s">
        <v>1776</v>
      </c>
      <c r="V1027" t="s">
        <v>106</v>
      </c>
      <c r="W1027" t="s">
        <v>443</v>
      </c>
      <c r="X1027" t="s">
        <v>106</v>
      </c>
      <c r="Y1027" t="s">
        <v>108</v>
      </c>
      <c r="Z1027" t="s">
        <v>109</v>
      </c>
      <c r="AA1027" t="s">
        <v>106</v>
      </c>
      <c r="AB1027" t="s">
        <v>106</v>
      </c>
    </row>
    <row r="1028" spans="1:28" x14ac:dyDescent="0.3">
      <c r="A1028" t="s">
        <v>1439</v>
      </c>
      <c r="B1028">
        <v>2</v>
      </c>
      <c r="C1028">
        <v>15</v>
      </c>
      <c r="D1028">
        <v>73</v>
      </c>
      <c r="E1028" t="s">
        <v>128</v>
      </c>
      <c r="F1028" s="12">
        <v>45509</v>
      </c>
      <c r="G1028" t="s">
        <v>1970</v>
      </c>
      <c r="H1028" s="12">
        <v>45509</v>
      </c>
      <c r="I1028" t="s">
        <v>697</v>
      </c>
      <c r="J1028" t="s">
        <v>1363</v>
      </c>
      <c r="K1028">
        <v>2</v>
      </c>
      <c r="L1028">
        <v>14.7</v>
      </c>
      <c r="P1028" t="s">
        <v>106</v>
      </c>
      <c r="Q1028" t="s">
        <v>106</v>
      </c>
      <c r="R1028" t="s">
        <v>106</v>
      </c>
      <c r="S1028" t="s">
        <v>106</v>
      </c>
      <c r="T1028" t="s">
        <v>881</v>
      </c>
      <c r="U1028" t="s">
        <v>1600</v>
      </c>
      <c r="V1028" t="s">
        <v>106</v>
      </c>
      <c r="W1028" t="s">
        <v>443</v>
      </c>
      <c r="X1028" t="s">
        <v>106</v>
      </c>
      <c r="Y1028" t="s">
        <v>108</v>
      </c>
      <c r="Z1028" t="s">
        <v>109</v>
      </c>
      <c r="AA1028" t="s">
        <v>106</v>
      </c>
      <c r="AB1028" t="s">
        <v>106</v>
      </c>
    </row>
    <row r="1029" spans="1:28" x14ac:dyDescent="0.3">
      <c r="A1029" t="s">
        <v>1439</v>
      </c>
      <c r="B1029">
        <v>2</v>
      </c>
      <c r="C1029">
        <v>15</v>
      </c>
      <c r="D1029">
        <v>99</v>
      </c>
      <c r="E1029" t="s">
        <v>128</v>
      </c>
      <c r="F1029" s="12">
        <v>45509</v>
      </c>
      <c r="G1029" t="s">
        <v>1971</v>
      </c>
      <c r="H1029" s="12">
        <v>45509</v>
      </c>
      <c r="I1029" t="s">
        <v>1972</v>
      </c>
      <c r="J1029" t="s">
        <v>458</v>
      </c>
      <c r="K1029">
        <v>2</v>
      </c>
      <c r="L1029">
        <v>14.6</v>
      </c>
      <c r="P1029" t="s">
        <v>106</v>
      </c>
      <c r="Q1029" t="s">
        <v>106</v>
      </c>
      <c r="R1029" t="s">
        <v>106</v>
      </c>
      <c r="S1029" t="s">
        <v>106</v>
      </c>
      <c r="T1029" t="s">
        <v>1822</v>
      </c>
      <c r="U1029" t="s">
        <v>702</v>
      </c>
      <c r="V1029" t="s">
        <v>106</v>
      </c>
      <c r="W1029" t="s">
        <v>373</v>
      </c>
      <c r="X1029" t="s">
        <v>106</v>
      </c>
      <c r="Y1029" t="s">
        <v>108</v>
      </c>
      <c r="Z1029" t="s">
        <v>109</v>
      </c>
      <c r="AA1029" t="s">
        <v>106</v>
      </c>
      <c r="AB1029" t="s">
        <v>1973</v>
      </c>
    </row>
    <row r="1030" spans="1:28" x14ac:dyDescent="0.3">
      <c r="A1030" t="s">
        <v>1439</v>
      </c>
      <c r="B1030">
        <v>2</v>
      </c>
      <c r="C1030">
        <v>15</v>
      </c>
      <c r="D1030">
        <v>98</v>
      </c>
      <c r="E1030" t="s">
        <v>128</v>
      </c>
      <c r="F1030" s="12">
        <v>45509</v>
      </c>
      <c r="G1030" t="s">
        <v>1971</v>
      </c>
      <c r="H1030" s="12">
        <v>45509</v>
      </c>
      <c r="I1030" t="s">
        <v>1972</v>
      </c>
      <c r="J1030" t="s">
        <v>458</v>
      </c>
      <c r="K1030">
        <v>2</v>
      </c>
      <c r="L1030">
        <v>13</v>
      </c>
      <c r="P1030" t="s">
        <v>106</v>
      </c>
      <c r="Q1030" t="s">
        <v>106</v>
      </c>
      <c r="R1030" t="s">
        <v>106</v>
      </c>
      <c r="S1030" t="s">
        <v>106</v>
      </c>
      <c r="T1030" t="s">
        <v>1974</v>
      </c>
      <c r="U1030" t="s">
        <v>1351</v>
      </c>
      <c r="V1030" t="s">
        <v>106</v>
      </c>
      <c r="W1030" t="s">
        <v>373</v>
      </c>
      <c r="X1030" t="s">
        <v>106</v>
      </c>
      <c r="Y1030" t="s">
        <v>108</v>
      </c>
      <c r="Z1030" t="s">
        <v>109</v>
      </c>
      <c r="AA1030" t="s">
        <v>106</v>
      </c>
      <c r="AB1030" t="s">
        <v>1975</v>
      </c>
    </row>
    <row r="1031" spans="1:28" x14ac:dyDescent="0.3">
      <c r="A1031" t="s">
        <v>1439</v>
      </c>
      <c r="B1031">
        <v>2</v>
      </c>
      <c r="C1031">
        <v>15</v>
      </c>
      <c r="D1031">
        <v>95</v>
      </c>
      <c r="E1031" t="s">
        <v>128</v>
      </c>
      <c r="F1031" s="12">
        <v>45509</v>
      </c>
      <c r="G1031" t="s">
        <v>1740</v>
      </c>
      <c r="H1031" s="12">
        <v>45509</v>
      </c>
      <c r="I1031" t="s">
        <v>510</v>
      </c>
      <c r="J1031" t="s">
        <v>458</v>
      </c>
      <c r="K1031">
        <v>2</v>
      </c>
      <c r="L1031">
        <v>14.6</v>
      </c>
      <c r="P1031" t="s">
        <v>106</v>
      </c>
      <c r="Q1031" t="s">
        <v>106</v>
      </c>
      <c r="R1031" t="s">
        <v>106</v>
      </c>
      <c r="S1031" t="s">
        <v>106</v>
      </c>
      <c r="T1031" t="s">
        <v>1808</v>
      </c>
      <c r="U1031" t="s">
        <v>1626</v>
      </c>
      <c r="V1031" t="s">
        <v>106</v>
      </c>
      <c r="W1031" t="s">
        <v>373</v>
      </c>
      <c r="X1031" t="s">
        <v>106</v>
      </c>
      <c r="Y1031" t="s">
        <v>108</v>
      </c>
      <c r="Z1031" t="s">
        <v>109</v>
      </c>
      <c r="AA1031" t="s">
        <v>106</v>
      </c>
      <c r="AB1031" t="s">
        <v>1976</v>
      </c>
    </row>
    <row r="1032" spans="1:28" x14ac:dyDescent="0.3">
      <c r="A1032" t="s">
        <v>1439</v>
      </c>
      <c r="B1032">
        <v>2</v>
      </c>
      <c r="C1032">
        <v>15</v>
      </c>
      <c r="D1032">
        <v>80</v>
      </c>
      <c r="E1032" t="s">
        <v>128</v>
      </c>
      <c r="F1032" s="12">
        <v>45509</v>
      </c>
      <c r="G1032" t="s">
        <v>137</v>
      </c>
      <c r="H1032" s="12">
        <v>45509</v>
      </c>
      <c r="I1032" t="s">
        <v>322</v>
      </c>
      <c r="J1032" t="s">
        <v>458</v>
      </c>
      <c r="K1032">
        <v>2</v>
      </c>
      <c r="L1032">
        <v>16.2</v>
      </c>
      <c r="P1032" t="s">
        <v>106</v>
      </c>
      <c r="Q1032" t="s">
        <v>106</v>
      </c>
      <c r="R1032" t="s">
        <v>106</v>
      </c>
      <c r="S1032" t="s">
        <v>106</v>
      </c>
      <c r="T1032" t="s">
        <v>1977</v>
      </c>
      <c r="U1032" t="s">
        <v>1978</v>
      </c>
      <c r="V1032" t="s">
        <v>106</v>
      </c>
      <c r="W1032" t="s">
        <v>373</v>
      </c>
      <c r="X1032" t="s">
        <v>106</v>
      </c>
      <c r="Y1032" t="s">
        <v>108</v>
      </c>
      <c r="Z1032" t="s">
        <v>109</v>
      </c>
      <c r="AA1032" t="s">
        <v>1954</v>
      </c>
      <c r="AB1032" t="s">
        <v>715</v>
      </c>
    </row>
    <row r="1033" spans="1:28" x14ac:dyDescent="0.3">
      <c r="A1033" t="s">
        <v>1439</v>
      </c>
      <c r="B1033">
        <v>2</v>
      </c>
      <c r="C1033">
        <v>15</v>
      </c>
      <c r="D1033">
        <v>87</v>
      </c>
      <c r="E1033" t="s">
        <v>128</v>
      </c>
      <c r="F1033" s="12">
        <v>45509</v>
      </c>
      <c r="G1033" t="s">
        <v>1979</v>
      </c>
      <c r="H1033" s="12">
        <v>45509</v>
      </c>
      <c r="I1033" t="s">
        <v>537</v>
      </c>
      <c r="J1033" t="s">
        <v>458</v>
      </c>
      <c r="K1033">
        <v>2</v>
      </c>
      <c r="L1033">
        <v>13.5</v>
      </c>
      <c r="P1033" t="s">
        <v>106</v>
      </c>
      <c r="Q1033" t="s">
        <v>106</v>
      </c>
      <c r="R1033" t="s">
        <v>106</v>
      </c>
      <c r="S1033" t="s">
        <v>106</v>
      </c>
      <c r="T1033" t="s">
        <v>655</v>
      </c>
      <c r="U1033" t="s">
        <v>1980</v>
      </c>
      <c r="V1033" t="s">
        <v>106</v>
      </c>
      <c r="W1033" t="s">
        <v>373</v>
      </c>
      <c r="X1033" t="s">
        <v>106</v>
      </c>
      <c r="Y1033" t="s">
        <v>108</v>
      </c>
      <c r="Z1033" t="s">
        <v>109</v>
      </c>
      <c r="AA1033" t="s">
        <v>106</v>
      </c>
      <c r="AB1033" t="s">
        <v>106</v>
      </c>
    </row>
    <row r="1034" spans="1:28" x14ac:dyDescent="0.3">
      <c r="A1034" t="s">
        <v>1439</v>
      </c>
      <c r="B1034">
        <v>2</v>
      </c>
      <c r="C1034">
        <v>15</v>
      </c>
      <c r="D1034">
        <v>68</v>
      </c>
      <c r="E1034" t="s">
        <v>128</v>
      </c>
      <c r="F1034" s="12">
        <v>45509</v>
      </c>
      <c r="G1034" t="s">
        <v>488</v>
      </c>
      <c r="H1034" s="12">
        <v>45509</v>
      </c>
      <c r="I1034" t="s">
        <v>409</v>
      </c>
      <c r="J1034" t="s">
        <v>1363</v>
      </c>
      <c r="K1034">
        <v>2</v>
      </c>
      <c r="L1034">
        <v>14.9</v>
      </c>
      <c r="P1034" t="s">
        <v>106</v>
      </c>
      <c r="Q1034" t="s">
        <v>106</v>
      </c>
      <c r="R1034" t="s">
        <v>106</v>
      </c>
      <c r="S1034" t="s">
        <v>106</v>
      </c>
      <c r="T1034" t="s">
        <v>1257</v>
      </c>
      <c r="U1034" t="s">
        <v>1981</v>
      </c>
      <c r="V1034" t="s">
        <v>106</v>
      </c>
      <c r="W1034" t="s">
        <v>443</v>
      </c>
      <c r="X1034" t="s">
        <v>106</v>
      </c>
      <c r="Y1034" t="s">
        <v>108</v>
      </c>
      <c r="Z1034" t="s">
        <v>108</v>
      </c>
      <c r="AA1034" t="s">
        <v>1954</v>
      </c>
      <c r="AB1034" t="s">
        <v>106</v>
      </c>
    </row>
    <row r="1035" spans="1:28" x14ac:dyDescent="0.3">
      <c r="A1035" t="s">
        <v>1439</v>
      </c>
      <c r="B1035">
        <v>2</v>
      </c>
      <c r="C1035">
        <v>15</v>
      </c>
      <c r="D1035">
        <v>86</v>
      </c>
      <c r="E1035" t="s">
        <v>128</v>
      </c>
      <c r="F1035" s="12">
        <v>45509</v>
      </c>
      <c r="G1035" t="s">
        <v>1979</v>
      </c>
      <c r="H1035" s="12">
        <v>45509</v>
      </c>
      <c r="I1035" t="s">
        <v>537</v>
      </c>
      <c r="J1035" t="s">
        <v>458</v>
      </c>
      <c r="K1035">
        <v>2</v>
      </c>
      <c r="L1035">
        <v>12.7</v>
      </c>
      <c r="P1035" t="s">
        <v>106</v>
      </c>
      <c r="Q1035" t="s">
        <v>106</v>
      </c>
      <c r="R1035" t="s">
        <v>106</v>
      </c>
      <c r="S1035" t="s">
        <v>106</v>
      </c>
      <c r="T1035" t="s">
        <v>1982</v>
      </c>
      <c r="U1035" t="s">
        <v>1482</v>
      </c>
      <c r="V1035" t="s">
        <v>106</v>
      </c>
      <c r="W1035" t="s">
        <v>373</v>
      </c>
      <c r="X1035" t="s">
        <v>106</v>
      </c>
      <c r="Y1035" t="s">
        <v>108</v>
      </c>
      <c r="Z1035" t="s">
        <v>109</v>
      </c>
      <c r="AA1035" t="s">
        <v>106</v>
      </c>
      <c r="AB1035" t="s">
        <v>106</v>
      </c>
    </row>
    <row r="1036" spans="1:28" x14ac:dyDescent="0.3">
      <c r="A1036" t="s">
        <v>1439</v>
      </c>
      <c r="B1036">
        <v>2</v>
      </c>
      <c r="C1036">
        <v>15</v>
      </c>
      <c r="D1036">
        <v>81</v>
      </c>
      <c r="E1036" t="s">
        <v>128</v>
      </c>
      <c r="F1036" s="12">
        <v>45509</v>
      </c>
      <c r="G1036" t="s">
        <v>137</v>
      </c>
      <c r="H1036" s="12">
        <v>45509</v>
      </c>
      <c r="I1036" t="s">
        <v>322</v>
      </c>
      <c r="J1036" t="s">
        <v>458</v>
      </c>
      <c r="K1036">
        <v>2</v>
      </c>
      <c r="L1036">
        <v>15.3</v>
      </c>
      <c r="P1036" t="s">
        <v>106</v>
      </c>
      <c r="Q1036" t="s">
        <v>106</v>
      </c>
      <c r="R1036" t="s">
        <v>106</v>
      </c>
      <c r="S1036" t="s">
        <v>1983</v>
      </c>
      <c r="T1036" t="s">
        <v>1084</v>
      </c>
      <c r="U1036" t="s">
        <v>1734</v>
      </c>
      <c r="V1036" t="s">
        <v>106</v>
      </c>
      <c r="W1036" t="s">
        <v>373</v>
      </c>
      <c r="X1036" t="s">
        <v>106</v>
      </c>
      <c r="Y1036" t="s">
        <v>108</v>
      </c>
      <c r="Z1036" t="s">
        <v>109</v>
      </c>
      <c r="AA1036" t="s">
        <v>1954</v>
      </c>
      <c r="AB1036" t="s">
        <v>1984</v>
      </c>
    </row>
    <row r="1037" spans="1:28" x14ac:dyDescent="0.3">
      <c r="A1037" t="s">
        <v>1439</v>
      </c>
      <c r="B1037">
        <v>2</v>
      </c>
      <c r="C1037">
        <v>15</v>
      </c>
      <c r="D1037">
        <v>69</v>
      </c>
      <c r="E1037" t="s">
        <v>128</v>
      </c>
      <c r="F1037" s="12">
        <v>45509</v>
      </c>
      <c r="G1037" t="s">
        <v>488</v>
      </c>
      <c r="H1037" s="12">
        <v>45509</v>
      </c>
      <c r="I1037" t="s">
        <v>409</v>
      </c>
      <c r="J1037" t="s">
        <v>1363</v>
      </c>
      <c r="K1037">
        <v>2</v>
      </c>
      <c r="L1037">
        <v>14.6</v>
      </c>
      <c r="P1037" t="s">
        <v>106</v>
      </c>
      <c r="Q1037" t="s">
        <v>106</v>
      </c>
      <c r="R1037" t="s">
        <v>106</v>
      </c>
      <c r="S1037" t="s">
        <v>106</v>
      </c>
      <c r="T1037" t="s">
        <v>1935</v>
      </c>
      <c r="U1037" t="s">
        <v>1734</v>
      </c>
      <c r="V1037" t="s">
        <v>106</v>
      </c>
      <c r="W1037" t="s">
        <v>443</v>
      </c>
      <c r="X1037" t="s">
        <v>106</v>
      </c>
      <c r="Y1037" t="s">
        <v>108</v>
      </c>
      <c r="Z1037" t="s">
        <v>108</v>
      </c>
      <c r="AA1037" t="s">
        <v>1954</v>
      </c>
      <c r="AB1037" t="s">
        <v>106</v>
      </c>
    </row>
    <row r="1038" spans="1:28" x14ac:dyDescent="0.3">
      <c r="A1038" t="s">
        <v>1439</v>
      </c>
      <c r="B1038">
        <v>2</v>
      </c>
      <c r="C1038">
        <v>15</v>
      </c>
      <c r="D1038">
        <v>60</v>
      </c>
      <c r="E1038" t="s">
        <v>128</v>
      </c>
      <c r="F1038" s="12">
        <v>45509</v>
      </c>
      <c r="G1038" t="s">
        <v>1820</v>
      </c>
      <c r="H1038" s="12">
        <v>45509</v>
      </c>
      <c r="I1038" t="s">
        <v>1967</v>
      </c>
      <c r="J1038" t="s">
        <v>1363</v>
      </c>
      <c r="K1038">
        <v>2</v>
      </c>
      <c r="L1038">
        <v>12.9</v>
      </c>
      <c r="P1038" t="s">
        <v>106</v>
      </c>
      <c r="Q1038" t="s">
        <v>106</v>
      </c>
      <c r="R1038" t="s">
        <v>106</v>
      </c>
      <c r="S1038" t="s">
        <v>106</v>
      </c>
      <c r="T1038" t="s">
        <v>757</v>
      </c>
      <c r="U1038" t="s">
        <v>1985</v>
      </c>
      <c r="V1038" t="s">
        <v>106</v>
      </c>
      <c r="W1038" t="s">
        <v>443</v>
      </c>
      <c r="X1038" t="s">
        <v>106</v>
      </c>
      <c r="Y1038" t="s">
        <v>108</v>
      </c>
      <c r="Z1038" t="s">
        <v>109</v>
      </c>
      <c r="AA1038" t="s">
        <v>1954</v>
      </c>
      <c r="AB1038" t="s">
        <v>106</v>
      </c>
    </row>
    <row r="1039" spans="1:28" x14ac:dyDescent="0.3">
      <c r="A1039" t="s">
        <v>1439</v>
      </c>
      <c r="B1039">
        <v>3</v>
      </c>
      <c r="C1039">
        <v>35</v>
      </c>
      <c r="D1039">
        <v>64</v>
      </c>
      <c r="E1039" t="s">
        <v>128</v>
      </c>
      <c r="F1039" s="12">
        <v>45509</v>
      </c>
      <c r="G1039" t="s">
        <v>2145</v>
      </c>
      <c r="H1039" s="12">
        <v>45509</v>
      </c>
      <c r="I1039" t="s">
        <v>1967</v>
      </c>
      <c r="J1039" t="s">
        <v>1363</v>
      </c>
      <c r="K1039">
        <v>2</v>
      </c>
      <c r="L1039">
        <v>33.1</v>
      </c>
      <c r="P1039" t="s">
        <v>106</v>
      </c>
      <c r="Q1039" t="s">
        <v>106</v>
      </c>
      <c r="R1039" t="s">
        <v>106</v>
      </c>
      <c r="S1039" t="s">
        <v>106</v>
      </c>
      <c r="T1039" t="s">
        <v>1475</v>
      </c>
      <c r="U1039" t="s">
        <v>2341</v>
      </c>
      <c r="V1039" t="s">
        <v>106</v>
      </c>
      <c r="W1039" t="s">
        <v>443</v>
      </c>
      <c r="X1039" t="s">
        <v>106</v>
      </c>
      <c r="Y1039" t="s">
        <v>108</v>
      </c>
      <c r="Z1039" t="s">
        <v>108</v>
      </c>
      <c r="AA1039" t="s">
        <v>1954</v>
      </c>
      <c r="AB1039" t="s">
        <v>106</v>
      </c>
    </row>
    <row r="1040" spans="1:28" x14ac:dyDescent="0.3">
      <c r="A1040" t="s">
        <v>1439</v>
      </c>
      <c r="B1040">
        <v>3</v>
      </c>
      <c r="C1040">
        <v>35</v>
      </c>
      <c r="D1040">
        <v>65</v>
      </c>
      <c r="E1040" t="s">
        <v>128</v>
      </c>
      <c r="F1040" s="12">
        <v>45509</v>
      </c>
      <c r="G1040" t="s">
        <v>470</v>
      </c>
      <c r="H1040" s="12">
        <v>45509</v>
      </c>
      <c r="I1040" t="s">
        <v>1967</v>
      </c>
      <c r="J1040" t="s">
        <v>1363</v>
      </c>
      <c r="K1040">
        <v>2</v>
      </c>
      <c r="L1040">
        <v>37.5</v>
      </c>
      <c r="P1040" t="s">
        <v>106</v>
      </c>
      <c r="Q1040" t="s">
        <v>106</v>
      </c>
      <c r="R1040" t="s">
        <v>106</v>
      </c>
      <c r="S1040" t="s">
        <v>1003</v>
      </c>
      <c r="T1040" t="s">
        <v>1386</v>
      </c>
      <c r="U1040" t="s">
        <v>1980</v>
      </c>
      <c r="V1040" t="s">
        <v>106</v>
      </c>
      <c r="W1040" t="s">
        <v>443</v>
      </c>
      <c r="X1040" t="s">
        <v>106</v>
      </c>
      <c r="Y1040" t="s">
        <v>108</v>
      </c>
      <c r="Z1040" t="s">
        <v>108</v>
      </c>
      <c r="AA1040" t="s">
        <v>1954</v>
      </c>
      <c r="AB1040" t="s">
        <v>106</v>
      </c>
    </row>
    <row r="1041" spans="1:28" x14ac:dyDescent="0.3">
      <c r="A1041" t="s">
        <v>1439</v>
      </c>
      <c r="B1041">
        <v>3</v>
      </c>
      <c r="C1041">
        <v>35</v>
      </c>
      <c r="D1041">
        <v>96</v>
      </c>
      <c r="E1041" t="s">
        <v>128</v>
      </c>
      <c r="F1041" s="12">
        <v>45509</v>
      </c>
      <c r="G1041" t="s">
        <v>2445</v>
      </c>
      <c r="H1041" s="12">
        <v>45509</v>
      </c>
      <c r="I1041" t="s">
        <v>510</v>
      </c>
      <c r="J1041" t="s">
        <v>458</v>
      </c>
      <c r="K1041">
        <v>2</v>
      </c>
      <c r="L1041">
        <v>37.4</v>
      </c>
      <c r="P1041" t="s">
        <v>106</v>
      </c>
      <c r="Q1041" t="s">
        <v>106</v>
      </c>
      <c r="R1041" t="s">
        <v>106</v>
      </c>
      <c r="S1041" t="s">
        <v>106</v>
      </c>
      <c r="T1041" t="s">
        <v>1458</v>
      </c>
      <c r="U1041" t="s">
        <v>2096</v>
      </c>
      <c r="V1041" t="s">
        <v>106</v>
      </c>
      <c r="W1041" t="s">
        <v>373</v>
      </c>
      <c r="X1041" t="s">
        <v>106</v>
      </c>
      <c r="Y1041" t="s">
        <v>108</v>
      </c>
      <c r="Z1041" t="s">
        <v>108</v>
      </c>
      <c r="AA1041" t="s">
        <v>106</v>
      </c>
      <c r="AB1041" t="s">
        <v>106</v>
      </c>
    </row>
    <row r="1042" spans="1:28" x14ac:dyDescent="0.3">
      <c r="A1042" t="s">
        <v>1439</v>
      </c>
      <c r="B1042">
        <v>3</v>
      </c>
      <c r="C1042">
        <v>35</v>
      </c>
      <c r="D1042">
        <v>66</v>
      </c>
      <c r="E1042" t="s">
        <v>128</v>
      </c>
      <c r="F1042" s="12">
        <v>45509</v>
      </c>
      <c r="G1042" t="s">
        <v>560</v>
      </c>
      <c r="H1042" s="12">
        <v>45509</v>
      </c>
      <c r="I1042" t="s">
        <v>409</v>
      </c>
      <c r="J1042" t="s">
        <v>1363</v>
      </c>
      <c r="K1042">
        <v>2</v>
      </c>
      <c r="L1042">
        <v>38.6</v>
      </c>
      <c r="P1042" t="s">
        <v>106</v>
      </c>
      <c r="Q1042" t="s">
        <v>106</v>
      </c>
      <c r="R1042" t="s">
        <v>106</v>
      </c>
      <c r="S1042" t="s">
        <v>106</v>
      </c>
      <c r="T1042" t="s">
        <v>1839</v>
      </c>
      <c r="U1042" t="s">
        <v>1716</v>
      </c>
      <c r="V1042" t="s">
        <v>106</v>
      </c>
      <c r="W1042" t="s">
        <v>443</v>
      </c>
      <c r="X1042" t="s">
        <v>106</v>
      </c>
      <c r="Y1042" t="s">
        <v>108</v>
      </c>
      <c r="Z1042" t="s">
        <v>108</v>
      </c>
      <c r="AA1042" t="s">
        <v>1954</v>
      </c>
      <c r="AB1042" t="s">
        <v>106</v>
      </c>
    </row>
    <row r="1043" spans="1:28" x14ac:dyDescent="0.3">
      <c r="A1043" t="s">
        <v>1439</v>
      </c>
      <c r="B1043">
        <v>3</v>
      </c>
      <c r="C1043">
        <v>35</v>
      </c>
      <c r="D1043">
        <v>83</v>
      </c>
      <c r="E1043" t="s">
        <v>128</v>
      </c>
      <c r="F1043" s="12">
        <v>45509</v>
      </c>
      <c r="G1043" t="s">
        <v>374</v>
      </c>
      <c r="H1043" s="12">
        <v>45509</v>
      </c>
      <c r="I1043" t="s">
        <v>322</v>
      </c>
      <c r="J1043" t="s">
        <v>458</v>
      </c>
      <c r="K1043">
        <v>2</v>
      </c>
      <c r="L1043">
        <v>35.299999999999997</v>
      </c>
      <c r="P1043" t="s">
        <v>106</v>
      </c>
      <c r="Q1043" t="s">
        <v>106</v>
      </c>
      <c r="R1043" t="s">
        <v>106</v>
      </c>
      <c r="S1043" t="s">
        <v>1025</v>
      </c>
      <c r="T1043" t="s">
        <v>971</v>
      </c>
      <c r="U1043" t="s">
        <v>1985</v>
      </c>
      <c r="V1043" t="s">
        <v>106</v>
      </c>
      <c r="W1043" t="s">
        <v>373</v>
      </c>
      <c r="X1043" t="s">
        <v>106</v>
      </c>
      <c r="Y1043" t="s">
        <v>108</v>
      </c>
      <c r="Z1043" t="s">
        <v>108</v>
      </c>
      <c r="AA1043" t="s">
        <v>1954</v>
      </c>
      <c r="AB1043" t="s">
        <v>2365</v>
      </c>
    </row>
    <row r="1044" spans="1:28" x14ac:dyDescent="0.3">
      <c r="A1044" t="s">
        <v>1439</v>
      </c>
      <c r="B1044">
        <v>3</v>
      </c>
      <c r="C1044">
        <v>35</v>
      </c>
      <c r="D1044">
        <v>88</v>
      </c>
      <c r="E1044" t="s">
        <v>128</v>
      </c>
      <c r="F1044" s="12">
        <v>45509</v>
      </c>
      <c r="G1044" t="s">
        <v>2031</v>
      </c>
      <c r="H1044" s="12">
        <v>45509</v>
      </c>
      <c r="I1044" t="s">
        <v>537</v>
      </c>
      <c r="J1044" t="s">
        <v>458</v>
      </c>
      <c r="K1044">
        <v>2</v>
      </c>
      <c r="L1044">
        <v>32.1</v>
      </c>
      <c r="P1044" t="s">
        <v>106</v>
      </c>
      <c r="Q1044" t="s">
        <v>106</v>
      </c>
      <c r="R1044" t="s">
        <v>106</v>
      </c>
      <c r="S1044" t="s">
        <v>106</v>
      </c>
      <c r="T1044" t="s">
        <v>2446</v>
      </c>
      <c r="U1044" t="s">
        <v>2043</v>
      </c>
      <c r="V1044" t="s">
        <v>106</v>
      </c>
      <c r="W1044" t="s">
        <v>373</v>
      </c>
      <c r="X1044" t="s">
        <v>106</v>
      </c>
      <c r="Y1044" t="s">
        <v>108</v>
      </c>
      <c r="Z1044" t="s">
        <v>108</v>
      </c>
      <c r="AA1044" t="s">
        <v>106</v>
      </c>
      <c r="AB1044" t="s">
        <v>106</v>
      </c>
    </row>
    <row r="1045" spans="1:28" x14ac:dyDescent="0.3">
      <c r="A1045" t="s">
        <v>1439</v>
      </c>
      <c r="B1045">
        <v>3</v>
      </c>
      <c r="C1045">
        <v>35</v>
      </c>
      <c r="D1045">
        <v>89</v>
      </c>
      <c r="E1045" t="s">
        <v>128</v>
      </c>
      <c r="F1045" s="12">
        <v>45509</v>
      </c>
      <c r="G1045" t="s">
        <v>2447</v>
      </c>
      <c r="H1045" s="12">
        <v>45509</v>
      </c>
      <c r="I1045" t="s">
        <v>537</v>
      </c>
      <c r="J1045" t="s">
        <v>458</v>
      </c>
      <c r="K1045">
        <v>2</v>
      </c>
      <c r="L1045">
        <v>38</v>
      </c>
      <c r="P1045" t="s">
        <v>106</v>
      </c>
      <c r="Q1045" t="s">
        <v>106</v>
      </c>
      <c r="R1045" t="s">
        <v>106</v>
      </c>
      <c r="S1045" t="s">
        <v>106</v>
      </c>
      <c r="T1045" t="s">
        <v>817</v>
      </c>
      <c r="U1045" t="s">
        <v>1985</v>
      </c>
      <c r="V1045" t="s">
        <v>106</v>
      </c>
      <c r="W1045" t="s">
        <v>373</v>
      </c>
      <c r="X1045" t="s">
        <v>106</v>
      </c>
      <c r="Y1045" t="s">
        <v>108</v>
      </c>
      <c r="Z1045" t="s">
        <v>108</v>
      </c>
      <c r="AA1045" t="s">
        <v>106</v>
      </c>
      <c r="AB1045" t="s">
        <v>106</v>
      </c>
    </row>
    <row r="1046" spans="1:28" x14ac:dyDescent="0.3">
      <c r="A1046" t="s">
        <v>1439</v>
      </c>
      <c r="B1046">
        <v>3</v>
      </c>
      <c r="C1046">
        <v>35</v>
      </c>
      <c r="D1046">
        <v>82</v>
      </c>
      <c r="E1046" t="s">
        <v>128</v>
      </c>
      <c r="F1046" s="12">
        <v>45509</v>
      </c>
      <c r="G1046" t="s">
        <v>1686</v>
      </c>
      <c r="H1046" s="12">
        <v>45509</v>
      </c>
      <c r="I1046" t="s">
        <v>322</v>
      </c>
      <c r="J1046" t="s">
        <v>458</v>
      </c>
      <c r="K1046">
        <v>2</v>
      </c>
      <c r="L1046">
        <v>38</v>
      </c>
      <c r="P1046" t="s">
        <v>106</v>
      </c>
      <c r="Q1046" t="s">
        <v>106</v>
      </c>
      <c r="R1046" t="s">
        <v>106</v>
      </c>
      <c r="S1046" t="s">
        <v>106</v>
      </c>
      <c r="T1046" t="s">
        <v>2336</v>
      </c>
      <c r="U1046" t="s">
        <v>1772</v>
      </c>
      <c r="V1046" t="s">
        <v>106</v>
      </c>
      <c r="W1046" t="s">
        <v>373</v>
      </c>
      <c r="X1046" t="s">
        <v>106</v>
      </c>
      <c r="Y1046" t="s">
        <v>108</v>
      </c>
      <c r="Z1046" t="s">
        <v>108</v>
      </c>
      <c r="AA1046" t="s">
        <v>1954</v>
      </c>
      <c r="AB1046" t="s">
        <v>2448</v>
      </c>
    </row>
    <row r="1047" spans="1:28" x14ac:dyDescent="0.3">
      <c r="A1047" t="s">
        <v>1439</v>
      </c>
      <c r="B1047">
        <v>3</v>
      </c>
      <c r="C1047">
        <v>35</v>
      </c>
      <c r="D1047">
        <v>77</v>
      </c>
      <c r="E1047" t="s">
        <v>128</v>
      </c>
      <c r="F1047" s="12">
        <v>45509</v>
      </c>
      <c r="G1047" t="s">
        <v>590</v>
      </c>
      <c r="H1047" s="12">
        <v>45509</v>
      </c>
      <c r="I1047" t="s">
        <v>697</v>
      </c>
      <c r="J1047" t="s">
        <v>1363</v>
      </c>
      <c r="K1047">
        <v>2</v>
      </c>
      <c r="L1047">
        <v>38.299999999999997</v>
      </c>
      <c r="P1047" t="s">
        <v>106</v>
      </c>
      <c r="Q1047" t="s">
        <v>106</v>
      </c>
      <c r="R1047" t="s">
        <v>106</v>
      </c>
      <c r="S1047" t="s">
        <v>106</v>
      </c>
      <c r="T1047" t="s">
        <v>1409</v>
      </c>
      <c r="U1047" t="s">
        <v>1734</v>
      </c>
      <c r="V1047" t="s">
        <v>106</v>
      </c>
      <c r="W1047" t="s">
        <v>443</v>
      </c>
      <c r="X1047" t="s">
        <v>106</v>
      </c>
      <c r="Y1047" t="s">
        <v>108</v>
      </c>
      <c r="Z1047" t="s">
        <v>108</v>
      </c>
      <c r="AA1047" t="s">
        <v>106</v>
      </c>
      <c r="AB1047" t="s">
        <v>106</v>
      </c>
    </row>
    <row r="1048" spans="1:28" x14ac:dyDescent="0.3">
      <c r="A1048" t="s">
        <v>1439</v>
      </c>
      <c r="B1048">
        <v>3</v>
      </c>
      <c r="C1048">
        <v>35</v>
      </c>
      <c r="D1048">
        <v>76</v>
      </c>
      <c r="E1048" t="s">
        <v>128</v>
      </c>
      <c r="F1048" s="12">
        <v>45509</v>
      </c>
      <c r="G1048" t="s">
        <v>1970</v>
      </c>
      <c r="H1048" s="12">
        <v>45509</v>
      </c>
      <c r="I1048" t="s">
        <v>697</v>
      </c>
      <c r="J1048" t="s">
        <v>1363</v>
      </c>
      <c r="K1048">
        <v>2</v>
      </c>
      <c r="L1048">
        <v>38.5</v>
      </c>
      <c r="P1048" t="s">
        <v>106</v>
      </c>
      <c r="Q1048" t="s">
        <v>106</v>
      </c>
      <c r="R1048" t="s">
        <v>106</v>
      </c>
      <c r="S1048" t="s">
        <v>960</v>
      </c>
      <c r="T1048" t="s">
        <v>1393</v>
      </c>
      <c r="U1048" t="s">
        <v>1600</v>
      </c>
      <c r="V1048" t="s">
        <v>106</v>
      </c>
      <c r="W1048" t="s">
        <v>443</v>
      </c>
      <c r="X1048" t="s">
        <v>106</v>
      </c>
      <c r="Y1048" t="s">
        <v>108</v>
      </c>
      <c r="Z1048" t="s">
        <v>108</v>
      </c>
      <c r="AA1048" t="s">
        <v>106</v>
      </c>
      <c r="AB1048" t="s">
        <v>106</v>
      </c>
    </row>
    <row r="1049" spans="1:28" x14ac:dyDescent="0.3">
      <c r="A1049" t="s">
        <v>1439</v>
      </c>
      <c r="B1049">
        <v>3</v>
      </c>
      <c r="C1049">
        <v>35</v>
      </c>
      <c r="D1049">
        <v>101</v>
      </c>
      <c r="E1049" t="s">
        <v>128</v>
      </c>
      <c r="F1049" s="12">
        <v>45509</v>
      </c>
      <c r="G1049" t="s">
        <v>2169</v>
      </c>
      <c r="H1049" s="12">
        <v>45509</v>
      </c>
      <c r="I1049" t="s">
        <v>1972</v>
      </c>
      <c r="J1049" t="s">
        <v>458</v>
      </c>
      <c r="K1049">
        <v>2</v>
      </c>
      <c r="L1049">
        <v>34.799999999999997</v>
      </c>
      <c r="P1049" t="s">
        <v>106</v>
      </c>
      <c r="Q1049" t="s">
        <v>106</v>
      </c>
      <c r="R1049" t="s">
        <v>106</v>
      </c>
      <c r="S1049" t="s">
        <v>106</v>
      </c>
      <c r="T1049" t="s">
        <v>1947</v>
      </c>
      <c r="U1049" t="s">
        <v>1738</v>
      </c>
      <c r="V1049" t="s">
        <v>106</v>
      </c>
      <c r="W1049" t="s">
        <v>373</v>
      </c>
      <c r="X1049" t="s">
        <v>106</v>
      </c>
      <c r="Y1049" t="s">
        <v>108</v>
      </c>
      <c r="Z1049" t="s">
        <v>108</v>
      </c>
      <c r="AA1049" t="s">
        <v>106</v>
      </c>
      <c r="AB1049" t="s">
        <v>2449</v>
      </c>
    </row>
    <row r="1050" spans="1:28" x14ac:dyDescent="0.3">
      <c r="A1050" t="s">
        <v>1439</v>
      </c>
      <c r="B1050">
        <v>3</v>
      </c>
      <c r="C1050">
        <v>35</v>
      </c>
      <c r="D1050">
        <v>75</v>
      </c>
      <c r="E1050" t="s">
        <v>128</v>
      </c>
      <c r="F1050" s="12">
        <v>45509</v>
      </c>
      <c r="G1050" t="s">
        <v>1970</v>
      </c>
      <c r="H1050" s="12">
        <v>45509</v>
      </c>
      <c r="I1050" t="s">
        <v>697</v>
      </c>
      <c r="J1050" t="s">
        <v>1363</v>
      </c>
      <c r="K1050">
        <v>2</v>
      </c>
      <c r="L1050">
        <v>29.6</v>
      </c>
      <c r="P1050" t="s">
        <v>106</v>
      </c>
      <c r="Q1050" t="s">
        <v>106</v>
      </c>
      <c r="R1050" t="s">
        <v>106</v>
      </c>
      <c r="S1050" t="s">
        <v>106</v>
      </c>
      <c r="T1050" t="s">
        <v>1449</v>
      </c>
      <c r="U1050" t="s">
        <v>1482</v>
      </c>
      <c r="V1050" t="s">
        <v>106</v>
      </c>
      <c r="W1050" t="s">
        <v>443</v>
      </c>
      <c r="X1050" t="s">
        <v>106</v>
      </c>
      <c r="Y1050" t="s">
        <v>108</v>
      </c>
      <c r="Z1050" t="s">
        <v>108</v>
      </c>
      <c r="AA1050" t="s">
        <v>106</v>
      </c>
      <c r="AB1050" t="s">
        <v>106</v>
      </c>
    </row>
    <row r="1051" spans="1:28" x14ac:dyDescent="0.3">
      <c r="A1051" t="s">
        <v>1439</v>
      </c>
      <c r="B1051">
        <v>3</v>
      </c>
      <c r="C1051">
        <v>35</v>
      </c>
      <c r="D1051">
        <v>74</v>
      </c>
      <c r="E1051" t="s">
        <v>128</v>
      </c>
      <c r="F1051" s="12">
        <v>45509</v>
      </c>
      <c r="G1051" t="s">
        <v>1970</v>
      </c>
      <c r="H1051" s="12">
        <v>45509</v>
      </c>
      <c r="I1051" t="s">
        <v>697</v>
      </c>
      <c r="J1051" t="s">
        <v>1363</v>
      </c>
      <c r="K1051">
        <v>2</v>
      </c>
      <c r="L1051">
        <v>36.4</v>
      </c>
      <c r="P1051" t="s">
        <v>106</v>
      </c>
      <c r="Q1051" t="s">
        <v>106</v>
      </c>
      <c r="R1051" t="s">
        <v>106</v>
      </c>
      <c r="S1051" t="s">
        <v>1124</v>
      </c>
      <c r="T1051" t="s">
        <v>1463</v>
      </c>
      <c r="U1051" t="s">
        <v>2073</v>
      </c>
      <c r="V1051" t="s">
        <v>106</v>
      </c>
      <c r="W1051" t="s">
        <v>443</v>
      </c>
      <c r="X1051" t="s">
        <v>106</v>
      </c>
      <c r="Y1051" t="s">
        <v>108</v>
      </c>
      <c r="Z1051" t="s">
        <v>108</v>
      </c>
      <c r="AA1051" t="s">
        <v>106</v>
      </c>
      <c r="AB1051" t="s">
        <v>106</v>
      </c>
    </row>
    <row r="1052" spans="1:28" x14ac:dyDescent="0.3">
      <c r="A1052" t="s">
        <v>1439</v>
      </c>
      <c r="B1052">
        <v>3</v>
      </c>
      <c r="C1052">
        <v>35</v>
      </c>
      <c r="D1052">
        <v>100</v>
      </c>
      <c r="E1052" t="s">
        <v>128</v>
      </c>
      <c r="F1052" s="12">
        <v>45509</v>
      </c>
      <c r="G1052" t="s">
        <v>1971</v>
      </c>
      <c r="H1052" s="12">
        <v>45509</v>
      </c>
      <c r="I1052" t="s">
        <v>1972</v>
      </c>
      <c r="J1052" t="s">
        <v>458</v>
      </c>
      <c r="K1052">
        <v>2</v>
      </c>
      <c r="L1052">
        <v>33.9</v>
      </c>
      <c r="P1052" t="s">
        <v>106</v>
      </c>
      <c r="Q1052" t="s">
        <v>106</v>
      </c>
      <c r="R1052" t="s">
        <v>106</v>
      </c>
      <c r="S1052" t="s">
        <v>106</v>
      </c>
      <c r="T1052" t="s">
        <v>1379</v>
      </c>
      <c r="U1052" t="s">
        <v>1734</v>
      </c>
      <c r="V1052" t="s">
        <v>106</v>
      </c>
      <c r="W1052" t="s">
        <v>373</v>
      </c>
      <c r="X1052" t="s">
        <v>106</v>
      </c>
      <c r="Y1052" t="s">
        <v>108</v>
      </c>
      <c r="Z1052" t="s">
        <v>108</v>
      </c>
      <c r="AA1052" t="s">
        <v>106</v>
      </c>
      <c r="AB1052" t="s">
        <v>2450</v>
      </c>
    </row>
    <row r="1053" spans="1:28" x14ac:dyDescent="0.3">
      <c r="A1053" t="s">
        <v>1439</v>
      </c>
      <c r="B1053">
        <v>3</v>
      </c>
      <c r="C1053">
        <v>35</v>
      </c>
      <c r="D1053">
        <v>92</v>
      </c>
      <c r="E1053" t="s">
        <v>128</v>
      </c>
      <c r="F1053" s="12">
        <v>45509</v>
      </c>
      <c r="G1053" t="s">
        <v>2074</v>
      </c>
      <c r="H1053" s="12">
        <v>45509</v>
      </c>
      <c r="I1053" t="s">
        <v>510</v>
      </c>
      <c r="J1053" t="s">
        <v>458</v>
      </c>
      <c r="K1053">
        <v>2</v>
      </c>
      <c r="L1053">
        <v>32</v>
      </c>
      <c r="P1053" t="s">
        <v>106</v>
      </c>
      <c r="Q1053" t="s">
        <v>106</v>
      </c>
      <c r="R1053" t="s">
        <v>106</v>
      </c>
      <c r="S1053" t="s">
        <v>106</v>
      </c>
      <c r="T1053" t="s">
        <v>1935</v>
      </c>
      <c r="U1053" t="s">
        <v>2106</v>
      </c>
      <c r="V1053" t="s">
        <v>106</v>
      </c>
      <c r="W1053" t="s">
        <v>373</v>
      </c>
      <c r="X1053" t="s">
        <v>106</v>
      </c>
      <c r="Y1053" t="s">
        <v>108</v>
      </c>
      <c r="Z1053" t="s">
        <v>108</v>
      </c>
      <c r="AA1053" t="s">
        <v>106</v>
      </c>
      <c r="AB1053" t="s">
        <v>2451</v>
      </c>
    </row>
    <row r="1054" spans="1:28" x14ac:dyDescent="0.3">
      <c r="A1054" t="s">
        <v>1439</v>
      </c>
      <c r="B1054">
        <v>3</v>
      </c>
      <c r="C1054">
        <v>35</v>
      </c>
      <c r="D1054">
        <v>67</v>
      </c>
      <c r="E1054" t="s">
        <v>128</v>
      </c>
      <c r="F1054" s="12">
        <v>45509</v>
      </c>
      <c r="G1054" t="s">
        <v>488</v>
      </c>
      <c r="H1054" s="12">
        <v>45509</v>
      </c>
      <c r="I1054" t="s">
        <v>409</v>
      </c>
      <c r="J1054" t="s">
        <v>1363</v>
      </c>
      <c r="K1054">
        <v>2</v>
      </c>
      <c r="L1054">
        <v>36.700000000000003</v>
      </c>
      <c r="P1054" t="s">
        <v>106</v>
      </c>
      <c r="Q1054" t="s">
        <v>106</v>
      </c>
      <c r="R1054" t="s">
        <v>106</v>
      </c>
      <c r="S1054" t="s">
        <v>1988</v>
      </c>
      <c r="T1054" t="s">
        <v>2063</v>
      </c>
      <c r="U1054" t="s">
        <v>1980</v>
      </c>
      <c r="V1054" t="s">
        <v>106</v>
      </c>
      <c r="W1054" t="s">
        <v>443</v>
      </c>
      <c r="X1054" t="s">
        <v>106</v>
      </c>
      <c r="Y1054" t="s">
        <v>108</v>
      </c>
      <c r="Z1054" t="s">
        <v>108</v>
      </c>
      <c r="AA1054" t="s">
        <v>1954</v>
      </c>
      <c r="AB1054" t="s">
        <v>106</v>
      </c>
    </row>
    <row r="1055" spans="1:28" x14ac:dyDescent="0.3">
      <c r="A1055" t="s">
        <v>1439</v>
      </c>
      <c r="B1055">
        <v>4</v>
      </c>
      <c r="C1055">
        <v>60</v>
      </c>
      <c r="D1055">
        <v>62</v>
      </c>
      <c r="E1055" t="s">
        <v>128</v>
      </c>
      <c r="F1055" s="12">
        <v>45509</v>
      </c>
      <c r="G1055" t="s">
        <v>1346</v>
      </c>
      <c r="H1055" s="12">
        <v>45509</v>
      </c>
      <c r="I1055" t="s">
        <v>1967</v>
      </c>
      <c r="J1055" t="s">
        <v>1363</v>
      </c>
      <c r="K1055">
        <v>2</v>
      </c>
      <c r="L1055">
        <v>55.1</v>
      </c>
      <c r="P1055" t="s">
        <v>106</v>
      </c>
      <c r="Q1055" t="s">
        <v>106</v>
      </c>
      <c r="R1055" t="s">
        <v>106</v>
      </c>
      <c r="S1055" t="s">
        <v>106</v>
      </c>
      <c r="T1055" t="s">
        <v>1257</v>
      </c>
      <c r="U1055" t="s">
        <v>2106</v>
      </c>
      <c r="V1055" t="s">
        <v>106</v>
      </c>
      <c r="W1055" t="s">
        <v>443</v>
      </c>
      <c r="X1055" t="s">
        <v>106</v>
      </c>
      <c r="Y1055" t="s">
        <v>108</v>
      </c>
      <c r="Z1055" t="s">
        <v>104</v>
      </c>
      <c r="AA1055" t="s">
        <v>1954</v>
      </c>
      <c r="AB1055" t="s">
        <v>106</v>
      </c>
    </row>
    <row r="1056" spans="1:28" x14ac:dyDescent="0.3">
      <c r="A1056" t="s">
        <v>1439</v>
      </c>
      <c r="B1056">
        <v>4</v>
      </c>
      <c r="C1056">
        <v>60</v>
      </c>
      <c r="D1056">
        <v>63</v>
      </c>
      <c r="E1056" t="s">
        <v>128</v>
      </c>
      <c r="F1056" s="12">
        <v>45509</v>
      </c>
      <c r="G1056" t="s">
        <v>2159</v>
      </c>
      <c r="H1056" s="12">
        <v>45509</v>
      </c>
      <c r="I1056" t="s">
        <v>1967</v>
      </c>
      <c r="J1056" t="s">
        <v>1363</v>
      </c>
      <c r="K1056">
        <v>2</v>
      </c>
      <c r="L1056">
        <v>54.1</v>
      </c>
      <c r="P1056" t="s">
        <v>106</v>
      </c>
      <c r="Q1056" t="s">
        <v>106</v>
      </c>
      <c r="R1056" t="s">
        <v>106</v>
      </c>
      <c r="S1056" t="s">
        <v>988</v>
      </c>
      <c r="T1056" t="s">
        <v>2063</v>
      </c>
      <c r="U1056" t="s">
        <v>1980</v>
      </c>
      <c r="V1056" t="s">
        <v>106</v>
      </c>
      <c r="W1056" t="s">
        <v>443</v>
      </c>
      <c r="X1056" t="s">
        <v>106</v>
      </c>
      <c r="Y1056" t="s">
        <v>108</v>
      </c>
      <c r="Z1056" t="s">
        <v>104</v>
      </c>
      <c r="AA1056" t="s">
        <v>1954</v>
      </c>
      <c r="AB1056" t="s">
        <v>106</v>
      </c>
    </row>
    <row r="1057" spans="1:28" x14ac:dyDescent="0.3">
      <c r="A1057" t="s">
        <v>1439</v>
      </c>
      <c r="B1057">
        <v>4</v>
      </c>
      <c r="C1057">
        <v>60</v>
      </c>
      <c r="D1057">
        <v>71</v>
      </c>
      <c r="E1057" t="s">
        <v>128</v>
      </c>
      <c r="F1057" s="12">
        <v>45509</v>
      </c>
      <c r="G1057" t="s">
        <v>488</v>
      </c>
      <c r="H1057" s="12">
        <v>45509</v>
      </c>
      <c r="I1057" t="s">
        <v>409</v>
      </c>
      <c r="J1057" t="s">
        <v>1363</v>
      </c>
      <c r="K1057">
        <v>2</v>
      </c>
      <c r="L1057">
        <v>54.2</v>
      </c>
      <c r="P1057" t="s">
        <v>106</v>
      </c>
      <c r="Q1057" t="s">
        <v>106</v>
      </c>
      <c r="R1057" t="s">
        <v>106</v>
      </c>
      <c r="S1057" t="s">
        <v>106</v>
      </c>
      <c r="T1057" t="s">
        <v>2625</v>
      </c>
      <c r="U1057" t="s">
        <v>2494</v>
      </c>
      <c r="V1057" t="s">
        <v>106</v>
      </c>
      <c r="W1057" t="s">
        <v>443</v>
      </c>
      <c r="X1057" t="s">
        <v>106</v>
      </c>
      <c r="Y1057" t="s">
        <v>108</v>
      </c>
      <c r="Z1057" t="s">
        <v>108</v>
      </c>
      <c r="AA1057" t="s">
        <v>1954</v>
      </c>
      <c r="AB1057" t="s">
        <v>106</v>
      </c>
    </row>
    <row r="1058" spans="1:28" x14ac:dyDescent="0.3">
      <c r="A1058" t="s">
        <v>1439</v>
      </c>
      <c r="B1058">
        <v>4</v>
      </c>
      <c r="C1058">
        <v>60</v>
      </c>
      <c r="D1058">
        <v>78</v>
      </c>
      <c r="E1058" t="s">
        <v>128</v>
      </c>
      <c r="F1058" s="12">
        <v>45509</v>
      </c>
      <c r="G1058" t="s">
        <v>1424</v>
      </c>
      <c r="H1058" s="12">
        <v>45509</v>
      </c>
      <c r="I1058" t="s">
        <v>697</v>
      </c>
      <c r="J1058" t="s">
        <v>1363</v>
      </c>
      <c r="K1058">
        <v>2</v>
      </c>
      <c r="L1058">
        <v>59.9</v>
      </c>
      <c r="P1058" t="s">
        <v>106</v>
      </c>
      <c r="Q1058" t="s">
        <v>106</v>
      </c>
      <c r="R1058" t="s">
        <v>106</v>
      </c>
      <c r="S1058" t="s">
        <v>1204</v>
      </c>
      <c r="T1058" t="s">
        <v>1074</v>
      </c>
      <c r="U1058" t="s">
        <v>106</v>
      </c>
      <c r="V1058" t="s">
        <v>106</v>
      </c>
      <c r="W1058" t="s">
        <v>443</v>
      </c>
      <c r="X1058" t="s">
        <v>106</v>
      </c>
      <c r="Y1058" t="s">
        <v>108</v>
      </c>
      <c r="Z1058" t="s">
        <v>104</v>
      </c>
      <c r="AA1058" t="s">
        <v>106</v>
      </c>
      <c r="AB1058" t="s">
        <v>106</v>
      </c>
    </row>
    <row r="1059" spans="1:28" x14ac:dyDescent="0.3">
      <c r="A1059" t="s">
        <v>1439</v>
      </c>
      <c r="B1059">
        <v>4</v>
      </c>
      <c r="C1059">
        <v>60</v>
      </c>
      <c r="D1059">
        <v>79</v>
      </c>
      <c r="E1059" t="s">
        <v>128</v>
      </c>
      <c r="F1059" s="12">
        <v>45509</v>
      </c>
      <c r="G1059" t="s">
        <v>1426</v>
      </c>
      <c r="H1059" s="12">
        <v>45509</v>
      </c>
      <c r="I1059" t="s">
        <v>697</v>
      </c>
      <c r="J1059" t="s">
        <v>1363</v>
      </c>
      <c r="K1059">
        <v>2</v>
      </c>
      <c r="L1059">
        <v>58.6</v>
      </c>
      <c r="P1059" t="s">
        <v>106</v>
      </c>
      <c r="Q1059" t="s">
        <v>106</v>
      </c>
      <c r="R1059" t="s">
        <v>106</v>
      </c>
      <c r="S1059" t="s">
        <v>106</v>
      </c>
      <c r="T1059" t="s">
        <v>1459</v>
      </c>
      <c r="U1059" t="s">
        <v>106</v>
      </c>
      <c r="V1059" t="s">
        <v>106</v>
      </c>
      <c r="W1059" t="s">
        <v>443</v>
      </c>
      <c r="X1059" t="s">
        <v>106</v>
      </c>
      <c r="Y1059" t="s">
        <v>108</v>
      </c>
      <c r="Z1059" t="s">
        <v>104</v>
      </c>
      <c r="AA1059" t="s">
        <v>106</v>
      </c>
      <c r="AB1059" t="s">
        <v>106</v>
      </c>
    </row>
    <row r="1060" spans="1:28" x14ac:dyDescent="0.3">
      <c r="A1060" t="s">
        <v>1439</v>
      </c>
      <c r="B1060">
        <v>4</v>
      </c>
      <c r="C1060">
        <v>60</v>
      </c>
      <c r="D1060">
        <v>84</v>
      </c>
      <c r="E1060" t="s">
        <v>128</v>
      </c>
      <c r="F1060" s="12">
        <v>45509</v>
      </c>
      <c r="G1060" t="s">
        <v>2067</v>
      </c>
      <c r="H1060" s="12">
        <v>45509</v>
      </c>
      <c r="I1060" t="s">
        <v>322</v>
      </c>
      <c r="J1060" t="s">
        <v>458</v>
      </c>
      <c r="K1060">
        <v>2</v>
      </c>
      <c r="L1060">
        <v>59.4</v>
      </c>
      <c r="P1060" t="s">
        <v>106</v>
      </c>
      <c r="Q1060" t="s">
        <v>106</v>
      </c>
      <c r="R1060" t="s">
        <v>106</v>
      </c>
      <c r="S1060" t="s">
        <v>106</v>
      </c>
      <c r="T1060" t="s">
        <v>942</v>
      </c>
      <c r="U1060" t="s">
        <v>2096</v>
      </c>
      <c r="V1060" t="s">
        <v>106</v>
      </c>
      <c r="W1060" t="s">
        <v>373</v>
      </c>
      <c r="X1060" t="s">
        <v>106</v>
      </c>
      <c r="Y1060" t="s">
        <v>108</v>
      </c>
      <c r="Z1060" t="s">
        <v>104</v>
      </c>
      <c r="AA1060" t="s">
        <v>1954</v>
      </c>
      <c r="AB1060" t="s">
        <v>2699</v>
      </c>
    </row>
    <row r="1061" spans="1:28" x14ac:dyDescent="0.3">
      <c r="A1061" t="s">
        <v>1439</v>
      </c>
      <c r="B1061">
        <v>4</v>
      </c>
      <c r="C1061">
        <v>60</v>
      </c>
      <c r="D1061">
        <v>90</v>
      </c>
      <c r="E1061" t="s">
        <v>128</v>
      </c>
      <c r="F1061" s="12">
        <v>45509</v>
      </c>
      <c r="G1061" t="s">
        <v>1645</v>
      </c>
      <c r="H1061" s="12">
        <v>45509</v>
      </c>
      <c r="I1061" t="s">
        <v>537</v>
      </c>
      <c r="J1061" t="s">
        <v>458</v>
      </c>
      <c r="K1061">
        <v>2</v>
      </c>
      <c r="L1061">
        <v>62</v>
      </c>
      <c r="P1061" t="s">
        <v>106</v>
      </c>
      <c r="Q1061" t="s">
        <v>106</v>
      </c>
      <c r="R1061" t="s">
        <v>106</v>
      </c>
      <c r="S1061" t="s">
        <v>106</v>
      </c>
      <c r="T1061" t="s">
        <v>1242</v>
      </c>
      <c r="U1061" t="s">
        <v>1776</v>
      </c>
      <c r="V1061" t="s">
        <v>106</v>
      </c>
      <c r="W1061" t="s">
        <v>373</v>
      </c>
      <c r="X1061" t="s">
        <v>106</v>
      </c>
      <c r="Y1061" t="s">
        <v>108</v>
      </c>
      <c r="Z1061" t="s">
        <v>104</v>
      </c>
      <c r="AA1061" t="s">
        <v>106</v>
      </c>
      <c r="AB1061" t="s">
        <v>106</v>
      </c>
    </row>
    <row r="1062" spans="1:28" x14ac:dyDescent="0.3">
      <c r="A1062" t="s">
        <v>1439</v>
      </c>
      <c r="B1062">
        <v>4</v>
      </c>
      <c r="C1062">
        <v>60</v>
      </c>
      <c r="D1062">
        <v>91</v>
      </c>
      <c r="E1062" t="s">
        <v>128</v>
      </c>
      <c r="F1062" s="12">
        <v>45509</v>
      </c>
      <c r="G1062" t="s">
        <v>1645</v>
      </c>
      <c r="H1062" s="12">
        <v>45509</v>
      </c>
      <c r="I1062" t="s">
        <v>537</v>
      </c>
      <c r="J1062" t="s">
        <v>458</v>
      </c>
      <c r="K1062">
        <v>2</v>
      </c>
      <c r="L1062">
        <v>61.1</v>
      </c>
      <c r="P1062" t="s">
        <v>106</v>
      </c>
      <c r="Q1062" t="s">
        <v>106</v>
      </c>
      <c r="R1062" t="s">
        <v>106</v>
      </c>
      <c r="S1062" t="s">
        <v>106</v>
      </c>
      <c r="T1062" t="s">
        <v>2418</v>
      </c>
      <c r="U1062" t="s">
        <v>1699</v>
      </c>
      <c r="V1062" t="s">
        <v>106</v>
      </c>
      <c r="W1062" t="s">
        <v>373</v>
      </c>
      <c r="X1062" t="s">
        <v>106</v>
      </c>
      <c r="Y1062" t="s">
        <v>108</v>
      </c>
      <c r="Z1062" t="s">
        <v>104</v>
      </c>
      <c r="AA1062" t="s">
        <v>106</v>
      </c>
      <c r="AB1062" t="s">
        <v>715</v>
      </c>
    </row>
    <row r="1063" spans="1:28" x14ac:dyDescent="0.3">
      <c r="A1063" t="s">
        <v>1439</v>
      </c>
      <c r="B1063">
        <v>4</v>
      </c>
      <c r="C1063">
        <v>60</v>
      </c>
      <c r="D1063">
        <v>93</v>
      </c>
      <c r="E1063" t="s">
        <v>128</v>
      </c>
      <c r="F1063" s="12">
        <v>45509</v>
      </c>
      <c r="G1063" t="s">
        <v>1879</v>
      </c>
      <c r="H1063" s="12">
        <v>45509</v>
      </c>
      <c r="I1063" t="s">
        <v>510</v>
      </c>
      <c r="J1063" t="s">
        <v>458</v>
      </c>
      <c r="K1063">
        <v>2</v>
      </c>
      <c r="L1063">
        <v>60.2</v>
      </c>
      <c r="P1063" t="s">
        <v>106</v>
      </c>
      <c r="Q1063" t="s">
        <v>106</v>
      </c>
      <c r="R1063" t="s">
        <v>106</v>
      </c>
      <c r="S1063" t="s">
        <v>106</v>
      </c>
      <c r="T1063" t="s">
        <v>975</v>
      </c>
      <c r="U1063" t="s">
        <v>1734</v>
      </c>
      <c r="V1063" t="s">
        <v>106</v>
      </c>
      <c r="W1063" t="s">
        <v>373</v>
      </c>
      <c r="X1063" t="s">
        <v>106</v>
      </c>
      <c r="Y1063" t="s">
        <v>108</v>
      </c>
      <c r="Z1063" t="s">
        <v>104</v>
      </c>
      <c r="AA1063" t="s">
        <v>106</v>
      </c>
      <c r="AB1063" t="s">
        <v>2700</v>
      </c>
    </row>
    <row r="1064" spans="1:28" x14ac:dyDescent="0.3">
      <c r="A1064" t="s">
        <v>1439</v>
      </c>
      <c r="B1064">
        <v>4</v>
      </c>
      <c r="C1064">
        <v>60</v>
      </c>
      <c r="D1064">
        <v>94</v>
      </c>
      <c r="E1064" t="s">
        <v>128</v>
      </c>
      <c r="F1064" s="12">
        <v>45509</v>
      </c>
      <c r="G1064" t="s">
        <v>1879</v>
      </c>
      <c r="H1064" s="12">
        <v>45509</v>
      </c>
      <c r="I1064" t="s">
        <v>510</v>
      </c>
      <c r="J1064" t="s">
        <v>458</v>
      </c>
      <c r="K1064">
        <v>2</v>
      </c>
      <c r="L1064">
        <v>59</v>
      </c>
      <c r="P1064" t="s">
        <v>106</v>
      </c>
      <c r="Q1064" t="s">
        <v>106</v>
      </c>
      <c r="R1064" t="s">
        <v>106</v>
      </c>
      <c r="S1064" t="s">
        <v>106</v>
      </c>
      <c r="T1064" t="s">
        <v>1543</v>
      </c>
      <c r="U1064" t="s">
        <v>2054</v>
      </c>
      <c r="V1064" t="s">
        <v>106</v>
      </c>
      <c r="W1064" t="s">
        <v>373</v>
      </c>
      <c r="X1064" t="s">
        <v>106</v>
      </c>
      <c r="Y1064" t="s">
        <v>108</v>
      </c>
      <c r="Z1064" t="s">
        <v>104</v>
      </c>
      <c r="AA1064" t="s">
        <v>106</v>
      </c>
      <c r="AB1064" t="s">
        <v>2701</v>
      </c>
    </row>
    <row r="1065" spans="1:28" x14ac:dyDescent="0.3">
      <c r="A1065" t="s">
        <v>1439</v>
      </c>
      <c r="B1065">
        <v>4</v>
      </c>
      <c r="C1065">
        <v>60</v>
      </c>
      <c r="D1065">
        <v>97</v>
      </c>
      <c r="E1065" t="s">
        <v>128</v>
      </c>
      <c r="F1065" s="12">
        <v>45509</v>
      </c>
      <c r="G1065" t="s">
        <v>2445</v>
      </c>
      <c r="H1065" s="12">
        <v>45509</v>
      </c>
      <c r="I1065" t="s">
        <v>510</v>
      </c>
      <c r="J1065" t="s">
        <v>458</v>
      </c>
      <c r="K1065">
        <v>2</v>
      </c>
      <c r="L1065">
        <v>58.1</v>
      </c>
      <c r="P1065" t="s">
        <v>106</v>
      </c>
      <c r="Q1065" t="s">
        <v>106</v>
      </c>
      <c r="R1065" t="s">
        <v>106</v>
      </c>
      <c r="S1065" t="s">
        <v>106</v>
      </c>
      <c r="T1065" t="s">
        <v>767</v>
      </c>
      <c r="U1065" t="s">
        <v>1631</v>
      </c>
      <c r="V1065" t="s">
        <v>106</v>
      </c>
      <c r="W1065" t="s">
        <v>373</v>
      </c>
      <c r="X1065" t="s">
        <v>106</v>
      </c>
      <c r="Y1065" t="s">
        <v>108</v>
      </c>
      <c r="Z1065" t="s">
        <v>104</v>
      </c>
      <c r="AA1065" t="s">
        <v>106</v>
      </c>
      <c r="AB1065" t="s">
        <v>715</v>
      </c>
    </row>
    <row r="1066" spans="1:28" x14ac:dyDescent="0.3">
      <c r="A1066" t="s">
        <v>1439</v>
      </c>
      <c r="B1066">
        <v>4</v>
      </c>
      <c r="C1066">
        <v>60</v>
      </c>
      <c r="D1066">
        <v>102</v>
      </c>
      <c r="E1066" t="s">
        <v>128</v>
      </c>
      <c r="F1066" s="12">
        <v>45509</v>
      </c>
      <c r="G1066" t="s">
        <v>1498</v>
      </c>
      <c r="H1066" s="12">
        <v>45509</v>
      </c>
      <c r="I1066" t="s">
        <v>1972</v>
      </c>
      <c r="J1066" t="s">
        <v>458</v>
      </c>
      <c r="K1066">
        <v>2</v>
      </c>
      <c r="L1066">
        <v>54.6</v>
      </c>
      <c r="P1066" t="s">
        <v>106</v>
      </c>
      <c r="Q1066" t="s">
        <v>106</v>
      </c>
      <c r="R1066" t="s">
        <v>106</v>
      </c>
      <c r="S1066" t="s">
        <v>106</v>
      </c>
      <c r="T1066" t="s">
        <v>1393</v>
      </c>
      <c r="U1066" t="s">
        <v>1699</v>
      </c>
      <c r="V1066" t="s">
        <v>106</v>
      </c>
      <c r="W1066" t="s">
        <v>373</v>
      </c>
      <c r="X1066" t="s">
        <v>106</v>
      </c>
      <c r="Y1066" t="s">
        <v>108</v>
      </c>
      <c r="Z1066" t="s">
        <v>104</v>
      </c>
      <c r="AA1066" t="s">
        <v>106</v>
      </c>
      <c r="AB1066" t="s">
        <v>106</v>
      </c>
    </row>
    <row r="1067" spans="1:28" x14ac:dyDescent="0.3">
      <c r="A1067" t="s">
        <v>1439</v>
      </c>
      <c r="B1067">
        <v>4</v>
      </c>
      <c r="C1067">
        <v>60</v>
      </c>
      <c r="D1067">
        <v>103</v>
      </c>
      <c r="E1067" t="s">
        <v>128</v>
      </c>
      <c r="F1067" s="12">
        <v>45509</v>
      </c>
      <c r="G1067" t="s">
        <v>1498</v>
      </c>
      <c r="H1067" s="12">
        <v>45509</v>
      </c>
      <c r="I1067" t="s">
        <v>1972</v>
      </c>
      <c r="J1067" t="s">
        <v>458</v>
      </c>
      <c r="K1067">
        <v>2</v>
      </c>
      <c r="L1067">
        <v>58.9</v>
      </c>
      <c r="P1067" t="s">
        <v>106</v>
      </c>
      <c r="Q1067" t="s">
        <v>106</v>
      </c>
      <c r="R1067" t="s">
        <v>106</v>
      </c>
      <c r="S1067" t="s">
        <v>106</v>
      </c>
      <c r="T1067" t="s">
        <v>1947</v>
      </c>
      <c r="U1067" t="s">
        <v>2702</v>
      </c>
      <c r="V1067" t="s">
        <v>106</v>
      </c>
      <c r="W1067" t="s">
        <v>373</v>
      </c>
      <c r="X1067" t="s">
        <v>106</v>
      </c>
      <c r="Y1067" t="s">
        <v>108</v>
      </c>
      <c r="Z1067" t="s">
        <v>104</v>
      </c>
      <c r="AA1067" t="s">
        <v>106</v>
      </c>
      <c r="AB1067" t="s">
        <v>106</v>
      </c>
    </row>
    <row r="1068" spans="1:28" x14ac:dyDescent="0.3">
      <c r="A1068" t="s">
        <v>1439</v>
      </c>
      <c r="B1068">
        <v>4</v>
      </c>
      <c r="C1068">
        <v>60</v>
      </c>
      <c r="D1068">
        <v>85</v>
      </c>
      <c r="E1068" t="s">
        <v>128</v>
      </c>
      <c r="F1068" s="12">
        <v>45509</v>
      </c>
      <c r="G1068" t="s">
        <v>2067</v>
      </c>
      <c r="H1068" s="12">
        <v>45509</v>
      </c>
      <c r="I1068" t="s">
        <v>322</v>
      </c>
      <c r="J1068" t="s">
        <v>458</v>
      </c>
      <c r="K1068">
        <v>2</v>
      </c>
      <c r="L1068">
        <v>59.2</v>
      </c>
      <c r="P1068" t="s">
        <v>106</v>
      </c>
      <c r="Q1068" t="s">
        <v>106</v>
      </c>
      <c r="R1068" t="s">
        <v>106</v>
      </c>
      <c r="S1068" t="s">
        <v>1451</v>
      </c>
      <c r="T1068" t="s">
        <v>609</v>
      </c>
      <c r="U1068" t="s">
        <v>1776</v>
      </c>
      <c r="V1068" t="s">
        <v>106</v>
      </c>
      <c r="W1068" t="s">
        <v>373</v>
      </c>
      <c r="X1068" t="s">
        <v>106</v>
      </c>
      <c r="Y1068" t="s">
        <v>108</v>
      </c>
      <c r="Z1068" t="s">
        <v>104</v>
      </c>
      <c r="AA1068" t="s">
        <v>1954</v>
      </c>
      <c r="AB1068" t="s">
        <v>106</v>
      </c>
    </row>
    <row r="1069" spans="1:28" x14ac:dyDescent="0.3">
      <c r="A1069" t="s">
        <v>1439</v>
      </c>
      <c r="B1069">
        <v>4</v>
      </c>
      <c r="C1069">
        <v>60</v>
      </c>
      <c r="D1069">
        <v>70</v>
      </c>
      <c r="E1069" t="s">
        <v>128</v>
      </c>
      <c r="F1069" s="12">
        <v>45509</v>
      </c>
      <c r="G1069" t="s">
        <v>488</v>
      </c>
      <c r="H1069" s="12">
        <v>45509</v>
      </c>
      <c r="I1069" t="s">
        <v>409</v>
      </c>
      <c r="J1069" t="s">
        <v>1363</v>
      </c>
      <c r="K1069">
        <v>2</v>
      </c>
      <c r="L1069">
        <v>55.6</v>
      </c>
      <c r="P1069" t="s">
        <v>106</v>
      </c>
      <c r="Q1069" t="s">
        <v>106</v>
      </c>
      <c r="R1069" t="s">
        <v>106</v>
      </c>
      <c r="S1069" t="s">
        <v>2596</v>
      </c>
      <c r="T1069" t="s">
        <v>1449</v>
      </c>
      <c r="U1069" t="s">
        <v>700</v>
      </c>
      <c r="V1069" t="s">
        <v>106</v>
      </c>
      <c r="W1069" t="s">
        <v>443</v>
      </c>
      <c r="X1069" t="s">
        <v>106</v>
      </c>
      <c r="Y1069" t="s">
        <v>108</v>
      </c>
      <c r="Z1069" t="s">
        <v>108</v>
      </c>
      <c r="AA1069" t="s">
        <v>1954</v>
      </c>
      <c r="AB1069" t="s">
        <v>106</v>
      </c>
    </row>
    <row r="1070" spans="1:28" x14ac:dyDescent="0.3">
      <c r="A1070" t="s">
        <v>1439</v>
      </c>
      <c r="B1070">
        <v>2</v>
      </c>
      <c r="C1070">
        <v>15</v>
      </c>
      <c r="D1070">
        <v>105</v>
      </c>
      <c r="E1070" t="s">
        <v>128</v>
      </c>
      <c r="F1070" s="12">
        <v>45510</v>
      </c>
      <c r="G1070" t="s">
        <v>1986</v>
      </c>
      <c r="H1070" s="12">
        <v>45510</v>
      </c>
      <c r="I1070" t="s">
        <v>1663</v>
      </c>
      <c r="J1070" t="s">
        <v>1363</v>
      </c>
      <c r="K1070">
        <v>2</v>
      </c>
      <c r="L1070">
        <v>14.3</v>
      </c>
      <c r="P1070" t="s">
        <v>106</v>
      </c>
      <c r="Q1070" t="s">
        <v>106</v>
      </c>
      <c r="R1070" t="s">
        <v>106</v>
      </c>
      <c r="S1070" t="s">
        <v>106</v>
      </c>
      <c r="T1070" t="s">
        <v>1476</v>
      </c>
      <c r="U1070" t="s">
        <v>1483</v>
      </c>
      <c r="V1070" t="s">
        <v>106</v>
      </c>
      <c r="W1070" t="s">
        <v>443</v>
      </c>
      <c r="X1070" t="s">
        <v>106</v>
      </c>
      <c r="Y1070" t="s">
        <v>108</v>
      </c>
      <c r="Z1070" t="s">
        <v>109</v>
      </c>
      <c r="AA1070" t="s">
        <v>1450</v>
      </c>
      <c r="AB1070" t="s">
        <v>1987</v>
      </c>
    </row>
    <row r="1071" spans="1:28" x14ac:dyDescent="0.3">
      <c r="A1071" t="s">
        <v>1439</v>
      </c>
      <c r="B1071">
        <v>2</v>
      </c>
      <c r="C1071">
        <v>15</v>
      </c>
      <c r="D1071">
        <v>104</v>
      </c>
      <c r="E1071" t="s">
        <v>128</v>
      </c>
      <c r="F1071" s="12">
        <v>45510</v>
      </c>
      <c r="G1071" t="s">
        <v>1986</v>
      </c>
      <c r="H1071" s="12">
        <v>45510</v>
      </c>
      <c r="I1071" t="s">
        <v>1663</v>
      </c>
      <c r="J1071" t="s">
        <v>1363</v>
      </c>
      <c r="K1071">
        <v>2</v>
      </c>
      <c r="L1071">
        <v>13.6</v>
      </c>
      <c r="P1071" t="s">
        <v>106</v>
      </c>
      <c r="Q1071" t="s">
        <v>106</v>
      </c>
      <c r="R1071" t="s">
        <v>106</v>
      </c>
      <c r="S1071" t="s">
        <v>1988</v>
      </c>
      <c r="T1071" t="s">
        <v>1049</v>
      </c>
      <c r="U1071" t="s">
        <v>1626</v>
      </c>
      <c r="V1071" t="s">
        <v>106</v>
      </c>
      <c r="W1071" t="s">
        <v>443</v>
      </c>
      <c r="X1071" t="s">
        <v>106</v>
      </c>
      <c r="Y1071" t="s">
        <v>108</v>
      </c>
      <c r="Z1071" t="s">
        <v>109</v>
      </c>
      <c r="AA1071" t="s">
        <v>1450</v>
      </c>
      <c r="AB1071" t="s">
        <v>1989</v>
      </c>
    </row>
    <row r="1072" spans="1:28" x14ac:dyDescent="0.3">
      <c r="A1072" t="s">
        <v>1439</v>
      </c>
      <c r="B1072">
        <v>3</v>
      </c>
      <c r="C1072">
        <v>35</v>
      </c>
      <c r="D1072">
        <v>108</v>
      </c>
      <c r="E1072" t="s">
        <v>128</v>
      </c>
      <c r="F1072" s="12">
        <v>45510</v>
      </c>
      <c r="G1072" t="s">
        <v>2294</v>
      </c>
      <c r="H1072" s="12">
        <v>45510</v>
      </c>
      <c r="I1072" t="s">
        <v>1663</v>
      </c>
      <c r="J1072" t="s">
        <v>1363</v>
      </c>
      <c r="K1072">
        <v>2</v>
      </c>
      <c r="L1072">
        <v>36.6</v>
      </c>
      <c r="P1072" t="s">
        <v>106</v>
      </c>
      <c r="Q1072" t="s">
        <v>106</v>
      </c>
      <c r="R1072" t="s">
        <v>106</v>
      </c>
      <c r="S1072" t="s">
        <v>1579</v>
      </c>
      <c r="T1072" t="s">
        <v>1386</v>
      </c>
      <c r="U1072" t="s">
        <v>1353</v>
      </c>
      <c r="V1072" t="s">
        <v>106</v>
      </c>
      <c r="W1072" t="s">
        <v>443</v>
      </c>
      <c r="X1072" t="s">
        <v>106</v>
      </c>
      <c r="Y1072" t="s">
        <v>108</v>
      </c>
      <c r="Z1072" t="s">
        <v>104</v>
      </c>
      <c r="AA1072" t="s">
        <v>1450</v>
      </c>
      <c r="AB1072" t="s">
        <v>106</v>
      </c>
    </row>
    <row r="1073" spans="1:28" x14ac:dyDescent="0.3">
      <c r="A1073" t="s">
        <v>1439</v>
      </c>
      <c r="B1073">
        <v>3</v>
      </c>
      <c r="C1073">
        <v>35</v>
      </c>
      <c r="D1073">
        <v>109</v>
      </c>
      <c r="E1073" t="s">
        <v>128</v>
      </c>
      <c r="F1073" s="12">
        <v>45510</v>
      </c>
      <c r="G1073" t="s">
        <v>2452</v>
      </c>
      <c r="H1073" s="12">
        <v>45510</v>
      </c>
      <c r="I1073" t="s">
        <v>1663</v>
      </c>
      <c r="J1073" t="s">
        <v>1363</v>
      </c>
      <c r="K1073">
        <v>2</v>
      </c>
      <c r="L1073">
        <v>32.5</v>
      </c>
      <c r="P1073" t="s">
        <v>106</v>
      </c>
      <c r="Q1073" t="s">
        <v>106</v>
      </c>
      <c r="R1073" t="s">
        <v>106</v>
      </c>
      <c r="S1073" t="s">
        <v>106</v>
      </c>
      <c r="T1073" t="s">
        <v>1796</v>
      </c>
      <c r="U1073" t="s">
        <v>1631</v>
      </c>
      <c r="V1073" t="s">
        <v>106</v>
      </c>
      <c r="W1073" t="s">
        <v>443</v>
      </c>
      <c r="X1073" t="s">
        <v>106</v>
      </c>
      <c r="Y1073" t="s">
        <v>108</v>
      </c>
      <c r="Z1073" t="s">
        <v>104</v>
      </c>
      <c r="AA1073" t="s">
        <v>1450</v>
      </c>
      <c r="AB1073" t="s">
        <v>106</v>
      </c>
    </row>
    <row r="1074" spans="1:28" x14ac:dyDescent="0.3">
      <c r="A1074" t="s">
        <v>1439</v>
      </c>
      <c r="B1074">
        <v>4</v>
      </c>
      <c r="C1074">
        <v>60</v>
      </c>
      <c r="D1074">
        <v>107</v>
      </c>
      <c r="E1074" t="s">
        <v>128</v>
      </c>
      <c r="F1074" s="12">
        <v>45510</v>
      </c>
      <c r="G1074" t="s">
        <v>1189</v>
      </c>
      <c r="H1074" s="12">
        <v>45510</v>
      </c>
      <c r="I1074" t="s">
        <v>1663</v>
      </c>
      <c r="J1074" t="s">
        <v>1363</v>
      </c>
      <c r="K1074">
        <v>2</v>
      </c>
      <c r="L1074">
        <v>55.5</v>
      </c>
      <c r="P1074" t="s">
        <v>106</v>
      </c>
      <c r="Q1074" t="s">
        <v>106</v>
      </c>
      <c r="R1074" t="s">
        <v>106</v>
      </c>
      <c r="S1074" t="s">
        <v>106</v>
      </c>
      <c r="T1074" t="s">
        <v>2460</v>
      </c>
      <c r="U1074" t="s">
        <v>1590</v>
      </c>
      <c r="V1074" t="s">
        <v>106</v>
      </c>
      <c r="W1074" t="s">
        <v>443</v>
      </c>
      <c r="X1074" t="s">
        <v>106</v>
      </c>
      <c r="Y1074" t="s">
        <v>108</v>
      </c>
      <c r="Z1074" t="s">
        <v>104</v>
      </c>
      <c r="AA1074" t="s">
        <v>1450</v>
      </c>
      <c r="AB1074" t="s">
        <v>2703</v>
      </c>
    </row>
    <row r="1075" spans="1:28" x14ac:dyDescent="0.3">
      <c r="A1075" t="s">
        <v>1439</v>
      </c>
      <c r="B1075">
        <v>4</v>
      </c>
      <c r="C1075">
        <v>60</v>
      </c>
      <c r="D1075">
        <v>106</v>
      </c>
      <c r="E1075" t="s">
        <v>128</v>
      </c>
      <c r="F1075" s="12">
        <v>45510</v>
      </c>
      <c r="G1075" t="s">
        <v>1186</v>
      </c>
      <c r="H1075" s="12">
        <v>45510</v>
      </c>
      <c r="I1075" t="s">
        <v>1663</v>
      </c>
      <c r="J1075" t="s">
        <v>1363</v>
      </c>
      <c r="K1075">
        <v>2</v>
      </c>
      <c r="L1075">
        <v>55.1</v>
      </c>
      <c r="P1075" t="s">
        <v>106</v>
      </c>
      <c r="Q1075" t="s">
        <v>106</v>
      </c>
      <c r="R1075" t="s">
        <v>106</v>
      </c>
      <c r="S1075" t="s">
        <v>980</v>
      </c>
      <c r="T1075" t="s">
        <v>756</v>
      </c>
      <c r="U1075" t="s">
        <v>1483</v>
      </c>
      <c r="V1075" t="s">
        <v>106</v>
      </c>
      <c r="W1075" t="s">
        <v>443</v>
      </c>
      <c r="X1075" t="s">
        <v>106</v>
      </c>
      <c r="Y1075" t="s">
        <v>108</v>
      </c>
      <c r="Z1075" t="s">
        <v>104</v>
      </c>
      <c r="AA1075" t="s">
        <v>1450</v>
      </c>
      <c r="AB1075" t="s">
        <v>2704</v>
      </c>
    </row>
    <row r="1076" spans="1:28" x14ac:dyDescent="0.3">
      <c r="A1076" t="s">
        <v>1440</v>
      </c>
      <c r="B1076">
        <v>1</v>
      </c>
      <c r="C1076">
        <v>0</v>
      </c>
      <c r="D1076">
        <v>31</v>
      </c>
      <c r="E1076" t="s">
        <v>128</v>
      </c>
      <c r="F1076" s="12">
        <v>45511</v>
      </c>
      <c r="G1076" t="s">
        <v>590</v>
      </c>
      <c r="H1076" s="12">
        <v>45511</v>
      </c>
      <c r="I1076" t="s">
        <v>1103</v>
      </c>
      <c r="J1076" t="s">
        <v>1363</v>
      </c>
      <c r="K1076">
        <v>2</v>
      </c>
      <c r="L1076">
        <v>0</v>
      </c>
      <c r="P1076" t="s">
        <v>106</v>
      </c>
      <c r="Q1076" t="s">
        <v>106</v>
      </c>
      <c r="R1076" t="s">
        <v>106</v>
      </c>
      <c r="S1076" t="s">
        <v>106</v>
      </c>
      <c r="T1076" t="s">
        <v>776</v>
      </c>
      <c r="U1076" t="s">
        <v>1415</v>
      </c>
      <c r="V1076" t="s">
        <v>106</v>
      </c>
      <c r="W1076" t="s">
        <v>443</v>
      </c>
      <c r="X1076" t="s">
        <v>106</v>
      </c>
      <c r="Y1076" t="s">
        <v>108</v>
      </c>
      <c r="Z1076" t="s">
        <v>104</v>
      </c>
      <c r="AA1076" t="s">
        <v>1450</v>
      </c>
      <c r="AB1076" t="s">
        <v>106</v>
      </c>
    </row>
    <row r="1077" spans="1:28" x14ac:dyDescent="0.3">
      <c r="A1077" t="s">
        <v>1440</v>
      </c>
      <c r="B1077">
        <v>1</v>
      </c>
      <c r="C1077">
        <v>0</v>
      </c>
      <c r="D1077">
        <v>30</v>
      </c>
      <c r="E1077" t="s">
        <v>128</v>
      </c>
      <c r="F1077" s="12">
        <v>45511</v>
      </c>
      <c r="G1077" t="s">
        <v>590</v>
      </c>
      <c r="H1077" s="12">
        <v>45511</v>
      </c>
      <c r="I1077" t="s">
        <v>1103</v>
      </c>
      <c r="J1077" t="s">
        <v>1363</v>
      </c>
      <c r="K1077">
        <v>2</v>
      </c>
      <c r="L1077">
        <v>0</v>
      </c>
      <c r="P1077" t="s">
        <v>106</v>
      </c>
      <c r="Q1077" t="s">
        <v>106</v>
      </c>
      <c r="R1077" t="s">
        <v>106</v>
      </c>
      <c r="S1077" t="s">
        <v>1451</v>
      </c>
      <c r="T1077" t="s">
        <v>1425</v>
      </c>
      <c r="U1077" t="s">
        <v>1410</v>
      </c>
      <c r="V1077" t="s">
        <v>106</v>
      </c>
      <c r="W1077" t="s">
        <v>443</v>
      </c>
      <c r="X1077" t="s">
        <v>106</v>
      </c>
      <c r="Y1077" t="s">
        <v>108</v>
      </c>
      <c r="Z1077" t="s">
        <v>104</v>
      </c>
      <c r="AA1077" t="s">
        <v>1450</v>
      </c>
      <c r="AB1077" t="s">
        <v>106</v>
      </c>
    </row>
    <row r="1078" spans="1:28" x14ac:dyDescent="0.3">
      <c r="A1078" t="s">
        <v>1440</v>
      </c>
      <c r="B1078">
        <v>2</v>
      </c>
      <c r="C1078">
        <v>15</v>
      </c>
      <c r="D1078">
        <v>33</v>
      </c>
      <c r="E1078" t="s">
        <v>128</v>
      </c>
      <c r="F1078" s="12">
        <v>45511</v>
      </c>
      <c r="G1078" t="s">
        <v>784</v>
      </c>
      <c r="H1078" s="12">
        <v>45511</v>
      </c>
      <c r="I1078" t="s">
        <v>321</v>
      </c>
      <c r="J1078" t="s">
        <v>458</v>
      </c>
      <c r="K1078">
        <v>2</v>
      </c>
      <c r="L1078">
        <v>14.2</v>
      </c>
      <c r="P1078" t="s">
        <v>106</v>
      </c>
      <c r="Q1078" t="s">
        <v>106</v>
      </c>
      <c r="R1078" t="s">
        <v>106</v>
      </c>
      <c r="S1078" t="s">
        <v>106</v>
      </c>
      <c r="T1078" t="s">
        <v>1000</v>
      </c>
      <c r="U1078" t="s">
        <v>1411</v>
      </c>
      <c r="V1078" t="s">
        <v>106</v>
      </c>
      <c r="W1078" t="s">
        <v>373</v>
      </c>
      <c r="X1078" t="s">
        <v>106</v>
      </c>
      <c r="Y1078" t="s">
        <v>108</v>
      </c>
      <c r="Z1078" t="s">
        <v>109</v>
      </c>
      <c r="AA1078" t="s">
        <v>1990</v>
      </c>
      <c r="AB1078" t="s">
        <v>1991</v>
      </c>
    </row>
    <row r="1079" spans="1:28" x14ac:dyDescent="0.3">
      <c r="A1079" t="s">
        <v>1440</v>
      </c>
      <c r="B1079">
        <v>2</v>
      </c>
      <c r="C1079">
        <v>15</v>
      </c>
      <c r="D1079">
        <v>15</v>
      </c>
      <c r="E1079" t="s">
        <v>128</v>
      </c>
      <c r="F1079" s="12">
        <v>45511</v>
      </c>
      <c r="G1079" t="s">
        <v>591</v>
      </c>
      <c r="H1079" s="12">
        <v>45511</v>
      </c>
      <c r="I1079" t="s">
        <v>1992</v>
      </c>
      <c r="J1079" t="s">
        <v>1363</v>
      </c>
      <c r="K1079">
        <v>2</v>
      </c>
      <c r="L1079">
        <v>14.9</v>
      </c>
      <c r="P1079" t="s">
        <v>106</v>
      </c>
      <c r="Q1079" t="s">
        <v>106</v>
      </c>
      <c r="R1079" t="s">
        <v>106</v>
      </c>
      <c r="S1079" t="s">
        <v>1220</v>
      </c>
      <c r="T1079" t="s">
        <v>1796</v>
      </c>
      <c r="U1079" t="s">
        <v>1477</v>
      </c>
      <c r="V1079" t="s">
        <v>106</v>
      </c>
      <c r="W1079" t="s">
        <v>443</v>
      </c>
      <c r="X1079" t="s">
        <v>106</v>
      </c>
      <c r="Y1079" t="s">
        <v>108</v>
      </c>
      <c r="Z1079" t="s">
        <v>108</v>
      </c>
      <c r="AA1079" t="s">
        <v>1450</v>
      </c>
      <c r="AB1079" t="s">
        <v>106</v>
      </c>
    </row>
    <row r="1080" spans="1:28" x14ac:dyDescent="0.3">
      <c r="A1080" t="s">
        <v>1440</v>
      </c>
      <c r="B1080">
        <v>2</v>
      </c>
      <c r="C1080">
        <v>15</v>
      </c>
      <c r="D1080">
        <v>38</v>
      </c>
      <c r="E1080" t="s">
        <v>128</v>
      </c>
      <c r="F1080" s="12">
        <v>45511</v>
      </c>
      <c r="G1080" t="s">
        <v>1993</v>
      </c>
      <c r="H1080" s="12">
        <v>45511</v>
      </c>
      <c r="I1080" t="s">
        <v>1994</v>
      </c>
      <c r="J1080" t="s">
        <v>458</v>
      </c>
      <c r="K1080">
        <v>2</v>
      </c>
      <c r="L1080">
        <v>13.1</v>
      </c>
      <c r="P1080" t="s">
        <v>106</v>
      </c>
      <c r="Q1080" t="s">
        <v>106</v>
      </c>
      <c r="R1080" t="s">
        <v>106</v>
      </c>
      <c r="S1080" t="s">
        <v>106</v>
      </c>
      <c r="T1080" t="s">
        <v>1995</v>
      </c>
      <c r="U1080" t="s">
        <v>1590</v>
      </c>
      <c r="V1080" t="s">
        <v>106</v>
      </c>
      <c r="W1080" t="s">
        <v>373</v>
      </c>
      <c r="X1080" t="s">
        <v>106</v>
      </c>
      <c r="Y1080" t="s">
        <v>108</v>
      </c>
      <c r="Z1080" t="s">
        <v>109</v>
      </c>
      <c r="AA1080" t="s">
        <v>1990</v>
      </c>
      <c r="AB1080" t="s">
        <v>715</v>
      </c>
    </row>
    <row r="1081" spans="1:28" x14ac:dyDescent="0.3">
      <c r="A1081" t="s">
        <v>1440</v>
      </c>
      <c r="B1081">
        <v>2</v>
      </c>
      <c r="C1081">
        <v>15</v>
      </c>
      <c r="D1081">
        <v>39</v>
      </c>
      <c r="E1081" t="s">
        <v>128</v>
      </c>
      <c r="F1081" s="12">
        <v>45511</v>
      </c>
      <c r="G1081" t="s">
        <v>1993</v>
      </c>
      <c r="H1081" s="12">
        <v>45511</v>
      </c>
      <c r="I1081" t="s">
        <v>1994</v>
      </c>
      <c r="J1081" t="s">
        <v>458</v>
      </c>
      <c r="K1081">
        <v>2</v>
      </c>
      <c r="L1081">
        <v>13.8</v>
      </c>
      <c r="P1081" t="s">
        <v>106</v>
      </c>
      <c r="Q1081" t="s">
        <v>106</v>
      </c>
      <c r="R1081" t="s">
        <v>106</v>
      </c>
      <c r="S1081" t="s">
        <v>106</v>
      </c>
      <c r="T1081" t="s">
        <v>1158</v>
      </c>
      <c r="U1081" t="s">
        <v>1631</v>
      </c>
      <c r="V1081" t="s">
        <v>106</v>
      </c>
      <c r="W1081" t="s">
        <v>373</v>
      </c>
      <c r="X1081" t="s">
        <v>106</v>
      </c>
      <c r="Y1081" t="s">
        <v>108</v>
      </c>
      <c r="Z1081" t="s">
        <v>109</v>
      </c>
      <c r="AA1081" t="s">
        <v>1990</v>
      </c>
      <c r="AB1081" t="s">
        <v>1904</v>
      </c>
    </row>
    <row r="1082" spans="1:28" x14ac:dyDescent="0.3">
      <c r="A1082" t="s">
        <v>1440</v>
      </c>
      <c r="B1082">
        <v>2</v>
      </c>
      <c r="C1082">
        <v>15</v>
      </c>
      <c r="D1082">
        <v>32</v>
      </c>
      <c r="E1082" t="s">
        <v>128</v>
      </c>
      <c r="F1082" s="12">
        <v>45511</v>
      </c>
      <c r="G1082" t="s">
        <v>537</v>
      </c>
      <c r="H1082" s="12">
        <v>45511</v>
      </c>
      <c r="I1082" t="s">
        <v>321</v>
      </c>
      <c r="J1082" t="s">
        <v>458</v>
      </c>
      <c r="K1082">
        <v>2</v>
      </c>
      <c r="L1082">
        <v>13.2</v>
      </c>
      <c r="P1082" t="s">
        <v>106</v>
      </c>
      <c r="Q1082" t="s">
        <v>106</v>
      </c>
      <c r="R1082" t="s">
        <v>106</v>
      </c>
      <c r="S1082" t="s">
        <v>106</v>
      </c>
      <c r="T1082" t="s">
        <v>1982</v>
      </c>
      <c r="U1082" t="s">
        <v>1596</v>
      </c>
      <c r="V1082" t="s">
        <v>106</v>
      </c>
      <c r="W1082" t="s">
        <v>373</v>
      </c>
      <c r="X1082" t="s">
        <v>106</v>
      </c>
      <c r="Y1082" t="s">
        <v>108</v>
      </c>
      <c r="Z1082" t="s">
        <v>109</v>
      </c>
      <c r="AA1082" t="s">
        <v>1990</v>
      </c>
      <c r="AB1082" t="s">
        <v>715</v>
      </c>
    </row>
    <row r="1083" spans="1:28" x14ac:dyDescent="0.3">
      <c r="A1083" t="s">
        <v>1440</v>
      </c>
      <c r="B1083">
        <v>2</v>
      </c>
      <c r="C1083">
        <v>15</v>
      </c>
      <c r="D1083">
        <v>27</v>
      </c>
      <c r="E1083" t="s">
        <v>128</v>
      </c>
      <c r="F1083" s="12">
        <v>45511</v>
      </c>
      <c r="G1083" t="s">
        <v>1996</v>
      </c>
      <c r="H1083" s="12">
        <v>45511</v>
      </c>
      <c r="I1083" t="s">
        <v>1103</v>
      </c>
      <c r="J1083" t="s">
        <v>1363</v>
      </c>
      <c r="K1083">
        <v>2</v>
      </c>
      <c r="L1083">
        <v>14.1</v>
      </c>
      <c r="P1083" t="s">
        <v>106</v>
      </c>
      <c r="Q1083" t="s">
        <v>106</v>
      </c>
      <c r="R1083" t="s">
        <v>106</v>
      </c>
      <c r="S1083" t="s">
        <v>106</v>
      </c>
      <c r="T1083" t="s">
        <v>1793</v>
      </c>
      <c r="U1083" t="s">
        <v>429</v>
      </c>
      <c r="V1083" t="s">
        <v>106</v>
      </c>
      <c r="W1083" t="s">
        <v>443</v>
      </c>
      <c r="X1083" t="s">
        <v>106</v>
      </c>
      <c r="Y1083" t="s">
        <v>108</v>
      </c>
      <c r="Z1083" t="s">
        <v>109</v>
      </c>
      <c r="AA1083" t="s">
        <v>1450</v>
      </c>
      <c r="AB1083" t="s">
        <v>1997</v>
      </c>
    </row>
    <row r="1084" spans="1:28" x14ac:dyDescent="0.3">
      <c r="A1084" t="s">
        <v>1440</v>
      </c>
      <c r="B1084">
        <v>2</v>
      </c>
      <c r="C1084">
        <v>15</v>
      </c>
      <c r="D1084">
        <v>45</v>
      </c>
      <c r="E1084" t="s">
        <v>128</v>
      </c>
      <c r="F1084" s="12">
        <v>45511</v>
      </c>
      <c r="G1084" t="s">
        <v>1593</v>
      </c>
      <c r="H1084" s="12">
        <v>45511</v>
      </c>
      <c r="I1084" t="s">
        <v>1998</v>
      </c>
      <c r="J1084" t="s">
        <v>458</v>
      </c>
      <c r="K1084">
        <v>2</v>
      </c>
      <c r="L1084">
        <v>12.5</v>
      </c>
      <c r="P1084" t="s">
        <v>106</v>
      </c>
      <c r="Q1084" t="s">
        <v>106</v>
      </c>
      <c r="R1084" t="s">
        <v>106</v>
      </c>
      <c r="S1084" t="s">
        <v>106</v>
      </c>
      <c r="T1084" t="s">
        <v>1409</v>
      </c>
      <c r="U1084" t="s">
        <v>1418</v>
      </c>
      <c r="V1084" t="s">
        <v>106</v>
      </c>
      <c r="W1084" t="s">
        <v>373</v>
      </c>
      <c r="X1084" t="s">
        <v>106</v>
      </c>
      <c r="Y1084" t="s">
        <v>108</v>
      </c>
      <c r="Z1084" t="s">
        <v>109</v>
      </c>
      <c r="AA1084" t="s">
        <v>1450</v>
      </c>
      <c r="AB1084" t="s">
        <v>1999</v>
      </c>
    </row>
    <row r="1085" spans="1:28" x14ac:dyDescent="0.3">
      <c r="A1085" t="s">
        <v>1440</v>
      </c>
      <c r="B1085">
        <v>2</v>
      </c>
      <c r="C1085">
        <v>15</v>
      </c>
      <c r="D1085">
        <v>26</v>
      </c>
      <c r="E1085" t="s">
        <v>128</v>
      </c>
      <c r="F1085" s="12">
        <v>45511</v>
      </c>
      <c r="G1085" t="s">
        <v>1433</v>
      </c>
      <c r="H1085" s="12">
        <v>45511</v>
      </c>
      <c r="I1085" t="s">
        <v>1103</v>
      </c>
      <c r="J1085" t="s">
        <v>1363</v>
      </c>
      <c r="K1085">
        <v>2</v>
      </c>
      <c r="L1085">
        <v>14.5</v>
      </c>
      <c r="P1085" t="s">
        <v>106</v>
      </c>
      <c r="Q1085" t="s">
        <v>106</v>
      </c>
      <c r="R1085" t="s">
        <v>106</v>
      </c>
      <c r="S1085" t="s">
        <v>2000</v>
      </c>
      <c r="T1085" t="s">
        <v>989</v>
      </c>
      <c r="U1085" t="s">
        <v>1411</v>
      </c>
      <c r="V1085" t="s">
        <v>106</v>
      </c>
      <c r="W1085" t="s">
        <v>443</v>
      </c>
      <c r="X1085" t="s">
        <v>106</v>
      </c>
      <c r="Y1085" t="s">
        <v>108</v>
      </c>
      <c r="Z1085" t="s">
        <v>109</v>
      </c>
      <c r="AA1085" t="s">
        <v>1450</v>
      </c>
      <c r="AB1085" t="s">
        <v>2001</v>
      </c>
    </row>
    <row r="1086" spans="1:28" x14ac:dyDescent="0.3">
      <c r="A1086" t="s">
        <v>1440</v>
      </c>
      <c r="B1086">
        <v>2</v>
      </c>
      <c r="C1086">
        <v>15</v>
      </c>
      <c r="D1086">
        <v>21</v>
      </c>
      <c r="E1086" t="s">
        <v>128</v>
      </c>
      <c r="F1086" s="12">
        <v>45511</v>
      </c>
      <c r="G1086" t="s">
        <v>468</v>
      </c>
      <c r="H1086" s="12">
        <v>45511</v>
      </c>
      <c r="I1086" t="s">
        <v>503</v>
      </c>
      <c r="J1086" t="s">
        <v>1363</v>
      </c>
      <c r="K1086">
        <v>2</v>
      </c>
      <c r="L1086">
        <v>15</v>
      </c>
      <c r="P1086" t="s">
        <v>106</v>
      </c>
      <c r="Q1086" t="s">
        <v>106</v>
      </c>
      <c r="R1086" t="s">
        <v>106</v>
      </c>
      <c r="S1086" t="s">
        <v>106</v>
      </c>
      <c r="T1086" t="s">
        <v>1959</v>
      </c>
      <c r="U1086" t="s">
        <v>708</v>
      </c>
      <c r="V1086" t="s">
        <v>106</v>
      </c>
      <c r="W1086" t="s">
        <v>443</v>
      </c>
      <c r="X1086" t="s">
        <v>106</v>
      </c>
      <c r="Y1086" t="s">
        <v>108</v>
      </c>
      <c r="Z1086" t="s">
        <v>108</v>
      </c>
      <c r="AA1086" t="s">
        <v>1450</v>
      </c>
      <c r="AB1086" t="s">
        <v>2002</v>
      </c>
    </row>
    <row r="1087" spans="1:28" x14ac:dyDescent="0.3">
      <c r="A1087" t="s">
        <v>1440</v>
      </c>
      <c r="B1087">
        <v>2</v>
      </c>
      <c r="C1087">
        <v>15</v>
      </c>
      <c r="D1087">
        <v>14</v>
      </c>
      <c r="E1087" t="s">
        <v>128</v>
      </c>
      <c r="F1087" s="12">
        <v>45511</v>
      </c>
      <c r="G1087" t="s">
        <v>591</v>
      </c>
      <c r="H1087" s="12">
        <v>45511</v>
      </c>
      <c r="I1087" t="s">
        <v>1992</v>
      </c>
      <c r="J1087" t="s">
        <v>1363</v>
      </c>
      <c r="K1087">
        <v>2</v>
      </c>
      <c r="L1087">
        <v>14.4</v>
      </c>
      <c r="P1087" t="s">
        <v>106</v>
      </c>
      <c r="Q1087" t="s">
        <v>106</v>
      </c>
      <c r="R1087" t="s">
        <v>106</v>
      </c>
      <c r="S1087" t="s">
        <v>106</v>
      </c>
      <c r="T1087" t="s">
        <v>1049</v>
      </c>
      <c r="U1087" t="s">
        <v>1468</v>
      </c>
      <c r="V1087" t="s">
        <v>106</v>
      </c>
      <c r="W1087" t="s">
        <v>443</v>
      </c>
      <c r="X1087" t="s">
        <v>106</v>
      </c>
      <c r="Y1087" t="s">
        <v>108</v>
      </c>
      <c r="Z1087" t="s">
        <v>108</v>
      </c>
      <c r="AA1087" t="s">
        <v>1450</v>
      </c>
      <c r="AB1087" t="s">
        <v>106</v>
      </c>
    </row>
    <row r="1088" spans="1:28" x14ac:dyDescent="0.3">
      <c r="A1088" t="s">
        <v>1440</v>
      </c>
      <c r="B1088">
        <v>2</v>
      </c>
      <c r="C1088">
        <v>15</v>
      </c>
      <c r="D1088">
        <v>20</v>
      </c>
      <c r="E1088" t="s">
        <v>128</v>
      </c>
      <c r="F1088" s="12">
        <v>45511</v>
      </c>
      <c r="G1088" t="s">
        <v>468</v>
      </c>
      <c r="H1088" s="12">
        <v>45511</v>
      </c>
      <c r="I1088" t="s">
        <v>503</v>
      </c>
      <c r="J1088" t="s">
        <v>1363</v>
      </c>
      <c r="K1088">
        <v>2</v>
      </c>
      <c r="L1088">
        <v>15.2</v>
      </c>
      <c r="P1088" t="s">
        <v>106</v>
      </c>
      <c r="Q1088" t="s">
        <v>106</v>
      </c>
      <c r="R1088" t="s">
        <v>106</v>
      </c>
      <c r="S1088" t="s">
        <v>1451</v>
      </c>
      <c r="T1088" t="s">
        <v>1394</v>
      </c>
      <c r="U1088" t="s">
        <v>1615</v>
      </c>
      <c r="V1088" t="s">
        <v>106</v>
      </c>
      <c r="W1088" t="s">
        <v>443</v>
      </c>
      <c r="X1088" t="s">
        <v>106</v>
      </c>
      <c r="Y1088" t="s">
        <v>108</v>
      </c>
      <c r="Z1088" t="s">
        <v>108</v>
      </c>
      <c r="AA1088" t="s">
        <v>1450</v>
      </c>
      <c r="AB1088" t="s">
        <v>1858</v>
      </c>
    </row>
    <row r="1089" spans="1:28" x14ac:dyDescent="0.3">
      <c r="A1089" t="s">
        <v>1440</v>
      </c>
      <c r="B1089">
        <v>2</v>
      </c>
      <c r="C1089">
        <v>15</v>
      </c>
      <c r="D1089">
        <v>46</v>
      </c>
      <c r="E1089" t="s">
        <v>128</v>
      </c>
      <c r="F1089" s="12">
        <v>45511</v>
      </c>
      <c r="G1089" t="s">
        <v>1593</v>
      </c>
      <c r="H1089" s="12">
        <v>45511</v>
      </c>
      <c r="I1089" t="s">
        <v>1998</v>
      </c>
      <c r="J1089" t="s">
        <v>458</v>
      </c>
      <c r="K1089">
        <v>2</v>
      </c>
      <c r="L1089">
        <v>13.3</v>
      </c>
      <c r="P1089" t="s">
        <v>106</v>
      </c>
      <c r="Q1089" t="s">
        <v>106</v>
      </c>
      <c r="R1089" t="s">
        <v>106</v>
      </c>
      <c r="S1089" t="s">
        <v>106</v>
      </c>
      <c r="T1089" t="s">
        <v>1431</v>
      </c>
      <c r="U1089" t="s">
        <v>1596</v>
      </c>
      <c r="V1089" t="s">
        <v>106</v>
      </c>
      <c r="W1089" t="s">
        <v>373</v>
      </c>
      <c r="X1089" t="s">
        <v>106</v>
      </c>
      <c r="Y1089" t="s">
        <v>108</v>
      </c>
      <c r="Z1089" t="s">
        <v>109</v>
      </c>
      <c r="AA1089" t="s">
        <v>1450</v>
      </c>
      <c r="AB1089" t="s">
        <v>2003</v>
      </c>
    </row>
    <row r="1090" spans="1:28" x14ac:dyDescent="0.3">
      <c r="A1090" t="s">
        <v>1440</v>
      </c>
      <c r="B1090">
        <v>2</v>
      </c>
      <c r="C1090">
        <v>15</v>
      </c>
      <c r="D1090">
        <v>51</v>
      </c>
      <c r="E1090" t="s">
        <v>128</v>
      </c>
      <c r="F1090" s="12">
        <v>45511</v>
      </c>
      <c r="G1090" t="s">
        <v>2004</v>
      </c>
      <c r="H1090" s="12">
        <v>45511</v>
      </c>
      <c r="I1090" t="s">
        <v>1491</v>
      </c>
      <c r="J1090" t="s">
        <v>458</v>
      </c>
      <c r="K1090">
        <v>2</v>
      </c>
      <c r="L1090">
        <v>13.8</v>
      </c>
      <c r="P1090" t="s">
        <v>106</v>
      </c>
      <c r="Q1090" t="s">
        <v>106</v>
      </c>
      <c r="R1090" t="s">
        <v>106</v>
      </c>
      <c r="S1090" t="s">
        <v>106</v>
      </c>
      <c r="T1090" t="s">
        <v>1022</v>
      </c>
      <c r="U1090" t="s">
        <v>106</v>
      </c>
      <c r="V1090" t="s">
        <v>106</v>
      </c>
      <c r="W1090" t="s">
        <v>373</v>
      </c>
      <c r="X1090" t="s">
        <v>106</v>
      </c>
      <c r="Y1090" t="s">
        <v>108</v>
      </c>
      <c r="Z1090" t="s">
        <v>109</v>
      </c>
      <c r="AA1090" t="s">
        <v>1450</v>
      </c>
      <c r="AB1090" t="s">
        <v>106</v>
      </c>
    </row>
    <row r="1091" spans="1:28" x14ac:dyDescent="0.3">
      <c r="A1091" t="s">
        <v>1440</v>
      </c>
      <c r="B1091">
        <v>2</v>
      </c>
      <c r="C1091">
        <v>15</v>
      </c>
      <c r="D1091">
        <v>52</v>
      </c>
      <c r="E1091" t="s">
        <v>128</v>
      </c>
      <c r="F1091" s="12">
        <v>45511</v>
      </c>
      <c r="G1091" t="s">
        <v>1972</v>
      </c>
      <c r="H1091" s="12">
        <v>45511</v>
      </c>
      <c r="I1091" t="s">
        <v>1491</v>
      </c>
      <c r="J1091" t="s">
        <v>458</v>
      </c>
      <c r="K1091">
        <v>2</v>
      </c>
      <c r="L1091">
        <v>12.3</v>
      </c>
      <c r="P1091" t="s">
        <v>106</v>
      </c>
      <c r="Q1091" t="s">
        <v>106</v>
      </c>
      <c r="R1091" t="s">
        <v>106</v>
      </c>
      <c r="S1091" t="s">
        <v>106</v>
      </c>
      <c r="T1091" t="s">
        <v>993</v>
      </c>
      <c r="U1091" t="s">
        <v>106</v>
      </c>
      <c r="V1091" t="s">
        <v>106</v>
      </c>
      <c r="W1091" t="s">
        <v>373</v>
      </c>
      <c r="X1091" t="s">
        <v>106</v>
      </c>
      <c r="Y1091" t="s">
        <v>108</v>
      </c>
      <c r="Z1091" t="s">
        <v>109</v>
      </c>
      <c r="AA1091" t="s">
        <v>1450</v>
      </c>
      <c r="AB1091" t="s">
        <v>106</v>
      </c>
    </row>
    <row r="1092" spans="1:28" x14ac:dyDescent="0.3">
      <c r="A1092" t="s">
        <v>1440</v>
      </c>
      <c r="B1092">
        <v>3</v>
      </c>
      <c r="C1092">
        <v>35</v>
      </c>
      <c r="D1092">
        <v>19</v>
      </c>
      <c r="E1092" t="s">
        <v>128</v>
      </c>
      <c r="F1092" s="12">
        <v>45511</v>
      </c>
      <c r="G1092" t="s">
        <v>533</v>
      </c>
      <c r="H1092" s="12">
        <v>45511</v>
      </c>
      <c r="I1092" t="s">
        <v>503</v>
      </c>
      <c r="J1092" t="s">
        <v>1363</v>
      </c>
      <c r="K1092">
        <v>2</v>
      </c>
      <c r="L1092">
        <v>33.4</v>
      </c>
      <c r="P1092" t="s">
        <v>106</v>
      </c>
      <c r="Q1092" t="s">
        <v>106</v>
      </c>
      <c r="R1092" t="s">
        <v>106</v>
      </c>
      <c r="S1092" t="s">
        <v>106</v>
      </c>
      <c r="T1092" t="s">
        <v>1850</v>
      </c>
      <c r="U1092" t="s">
        <v>1410</v>
      </c>
      <c r="V1092" t="s">
        <v>106</v>
      </c>
      <c r="W1092" t="s">
        <v>443</v>
      </c>
      <c r="X1092" t="s">
        <v>106</v>
      </c>
      <c r="Y1092" t="s">
        <v>108</v>
      </c>
      <c r="Z1092" t="s">
        <v>108</v>
      </c>
      <c r="AA1092" t="s">
        <v>1990</v>
      </c>
      <c r="AB1092" t="s">
        <v>2453</v>
      </c>
    </row>
    <row r="1093" spans="1:28" x14ac:dyDescent="0.3">
      <c r="A1093" t="s">
        <v>1440</v>
      </c>
      <c r="B1093">
        <v>3</v>
      </c>
      <c r="C1093">
        <v>35</v>
      </c>
      <c r="D1093">
        <v>47</v>
      </c>
      <c r="E1093" t="s">
        <v>128</v>
      </c>
      <c r="F1093" s="12">
        <v>45511</v>
      </c>
      <c r="G1093" t="s">
        <v>1599</v>
      </c>
      <c r="H1093" s="12">
        <v>45511</v>
      </c>
      <c r="I1093" t="s">
        <v>1998</v>
      </c>
      <c r="J1093" t="s">
        <v>458</v>
      </c>
      <c r="K1093">
        <v>2</v>
      </c>
      <c r="L1093">
        <v>36.1</v>
      </c>
      <c r="P1093" t="s">
        <v>106</v>
      </c>
      <c r="Q1093" t="s">
        <v>106</v>
      </c>
      <c r="R1093" t="s">
        <v>106</v>
      </c>
      <c r="S1093" t="s">
        <v>106</v>
      </c>
      <c r="T1093" t="s">
        <v>782</v>
      </c>
      <c r="U1093" t="s">
        <v>1415</v>
      </c>
      <c r="V1093" t="s">
        <v>106</v>
      </c>
      <c r="W1093" t="s">
        <v>373</v>
      </c>
      <c r="X1093" t="s">
        <v>106</v>
      </c>
      <c r="Y1093" t="s">
        <v>108</v>
      </c>
      <c r="Z1093" t="s">
        <v>108</v>
      </c>
      <c r="AA1093" t="s">
        <v>1450</v>
      </c>
      <c r="AB1093" t="s">
        <v>2454</v>
      </c>
    </row>
    <row r="1094" spans="1:28" x14ac:dyDescent="0.3">
      <c r="A1094" t="s">
        <v>1440</v>
      </c>
      <c r="B1094">
        <v>3</v>
      </c>
      <c r="C1094">
        <v>35</v>
      </c>
      <c r="D1094">
        <v>41</v>
      </c>
      <c r="E1094" t="s">
        <v>128</v>
      </c>
      <c r="F1094" s="12">
        <v>45511</v>
      </c>
      <c r="G1094" t="s">
        <v>1370</v>
      </c>
      <c r="H1094" s="12">
        <v>45511</v>
      </c>
      <c r="I1094" t="s">
        <v>1994</v>
      </c>
      <c r="J1094" t="s">
        <v>458</v>
      </c>
      <c r="K1094">
        <v>2</v>
      </c>
      <c r="L1094">
        <v>33.700000000000003</v>
      </c>
      <c r="P1094" t="s">
        <v>106</v>
      </c>
      <c r="Q1094" t="s">
        <v>106</v>
      </c>
      <c r="R1094" t="s">
        <v>106</v>
      </c>
      <c r="S1094" t="s">
        <v>106</v>
      </c>
      <c r="T1094" t="s">
        <v>774</v>
      </c>
      <c r="U1094" t="s">
        <v>905</v>
      </c>
      <c r="V1094" t="s">
        <v>106</v>
      </c>
      <c r="W1094" t="s">
        <v>373</v>
      </c>
      <c r="X1094" t="s">
        <v>106</v>
      </c>
      <c r="Y1094" t="s">
        <v>108</v>
      </c>
      <c r="Z1094" t="s">
        <v>108</v>
      </c>
      <c r="AA1094" t="s">
        <v>1990</v>
      </c>
      <c r="AB1094" t="s">
        <v>2455</v>
      </c>
    </row>
    <row r="1095" spans="1:28" x14ac:dyDescent="0.3">
      <c r="A1095" t="s">
        <v>1440</v>
      </c>
      <c r="B1095">
        <v>3</v>
      </c>
      <c r="C1095">
        <v>35</v>
      </c>
      <c r="D1095">
        <v>48</v>
      </c>
      <c r="E1095" t="s">
        <v>128</v>
      </c>
      <c r="F1095" s="12">
        <v>45511</v>
      </c>
      <c r="G1095" t="s">
        <v>1599</v>
      </c>
      <c r="H1095" s="12">
        <v>45511</v>
      </c>
      <c r="I1095" t="s">
        <v>1998</v>
      </c>
      <c r="J1095" t="s">
        <v>458</v>
      </c>
      <c r="K1095">
        <v>2</v>
      </c>
      <c r="L1095">
        <v>32</v>
      </c>
      <c r="P1095" t="s">
        <v>106</v>
      </c>
      <c r="Q1095" t="s">
        <v>106</v>
      </c>
      <c r="R1095" t="s">
        <v>106</v>
      </c>
      <c r="S1095" t="s">
        <v>106</v>
      </c>
      <c r="T1095" t="s">
        <v>1084</v>
      </c>
      <c r="U1095" t="s">
        <v>1410</v>
      </c>
      <c r="V1095" t="s">
        <v>106</v>
      </c>
      <c r="W1095" t="s">
        <v>373</v>
      </c>
      <c r="X1095" t="s">
        <v>106</v>
      </c>
      <c r="Y1095" t="s">
        <v>108</v>
      </c>
      <c r="Z1095" t="s">
        <v>108</v>
      </c>
      <c r="AA1095" t="s">
        <v>1450</v>
      </c>
      <c r="AB1095" t="s">
        <v>2456</v>
      </c>
    </row>
    <row r="1096" spans="1:28" x14ac:dyDescent="0.3">
      <c r="A1096" t="s">
        <v>1440</v>
      </c>
      <c r="B1096">
        <v>3</v>
      </c>
      <c r="C1096">
        <v>35</v>
      </c>
      <c r="D1096">
        <v>53</v>
      </c>
      <c r="E1096" t="s">
        <v>128</v>
      </c>
      <c r="F1096" s="12">
        <v>45511</v>
      </c>
      <c r="G1096" t="s">
        <v>2457</v>
      </c>
      <c r="H1096" s="12">
        <v>45511</v>
      </c>
      <c r="I1096" t="s">
        <v>1491</v>
      </c>
      <c r="J1096" t="s">
        <v>458</v>
      </c>
      <c r="K1096">
        <v>2</v>
      </c>
      <c r="L1096">
        <v>31.5</v>
      </c>
      <c r="P1096" t="s">
        <v>106</v>
      </c>
      <c r="Q1096" t="s">
        <v>106</v>
      </c>
      <c r="R1096" t="s">
        <v>106</v>
      </c>
      <c r="S1096" t="s">
        <v>106</v>
      </c>
      <c r="T1096" t="s">
        <v>1291</v>
      </c>
      <c r="U1096" t="s">
        <v>106</v>
      </c>
      <c r="V1096" t="s">
        <v>106</v>
      </c>
      <c r="W1096" t="s">
        <v>373</v>
      </c>
      <c r="X1096" t="s">
        <v>106</v>
      </c>
      <c r="Y1096" t="s">
        <v>108</v>
      </c>
      <c r="Z1096" t="s">
        <v>108</v>
      </c>
      <c r="AA1096" t="s">
        <v>1450</v>
      </c>
      <c r="AB1096" t="s">
        <v>106</v>
      </c>
    </row>
    <row r="1097" spans="1:28" x14ac:dyDescent="0.3">
      <c r="A1097" t="s">
        <v>1440</v>
      </c>
      <c r="B1097">
        <v>3</v>
      </c>
      <c r="C1097">
        <v>35</v>
      </c>
      <c r="D1097">
        <v>34</v>
      </c>
      <c r="E1097" t="s">
        <v>128</v>
      </c>
      <c r="F1097" s="12">
        <v>45511</v>
      </c>
      <c r="G1097" t="s">
        <v>2458</v>
      </c>
      <c r="H1097" s="12">
        <v>45511</v>
      </c>
      <c r="I1097" t="s">
        <v>321</v>
      </c>
      <c r="J1097" t="s">
        <v>458</v>
      </c>
      <c r="K1097">
        <v>2</v>
      </c>
      <c r="L1097">
        <v>35.4</v>
      </c>
      <c r="P1097" t="s">
        <v>106</v>
      </c>
      <c r="Q1097" t="s">
        <v>106</v>
      </c>
      <c r="R1097" t="s">
        <v>106</v>
      </c>
      <c r="S1097" t="s">
        <v>106</v>
      </c>
      <c r="T1097" t="s">
        <v>1393</v>
      </c>
      <c r="U1097" t="s">
        <v>1590</v>
      </c>
      <c r="V1097" t="s">
        <v>106</v>
      </c>
      <c r="W1097" t="s">
        <v>373</v>
      </c>
      <c r="X1097" t="s">
        <v>106</v>
      </c>
      <c r="Y1097" t="s">
        <v>108</v>
      </c>
      <c r="Z1097" t="s">
        <v>108</v>
      </c>
      <c r="AA1097" t="s">
        <v>1990</v>
      </c>
      <c r="AB1097" t="s">
        <v>2459</v>
      </c>
    </row>
    <row r="1098" spans="1:28" x14ac:dyDescent="0.3">
      <c r="A1098" t="s">
        <v>1440</v>
      </c>
      <c r="B1098">
        <v>3</v>
      </c>
      <c r="C1098">
        <v>35</v>
      </c>
      <c r="D1098">
        <v>54</v>
      </c>
      <c r="E1098" t="s">
        <v>128</v>
      </c>
      <c r="F1098" s="12">
        <v>45511</v>
      </c>
      <c r="G1098" t="s">
        <v>2457</v>
      </c>
      <c r="H1098" s="12">
        <v>45511</v>
      </c>
      <c r="I1098" t="s">
        <v>1491</v>
      </c>
      <c r="J1098" t="s">
        <v>458</v>
      </c>
      <c r="K1098">
        <v>2</v>
      </c>
      <c r="L1098">
        <v>34.5</v>
      </c>
      <c r="P1098" t="s">
        <v>106</v>
      </c>
      <c r="Q1098" t="s">
        <v>106</v>
      </c>
      <c r="R1098" t="s">
        <v>106</v>
      </c>
      <c r="S1098" t="s">
        <v>106</v>
      </c>
      <c r="T1098" t="s">
        <v>2460</v>
      </c>
      <c r="U1098" t="s">
        <v>106</v>
      </c>
      <c r="V1098" t="s">
        <v>106</v>
      </c>
      <c r="W1098" t="s">
        <v>373</v>
      </c>
      <c r="X1098" t="s">
        <v>106</v>
      </c>
      <c r="Y1098" t="s">
        <v>108</v>
      </c>
      <c r="Z1098" t="s">
        <v>108</v>
      </c>
      <c r="AA1098" t="s">
        <v>1450</v>
      </c>
      <c r="AB1098" t="s">
        <v>106</v>
      </c>
    </row>
    <row r="1099" spans="1:28" x14ac:dyDescent="0.3">
      <c r="A1099" t="s">
        <v>1440</v>
      </c>
      <c r="B1099">
        <v>3</v>
      </c>
      <c r="C1099">
        <v>35</v>
      </c>
      <c r="D1099">
        <v>40</v>
      </c>
      <c r="E1099" t="s">
        <v>128</v>
      </c>
      <c r="F1099" s="12">
        <v>45511</v>
      </c>
      <c r="G1099" t="s">
        <v>1370</v>
      </c>
      <c r="H1099" s="12">
        <v>45511</v>
      </c>
      <c r="I1099" t="s">
        <v>1994</v>
      </c>
      <c r="J1099" t="s">
        <v>458</v>
      </c>
      <c r="K1099">
        <v>2</v>
      </c>
      <c r="L1099">
        <v>32</v>
      </c>
      <c r="P1099" t="s">
        <v>106</v>
      </c>
      <c r="Q1099" t="s">
        <v>106</v>
      </c>
      <c r="R1099" t="s">
        <v>106</v>
      </c>
      <c r="S1099" t="s">
        <v>106</v>
      </c>
      <c r="T1099" t="s">
        <v>1850</v>
      </c>
      <c r="U1099" t="s">
        <v>1699</v>
      </c>
      <c r="V1099" t="s">
        <v>106</v>
      </c>
      <c r="W1099" t="s">
        <v>373</v>
      </c>
      <c r="X1099" t="s">
        <v>106</v>
      </c>
      <c r="Y1099" t="s">
        <v>108</v>
      </c>
      <c r="Z1099" t="s">
        <v>108</v>
      </c>
      <c r="AA1099" t="s">
        <v>1990</v>
      </c>
      <c r="AB1099" t="s">
        <v>1849</v>
      </c>
    </row>
    <row r="1100" spans="1:28" x14ac:dyDescent="0.3">
      <c r="A1100" t="s">
        <v>1440</v>
      </c>
      <c r="B1100">
        <v>3</v>
      </c>
      <c r="C1100">
        <v>35</v>
      </c>
      <c r="D1100">
        <v>35</v>
      </c>
      <c r="E1100" t="s">
        <v>128</v>
      </c>
      <c r="F1100" s="12">
        <v>45511</v>
      </c>
      <c r="G1100" t="s">
        <v>1371</v>
      </c>
      <c r="H1100" s="12">
        <v>45511</v>
      </c>
      <c r="I1100" t="s">
        <v>321</v>
      </c>
      <c r="J1100" t="s">
        <v>458</v>
      </c>
      <c r="K1100">
        <v>2</v>
      </c>
      <c r="L1100">
        <v>33.6</v>
      </c>
      <c r="P1100" t="s">
        <v>106</v>
      </c>
      <c r="Q1100" t="s">
        <v>106</v>
      </c>
      <c r="R1100" t="s">
        <v>106</v>
      </c>
      <c r="S1100" t="s">
        <v>106</v>
      </c>
      <c r="T1100" t="s">
        <v>1690</v>
      </c>
      <c r="U1100" t="s">
        <v>429</v>
      </c>
      <c r="V1100" t="s">
        <v>106</v>
      </c>
      <c r="W1100" t="s">
        <v>373</v>
      </c>
      <c r="X1100" t="s">
        <v>106</v>
      </c>
      <c r="Y1100" t="s">
        <v>108</v>
      </c>
      <c r="Z1100" t="s">
        <v>108</v>
      </c>
      <c r="AA1100" t="s">
        <v>1990</v>
      </c>
      <c r="AB1100" t="s">
        <v>2461</v>
      </c>
    </row>
    <row r="1101" spans="1:28" x14ac:dyDescent="0.3">
      <c r="A1101" t="s">
        <v>1440</v>
      </c>
      <c r="B1101">
        <v>3</v>
      </c>
      <c r="C1101">
        <v>35</v>
      </c>
      <c r="D1101">
        <v>13</v>
      </c>
      <c r="E1101" t="s">
        <v>128</v>
      </c>
      <c r="F1101" s="12">
        <v>45511</v>
      </c>
      <c r="G1101" t="s">
        <v>1289</v>
      </c>
      <c r="H1101" s="12">
        <v>45511</v>
      </c>
      <c r="I1101" t="s">
        <v>1992</v>
      </c>
      <c r="J1101" t="s">
        <v>1363</v>
      </c>
      <c r="K1101">
        <v>2</v>
      </c>
      <c r="L1101">
        <v>35.799999999999997</v>
      </c>
      <c r="P1101" t="s">
        <v>106</v>
      </c>
      <c r="Q1101" t="s">
        <v>106</v>
      </c>
      <c r="R1101" t="s">
        <v>106</v>
      </c>
      <c r="S1101" t="s">
        <v>1753</v>
      </c>
      <c r="T1101" t="s">
        <v>2063</v>
      </c>
      <c r="U1101" t="s">
        <v>427</v>
      </c>
      <c r="V1101" t="s">
        <v>106</v>
      </c>
      <c r="W1101" t="s">
        <v>443</v>
      </c>
      <c r="X1101" t="s">
        <v>106</v>
      </c>
      <c r="Y1101" t="s">
        <v>108</v>
      </c>
      <c r="Z1101" t="s">
        <v>108</v>
      </c>
      <c r="AA1101" t="s">
        <v>1990</v>
      </c>
      <c r="AB1101" t="s">
        <v>106</v>
      </c>
    </row>
    <row r="1102" spans="1:28" x14ac:dyDescent="0.3">
      <c r="A1102" t="s">
        <v>1440</v>
      </c>
      <c r="B1102">
        <v>3</v>
      </c>
      <c r="C1102">
        <v>35</v>
      </c>
      <c r="D1102">
        <v>42</v>
      </c>
      <c r="E1102" t="s">
        <v>128</v>
      </c>
      <c r="F1102" s="12">
        <v>45511</v>
      </c>
      <c r="G1102" t="s">
        <v>2462</v>
      </c>
      <c r="H1102" s="12">
        <v>45511</v>
      </c>
      <c r="I1102" t="s">
        <v>1994</v>
      </c>
      <c r="J1102" t="s">
        <v>458</v>
      </c>
      <c r="K1102">
        <v>2</v>
      </c>
      <c r="L1102">
        <v>32</v>
      </c>
      <c r="P1102" t="s">
        <v>106</v>
      </c>
      <c r="Q1102" t="s">
        <v>106</v>
      </c>
      <c r="R1102" t="s">
        <v>106</v>
      </c>
      <c r="S1102" t="s">
        <v>106</v>
      </c>
      <c r="T1102" t="s">
        <v>482</v>
      </c>
      <c r="U1102" t="s">
        <v>1477</v>
      </c>
      <c r="V1102" t="s">
        <v>106</v>
      </c>
      <c r="W1102" t="s">
        <v>373</v>
      </c>
      <c r="X1102" t="s">
        <v>106</v>
      </c>
      <c r="Y1102" t="s">
        <v>108</v>
      </c>
      <c r="Z1102" t="s">
        <v>108</v>
      </c>
      <c r="AA1102" t="s">
        <v>1990</v>
      </c>
      <c r="AB1102" t="s">
        <v>2463</v>
      </c>
    </row>
    <row r="1103" spans="1:28" x14ac:dyDescent="0.3">
      <c r="A1103" t="s">
        <v>1440</v>
      </c>
      <c r="B1103">
        <v>3</v>
      </c>
      <c r="C1103">
        <v>35</v>
      </c>
      <c r="D1103">
        <v>25</v>
      </c>
      <c r="E1103" t="s">
        <v>128</v>
      </c>
      <c r="F1103" s="12">
        <v>45511</v>
      </c>
      <c r="G1103" t="s">
        <v>1433</v>
      </c>
      <c r="H1103" s="12">
        <v>45511</v>
      </c>
      <c r="I1103" t="s">
        <v>1103</v>
      </c>
      <c r="J1103" t="s">
        <v>1363</v>
      </c>
      <c r="K1103">
        <v>2</v>
      </c>
      <c r="L1103">
        <v>33.4</v>
      </c>
      <c r="P1103" t="s">
        <v>106</v>
      </c>
      <c r="Q1103" t="s">
        <v>106</v>
      </c>
      <c r="R1103" t="s">
        <v>106</v>
      </c>
      <c r="S1103" t="s">
        <v>106</v>
      </c>
      <c r="T1103" t="s">
        <v>1381</v>
      </c>
      <c r="U1103" t="s">
        <v>427</v>
      </c>
      <c r="V1103" t="s">
        <v>106</v>
      </c>
      <c r="W1103" t="s">
        <v>443</v>
      </c>
      <c r="X1103" t="s">
        <v>106</v>
      </c>
      <c r="Y1103" t="s">
        <v>108</v>
      </c>
      <c r="Z1103" t="s">
        <v>108</v>
      </c>
      <c r="AA1103" t="s">
        <v>1990</v>
      </c>
      <c r="AB1103" t="s">
        <v>2464</v>
      </c>
    </row>
    <row r="1104" spans="1:28" x14ac:dyDescent="0.3">
      <c r="A1104" t="s">
        <v>1440</v>
      </c>
      <c r="B1104">
        <v>3</v>
      </c>
      <c r="C1104">
        <v>35</v>
      </c>
      <c r="D1104">
        <v>12</v>
      </c>
      <c r="E1104" t="s">
        <v>128</v>
      </c>
      <c r="F1104" s="12">
        <v>45511</v>
      </c>
      <c r="G1104" t="s">
        <v>2465</v>
      </c>
      <c r="H1104" s="12">
        <v>45511</v>
      </c>
      <c r="I1104" t="s">
        <v>1992</v>
      </c>
      <c r="J1104" t="s">
        <v>1363</v>
      </c>
      <c r="K1104">
        <v>2</v>
      </c>
      <c r="L1104">
        <v>34.5</v>
      </c>
      <c r="P1104" t="s">
        <v>106</v>
      </c>
      <c r="Q1104" t="s">
        <v>106</v>
      </c>
      <c r="R1104" t="s">
        <v>106</v>
      </c>
      <c r="S1104" t="s">
        <v>106</v>
      </c>
      <c r="T1104" t="s">
        <v>1810</v>
      </c>
      <c r="U1104" t="s">
        <v>1615</v>
      </c>
      <c r="V1104" t="s">
        <v>106</v>
      </c>
      <c r="W1104" t="s">
        <v>443</v>
      </c>
      <c r="X1104" t="s">
        <v>106</v>
      </c>
      <c r="Y1104" t="s">
        <v>108</v>
      </c>
      <c r="Z1104" t="s">
        <v>108</v>
      </c>
      <c r="AA1104" t="s">
        <v>1990</v>
      </c>
      <c r="AB1104" t="s">
        <v>106</v>
      </c>
    </row>
    <row r="1105" spans="1:28" x14ac:dyDescent="0.3">
      <c r="A1105" t="s">
        <v>1440</v>
      </c>
      <c r="B1105">
        <v>3</v>
      </c>
      <c r="C1105">
        <v>35</v>
      </c>
      <c r="D1105">
        <v>24</v>
      </c>
      <c r="E1105" t="s">
        <v>128</v>
      </c>
      <c r="F1105" s="12">
        <v>45511</v>
      </c>
      <c r="G1105" t="s">
        <v>1433</v>
      </c>
      <c r="H1105" s="12">
        <v>45511</v>
      </c>
      <c r="I1105" t="s">
        <v>1103</v>
      </c>
      <c r="J1105" t="s">
        <v>1363</v>
      </c>
      <c r="K1105">
        <v>2</v>
      </c>
      <c r="L1105">
        <v>32.700000000000003</v>
      </c>
      <c r="P1105" t="s">
        <v>106</v>
      </c>
      <c r="Q1105" t="s">
        <v>106</v>
      </c>
      <c r="R1105" t="s">
        <v>106</v>
      </c>
      <c r="S1105" t="s">
        <v>1079</v>
      </c>
      <c r="T1105" t="s">
        <v>1804</v>
      </c>
      <c r="U1105" t="s">
        <v>1591</v>
      </c>
      <c r="V1105" t="s">
        <v>106</v>
      </c>
      <c r="W1105" t="s">
        <v>443</v>
      </c>
      <c r="X1105" t="s">
        <v>106</v>
      </c>
      <c r="Y1105" t="s">
        <v>108</v>
      </c>
      <c r="Z1105" t="s">
        <v>108</v>
      </c>
      <c r="AA1105" t="s">
        <v>1990</v>
      </c>
      <c r="AB1105" t="s">
        <v>712</v>
      </c>
    </row>
    <row r="1106" spans="1:28" x14ac:dyDescent="0.3">
      <c r="A1106" t="s">
        <v>1440</v>
      </c>
      <c r="B1106">
        <v>3</v>
      </c>
      <c r="C1106">
        <v>35</v>
      </c>
      <c r="D1106">
        <v>18</v>
      </c>
      <c r="E1106" t="s">
        <v>128</v>
      </c>
      <c r="F1106" s="12">
        <v>45511</v>
      </c>
      <c r="G1106" t="s">
        <v>533</v>
      </c>
      <c r="H1106" s="12">
        <v>45511</v>
      </c>
      <c r="I1106" t="s">
        <v>503</v>
      </c>
      <c r="J1106" t="s">
        <v>1363</v>
      </c>
      <c r="K1106">
        <v>2</v>
      </c>
      <c r="L1106">
        <v>32.700000000000003</v>
      </c>
      <c r="P1106" t="s">
        <v>106</v>
      </c>
      <c r="Q1106" t="s">
        <v>106</v>
      </c>
      <c r="R1106" t="s">
        <v>106</v>
      </c>
      <c r="S1106" t="s">
        <v>1056</v>
      </c>
      <c r="T1106" t="s">
        <v>1804</v>
      </c>
      <c r="U1106" t="s">
        <v>1415</v>
      </c>
      <c r="V1106" t="s">
        <v>106</v>
      </c>
      <c r="W1106" t="s">
        <v>443</v>
      </c>
      <c r="X1106" t="s">
        <v>106</v>
      </c>
      <c r="Y1106" t="s">
        <v>108</v>
      </c>
      <c r="Z1106" t="s">
        <v>108</v>
      </c>
      <c r="AA1106" t="s">
        <v>1990</v>
      </c>
      <c r="AB1106" t="s">
        <v>2466</v>
      </c>
    </row>
    <row r="1107" spans="1:28" x14ac:dyDescent="0.3">
      <c r="A1107" t="s">
        <v>1440</v>
      </c>
      <c r="B1107">
        <v>4</v>
      </c>
      <c r="C1107">
        <v>60</v>
      </c>
      <c r="D1107">
        <v>16</v>
      </c>
      <c r="E1107" t="s">
        <v>128</v>
      </c>
      <c r="F1107" s="12">
        <v>45511</v>
      </c>
      <c r="G1107" t="s">
        <v>591</v>
      </c>
      <c r="H1107" s="12">
        <v>45511</v>
      </c>
      <c r="I1107" t="s">
        <v>1992</v>
      </c>
      <c r="J1107" t="s">
        <v>1363</v>
      </c>
      <c r="K1107">
        <v>2</v>
      </c>
      <c r="L1107">
        <v>56.5</v>
      </c>
      <c r="P1107" t="s">
        <v>106</v>
      </c>
      <c r="Q1107" t="s">
        <v>106</v>
      </c>
      <c r="R1107" t="s">
        <v>106</v>
      </c>
      <c r="S1107" t="s">
        <v>106</v>
      </c>
      <c r="T1107" t="s">
        <v>1793</v>
      </c>
      <c r="U1107" t="s">
        <v>1615</v>
      </c>
      <c r="V1107" t="s">
        <v>106</v>
      </c>
      <c r="W1107" t="s">
        <v>443</v>
      </c>
      <c r="X1107" t="s">
        <v>106</v>
      </c>
      <c r="Y1107" t="s">
        <v>108</v>
      </c>
      <c r="Z1107" t="s">
        <v>108</v>
      </c>
      <c r="AA1107" t="s">
        <v>1450</v>
      </c>
      <c r="AB1107" t="s">
        <v>106</v>
      </c>
    </row>
    <row r="1108" spans="1:28" x14ac:dyDescent="0.3">
      <c r="A1108" t="s">
        <v>1440</v>
      </c>
      <c r="B1108">
        <v>4</v>
      </c>
      <c r="C1108">
        <v>60</v>
      </c>
      <c r="D1108">
        <v>56</v>
      </c>
      <c r="E1108" t="s">
        <v>128</v>
      </c>
      <c r="F1108" s="12">
        <v>45511</v>
      </c>
      <c r="G1108" t="s">
        <v>982</v>
      </c>
      <c r="H1108" s="12">
        <v>45511</v>
      </c>
      <c r="I1108" t="s">
        <v>1491</v>
      </c>
      <c r="J1108" t="s">
        <v>458</v>
      </c>
      <c r="K1108">
        <v>2</v>
      </c>
      <c r="L1108">
        <v>54.9</v>
      </c>
      <c r="P1108" t="s">
        <v>106</v>
      </c>
      <c r="Q1108" t="s">
        <v>106</v>
      </c>
      <c r="R1108" t="s">
        <v>106</v>
      </c>
      <c r="S1108" t="s">
        <v>106</v>
      </c>
      <c r="T1108" t="s">
        <v>809</v>
      </c>
      <c r="U1108" t="s">
        <v>106</v>
      </c>
      <c r="V1108" t="s">
        <v>106</v>
      </c>
      <c r="W1108" t="s">
        <v>373</v>
      </c>
      <c r="X1108" t="s">
        <v>106</v>
      </c>
      <c r="Y1108" t="s">
        <v>108</v>
      </c>
      <c r="Z1108" t="s">
        <v>104</v>
      </c>
      <c r="AA1108" t="s">
        <v>1450</v>
      </c>
      <c r="AB1108" t="s">
        <v>106</v>
      </c>
    </row>
    <row r="1109" spans="1:28" x14ac:dyDescent="0.3">
      <c r="A1109" t="s">
        <v>1440</v>
      </c>
      <c r="B1109">
        <v>4</v>
      </c>
      <c r="C1109">
        <v>60</v>
      </c>
      <c r="D1109">
        <v>55</v>
      </c>
      <c r="E1109" t="s">
        <v>128</v>
      </c>
      <c r="F1109" s="12">
        <v>45511</v>
      </c>
      <c r="G1109" t="s">
        <v>982</v>
      </c>
      <c r="H1109" s="12">
        <v>45511</v>
      </c>
      <c r="I1109" t="s">
        <v>1491</v>
      </c>
      <c r="J1109" t="s">
        <v>458</v>
      </c>
      <c r="K1109">
        <v>2</v>
      </c>
      <c r="L1109">
        <v>61.4</v>
      </c>
      <c r="P1109" t="s">
        <v>106</v>
      </c>
      <c r="Q1109" t="s">
        <v>106</v>
      </c>
      <c r="R1109" t="s">
        <v>106</v>
      </c>
      <c r="S1109" t="s">
        <v>106</v>
      </c>
      <c r="T1109" t="s">
        <v>2705</v>
      </c>
      <c r="U1109" t="s">
        <v>106</v>
      </c>
      <c r="V1109" t="s">
        <v>106</v>
      </c>
      <c r="W1109" t="s">
        <v>373</v>
      </c>
      <c r="X1109" t="s">
        <v>106</v>
      </c>
      <c r="Y1109" t="s">
        <v>108</v>
      </c>
      <c r="Z1109" t="s">
        <v>104</v>
      </c>
      <c r="AA1109" t="s">
        <v>1450</v>
      </c>
      <c r="AB1109" t="s">
        <v>106</v>
      </c>
    </row>
    <row r="1110" spans="1:28" x14ac:dyDescent="0.3">
      <c r="A1110" t="s">
        <v>1440</v>
      </c>
      <c r="B1110">
        <v>4</v>
      </c>
      <c r="C1110">
        <v>60</v>
      </c>
      <c r="D1110">
        <v>50</v>
      </c>
      <c r="E1110" t="s">
        <v>128</v>
      </c>
      <c r="F1110" s="12">
        <v>45511</v>
      </c>
      <c r="G1110" t="s">
        <v>957</v>
      </c>
      <c r="H1110" s="12">
        <v>45511</v>
      </c>
      <c r="I1110" t="s">
        <v>1998</v>
      </c>
      <c r="J1110" t="s">
        <v>458</v>
      </c>
      <c r="K1110">
        <v>2</v>
      </c>
      <c r="L1110">
        <v>58.4</v>
      </c>
      <c r="P1110" t="s">
        <v>106</v>
      </c>
      <c r="Q1110" t="s">
        <v>106</v>
      </c>
      <c r="R1110" t="s">
        <v>106</v>
      </c>
      <c r="S1110" t="s">
        <v>106</v>
      </c>
      <c r="T1110" t="s">
        <v>1977</v>
      </c>
      <c r="U1110" t="s">
        <v>106</v>
      </c>
      <c r="V1110" t="s">
        <v>106</v>
      </c>
      <c r="W1110" t="s">
        <v>373</v>
      </c>
      <c r="X1110" t="s">
        <v>106</v>
      </c>
      <c r="Y1110" t="s">
        <v>108</v>
      </c>
      <c r="Z1110" t="s">
        <v>104</v>
      </c>
      <c r="AA1110" t="s">
        <v>1450</v>
      </c>
      <c r="AB1110" t="s">
        <v>106</v>
      </c>
    </row>
    <row r="1111" spans="1:28" x14ac:dyDescent="0.3">
      <c r="A1111" t="s">
        <v>1440</v>
      </c>
      <c r="B1111">
        <v>4</v>
      </c>
      <c r="C1111">
        <v>60</v>
      </c>
      <c r="D1111">
        <v>49</v>
      </c>
      <c r="E1111" t="s">
        <v>128</v>
      </c>
      <c r="F1111" s="12">
        <v>45511</v>
      </c>
      <c r="G1111" t="s">
        <v>957</v>
      </c>
      <c r="H1111" s="12">
        <v>45511</v>
      </c>
      <c r="I1111" t="s">
        <v>1998</v>
      </c>
      <c r="J1111" t="s">
        <v>458</v>
      </c>
      <c r="K1111">
        <v>2</v>
      </c>
      <c r="L1111">
        <v>61</v>
      </c>
      <c r="P1111" t="s">
        <v>106</v>
      </c>
      <c r="Q1111" t="s">
        <v>106</v>
      </c>
      <c r="R1111" t="s">
        <v>106</v>
      </c>
      <c r="S1111" t="s">
        <v>106</v>
      </c>
      <c r="T1111" t="s">
        <v>1101</v>
      </c>
      <c r="U1111" t="s">
        <v>430</v>
      </c>
      <c r="V1111" t="s">
        <v>106</v>
      </c>
      <c r="W1111" t="s">
        <v>373</v>
      </c>
      <c r="X1111" t="s">
        <v>106</v>
      </c>
      <c r="Y1111" t="s">
        <v>108</v>
      </c>
      <c r="Z1111" t="s">
        <v>104</v>
      </c>
      <c r="AA1111" t="s">
        <v>1450</v>
      </c>
      <c r="AB1111" t="s">
        <v>106</v>
      </c>
    </row>
    <row r="1112" spans="1:28" x14ac:dyDescent="0.3">
      <c r="A1112" t="s">
        <v>1440</v>
      </c>
      <c r="B1112">
        <v>4</v>
      </c>
      <c r="C1112">
        <v>60</v>
      </c>
      <c r="D1112">
        <v>44</v>
      </c>
      <c r="E1112" t="s">
        <v>128</v>
      </c>
      <c r="F1112" s="12">
        <v>45511</v>
      </c>
      <c r="G1112" t="s">
        <v>2492</v>
      </c>
      <c r="H1112" s="12">
        <v>45511</v>
      </c>
      <c r="I1112" t="s">
        <v>1994</v>
      </c>
      <c r="J1112" t="s">
        <v>458</v>
      </c>
      <c r="K1112">
        <v>2</v>
      </c>
      <c r="L1112">
        <v>57.9</v>
      </c>
      <c r="P1112" t="s">
        <v>106</v>
      </c>
      <c r="Q1112" t="s">
        <v>106</v>
      </c>
      <c r="R1112" t="s">
        <v>106</v>
      </c>
      <c r="S1112" t="s">
        <v>106</v>
      </c>
      <c r="T1112" t="s">
        <v>1565</v>
      </c>
      <c r="U1112" t="s">
        <v>1590</v>
      </c>
      <c r="V1112" t="s">
        <v>106</v>
      </c>
      <c r="W1112" t="s">
        <v>373</v>
      </c>
      <c r="X1112" t="s">
        <v>106</v>
      </c>
      <c r="Y1112" t="s">
        <v>108</v>
      </c>
      <c r="Z1112" t="s">
        <v>104</v>
      </c>
      <c r="AA1112" t="s">
        <v>1990</v>
      </c>
      <c r="AB1112" t="s">
        <v>715</v>
      </c>
    </row>
    <row r="1113" spans="1:28" x14ac:dyDescent="0.3">
      <c r="A1113" t="s">
        <v>1440</v>
      </c>
      <c r="B1113">
        <v>4</v>
      </c>
      <c r="C1113">
        <v>60</v>
      </c>
      <c r="D1113">
        <v>43</v>
      </c>
      <c r="E1113" t="s">
        <v>128</v>
      </c>
      <c r="F1113" s="12">
        <v>45511</v>
      </c>
      <c r="G1113" t="s">
        <v>2492</v>
      </c>
      <c r="H1113" s="12">
        <v>45511</v>
      </c>
      <c r="I1113" t="s">
        <v>1994</v>
      </c>
      <c r="J1113" t="s">
        <v>458</v>
      </c>
      <c r="K1113">
        <v>2</v>
      </c>
      <c r="L1113">
        <v>56.8</v>
      </c>
      <c r="P1113" t="s">
        <v>106</v>
      </c>
      <c r="Q1113" t="s">
        <v>106</v>
      </c>
      <c r="R1113" t="s">
        <v>106</v>
      </c>
      <c r="S1113" t="s">
        <v>106</v>
      </c>
      <c r="T1113" t="s">
        <v>1730</v>
      </c>
      <c r="U1113" t="s">
        <v>391</v>
      </c>
      <c r="V1113" t="s">
        <v>106</v>
      </c>
      <c r="W1113" t="s">
        <v>373</v>
      </c>
      <c r="X1113" t="s">
        <v>106</v>
      </c>
      <c r="Y1113" t="s">
        <v>108</v>
      </c>
      <c r="Z1113" t="s">
        <v>104</v>
      </c>
      <c r="AA1113" t="s">
        <v>1990</v>
      </c>
      <c r="AB1113" t="s">
        <v>106</v>
      </c>
    </row>
    <row r="1114" spans="1:28" x14ac:dyDescent="0.3">
      <c r="A1114" t="s">
        <v>1440</v>
      </c>
      <c r="B1114">
        <v>4</v>
      </c>
      <c r="C1114">
        <v>60</v>
      </c>
      <c r="D1114">
        <v>17</v>
      </c>
      <c r="E1114" t="s">
        <v>128</v>
      </c>
      <c r="F1114" s="12">
        <v>45511</v>
      </c>
      <c r="G1114" t="s">
        <v>591</v>
      </c>
      <c r="H1114" s="12">
        <v>45511</v>
      </c>
      <c r="I1114" t="s">
        <v>1992</v>
      </c>
      <c r="J1114" t="s">
        <v>1363</v>
      </c>
      <c r="K1114">
        <v>2</v>
      </c>
      <c r="L1114">
        <v>59.1</v>
      </c>
      <c r="P1114" t="s">
        <v>106</v>
      </c>
      <c r="Q1114" t="s">
        <v>106</v>
      </c>
      <c r="R1114" t="s">
        <v>106</v>
      </c>
      <c r="S1114" t="s">
        <v>1076</v>
      </c>
      <c r="T1114" t="s">
        <v>881</v>
      </c>
      <c r="U1114" t="s">
        <v>1604</v>
      </c>
      <c r="V1114" t="s">
        <v>106</v>
      </c>
      <c r="W1114" t="s">
        <v>443</v>
      </c>
      <c r="X1114" t="s">
        <v>106</v>
      </c>
      <c r="Y1114" t="s">
        <v>108</v>
      </c>
      <c r="Z1114" t="s">
        <v>108</v>
      </c>
      <c r="AA1114" t="s">
        <v>1450</v>
      </c>
      <c r="AB1114" t="s">
        <v>106</v>
      </c>
    </row>
    <row r="1115" spans="1:28" x14ac:dyDescent="0.3">
      <c r="A1115" t="s">
        <v>1440</v>
      </c>
      <c r="B1115">
        <v>4</v>
      </c>
      <c r="C1115">
        <v>60</v>
      </c>
      <c r="D1115">
        <v>36</v>
      </c>
      <c r="E1115" t="s">
        <v>128</v>
      </c>
      <c r="F1115" s="12">
        <v>45511</v>
      </c>
      <c r="G1115" t="s">
        <v>1371</v>
      </c>
      <c r="H1115" s="12">
        <v>45511</v>
      </c>
      <c r="I1115" t="s">
        <v>321</v>
      </c>
      <c r="J1115" t="s">
        <v>458</v>
      </c>
      <c r="K1115">
        <v>2</v>
      </c>
      <c r="L1115">
        <v>61.2</v>
      </c>
      <c r="P1115" t="s">
        <v>106</v>
      </c>
      <c r="Q1115" t="s">
        <v>106</v>
      </c>
      <c r="R1115" t="s">
        <v>106</v>
      </c>
      <c r="S1115" t="s">
        <v>106</v>
      </c>
      <c r="T1115" t="s">
        <v>1235</v>
      </c>
      <c r="U1115" t="s">
        <v>1410</v>
      </c>
      <c r="V1115" t="s">
        <v>106</v>
      </c>
      <c r="W1115" t="s">
        <v>373</v>
      </c>
      <c r="X1115" t="s">
        <v>106</v>
      </c>
      <c r="Y1115" t="s">
        <v>108</v>
      </c>
      <c r="Z1115" t="s">
        <v>104</v>
      </c>
      <c r="AA1115" t="s">
        <v>1990</v>
      </c>
      <c r="AB1115" t="s">
        <v>2706</v>
      </c>
    </row>
    <row r="1116" spans="1:28" x14ac:dyDescent="0.3">
      <c r="A1116" t="s">
        <v>1440</v>
      </c>
      <c r="B1116">
        <v>4</v>
      </c>
      <c r="C1116">
        <v>60</v>
      </c>
      <c r="D1116">
        <v>29</v>
      </c>
      <c r="E1116" t="s">
        <v>128</v>
      </c>
      <c r="F1116" s="12">
        <v>45511</v>
      </c>
      <c r="G1116" t="s">
        <v>1969</v>
      </c>
      <c r="H1116" s="12">
        <v>45511</v>
      </c>
      <c r="I1116" t="s">
        <v>1103</v>
      </c>
      <c r="J1116" t="s">
        <v>1363</v>
      </c>
      <c r="K1116">
        <v>2</v>
      </c>
      <c r="L1116">
        <v>55.8</v>
      </c>
      <c r="P1116" t="s">
        <v>106</v>
      </c>
      <c r="Q1116" t="s">
        <v>106</v>
      </c>
      <c r="R1116" t="s">
        <v>106</v>
      </c>
      <c r="S1116" t="s">
        <v>1592</v>
      </c>
      <c r="T1116" t="s">
        <v>776</v>
      </c>
      <c r="U1116" t="s">
        <v>1468</v>
      </c>
      <c r="V1116" t="s">
        <v>106</v>
      </c>
      <c r="W1116" t="s">
        <v>443</v>
      </c>
      <c r="X1116" t="s">
        <v>106</v>
      </c>
      <c r="Y1116" t="s">
        <v>108</v>
      </c>
      <c r="Z1116" t="s">
        <v>104</v>
      </c>
      <c r="AA1116" t="s">
        <v>1450</v>
      </c>
      <c r="AB1116" t="s">
        <v>106</v>
      </c>
    </row>
    <row r="1117" spans="1:28" x14ac:dyDescent="0.3">
      <c r="A1117" t="s">
        <v>1440</v>
      </c>
      <c r="B1117">
        <v>4</v>
      </c>
      <c r="C1117">
        <v>60</v>
      </c>
      <c r="D1117">
        <v>28</v>
      </c>
      <c r="E1117" t="s">
        <v>128</v>
      </c>
      <c r="F1117" s="12">
        <v>45511</v>
      </c>
      <c r="G1117" t="s">
        <v>1996</v>
      </c>
      <c r="H1117" s="12">
        <v>45511</v>
      </c>
      <c r="I1117" t="s">
        <v>1103</v>
      </c>
      <c r="J1117" t="s">
        <v>1363</v>
      </c>
      <c r="K1117">
        <v>2</v>
      </c>
      <c r="L1117">
        <v>55.1</v>
      </c>
      <c r="P1117" t="s">
        <v>106</v>
      </c>
      <c r="Q1117" t="s">
        <v>106</v>
      </c>
      <c r="R1117" t="s">
        <v>106</v>
      </c>
      <c r="S1117" t="s">
        <v>106</v>
      </c>
      <c r="T1117" t="s">
        <v>1495</v>
      </c>
      <c r="U1117" t="s">
        <v>1590</v>
      </c>
      <c r="V1117" t="s">
        <v>106</v>
      </c>
      <c r="W1117" t="s">
        <v>443</v>
      </c>
      <c r="X1117" t="s">
        <v>106</v>
      </c>
      <c r="Y1117" t="s">
        <v>108</v>
      </c>
      <c r="Z1117" t="s">
        <v>104</v>
      </c>
      <c r="AA1117" t="s">
        <v>1450</v>
      </c>
      <c r="AB1117" t="s">
        <v>106</v>
      </c>
    </row>
    <row r="1118" spans="1:28" x14ac:dyDescent="0.3">
      <c r="A1118" t="s">
        <v>1440</v>
      </c>
      <c r="B1118">
        <v>4</v>
      </c>
      <c r="C1118">
        <v>60</v>
      </c>
      <c r="D1118">
        <v>37</v>
      </c>
      <c r="E1118" t="s">
        <v>128</v>
      </c>
      <c r="F1118" s="12">
        <v>45511</v>
      </c>
      <c r="G1118" t="s">
        <v>593</v>
      </c>
      <c r="H1118" s="12">
        <v>45511</v>
      </c>
      <c r="I1118" t="s">
        <v>321</v>
      </c>
      <c r="J1118" t="s">
        <v>458</v>
      </c>
      <c r="K1118">
        <v>2</v>
      </c>
      <c r="L1118">
        <v>54.2</v>
      </c>
      <c r="P1118" t="s">
        <v>106</v>
      </c>
      <c r="Q1118" t="s">
        <v>106</v>
      </c>
      <c r="R1118" t="s">
        <v>106</v>
      </c>
      <c r="S1118" t="s">
        <v>106</v>
      </c>
      <c r="T1118" t="s">
        <v>1409</v>
      </c>
      <c r="U1118" t="s">
        <v>1415</v>
      </c>
      <c r="V1118" t="s">
        <v>106</v>
      </c>
      <c r="W1118" t="s">
        <v>373</v>
      </c>
      <c r="X1118" t="s">
        <v>106</v>
      </c>
      <c r="Y1118" t="s">
        <v>108</v>
      </c>
      <c r="Z1118" t="s">
        <v>104</v>
      </c>
      <c r="AA1118" t="s">
        <v>1990</v>
      </c>
      <c r="AB1118" t="s">
        <v>106</v>
      </c>
    </row>
    <row r="1119" spans="1:28" x14ac:dyDescent="0.3">
      <c r="A1119" t="s">
        <v>1440</v>
      </c>
      <c r="B1119">
        <v>4</v>
      </c>
      <c r="C1119">
        <v>60</v>
      </c>
      <c r="D1119">
        <v>23</v>
      </c>
      <c r="E1119" t="s">
        <v>128</v>
      </c>
      <c r="F1119" s="12">
        <v>45511</v>
      </c>
      <c r="G1119" t="s">
        <v>462</v>
      </c>
      <c r="H1119" s="12">
        <v>45511</v>
      </c>
      <c r="I1119" t="s">
        <v>503</v>
      </c>
      <c r="J1119" t="s">
        <v>1363</v>
      </c>
      <c r="K1119">
        <v>2</v>
      </c>
      <c r="L1119">
        <v>55.8</v>
      </c>
      <c r="P1119" t="s">
        <v>106</v>
      </c>
      <c r="Q1119" t="s">
        <v>106</v>
      </c>
      <c r="R1119" t="s">
        <v>106</v>
      </c>
      <c r="S1119" t="s">
        <v>106</v>
      </c>
      <c r="T1119" t="s">
        <v>2095</v>
      </c>
      <c r="U1119" t="s">
        <v>429</v>
      </c>
      <c r="V1119" t="s">
        <v>106</v>
      </c>
      <c r="W1119" t="s">
        <v>443</v>
      </c>
      <c r="X1119" t="s">
        <v>106</v>
      </c>
      <c r="Y1119" t="s">
        <v>108</v>
      </c>
      <c r="Z1119" t="s">
        <v>108</v>
      </c>
      <c r="AA1119" t="s">
        <v>1450</v>
      </c>
      <c r="AB1119" t="s">
        <v>2707</v>
      </c>
    </row>
    <row r="1120" spans="1:28" x14ac:dyDescent="0.3">
      <c r="A1120" t="s">
        <v>1440</v>
      </c>
      <c r="B1120">
        <v>4</v>
      </c>
      <c r="C1120">
        <v>60</v>
      </c>
      <c r="D1120">
        <v>22</v>
      </c>
      <c r="E1120" t="s">
        <v>128</v>
      </c>
      <c r="F1120" s="12">
        <v>45511</v>
      </c>
      <c r="G1120" t="s">
        <v>462</v>
      </c>
      <c r="H1120" s="12">
        <v>45511</v>
      </c>
      <c r="I1120" t="s">
        <v>503</v>
      </c>
      <c r="J1120" t="s">
        <v>1363</v>
      </c>
      <c r="K1120">
        <v>2</v>
      </c>
      <c r="L1120">
        <v>53.7</v>
      </c>
      <c r="P1120" t="s">
        <v>106</v>
      </c>
      <c r="Q1120" t="s">
        <v>106</v>
      </c>
      <c r="R1120" t="s">
        <v>106</v>
      </c>
      <c r="S1120" t="s">
        <v>1056</v>
      </c>
      <c r="T1120" t="s">
        <v>722</v>
      </c>
      <c r="U1120" t="s">
        <v>1631</v>
      </c>
      <c r="V1120" t="s">
        <v>106</v>
      </c>
      <c r="W1120" t="s">
        <v>443</v>
      </c>
      <c r="X1120" t="s">
        <v>106</v>
      </c>
      <c r="Y1120" t="s">
        <v>108</v>
      </c>
      <c r="Z1120" t="s">
        <v>108</v>
      </c>
      <c r="AA1120" t="s">
        <v>1450</v>
      </c>
      <c r="AB1120" t="s">
        <v>2708</v>
      </c>
    </row>
    <row r="1121" spans="1:28" x14ac:dyDescent="0.3">
      <c r="A1121" t="s">
        <v>1440</v>
      </c>
      <c r="B1121">
        <v>2</v>
      </c>
      <c r="C1121">
        <v>15</v>
      </c>
      <c r="D1121">
        <v>63</v>
      </c>
      <c r="E1121" t="s">
        <v>128</v>
      </c>
      <c r="F1121" s="12">
        <v>45512</v>
      </c>
      <c r="G1121" t="s">
        <v>1737</v>
      </c>
      <c r="H1121" s="12">
        <v>45512</v>
      </c>
      <c r="I1121" t="s">
        <v>1052</v>
      </c>
      <c r="J1121" t="s">
        <v>1363</v>
      </c>
      <c r="K1121">
        <v>2</v>
      </c>
      <c r="L1121">
        <v>12.1</v>
      </c>
      <c r="P1121" t="s">
        <v>106</v>
      </c>
      <c r="Q1121" t="s">
        <v>106</v>
      </c>
      <c r="R1121" t="s">
        <v>106</v>
      </c>
      <c r="S1121" t="s">
        <v>106</v>
      </c>
      <c r="T1121" t="s">
        <v>2005</v>
      </c>
      <c r="U1121" t="s">
        <v>106</v>
      </c>
      <c r="V1121" t="s">
        <v>106</v>
      </c>
      <c r="W1121" t="s">
        <v>443</v>
      </c>
      <c r="X1121" t="s">
        <v>106</v>
      </c>
      <c r="Y1121" t="s">
        <v>108</v>
      </c>
      <c r="Z1121" t="s">
        <v>109</v>
      </c>
      <c r="AA1121" t="s">
        <v>106</v>
      </c>
      <c r="AB1121" t="s">
        <v>106</v>
      </c>
    </row>
    <row r="1122" spans="1:28" x14ac:dyDescent="0.3">
      <c r="A1122" t="s">
        <v>1440</v>
      </c>
      <c r="B1122">
        <v>2</v>
      </c>
      <c r="C1122">
        <v>15</v>
      </c>
      <c r="D1122">
        <v>57</v>
      </c>
      <c r="E1122" t="s">
        <v>128</v>
      </c>
      <c r="F1122" s="12">
        <v>45512</v>
      </c>
      <c r="G1122" t="s">
        <v>2006</v>
      </c>
      <c r="H1122" s="12">
        <v>45512</v>
      </c>
      <c r="I1122" t="s">
        <v>1905</v>
      </c>
      <c r="J1122" t="s">
        <v>1363</v>
      </c>
      <c r="K1122">
        <v>2</v>
      </c>
      <c r="L1122">
        <v>14.9</v>
      </c>
      <c r="P1122" t="s">
        <v>106</v>
      </c>
      <c r="Q1122" t="s">
        <v>106</v>
      </c>
      <c r="R1122" t="s">
        <v>106</v>
      </c>
      <c r="S1122" t="s">
        <v>106</v>
      </c>
      <c r="T1122" t="s">
        <v>1478</v>
      </c>
      <c r="U1122" t="s">
        <v>106</v>
      </c>
      <c r="V1122" t="s">
        <v>106</v>
      </c>
      <c r="W1122" t="s">
        <v>443</v>
      </c>
      <c r="X1122" t="s">
        <v>106</v>
      </c>
      <c r="Y1122" t="s">
        <v>108</v>
      </c>
      <c r="Z1122" t="s">
        <v>109</v>
      </c>
      <c r="AA1122" t="s">
        <v>106</v>
      </c>
      <c r="AB1122" t="s">
        <v>106</v>
      </c>
    </row>
    <row r="1123" spans="1:28" x14ac:dyDescent="0.3">
      <c r="A1123" t="s">
        <v>1440</v>
      </c>
      <c r="B1123">
        <v>2</v>
      </c>
      <c r="C1123">
        <v>15</v>
      </c>
      <c r="D1123">
        <v>58</v>
      </c>
      <c r="E1123" t="s">
        <v>128</v>
      </c>
      <c r="F1123" s="12">
        <v>45512</v>
      </c>
      <c r="G1123" t="s">
        <v>2006</v>
      </c>
      <c r="H1123" s="12">
        <v>45512</v>
      </c>
      <c r="I1123" t="s">
        <v>1905</v>
      </c>
      <c r="J1123" t="s">
        <v>1363</v>
      </c>
      <c r="K1123">
        <v>2</v>
      </c>
      <c r="L1123">
        <v>15</v>
      </c>
      <c r="P1123" t="s">
        <v>106</v>
      </c>
      <c r="Q1123" t="s">
        <v>106</v>
      </c>
      <c r="R1123" t="s">
        <v>106</v>
      </c>
      <c r="S1123" t="s">
        <v>106</v>
      </c>
      <c r="T1123" t="s">
        <v>1791</v>
      </c>
      <c r="U1123" t="s">
        <v>106</v>
      </c>
      <c r="V1123" t="s">
        <v>106</v>
      </c>
      <c r="W1123" t="s">
        <v>443</v>
      </c>
      <c r="X1123" t="s">
        <v>106</v>
      </c>
      <c r="Y1123" t="s">
        <v>108</v>
      </c>
      <c r="Z1123" t="s">
        <v>109</v>
      </c>
      <c r="AA1123" t="s">
        <v>106</v>
      </c>
      <c r="AB1123" t="s">
        <v>106</v>
      </c>
    </row>
    <row r="1124" spans="1:28" x14ac:dyDescent="0.3">
      <c r="A1124" t="s">
        <v>1440</v>
      </c>
      <c r="B1124">
        <v>3</v>
      </c>
      <c r="C1124">
        <v>35</v>
      </c>
      <c r="D1124">
        <v>66</v>
      </c>
      <c r="E1124" t="s">
        <v>128</v>
      </c>
      <c r="F1124" s="12">
        <v>45512</v>
      </c>
      <c r="G1124" t="s">
        <v>595</v>
      </c>
      <c r="H1124" s="12">
        <v>45512</v>
      </c>
      <c r="I1124" t="s">
        <v>1052</v>
      </c>
      <c r="J1124" t="s">
        <v>1363</v>
      </c>
      <c r="K1124">
        <v>2</v>
      </c>
      <c r="L1124">
        <v>31.9</v>
      </c>
      <c r="P1124" t="s">
        <v>106</v>
      </c>
      <c r="Q1124" t="s">
        <v>106</v>
      </c>
      <c r="R1124" t="s">
        <v>106</v>
      </c>
      <c r="S1124" t="s">
        <v>106</v>
      </c>
      <c r="T1124" t="s">
        <v>1004</v>
      </c>
      <c r="U1124" t="s">
        <v>106</v>
      </c>
      <c r="V1124" t="s">
        <v>106</v>
      </c>
      <c r="W1124" t="s">
        <v>443</v>
      </c>
      <c r="X1124" t="s">
        <v>106</v>
      </c>
      <c r="Y1124" t="s">
        <v>108</v>
      </c>
      <c r="Z1124" t="s">
        <v>104</v>
      </c>
      <c r="AA1124" t="s">
        <v>106</v>
      </c>
      <c r="AB1124" t="s">
        <v>106</v>
      </c>
    </row>
    <row r="1125" spans="1:28" x14ac:dyDescent="0.3">
      <c r="A1125" t="s">
        <v>1440</v>
      </c>
      <c r="B1125">
        <v>3</v>
      </c>
      <c r="C1125">
        <v>35</v>
      </c>
      <c r="D1125">
        <v>60</v>
      </c>
      <c r="E1125" t="s">
        <v>128</v>
      </c>
      <c r="F1125" s="12">
        <v>45512</v>
      </c>
      <c r="G1125" t="s">
        <v>1187</v>
      </c>
      <c r="H1125" s="12">
        <v>45512</v>
      </c>
      <c r="I1125" t="s">
        <v>1905</v>
      </c>
      <c r="J1125" t="s">
        <v>1363</v>
      </c>
      <c r="K1125">
        <v>2</v>
      </c>
      <c r="L1125">
        <v>35</v>
      </c>
      <c r="P1125" t="s">
        <v>106</v>
      </c>
      <c r="Q1125" t="s">
        <v>106</v>
      </c>
      <c r="R1125" t="s">
        <v>106</v>
      </c>
      <c r="S1125" t="s">
        <v>106</v>
      </c>
      <c r="T1125" t="s">
        <v>996</v>
      </c>
      <c r="U1125" t="s">
        <v>106</v>
      </c>
      <c r="V1125" t="s">
        <v>106</v>
      </c>
      <c r="W1125" t="s">
        <v>443</v>
      </c>
      <c r="X1125" t="s">
        <v>106</v>
      </c>
      <c r="Y1125" t="s">
        <v>108</v>
      </c>
      <c r="Z1125" t="s">
        <v>108</v>
      </c>
      <c r="AA1125" t="s">
        <v>106</v>
      </c>
      <c r="AB1125" t="s">
        <v>106</v>
      </c>
    </row>
    <row r="1126" spans="1:28" x14ac:dyDescent="0.3">
      <c r="A1126" t="s">
        <v>1440</v>
      </c>
      <c r="B1126">
        <v>3</v>
      </c>
      <c r="C1126">
        <v>35</v>
      </c>
      <c r="D1126">
        <v>59</v>
      </c>
      <c r="E1126" t="s">
        <v>128</v>
      </c>
      <c r="F1126" s="12">
        <v>45512</v>
      </c>
      <c r="G1126" t="s">
        <v>1187</v>
      </c>
      <c r="H1126" s="12">
        <v>45512</v>
      </c>
      <c r="I1126" t="s">
        <v>1905</v>
      </c>
      <c r="J1126" t="s">
        <v>1363</v>
      </c>
      <c r="K1126">
        <v>2</v>
      </c>
      <c r="L1126">
        <v>34.6</v>
      </c>
      <c r="P1126" t="s">
        <v>106</v>
      </c>
      <c r="Q1126" t="s">
        <v>106</v>
      </c>
      <c r="R1126" t="s">
        <v>106</v>
      </c>
      <c r="S1126" t="s">
        <v>106</v>
      </c>
      <c r="T1126" t="s">
        <v>981</v>
      </c>
      <c r="U1126" t="s">
        <v>106</v>
      </c>
      <c r="V1126" t="s">
        <v>106</v>
      </c>
      <c r="W1126" t="s">
        <v>443</v>
      </c>
      <c r="X1126" t="s">
        <v>106</v>
      </c>
      <c r="Y1126" t="s">
        <v>108</v>
      </c>
      <c r="Z1126" t="s">
        <v>108</v>
      </c>
      <c r="AA1126" t="s">
        <v>106</v>
      </c>
      <c r="AB1126" t="s">
        <v>106</v>
      </c>
    </row>
    <row r="1127" spans="1:28" x14ac:dyDescent="0.3">
      <c r="A1127" t="s">
        <v>1440</v>
      </c>
      <c r="B1127">
        <v>3</v>
      </c>
      <c r="C1127">
        <v>35</v>
      </c>
      <c r="D1127">
        <v>65</v>
      </c>
      <c r="E1127" t="s">
        <v>128</v>
      </c>
      <c r="F1127" s="12">
        <v>45512</v>
      </c>
      <c r="G1127" t="s">
        <v>595</v>
      </c>
      <c r="H1127" s="12">
        <v>45512</v>
      </c>
      <c r="I1127" t="s">
        <v>1052</v>
      </c>
      <c r="J1127" t="s">
        <v>1363</v>
      </c>
      <c r="K1127">
        <v>2</v>
      </c>
      <c r="L1127">
        <v>31.6</v>
      </c>
      <c r="P1127" t="s">
        <v>106</v>
      </c>
      <c r="Q1127" t="s">
        <v>106</v>
      </c>
      <c r="R1127" t="s">
        <v>106</v>
      </c>
      <c r="S1127" t="s">
        <v>106</v>
      </c>
      <c r="T1127" t="s">
        <v>1793</v>
      </c>
      <c r="U1127" t="s">
        <v>106</v>
      </c>
      <c r="V1127" t="s">
        <v>106</v>
      </c>
      <c r="W1127" t="s">
        <v>443</v>
      </c>
      <c r="X1127" t="s">
        <v>106</v>
      </c>
      <c r="Y1127" t="s">
        <v>108</v>
      </c>
      <c r="Z1127" t="s">
        <v>104</v>
      </c>
      <c r="AA1127" t="s">
        <v>106</v>
      </c>
      <c r="AB1127" t="s">
        <v>106</v>
      </c>
    </row>
    <row r="1128" spans="1:28" x14ac:dyDescent="0.3">
      <c r="A1128" t="s">
        <v>1440</v>
      </c>
      <c r="B1128">
        <v>4</v>
      </c>
      <c r="C1128">
        <v>60</v>
      </c>
      <c r="D1128">
        <v>64</v>
      </c>
      <c r="E1128" t="s">
        <v>128</v>
      </c>
      <c r="F1128" s="12">
        <v>45512</v>
      </c>
      <c r="G1128" t="s">
        <v>1737</v>
      </c>
      <c r="H1128" s="12">
        <v>45512</v>
      </c>
      <c r="I1128" t="s">
        <v>1052</v>
      </c>
      <c r="J1128" t="s">
        <v>1363</v>
      </c>
      <c r="K1128">
        <v>2</v>
      </c>
      <c r="L1128">
        <v>51</v>
      </c>
      <c r="P1128" t="s">
        <v>106</v>
      </c>
      <c r="Q1128" t="s">
        <v>106</v>
      </c>
      <c r="R1128" t="s">
        <v>106</v>
      </c>
      <c r="S1128" t="s">
        <v>106</v>
      </c>
      <c r="T1128" t="s">
        <v>1543</v>
      </c>
      <c r="U1128" t="s">
        <v>106</v>
      </c>
      <c r="V1128" t="s">
        <v>106</v>
      </c>
      <c r="W1128" t="s">
        <v>443</v>
      </c>
      <c r="X1128" t="s">
        <v>106</v>
      </c>
      <c r="Y1128" t="s">
        <v>108</v>
      </c>
      <c r="Z1128" t="s">
        <v>104</v>
      </c>
      <c r="AA1128" t="s">
        <v>106</v>
      </c>
      <c r="AB1128" t="s">
        <v>106</v>
      </c>
    </row>
    <row r="1129" spans="1:28" x14ac:dyDescent="0.3">
      <c r="A1129" t="s">
        <v>1440</v>
      </c>
      <c r="B1129">
        <v>4</v>
      </c>
      <c r="C1129">
        <v>60</v>
      </c>
      <c r="D1129">
        <v>62</v>
      </c>
      <c r="E1129" t="s">
        <v>128</v>
      </c>
      <c r="F1129" s="12">
        <v>45512</v>
      </c>
      <c r="G1129" t="s">
        <v>2709</v>
      </c>
      <c r="H1129" s="12">
        <v>45512</v>
      </c>
      <c r="I1129" t="s">
        <v>1905</v>
      </c>
      <c r="J1129" t="s">
        <v>1363</v>
      </c>
      <c r="K1129">
        <v>2</v>
      </c>
      <c r="L1129">
        <v>56.3</v>
      </c>
      <c r="P1129" t="s">
        <v>106</v>
      </c>
      <c r="Q1129" t="s">
        <v>106</v>
      </c>
      <c r="R1129" t="s">
        <v>106</v>
      </c>
      <c r="S1129" t="s">
        <v>106</v>
      </c>
      <c r="T1129" t="s">
        <v>1959</v>
      </c>
      <c r="U1129" t="s">
        <v>106</v>
      </c>
      <c r="V1129" t="s">
        <v>106</v>
      </c>
      <c r="W1129" t="s">
        <v>443</v>
      </c>
      <c r="X1129" t="s">
        <v>106</v>
      </c>
      <c r="Y1129" t="s">
        <v>108</v>
      </c>
      <c r="Z1129" t="s">
        <v>104</v>
      </c>
      <c r="AA1129" t="s">
        <v>106</v>
      </c>
      <c r="AB1129" t="s">
        <v>106</v>
      </c>
    </row>
    <row r="1130" spans="1:28" x14ac:dyDescent="0.3">
      <c r="A1130" t="s">
        <v>1440</v>
      </c>
      <c r="B1130">
        <v>4</v>
      </c>
      <c r="C1130">
        <v>60</v>
      </c>
      <c r="D1130">
        <v>61</v>
      </c>
      <c r="E1130" t="s">
        <v>128</v>
      </c>
      <c r="F1130" s="12">
        <v>45512</v>
      </c>
      <c r="G1130" t="s">
        <v>1187</v>
      </c>
      <c r="H1130" s="12">
        <v>45512</v>
      </c>
      <c r="I1130" t="s">
        <v>1905</v>
      </c>
      <c r="J1130" t="s">
        <v>1363</v>
      </c>
      <c r="K1130">
        <v>2</v>
      </c>
      <c r="L1130">
        <v>56.1</v>
      </c>
      <c r="P1130" t="s">
        <v>106</v>
      </c>
      <c r="Q1130" t="s">
        <v>106</v>
      </c>
      <c r="R1130" t="s">
        <v>106</v>
      </c>
      <c r="S1130" t="s">
        <v>106</v>
      </c>
      <c r="T1130" t="s">
        <v>1459</v>
      </c>
      <c r="U1130" t="s">
        <v>106</v>
      </c>
      <c r="V1130" t="s">
        <v>106</v>
      </c>
      <c r="W1130" t="s">
        <v>443</v>
      </c>
      <c r="X1130" t="s">
        <v>106</v>
      </c>
      <c r="Y1130" t="s">
        <v>108</v>
      </c>
      <c r="Z1130" t="s">
        <v>104</v>
      </c>
      <c r="AA1130" t="s">
        <v>106</v>
      </c>
      <c r="AB1130" t="s">
        <v>106</v>
      </c>
    </row>
    <row r="1131" spans="1:28" x14ac:dyDescent="0.3">
      <c r="A1131" t="s">
        <v>1452</v>
      </c>
      <c r="B1131">
        <v>1</v>
      </c>
      <c r="C1131">
        <v>0</v>
      </c>
      <c r="D1131">
        <v>9</v>
      </c>
      <c r="E1131" t="s">
        <v>110</v>
      </c>
      <c r="F1131" s="12">
        <v>45531</v>
      </c>
      <c r="G1131" t="s">
        <v>524</v>
      </c>
      <c r="H1131" s="12">
        <v>45531</v>
      </c>
      <c r="I1131" t="s">
        <v>535</v>
      </c>
      <c r="J1131" t="s">
        <v>425</v>
      </c>
      <c r="L1131">
        <v>0</v>
      </c>
      <c r="P1131" t="s">
        <v>106</v>
      </c>
      <c r="Q1131" t="s">
        <v>106</v>
      </c>
      <c r="R1131" t="s">
        <v>106</v>
      </c>
      <c r="S1131" t="s">
        <v>106</v>
      </c>
      <c r="T1131" t="s">
        <v>1453</v>
      </c>
      <c r="U1131" t="s">
        <v>106</v>
      </c>
      <c r="V1131" t="s">
        <v>106</v>
      </c>
      <c r="W1131" t="s">
        <v>443</v>
      </c>
      <c r="X1131" t="s">
        <v>106</v>
      </c>
      <c r="Y1131" t="s">
        <v>108</v>
      </c>
      <c r="Z1131" t="s">
        <v>105</v>
      </c>
      <c r="AA1131" t="s">
        <v>1454</v>
      </c>
      <c r="AB1131" t="s">
        <v>106</v>
      </c>
    </row>
    <row r="1132" spans="1:28" x14ac:dyDescent="0.3">
      <c r="A1132" t="s">
        <v>1452</v>
      </c>
      <c r="B1132">
        <v>1</v>
      </c>
      <c r="C1132">
        <v>0</v>
      </c>
      <c r="D1132">
        <v>8</v>
      </c>
      <c r="E1132" t="s">
        <v>110</v>
      </c>
      <c r="F1132" s="12">
        <v>45531</v>
      </c>
      <c r="G1132" t="s">
        <v>363</v>
      </c>
      <c r="H1132" s="12">
        <v>45531</v>
      </c>
      <c r="I1132" t="s">
        <v>535</v>
      </c>
      <c r="J1132" t="s">
        <v>425</v>
      </c>
      <c r="L1132">
        <v>0</v>
      </c>
      <c r="P1132" t="s">
        <v>106</v>
      </c>
      <c r="Q1132" t="s">
        <v>106</v>
      </c>
      <c r="R1132" t="s">
        <v>106</v>
      </c>
      <c r="S1132" t="s">
        <v>1455</v>
      </c>
      <c r="T1132" t="s">
        <v>1425</v>
      </c>
      <c r="U1132" t="s">
        <v>106</v>
      </c>
      <c r="V1132" t="s">
        <v>106</v>
      </c>
      <c r="W1132" t="s">
        <v>443</v>
      </c>
      <c r="X1132" t="s">
        <v>106</v>
      </c>
      <c r="Y1132" t="s">
        <v>108</v>
      </c>
      <c r="Z1132" t="s">
        <v>105</v>
      </c>
      <c r="AA1132" t="s">
        <v>1454</v>
      </c>
      <c r="AB1132" t="s">
        <v>106</v>
      </c>
    </row>
    <row r="1133" spans="1:28" x14ac:dyDescent="0.3">
      <c r="A1133" t="s">
        <v>1452</v>
      </c>
      <c r="B1133">
        <v>2</v>
      </c>
      <c r="C1133">
        <v>15</v>
      </c>
      <c r="D1133">
        <v>3</v>
      </c>
      <c r="E1133" t="s">
        <v>110</v>
      </c>
      <c r="F1133" s="12">
        <v>45531</v>
      </c>
      <c r="G1133" t="s">
        <v>142</v>
      </c>
      <c r="H1133" s="12">
        <v>45531</v>
      </c>
      <c r="I1133" t="s">
        <v>535</v>
      </c>
      <c r="J1133" t="s">
        <v>425</v>
      </c>
      <c r="L1133">
        <v>16.600000000000001</v>
      </c>
      <c r="P1133" t="s">
        <v>106</v>
      </c>
      <c r="Q1133" t="s">
        <v>106</v>
      </c>
      <c r="R1133" t="s">
        <v>106</v>
      </c>
      <c r="S1133" t="s">
        <v>2007</v>
      </c>
      <c r="T1133" t="s">
        <v>1006</v>
      </c>
      <c r="U1133" t="s">
        <v>106</v>
      </c>
      <c r="V1133" t="s">
        <v>106</v>
      </c>
      <c r="W1133" t="s">
        <v>443</v>
      </c>
      <c r="X1133" t="s">
        <v>106</v>
      </c>
      <c r="Y1133" t="s">
        <v>108</v>
      </c>
      <c r="Z1133" t="s">
        <v>109</v>
      </c>
      <c r="AA1133" t="s">
        <v>1454</v>
      </c>
      <c r="AB1133" t="s">
        <v>106</v>
      </c>
    </row>
    <row r="1134" spans="1:28" x14ac:dyDescent="0.3">
      <c r="A1134" t="s">
        <v>1452</v>
      </c>
      <c r="B1134">
        <v>2</v>
      </c>
      <c r="C1134">
        <v>15</v>
      </c>
      <c r="D1134">
        <v>4</v>
      </c>
      <c r="E1134" t="s">
        <v>110</v>
      </c>
      <c r="F1134" s="12">
        <v>45531</v>
      </c>
      <c r="G1134" t="s">
        <v>142</v>
      </c>
      <c r="H1134" s="12">
        <v>45531</v>
      </c>
      <c r="I1134" t="s">
        <v>535</v>
      </c>
      <c r="J1134" t="s">
        <v>425</v>
      </c>
      <c r="L1134">
        <v>16.899999999999999</v>
      </c>
      <c r="P1134" t="s">
        <v>106</v>
      </c>
      <c r="Q1134" t="s">
        <v>106</v>
      </c>
      <c r="R1134" t="s">
        <v>106</v>
      </c>
      <c r="S1134" t="s">
        <v>106</v>
      </c>
      <c r="T1134" t="s">
        <v>1431</v>
      </c>
      <c r="U1134" t="s">
        <v>106</v>
      </c>
      <c r="V1134" t="s">
        <v>106</v>
      </c>
      <c r="W1134" t="s">
        <v>443</v>
      </c>
      <c r="X1134" t="s">
        <v>106</v>
      </c>
      <c r="Y1134" t="s">
        <v>108</v>
      </c>
      <c r="Z1134" t="s">
        <v>109</v>
      </c>
      <c r="AA1134" t="s">
        <v>1454</v>
      </c>
      <c r="AB1134" t="s">
        <v>106</v>
      </c>
    </row>
    <row r="1135" spans="1:28" x14ac:dyDescent="0.3">
      <c r="A1135" t="s">
        <v>1452</v>
      </c>
      <c r="B1135">
        <v>3</v>
      </c>
      <c r="C1135">
        <v>35</v>
      </c>
      <c r="D1135">
        <v>1</v>
      </c>
      <c r="E1135" t="s">
        <v>110</v>
      </c>
      <c r="F1135" s="12">
        <v>45531</v>
      </c>
      <c r="G1135" t="s">
        <v>400</v>
      </c>
      <c r="H1135" s="12">
        <v>45531</v>
      </c>
      <c r="I1135" t="s">
        <v>535</v>
      </c>
      <c r="J1135" t="s">
        <v>425</v>
      </c>
      <c r="L1135">
        <v>38</v>
      </c>
      <c r="P1135" t="s">
        <v>106</v>
      </c>
      <c r="Q1135" t="s">
        <v>106</v>
      </c>
      <c r="R1135" t="s">
        <v>106</v>
      </c>
      <c r="S1135" t="s">
        <v>2467</v>
      </c>
      <c r="T1135" t="s">
        <v>1431</v>
      </c>
      <c r="U1135" t="s">
        <v>106</v>
      </c>
      <c r="V1135" t="s">
        <v>106</v>
      </c>
      <c r="W1135" t="s">
        <v>443</v>
      </c>
      <c r="X1135" t="s">
        <v>106</v>
      </c>
      <c r="Y1135" t="s">
        <v>108</v>
      </c>
      <c r="Z1135" t="s">
        <v>108</v>
      </c>
      <c r="AA1135" t="s">
        <v>106</v>
      </c>
      <c r="AB1135" t="s">
        <v>106</v>
      </c>
    </row>
    <row r="1136" spans="1:28" x14ac:dyDescent="0.3">
      <c r="A1136" t="s">
        <v>1452</v>
      </c>
      <c r="B1136">
        <v>3</v>
      </c>
      <c r="C1136">
        <v>35</v>
      </c>
      <c r="D1136">
        <v>7</v>
      </c>
      <c r="E1136" t="s">
        <v>110</v>
      </c>
      <c r="F1136" s="12">
        <v>45531</v>
      </c>
      <c r="G1136" t="s">
        <v>363</v>
      </c>
      <c r="H1136" s="12">
        <v>45531</v>
      </c>
      <c r="I1136" t="s">
        <v>535</v>
      </c>
      <c r="J1136" t="s">
        <v>425</v>
      </c>
      <c r="L1136">
        <v>37.4</v>
      </c>
      <c r="P1136" t="s">
        <v>106</v>
      </c>
      <c r="Q1136" t="s">
        <v>106</v>
      </c>
      <c r="R1136" t="s">
        <v>106</v>
      </c>
      <c r="S1136" t="s">
        <v>106</v>
      </c>
      <c r="T1136" t="s">
        <v>1409</v>
      </c>
      <c r="U1136" t="s">
        <v>106</v>
      </c>
      <c r="V1136" t="s">
        <v>106</v>
      </c>
      <c r="W1136" t="s">
        <v>443</v>
      </c>
      <c r="X1136" t="s">
        <v>106</v>
      </c>
      <c r="Y1136" t="s">
        <v>108</v>
      </c>
      <c r="Z1136" t="s">
        <v>108</v>
      </c>
      <c r="AA1136" t="s">
        <v>1454</v>
      </c>
      <c r="AB1136" t="s">
        <v>106</v>
      </c>
    </row>
    <row r="1137" spans="1:28" x14ac:dyDescent="0.3">
      <c r="A1137" t="s">
        <v>1452</v>
      </c>
      <c r="B1137">
        <v>3</v>
      </c>
      <c r="C1137">
        <v>35</v>
      </c>
      <c r="D1137">
        <v>2</v>
      </c>
      <c r="E1137" t="s">
        <v>110</v>
      </c>
      <c r="F1137" s="12">
        <v>45531</v>
      </c>
      <c r="G1137" t="s">
        <v>400</v>
      </c>
      <c r="H1137" s="12">
        <v>45531</v>
      </c>
      <c r="I1137" t="s">
        <v>535</v>
      </c>
      <c r="J1137" t="s">
        <v>425</v>
      </c>
      <c r="L1137">
        <v>37.6</v>
      </c>
      <c r="P1137" t="s">
        <v>106</v>
      </c>
      <c r="Q1137" t="s">
        <v>106</v>
      </c>
      <c r="R1137" t="s">
        <v>106</v>
      </c>
      <c r="S1137" t="s">
        <v>106</v>
      </c>
      <c r="T1137" t="s">
        <v>1796</v>
      </c>
      <c r="U1137" t="s">
        <v>106</v>
      </c>
      <c r="V1137" t="s">
        <v>106</v>
      </c>
      <c r="W1137" t="s">
        <v>443</v>
      </c>
      <c r="X1137" t="s">
        <v>106</v>
      </c>
      <c r="Y1137" t="s">
        <v>108</v>
      </c>
      <c r="Z1137" t="s">
        <v>108</v>
      </c>
      <c r="AA1137" t="s">
        <v>106</v>
      </c>
      <c r="AB1137" t="s">
        <v>106</v>
      </c>
    </row>
    <row r="1138" spans="1:28" x14ac:dyDescent="0.3">
      <c r="A1138" t="s">
        <v>1452</v>
      </c>
      <c r="B1138">
        <v>4</v>
      </c>
      <c r="C1138">
        <v>60</v>
      </c>
      <c r="D1138">
        <v>6</v>
      </c>
      <c r="E1138" t="s">
        <v>110</v>
      </c>
      <c r="F1138" s="12">
        <v>45531</v>
      </c>
      <c r="G1138" t="s">
        <v>313</v>
      </c>
      <c r="H1138" s="12">
        <v>45531</v>
      </c>
      <c r="I1138" t="s">
        <v>535</v>
      </c>
      <c r="J1138" t="s">
        <v>425</v>
      </c>
      <c r="L1138">
        <v>64.5</v>
      </c>
      <c r="P1138" t="s">
        <v>106</v>
      </c>
      <c r="Q1138" t="s">
        <v>106</v>
      </c>
      <c r="R1138" t="s">
        <v>106</v>
      </c>
      <c r="S1138" t="s">
        <v>106</v>
      </c>
      <c r="T1138" t="s">
        <v>1529</v>
      </c>
      <c r="U1138" t="s">
        <v>106</v>
      </c>
      <c r="V1138" t="s">
        <v>106</v>
      </c>
      <c r="W1138" t="s">
        <v>443</v>
      </c>
      <c r="X1138" t="s">
        <v>106</v>
      </c>
      <c r="Y1138" t="s">
        <v>108</v>
      </c>
      <c r="Z1138" t="s">
        <v>104</v>
      </c>
      <c r="AA1138" t="s">
        <v>1454</v>
      </c>
      <c r="AB1138" t="s">
        <v>106</v>
      </c>
    </row>
    <row r="1139" spans="1:28" x14ac:dyDescent="0.3">
      <c r="A1139" t="s">
        <v>1452</v>
      </c>
      <c r="B1139">
        <v>4</v>
      </c>
      <c r="C1139">
        <v>60</v>
      </c>
      <c r="D1139">
        <v>5</v>
      </c>
      <c r="E1139" t="s">
        <v>110</v>
      </c>
      <c r="F1139" s="12">
        <v>45531</v>
      </c>
      <c r="G1139" t="s">
        <v>313</v>
      </c>
      <c r="H1139" s="12">
        <v>45531</v>
      </c>
      <c r="I1139" t="s">
        <v>535</v>
      </c>
      <c r="J1139" t="s">
        <v>425</v>
      </c>
      <c r="L1139">
        <v>63.3</v>
      </c>
      <c r="P1139" t="s">
        <v>106</v>
      </c>
      <c r="Q1139" t="s">
        <v>106</v>
      </c>
      <c r="R1139" t="s">
        <v>106</v>
      </c>
      <c r="S1139" t="s">
        <v>2710</v>
      </c>
      <c r="T1139" t="s">
        <v>984</v>
      </c>
      <c r="U1139" t="s">
        <v>106</v>
      </c>
      <c r="V1139" t="s">
        <v>106</v>
      </c>
      <c r="W1139" t="s">
        <v>443</v>
      </c>
      <c r="X1139" t="s">
        <v>106</v>
      </c>
      <c r="Y1139" t="s">
        <v>108</v>
      </c>
      <c r="Z1139" t="s">
        <v>104</v>
      </c>
      <c r="AA1139" t="s">
        <v>1454</v>
      </c>
      <c r="AB1139" t="s">
        <v>106</v>
      </c>
    </row>
    <row r="1140" spans="1:28" x14ac:dyDescent="0.3">
      <c r="A1140" t="s">
        <v>1452</v>
      </c>
      <c r="B1140">
        <v>2</v>
      </c>
      <c r="C1140">
        <v>15</v>
      </c>
      <c r="D1140">
        <v>18</v>
      </c>
      <c r="E1140" t="s">
        <v>128</v>
      </c>
      <c r="F1140" s="12">
        <v>45545</v>
      </c>
      <c r="G1140" t="s">
        <v>582</v>
      </c>
      <c r="H1140" s="12">
        <v>45545</v>
      </c>
      <c r="I1140" t="s">
        <v>134</v>
      </c>
      <c r="J1140" t="s">
        <v>1363</v>
      </c>
      <c r="K1140">
        <v>2</v>
      </c>
      <c r="L1140">
        <v>13.8</v>
      </c>
      <c r="P1140" t="s">
        <v>106</v>
      </c>
      <c r="Q1140" t="s">
        <v>106</v>
      </c>
      <c r="R1140" t="s">
        <v>106</v>
      </c>
      <c r="S1140" t="s">
        <v>106</v>
      </c>
      <c r="T1140" t="s">
        <v>1074</v>
      </c>
      <c r="U1140" t="s">
        <v>1345</v>
      </c>
      <c r="V1140" t="s">
        <v>106</v>
      </c>
      <c r="W1140" t="s">
        <v>443</v>
      </c>
      <c r="X1140" t="s">
        <v>106</v>
      </c>
      <c r="Y1140" t="s">
        <v>108</v>
      </c>
      <c r="Z1140" t="s">
        <v>109</v>
      </c>
      <c r="AA1140" t="s">
        <v>106</v>
      </c>
      <c r="AB1140" t="s">
        <v>106</v>
      </c>
    </row>
    <row r="1141" spans="1:28" x14ac:dyDescent="0.3">
      <c r="A1141" t="s">
        <v>1452</v>
      </c>
      <c r="B1141">
        <v>2</v>
      </c>
      <c r="C1141">
        <v>15</v>
      </c>
      <c r="D1141">
        <v>27</v>
      </c>
      <c r="E1141" t="s">
        <v>128</v>
      </c>
      <c r="F1141" s="12">
        <v>45545</v>
      </c>
      <c r="G1141" t="s">
        <v>537</v>
      </c>
      <c r="H1141" s="12">
        <v>45545</v>
      </c>
      <c r="I1141" t="s">
        <v>106</v>
      </c>
      <c r="J1141" t="s">
        <v>1363</v>
      </c>
      <c r="L1141">
        <v>13.3</v>
      </c>
      <c r="P1141" t="s">
        <v>106</v>
      </c>
      <c r="Q1141" t="s">
        <v>106</v>
      </c>
      <c r="R1141" t="s">
        <v>106</v>
      </c>
      <c r="S1141" t="s">
        <v>106</v>
      </c>
      <c r="T1141" t="s">
        <v>981</v>
      </c>
      <c r="U1141" t="s">
        <v>106</v>
      </c>
      <c r="V1141" t="s">
        <v>106</v>
      </c>
      <c r="W1141" t="s">
        <v>443</v>
      </c>
      <c r="X1141" t="s">
        <v>106</v>
      </c>
      <c r="Y1141" t="s">
        <v>108</v>
      </c>
      <c r="Z1141" t="s">
        <v>108</v>
      </c>
      <c r="AA1141" t="s">
        <v>106</v>
      </c>
      <c r="AB1141" t="s">
        <v>106</v>
      </c>
    </row>
    <row r="1142" spans="1:28" x14ac:dyDescent="0.3">
      <c r="A1142" t="s">
        <v>1452</v>
      </c>
      <c r="B1142">
        <v>2</v>
      </c>
      <c r="C1142">
        <v>15</v>
      </c>
      <c r="D1142">
        <v>14</v>
      </c>
      <c r="E1142" t="s">
        <v>110</v>
      </c>
      <c r="F1142" s="12">
        <v>45545</v>
      </c>
      <c r="G1142" t="s">
        <v>608</v>
      </c>
      <c r="H1142" s="12">
        <v>45545</v>
      </c>
      <c r="I1142" t="s">
        <v>410</v>
      </c>
      <c r="J1142" t="s">
        <v>425</v>
      </c>
      <c r="L1142">
        <v>15.5</v>
      </c>
      <c r="P1142" t="s">
        <v>106</v>
      </c>
      <c r="Q1142" t="s">
        <v>106</v>
      </c>
      <c r="R1142" t="s">
        <v>106</v>
      </c>
      <c r="S1142" t="s">
        <v>106</v>
      </c>
      <c r="T1142" t="s">
        <v>1108</v>
      </c>
      <c r="U1142" t="s">
        <v>426</v>
      </c>
      <c r="V1142" t="s">
        <v>106</v>
      </c>
      <c r="W1142" t="s">
        <v>443</v>
      </c>
      <c r="X1142" t="s">
        <v>106</v>
      </c>
      <c r="Y1142" t="s">
        <v>108</v>
      </c>
      <c r="Z1142" t="s">
        <v>105</v>
      </c>
      <c r="AA1142" t="s">
        <v>1454</v>
      </c>
      <c r="AB1142" t="s">
        <v>2008</v>
      </c>
    </row>
    <row r="1143" spans="1:28" x14ac:dyDescent="0.3">
      <c r="A1143" t="s">
        <v>1452</v>
      </c>
      <c r="B1143">
        <v>2</v>
      </c>
      <c r="C1143">
        <v>15</v>
      </c>
      <c r="D1143">
        <v>45</v>
      </c>
      <c r="E1143" t="s">
        <v>128</v>
      </c>
      <c r="F1143" s="12">
        <v>45545</v>
      </c>
      <c r="G1143" t="s">
        <v>1602</v>
      </c>
      <c r="H1143" s="12">
        <v>45545</v>
      </c>
      <c r="I1143" t="s">
        <v>106</v>
      </c>
      <c r="J1143" t="s">
        <v>106</v>
      </c>
      <c r="P1143" t="s">
        <v>106</v>
      </c>
      <c r="Q1143" t="s">
        <v>106</v>
      </c>
      <c r="R1143" t="s">
        <v>106</v>
      </c>
      <c r="S1143" t="s">
        <v>106</v>
      </c>
      <c r="T1143" t="s">
        <v>106</v>
      </c>
      <c r="U1143" t="s">
        <v>106</v>
      </c>
      <c r="V1143" t="s">
        <v>106</v>
      </c>
      <c r="W1143" t="s">
        <v>443</v>
      </c>
      <c r="X1143" t="s">
        <v>106</v>
      </c>
      <c r="Y1143" t="s">
        <v>108</v>
      </c>
      <c r="Z1143" t="s">
        <v>104</v>
      </c>
      <c r="AA1143" t="s">
        <v>106</v>
      </c>
      <c r="AB1143" t="s">
        <v>106</v>
      </c>
    </row>
    <row r="1144" spans="1:28" x14ac:dyDescent="0.3">
      <c r="A1144" t="s">
        <v>1452</v>
      </c>
      <c r="B1144">
        <v>2</v>
      </c>
      <c r="C1144">
        <v>15</v>
      </c>
      <c r="D1144">
        <v>19</v>
      </c>
      <c r="E1144" t="s">
        <v>128</v>
      </c>
      <c r="F1144" s="12">
        <v>45545</v>
      </c>
      <c r="G1144" t="s">
        <v>494</v>
      </c>
      <c r="H1144" s="12">
        <v>45545</v>
      </c>
      <c r="I1144" t="s">
        <v>134</v>
      </c>
      <c r="J1144" t="s">
        <v>1363</v>
      </c>
      <c r="K1144">
        <v>2</v>
      </c>
      <c r="L1144">
        <v>14.4</v>
      </c>
      <c r="P1144" t="s">
        <v>106</v>
      </c>
      <c r="Q1144" t="s">
        <v>106</v>
      </c>
      <c r="R1144" t="s">
        <v>106</v>
      </c>
      <c r="S1144" t="s">
        <v>106</v>
      </c>
      <c r="T1144" t="s">
        <v>776</v>
      </c>
      <c r="U1144" t="s">
        <v>141</v>
      </c>
      <c r="V1144" t="s">
        <v>106</v>
      </c>
      <c r="W1144" t="s">
        <v>443</v>
      </c>
      <c r="X1144" t="s">
        <v>106</v>
      </c>
      <c r="Y1144" t="s">
        <v>108</v>
      </c>
      <c r="Z1144" t="s">
        <v>109</v>
      </c>
      <c r="AA1144" t="s">
        <v>106</v>
      </c>
      <c r="AB1144" t="s">
        <v>106</v>
      </c>
    </row>
    <row r="1145" spans="1:28" x14ac:dyDescent="0.3">
      <c r="A1145" t="s">
        <v>1452</v>
      </c>
      <c r="B1145">
        <v>2</v>
      </c>
      <c r="C1145">
        <v>15</v>
      </c>
      <c r="D1145">
        <v>26</v>
      </c>
      <c r="E1145" t="s">
        <v>128</v>
      </c>
      <c r="F1145" s="12">
        <v>45545</v>
      </c>
      <c r="G1145" t="s">
        <v>537</v>
      </c>
      <c r="H1145" s="12">
        <v>45545</v>
      </c>
      <c r="I1145" t="s">
        <v>106</v>
      </c>
      <c r="J1145" t="s">
        <v>1363</v>
      </c>
      <c r="L1145">
        <v>14.2</v>
      </c>
      <c r="P1145" t="s">
        <v>106</v>
      </c>
      <c r="Q1145" t="s">
        <v>106</v>
      </c>
      <c r="R1145" t="s">
        <v>106</v>
      </c>
      <c r="S1145" t="s">
        <v>106</v>
      </c>
      <c r="T1145" t="s">
        <v>2009</v>
      </c>
      <c r="U1145" t="s">
        <v>106</v>
      </c>
      <c r="V1145" t="s">
        <v>106</v>
      </c>
      <c r="W1145" t="s">
        <v>443</v>
      </c>
      <c r="X1145" t="s">
        <v>106</v>
      </c>
      <c r="Y1145" t="s">
        <v>108</v>
      </c>
      <c r="Z1145" t="s">
        <v>108</v>
      </c>
      <c r="AA1145" t="s">
        <v>106</v>
      </c>
      <c r="AB1145" t="s">
        <v>106</v>
      </c>
    </row>
    <row r="1146" spans="1:28" x14ac:dyDescent="0.3">
      <c r="A1146" t="s">
        <v>1452</v>
      </c>
      <c r="B1146">
        <v>2</v>
      </c>
      <c r="C1146">
        <v>15</v>
      </c>
      <c r="D1146">
        <v>28</v>
      </c>
      <c r="E1146" t="s">
        <v>128</v>
      </c>
      <c r="F1146" s="12">
        <v>45545</v>
      </c>
      <c r="G1146" t="s">
        <v>475</v>
      </c>
      <c r="H1146" s="12">
        <v>45545</v>
      </c>
      <c r="I1146" t="s">
        <v>784</v>
      </c>
      <c r="J1146" t="s">
        <v>1363</v>
      </c>
      <c r="L1146">
        <v>12.5</v>
      </c>
      <c r="P1146" t="s">
        <v>106</v>
      </c>
      <c r="Q1146" t="s">
        <v>106</v>
      </c>
      <c r="R1146" t="s">
        <v>106</v>
      </c>
      <c r="S1146" t="s">
        <v>106</v>
      </c>
      <c r="T1146" t="s">
        <v>1529</v>
      </c>
      <c r="U1146" t="s">
        <v>144</v>
      </c>
      <c r="V1146" t="s">
        <v>106</v>
      </c>
      <c r="W1146" t="s">
        <v>443</v>
      </c>
      <c r="X1146" t="s">
        <v>106</v>
      </c>
      <c r="Y1146" t="s">
        <v>108</v>
      </c>
      <c r="Z1146" t="s">
        <v>108</v>
      </c>
      <c r="AA1146" t="s">
        <v>106</v>
      </c>
      <c r="AB1146" t="s">
        <v>106</v>
      </c>
    </row>
    <row r="1147" spans="1:28" x14ac:dyDescent="0.3">
      <c r="A1147" t="s">
        <v>1452</v>
      </c>
      <c r="B1147">
        <v>2</v>
      </c>
      <c r="C1147">
        <v>15</v>
      </c>
      <c r="D1147">
        <v>29</v>
      </c>
      <c r="E1147" t="s">
        <v>128</v>
      </c>
      <c r="F1147" s="12">
        <v>45545</v>
      </c>
      <c r="G1147" t="s">
        <v>475</v>
      </c>
      <c r="H1147" s="12">
        <v>45545</v>
      </c>
      <c r="I1147" t="s">
        <v>784</v>
      </c>
      <c r="J1147" t="s">
        <v>1363</v>
      </c>
      <c r="L1147">
        <v>14</v>
      </c>
      <c r="P1147" t="s">
        <v>106</v>
      </c>
      <c r="Q1147" t="s">
        <v>106</v>
      </c>
      <c r="R1147" t="s">
        <v>106</v>
      </c>
      <c r="S1147" t="s">
        <v>106</v>
      </c>
      <c r="T1147" t="s">
        <v>975</v>
      </c>
      <c r="U1147" t="s">
        <v>429</v>
      </c>
      <c r="V1147" t="s">
        <v>106</v>
      </c>
      <c r="W1147" t="s">
        <v>443</v>
      </c>
      <c r="X1147" t="s">
        <v>106</v>
      </c>
      <c r="Y1147" t="s">
        <v>108</v>
      </c>
      <c r="Z1147" t="s">
        <v>108</v>
      </c>
      <c r="AA1147" t="s">
        <v>106</v>
      </c>
      <c r="AB1147" t="s">
        <v>106</v>
      </c>
    </row>
    <row r="1148" spans="1:28" x14ac:dyDescent="0.3">
      <c r="A1148" t="s">
        <v>1452</v>
      </c>
      <c r="B1148">
        <v>2</v>
      </c>
      <c r="C1148">
        <v>15</v>
      </c>
      <c r="D1148">
        <v>46</v>
      </c>
      <c r="E1148" t="s">
        <v>128</v>
      </c>
      <c r="F1148" s="12">
        <v>45545</v>
      </c>
      <c r="G1148" t="s">
        <v>1602</v>
      </c>
      <c r="H1148" s="12">
        <v>45545</v>
      </c>
      <c r="I1148" t="s">
        <v>106</v>
      </c>
      <c r="J1148" t="s">
        <v>106</v>
      </c>
      <c r="P1148" t="s">
        <v>106</v>
      </c>
      <c r="Q1148" t="s">
        <v>106</v>
      </c>
      <c r="R1148" t="s">
        <v>106</v>
      </c>
      <c r="S1148" t="s">
        <v>106</v>
      </c>
      <c r="T1148" t="s">
        <v>106</v>
      </c>
      <c r="U1148" t="s">
        <v>106</v>
      </c>
      <c r="V1148" t="s">
        <v>106</v>
      </c>
      <c r="W1148" t="s">
        <v>443</v>
      </c>
      <c r="X1148" t="s">
        <v>106</v>
      </c>
      <c r="Y1148" t="s">
        <v>108</v>
      </c>
      <c r="Z1148" t="s">
        <v>104</v>
      </c>
      <c r="AA1148" t="s">
        <v>106</v>
      </c>
      <c r="AB1148" t="s">
        <v>106</v>
      </c>
    </row>
    <row r="1149" spans="1:28" x14ac:dyDescent="0.3">
      <c r="A1149" t="s">
        <v>1452</v>
      </c>
      <c r="B1149">
        <v>3</v>
      </c>
      <c r="C1149">
        <v>35</v>
      </c>
      <c r="D1149">
        <v>24</v>
      </c>
      <c r="E1149" t="s">
        <v>128</v>
      </c>
      <c r="F1149" s="12">
        <v>45545</v>
      </c>
      <c r="G1149" t="s">
        <v>735</v>
      </c>
      <c r="H1149" s="12">
        <v>45545</v>
      </c>
      <c r="I1149" t="s">
        <v>106</v>
      </c>
      <c r="J1149" t="s">
        <v>1363</v>
      </c>
      <c r="L1149">
        <v>32.5</v>
      </c>
      <c r="P1149" t="s">
        <v>106</v>
      </c>
      <c r="Q1149" t="s">
        <v>106</v>
      </c>
      <c r="R1149" t="s">
        <v>106</v>
      </c>
      <c r="S1149" t="s">
        <v>106</v>
      </c>
      <c r="T1149" t="s">
        <v>1041</v>
      </c>
      <c r="U1149" t="s">
        <v>106</v>
      </c>
      <c r="V1149" t="s">
        <v>106</v>
      </c>
      <c r="W1149" t="s">
        <v>443</v>
      </c>
      <c r="X1149" t="s">
        <v>106</v>
      </c>
      <c r="Y1149" t="s">
        <v>108</v>
      </c>
      <c r="Z1149" t="s">
        <v>108</v>
      </c>
      <c r="AA1149" t="s">
        <v>106</v>
      </c>
      <c r="AB1149" t="s">
        <v>106</v>
      </c>
    </row>
    <row r="1150" spans="1:28" x14ac:dyDescent="0.3">
      <c r="A1150" t="s">
        <v>1452</v>
      </c>
      <c r="B1150">
        <v>3</v>
      </c>
      <c r="C1150">
        <v>35</v>
      </c>
      <c r="D1150">
        <v>23</v>
      </c>
      <c r="E1150" t="s">
        <v>2010</v>
      </c>
      <c r="F1150" s="12">
        <v>45545</v>
      </c>
      <c r="G1150" t="s">
        <v>310</v>
      </c>
      <c r="H1150" s="12">
        <v>45545</v>
      </c>
      <c r="I1150" t="s">
        <v>134</v>
      </c>
      <c r="J1150" t="s">
        <v>1363</v>
      </c>
      <c r="K1150">
        <v>2</v>
      </c>
      <c r="L1150">
        <v>35.700000000000003</v>
      </c>
      <c r="P1150" t="s">
        <v>106</v>
      </c>
      <c r="Q1150" t="s">
        <v>106</v>
      </c>
      <c r="R1150" t="s">
        <v>106</v>
      </c>
      <c r="S1150" t="s">
        <v>106</v>
      </c>
      <c r="T1150" t="s">
        <v>1041</v>
      </c>
      <c r="U1150" t="s">
        <v>1479</v>
      </c>
      <c r="V1150" t="s">
        <v>106</v>
      </c>
      <c r="W1150" t="s">
        <v>443</v>
      </c>
      <c r="X1150" t="s">
        <v>106</v>
      </c>
      <c r="Y1150" t="s">
        <v>108</v>
      </c>
      <c r="Z1150" t="s">
        <v>108</v>
      </c>
      <c r="AA1150" t="s">
        <v>106</v>
      </c>
      <c r="AB1150" t="s">
        <v>2468</v>
      </c>
    </row>
    <row r="1151" spans="1:28" x14ac:dyDescent="0.3">
      <c r="A1151" t="s">
        <v>1452</v>
      </c>
      <c r="B1151">
        <v>3</v>
      </c>
      <c r="C1151">
        <v>35</v>
      </c>
      <c r="D1151">
        <v>22</v>
      </c>
      <c r="E1151" t="s">
        <v>2010</v>
      </c>
      <c r="F1151" s="12">
        <v>45545</v>
      </c>
      <c r="G1151" t="s">
        <v>133</v>
      </c>
      <c r="H1151" s="12">
        <v>45545</v>
      </c>
      <c r="I1151" t="s">
        <v>134</v>
      </c>
      <c r="J1151" t="s">
        <v>1363</v>
      </c>
      <c r="K1151">
        <v>2</v>
      </c>
      <c r="L1151">
        <v>34.299999999999997</v>
      </c>
      <c r="P1151" t="s">
        <v>106</v>
      </c>
      <c r="Q1151" t="s">
        <v>106</v>
      </c>
      <c r="R1151" t="s">
        <v>106</v>
      </c>
      <c r="S1151" t="s">
        <v>106</v>
      </c>
      <c r="T1151" t="s">
        <v>1016</v>
      </c>
      <c r="U1151" t="s">
        <v>564</v>
      </c>
      <c r="V1151" t="s">
        <v>106</v>
      </c>
      <c r="W1151" t="s">
        <v>443</v>
      </c>
      <c r="X1151" t="s">
        <v>106</v>
      </c>
      <c r="Y1151" t="s">
        <v>108</v>
      </c>
      <c r="Z1151" t="s">
        <v>108</v>
      </c>
      <c r="AA1151" t="s">
        <v>106</v>
      </c>
      <c r="AB1151" t="s">
        <v>2468</v>
      </c>
    </row>
    <row r="1152" spans="1:28" x14ac:dyDescent="0.3">
      <c r="A1152" t="s">
        <v>1452</v>
      </c>
      <c r="B1152">
        <v>3</v>
      </c>
      <c r="C1152">
        <v>35</v>
      </c>
      <c r="D1152">
        <v>11</v>
      </c>
      <c r="E1152" t="s">
        <v>110</v>
      </c>
      <c r="F1152" s="12">
        <v>45545</v>
      </c>
      <c r="G1152" t="s">
        <v>410</v>
      </c>
      <c r="H1152" s="12">
        <v>45545</v>
      </c>
      <c r="I1152" t="s">
        <v>410</v>
      </c>
      <c r="J1152" t="s">
        <v>425</v>
      </c>
      <c r="L1152">
        <v>37.299999999999997</v>
      </c>
      <c r="P1152" t="s">
        <v>106</v>
      </c>
      <c r="Q1152" t="s">
        <v>106</v>
      </c>
      <c r="R1152" t="s">
        <v>106</v>
      </c>
      <c r="S1152" t="s">
        <v>106</v>
      </c>
      <c r="T1152" t="s">
        <v>2024</v>
      </c>
      <c r="U1152" t="s">
        <v>1477</v>
      </c>
      <c r="V1152" t="s">
        <v>106</v>
      </c>
      <c r="W1152" t="s">
        <v>443</v>
      </c>
      <c r="X1152" t="s">
        <v>106</v>
      </c>
      <c r="Y1152" t="s">
        <v>108</v>
      </c>
      <c r="Z1152" t="s">
        <v>105</v>
      </c>
      <c r="AA1152" t="s">
        <v>1454</v>
      </c>
      <c r="AB1152" t="s">
        <v>2008</v>
      </c>
    </row>
    <row r="1153" spans="1:28" x14ac:dyDescent="0.3">
      <c r="A1153" t="s">
        <v>1452</v>
      </c>
      <c r="B1153">
        <v>3</v>
      </c>
      <c r="C1153">
        <v>35</v>
      </c>
      <c r="D1153">
        <v>12</v>
      </c>
      <c r="E1153" t="s">
        <v>110</v>
      </c>
      <c r="F1153" s="12">
        <v>45545</v>
      </c>
      <c r="G1153" t="s">
        <v>608</v>
      </c>
      <c r="H1153" s="12">
        <v>45545</v>
      </c>
      <c r="I1153" t="s">
        <v>410</v>
      </c>
      <c r="J1153" t="s">
        <v>425</v>
      </c>
      <c r="L1153">
        <v>37.700000000000003</v>
      </c>
      <c r="P1153" t="s">
        <v>106</v>
      </c>
      <c r="Q1153" t="s">
        <v>106</v>
      </c>
      <c r="R1153" t="s">
        <v>106</v>
      </c>
      <c r="S1153" t="s">
        <v>106</v>
      </c>
      <c r="T1153" t="s">
        <v>1935</v>
      </c>
      <c r="U1153" t="s">
        <v>143</v>
      </c>
      <c r="V1153" t="s">
        <v>106</v>
      </c>
      <c r="W1153" t="s">
        <v>443</v>
      </c>
      <c r="X1153" t="s">
        <v>106</v>
      </c>
      <c r="Y1153" t="s">
        <v>108</v>
      </c>
      <c r="Z1153" t="s">
        <v>105</v>
      </c>
      <c r="AA1153" t="s">
        <v>1454</v>
      </c>
      <c r="AB1153" t="s">
        <v>2008</v>
      </c>
    </row>
    <row r="1154" spans="1:28" x14ac:dyDescent="0.3">
      <c r="A1154" t="s">
        <v>1452</v>
      </c>
      <c r="B1154">
        <v>3</v>
      </c>
      <c r="C1154">
        <v>35</v>
      </c>
      <c r="D1154">
        <v>13</v>
      </c>
      <c r="E1154" t="s">
        <v>110</v>
      </c>
      <c r="F1154" s="12">
        <v>45545</v>
      </c>
      <c r="G1154" t="s">
        <v>608</v>
      </c>
      <c r="H1154" s="12">
        <v>45545</v>
      </c>
      <c r="I1154" t="s">
        <v>410</v>
      </c>
      <c r="J1154" t="s">
        <v>425</v>
      </c>
      <c r="L1154">
        <v>36.799999999999997</v>
      </c>
      <c r="P1154" t="s">
        <v>106</v>
      </c>
      <c r="Q1154" t="s">
        <v>106</v>
      </c>
      <c r="R1154" t="s">
        <v>106</v>
      </c>
      <c r="S1154" t="s">
        <v>106</v>
      </c>
      <c r="T1154" t="s">
        <v>1529</v>
      </c>
      <c r="U1154" t="s">
        <v>141</v>
      </c>
      <c r="V1154" t="s">
        <v>106</v>
      </c>
      <c r="W1154" t="s">
        <v>443</v>
      </c>
      <c r="X1154" t="s">
        <v>106</v>
      </c>
      <c r="Y1154" t="s">
        <v>108</v>
      </c>
      <c r="Z1154" t="s">
        <v>105</v>
      </c>
      <c r="AA1154" t="s">
        <v>1454</v>
      </c>
      <c r="AB1154" t="s">
        <v>2008</v>
      </c>
    </row>
    <row r="1155" spans="1:28" x14ac:dyDescent="0.3">
      <c r="A1155" t="s">
        <v>1452</v>
      </c>
      <c r="B1155">
        <v>3</v>
      </c>
      <c r="C1155">
        <v>35</v>
      </c>
      <c r="D1155">
        <v>16</v>
      </c>
      <c r="E1155" t="s">
        <v>128</v>
      </c>
      <c r="F1155" s="12">
        <v>45545</v>
      </c>
      <c r="G1155" t="s">
        <v>844</v>
      </c>
      <c r="H1155" s="12">
        <v>45545</v>
      </c>
      <c r="I1155" t="s">
        <v>134</v>
      </c>
      <c r="J1155" t="s">
        <v>1363</v>
      </c>
      <c r="K1155">
        <v>2</v>
      </c>
      <c r="L1155">
        <v>33.200000000000003</v>
      </c>
      <c r="P1155" t="s">
        <v>106</v>
      </c>
      <c r="Q1155" t="s">
        <v>106</v>
      </c>
      <c r="R1155" t="s">
        <v>106</v>
      </c>
      <c r="S1155" t="s">
        <v>106</v>
      </c>
      <c r="T1155" t="s">
        <v>942</v>
      </c>
      <c r="U1155" t="s">
        <v>440</v>
      </c>
      <c r="V1155" t="s">
        <v>106</v>
      </c>
      <c r="W1155" t="s">
        <v>443</v>
      </c>
      <c r="X1155" t="s">
        <v>106</v>
      </c>
      <c r="Y1155" t="s">
        <v>108</v>
      </c>
      <c r="Z1155" t="s">
        <v>108</v>
      </c>
      <c r="AA1155" t="s">
        <v>106</v>
      </c>
      <c r="AB1155" t="s">
        <v>2469</v>
      </c>
    </row>
    <row r="1156" spans="1:28" x14ac:dyDescent="0.3">
      <c r="A1156" t="s">
        <v>1452</v>
      </c>
      <c r="B1156">
        <v>3</v>
      </c>
      <c r="C1156">
        <v>35</v>
      </c>
      <c r="D1156">
        <v>17</v>
      </c>
      <c r="E1156" t="s">
        <v>128</v>
      </c>
      <c r="F1156" s="12">
        <v>45545</v>
      </c>
      <c r="G1156" t="s">
        <v>844</v>
      </c>
      <c r="H1156" s="12">
        <v>45545</v>
      </c>
      <c r="I1156" t="s">
        <v>134</v>
      </c>
      <c r="J1156" t="s">
        <v>1363</v>
      </c>
      <c r="K1156">
        <v>2</v>
      </c>
      <c r="L1156">
        <v>34</v>
      </c>
      <c r="P1156" t="s">
        <v>106</v>
      </c>
      <c r="Q1156" t="s">
        <v>106</v>
      </c>
      <c r="R1156" t="s">
        <v>106</v>
      </c>
      <c r="S1156" t="s">
        <v>106</v>
      </c>
      <c r="T1156" t="s">
        <v>1022</v>
      </c>
      <c r="U1156" t="s">
        <v>564</v>
      </c>
      <c r="V1156" t="s">
        <v>106</v>
      </c>
      <c r="W1156" t="s">
        <v>443</v>
      </c>
      <c r="X1156" t="s">
        <v>106</v>
      </c>
      <c r="Y1156" t="s">
        <v>108</v>
      </c>
      <c r="Z1156" t="s">
        <v>108</v>
      </c>
      <c r="AA1156" t="s">
        <v>106</v>
      </c>
      <c r="AB1156" t="s">
        <v>106</v>
      </c>
    </row>
    <row r="1157" spans="1:28" x14ac:dyDescent="0.3">
      <c r="A1157" t="s">
        <v>1452</v>
      </c>
      <c r="B1157">
        <v>3</v>
      </c>
      <c r="C1157">
        <v>35</v>
      </c>
      <c r="D1157">
        <v>10</v>
      </c>
      <c r="E1157" t="s">
        <v>110</v>
      </c>
      <c r="F1157" s="12">
        <v>45545</v>
      </c>
      <c r="G1157" t="s">
        <v>2470</v>
      </c>
      <c r="H1157" s="12">
        <v>45545</v>
      </c>
      <c r="I1157" t="s">
        <v>410</v>
      </c>
      <c r="J1157" t="s">
        <v>425</v>
      </c>
      <c r="L1157">
        <v>38.700000000000003</v>
      </c>
      <c r="P1157" t="s">
        <v>106</v>
      </c>
      <c r="Q1157" t="s">
        <v>106</v>
      </c>
      <c r="R1157" t="s">
        <v>106</v>
      </c>
      <c r="S1157" t="s">
        <v>106</v>
      </c>
      <c r="T1157" t="s">
        <v>714</v>
      </c>
      <c r="U1157" t="s">
        <v>1604</v>
      </c>
      <c r="V1157" t="s">
        <v>106</v>
      </c>
      <c r="W1157" t="s">
        <v>443</v>
      </c>
      <c r="X1157" t="s">
        <v>106</v>
      </c>
      <c r="Y1157" t="s">
        <v>108</v>
      </c>
      <c r="Z1157" t="s">
        <v>105</v>
      </c>
      <c r="AA1157" t="s">
        <v>1454</v>
      </c>
      <c r="AB1157" t="s">
        <v>2008</v>
      </c>
    </row>
    <row r="1158" spans="1:28" x14ac:dyDescent="0.3">
      <c r="A1158" t="s">
        <v>1452</v>
      </c>
      <c r="B1158">
        <v>3</v>
      </c>
      <c r="C1158">
        <v>35</v>
      </c>
      <c r="D1158">
        <v>25</v>
      </c>
      <c r="E1158" t="s">
        <v>128</v>
      </c>
      <c r="F1158" s="12">
        <v>45545</v>
      </c>
      <c r="G1158" t="s">
        <v>371</v>
      </c>
      <c r="H1158" s="12">
        <v>45545</v>
      </c>
      <c r="I1158" t="s">
        <v>106</v>
      </c>
      <c r="J1158" t="s">
        <v>1363</v>
      </c>
      <c r="L1158">
        <v>35.200000000000003</v>
      </c>
      <c r="P1158" t="s">
        <v>106</v>
      </c>
      <c r="Q1158" t="s">
        <v>106</v>
      </c>
      <c r="R1158" t="s">
        <v>106</v>
      </c>
      <c r="S1158" t="s">
        <v>106</v>
      </c>
      <c r="T1158" t="s">
        <v>975</v>
      </c>
      <c r="U1158" t="s">
        <v>106</v>
      </c>
      <c r="V1158" t="s">
        <v>106</v>
      </c>
      <c r="W1158" t="s">
        <v>443</v>
      </c>
      <c r="X1158" t="s">
        <v>106</v>
      </c>
      <c r="Y1158" t="s">
        <v>108</v>
      </c>
      <c r="Z1158" t="s">
        <v>108</v>
      </c>
      <c r="AA1158" t="s">
        <v>106</v>
      </c>
      <c r="AB1158" t="s">
        <v>106</v>
      </c>
    </row>
    <row r="1159" spans="1:28" x14ac:dyDescent="0.3">
      <c r="A1159" t="s">
        <v>1452</v>
      </c>
      <c r="B1159">
        <v>3</v>
      </c>
      <c r="C1159">
        <v>35</v>
      </c>
      <c r="D1159">
        <v>43</v>
      </c>
      <c r="E1159" t="s">
        <v>128</v>
      </c>
      <c r="F1159" s="12">
        <v>45545</v>
      </c>
      <c r="G1159" t="s">
        <v>1857</v>
      </c>
      <c r="H1159" s="12">
        <v>45545</v>
      </c>
      <c r="I1159" t="s">
        <v>106</v>
      </c>
      <c r="J1159" t="s">
        <v>106</v>
      </c>
      <c r="L1159">
        <v>34.299999999999997</v>
      </c>
      <c r="P1159" t="s">
        <v>106</v>
      </c>
      <c r="Q1159" t="s">
        <v>106</v>
      </c>
      <c r="R1159" t="s">
        <v>106</v>
      </c>
      <c r="S1159" t="s">
        <v>106</v>
      </c>
      <c r="T1159" t="s">
        <v>1650</v>
      </c>
      <c r="U1159" t="s">
        <v>2057</v>
      </c>
      <c r="V1159" t="s">
        <v>106</v>
      </c>
      <c r="W1159" t="s">
        <v>2471</v>
      </c>
      <c r="X1159" t="s">
        <v>106</v>
      </c>
      <c r="Y1159" t="s">
        <v>108</v>
      </c>
      <c r="Z1159" t="s">
        <v>104</v>
      </c>
      <c r="AA1159" t="s">
        <v>106</v>
      </c>
      <c r="AB1159" t="s">
        <v>106</v>
      </c>
    </row>
    <row r="1160" spans="1:28" x14ac:dyDescent="0.3">
      <c r="A1160" t="s">
        <v>1452</v>
      </c>
      <c r="B1160">
        <v>3</v>
      </c>
      <c r="C1160">
        <v>35</v>
      </c>
      <c r="D1160">
        <v>30</v>
      </c>
      <c r="E1160" t="s">
        <v>128</v>
      </c>
      <c r="F1160" s="12">
        <v>45545</v>
      </c>
      <c r="G1160" t="s">
        <v>475</v>
      </c>
      <c r="H1160" s="12">
        <v>45545</v>
      </c>
      <c r="I1160" t="s">
        <v>784</v>
      </c>
      <c r="J1160" t="s">
        <v>1363</v>
      </c>
      <c r="L1160">
        <v>32.5</v>
      </c>
      <c r="P1160" t="s">
        <v>106</v>
      </c>
      <c r="Q1160" t="s">
        <v>106</v>
      </c>
      <c r="R1160" t="s">
        <v>106</v>
      </c>
      <c r="S1160" t="s">
        <v>106</v>
      </c>
      <c r="T1160" t="s">
        <v>106</v>
      </c>
      <c r="U1160" t="s">
        <v>138</v>
      </c>
      <c r="V1160" t="s">
        <v>106</v>
      </c>
      <c r="W1160" t="s">
        <v>443</v>
      </c>
      <c r="X1160" t="s">
        <v>106</v>
      </c>
      <c r="Y1160" t="s">
        <v>108</v>
      </c>
      <c r="Z1160" t="s">
        <v>108</v>
      </c>
      <c r="AA1160" t="s">
        <v>106</v>
      </c>
      <c r="AB1160" t="s">
        <v>106</v>
      </c>
    </row>
    <row r="1161" spans="1:28" x14ac:dyDescent="0.3">
      <c r="A1161" t="s">
        <v>1452</v>
      </c>
      <c r="B1161">
        <v>3</v>
      </c>
      <c r="C1161">
        <v>35</v>
      </c>
      <c r="D1161">
        <v>31</v>
      </c>
      <c r="E1161" t="s">
        <v>128</v>
      </c>
      <c r="F1161" s="12">
        <v>45545</v>
      </c>
      <c r="G1161" t="s">
        <v>475</v>
      </c>
      <c r="H1161" s="12">
        <v>45545</v>
      </c>
      <c r="I1161" t="s">
        <v>784</v>
      </c>
      <c r="J1161" t="s">
        <v>1363</v>
      </c>
      <c r="L1161">
        <v>35.200000000000003</v>
      </c>
      <c r="P1161" t="s">
        <v>106</v>
      </c>
      <c r="Q1161" t="s">
        <v>106</v>
      </c>
      <c r="R1161" t="s">
        <v>106</v>
      </c>
      <c r="S1161" t="s">
        <v>106</v>
      </c>
      <c r="T1161" t="s">
        <v>106</v>
      </c>
      <c r="U1161" t="s">
        <v>997</v>
      </c>
      <c r="V1161" t="s">
        <v>106</v>
      </c>
      <c r="W1161" t="s">
        <v>443</v>
      </c>
      <c r="X1161" t="s">
        <v>106</v>
      </c>
      <c r="Y1161" t="s">
        <v>108</v>
      </c>
      <c r="Z1161" t="s">
        <v>108</v>
      </c>
      <c r="AA1161" t="s">
        <v>106</v>
      </c>
      <c r="AB1161" t="s">
        <v>106</v>
      </c>
    </row>
    <row r="1162" spans="1:28" x14ac:dyDescent="0.3">
      <c r="A1162" t="s">
        <v>1452</v>
      </c>
      <c r="B1162">
        <v>3</v>
      </c>
      <c r="C1162">
        <v>35</v>
      </c>
      <c r="D1162">
        <v>42</v>
      </c>
      <c r="E1162" t="s">
        <v>128</v>
      </c>
      <c r="F1162" s="12">
        <v>45545</v>
      </c>
      <c r="G1162" t="s">
        <v>1857</v>
      </c>
      <c r="H1162" s="12">
        <v>45545</v>
      </c>
      <c r="I1162" t="s">
        <v>106</v>
      </c>
      <c r="J1162" t="s">
        <v>106</v>
      </c>
      <c r="L1162">
        <v>31.5</v>
      </c>
      <c r="P1162" t="s">
        <v>106</v>
      </c>
      <c r="Q1162" t="s">
        <v>106</v>
      </c>
      <c r="R1162" t="s">
        <v>106</v>
      </c>
      <c r="S1162" t="s">
        <v>106</v>
      </c>
      <c r="T1162" t="s">
        <v>1475</v>
      </c>
      <c r="U1162" t="s">
        <v>1590</v>
      </c>
      <c r="V1162" t="s">
        <v>106</v>
      </c>
      <c r="W1162" t="s">
        <v>2471</v>
      </c>
      <c r="X1162" t="s">
        <v>106</v>
      </c>
      <c r="Y1162" t="s">
        <v>108</v>
      </c>
      <c r="Z1162" t="s">
        <v>104</v>
      </c>
      <c r="AA1162" t="s">
        <v>106</v>
      </c>
      <c r="AB1162" t="s">
        <v>106</v>
      </c>
    </row>
    <row r="1163" spans="1:28" x14ac:dyDescent="0.3">
      <c r="A1163" t="s">
        <v>1452</v>
      </c>
      <c r="B1163">
        <v>3</v>
      </c>
      <c r="C1163">
        <v>35</v>
      </c>
      <c r="D1163">
        <v>44</v>
      </c>
      <c r="E1163" t="s">
        <v>2010</v>
      </c>
      <c r="F1163" s="12">
        <v>45545</v>
      </c>
      <c r="G1163" t="s">
        <v>1857</v>
      </c>
      <c r="H1163" s="12">
        <v>45545</v>
      </c>
      <c r="I1163" t="s">
        <v>106</v>
      </c>
      <c r="J1163" t="s">
        <v>106</v>
      </c>
      <c r="L1163">
        <v>33.1</v>
      </c>
      <c r="P1163" t="s">
        <v>106</v>
      </c>
      <c r="Q1163" t="s">
        <v>106</v>
      </c>
      <c r="R1163" t="s">
        <v>106</v>
      </c>
      <c r="S1163" t="s">
        <v>106</v>
      </c>
      <c r="T1163" t="s">
        <v>975</v>
      </c>
      <c r="U1163" t="s">
        <v>1410</v>
      </c>
      <c r="V1163" t="s">
        <v>106</v>
      </c>
      <c r="W1163" t="s">
        <v>443</v>
      </c>
      <c r="X1163" t="s">
        <v>106</v>
      </c>
      <c r="Y1163" t="s">
        <v>108</v>
      </c>
      <c r="Z1163" t="s">
        <v>104</v>
      </c>
      <c r="AA1163" t="s">
        <v>106</v>
      </c>
      <c r="AB1163" t="s">
        <v>106</v>
      </c>
    </row>
    <row r="1164" spans="1:28" x14ac:dyDescent="0.3">
      <c r="A1164" t="s">
        <v>1452</v>
      </c>
      <c r="B1164">
        <v>4</v>
      </c>
      <c r="C1164">
        <v>60</v>
      </c>
      <c r="D1164">
        <v>37</v>
      </c>
      <c r="E1164" t="s">
        <v>308</v>
      </c>
      <c r="F1164" s="12">
        <v>45545</v>
      </c>
      <c r="G1164" t="s">
        <v>1602</v>
      </c>
      <c r="H1164" s="12">
        <v>45545</v>
      </c>
      <c r="I1164" t="s">
        <v>106</v>
      </c>
      <c r="J1164" t="s">
        <v>106</v>
      </c>
      <c r="P1164" t="s">
        <v>106</v>
      </c>
      <c r="Q1164" t="s">
        <v>106</v>
      </c>
      <c r="R1164" t="s">
        <v>106</v>
      </c>
      <c r="S1164" t="s">
        <v>106</v>
      </c>
      <c r="T1164" t="s">
        <v>106</v>
      </c>
      <c r="U1164" t="s">
        <v>106</v>
      </c>
      <c r="V1164" t="s">
        <v>106</v>
      </c>
      <c r="W1164" t="s">
        <v>443</v>
      </c>
      <c r="X1164" t="s">
        <v>106</v>
      </c>
      <c r="Y1164" t="s">
        <v>108</v>
      </c>
      <c r="Z1164" t="s">
        <v>104</v>
      </c>
      <c r="AA1164" t="s">
        <v>106</v>
      </c>
      <c r="AB1164" t="s">
        <v>106</v>
      </c>
    </row>
    <row r="1165" spans="1:28" x14ac:dyDescent="0.3">
      <c r="A1165" t="s">
        <v>1452</v>
      </c>
      <c r="B1165">
        <v>4</v>
      </c>
      <c r="C1165">
        <v>60</v>
      </c>
      <c r="D1165">
        <v>35</v>
      </c>
      <c r="E1165" t="s">
        <v>308</v>
      </c>
      <c r="F1165" s="12">
        <v>45545</v>
      </c>
      <c r="G1165" t="s">
        <v>2462</v>
      </c>
      <c r="H1165" s="12">
        <v>45545</v>
      </c>
      <c r="I1165" t="s">
        <v>106</v>
      </c>
      <c r="J1165" t="s">
        <v>106</v>
      </c>
      <c r="L1165">
        <v>46.4</v>
      </c>
      <c r="P1165" t="s">
        <v>106</v>
      </c>
      <c r="Q1165" t="s">
        <v>106</v>
      </c>
      <c r="R1165" t="s">
        <v>106</v>
      </c>
      <c r="S1165" t="s">
        <v>106</v>
      </c>
      <c r="T1165" t="s">
        <v>776</v>
      </c>
      <c r="U1165" t="s">
        <v>1359</v>
      </c>
      <c r="V1165" t="s">
        <v>106</v>
      </c>
      <c r="W1165" t="s">
        <v>443</v>
      </c>
      <c r="X1165" t="s">
        <v>106</v>
      </c>
      <c r="Y1165" t="s">
        <v>108</v>
      </c>
      <c r="Z1165" t="s">
        <v>104</v>
      </c>
      <c r="AA1165" t="s">
        <v>106</v>
      </c>
      <c r="AB1165" t="s">
        <v>106</v>
      </c>
    </row>
    <row r="1166" spans="1:28" x14ac:dyDescent="0.3">
      <c r="A1166" t="s">
        <v>1452</v>
      </c>
      <c r="B1166">
        <v>4</v>
      </c>
      <c r="C1166">
        <v>60</v>
      </c>
      <c r="D1166">
        <v>35</v>
      </c>
      <c r="E1166" t="s">
        <v>308</v>
      </c>
      <c r="F1166" s="12">
        <v>45545</v>
      </c>
      <c r="G1166" t="s">
        <v>2462</v>
      </c>
      <c r="H1166" s="12">
        <v>45545</v>
      </c>
      <c r="I1166" t="s">
        <v>106</v>
      </c>
      <c r="J1166" t="s">
        <v>106</v>
      </c>
      <c r="L1166">
        <v>46.4</v>
      </c>
      <c r="P1166" t="s">
        <v>106</v>
      </c>
      <c r="Q1166" t="s">
        <v>106</v>
      </c>
      <c r="R1166" t="s">
        <v>106</v>
      </c>
      <c r="S1166" t="s">
        <v>106</v>
      </c>
      <c r="T1166" t="s">
        <v>776</v>
      </c>
      <c r="U1166" t="s">
        <v>1359</v>
      </c>
      <c r="V1166" t="s">
        <v>106</v>
      </c>
      <c r="W1166" t="s">
        <v>443</v>
      </c>
      <c r="X1166" t="s">
        <v>106</v>
      </c>
      <c r="Y1166" t="s">
        <v>108</v>
      </c>
      <c r="Z1166" t="s">
        <v>104</v>
      </c>
      <c r="AA1166" t="s">
        <v>106</v>
      </c>
      <c r="AB1166" t="s">
        <v>106</v>
      </c>
    </row>
    <row r="1167" spans="1:28" x14ac:dyDescent="0.3">
      <c r="A1167" t="s">
        <v>1452</v>
      </c>
      <c r="B1167">
        <v>4</v>
      </c>
      <c r="C1167">
        <v>60</v>
      </c>
      <c r="D1167">
        <v>34</v>
      </c>
      <c r="E1167" t="s">
        <v>128</v>
      </c>
      <c r="F1167" s="12">
        <v>45545</v>
      </c>
      <c r="G1167" t="s">
        <v>773</v>
      </c>
      <c r="H1167" s="12">
        <v>45545</v>
      </c>
      <c r="I1167" t="s">
        <v>784</v>
      </c>
      <c r="J1167" t="s">
        <v>1363</v>
      </c>
      <c r="L1167">
        <v>48.4</v>
      </c>
      <c r="P1167" t="s">
        <v>106</v>
      </c>
      <c r="Q1167" t="s">
        <v>106</v>
      </c>
      <c r="R1167" t="s">
        <v>106</v>
      </c>
      <c r="S1167" t="s">
        <v>106</v>
      </c>
      <c r="T1167" t="s">
        <v>2048</v>
      </c>
      <c r="U1167" t="s">
        <v>997</v>
      </c>
      <c r="V1167" t="s">
        <v>106</v>
      </c>
      <c r="W1167" t="s">
        <v>443</v>
      </c>
      <c r="X1167" t="s">
        <v>106</v>
      </c>
      <c r="Y1167" t="s">
        <v>108</v>
      </c>
      <c r="Z1167" t="s">
        <v>108</v>
      </c>
      <c r="AA1167" t="s">
        <v>106</v>
      </c>
      <c r="AB1167" t="s">
        <v>106</v>
      </c>
    </row>
    <row r="1168" spans="1:28" x14ac:dyDescent="0.3">
      <c r="A1168" t="s">
        <v>1452</v>
      </c>
      <c r="B1168">
        <v>4</v>
      </c>
      <c r="C1168">
        <v>60</v>
      </c>
      <c r="D1168">
        <v>32</v>
      </c>
      <c r="E1168" t="s">
        <v>128</v>
      </c>
      <c r="F1168" s="12">
        <v>45545</v>
      </c>
      <c r="G1168" t="s">
        <v>475</v>
      </c>
      <c r="H1168" s="12">
        <v>45545</v>
      </c>
      <c r="I1168" t="s">
        <v>784</v>
      </c>
      <c r="J1168" t="s">
        <v>1363</v>
      </c>
      <c r="L1168">
        <v>55.6</v>
      </c>
      <c r="P1168" t="s">
        <v>106</v>
      </c>
      <c r="Q1168" t="s">
        <v>106</v>
      </c>
      <c r="R1168" t="s">
        <v>106</v>
      </c>
      <c r="S1168" t="s">
        <v>106</v>
      </c>
      <c r="T1168" t="s">
        <v>106</v>
      </c>
      <c r="U1168" t="s">
        <v>106</v>
      </c>
      <c r="V1168" t="s">
        <v>106</v>
      </c>
      <c r="W1168" t="s">
        <v>443</v>
      </c>
      <c r="X1168" t="s">
        <v>106</v>
      </c>
      <c r="Y1168" t="s">
        <v>108</v>
      </c>
      <c r="Z1168" t="s">
        <v>108</v>
      </c>
      <c r="AA1168" t="s">
        <v>106</v>
      </c>
      <c r="AB1168" t="s">
        <v>106</v>
      </c>
    </row>
    <row r="1169" spans="1:28" x14ac:dyDescent="0.3">
      <c r="A1169" t="s">
        <v>1452</v>
      </c>
      <c r="B1169">
        <v>4</v>
      </c>
      <c r="C1169">
        <v>60</v>
      </c>
      <c r="D1169">
        <v>36</v>
      </c>
      <c r="E1169" t="s">
        <v>308</v>
      </c>
      <c r="F1169" s="12">
        <v>45545</v>
      </c>
      <c r="G1169" t="s">
        <v>1602</v>
      </c>
      <c r="H1169" s="12">
        <v>45545</v>
      </c>
      <c r="I1169" t="s">
        <v>106</v>
      </c>
      <c r="J1169" t="s">
        <v>106</v>
      </c>
      <c r="P1169" t="s">
        <v>106</v>
      </c>
      <c r="Q1169" t="s">
        <v>106</v>
      </c>
      <c r="R1169" t="s">
        <v>106</v>
      </c>
      <c r="S1169" t="s">
        <v>106</v>
      </c>
      <c r="T1169" t="s">
        <v>106</v>
      </c>
      <c r="U1169" t="s">
        <v>106</v>
      </c>
      <c r="V1169" t="s">
        <v>106</v>
      </c>
      <c r="W1169" t="s">
        <v>443</v>
      </c>
      <c r="X1169" t="s">
        <v>106</v>
      </c>
      <c r="Y1169" t="s">
        <v>108</v>
      </c>
      <c r="Z1169" t="s">
        <v>104</v>
      </c>
      <c r="AA1169" t="s">
        <v>106</v>
      </c>
      <c r="AB1169" t="s">
        <v>106</v>
      </c>
    </row>
    <row r="1170" spans="1:28" x14ac:dyDescent="0.3">
      <c r="A1170" t="s">
        <v>1452</v>
      </c>
      <c r="B1170">
        <v>4</v>
      </c>
      <c r="C1170">
        <v>60</v>
      </c>
      <c r="D1170">
        <v>21</v>
      </c>
      <c r="E1170" t="s">
        <v>128</v>
      </c>
      <c r="F1170" s="12">
        <v>45545</v>
      </c>
      <c r="G1170" t="s">
        <v>377</v>
      </c>
      <c r="H1170" s="12">
        <v>45545</v>
      </c>
      <c r="I1170" t="s">
        <v>134</v>
      </c>
      <c r="J1170" t="s">
        <v>1363</v>
      </c>
      <c r="K1170">
        <v>2</v>
      </c>
      <c r="L1170">
        <v>57.1</v>
      </c>
      <c r="P1170" t="s">
        <v>106</v>
      </c>
      <c r="Q1170" t="s">
        <v>106</v>
      </c>
      <c r="R1170" t="s">
        <v>106</v>
      </c>
      <c r="S1170" t="s">
        <v>106</v>
      </c>
      <c r="T1170" t="s">
        <v>1885</v>
      </c>
      <c r="U1170" t="s">
        <v>720</v>
      </c>
      <c r="V1170" t="s">
        <v>106</v>
      </c>
      <c r="W1170" t="s">
        <v>443</v>
      </c>
      <c r="X1170" t="s">
        <v>106</v>
      </c>
      <c r="Y1170" t="s">
        <v>108</v>
      </c>
      <c r="Z1170" t="s">
        <v>104</v>
      </c>
      <c r="AA1170" t="s">
        <v>106</v>
      </c>
      <c r="AB1170" t="s">
        <v>106</v>
      </c>
    </row>
    <row r="1171" spans="1:28" x14ac:dyDescent="0.3">
      <c r="A1171" t="s">
        <v>1452</v>
      </c>
      <c r="B1171">
        <v>4</v>
      </c>
      <c r="C1171">
        <v>60</v>
      </c>
      <c r="D1171">
        <v>20</v>
      </c>
      <c r="E1171" t="s">
        <v>128</v>
      </c>
      <c r="F1171" s="12">
        <v>45545</v>
      </c>
      <c r="G1171" t="s">
        <v>2576</v>
      </c>
      <c r="H1171" s="12">
        <v>45545</v>
      </c>
      <c r="I1171" t="s">
        <v>134</v>
      </c>
      <c r="J1171" t="s">
        <v>1363</v>
      </c>
      <c r="K1171">
        <v>2</v>
      </c>
      <c r="L1171">
        <v>57.3</v>
      </c>
      <c r="P1171" t="s">
        <v>106</v>
      </c>
      <c r="Q1171" t="s">
        <v>106</v>
      </c>
      <c r="R1171" t="s">
        <v>106</v>
      </c>
      <c r="S1171" t="s">
        <v>106</v>
      </c>
      <c r="T1171" t="s">
        <v>961</v>
      </c>
      <c r="U1171" t="s">
        <v>565</v>
      </c>
      <c r="V1171" t="s">
        <v>106</v>
      </c>
      <c r="W1171" t="s">
        <v>443</v>
      </c>
      <c r="X1171" t="s">
        <v>106</v>
      </c>
      <c r="Y1171" t="s">
        <v>108</v>
      </c>
      <c r="Z1171" t="s">
        <v>104</v>
      </c>
      <c r="AA1171" t="s">
        <v>106</v>
      </c>
      <c r="AB1171" t="s">
        <v>106</v>
      </c>
    </row>
    <row r="1172" spans="1:28" x14ac:dyDescent="0.3">
      <c r="A1172" t="s">
        <v>1452</v>
      </c>
      <c r="B1172">
        <v>4</v>
      </c>
      <c r="C1172">
        <v>60</v>
      </c>
      <c r="D1172">
        <v>15</v>
      </c>
      <c r="E1172" t="s">
        <v>110</v>
      </c>
      <c r="F1172" s="12">
        <v>45545</v>
      </c>
      <c r="G1172" t="s">
        <v>608</v>
      </c>
      <c r="H1172" s="12">
        <v>45545</v>
      </c>
      <c r="I1172" t="s">
        <v>410</v>
      </c>
      <c r="J1172" t="s">
        <v>425</v>
      </c>
      <c r="L1172">
        <v>63.7</v>
      </c>
      <c r="P1172" t="s">
        <v>106</v>
      </c>
      <c r="Q1172" t="s">
        <v>106</v>
      </c>
      <c r="R1172" t="s">
        <v>106</v>
      </c>
      <c r="S1172" t="s">
        <v>106</v>
      </c>
      <c r="T1172" t="s">
        <v>1561</v>
      </c>
      <c r="U1172" t="s">
        <v>719</v>
      </c>
      <c r="V1172" t="s">
        <v>106</v>
      </c>
      <c r="W1172" t="s">
        <v>443</v>
      </c>
      <c r="X1172" t="s">
        <v>106</v>
      </c>
      <c r="Y1172" t="s">
        <v>108</v>
      </c>
      <c r="Z1172" t="s">
        <v>105</v>
      </c>
      <c r="AA1172" t="s">
        <v>1454</v>
      </c>
      <c r="AB1172" t="s">
        <v>2008</v>
      </c>
    </row>
    <row r="1173" spans="1:28" x14ac:dyDescent="0.3">
      <c r="A1173" t="s">
        <v>1452</v>
      </c>
      <c r="B1173">
        <v>4</v>
      </c>
      <c r="C1173">
        <v>60</v>
      </c>
      <c r="D1173">
        <v>39</v>
      </c>
      <c r="E1173" t="s">
        <v>308</v>
      </c>
      <c r="F1173" s="12">
        <v>45545</v>
      </c>
      <c r="G1173" t="s">
        <v>1602</v>
      </c>
      <c r="H1173" s="12">
        <v>45545</v>
      </c>
      <c r="I1173" t="s">
        <v>106</v>
      </c>
      <c r="J1173" t="s">
        <v>106</v>
      </c>
      <c r="P1173" t="s">
        <v>106</v>
      </c>
      <c r="Q1173" t="s">
        <v>106</v>
      </c>
      <c r="R1173" t="s">
        <v>106</v>
      </c>
      <c r="S1173" t="s">
        <v>106</v>
      </c>
      <c r="T1173" t="s">
        <v>106</v>
      </c>
      <c r="U1173" t="s">
        <v>106</v>
      </c>
      <c r="V1173" t="s">
        <v>106</v>
      </c>
      <c r="W1173" t="s">
        <v>443</v>
      </c>
      <c r="X1173" t="s">
        <v>106</v>
      </c>
      <c r="Y1173" t="s">
        <v>108</v>
      </c>
      <c r="Z1173" t="s">
        <v>104</v>
      </c>
      <c r="AA1173" t="s">
        <v>106</v>
      </c>
      <c r="AB1173" t="s">
        <v>106</v>
      </c>
    </row>
    <row r="1174" spans="1:28" x14ac:dyDescent="0.3">
      <c r="A1174" t="s">
        <v>1452</v>
      </c>
      <c r="B1174">
        <v>4</v>
      </c>
      <c r="C1174">
        <v>60</v>
      </c>
      <c r="D1174">
        <v>40</v>
      </c>
      <c r="E1174" t="s">
        <v>308</v>
      </c>
      <c r="F1174" s="12">
        <v>45545</v>
      </c>
      <c r="G1174" t="s">
        <v>1602</v>
      </c>
      <c r="H1174" s="12">
        <v>45545</v>
      </c>
      <c r="I1174" t="s">
        <v>106</v>
      </c>
      <c r="J1174" t="s">
        <v>106</v>
      </c>
      <c r="P1174" t="s">
        <v>106</v>
      </c>
      <c r="Q1174" t="s">
        <v>106</v>
      </c>
      <c r="R1174" t="s">
        <v>106</v>
      </c>
      <c r="S1174" t="s">
        <v>106</v>
      </c>
      <c r="T1174" t="s">
        <v>106</v>
      </c>
      <c r="U1174" t="s">
        <v>106</v>
      </c>
      <c r="V1174" t="s">
        <v>106</v>
      </c>
      <c r="W1174" t="s">
        <v>443</v>
      </c>
      <c r="X1174" t="s">
        <v>106</v>
      </c>
      <c r="Y1174" t="s">
        <v>108</v>
      </c>
      <c r="Z1174" t="s">
        <v>104</v>
      </c>
      <c r="AA1174" t="s">
        <v>106</v>
      </c>
      <c r="AB1174" t="s">
        <v>106</v>
      </c>
    </row>
    <row r="1175" spans="1:28" x14ac:dyDescent="0.3">
      <c r="A1175" t="s">
        <v>1452</v>
      </c>
      <c r="B1175">
        <v>4</v>
      </c>
      <c r="C1175">
        <v>60</v>
      </c>
      <c r="D1175">
        <v>41</v>
      </c>
      <c r="E1175" t="s">
        <v>308</v>
      </c>
      <c r="F1175" s="12">
        <v>45545</v>
      </c>
      <c r="G1175" t="s">
        <v>1602</v>
      </c>
      <c r="H1175" s="12">
        <v>45545</v>
      </c>
      <c r="I1175" t="s">
        <v>106</v>
      </c>
      <c r="J1175" t="s">
        <v>106</v>
      </c>
      <c r="P1175" t="s">
        <v>106</v>
      </c>
      <c r="Q1175" t="s">
        <v>106</v>
      </c>
      <c r="R1175" t="s">
        <v>106</v>
      </c>
      <c r="S1175" t="s">
        <v>106</v>
      </c>
      <c r="T1175" t="s">
        <v>106</v>
      </c>
      <c r="U1175" t="s">
        <v>106</v>
      </c>
      <c r="V1175" t="s">
        <v>106</v>
      </c>
      <c r="W1175" t="s">
        <v>443</v>
      </c>
      <c r="X1175" t="s">
        <v>106</v>
      </c>
      <c r="Y1175" t="s">
        <v>108</v>
      </c>
      <c r="Z1175" t="s">
        <v>104</v>
      </c>
      <c r="AA1175" t="s">
        <v>106</v>
      </c>
      <c r="AB1175" t="s">
        <v>106</v>
      </c>
    </row>
    <row r="1176" spans="1:28" x14ac:dyDescent="0.3">
      <c r="A1176" t="s">
        <v>1452</v>
      </c>
      <c r="B1176">
        <v>4</v>
      </c>
      <c r="C1176">
        <v>60</v>
      </c>
      <c r="D1176">
        <v>38</v>
      </c>
      <c r="E1176" t="s">
        <v>308</v>
      </c>
      <c r="F1176" s="12">
        <v>45545</v>
      </c>
      <c r="G1176" t="s">
        <v>1602</v>
      </c>
      <c r="H1176" s="12">
        <v>45545</v>
      </c>
      <c r="I1176" t="s">
        <v>106</v>
      </c>
      <c r="J1176" t="s">
        <v>106</v>
      </c>
      <c r="P1176" t="s">
        <v>106</v>
      </c>
      <c r="Q1176" t="s">
        <v>106</v>
      </c>
      <c r="R1176" t="s">
        <v>106</v>
      </c>
      <c r="S1176" t="s">
        <v>106</v>
      </c>
      <c r="T1176" t="s">
        <v>106</v>
      </c>
      <c r="U1176" t="s">
        <v>106</v>
      </c>
      <c r="V1176" t="s">
        <v>106</v>
      </c>
      <c r="W1176" t="s">
        <v>443</v>
      </c>
      <c r="X1176" t="s">
        <v>106</v>
      </c>
      <c r="Y1176" t="s">
        <v>108</v>
      </c>
      <c r="Z1176" t="s">
        <v>104</v>
      </c>
      <c r="AA1176" t="s">
        <v>106</v>
      </c>
      <c r="AB1176" t="s">
        <v>106</v>
      </c>
    </row>
    <row r="1177" spans="1:28" x14ac:dyDescent="0.3">
      <c r="A1177" t="s">
        <v>1452</v>
      </c>
      <c r="B1177">
        <v>2</v>
      </c>
      <c r="C1177">
        <v>15</v>
      </c>
      <c r="D1177">
        <v>111</v>
      </c>
      <c r="E1177" t="s">
        <v>2010</v>
      </c>
      <c r="F1177" s="12">
        <v>45546</v>
      </c>
      <c r="G1177" t="s">
        <v>2011</v>
      </c>
      <c r="H1177" s="12">
        <v>45546</v>
      </c>
      <c r="I1177" t="s">
        <v>2012</v>
      </c>
      <c r="J1177" t="s">
        <v>1363</v>
      </c>
      <c r="K1177">
        <v>2</v>
      </c>
      <c r="L1177">
        <v>14.9</v>
      </c>
      <c r="P1177" t="s">
        <v>106</v>
      </c>
      <c r="Q1177" t="s">
        <v>106</v>
      </c>
      <c r="R1177" t="s">
        <v>106</v>
      </c>
      <c r="S1177" t="s">
        <v>106</v>
      </c>
      <c r="T1177" t="s">
        <v>2013</v>
      </c>
      <c r="U1177" t="s">
        <v>2014</v>
      </c>
      <c r="V1177" t="s">
        <v>106</v>
      </c>
      <c r="W1177" t="s">
        <v>2015</v>
      </c>
      <c r="X1177" t="s">
        <v>106</v>
      </c>
      <c r="Y1177" t="s">
        <v>108</v>
      </c>
      <c r="Z1177" t="s">
        <v>109</v>
      </c>
      <c r="AA1177" t="s">
        <v>2016</v>
      </c>
      <c r="AB1177" t="s">
        <v>106</v>
      </c>
    </row>
    <row r="1178" spans="1:28" x14ac:dyDescent="0.3">
      <c r="A1178" t="s">
        <v>1452</v>
      </c>
      <c r="B1178">
        <v>2</v>
      </c>
      <c r="C1178">
        <v>15</v>
      </c>
      <c r="D1178">
        <v>110</v>
      </c>
      <c r="E1178" t="s">
        <v>128</v>
      </c>
      <c r="F1178" s="12">
        <v>45546</v>
      </c>
      <c r="G1178" t="s">
        <v>2011</v>
      </c>
      <c r="H1178" s="12">
        <v>45546</v>
      </c>
      <c r="I1178" t="s">
        <v>2012</v>
      </c>
      <c r="J1178" t="s">
        <v>1363</v>
      </c>
      <c r="K1178">
        <v>2</v>
      </c>
      <c r="L1178">
        <v>12.4</v>
      </c>
      <c r="P1178" t="s">
        <v>106</v>
      </c>
      <c r="Q1178" t="s">
        <v>106</v>
      </c>
      <c r="R1178" t="s">
        <v>106</v>
      </c>
      <c r="S1178" t="s">
        <v>106</v>
      </c>
      <c r="T1178" t="s">
        <v>934</v>
      </c>
      <c r="U1178" t="s">
        <v>2017</v>
      </c>
      <c r="V1178" t="s">
        <v>106</v>
      </c>
      <c r="W1178" t="s">
        <v>2015</v>
      </c>
      <c r="X1178" t="s">
        <v>106</v>
      </c>
      <c r="Y1178" t="s">
        <v>108</v>
      </c>
      <c r="Z1178" t="s">
        <v>109</v>
      </c>
      <c r="AA1178" t="s">
        <v>2016</v>
      </c>
      <c r="AB1178" t="s">
        <v>106</v>
      </c>
    </row>
    <row r="1179" spans="1:28" x14ac:dyDescent="0.3">
      <c r="A1179" t="s">
        <v>1452</v>
      </c>
      <c r="B1179">
        <v>2</v>
      </c>
      <c r="C1179">
        <v>15</v>
      </c>
      <c r="D1179">
        <v>109</v>
      </c>
      <c r="E1179" t="s">
        <v>128</v>
      </c>
      <c r="F1179" s="12">
        <v>45546</v>
      </c>
      <c r="G1179" t="s">
        <v>2018</v>
      </c>
      <c r="H1179" s="12">
        <v>45546</v>
      </c>
      <c r="I1179" t="s">
        <v>2012</v>
      </c>
      <c r="J1179" t="s">
        <v>1363</v>
      </c>
      <c r="K1179">
        <v>2</v>
      </c>
      <c r="L1179">
        <v>12.9</v>
      </c>
      <c r="P1179" t="s">
        <v>106</v>
      </c>
      <c r="Q1179" t="s">
        <v>106</v>
      </c>
      <c r="R1179" t="s">
        <v>106</v>
      </c>
      <c r="S1179" t="s">
        <v>106</v>
      </c>
      <c r="T1179" t="s">
        <v>1510</v>
      </c>
      <c r="U1179" t="s">
        <v>2019</v>
      </c>
      <c r="V1179" t="s">
        <v>106</v>
      </c>
      <c r="W1179" t="s">
        <v>2015</v>
      </c>
      <c r="X1179" t="s">
        <v>106</v>
      </c>
      <c r="Y1179" t="s">
        <v>108</v>
      </c>
      <c r="Z1179" t="s">
        <v>109</v>
      </c>
      <c r="AA1179" t="s">
        <v>2016</v>
      </c>
      <c r="AB1179" t="s">
        <v>106</v>
      </c>
    </row>
    <row r="1180" spans="1:28" x14ac:dyDescent="0.3">
      <c r="A1180" t="s">
        <v>1452</v>
      </c>
      <c r="B1180">
        <v>2</v>
      </c>
      <c r="C1180">
        <v>15</v>
      </c>
      <c r="D1180">
        <v>101</v>
      </c>
      <c r="E1180" t="s">
        <v>128</v>
      </c>
      <c r="F1180" s="12">
        <v>45546</v>
      </c>
      <c r="G1180" t="s">
        <v>1749</v>
      </c>
      <c r="H1180" s="12">
        <v>45546</v>
      </c>
      <c r="I1180" t="s">
        <v>2020</v>
      </c>
      <c r="J1180" t="s">
        <v>1363</v>
      </c>
      <c r="K1180">
        <v>2</v>
      </c>
      <c r="L1180">
        <v>14.5</v>
      </c>
      <c r="P1180" t="s">
        <v>106</v>
      </c>
      <c r="Q1180" t="s">
        <v>106</v>
      </c>
      <c r="R1180" t="s">
        <v>106</v>
      </c>
      <c r="S1180" t="s">
        <v>106</v>
      </c>
      <c r="T1180" t="s">
        <v>1214</v>
      </c>
      <c r="U1180" t="s">
        <v>2021</v>
      </c>
      <c r="V1180" t="s">
        <v>106</v>
      </c>
      <c r="W1180" t="s">
        <v>2015</v>
      </c>
      <c r="X1180" t="s">
        <v>106</v>
      </c>
      <c r="Y1180" t="s">
        <v>108</v>
      </c>
      <c r="Z1180" t="s">
        <v>109</v>
      </c>
      <c r="AA1180" t="s">
        <v>2016</v>
      </c>
      <c r="AB1180" t="s">
        <v>106</v>
      </c>
    </row>
    <row r="1181" spans="1:28" x14ac:dyDescent="0.3">
      <c r="A1181" t="s">
        <v>1452</v>
      </c>
      <c r="B1181">
        <v>2</v>
      </c>
      <c r="C1181">
        <v>15</v>
      </c>
      <c r="D1181">
        <v>72</v>
      </c>
      <c r="E1181" t="s">
        <v>128</v>
      </c>
      <c r="F1181" s="12">
        <v>45546</v>
      </c>
      <c r="G1181" t="s">
        <v>608</v>
      </c>
      <c r="H1181" s="12">
        <v>45546</v>
      </c>
      <c r="I1181" t="s">
        <v>536</v>
      </c>
      <c r="J1181" t="s">
        <v>458</v>
      </c>
      <c r="K1181">
        <v>2</v>
      </c>
      <c r="L1181">
        <v>15</v>
      </c>
      <c r="P1181" t="s">
        <v>106</v>
      </c>
      <c r="Q1181" t="s">
        <v>106</v>
      </c>
      <c r="R1181" t="s">
        <v>106</v>
      </c>
      <c r="S1181" t="s">
        <v>106</v>
      </c>
      <c r="T1181" t="s">
        <v>540</v>
      </c>
      <c r="U1181" t="s">
        <v>2022</v>
      </c>
      <c r="V1181" t="s">
        <v>106</v>
      </c>
      <c r="W1181" t="s">
        <v>443</v>
      </c>
      <c r="X1181" t="s">
        <v>106</v>
      </c>
      <c r="Y1181" t="s">
        <v>108</v>
      </c>
      <c r="Z1181" t="s">
        <v>108</v>
      </c>
      <c r="AA1181" t="s">
        <v>106</v>
      </c>
      <c r="AB1181" t="s">
        <v>106</v>
      </c>
    </row>
    <row r="1182" spans="1:28" x14ac:dyDescent="0.3">
      <c r="A1182" t="s">
        <v>1452</v>
      </c>
      <c r="B1182">
        <v>2</v>
      </c>
      <c r="C1182">
        <v>15</v>
      </c>
      <c r="D1182">
        <v>59</v>
      </c>
      <c r="E1182" t="s">
        <v>128</v>
      </c>
      <c r="F1182" s="12">
        <v>45546</v>
      </c>
      <c r="G1182" t="s">
        <v>336</v>
      </c>
      <c r="H1182" s="12">
        <v>45546</v>
      </c>
      <c r="I1182" t="s">
        <v>1210</v>
      </c>
      <c r="J1182" t="s">
        <v>458</v>
      </c>
      <c r="K1182">
        <v>2</v>
      </c>
      <c r="L1182">
        <v>11.8</v>
      </c>
      <c r="P1182" t="s">
        <v>106</v>
      </c>
      <c r="Q1182" t="s">
        <v>106</v>
      </c>
      <c r="R1182" t="s">
        <v>106</v>
      </c>
      <c r="S1182" t="s">
        <v>106</v>
      </c>
      <c r="T1182" t="s">
        <v>601</v>
      </c>
      <c r="U1182" t="s">
        <v>1347</v>
      </c>
      <c r="V1182" t="s">
        <v>106</v>
      </c>
      <c r="W1182" t="s">
        <v>443</v>
      </c>
      <c r="X1182" t="s">
        <v>106</v>
      </c>
      <c r="Y1182" t="s">
        <v>108</v>
      </c>
      <c r="Z1182" t="s">
        <v>104</v>
      </c>
      <c r="AA1182" t="s">
        <v>106</v>
      </c>
      <c r="AB1182" t="s">
        <v>106</v>
      </c>
    </row>
    <row r="1183" spans="1:28" x14ac:dyDescent="0.3">
      <c r="A1183" t="s">
        <v>1452</v>
      </c>
      <c r="B1183">
        <v>2</v>
      </c>
      <c r="C1183">
        <v>15</v>
      </c>
      <c r="D1183">
        <v>100</v>
      </c>
      <c r="E1183" t="s">
        <v>128</v>
      </c>
      <c r="F1183" s="12">
        <v>45546</v>
      </c>
      <c r="G1183" t="s">
        <v>2023</v>
      </c>
      <c r="H1183" s="12">
        <v>45546</v>
      </c>
      <c r="I1183" t="s">
        <v>2020</v>
      </c>
      <c r="J1183" t="s">
        <v>1363</v>
      </c>
      <c r="K1183">
        <v>2</v>
      </c>
      <c r="L1183">
        <v>14</v>
      </c>
      <c r="P1183" t="s">
        <v>106</v>
      </c>
      <c r="Q1183" t="s">
        <v>106</v>
      </c>
      <c r="R1183" t="s">
        <v>106</v>
      </c>
      <c r="S1183" t="s">
        <v>106</v>
      </c>
      <c r="T1183" t="s">
        <v>2024</v>
      </c>
      <c r="U1183" t="s">
        <v>2021</v>
      </c>
      <c r="V1183" t="s">
        <v>106</v>
      </c>
      <c r="W1183" t="s">
        <v>2015</v>
      </c>
      <c r="X1183" t="s">
        <v>106</v>
      </c>
      <c r="Y1183" t="s">
        <v>108</v>
      </c>
      <c r="Z1183" t="s">
        <v>109</v>
      </c>
      <c r="AA1183" t="s">
        <v>2016</v>
      </c>
      <c r="AB1183" t="s">
        <v>106</v>
      </c>
    </row>
    <row r="1184" spans="1:28" x14ac:dyDescent="0.3">
      <c r="A1184" t="s">
        <v>1452</v>
      </c>
      <c r="B1184">
        <v>2</v>
      </c>
      <c r="C1184">
        <v>15</v>
      </c>
      <c r="D1184">
        <v>73</v>
      </c>
      <c r="E1184" t="s">
        <v>128</v>
      </c>
      <c r="F1184" s="12">
        <v>45546</v>
      </c>
      <c r="G1184" t="s">
        <v>608</v>
      </c>
      <c r="H1184" s="12">
        <v>45546</v>
      </c>
      <c r="I1184" t="s">
        <v>536</v>
      </c>
      <c r="J1184" t="s">
        <v>458</v>
      </c>
      <c r="K1184">
        <v>2</v>
      </c>
      <c r="L1184">
        <v>13.2</v>
      </c>
      <c r="P1184" t="s">
        <v>106</v>
      </c>
      <c r="Q1184" t="s">
        <v>106</v>
      </c>
      <c r="R1184" t="s">
        <v>106</v>
      </c>
      <c r="S1184" t="s">
        <v>106</v>
      </c>
      <c r="T1184" t="s">
        <v>1287</v>
      </c>
      <c r="U1184" t="s">
        <v>1699</v>
      </c>
      <c r="V1184" t="s">
        <v>106</v>
      </c>
      <c r="W1184" t="s">
        <v>443</v>
      </c>
      <c r="X1184" t="s">
        <v>106</v>
      </c>
      <c r="Y1184" t="s">
        <v>108</v>
      </c>
      <c r="Z1184" t="s">
        <v>108</v>
      </c>
      <c r="AA1184" t="s">
        <v>106</v>
      </c>
      <c r="AB1184" t="s">
        <v>106</v>
      </c>
    </row>
    <row r="1185" spans="1:28" x14ac:dyDescent="0.3">
      <c r="A1185" t="s">
        <v>1452</v>
      </c>
      <c r="B1185">
        <v>2</v>
      </c>
      <c r="C1185">
        <v>15</v>
      </c>
      <c r="D1185">
        <v>58</v>
      </c>
      <c r="E1185" t="s">
        <v>128</v>
      </c>
      <c r="F1185" s="12">
        <v>45546</v>
      </c>
      <c r="G1185" t="s">
        <v>336</v>
      </c>
      <c r="H1185" s="12">
        <v>45546</v>
      </c>
      <c r="I1185" t="s">
        <v>1210</v>
      </c>
      <c r="J1185" t="s">
        <v>458</v>
      </c>
      <c r="K1185">
        <v>2</v>
      </c>
      <c r="L1185">
        <v>12.3</v>
      </c>
      <c r="P1185" t="s">
        <v>106</v>
      </c>
      <c r="Q1185" t="s">
        <v>106</v>
      </c>
      <c r="R1185" t="s">
        <v>106</v>
      </c>
      <c r="S1185" t="s">
        <v>106</v>
      </c>
      <c r="T1185" t="s">
        <v>806</v>
      </c>
      <c r="U1185" t="s">
        <v>1600</v>
      </c>
      <c r="V1185" t="s">
        <v>106</v>
      </c>
      <c r="W1185" t="s">
        <v>443</v>
      </c>
      <c r="X1185" t="s">
        <v>106</v>
      </c>
      <c r="Y1185" t="s">
        <v>108</v>
      </c>
      <c r="Z1185" t="s">
        <v>104</v>
      </c>
      <c r="AA1185" t="s">
        <v>106</v>
      </c>
      <c r="AB1185" t="s">
        <v>106</v>
      </c>
    </row>
    <row r="1186" spans="1:28" x14ac:dyDescent="0.3">
      <c r="A1186" t="s">
        <v>1452</v>
      </c>
      <c r="B1186">
        <v>2</v>
      </c>
      <c r="C1186">
        <v>15</v>
      </c>
      <c r="D1186">
        <v>78</v>
      </c>
      <c r="E1186" t="s">
        <v>128</v>
      </c>
      <c r="F1186" s="12">
        <v>45546</v>
      </c>
      <c r="G1186" t="s">
        <v>590</v>
      </c>
      <c r="H1186" s="12">
        <v>45546</v>
      </c>
      <c r="I1186" t="s">
        <v>536</v>
      </c>
      <c r="J1186" t="s">
        <v>458</v>
      </c>
      <c r="K1186">
        <v>2</v>
      </c>
      <c r="L1186">
        <v>15.6</v>
      </c>
      <c r="P1186" t="s">
        <v>106</v>
      </c>
      <c r="Q1186" t="s">
        <v>106</v>
      </c>
      <c r="R1186" t="s">
        <v>106</v>
      </c>
      <c r="S1186" t="s">
        <v>106</v>
      </c>
      <c r="T1186" t="s">
        <v>1467</v>
      </c>
      <c r="U1186" t="s">
        <v>2021</v>
      </c>
      <c r="V1186" t="s">
        <v>106</v>
      </c>
      <c r="W1186" t="s">
        <v>443</v>
      </c>
      <c r="X1186" t="s">
        <v>2025</v>
      </c>
      <c r="Y1186" t="s">
        <v>108</v>
      </c>
      <c r="Z1186" t="s">
        <v>108</v>
      </c>
      <c r="AA1186" t="s">
        <v>106</v>
      </c>
      <c r="AB1186" t="s">
        <v>106</v>
      </c>
    </row>
    <row r="1187" spans="1:28" x14ac:dyDescent="0.3">
      <c r="A1187" t="s">
        <v>1452</v>
      </c>
      <c r="B1187">
        <v>2</v>
      </c>
      <c r="C1187">
        <v>15</v>
      </c>
      <c r="D1187">
        <v>50</v>
      </c>
      <c r="E1187" t="s">
        <v>128</v>
      </c>
      <c r="F1187" s="12">
        <v>45546</v>
      </c>
      <c r="G1187" t="s">
        <v>1875</v>
      </c>
      <c r="H1187" s="12">
        <v>45546</v>
      </c>
      <c r="I1187" t="s">
        <v>548</v>
      </c>
      <c r="J1187" t="s">
        <v>458</v>
      </c>
      <c r="K1187">
        <v>2</v>
      </c>
      <c r="L1187">
        <v>13.8</v>
      </c>
      <c r="P1187" t="s">
        <v>106</v>
      </c>
      <c r="Q1187" t="s">
        <v>106</v>
      </c>
      <c r="R1187" t="s">
        <v>106</v>
      </c>
      <c r="S1187" t="s">
        <v>106</v>
      </c>
      <c r="T1187" t="s">
        <v>1475</v>
      </c>
      <c r="U1187" t="s">
        <v>867</v>
      </c>
      <c r="V1187" t="s">
        <v>106</v>
      </c>
      <c r="W1187" t="s">
        <v>443</v>
      </c>
      <c r="X1187" t="s">
        <v>106</v>
      </c>
      <c r="Y1187" t="s">
        <v>108</v>
      </c>
      <c r="Z1187" t="s">
        <v>104</v>
      </c>
      <c r="AA1187" t="s">
        <v>106</v>
      </c>
      <c r="AB1187" t="s">
        <v>106</v>
      </c>
    </row>
    <row r="1188" spans="1:28" x14ac:dyDescent="0.3">
      <c r="A1188" t="s">
        <v>1452</v>
      </c>
      <c r="B1188">
        <v>2</v>
      </c>
      <c r="C1188">
        <v>15</v>
      </c>
      <c r="D1188">
        <v>79</v>
      </c>
      <c r="E1188" t="s">
        <v>128</v>
      </c>
      <c r="F1188" s="12">
        <v>45546</v>
      </c>
      <c r="G1188" t="s">
        <v>590</v>
      </c>
      <c r="H1188" s="12">
        <v>45546</v>
      </c>
      <c r="I1188" t="s">
        <v>536</v>
      </c>
      <c r="J1188" t="s">
        <v>458</v>
      </c>
      <c r="K1188">
        <v>2</v>
      </c>
      <c r="L1188">
        <v>12.3</v>
      </c>
      <c r="P1188" t="s">
        <v>106</v>
      </c>
      <c r="Q1188" t="s">
        <v>106</v>
      </c>
      <c r="R1188" t="s">
        <v>106</v>
      </c>
      <c r="S1188" t="s">
        <v>106</v>
      </c>
      <c r="T1188" t="s">
        <v>1449</v>
      </c>
      <c r="U1188" t="s">
        <v>333</v>
      </c>
      <c r="V1188" t="s">
        <v>106</v>
      </c>
      <c r="W1188" t="s">
        <v>443</v>
      </c>
      <c r="X1188" t="s">
        <v>2026</v>
      </c>
      <c r="Y1188" t="s">
        <v>108</v>
      </c>
      <c r="Z1188" t="s">
        <v>108</v>
      </c>
      <c r="AA1188" t="s">
        <v>106</v>
      </c>
      <c r="AB1188" t="s">
        <v>106</v>
      </c>
    </row>
    <row r="1189" spans="1:28" x14ac:dyDescent="0.3">
      <c r="A1189" t="s">
        <v>1452</v>
      </c>
      <c r="B1189">
        <v>2</v>
      </c>
      <c r="C1189">
        <v>15</v>
      </c>
      <c r="D1189">
        <v>96</v>
      </c>
      <c r="E1189" t="s">
        <v>128</v>
      </c>
      <c r="F1189" s="12">
        <v>45546</v>
      </c>
      <c r="G1189" t="s">
        <v>2027</v>
      </c>
      <c r="H1189" s="12">
        <v>45546</v>
      </c>
      <c r="I1189" t="s">
        <v>2028</v>
      </c>
      <c r="J1189" t="s">
        <v>1363</v>
      </c>
      <c r="K1189">
        <v>2</v>
      </c>
      <c r="L1189">
        <v>13</v>
      </c>
      <c r="P1189" t="s">
        <v>106</v>
      </c>
      <c r="Q1189" t="s">
        <v>106</v>
      </c>
      <c r="R1189" t="s">
        <v>106</v>
      </c>
      <c r="S1189" t="s">
        <v>106</v>
      </c>
      <c r="T1189" t="s">
        <v>551</v>
      </c>
      <c r="U1189" t="s">
        <v>2029</v>
      </c>
      <c r="V1189" t="s">
        <v>106</v>
      </c>
      <c r="W1189" t="s">
        <v>2015</v>
      </c>
      <c r="X1189" t="s">
        <v>106</v>
      </c>
      <c r="Y1189" t="s">
        <v>108</v>
      </c>
      <c r="Z1189" t="s">
        <v>109</v>
      </c>
      <c r="AA1189" t="s">
        <v>2016</v>
      </c>
      <c r="AB1189" t="s">
        <v>106</v>
      </c>
    </row>
    <row r="1190" spans="1:28" x14ac:dyDescent="0.3">
      <c r="A1190" t="s">
        <v>1452</v>
      </c>
      <c r="B1190">
        <v>2</v>
      </c>
      <c r="C1190">
        <v>15</v>
      </c>
      <c r="D1190">
        <v>54</v>
      </c>
      <c r="E1190" t="s">
        <v>128</v>
      </c>
      <c r="F1190" s="12">
        <v>45546</v>
      </c>
      <c r="G1190" t="s">
        <v>1799</v>
      </c>
      <c r="H1190" s="12">
        <v>45546</v>
      </c>
      <c r="I1190" t="s">
        <v>548</v>
      </c>
      <c r="J1190" t="s">
        <v>106</v>
      </c>
      <c r="L1190">
        <v>12.5</v>
      </c>
      <c r="P1190" t="s">
        <v>106</v>
      </c>
      <c r="Q1190" t="s">
        <v>106</v>
      </c>
      <c r="R1190" t="s">
        <v>106</v>
      </c>
      <c r="S1190" t="s">
        <v>106</v>
      </c>
      <c r="T1190" t="s">
        <v>2030</v>
      </c>
      <c r="U1190" t="s">
        <v>1699</v>
      </c>
      <c r="V1190" t="s">
        <v>106</v>
      </c>
      <c r="W1190" t="s">
        <v>443</v>
      </c>
      <c r="X1190" t="s">
        <v>106</v>
      </c>
      <c r="Y1190" t="s">
        <v>108</v>
      </c>
      <c r="Z1190" t="s">
        <v>109</v>
      </c>
      <c r="AA1190" t="s">
        <v>106</v>
      </c>
      <c r="AB1190" t="s">
        <v>106</v>
      </c>
    </row>
    <row r="1191" spans="1:28" x14ac:dyDescent="0.3">
      <c r="A1191" t="s">
        <v>1452</v>
      </c>
      <c r="B1191">
        <v>2</v>
      </c>
      <c r="C1191">
        <v>15</v>
      </c>
      <c r="D1191">
        <v>91</v>
      </c>
      <c r="E1191" t="s">
        <v>128</v>
      </c>
      <c r="F1191" s="12">
        <v>45546</v>
      </c>
      <c r="G1191" t="s">
        <v>2031</v>
      </c>
      <c r="H1191" s="12">
        <v>45546</v>
      </c>
      <c r="I1191" t="s">
        <v>2028</v>
      </c>
      <c r="J1191" t="s">
        <v>1363</v>
      </c>
      <c r="K1191">
        <v>2</v>
      </c>
      <c r="L1191">
        <v>13.4</v>
      </c>
      <c r="P1191" t="s">
        <v>106</v>
      </c>
      <c r="Q1191" t="s">
        <v>106</v>
      </c>
      <c r="R1191" t="s">
        <v>106</v>
      </c>
      <c r="S1191" t="s">
        <v>106</v>
      </c>
      <c r="T1191" t="s">
        <v>1619</v>
      </c>
      <c r="U1191" t="s">
        <v>2032</v>
      </c>
      <c r="V1191" t="s">
        <v>106</v>
      </c>
      <c r="W1191" t="s">
        <v>2015</v>
      </c>
      <c r="X1191" t="s">
        <v>106</v>
      </c>
      <c r="Y1191" t="s">
        <v>108</v>
      </c>
      <c r="Z1191" t="s">
        <v>109</v>
      </c>
      <c r="AA1191" t="s">
        <v>2016</v>
      </c>
      <c r="AB1191" t="s">
        <v>106</v>
      </c>
    </row>
    <row r="1192" spans="1:28" x14ac:dyDescent="0.3">
      <c r="A1192" t="s">
        <v>1452</v>
      </c>
      <c r="B1192">
        <v>2</v>
      </c>
      <c r="C1192">
        <v>15</v>
      </c>
      <c r="D1192">
        <v>85</v>
      </c>
      <c r="E1192" t="s">
        <v>128</v>
      </c>
      <c r="F1192" s="12">
        <v>45546</v>
      </c>
      <c r="G1192" t="s">
        <v>628</v>
      </c>
      <c r="H1192" s="12">
        <v>45546</v>
      </c>
      <c r="I1192" t="s">
        <v>385</v>
      </c>
      <c r="J1192" t="s">
        <v>1363</v>
      </c>
      <c r="K1192">
        <v>2</v>
      </c>
      <c r="L1192">
        <v>13.1</v>
      </c>
      <c r="P1192" t="s">
        <v>106</v>
      </c>
      <c r="Q1192" t="s">
        <v>106</v>
      </c>
      <c r="R1192" t="s">
        <v>106</v>
      </c>
      <c r="S1192" t="s">
        <v>106</v>
      </c>
      <c r="T1192" t="s">
        <v>1287</v>
      </c>
      <c r="U1192" t="s">
        <v>2033</v>
      </c>
      <c r="V1192" t="s">
        <v>106</v>
      </c>
      <c r="W1192" t="s">
        <v>954</v>
      </c>
      <c r="X1192" t="s">
        <v>106</v>
      </c>
      <c r="Y1192" t="s">
        <v>108</v>
      </c>
      <c r="Z1192" t="s">
        <v>109</v>
      </c>
      <c r="AA1192" t="s">
        <v>2034</v>
      </c>
      <c r="AB1192" t="s">
        <v>106</v>
      </c>
    </row>
    <row r="1193" spans="1:28" x14ac:dyDescent="0.3">
      <c r="A1193" t="s">
        <v>1452</v>
      </c>
      <c r="B1193">
        <v>2</v>
      </c>
      <c r="C1193">
        <v>15</v>
      </c>
      <c r="D1193">
        <v>84</v>
      </c>
      <c r="E1193" t="s">
        <v>128</v>
      </c>
      <c r="F1193" s="12">
        <v>45546</v>
      </c>
      <c r="G1193" t="s">
        <v>1258</v>
      </c>
      <c r="H1193" s="12">
        <v>45546</v>
      </c>
      <c r="I1193" t="s">
        <v>385</v>
      </c>
      <c r="J1193" t="s">
        <v>1363</v>
      </c>
      <c r="K1193">
        <v>2</v>
      </c>
      <c r="L1193">
        <v>13.8</v>
      </c>
      <c r="P1193" t="s">
        <v>106</v>
      </c>
      <c r="Q1193" t="s">
        <v>106</v>
      </c>
      <c r="R1193" t="s">
        <v>106</v>
      </c>
      <c r="S1193" t="s">
        <v>106</v>
      </c>
      <c r="T1193" t="s">
        <v>749</v>
      </c>
      <c r="U1193" t="s">
        <v>2014</v>
      </c>
      <c r="V1193" t="s">
        <v>106</v>
      </c>
      <c r="W1193" t="s">
        <v>954</v>
      </c>
      <c r="X1193" t="s">
        <v>106</v>
      </c>
      <c r="Y1193" t="s">
        <v>108</v>
      </c>
      <c r="Z1193" t="s">
        <v>109</v>
      </c>
      <c r="AA1193" t="s">
        <v>2016</v>
      </c>
      <c r="AB1193" t="s">
        <v>106</v>
      </c>
    </row>
    <row r="1194" spans="1:28" x14ac:dyDescent="0.3">
      <c r="A1194" t="s">
        <v>1452</v>
      </c>
      <c r="B1194">
        <v>2</v>
      </c>
      <c r="C1194">
        <v>15</v>
      </c>
      <c r="D1194">
        <v>49</v>
      </c>
      <c r="E1194" t="s">
        <v>128</v>
      </c>
      <c r="F1194" s="12">
        <v>45546</v>
      </c>
      <c r="G1194" t="s">
        <v>1875</v>
      </c>
      <c r="H1194" s="12">
        <v>45546</v>
      </c>
      <c r="I1194" t="s">
        <v>548</v>
      </c>
      <c r="J1194" t="s">
        <v>458</v>
      </c>
      <c r="K1194">
        <v>2</v>
      </c>
      <c r="L1194">
        <v>12.3</v>
      </c>
      <c r="P1194" t="s">
        <v>106</v>
      </c>
      <c r="Q1194" t="s">
        <v>106</v>
      </c>
      <c r="R1194" t="s">
        <v>106</v>
      </c>
      <c r="S1194" t="s">
        <v>106</v>
      </c>
      <c r="T1194" t="s">
        <v>934</v>
      </c>
      <c r="U1194" t="s">
        <v>395</v>
      </c>
      <c r="V1194" t="s">
        <v>106</v>
      </c>
      <c r="W1194" t="s">
        <v>443</v>
      </c>
      <c r="X1194" t="s">
        <v>106</v>
      </c>
      <c r="Y1194" t="s">
        <v>108</v>
      </c>
      <c r="Z1194" t="s">
        <v>104</v>
      </c>
      <c r="AA1194" t="s">
        <v>106</v>
      </c>
      <c r="AB1194" t="s">
        <v>106</v>
      </c>
    </row>
    <row r="1195" spans="1:28" x14ac:dyDescent="0.3">
      <c r="A1195" t="s">
        <v>1452</v>
      </c>
      <c r="B1195">
        <v>2</v>
      </c>
      <c r="C1195">
        <v>15</v>
      </c>
      <c r="D1195">
        <v>62</v>
      </c>
      <c r="E1195" t="s">
        <v>2010</v>
      </c>
      <c r="F1195" s="12">
        <v>45546</v>
      </c>
      <c r="G1195" t="s">
        <v>313</v>
      </c>
      <c r="H1195" s="12">
        <v>45546</v>
      </c>
      <c r="I1195" t="s">
        <v>1210</v>
      </c>
      <c r="J1195" t="s">
        <v>458</v>
      </c>
      <c r="K1195">
        <v>2</v>
      </c>
      <c r="L1195">
        <v>14.9</v>
      </c>
      <c r="P1195" t="s">
        <v>106</v>
      </c>
      <c r="Q1195" t="s">
        <v>106</v>
      </c>
      <c r="R1195" t="s">
        <v>106</v>
      </c>
      <c r="S1195" t="s">
        <v>106</v>
      </c>
      <c r="T1195" t="s">
        <v>1553</v>
      </c>
      <c r="U1195" t="s">
        <v>1772</v>
      </c>
      <c r="V1195" t="s">
        <v>106</v>
      </c>
      <c r="W1195" t="s">
        <v>443</v>
      </c>
      <c r="X1195" t="s">
        <v>106</v>
      </c>
      <c r="Y1195" t="s">
        <v>108</v>
      </c>
      <c r="Z1195" t="s">
        <v>104</v>
      </c>
      <c r="AA1195" t="s">
        <v>106</v>
      </c>
      <c r="AB1195" t="s">
        <v>106</v>
      </c>
    </row>
    <row r="1196" spans="1:28" x14ac:dyDescent="0.3">
      <c r="A1196" t="s">
        <v>1452</v>
      </c>
      <c r="B1196">
        <v>2</v>
      </c>
      <c r="C1196">
        <v>15</v>
      </c>
      <c r="D1196">
        <v>64</v>
      </c>
      <c r="E1196" t="s">
        <v>308</v>
      </c>
      <c r="F1196" s="12">
        <v>45546</v>
      </c>
      <c r="G1196" t="s">
        <v>411</v>
      </c>
      <c r="H1196" s="12">
        <v>45546</v>
      </c>
      <c r="I1196" t="s">
        <v>1210</v>
      </c>
      <c r="J1196" t="s">
        <v>458</v>
      </c>
      <c r="K1196">
        <v>2</v>
      </c>
      <c r="L1196">
        <v>16.7</v>
      </c>
      <c r="P1196" t="s">
        <v>106</v>
      </c>
      <c r="Q1196" t="s">
        <v>106</v>
      </c>
      <c r="R1196" t="s">
        <v>106</v>
      </c>
      <c r="S1196" t="s">
        <v>106</v>
      </c>
      <c r="T1196" t="s">
        <v>2035</v>
      </c>
      <c r="U1196" t="s">
        <v>106</v>
      </c>
      <c r="V1196" t="s">
        <v>106</v>
      </c>
      <c r="W1196" t="s">
        <v>2036</v>
      </c>
      <c r="X1196" t="s">
        <v>106</v>
      </c>
      <c r="Y1196" t="s">
        <v>108</v>
      </c>
      <c r="Z1196" t="s">
        <v>104</v>
      </c>
      <c r="AA1196" t="s">
        <v>106</v>
      </c>
      <c r="AB1196" t="s">
        <v>2010</v>
      </c>
    </row>
    <row r="1197" spans="1:28" x14ac:dyDescent="0.3">
      <c r="A1197" t="s">
        <v>1452</v>
      </c>
      <c r="B1197">
        <v>3</v>
      </c>
      <c r="C1197">
        <v>35</v>
      </c>
      <c r="D1197">
        <v>95</v>
      </c>
      <c r="E1197" t="s">
        <v>308</v>
      </c>
      <c r="F1197" s="12">
        <v>45546</v>
      </c>
      <c r="G1197" t="s">
        <v>2190</v>
      </c>
      <c r="H1197" s="12">
        <v>45546</v>
      </c>
      <c r="I1197" t="s">
        <v>2028</v>
      </c>
      <c r="J1197" t="s">
        <v>1363</v>
      </c>
      <c r="K1197">
        <v>2</v>
      </c>
      <c r="L1197">
        <v>34.9</v>
      </c>
      <c r="P1197" t="s">
        <v>106</v>
      </c>
      <c r="Q1197" t="s">
        <v>106</v>
      </c>
      <c r="R1197" t="s">
        <v>106</v>
      </c>
      <c r="S1197" t="s">
        <v>106</v>
      </c>
      <c r="T1197" t="s">
        <v>2200</v>
      </c>
      <c r="U1197" t="s">
        <v>1738</v>
      </c>
      <c r="V1197" t="s">
        <v>106</v>
      </c>
      <c r="W1197" t="s">
        <v>2015</v>
      </c>
      <c r="X1197" t="s">
        <v>106</v>
      </c>
      <c r="Y1197" t="s">
        <v>108</v>
      </c>
      <c r="Z1197" t="s">
        <v>108</v>
      </c>
      <c r="AA1197" t="s">
        <v>2016</v>
      </c>
      <c r="AB1197" t="s">
        <v>106</v>
      </c>
    </row>
    <row r="1198" spans="1:28" x14ac:dyDescent="0.3">
      <c r="A1198" t="s">
        <v>1452</v>
      </c>
      <c r="B1198">
        <v>3</v>
      </c>
      <c r="C1198">
        <v>35</v>
      </c>
      <c r="D1198">
        <v>68</v>
      </c>
      <c r="E1198" t="s">
        <v>128</v>
      </c>
      <c r="F1198" s="12">
        <v>45546</v>
      </c>
      <c r="G1198" t="s">
        <v>1518</v>
      </c>
      <c r="H1198" s="12">
        <v>45546</v>
      </c>
      <c r="I1198" t="s">
        <v>536</v>
      </c>
      <c r="J1198" t="s">
        <v>458</v>
      </c>
      <c r="K1198">
        <v>2</v>
      </c>
      <c r="L1198">
        <v>32.799999999999997</v>
      </c>
      <c r="P1198" t="s">
        <v>106</v>
      </c>
      <c r="Q1198" t="s">
        <v>106</v>
      </c>
      <c r="R1198" t="s">
        <v>106</v>
      </c>
      <c r="S1198" t="s">
        <v>106</v>
      </c>
      <c r="T1198" t="s">
        <v>1561</v>
      </c>
      <c r="U1198" t="s">
        <v>1734</v>
      </c>
      <c r="V1198" t="s">
        <v>106</v>
      </c>
      <c r="W1198" t="s">
        <v>443</v>
      </c>
      <c r="X1198" t="s">
        <v>106</v>
      </c>
      <c r="Y1198" t="s">
        <v>108</v>
      </c>
      <c r="Z1198" t="s">
        <v>108</v>
      </c>
      <c r="AA1198" t="s">
        <v>106</v>
      </c>
      <c r="AB1198" t="s">
        <v>106</v>
      </c>
    </row>
    <row r="1199" spans="1:28" x14ac:dyDescent="0.3">
      <c r="A1199" t="s">
        <v>1452</v>
      </c>
      <c r="B1199">
        <v>3</v>
      </c>
      <c r="C1199">
        <v>35</v>
      </c>
      <c r="D1199">
        <v>69</v>
      </c>
      <c r="E1199" t="s">
        <v>128</v>
      </c>
      <c r="F1199" s="12">
        <v>45546</v>
      </c>
      <c r="G1199" t="s">
        <v>1518</v>
      </c>
      <c r="H1199" s="12">
        <v>45546</v>
      </c>
      <c r="I1199" t="s">
        <v>536</v>
      </c>
      <c r="J1199" t="s">
        <v>458</v>
      </c>
      <c r="K1199">
        <v>2</v>
      </c>
      <c r="L1199">
        <v>32.4</v>
      </c>
      <c r="P1199" t="s">
        <v>106</v>
      </c>
      <c r="Q1199" t="s">
        <v>106</v>
      </c>
      <c r="R1199" t="s">
        <v>106</v>
      </c>
      <c r="S1199" t="s">
        <v>106</v>
      </c>
      <c r="T1199" t="s">
        <v>1565</v>
      </c>
      <c r="U1199" t="s">
        <v>1968</v>
      </c>
      <c r="V1199" t="s">
        <v>106</v>
      </c>
      <c r="W1199" t="s">
        <v>443</v>
      </c>
      <c r="X1199" t="s">
        <v>106</v>
      </c>
      <c r="Y1199" t="s">
        <v>108</v>
      </c>
      <c r="Z1199" t="s">
        <v>108</v>
      </c>
      <c r="AA1199" t="s">
        <v>106</v>
      </c>
      <c r="AB1199" t="s">
        <v>106</v>
      </c>
    </row>
    <row r="1200" spans="1:28" x14ac:dyDescent="0.3">
      <c r="A1200" t="s">
        <v>1452</v>
      </c>
      <c r="B1200">
        <v>3</v>
      </c>
      <c r="C1200">
        <v>35</v>
      </c>
      <c r="D1200">
        <v>92</v>
      </c>
      <c r="E1200" t="s">
        <v>128</v>
      </c>
      <c r="F1200" s="12">
        <v>45546</v>
      </c>
      <c r="G1200" t="s">
        <v>2031</v>
      </c>
      <c r="H1200" s="12">
        <v>45546</v>
      </c>
      <c r="I1200" t="s">
        <v>2028</v>
      </c>
      <c r="J1200" t="s">
        <v>1363</v>
      </c>
      <c r="K1200">
        <v>2</v>
      </c>
      <c r="L1200">
        <v>30.6</v>
      </c>
      <c r="P1200" t="s">
        <v>106</v>
      </c>
      <c r="Q1200" t="s">
        <v>106</v>
      </c>
      <c r="R1200" t="s">
        <v>106</v>
      </c>
      <c r="S1200" t="s">
        <v>106</v>
      </c>
      <c r="T1200" t="s">
        <v>1097</v>
      </c>
      <c r="U1200" t="s">
        <v>2472</v>
      </c>
      <c r="V1200" t="s">
        <v>106</v>
      </c>
      <c r="W1200" t="s">
        <v>2015</v>
      </c>
      <c r="X1200" t="s">
        <v>106</v>
      </c>
      <c r="Y1200" t="s">
        <v>108</v>
      </c>
      <c r="Z1200" t="s">
        <v>108</v>
      </c>
      <c r="AA1200" t="s">
        <v>2016</v>
      </c>
      <c r="AB1200" t="s">
        <v>106</v>
      </c>
    </row>
    <row r="1201" spans="1:28" x14ac:dyDescent="0.3">
      <c r="A1201" t="s">
        <v>1452</v>
      </c>
      <c r="B1201">
        <v>3</v>
      </c>
      <c r="C1201">
        <v>35</v>
      </c>
      <c r="D1201">
        <v>90</v>
      </c>
      <c r="E1201" t="s">
        <v>128</v>
      </c>
      <c r="F1201" s="12">
        <v>45546</v>
      </c>
      <c r="G1201" t="s">
        <v>2117</v>
      </c>
      <c r="H1201" s="12">
        <v>45546</v>
      </c>
      <c r="I1201" t="s">
        <v>2028</v>
      </c>
      <c r="J1201" t="s">
        <v>1363</v>
      </c>
      <c r="K1201">
        <v>2</v>
      </c>
      <c r="L1201">
        <v>33.1</v>
      </c>
      <c r="P1201" t="s">
        <v>106</v>
      </c>
      <c r="Q1201" t="s">
        <v>106</v>
      </c>
      <c r="R1201" t="s">
        <v>106</v>
      </c>
      <c r="S1201" t="s">
        <v>106</v>
      </c>
      <c r="T1201" t="s">
        <v>638</v>
      </c>
      <c r="U1201" t="s">
        <v>2039</v>
      </c>
      <c r="V1201" t="s">
        <v>106</v>
      </c>
      <c r="W1201" t="s">
        <v>2471</v>
      </c>
      <c r="X1201" t="s">
        <v>106</v>
      </c>
      <c r="Y1201" t="s">
        <v>108</v>
      </c>
      <c r="Z1201" t="s">
        <v>108</v>
      </c>
      <c r="AA1201" t="s">
        <v>2016</v>
      </c>
      <c r="AB1201" t="s">
        <v>106</v>
      </c>
    </row>
    <row r="1202" spans="1:28" x14ac:dyDescent="0.3">
      <c r="A1202" t="s">
        <v>1452</v>
      </c>
      <c r="B1202">
        <v>3</v>
      </c>
      <c r="C1202">
        <v>35</v>
      </c>
      <c r="D1202">
        <v>74</v>
      </c>
      <c r="E1202" t="s">
        <v>128</v>
      </c>
      <c r="F1202" s="12">
        <v>45546</v>
      </c>
      <c r="G1202" t="s">
        <v>515</v>
      </c>
      <c r="H1202" s="12">
        <v>45546</v>
      </c>
      <c r="I1202" t="s">
        <v>536</v>
      </c>
      <c r="J1202" t="s">
        <v>458</v>
      </c>
      <c r="K1202">
        <v>2</v>
      </c>
      <c r="L1202">
        <v>31.9</v>
      </c>
      <c r="P1202" t="s">
        <v>106</v>
      </c>
      <c r="Q1202" t="s">
        <v>106</v>
      </c>
      <c r="R1202" t="s">
        <v>106</v>
      </c>
      <c r="S1202" t="s">
        <v>106</v>
      </c>
      <c r="T1202" t="s">
        <v>870</v>
      </c>
      <c r="U1202" t="s">
        <v>2021</v>
      </c>
      <c r="V1202" t="s">
        <v>106</v>
      </c>
      <c r="W1202" t="s">
        <v>443</v>
      </c>
      <c r="X1202" t="s">
        <v>2025</v>
      </c>
      <c r="Y1202" t="s">
        <v>108</v>
      </c>
      <c r="Z1202" t="s">
        <v>108</v>
      </c>
      <c r="AA1202" t="s">
        <v>106</v>
      </c>
      <c r="AB1202" t="s">
        <v>106</v>
      </c>
    </row>
    <row r="1203" spans="1:28" x14ac:dyDescent="0.3">
      <c r="A1203" t="s">
        <v>1452</v>
      </c>
      <c r="B1203">
        <v>3</v>
      </c>
      <c r="C1203">
        <v>35</v>
      </c>
      <c r="D1203">
        <v>89</v>
      </c>
      <c r="E1203" t="s">
        <v>128</v>
      </c>
      <c r="F1203" s="12">
        <v>45546</v>
      </c>
      <c r="G1203" t="s">
        <v>2473</v>
      </c>
      <c r="H1203" s="12">
        <v>45546</v>
      </c>
      <c r="I1203" t="s">
        <v>2028</v>
      </c>
      <c r="J1203" t="s">
        <v>1363</v>
      </c>
      <c r="K1203">
        <v>2</v>
      </c>
      <c r="L1203">
        <v>30.3</v>
      </c>
      <c r="P1203" t="s">
        <v>106</v>
      </c>
      <c r="Q1203" t="s">
        <v>106</v>
      </c>
      <c r="R1203" t="s">
        <v>106</v>
      </c>
      <c r="S1203" t="s">
        <v>106</v>
      </c>
      <c r="T1203" t="s">
        <v>1659</v>
      </c>
      <c r="U1203" t="s">
        <v>2044</v>
      </c>
      <c r="V1203" t="s">
        <v>106</v>
      </c>
      <c r="W1203" t="s">
        <v>2471</v>
      </c>
      <c r="X1203" t="s">
        <v>106</v>
      </c>
      <c r="Y1203" t="s">
        <v>108</v>
      </c>
      <c r="Z1203" t="s">
        <v>108</v>
      </c>
      <c r="AA1203" t="s">
        <v>2016</v>
      </c>
      <c r="AB1203" t="s">
        <v>106</v>
      </c>
    </row>
    <row r="1204" spans="1:28" x14ac:dyDescent="0.3">
      <c r="A1204" t="s">
        <v>1452</v>
      </c>
      <c r="B1204">
        <v>3</v>
      </c>
      <c r="C1204">
        <v>35</v>
      </c>
      <c r="D1204">
        <v>93</v>
      </c>
      <c r="E1204" t="s">
        <v>128</v>
      </c>
      <c r="F1204" s="12">
        <v>45546</v>
      </c>
      <c r="G1204" t="s">
        <v>2474</v>
      </c>
      <c r="H1204" s="12">
        <v>45546</v>
      </c>
      <c r="I1204" t="s">
        <v>2028</v>
      </c>
      <c r="J1204" t="s">
        <v>1363</v>
      </c>
      <c r="K1204">
        <v>2</v>
      </c>
      <c r="L1204">
        <v>34.299999999999997</v>
      </c>
      <c r="P1204" t="s">
        <v>106</v>
      </c>
      <c r="Q1204" t="s">
        <v>106</v>
      </c>
      <c r="R1204" t="s">
        <v>106</v>
      </c>
      <c r="S1204" t="s">
        <v>106</v>
      </c>
      <c r="T1204" t="s">
        <v>1041</v>
      </c>
      <c r="U1204" t="s">
        <v>2439</v>
      </c>
      <c r="V1204" t="s">
        <v>106</v>
      </c>
      <c r="W1204" t="s">
        <v>2015</v>
      </c>
      <c r="X1204" t="s">
        <v>106</v>
      </c>
      <c r="Y1204" t="s">
        <v>108</v>
      </c>
      <c r="Z1204" t="s">
        <v>108</v>
      </c>
      <c r="AA1204" t="s">
        <v>2016</v>
      </c>
      <c r="AB1204" t="s">
        <v>106</v>
      </c>
    </row>
    <row r="1205" spans="1:28" x14ac:dyDescent="0.3">
      <c r="A1205" t="s">
        <v>1452</v>
      </c>
      <c r="B1205">
        <v>3</v>
      </c>
      <c r="C1205">
        <v>35</v>
      </c>
      <c r="D1205">
        <v>86</v>
      </c>
      <c r="E1205" t="s">
        <v>128</v>
      </c>
      <c r="F1205" s="12">
        <v>45546</v>
      </c>
      <c r="G1205" t="s">
        <v>2475</v>
      </c>
      <c r="H1205" s="12">
        <v>45546</v>
      </c>
      <c r="I1205" t="s">
        <v>385</v>
      </c>
      <c r="J1205" t="s">
        <v>1363</v>
      </c>
      <c r="K1205">
        <v>2</v>
      </c>
      <c r="L1205">
        <v>34.299999999999997</v>
      </c>
      <c r="P1205" t="s">
        <v>106</v>
      </c>
      <c r="Q1205" t="s">
        <v>106</v>
      </c>
      <c r="R1205" t="s">
        <v>106</v>
      </c>
      <c r="S1205" t="s">
        <v>106</v>
      </c>
      <c r="T1205" t="s">
        <v>1467</v>
      </c>
      <c r="U1205" t="s">
        <v>2014</v>
      </c>
      <c r="V1205" t="s">
        <v>106</v>
      </c>
      <c r="W1205" t="s">
        <v>954</v>
      </c>
      <c r="X1205" t="s">
        <v>106</v>
      </c>
      <c r="Y1205" t="s">
        <v>108</v>
      </c>
      <c r="Z1205" t="s">
        <v>108</v>
      </c>
      <c r="AA1205" t="s">
        <v>2476</v>
      </c>
      <c r="AB1205" t="s">
        <v>2477</v>
      </c>
    </row>
    <row r="1206" spans="1:28" x14ac:dyDescent="0.3">
      <c r="A1206" t="s">
        <v>1452</v>
      </c>
      <c r="B1206">
        <v>3</v>
      </c>
      <c r="C1206">
        <v>35</v>
      </c>
      <c r="D1206">
        <v>80</v>
      </c>
      <c r="E1206" t="s">
        <v>128</v>
      </c>
      <c r="F1206" s="12">
        <v>45546</v>
      </c>
      <c r="G1206" t="s">
        <v>463</v>
      </c>
      <c r="H1206" s="12">
        <v>45546</v>
      </c>
      <c r="I1206" t="s">
        <v>536</v>
      </c>
      <c r="J1206" t="s">
        <v>458</v>
      </c>
      <c r="K1206">
        <v>2</v>
      </c>
      <c r="L1206">
        <v>35</v>
      </c>
      <c r="P1206" t="s">
        <v>106</v>
      </c>
      <c r="Q1206" t="s">
        <v>106</v>
      </c>
      <c r="R1206" t="s">
        <v>106</v>
      </c>
      <c r="S1206" t="s">
        <v>106</v>
      </c>
      <c r="T1206" t="s">
        <v>106</v>
      </c>
      <c r="U1206" t="s">
        <v>2060</v>
      </c>
      <c r="V1206" t="s">
        <v>106</v>
      </c>
      <c r="W1206" t="s">
        <v>443</v>
      </c>
      <c r="X1206" t="s">
        <v>106</v>
      </c>
      <c r="Y1206" t="s">
        <v>108</v>
      </c>
      <c r="Z1206" t="s">
        <v>108</v>
      </c>
      <c r="AA1206" t="s">
        <v>106</v>
      </c>
      <c r="AB1206" t="s">
        <v>106</v>
      </c>
    </row>
    <row r="1207" spans="1:28" x14ac:dyDescent="0.3">
      <c r="A1207" t="s">
        <v>1452</v>
      </c>
      <c r="B1207">
        <v>3</v>
      </c>
      <c r="C1207">
        <v>35</v>
      </c>
      <c r="D1207">
        <v>81</v>
      </c>
      <c r="E1207" t="s">
        <v>128</v>
      </c>
      <c r="F1207" s="12">
        <v>45546</v>
      </c>
      <c r="G1207" t="s">
        <v>463</v>
      </c>
      <c r="H1207" s="12">
        <v>45546</v>
      </c>
      <c r="I1207" t="s">
        <v>536</v>
      </c>
      <c r="J1207" t="s">
        <v>458</v>
      </c>
      <c r="K1207">
        <v>2</v>
      </c>
      <c r="L1207">
        <v>34.1</v>
      </c>
      <c r="P1207" t="s">
        <v>106</v>
      </c>
      <c r="Q1207" t="s">
        <v>106</v>
      </c>
      <c r="R1207" t="s">
        <v>106</v>
      </c>
      <c r="S1207" t="s">
        <v>106</v>
      </c>
      <c r="T1207" t="s">
        <v>106</v>
      </c>
      <c r="U1207" t="s">
        <v>2021</v>
      </c>
      <c r="V1207" t="s">
        <v>106</v>
      </c>
      <c r="W1207" t="s">
        <v>443</v>
      </c>
      <c r="X1207" t="s">
        <v>106</v>
      </c>
      <c r="Y1207" t="s">
        <v>108</v>
      </c>
      <c r="Z1207" t="s">
        <v>108</v>
      </c>
      <c r="AA1207" t="s">
        <v>106</v>
      </c>
      <c r="AB1207" t="s">
        <v>106</v>
      </c>
    </row>
    <row r="1208" spans="1:28" x14ac:dyDescent="0.3">
      <c r="A1208" t="s">
        <v>1452</v>
      </c>
      <c r="B1208">
        <v>3</v>
      </c>
      <c r="C1208">
        <v>35</v>
      </c>
      <c r="D1208">
        <v>82</v>
      </c>
      <c r="E1208" t="s">
        <v>128</v>
      </c>
      <c r="F1208" s="12">
        <v>45546</v>
      </c>
      <c r="G1208" t="s">
        <v>681</v>
      </c>
      <c r="H1208" s="12">
        <v>45546</v>
      </c>
      <c r="I1208" t="s">
        <v>385</v>
      </c>
      <c r="J1208" t="s">
        <v>1363</v>
      </c>
      <c r="K1208">
        <v>2</v>
      </c>
      <c r="L1208">
        <v>32.5</v>
      </c>
      <c r="P1208" t="s">
        <v>106</v>
      </c>
      <c r="Q1208" t="s">
        <v>106</v>
      </c>
      <c r="R1208" t="s">
        <v>106</v>
      </c>
      <c r="S1208" t="s">
        <v>106</v>
      </c>
      <c r="T1208" t="s">
        <v>787</v>
      </c>
      <c r="U1208" t="s">
        <v>2478</v>
      </c>
      <c r="V1208" t="s">
        <v>106</v>
      </c>
      <c r="W1208" t="s">
        <v>954</v>
      </c>
      <c r="X1208" t="s">
        <v>106</v>
      </c>
      <c r="Y1208" t="s">
        <v>108</v>
      </c>
      <c r="Z1208" t="s">
        <v>108</v>
      </c>
      <c r="AA1208" t="s">
        <v>106</v>
      </c>
      <c r="AB1208" t="s">
        <v>106</v>
      </c>
    </row>
    <row r="1209" spans="1:28" x14ac:dyDescent="0.3">
      <c r="A1209" t="s">
        <v>1452</v>
      </c>
      <c r="B1209">
        <v>3</v>
      </c>
      <c r="C1209">
        <v>35</v>
      </c>
      <c r="D1209">
        <v>75</v>
      </c>
      <c r="E1209" t="s">
        <v>128</v>
      </c>
      <c r="F1209" s="12">
        <v>45546</v>
      </c>
      <c r="G1209" t="s">
        <v>515</v>
      </c>
      <c r="H1209" s="12">
        <v>45546</v>
      </c>
      <c r="I1209" t="s">
        <v>536</v>
      </c>
      <c r="J1209" t="s">
        <v>458</v>
      </c>
      <c r="K1209">
        <v>2</v>
      </c>
      <c r="L1209">
        <v>24.8</v>
      </c>
      <c r="P1209" t="s">
        <v>106</v>
      </c>
      <c r="Q1209" t="s">
        <v>106</v>
      </c>
      <c r="R1209" t="s">
        <v>106</v>
      </c>
      <c r="S1209" t="s">
        <v>106</v>
      </c>
      <c r="T1209" t="s">
        <v>971</v>
      </c>
      <c r="U1209" t="s">
        <v>421</v>
      </c>
      <c r="V1209" t="s">
        <v>106</v>
      </c>
      <c r="W1209" t="s">
        <v>443</v>
      </c>
      <c r="X1209" t="s">
        <v>2026</v>
      </c>
      <c r="Y1209" t="s">
        <v>108</v>
      </c>
      <c r="Z1209" t="s">
        <v>108</v>
      </c>
      <c r="AA1209" t="s">
        <v>106</v>
      </c>
      <c r="AB1209" t="s">
        <v>106</v>
      </c>
    </row>
    <row r="1210" spans="1:28" x14ac:dyDescent="0.3">
      <c r="A1210" t="s">
        <v>1452</v>
      </c>
      <c r="B1210">
        <v>3</v>
      </c>
      <c r="C1210">
        <v>35</v>
      </c>
      <c r="D1210">
        <v>94</v>
      </c>
      <c r="E1210" t="s">
        <v>308</v>
      </c>
      <c r="F1210" s="12">
        <v>45546</v>
      </c>
      <c r="G1210" t="s">
        <v>2193</v>
      </c>
      <c r="H1210" s="12">
        <v>45546</v>
      </c>
      <c r="I1210" t="s">
        <v>2028</v>
      </c>
      <c r="J1210" t="s">
        <v>1363</v>
      </c>
      <c r="K1210">
        <v>2</v>
      </c>
      <c r="L1210">
        <v>33.200000000000003</v>
      </c>
      <c r="P1210" t="s">
        <v>106</v>
      </c>
      <c r="Q1210" t="s">
        <v>106</v>
      </c>
      <c r="R1210" t="s">
        <v>106</v>
      </c>
      <c r="S1210" t="s">
        <v>106</v>
      </c>
      <c r="T1210" t="s">
        <v>776</v>
      </c>
      <c r="U1210" t="s">
        <v>1347</v>
      </c>
      <c r="V1210" t="s">
        <v>106</v>
      </c>
      <c r="W1210" t="s">
        <v>2015</v>
      </c>
      <c r="X1210" t="s">
        <v>106</v>
      </c>
      <c r="Y1210" t="s">
        <v>108</v>
      </c>
      <c r="Z1210" t="s">
        <v>108</v>
      </c>
      <c r="AA1210" t="s">
        <v>2016</v>
      </c>
      <c r="AB1210" t="s">
        <v>106</v>
      </c>
    </row>
    <row r="1211" spans="1:28" x14ac:dyDescent="0.3">
      <c r="A1211" t="s">
        <v>1452</v>
      </c>
      <c r="B1211">
        <v>3</v>
      </c>
      <c r="C1211">
        <v>35</v>
      </c>
      <c r="D1211">
        <v>56</v>
      </c>
      <c r="E1211" t="s">
        <v>128</v>
      </c>
      <c r="F1211" s="12">
        <v>45546</v>
      </c>
      <c r="G1211" t="s">
        <v>1607</v>
      </c>
      <c r="H1211" s="12">
        <v>45546</v>
      </c>
      <c r="I1211" t="s">
        <v>1210</v>
      </c>
      <c r="J1211" t="s">
        <v>458</v>
      </c>
      <c r="K1211">
        <v>2</v>
      </c>
      <c r="L1211">
        <v>31.8</v>
      </c>
      <c r="P1211" t="s">
        <v>106</v>
      </c>
      <c r="Q1211" t="s">
        <v>106</v>
      </c>
      <c r="R1211" t="s">
        <v>106</v>
      </c>
      <c r="S1211" t="s">
        <v>106</v>
      </c>
      <c r="T1211" t="s">
        <v>1131</v>
      </c>
      <c r="U1211" t="s">
        <v>1600</v>
      </c>
      <c r="V1211" t="s">
        <v>106</v>
      </c>
      <c r="W1211" t="s">
        <v>443</v>
      </c>
      <c r="X1211" t="s">
        <v>106</v>
      </c>
      <c r="Y1211" t="s">
        <v>108</v>
      </c>
      <c r="Z1211" t="s">
        <v>104</v>
      </c>
      <c r="AA1211" t="s">
        <v>106</v>
      </c>
      <c r="AB1211" t="s">
        <v>106</v>
      </c>
    </row>
    <row r="1212" spans="1:28" x14ac:dyDescent="0.3">
      <c r="A1212" t="s">
        <v>1452</v>
      </c>
      <c r="B1212">
        <v>3</v>
      </c>
      <c r="C1212">
        <v>35</v>
      </c>
      <c r="D1212">
        <v>57</v>
      </c>
      <c r="E1212" t="s">
        <v>128</v>
      </c>
      <c r="F1212" s="12">
        <v>45546</v>
      </c>
      <c r="G1212" t="s">
        <v>1607</v>
      </c>
      <c r="H1212" s="12">
        <v>45546</v>
      </c>
      <c r="I1212" t="s">
        <v>1210</v>
      </c>
      <c r="J1212" t="s">
        <v>458</v>
      </c>
      <c r="K1212">
        <v>2</v>
      </c>
      <c r="L1212">
        <v>33.700000000000003</v>
      </c>
      <c r="P1212" t="s">
        <v>106</v>
      </c>
      <c r="Q1212" t="s">
        <v>106</v>
      </c>
      <c r="R1212" t="s">
        <v>106</v>
      </c>
      <c r="S1212" t="s">
        <v>106</v>
      </c>
      <c r="T1212" t="s">
        <v>2087</v>
      </c>
      <c r="U1212" t="s">
        <v>1776</v>
      </c>
      <c r="V1212" t="s">
        <v>106</v>
      </c>
      <c r="W1212" t="s">
        <v>443</v>
      </c>
      <c r="X1212" t="s">
        <v>106</v>
      </c>
      <c r="Y1212" t="s">
        <v>108</v>
      </c>
      <c r="Z1212" t="s">
        <v>104</v>
      </c>
      <c r="AA1212" t="s">
        <v>106</v>
      </c>
      <c r="AB1212" t="s">
        <v>106</v>
      </c>
    </row>
    <row r="1213" spans="1:28" x14ac:dyDescent="0.3">
      <c r="A1213" t="s">
        <v>1452</v>
      </c>
      <c r="B1213">
        <v>3</v>
      </c>
      <c r="C1213">
        <v>35</v>
      </c>
      <c r="D1213">
        <v>53</v>
      </c>
      <c r="E1213" t="s">
        <v>2010</v>
      </c>
      <c r="F1213" s="12">
        <v>45546</v>
      </c>
      <c r="G1213" t="s">
        <v>1695</v>
      </c>
      <c r="H1213" s="12">
        <v>45546</v>
      </c>
      <c r="I1213" t="s">
        <v>548</v>
      </c>
      <c r="J1213" t="s">
        <v>458</v>
      </c>
      <c r="L1213">
        <v>34.700000000000003</v>
      </c>
      <c r="P1213" t="s">
        <v>106</v>
      </c>
      <c r="Q1213" t="s">
        <v>106</v>
      </c>
      <c r="R1213" t="s">
        <v>106</v>
      </c>
      <c r="S1213" t="s">
        <v>106</v>
      </c>
      <c r="T1213" t="s">
        <v>1022</v>
      </c>
      <c r="U1213" t="s">
        <v>2106</v>
      </c>
      <c r="V1213" t="s">
        <v>106</v>
      </c>
      <c r="W1213" t="s">
        <v>443</v>
      </c>
      <c r="X1213" t="s">
        <v>106</v>
      </c>
      <c r="Y1213" t="s">
        <v>108</v>
      </c>
      <c r="Z1213" t="s">
        <v>108</v>
      </c>
      <c r="AA1213" t="s">
        <v>106</v>
      </c>
      <c r="AB1213" t="s">
        <v>106</v>
      </c>
    </row>
    <row r="1214" spans="1:28" x14ac:dyDescent="0.3">
      <c r="A1214" t="s">
        <v>1452</v>
      </c>
      <c r="B1214">
        <v>3</v>
      </c>
      <c r="C1214">
        <v>35</v>
      </c>
      <c r="D1214">
        <v>52</v>
      </c>
      <c r="E1214" t="s">
        <v>2010</v>
      </c>
      <c r="F1214" s="12">
        <v>45546</v>
      </c>
      <c r="G1214" t="s">
        <v>1695</v>
      </c>
      <c r="H1214" s="12">
        <v>45546</v>
      </c>
      <c r="I1214" t="s">
        <v>548</v>
      </c>
      <c r="J1214" t="s">
        <v>458</v>
      </c>
      <c r="L1214">
        <v>33.4</v>
      </c>
      <c r="P1214" t="s">
        <v>106</v>
      </c>
      <c r="Q1214" t="s">
        <v>106</v>
      </c>
      <c r="R1214" t="s">
        <v>106</v>
      </c>
      <c r="S1214" t="s">
        <v>106</v>
      </c>
      <c r="T1214" t="s">
        <v>884</v>
      </c>
      <c r="U1214" t="s">
        <v>1772</v>
      </c>
      <c r="V1214" t="s">
        <v>106</v>
      </c>
      <c r="W1214" t="s">
        <v>443</v>
      </c>
      <c r="X1214" t="s">
        <v>106</v>
      </c>
      <c r="Y1214" t="s">
        <v>108</v>
      </c>
      <c r="Z1214" t="s">
        <v>108</v>
      </c>
      <c r="AA1214" t="s">
        <v>106</v>
      </c>
      <c r="AB1214" t="s">
        <v>106</v>
      </c>
    </row>
    <row r="1215" spans="1:28" x14ac:dyDescent="0.3">
      <c r="A1215" t="s">
        <v>1452</v>
      </c>
      <c r="B1215">
        <v>3</v>
      </c>
      <c r="C1215">
        <v>35</v>
      </c>
      <c r="D1215">
        <v>51</v>
      </c>
      <c r="E1215" t="s">
        <v>128</v>
      </c>
      <c r="F1215" s="12">
        <v>45546</v>
      </c>
      <c r="G1215" t="s">
        <v>2479</v>
      </c>
      <c r="H1215" s="12">
        <v>45546</v>
      </c>
      <c r="I1215" t="s">
        <v>548</v>
      </c>
      <c r="J1215" t="s">
        <v>458</v>
      </c>
      <c r="K1215">
        <v>2</v>
      </c>
      <c r="L1215">
        <v>31.3</v>
      </c>
      <c r="P1215" t="s">
        <v>106</v>
      </c>
      <c r="Q1215" t="s">
        <v>106</v>
      </c>
      <c r="R1215" t="s">
        <v>106</v>
      </c>
      <c r="S1215" t="s">
        <v>106</v>
      </c>
      <c r="T1215" t="s">
        <v>106</v>
      </c>
      <c r="U1215" t="s">
        <v>106</v>
      </c>
      <c r="V1215" t="s">
        <v>106</v>
      </c>
      <c r="W1215" t="s">
        <v>443</v>
      </c>
      <c r="X1215" t="s">
        <v>106</v>
      </c>
      <c r="Y1215" t="s">
        <v>108</v>
      </c>
      <c r="Z1215" t="s">
        <v>104</v>
      </c>
      <c r="AA1215" t="s">
        <v>106</v>
      </c>
      <c r="AB1215" t="s">
        <v>2480</v>
      </c>
    </row>
    <row r="1216" spans="1:28" x14ac:dyDescent="0.3">
      <c r="A1216" t="s">
        <v>1452</v>
      </c>
      <c r="B1216">
        <v>3</v>
      </c>
      <c r="C1216">
        <v>35</v>
      </c>
      <c r="D1216">
        <v>48</v>
      </c>
      <c r="E1216" t="s">
        <v>128</v>
      </c>
      <c r="F1216" s="12">
        <v>45546</v>
      </c>
      <c r="G1216" t="s">
        <v>1875</v>
      </c>
      <c r="H1216" s="12">
        <v>45546</v>
      </c>
      <c r="I1216" t="s">
        <v>548</v>
      </c>
      <c r="J1216" t="s">
        <v>458</v>
      </c>
      <c r="K1216">
        <v>2</v>
      </c>
      <c r="L1216">
        <v>31.6</v>
      </c>
      <c r="P1216" t="s">
        <v>106</v>
      </c>
      <c r="Q1216" t="s">
        <v>106</v>
      </c>
      <c r="R1216" t="s">
        <v>106</v>
      </c>
      <c r="S1216" t="s">
        <v>106</v>
      </c>
      <c r="T1216" t="s">
        <v>829</v>
      </c>
      <c r="U1216" t="s">
        <v>997</v>
      </c>
      <c r="V1216" t="s">
        <v>106</v>
      </c>
      <c r="W1216" t="s">
        <v>443</v>
      </c>
      <c r="X1216" t="s">
        <v>106</v>
      </c>
      <c r="Y1216" t="s">
        <v>108</v>
      </c>
      <c r="Z1216" t="s">
        <v>104</v>
      </c>
      <c r="AA1216" t="s">
        <v>106</v>
      </c>
      <c r="AB1216" t="s">
        <v>106</v>
      </c>
    </row>
    <row r="1217" spans="1:28" x14ac:dyDescent="0.3">
      <c r="A1217" t="s">
        <v>1452</v>
      </c>
      <c r="B1217">
        <v>3</v>
      </c>
      <c r="C1217">
        <v>35</v>
      </c>
      <c r="D1217">
        <v>47</v>
      </c>
      <c r="E1217" t="s">
        <v>128</v>
      </c>
      <c r="F1217" s="12">
        <v>45546</v>
      </c>
      <c r="G1217" t="s">
        <v>1406</v>
      </c>
      <c r="H1217" s="12">
        <v>45546</v>
      </c>
      <c r="I1217" t="s">
        <v>548</v>
      </c>
      <c r="J1217" t="s">
        <v>458</v>
      </c>
      <c r="K1217">
        <v>2</v>
      </c>
      <c r="L1217">
        <v>31.3</v>
      </c>
      <c r="P1217" t="s">
        <v>106</v>
      </c>
      <c r="Q1217" t="s">
        <v>106</v>
      </c>
      <c r="R1217" t="s">
        <v>106</v>
      </c>
      <c r="S1217" t="s">
        <v>106</v>
      </c>
      <c r="T1217" t="s">
        <v>523</v>
      </c>
      <c r="U1217" t="s">
        <v>395</v>
      </c>
      <c r="V1217" t="s">
        <v>106</v>
      </c>
      <c r="W1217" t="s">
        <v>443</v>
      </c>
      <c r="X1217" t="s">
        <v>106</v>
      </c>
      <c r="Y1217" t="s">
        <v>108</v>
      </c>
      <c r="Z1217" t="s">
        <v>104</v>
      </c>
      <c r="AA1217" t="s">
        <v>106</v>
      </c>
      <c r="AB1217" t="s">
        <v>106</v>
      </c>
    </row>
    <row r="1218" spans="1:28" x14ac:dyDescent="0.3">
      <c r="A1218" t="s">
        <v>1452</v>
      </c>
      <c r="B1218">
        <v>3</v>
      </c>
      <c r="C1218">
        <v>35</v>
      </c>
      <c r="D1218">
        <v>98</v>
      </c>
      <c r="E1218" t="s">
        <v>128</v>
      </c>
      <c r="F1218" s="12">
        <v>45546</v>
      </c>
      <c r="G1218" t="s">
        <v>2481</v>
      </c>
      <c r="H1218" s="12">
        <v>45546</v>
      </c>
      <c r="I1218" t="s">
        <v>2020</v>
      </c>
      <c r="J1218" t="s">
        <v>1363</v>
      </c>
      <c r="K1218">
        <v>2</v>
      </c>
      <c r="L1218">
        <v>32.4</v>
      </c>
      <c r="P1218" t="s">
        <v>106</v>
      </c>
      <c r="Q1218" t="s">
        <v>106</v>
      </c>
      <c r="R1218" t="s">
        <v>106</v>
      </c>
      <c r="S1218" t="s">
        <v>106</v>
      </c>
      <c r="T1218" t="s">
        <v>665</v>
      </c>
      <c r="U1218" t="s">
        <v>2017</v>
      </c>
      <c r="V1218" t="s">
        <v>106</v>
      </c>
      <c r="W1218" t="s">
        <v>2015</v>
      </c>
      <c r="X1218" t="s">
        <v>106</v>
      </c>
      <c r="Y1218" t="s">
        <v>108</v>
      </c>
      <c r="Z1218" t="s">
        <v>108</v>
      </c>
      <c r="AA1218" t="s">
        <v>2016</v>
      </c>
      <c r="AB1218" t="s">
        <v>106</v>
      </c>
    </row>
    <row r="1219" spans="1:28" x14ac:dyDescent="0.3">
      <c r="A1219" t="s">
        <v>1452</v>
      </c>
      <c r="B1219">
        <v>3</v>
      </c>
      <c r="C1219">
        <v>35</v>
      </c>
      <c r="D1219">
        <v>99</v>
      </c>
      <c r="E1219" t="s">
        <v>128</v>
      </c>
      <c r="F1219" s="12">
        <v>45546</v>
      </c>
      <c r="G1219" t="s">
        <v>2482</v>
      </c>
      <c r="H1219" s="12">
        <v>45546</v>
      </c>
      <c r="I1219" t="s">
        <v>2020</v>
      </c>
      <c r="J1219" t="s">
        <v>1363</v>
      </c>
      <c r="K1219">
        <v>2</v>
      </c>
      <c r="L1219">
        <v>34.4</v>
      </c>
      <c r="P1219" t="s">
        <v>106</v>
      </c>
      <c r="Q1219" t="s">
        <v>106</v>
      </c>
      <c r="R1219" t="s">
        <v>106</v>
      </c>
      <c r="S1219" t="s">
        <v>106</v>
      </c>
      <c r="T1219" t="s">
        <v>824</v>
      </c>
      <c r="U1219" t="s">
        <v>2033</v>
      </c>
      <c r="V1219" t="s">
        <v>106</v>
      </c>
      <c r="W1219" t="s">
        <v>2015</v>
      </c>
      <c r="X1219" t="s">
        <v>106</v>
      </c>
      <c r="Y1219" t="s">
        <v>108</v>
      </c>
      <c r="Z1219" t="s">
        <v>108</v>
      </c>
      <c r="AA1219" t="s">
        <v>2016</v>
      </c>
      <c r="AB1219" t="s">
        <v>106</v>
      </c>
    </row>
    <row r="1220" spans="1:28" x14ac:dyDescent="0.3">
      <c r="A1220" t="s">
        <v>1452</v>
      </c>
      <c r="B1220">
        <v>3</v>
      </c>
      <c r="C1220">
        <v>35</v>
      </c>
      <c r="D1220">
        <v>83</v>
      </c>
      <c r="E1220" t="s">
        <v>128</v>
      </c>
      <c r="F1220" s="12">
        <v>45546</v>
      </c>
      <c r="G1220" t="s">
        <v>1157</v>
      </c>
      <c r="H1220" s="12">
        <v>45546</v>
      </c>
      <c r="I1220" t="s">
        <v>385</v>
      </c>
      <c r="J1220" t="s">
        <v>1363</v>
      </c>
      <c r="K1220">
        <v>2</v>
      </c>
      <c r="L1220">
        <v>26.6</v>
      </c>
      <c r="P1220" t="s">
        <v>106</v>
      </c>
      <c r="Q1220" t="s">
        <v>106</v>
      </c>
      <c r="R1220" t="s">
        <v>106</v>
      </c>
      <c r="S1220" t="s">
        <v>106</v>
      </c>
      <c r="T1220" t="s">
        <v>777</v>
      </c>
      <c r="U1220" t="s">
        <v>2014</v>
      </c>
      <c r="V1220" t="s">
        <v>106</v>
      </c>
      <c r="W1220" t="s">
        <v>954</v>
      </c>
      <c r="X1220" t="s">
        <v>106</v>
      </c>
      <c r="Y1220" t="s">
        <v>108</v>
      </c>
      <c r="Z1220" t="s">
        <v>108</v>
      </c>
      <c r="AA1220" t="s">
        <v>106</v>
      </c>
      <c r="AB1220" t="s">
        <v>106</v>
      </c>
    </row>
    <row r="1221" spans="1:28" x14ac:dyDescent="0.3">
      <c r="A1221" t="s">
        <v>1452</v>
      </c>
      <c r="B1221">
        <v>3</v>
      </c>
      <c r="C1221">
        <v>35</v>
      </c>
      <c r="D1221">
        <v>106</v>
      </c>
      <c r="E1221" t="s">
        <v>128</v>
      </c>
      <c r="F1221" s="12">
        <v>45546</v>
      </c>
      <c r="G1221" t="s">
        <v>998</v>
      </c>
      <c r="H1221" s="12">
        <v>45546</v>
      </c>
      <c r="I1221" t="s">
        <v>2012</v>
      </c>
      <c r="J1221" t="s">
        <v>1363</v>
      </c>
      <c r="K1221">
        <v>2</v>
      </c>
      <c r="L1221">
        <v>31.9</v>
      </c>
      <c r="P1221" t="s">
        <v>106</v>
      </c>
      <c r="Q1221" t="s">
        <v>106</v>
      </c>
      <c r="R1221" t="s">
        <v>106</v>
      </c>
      <c r="S1221" t="s">
        <v>106</v>
      </c>
      <c r="T1221" t="s">
        <v>775</v>
      </c>
      <c r="U1221" t="s">
        <v>2054</v>
      </c>
      <c r="V1221" t="s">
        <v>106</v>
      </c>
      <c r="W1221" t="s">
        <v>2015</v>
      </c>
      <c r="X1221" t="s">
        <v>106</v>
      </c>
      <c r="Y1221" t="s">
        <v>108</v>
      </c>
      <c r="Z1221" t="s">
        <v>108</v>
      </c>
      <c r="AA1221" t="s">
        <v>2016</v>
      </c>
      <c r="AB1221" t="s">
        <v>106</v>
      </c>
    </row>
    <row r="1222" spans="1:28" x14ac:dyDescent="0.3">
      <c r="A1222" t="s">
        <v>1452</v>
      </c>
      <c r="B1222">
        <v>3</v>
      </c>
      <c r="C1222">
        <v>35</v>
      </c>
      <c r="D1222">
        <v>107</v>
      </c>
      <c r="E1222" t="s">
        <v>128</v>
      </c>
      <c r="F1222" s="12">
        <v>45546</v>
      </c>
      <c r="G1222" t="s">
        <v>998</v>
      </c>
      <c r="H1222" s="12">
        <v>45546</v>
      </c>
      <c r="I1222" t="s">
        <v>2012</v>
      </c>
      <c r="J1222" t="s">
        <v>1363</v>
      </c>
      <c r="K1222">
        <v>2</v>
      </c>
      <c r="L1222">
        <v>29.6</v>
      </c>
      <c r="P1222" t="s">
        <v>106</v>
      </c>
      <c r="Q1222" t="s">
        <v>106</v>
      </c>
      <c r="R1222" t="s">
        <v>106</v>
      </c>
      <c r="S1222" t="s">
        <v>106</v>
      </c>
      <c r="T1222" t="s">
        <v>1101</v>
      </c>
      <c r="U1222" t="s">
        <v>2057</v>
      </c>
      <c r="V1222" t="s">
        <v>106</v>
      </c>
      <c r="W1222" t="s">
        <v>2015</v>
      </c>
      <c r="X1222" t="s">
        <v>106</v>
      </c>
      <c r="Y1222" t="s">
        <v>108</v>
      </c>
      <c r="Z1222" t="s">
        <v>108</v>
      </c>
      <c r="AA1222" t="s">
        <v>2016</v>
      </c>
      <c r="AB1222" t="s">
        <v>106</v>
      </c>
    </row>
    <row r="1223" spans="1:28" x14ac:dyDescent="0.3">
      <c r="A1223" t="s">
        <v>1452</v>
      </c>
      <c r="B1223">
        <v>3</v>
      </c>
      <c r="C1223">
        <v>35</v>
      </c>
      <c r="D1223">
        <v>108</v>
      </c>
      <c r="E1223" t="s">
        <v>128</v>
      </c>
      <c r="F1223" s="12">
        <v>45546</v>
      </c>
      <c r="G1223" t="s">
        <v>2071</v>
      </c>
      <c r="H1223" s="12">
        <v>45546</v>
      </c>
      <c r="I1223" t="s">
        <v>2012</v>
      </c>
      <c r="J1223" t="s">
        <v>1363</v>
      </c>
      <c r="K1223">
        <v>2</v>
      </c>
      <c r="L1223">
        <v>35.1</v>
      </c>
      <c r="P1223" t="s">
        <v>106</v>
      </c>
      <c r="Q1223" t="s">
        <v>106</v>
      </c>
      <c r="R1223" t="s">
        <v>106</v>
      </c>
      <c r="S1223" t="s">
        <v>106</v>
      </c>
      <c r="T1223" t="s">
        <v>1553</v>
      </c>
      <c r="U1223" t="s">
        <v>2014</v>
      </c>
      <c r="V1223" t="s">
        <v>106</v>
      </c>
      <c r="W1223" t="s">
        <v>2015</v>
      </c>
      <c r="X1223" t="s">
        <v>106</v>
      </c>
      <c r="Y1223" t="s">
        <v>108</v>
      </c>
      <c r="Z1223" t="s">
        <v>108</v>
      </c>
      <c r="AA1223" t="s">
        <v>2016</v>
      </c>
      <c r="AB1223" t="s">
        <v>106</v>
      </c>
    </row>
    <row r="1224" spans="1:28" x14ac:dyDescent="0.3">
      <c r="A1224" t="s">
        <v>1452</v>
      </c>
      <c r="B1224">
        <v>4</v>
      </c>
      <c r="C1224">
        <v>60</v>
      </c>
      <c r="D1224">
        <v>104</v>
      </c>
      <c r="E1224" t="s">
        <v>308</v>
      </c>
      <c r="F1224" s="12">
        <v>45546</v>
      </c>
      <c r="G1224" t="s">
        <v>2711</v>
      </c>
      <c r="H1224" s="12">
        <v>45546</v>
      </c>
      <c r="I1224" t="s">
        <v>385</v>
      </c>
      <c r="J1224" t="s">
        <v>1363</v>
      </c>
      <c r="K1224">
        <v>2</v>
      </c>
      <c r="L1224">
        <v>56.5</v>
      </c>
      <c r="P1224" t="s">
        <v>106</v>
      </c>
      <c r="Q1224" t="s">
        <v>106</v>
      </c>
      <c r="R1224" t="s">
        <v>106</v>
      </c>
      <c r="S1224" t="s">
        <v>106</v>
      </c>
      <c r="T1224" t="s">
        <v>1000</v>
      </c>
      <c r="U1224" t="s">
        <v>1980</v>
      </c>
      <c r="V1224" t="s">
        <v>106</v>
      </c>
      <c r="W1224" t="s">
        <v>2015</v>
      </c>
      <c r="X1224" t="s">
        <v>106</v>
      </c>
      <c r="Y1224" t="s">
        <v>108</v>
      </c>
      <c r="Z1224" t="s">
        <v>104</v>
      </c>
      <c r="AA1224" t="s">
        <v>2016</v>
      </c>
      <c r="AB1224" t="s">
        <v>106</v>
      </c>
    </row>
    <row r="1225" spans="1:28" x14ac:dyDescent="0.3">
      <c r="A1225" t="s">
        <v>1452</v>
      </c>
      <c r="B1225">
        <v>4</v>
      </c>
      <c r="C1225">
        <v>60</v>
      </c>
      <c r="D1225">
        <v>105</v>
      </c>
      <c r="E1225" t="s">
        <v>308</v>
      </c>
      <c r="F1225" s="12">
        <v>45546</v>
      </c>
      <c r="G1225" t="s">
        <v>2167</v>
      </c>
      <c r="H1225" s="12">
        <v>45546</v>
      </c>
      <c r="I1225" t="s">
        <v>385</v>
      </c>
      <c r="J1225" t="s">
        <v>1363</v>
      </c>
      <c r="K1225">
        <v>2</v>
      </c>
      <c r="L1225">
        <v>61.9</v>
      </c>
      <c r="P1225" t="s">
        <v>106</v>
      </c>
      <c r="Q1225" t="s">
        <v>106</v>
      </c>
      <c r="R1225" t="s">
        <v>106</v>
      </c>
      <c r="S1225" t="s">
        <v>106</v>
      </c>
      <c r="T1225" t="s">
        <v>1634</v>
      </c>
      <c r="U1225" t="s">
        <v>2021</v>
      </c>
      <c r="V1225" t="s">
        <v>106</v>
      </c>
      <c r="W1225" t="s">
        <v>2015</v>
      </c>
      <c r="X1225" t="s">
        <v>106</v>
      </c>
      <c r="Y1225" t="s">
        <v>108</v>
      </c>
      <c r="Z1225" t="s">
        <v>104</v>
      </c>
      <c r="AA1225" t="s">
        <v>2016</v>
      </c>
      <c r="AB1225" t="s">
        <v>106</v>
      </c>
    </row>
    <row r="1226" spans="1:28" x14ac:dyDescent="0.3">
      <c r="A1226" t="s">
        <v>1452</v>
      </c>
      <c r="B1226">
        <v>4</v>
      </c>
      <c r="C1226">
        <v>60</v>
      </c>
      <c r="D1226">
        <v>97</v>
      </c>
      <c r="E1226" t="s">
        <v>128</v>
      </c>
      <c r="F1226" s="12">
        <v>45546</v>
      </c>
      <c r="G1226" t="s">
        <v>2554</v>
      </c>
      <c r="H1226" s="12">
        <v>45546</v>
      </c>
      <c r="I1226" t="s">
        <v>2028</v>
      </c>
      <c r="J1226" t="s">
        <v>1363</v>
      </c>
      <c r="K1226">
        <v>2</v>
      </c>
      <c r="L1226">
        <v>55.2</v>
      </c>
      <c r="P1226" t="s">
        <v>106</v>
      </c>
      <c r="Q1226" t="s">
        <v>106</v>
      </c>
      <c r="R1226" t="s">
        <v>106</v>
      </c>
      <c r="S1226" t="s">
        <v>106</v>
      </c>
      <c r="T1226" t="s">
        <v>776</v>
      </c>
      <c r="U1226" t="s">
        <v>2472</v>
      </c>
      <c r="V1226" t="s">
        <v>106</v>
      </c>
      <c r="W1226" t="s">
        <v>2015</v>
      </c>
      <c r="X1226" t="s">
        <v>106</v>
      </c>
      <c r="Y1226" t="s">
        <v>108</v>
      </c>
      <c r="Z1226" t="s">
        <v>104</v>
      </c>
      <c r="AA1226" t="s">
        <v>2016</v>
      </c>
      <c r="AB1226" t="s">
        <v>106</v>
      </c>
    </row>
    <row r="1227" spans="1:28" x14ac:dyDescent="0.3">
      <c r="A1227" t="s">
        <v>1452</v>
      </c>
      <c r="B1227">
        <v>4</v>
      </c>
      <c r="C1227">
        <v>60</v>
      </c>
      <c r="D1227">
        <v>103</v>
      </c>
      <c r="E1227" t="s">
        <v>128</v>
      </c>
      <c r="F1227" s="12">
        <v>45546</v>
      </c>
      <c r="G1227" t="s">
        <v>2483</v>
      </c>
      <c r="H1227" s="12">
        <v>45546</v>
      </c>
      <c r="I1227" t="s">
        <v>2020</v>
      </c>
      <c r="J1227" t="s">
        <v>1363</v>
      </c>
      <c r="K1227">
        <v>2</v>
      </c>
      <c r="L1227">
        <v>53.8</v>
      </c>
      <c r="P1227" t="s">
        <v>106</v>
      </c>
      <c r="Q1227" t="s">
        <v>106</v>
      </c>
      <c r="R1227" t="s">
        <v>106</v>
      </c>
      <c r="S1227" t="s">
        <v>106</v>
      </c>
      <c r="T1227" t="s">
        <v>996</v>
      </c>
      <c r="U1227" t="s">
        <v>2019</v>
      </c>
      <c r="V1227" t="s">
        <v>106</v>
      </c>
      <c r="W1227" t="s">
        <v>2015</v>
      </c>
      <c r="X1227" t="s">
        <v>106</v>
      </c>
      <c r="Y1227" t="s">
        <v>108</v>
      </c>
      <c r="Z1227" t="s">
        <v>104</v>
      </c>
      <c r="AA1227" t="s">
        <v>2016</v>
      </c>
      <c r="AB1227" t="s">
        <v>106</v>
      </c>
    </row>
    <row r="1228" spans="1:28" x14ac:dyDescent="0.3">
      <c r="A1228" t="s">
        <v>1452</v>
      </c>
      <c r="B1228">
        <v>4</v>
      </c>
      <c r="C1228">
        <v>60</v>
      </c>
      <c r="D1228">
        <v>88</v>
      </c>
      <c r="E1228" t="s">
        <v>128</v>
      </c>
      <c r="F1228" s="12">
        <v>45546</v>
      </c>
      <c r="G1228" t="s">
        <v>866</v>
      </c>
      <c r="H1228" s="12">
        <v>45546</v>
      </c>
      <c r="I1228" t="s">
        <v>385</v>
      </c>
      <c r="J1228" t="s">
        <v>1363</v>
      </c>
      <c r="K1228">
        <v>2</v>
      </c>
      <c r="L1228">
        <v>49.7</v>
      </c>
      <c r="P1228" t="s">
        <v>106</v>
      </c>
      <c r="Q1228" t="s">
        <v>106</v>
      </c>
      <c r="R1228" t="s">
        <v>106</v>
      </c>
      <c r="S1228" t="s">
        <v>106</v>
      </c>
      <c r="T1228" t="s">
        <v>525</v>
      </c>
      <c r="U1228" t="s">
        <v>2029</v>
      </c>
      <c r="V1228" t="s">
        <v>106</v>
      </c>
      <c r="W1228" t="s">
        <v>954</v>
      </c>
      <c r="X1228" t="s">
        <v>106</v>
      </c>
      <c r="Y1228" t="s">
        <v>108</v>
      </c>
      <c r="Z1228" t="s">
        <v>104</v>
      </c>
      <c r="AA1228" t="s">
        <v>2016</v>
      </c>
      <c r="AB1228" t="s">
        <v>2712</v>
      </c>
    </row>
    <row r="1229" spans="1:28" x14ac:dyDescent="0.3">
      <c r="A1229" t="s">
        <v>1452</v>
      </c>
      <c r="B1229">
        <v>4</v>
      </c>
      <c r="C1229">
        <v>60</v>
      </c>
      <c r="D1229">
        <v>87</v>
      </c>
      <c r="E1229" t="s">
        <v>128</v>
      </c>
      <c r="F1229" s="12">
        <v>45546</v>
      </c>
      <c r="G1229" t="s">
        <v>1402</v>
      </c>
      <c r="H1229" s="12">
        <v>45546</v>
      </c>
      <c r="I1229" t="s">
        <v>385</v>
      </c>
      <c r="J1229" t="s">
        <v>1363</v>
      </c>
      <c r="K1229">
        <v>2</v>
      </c>
      <c r="L1229">
        <v>52.3</v>
      </c>
      <c r="P1229" t="s">
        <v>106</v>
      </c>
      <c r="Q1229" t="s">
        <v>106</v>
      </c>
      <c r="R1229" t="s">
        <v>106</v>
      </c>
      <c r="S1229" t="s">
        <v>106</v>
      </c>
      <c r="T1229" t="s">
        <v>1097</v>
      </c>
      <c r="U1229" t="s">
        <v>2478</v>
      </c>
      <c r="V1229" t="s">
        <v>106</v>
      </c>
      <c r="W1229" t="s">
        <v>954</v>
      </c>
      <c r="X1229" t="s">
        <v>106</v>
      </c>
      <c r="Y1229" t="s">
        <v>108</v>
      </c>
      <c r="Z1229" t="s">
        <v>104</v>
      </c>
      <c r="AA1229" t="s">
        <v>2016</v>
      </c>
      <c r="AB1229" t="s">
        <v>106</v>
      </c>
    </row>
    <row r="1230" spans="1:28" x14ac:dyDescent="0.3">
      <c r="A1230" t="s">
        <v>1452</v>
      </c>
      <c r="B1230">
        <v>4</v>
      </c>
      <c r="C1230">
        <v>60</v>
      </c>
      <c r="D1230">
        <v>77</v>
      </c>
      <c r="E1230" t="s">
        <v>128</v>
      </c>
      <c r="F1230" s="12">
        <v>45546</v>
      </c>
      <c r="G1230" t="s">
        <v>483</v>
      </c>
      <c r="H1230" s="12">
        <v>45546</v>
      </c>
      <c r="I1230" t="s">
        <v>536</v>
      </c>
      <c r="J1230" t="s">
        <v>458</v>
      </c>
      <c r="K1230">
        <v>2</v>
      </c>
      <c r="L1230">
        <v>43.2</v>
      </c>
      <c r="P1230" t="s">
        <v>106</v>
      </c>
      <c r="Q1230" t="s">
        <v>106</v>
      </c>
      <c r="R1230" t="s">
        <v>106</v>
      </c>
      <c r="S1230" t="s">
        <v>106</v>
      </c>
      <c r="T1230" t="s">
        <v>989</v>
      </c>
      <c r="U1230" t="s">
        <v>421</v>
      </c>
      <c r="V1230" t="s">
        <v>106</v>
      </c>
      <c r="W1230" t="s">
        <v>443</v>
      </c>
      <c r="X1230" t="s">
        <v>2026</v>
      </c>
      <c r="Y1230" t="s">
        <v>108</v>
      </c>
      <c r="Z1230" t="s">
        <v>108</v>
      </c>
      <c r="AA1230" t="s">
        <v>106</v>
      </c>
      <c r="AB1230" t="s">
        <v>106</v>
      </c>
    </row>
    <row r="1231" spans="1:28" x14ac:dyDescent="0.3">
      <c r="A1231" t="s">
        <v>1452</v>
      </c>
      <c r="B1231">
        <v>4</v>
      </c>
      <c r="C1231">
        <v>60</v>
      </c>
      <c r="D1231">
        <v>76</v>
      </c>
      <c r="E1231" t="s">
        <v>128</v>
      </c>
      <c r="F1231" s="12">
        <v>45546</v>
      </c>
      <c r="G1231" t="s">
        <v>483</v>
      </c>
      <c r="H1231" s="12">
        <v>45546</v>
      </c>
      <c r="I1231" t="s">
        <v>536</v>
      </c>
      <c r="J1231" t="s">
        <v>458</v>
      </c>
      <c r="K1231">
        <v>2</v>
      </c>
      <c r="L1231">
        <v>57.1</v>
      </c>
      <c r="P1231" t="s">
        <v>106</v>
      </c>
      <c r="Q1231" t="s">
        <v>106</v>
      </c>
      <c r="R1231" t="s">
        <v>106</v>
      </c>
      <c r="S1231" t="s">
        <v>106</v>
      </c>
      <c r="T1231" t="s">
        <v>828</v>
      </c>
      <c r="U1231" t="s">
        <v>2060</v>
      </c>
      <c r="V1231" t="s">
        <v>106</v>
      </c>
      <c r="W1231" t="s">
        <v>443</v>
      </c>
      <c r="X1231" t="s">
        <v>2025</v>
      </c>
      <c r="Y1231" t="s">
        <v>108</v>
      </c>
      <c r="Z1231" t="s">
        <v>108</v>
      </c>
      <c r="AA1231" t="s">
        <v>106</v>
      </c>
      <c r="AB1231" t="s">
        <v>106</v>
      </c>
    </row>
    <row r="1232" spans="1:28" x14ac:dyDescent="0.3">
      <c r="A1232" t="s">
        <v>1452</v>
      </c>
      <c r="B1232">
        <v>4</v>
      </c>
      <c r="C1232">
        <v>60</v>
      </c>
      <c r="D1232">
        <v>71</v>
      </c>
      <c r="E1232" t="s">
        <v>128</v>
      </c>
      <c r="F1232" s="12">
        <v>45546</v>
      </c>
      <c r="G1232" t="s">
        <v>656</v>
      </c>
      <c r="H1232" s="12">
        <v>45546</v>
      </c>
      <c r="I1232" t="s">
        <v>536</v>
      </c>
      <c r="J1232" t="s">
        <v>458</v>
      </c>
      <c r="K1232">
        <v>2</v>
      </c>
      <c r="L1232">
        <v>53.4</v>
      </c>
      <c r="P1232" t="s">
        <v>106</v>
      </c>
      <c r="Q1232" t="s">
        <v>106</v>
      </c>
      <c r="R1232" t="s">
        <v>106</v>
      </c>
      <c r="S1232" t="s">
        <v>106</v>
      </c>
      <c r="T1232" t="s">
        <v>1523</v>
      </c>
      <c r="U1232" t="s">
        <v>1980</v>
      </c>
      <c r="V1232" t="s">
        <v>106</v>
      </c>
      <c r="W1232" t="s">
        <v>443</v>
      </c>
      <c r="X1232" t="s">
        <v>106</v>
      </c>
      <c r="Y1232" t="s">
        <v>108</v>
      </c>
      <c r="Z1232" t="s">
        <v>108</v>
      </c>
      <c r="AA1232" t="s">
        <v>106</v>
      </c>
      <c r="AB1232" t="s">
        <v>106</v>
      </c>
    </row>
    <row r="1233" spans="1:28" x14ac:dyDescent="0.3">
      <c r="A1233" t="s">
        <v>1452</v>
      </c>
      <c r="B1233">
        <v>4</v>
      </c>
      <c r="C1233">
        <v>60</v>
      </c>
      <c r="D1233">
        <v>113</v>
      </c>
      <c r="E1233" t="s">
        <v>128</v>
      </c>
      <c r="F1233" s="12">
        <v>45546</v>
      </c>
      <c r="G1233" t="s">
        <v>2713</v>
      </c>
      <c r="H1233" s="12">
        <v>45546</v>
      </c>
      <c r="I1233" t="s">
        <v>2012</v>
      </c>
      <c r="J1233" t="s">
        <v>1363</v>
      </c>
      <c r="K1233">
        <v>2</v>
      </c>
      <c r="L1233">
        <v>55.9</v>
      </c>
      <c r="P1233" t="s">
        <v>106</v>
      </c>
      <c r="Q1233" t="s">
        <v>106</v>
      </c>
      <c r="R1233" t="s">
        <v>106</v>
      </c>
      <c r="S1233" t="s">
        <v>106</v>
      </c>
      <c r="T1233" t="s">
        <v>525</v>
      </c>
      <c r="U1233" t="s">
        <v>702</v>
      </c>
      <c r="V1233" t="s">
        <v>106</v>
      </c>
      <c r="W1233" t="s">
        <v>2015</v>
      </c>
      <c r="X1233" t="s">
        <v>106</v>
      </c>
      <c r="Y1233" t="s">
        <v>108</v>
      </c>
      <c r="Z1233" t="s">
        <v>104</v>
      </c>
      <c r="AA1233" t="s">
        <v>2016</v>
      </c>
      <c r="AB1233" t="s">
        <v>106</v>
      </c>
    </row>
    <row r="1234" spans="1:28" x14ac:dyDescent="0.3">
      <c r="A1234" t="s">
        <v>1452</v>
      </c>
      <c r="B1234">
        <v>4</v>
      </c>
      <c r="C1234">
        <v>60</v>
      </c>
      <c r="D1234">
        <v>70</v>
      </c>
      <c r="E1234" t="s">
        <v>128</v>
      </c>
      <c r="F1234" s="12">
        <v>45546</v>
      </c>
      <c r="G1234" t="s">
        <v>656</v>
      </c>
      <c r="H1234" s="12">
        <v>45546</v>
      </c>
      <c r="I1234" t="s">
        <v>536</v>
      </c>
      <c r="J1234" t="s">
        <v>458</v>
      </c>
      <c r="K1234">
        <v>2</v>
      </c>
      <c r="L1234">
        <v>53.9</v>
      </c>
      <c r="P1234" t="s">
        <v>106</v>
      </c>
      <c r="Q1234" t="s">
        <v>106</v>
      </c>
      <c r="R1234" t="s">
        <v>106</v>
      </c>
      <c r="S1234" t="s">
        <v>106</v>
      </c>
      <c r="T1234" t="s">
        <v>514</v>
      </c>
      <c r="U1234" t="s">
        <v>1980</v>
      </c>
      <c r="V1234" t="s">
        <v>106</v>
      </c>
      <c r="W1234" t="s">
        <v>443</v>
      </c>
      <c r="X1234" t="s">
        <v>106</v>
      </c>
      <c r="Y1234" t="s">
        <v>108</v>
      </c>
      <c r="Z1234" t="s">
        <v>108</v>
      </c>
      <c r="AA1234" t="s">
        <v>106</v>
      </c>
      <c r="AB1234" t="s">
        <v>106</v>
      </c>
    </row>
    <row r="1235" spans="1:28" x14ac:dyDescent="0.3">
      <c r="A1235" t="s">
        <v>1452</v>
      </c>
      <c r="B1235">
        <v>4</v>
      </c>
      <c r="C1235">
        <v>60</v>
      </c>
      <c r="D1235">
        <v>67</v>
      </c>
      <c r="E1235" t="s">
        <v>128</v>
      </c>
      <c r="F1235" s="12">
        <v>45546</v>
      </c>
      <c r="G1235" t="s">
        <v>329</v>
      </c>
      <c r="H1235" s="12">
        <v>45546</v>
      </c>
      <c r="I1235" t="s">
        <v>1210</v>
      </c>
      <c r="J1235" t="s">
        <v>458</v>
      </c>
      <c r="K1235">
        <v>2</v>
      </c>
      <c r="L1235">
        <v>53.9</v>
      </c>
      <c r="P1235" t="s">
        <v>106</v>
      </c>
      <c r="Q1235" t="s">
        <v>106</v>
      </c>
      <c r="R1235" t="s">
        <v>106</v>
      </c>
      <c r="S1235" t="s">
        <v>106</v>
      </c>
      <c r="T1235" t="s">
        <v>1561</v>
      </c>
      <c r="U1235" t="s">
        <v>1359</v>
      </c>
      <c r="V1235" t="s">
        <v>106</v>
      </c>
      <c r="W1235" t="s">
        <v>2036</v>
      </c>
      <c r="X1235" t="s">
        <v>106</v>
      </c>
      <c r="Y1235" t="s">
        <v>108</v>
      </c>
      <c r="Z1235" t="s">
        <v>104</v>
      </c>
      <c r="AA1235" t="s">
        <v>106</v>
      </c>
      <c r="AB1235" t="s">
        <v>2714</v>
      </c>
    </row>
    <row r="1236" spans="1:28" x14ac:dyDescent="0.3">
      <c r="A1236" t="s">
        <v>1452</v>
      </c>
      <c r="B1236">
        <v>4</v>
      </c>
      <c r="C1236">
        <v>60</v>
      </c>
      <c r="D1236">
        <v>66</v>
      </c>
      <c r="E1236" t="s">
        <v>128</v>
      </c>
      <c r="F1236" s="12">
        <v>45546</v>
      </c>
      <c r="G1236" t="s">
        <v>329</v>
      </c>
      <c r="H1236" s="12">
        <v>45546</v>
      </c>
      <c r="I1236" t="s">
        <v>1210</v>
      </c>
      <c r="J1236" t="s">
        <v>458</v>
      </c>
      <c r="K1236">
        <v>2</v>
      </c>
      <c r="L1236">
        <v>49.3</v>
      </c>
      <c r="P1236" t="s">
        <v>106</v>
      </c>
      <c r="Q1236" t="s">
        <v>106</v>
      </c>
      <c r="R1236" t="s">
        <v>106</v>
      </c>
      <c r="S1236" t="s">
        <v>106</v>
      </c>
      <c r="T1236" t="s">
        <v>1057</v>
      </c>
      <c r="U1236" t="s">
        <v>1780</v>
      </c>
      <c r="V1236" t="s">
        <v>106</v>
      </c>
      <c r="W1236" t="s">
        <v>2036</v>
      </c>
      <c r="X1236" t="s">
        <v>106</v>
      </c>
      <c r="Y1236" t="s">
        <v>108</v>
      </c>
      <c r="Z1236" t="s">
        <v>104</v>
      </c>
      <c r="AA1236" t="s">
        <v>106</v>
      </c>
      <c r="AB1236" t="s">
        <v>2714</v>
      </c>
    </row>
    <row r="1237" spans="1:28" x14ac:dyDescent="0.3">
      <c r="A1237" t="s">
        <v>1452</v>
      </c>
      <c r="B1237">
        <v>4</v>
      </c>
      <c r="C1237">
        <v>60</v>
      </c>
      <c r="D1237">
        <v>65</v>
      </c>
      <c r="E1237" t="s">
        <v>308</v>
      </c>
      <c r="F1237" s="12">
        <v>45546</v>
      </c>
      <c r="G1237" t="s">
        <v>411</v>
      </c>
      <c r="H1237" s="12">
        <v>45546</v>
      </c>
      <c r="I1237" t="s">
        <v>1210</v>
      </c>
      <c r="J1237" t="s">
        <v>458</v>
      </c>
      <c r="K1237">
        <v>2</v>
      </c>
      <c r="L1237">
        <v>56.9</v>
      </c>
      <c r="P1237" t="s">
        <v>106</v>
      </c>
      <c r="Q1237" t="s">
        <v>106</v>
      </c>
      <c r="R1237" t="s">
        <v>106</v>
      </c>
      <c r="S1237" t="s">
        <v>106</v>
      </c>
      <c r="T1237" t="s">
        <v>888</v>
      </c>
      <c r="U1237" t="s">
        <v>106</v>
      </c>
      <c r="V1237" t="s">
        <v>106</v>
      </c>
      <c r="W1237" t="s">
        <v>2036</v>
      </c>
      <c r="X1237" t="s">
        <v>106</v>
      </c>
      <c r="Y1237" t="s">
        <v>108</v>
      </c>
      <c r="Z1237" t="s">
        <v>104</v>
      </c>
      <c r="AA1237" t="s">
        <v>106</v>
      </c>
      <c r="AB1237" t="s">
        <v>2010</v>
      </c>
    </row>
    <row r="1238" spans="1:28" x14ac:dyDescent="0.3">
      <c r="A1238" t="s">
        <v>1452</v>
      </c>
      <c r="B1238">
        <v>4</v>
      </c>
      <c r="C1238">
        <v>60</v>
      </c>
      <c r="D1238">
        <v>63</v>
      </c>
      <c r="E1238" t="s">
        <v>2010</v>
      </c>
      <c r="F1238" s="12">
        <v>45546</v>
      </c>
      <c r="G1238" t="s">
        <v>313</v>
      </c>
      <c r="H1238" s="12">
        <v>45546</v>
      </c>
      <c r="I1238" t="s">
        <v>1210</v>
      </c>
      <c r="J1238" t="s">
        <v>458</v>
      </c>
      <c r="K1238">
        <v>2</v>
      </c>
      <c r="L1238">
        <v>53.2</v>
      </c>
      <c r="P1238" t="s">
        <v>106</v>
      </c>
      <c r="Q1238" t="s">
        <v>106</v>
      </c>
      <c r="R1238" t="s">
        <v>106</v>
      </c>
      <c r="S1238" t="s">
        <v>106</v>
      </c>
      <c r="T1238" t="s">
        <v>882</v>
      </c>
      <c r="U1238" t="s">
        <v>2341</v>
      </c>
      <c r="V1238" t="s">
        <v>106</v>
      </c>
      <c r="W1238" t="s">
        <v>443</v>
      </c>
      <c r="X1238" t="s">
        <v>106</v>
      </c>
      <c r="Y1238" t="s">
        <v>108</v>
      </c>
      <c r="Z1238" t="s">
        <v>104</v>
      </c>
      <c r="AA1238" t="s">
        <v>106</v>
      </c>
      <c r="AB1238" t="s">
        <v>106</v>
      </c>
    </row>
    <row r="1239" spans="1:28" x14ac:dyDescent="0.3">
      <c r="A1239" t="s">
        <v>1452</v>
      </c>
      <c r="B1239">
        <v>4</v>
      </c>
      <c r="C1239">
        <v>60</v>
      </c>
      <c r="D1239">
        <v>61</v>
      </c>
      <c r="E1239" t="s">
        <v>128</v>
      </c>
      <c r="F1239" s="12">
        <v>45546</v>
      </c>
      <c r="G1239" t="s">
        <v>336</v>
      </c>
      <c r="H1239" s="12">
        <v>45546</v>
      </c>
      <c r="I1239" t="s">
        <v>1210</v>
      </c>
      <c r="J1239" t="s">
        <v>458</v>
      </c>
      <c r="K1239">
        <v>2</v>
      </c>
      <c r="L1239">
        <v>50.4</v>
      </c>
      <c r="P1239" t="s">
        <v>106</v>
      </c>
      <c r="Q1239" t="s">
        <v>106</v>
      </c>
      <c r="R1239" t="s">
        <v>106</v>
      </c>
      <c r="S1239" t="s">
        <v>106</v>
      </c>
      <c r="T1239" t="s">
        <v>776</v>
      </c>
      <c r="U1239" t="s">
        <v>1985</v>
      </c>
      <c r="V1239" t="s">
        <v>106</v>
      </c>
      <c r="W1239" t="s">
        <v>443</v>
      </c>
      <c r="X1239" t="s">
        <v>106</v>
      </c>
      <c r="Y1239" t="s">
        <v>108</v>
      </c>
      <c r="Z1239" t="s">
        <v>104</v>
      </c>
      <c r="AA1239" t="s">
        <v>106</v>
      </c>
      <c r="AB1239" t="s">
        <v>106</v>
      </c>
    </row>
    <row r="1240" spans="1:28" x14ac:dyDescent="0.3">
      <c r="A1240" t="s">
        <v>1452</v>
      </c>
      <c r="B1240">
        <v>4</v>
      </c>
      <c r="C1240">
        <v>60</v>
      </c>
      <c r="D1240">
        <v>60</v>
      </c>
      <c r="E1240" t="s">
        <v>128</v>
      </c>
      <c r="F1240" s="12">
        <v>45546</v>
      </c>
      <c r="G1240" t="s">
        <v>336</v>
      </c>
      <c r="H1240" s="12">
        <v>45546</v>
      </c>
      <c r="I1240" t="s">
        <v>1210</v>
      </c>
      <c r="J1240" t="s">
        <v>458</v>
      </c>
      <c r="K1240">
        <v>2</v>
      </c>
      <c r="L1240">
        <v>53.3</v>
      </c>
      <c r="P1240" t="s">
        <v>106</v>
      </c>
      <c r="Q1240" t="s">
        <v>106</v>
      </c>
      <c r="R1240" t="s">
        <v>106</v>
      </c>
      <c r="S1240" t="s">
        <v>106</v>
      </c>
      <c r="T1240" t="s">
        <v>1105</v>
      </c>
      <c r="U1240" t="s">
        <v>1968</v>
      </c>
      <c r="V1240" t="s">
        <v>106</v>
      </c>
      <c r="W1240" t="s">
        <v>443</v>
      </c>
      <c r="X1240" t="s">
        <v>106</v>
      </c>
      <c r="Y1240" t="s">
        <v>108</v>
      </c>
      <c r="Z1240" t="s">
        <v>104</v>
      </c>
      <c r="AA1240" t="s">
        <v>106</v>
      </c>
      <c r="AB1240" t="s">
        <v>106</v>
      </c>
    </row>
    <row r="1241" spans="1:28" x14ac:dyDescent="0.3">
      <c r="A1241" t="s">
        <v>1452</v>
      </c>
      <c r="B1241">
        <v>4</v>
      </c>
      <c r="C1241">
        <v>60</v>
      </c>
      <c r="D1241">
        <v>55</v>
      </c>
      <c r="E1241" t="s">
        <v>128</v>
      </c>
      <c r="F1241" s="12">
        <v>45546</v>
      </c>
      <c r="G1241" t="s">
        <v>1799</v>
      </c>
      <c r="H1241" s="12">
        <v>45546</v>
      </c>
      <c r="I1241" t="s">
        <v>548</v>
      </c>
      <c r="J1241" t="s">
        <v>106</v>
      </c>
      <c r="L1241">
        <v>56.3</v>
      </c>
      <c r="P1241" t="s">
        <v>106</v>
      </c>
      <c r="Q1241" t="s">
        <v>106</v>
      </c>
      <c r="R1241" t="s">
        <v>106</v>
      </c>
      <c r="S1241" t="s">
        <v>106</v>
      </c>
      <c r="T1241" t="s">
        <v>2296</v>
      </c>
      <c r="U1241" t="s">
        <v>2702</v>
      </c>
      <c r="V1241" t="s">
        <v>106</v>
      </c>
      <c r="W1241" t="s">
        <v>443</v>
      </c>
      <c r="X1241" t="s">
        <v>106</v>
      </c>
      <c r="Y1241" t="s">
        <v>108</v>
      </c>
      <c r="Z1241" t="s">
        <v>104</v>
      </c>
      <c r="AA1241" t="s">
        <v>106</v>
      </c>
      <c r="AB1241" t="s">
        <v>106</v>
      </c>
    </row>
    <row r="1242" spans="1:28" x14ac:dyDescent="0.3">
      <c r="A1242" t="s">
        <v>1452</v>
      </c>
      <c r="B1242">
        <v>4</v>
      </c>
      <c r="C1242">
        <v>60</v>
      </c>
      <c r="D1242">
        <v>112</v>
      </c>
      <c r="E1242" t="s">
        <v>128</v>
      </c>
      <c r="F1242" s="12">
        <v>45546</v>
      </c>
      <c r="G1242" t="s">
        <v>2528</v>
      </c>
      <c r="H1242" s="12">
        <v>45546</v>
      </c>
      <c r="I1242" t="s">
        <v>2012</v>
      </c>
      <c r="J1242" t="s">
        <v>1363</v>
      </c>
      <c r="K1242">
        <v>2</v>
      </c>
      <c r="L1242">
        <v>57.2</v>
      </c>
      <c r="P1242" t="s">
        <v>106</v>
      </c>
      <c r="Q1242" t="s">
        <v>106</v>
      </c>
      <c r="R1242" t="s">
        <v>106</v>
      </c>
      <c r="S1242" t="s">
        <v>106</v>
      </c>
      <c r="T1242" t="s">
        <v>1657</v>
      </c>
      <c r="U1242" t="s">
        <v>2029</v>
      </c>
      <c r="V1242" t="s">
        <v>106</v>
      </c>
      <c r="W1242" t="s">
        <v>2015</v>
      </c>
      <c r="X1242" t="s">
        <v>106</v>
      </c>
      <c r="Y1242" t="s">
        <v>108</v>
      </c>
      <c r="Z1242" t="s">
        <v>104</v>
      </c>
      <c r="AA1242" t="s">
        <v>2016</v>
      </c>
      <c r="AB1242" t="s">
        <v>106</v>
      </c>
    </row>
    <row r="1243" spans="1:28" x14ac:dyDescent="0.3">
      <c r="A1243" t="s">
        <v>1452</v>
      </c>
      <c r="B1243">
        <v>4</v>
      </c>
      <c r="C1243">
        <v>60</v>
      </c>
      <c r="D1243">
        <v>102</v>
      </c>
      <c r="E1243" t="s">
        <v>128</v>
      </c>
      <c r="F1243" s="12">
        <v>45546</v>
      </c>
      <c r="G1243" t="s">
        <v>2483</v>
      </c>
      <c r="H1243" s="12">
        <v>45546</v>
      </c>
      <c r="I1243" t="s">
        <v>2020</v>
      </c>
      <c r="J1243" t="s">
        <v>1363</v>
      </c>
      <c r="K1243">
        <v>2</v>
      </c>
      <c r="L1243">
        <v>55.8</v>
      </c>
      <c r="P1243" t="s">
        <v>106</v>
      </c>
      <c r="Q1243" t="s">
        <v>106</v>
      </c>
      <c r="R1243" t="s">
        <v>106</v>
      </c>
      <c r="S1243" t="s">
        <v>106</v>
      </c>
      <c r="T1243" t="s">
        <v>940</v>
      </c>
      <c r="U1243" t="s">
        <v>1978</v>
      </c>
      <c r="V1243" t="s">
        <v>106</v>
      </c>
      <c r="W1243" t="s">
        <v>2015</v>
      </c>
      <c r="X1243" t="s">
        <v>106</v>
      </c>
      <c r="Y1243" t="s">
        <v>108</v>
      </c>
      <c r="Z1243" t="s">
        <v>104</v>
      </c>
      <c r="AA1243" t="s">
        <v>2016</v>
      </c>
      <c r="AB1243" t="s">
        <v>106</v>
      </c>
    </row>
    <row r="1244" spans="1:28" x14ac:dyDescent="0.3">
      <c r="A1244" t="s">
        <v>1452</v>
      </c>
      <c r="B1244">
        <v>2</v>
      </c>
      <c r="C1244">
        <v>15</v>
      </c>
      <c r="D1244">
        <v>164</v>
      </c>
      <c r="E1244" t="s">
        <v>128</v>
      </c>
      <c r="F1244" s="12">
        <v>45547</v>
      </c>
      <c r="G1244" t="s">
        <v>2037</v>
      </c>
      <c r="H1244" s="12">
        <v>45547</v>
      </c>
      <c r="I1244" t="s">
        <v>2038</v>
      </c>
      <c r="J1244" t="s">
        <v>471</v>
      </c>
      <c r="K1244">
        <v>2</v>
      </c>
      <c r="L1244">
        <v>13.3</v>
      </c>
      <c r="P1244" t="s">
        <v>106</v>
      </c>
      <c r="Q1244" t="s">
        <v>106</v>
      </c>
      <c r="R1244" t="s">
        <v>106</v>
      </c>
      <c r="S1244" t="s">
        <v>106</v>
      </c>
      <c r="T1244" t="s">
        <v>1004</v>
      </c>
      <c r="U1244" t="s">
        <v>2039</v>
      </c>
      <c r="V1244" t="s">
        <v>106</v>
      </c>
      <c r="W1244" t="s">
        <v>2015</v>
      </c>
      <c r="X1244" t="s">
        <v>106</v>
      </c>
      <c r="Y1244" t="s">
        <v>108</v>
      </c>
      <c r="Z1244" t="s">
        <v>109</v>
      </c>
      <c r="AA1244" t="s">
        <v>106</v>
      </c>
      <c r="AB1244" t="s">
        <v>106</v>
      </c>
    </row>
    <row r="1245" spans="1:28" x14ac:dyDescent="0.3">
      <c r="A1245" t="s">
        <v>1452</v>
      </c>
      <c r="B1245">
        <v>2</v>
      </c>
      <c r="C1245">
        <v>15</v>
      </c>
      <c r="D1245">
        <v>145</v>
      </c>
      <c r="E1245" t="s">
        <v>128</v>
      </c>
      <c r="F1245" s="12">
        <v>45547</v>
      </c>
      <c r="G1245" t="s">
        <v>2040</v>
      </c>
      <c r="H1245" s="12">
        <v>45547</v>
      </c>
      <c r="I1245" t="s">
        <v>1970</v>
      </c>
      <c r="J1245" t="s">
        <v>458</v>
      </c>
      <c r="K1245">
        <v>2</v>
      </c>
      <c r="L1245">
        <v>13.4</v>
      </c>
      <c r="P1245" t="s">
        <v>106</v>
      </c>
      <c r="Q1245" t="s">
        <v>106</v>
      </c>
      <c r="R1245" t="s">
        <v>106</v>
      </c>
      <c r="S1245" t="s">
        <v>106</v>
      </c>
      <c r="T1245" t="s">
        <v>1372</v>
      </c>
      <c r="U1245" t="s">
        <v>106</v>
      </c>
      <c r="V1245" t="s">
        <v>106</v>
      </c>
      <c r="W1245" t="s">
        <v>443</v>
      </c>
      <c r="X1245" t="s">
        <v>106</v>
      </c>
      <c r="Y1245" t="s">
        <v>108</v>
      </c>
      <c r="Z1245" t="s">
        <v>109</v>
      </c>
      <c r="AA1245" t="s">
        <v>2041</v>
      </c>
      <c r="AB1245" t="s">
        <v>106</v>
      </c>
    </row>
    <row r="1246" spans="1:28" x14ac:dyDescent="0.3">
      <c r="A1246" t="s">
        <v>1452</v>
      </c>
      <c r="B1246">
        <v>2</v>
      </c>
      <c r="C1246">
        <v>15</v>
      </c>
      <c r="D1246">
        <v>170</v>
      </c>
      <c r="E1246" t="s">
        <v>128</v>
      </c>
      <c r="F1246" s="12">
        <v>45547</v>
      </c>
      <c r="G1246" t="s">
        <v>657</v>
      </c>
      <c r="H1246" s="12">
        <v>45547</v>
      </c>
      <c r="I1246" t="s">
        <v>2042</v>
      </c>
      <c r="J1246" t="s">
        <v>471</v>
      </c>
      <c r="K1246">
        <v>2</v>
      </c>
      <c r="L1246">
        <v>13.9</v>
      </c>
      <c r="P1246" t="s">
        <v>106</v>
      </c>
      <c r="Q1246" t="s">
        <v>106</v>
      </c>
      <c r="R1246" t="s">
        <v>106</v>
      </c>
      <c r="S1246" t="s">
        <v>106</v>
      </c>
      <c r="T1246" t="s">
        <v>1876</v>
      </c>
      <c r="U1246" t="s">
        <v>2043</v>
      </c>
      <c r="V1246" t="s">
        <v>106</v>
      </c>
      <c r="W1246" t="s">
        <v>2015</v>
      </c>
      <c r="X1246" t="s">
        <v>106</v>
      </c>
      <c r="Y1246" t="s">
        <v>108</v>
      </c>
      <c r="Z1246" t="s">
        <v>109</v>
      </c>
      <c r="AA1246" t="s">
        <v>106</v>
      </c>
      <c r="AB1246" t="s">
        <v>106</v>
      </c>
    </row>
    <row r="1247" spans="1:28" x14ac:dyDescent="0.3">
      <c r="A1247" t="s">
        <v>1452</v>
      </c>
      <c r="B1247">
        <v>2</v>
      </c>
      <c r="C1247">
        <v>15</v>
      </c>
      <c r="D1247">
        <v>169</v>
      </c>
      <c r="E1247" t="s">
        <v>128</v>
      </c>
      <c r="F1247" s="12">
        <v>45547</v>
      </c>
      <c r="G1247" t="s">
        <v>1787</v>
      </c>
      <c r="H1247" s="12">
        <v>45547</v>
      </c>
      <c r="I1247" t="s">
        <v>2042</v>
      </c>
      <c r="J1247" t="s">
        <v>471</v>
      </c>
      <c r="K1247">
        <v>2</v>
      </c>
      <c r="L1247">
        <v>13.5</v>
      </c>
      <c r="P1247" t="s">
        <v>106</v>
      </c>
      <c r="Q1247" t="s">
        <v>106</v>
      </c>
      <c r="R1247" t="s">
        <v>106</v>
      </c>
      <c r="S1247" t="s">
        <v>106</v>
      </c>
      <c r="T1247" t="s">
        <v>1004</v>
      </c>
      <c r="U1247" t="s">
        <v>2044</v>
      </c>
      <c r="V1247" t="s">
        <v>106</v>
      </c>
      <c r="W1247" t="s">
        <v>2015</v>
      </c>
      <c r="X1247" t="s">
        <v>106</v>
      </c>
      <c r="Y1247" t="s">
        <v>108</v>
      </c>
      <c r="Z1247" t="s">
        <v>109</v>
      </c>
      <c r="AA1247" t="s">
        <v>106</v>
      </c>
      <c r="AB1247" t="s">
        <v>106</v>
      </c>
    </row>
    <row r="1248" spans="1:28" x14ac:dyDescent="0.3">
      <c r="A1248" t="s">
        <v>1452</v>
      </c>
      <c r="B1248">
        <v>2</v>
      </c>
      <c r="C1248">
        <v>15</v>
      </c>
      <c r="D1248">
        <v>163</v>
      </c>
      <c r="E1248" t="s">
        <v>128</v>
      </c>
      <c r="F1248" s="12">
        <v>45547</v>
      </c>
      <c r="G1248" t="s">
        <v>2045</v>
      </c>
      <c r="H1248" s="12">
        <v>45547</v>
      </c>
      <c r="I1248" t="s">
        <v>2038</v>
      </c>
      <c r="J1248" t="s">
        <v>471</v>
      </c>
      <c r="K1248">
        <v>2</v>
      </c>
      <c r="L1248">
        <v>12.6</v>
      </c>
      <c r="P1248" t="s">
        <v>106</v>
      </c>
      <c r="Q1248" t="s">
        <v>106</v>
      </c>
      <c r="R1248" t="s">
        <v>106</v>
      </c>
      <c r="S1248" t="s">
        <v>106</v>
      </c>
      <c r="T1248" t="s">
        <v>1622</v>
      </c>
      <c r="U1248" t="s">
        <v>2019</v>
      </c>
      <c r="V1248" t="s">
        <v>106</v>
      </c>
      <c r="W1248" t="s">
        <v>2015</v>
      </c>
      <c r="X1248" t="s">
        <v>106</v>
      </c>
      <c r="Y1248" t="s">
        <v>108</v>
      </c>
      <c r="Z1248" t="s">
        <v>109</v>
      </c>
      <c r="AA1248" t="s">
        <v>106</v>
      </c>
      <c r="AB1248" t="s">
        <v>106</v>
      </c>
    </row>
    <row r="1249" spans="1:28" x14ac:dyDescent="0.3">
      <c r="A1249" t="s">
        <v>1452</v>
      </c>
      <c r="B1249">
        <v>2</v>
      </c>
      <c r="C1249">
        <v>15</v>
      </c>
      <c r="D1249">
        <v>160</v>
      </c>
      <c r="E1249" t="s">
        <v>128</v>
      </c>
      <c r="F1249" s="12">
        <v>45547</v>
      </c>
      <c r="G1249" t="s">
        <v>475</v>
      </c>
      <c r="H1249" s="12">
        <v>45547</v>
      </c>
      <c r="I1249" t="s">
        <v>512</v>
      </c>
      <c r="J1249" t="s">
        <v>471</v>
      </c>
      <c r="K1249">
        <v>2</v>
      </c>
      <c r="L1249">
        <v>13.9</v>
      </c>
      <c r="P1249" t="s">
        <v>106</v>
      </c>
      <c r="Q1249" t="s">
        <v>106</v>
      </c>
      <c r="R1249" t="s">
        <v>106</v>
      </c>
      <c r="S1249" t="s">
        <v>106</v>
      </c>
      <c r="T1249" t="s">
        <v>1274</v>
      </c>
      <c r="U1249" t="s">
        <v>2019</v>
      </c>
      <c r="V1249" t="s">
        <v>106</v>
      </c>
      <c r="W1249" t="s">
        <v>443</v>
      </c>
      <c r="X1249" t="s">
        <v>106</v>
      </c>
      <c r="Y1249" t="s">
        <v>108</v>
      </c>
      <c r="Z1249" t="s">
        <v>104</v>
      </c>
      <c r="AA1249" t="s">
        <v>2041</v>
      </c>
      <c r="AB1249" t="s">
        <v>106</v>
      </c>
    </row>
    <row r="1250" spans="1:28" x14ac:dyDescent="0.3">
      <c r="A1250" t="s">
        <v>1452</v>
      </c>
      <c r="B1250">
        <v>2</v>
      </c>
      <c r="C1250">
        <v>15</v>
      </c>
      <c r="D1250">
        <v>159</v>
      </c>
      <c r="E1250" t="s">
        <v>128</v>
      </c>
      <c r="F1250" s="12">
        <v>45547</v>
      </c>
      <c r="G1250" t="s">
        <v>475</v>
      </c>
      <c r="H1250" s="12">
        <v>45547</v>
      </c>
      <c r="I1250" t="s">
        <v>512</v>
      </c>
      <c r="J1250" t="s">
        <v>471</v>
      </c>
      <c r="K1250">
        <v>2</v>
      </c>
      <c r="L1250">
        <v>13.6</v>
      </c>
      <c r="P1250" t="s">
        <v>106</v>
      </c>
      <c r="Q1250" t="s">
        <v>106</v>
      </c>
      <c r="R1250" t="s">
        <v>106</v>
      </c>
      <c r="S1250" t="s">
        <v>106</v>
      </c>
      <c r="T1250" t="s">
        <v>1385</v>
      </c>
      <c r="U1250" t="s">
        <v>2032</v>
      </c>
      <c r="V1250" t="s">
        <v>106</v>
      </c>
      <c r="W1250" t="s">
        <v>443</v>
      </c>
      <c r="X1250" t="s">
        <v>106</v>
      </c>
      <c r="Y1250" t="s">
        <v>108</v>
      </c>
      <c r="Z1250" t="s">
        <v>104</v>
      </c>
      <c r="AA1250" t="s">
        <v>2041</v>
      </c>
      <c r="AB1250" t="s">
        <v>106</v>
      </c>
    </row>
    <row r="1251" spans="1:28" x14ac:dyDescent="0.3">
      <c r="A1251" t="s">
        <v>1452</v>
      </c>
      <c r="B1251">
        <v>2</v>
      </c>
      <c r="C1251">
        <v>15</v>
      </c>
      <c r="D1251">
        <v>154</v>
      </c>
      <c r="E1251" t="s">
        <v>128</v>
      </c>
      <c r="F1251" s="12">
        <v>45547</v>
      </c>
      <c r="G1251" t="s">
        <v>134</v>
      </c>
      <c r="H1251" s="12">
        <v>45547</v>
      </c>
      <c r="I1251" t="s">
        <v>1525</v>
      </c>
      <c r="J1251" t="s">
        <v>471</v>
      </c>
      <c r="K1251">
        <v>2</v>
      </c>
      <c r="L1251">
        <v>12.8</v>
      </c>
      <c r="P1251" t="s">
        <v>106</v>
      </c>
      <c r="Q1251" t="s">
        <v>106</v>
      </c>
      <c r="R1251" t="s">
        <v>106</v>
      </c>
      <c r="S1251" t="s">
        <v>106</v>
      </c>
      <c r="T1251" t="s">
        <v>1625</v>
      </c>
      <c r="U1251" t="s">
        <v>2033</v>
      </c>
      <c r="V1251" t="s">
        <v>106</v>
      </c>
      <c r="W1251" t="s">
        <v>443</v>
      </c>
      <c r="X1251" t="s">
        <v>106</v>
      </c>
      <c r="Y1251" t="s">
        <v>108</v>
      </c>
      <c r="Z1251" t="s">
        <v>104</v>
      </c>
      <c r="AA1251" t="s">
        <v>2041</v>
      </c>
      <c r="AB1251" t="s">
        <v>106</v>
      </c>
    </row>
    <row r="1252" spans="1:28" x14ac:dyDescent="0.3">
      <c r="A1252" t="s">
        <v>1452</v>
      </c>
      <c r="B1252">
        <v>2</v>
      </c>
      <c r="C1252">
        <v>15</v>
      </c>
      <c r="D1252">
        <v>153</v>
      </c>
      <c r="E1252" t="s">
        <v>128</v>
      </c>
      <c r="F1252" s="12">
        <v>45547</v>
      </c>
      <c r="G1252" t="s">
        <v>134</v>
      </c>
      <c r="H1252" s="12">
        <v>45547</v>
      </c>
      <c r="I1252" t="s">
        <v>1525</v>
      </c>
      <c r="J1252" t="s">
        <v>471</v>
      </c>
      <c r="K1252">
        <v>2</v>
      </c>
      <c r="L1252">
        <v>12.8</v>
      </c>
      <c r="P1252" t="s">
        <v>106</v>
      </c>
      <c r="Q1252" t="s">
        <v>106</v>
      </c>
      <c r="R1252" t="s">
        <v>106</v>
      </c>
      <c r="S1252" t="s">
        <v>106</v>
      </c>
      <c r="T1252" t="s">
        <v>875</v>
      </c>
      <c r="U1252" t="s">
        <v>2021</v>
      </c>
      <c r="V1252" t="s">
        <v>106</v>
      </c>
      <c r="W1252" t="s">
        <v>443</v>
      </c>
      <c r="X1252" t="s">
        <v>106</v>
      </c>
      <c r="Y1252" t="s">
        <v>108</v>
      </c>
      <c r="Z1252" t="s">
        <v>104</v>
      </c>
      <c r="AA1252" t="s">
        <v>2041</v>
      </c>
      <c r="AB1252" t="s">
        <v>106</v>
      </c>
    </row>
    <row r="1253" spans="1:28" x14ac:dyDescent="0.3">
      <c r="A1253" t="s">
        <v>1452</v>
      </c>
      <c r="B1253">
        <v>2</v>
      </c>
      <c r="C1253">
        <v>15</v>
      </c>
      <c r="D1253">
        <v>146</v>
      </c>
      <c r="E1253" t="s">
        <v>128</v>
      </c>
      <c r="F1253" s="12">
        <v>45547</v>
      </c>
      <c r="G1253" t="s">
        <v>364</v>
      </c>
      <c r="H1253" s="12">
        <v>45547</v>
      </c>
      <c r="I1253" t="s">
        <v>1970</v>
      </c>
      <c r="J1253" t="s">
        <v>458</v>
      </c>
      <c r="K1253">
        <v>2</v>
      </c>
      <c r="L1253">
        <v>13.8</v>
      </c>
      <c r="P1253" t="s">
        <v>106</v>
      </c>
      <c r="Q1253" t="s">
        <v>106</v>
      </c>
      <c r="R1253" t="s">
        <v>106</v>
      </c>
      <c r="S1253" t="s">
        <v>106</v>
      </c>
      <c r="T1253" t="s">
        <v>981</v>
      </c>
      <c r="U1253" t="s">
        <v>106</v>
      </c>
      <c r="V1253" t="s">
        <v>106</v>
      </c>
      <c r="W1253" t="s">
        <v>443</v>
      </c>
      <c r="X1253" t="s">
        <v>106</v>
      </c>
      <c r="Y1253" t="s">
        <v>108</v>
      </c>
      <c r="Z1253" t="s">
        <v>109</v>
      </c>
      <c r="AA1253" t="s">
        <v>2041</v>
      </c>
      <c r="AB1253" t="s">
        <v>106</v>
      </c>
    </row>
    <row r="1254" spans="1:28" x14ac:dyDescent="0.3">
      <c r="A1254" t="s">
        <v>1452</v>
      </c>
      <c r="B1254">
        <v>2</v>
      </c>
      <c r="C1254">
        <v>15</v>
      </c>
      <c r="D1254">
        <v>175</v>
      </c>
      <c r="E1254" t="s">
        <v>128</v>
      </c>
      <c r="F1254" s="12">
        <v>45547</v>
      </c>
      <c r="G1254" t="s">
        <v>2046</v>
      </c>
      <c r="H1254" s="12">
        <v>45547</v>
      </c>
      <c r="I1254" t="s">
        <v>2047</v>
      </c>
      <c r="J1254" t="s">
        <v>471</v>
      </c>
      <c r="K1254">
        <v>2</v>
      </c>
      <c r="L1254">
        <v>13</v>
      </c>
      <c r="P1254" t="s">
        <v>106</v>
      </c>
      <c r="Q1254" t="s">
        <v>106</v>
      </c>
      <c r="R1254" t="s">
        <v>106</v>
      </c>
      <c r="S1254" t="s">
        <v>106</v>
      </c>
      <c r="T1254" t="s">
        <v>1793</v>
      </c>
      <c r="U1254" t="s">
        <v>2029</v>
      </c>
      <c r="V1254" t="s">
        <v>106</v>
      </c>
      <c r="W1254" t="s">
        <v>2015</v>
      </c>
      <c r="X1254" t="s">
        <v>106</v>
      </c>
      <c r="Y1254" t="s">
        <v>108</v>
      </c>
      <c r="Z1254" t="s">
        <v>109</v>
      </c>
      <c r="AA1254" t="s">
        <v>106</v>
      </c>
      <c r="AB1254" t="s">
        <v>106</v>
      </c>
    </row>
    <row r="1255" spans="1:28" x14ac:dyDescent="0.3">
      <c r="A1255" t="s">
        <v>1452</v>
      </c>
      <c r="B1255">
        <v>2</v>
      </c>
      <c r="C1255">
        <v>15</v>
      </c>
      <c r="D1255">
        <v>176</v>
      </c>
      <c r="E1255" t="s">
        <v>128</v>
      </c>
      <c r="F1255" s="12">
        <v>45547</v>
      </c>
      <c r="G1255" t="s">
        <v>2046</v>
      </c>
      <c r="H1255" s="12">
        <v>45547</v>
      </c>
      <c r="I1255" t="s">
        <v>2047</v>
      </c>
      <c r="J1255" t="s">
        <v>471</v>
      </c>
      <c r="K1255">
        <v>2</v>
      </c>
      <c r="L1255">
        <v>13.4</v>
      </c>
      <c r="P1255" t="s">
        <v>106</v>
      </c>
      <c r="Q1255" t="s">
        <v>106</v>
      </c>
      <c r="R1255" t="s">
        <v>106</v>
      </c>
      <c r="S1255" t="s">
        <v>106</v>
      </c>
      <c r="T1255" t="s">
        <v>1145</v>
      </c>
      <c r="U1255" t="s">
        <v>2044</v>
      </c>
      <c r="V1255" t="s">
        <v>106</v>
      </c>
      <c r="W1255" t="s">
        <v>2015</v>
      </c>
      <c r="X1255" t="s">
        <v>106</v>
      </c>
      <c r="Y1255" t="s">
        <v>108</v>
      </c>
      <c r="Z1255" t="s">
        <v>109</v>
      </c>
      <c r="AA1255" t="s">
        <v>106</v>
      </c>
      <c r="AB1255" t="s">
        <v>106</v>
      </c>
    </row>
    <row r="1256" spans="1:28" x14ac:dyDescent="0.3">
      <c r="A1256" t="s">
        <v>1452</v>
      </c>
      <c r="B1256">
        <v>2</v>
      </c>
      <c r="C1256">
        <v>15</v>
      </c>
      <c r="D1256">
        <v>139</v>
      </c>
      <c r="E1256" t="s">
        <v>128</v>
      </c>
      <c r="F1256" s="12">
        <v>45547</v>
      </c>
      <c r="G1256" t="s">
        <v>462</v>
      </c>
      <c r="H1256" s="12">
        <v>45547</v>
      </c>
      <c r="I1256" t="s">
        <v>398</v>
      </c>
      <c r="J1256" t="s">
        <v>458</v>
      </c>
      <c r="K1256">
        <v>2</v>
      </c>
      <c r="L1256">
        <v>12.8</v>
      </c>
      <c r="P1256" t="s">
        <v>106</v>
      </c>
      <c r="Q1256" t="s">
        <v>106</v>
      </c>
      <c r="R1256" t="s">
        <v>106</v>
      </c>
      <c r="S1256" t="s">
        <v>106</v>
      </c>
      <c r="T1256" t="s">
        <v>1885</v>
      </c>
      <c r="U1256" t="s">
        <v>2014</v>
      </c>
      <c r="V1256" t="s">
        <v>106</v>
      </c>
      <c r="W1256" t="s">
        <v>443</v>
      </c>
      <c r="X1256" t="s">
        <v>106</v>
      </c>
      <c r="Y1256" t="s">
        <v>108</v>
      </c>
      <c r="Z1256" t="s">
        <v>108</v>
      </c>
      <c r="AA1256" t="s">
        <v>106</v>
      </c>
      <c r="AB1256" t="s">
        <v>106</v>
      </c>
    </row>
    <row r="1257" spans="1:28" x14ac:dyDescent="0.3">
      <c r="A1257" t="s">
        <v>1452</v>
      </c>
      <c r="B1257">
        <v>2</v>
      </c>
      <c r="C1257">
        <v>15</v>
      </c>
      <c r="D1257">
        <v>135</v>
      </c>
      <c r="E1257" t="s">
        <v>308</v>
      </c>
      <c r="F1257" s="12">
        <v>45547</v>
      </c>
      <c r="G1257" t="s">
        <v>309</v>
      </c>
      <c r="H1257" s="12">
        <v>45547</v>
      </c>
      <c r="I1257" t="s">
        <v>412</v>
      </c>
      <c r="J1257" t="s">
        <v>459</v>
      </c>
      <c r="K1257">
        <v>2</v>
      </c>
      <c r="L1257">
        <v>12.5</v>
      </c>
      <c r="P1257" t="s">
        <v>106</v>
      </c>
      <c r="Q1257" t="s">
        <v>106</v>
      </c>
      <c r="R1257" t="s">
        <v>106</v>
      </c>
      <c r="S1257" t="s">
        <v>106</v>
      </c>
      <c r="T1257" t="s">
        <v>1022</v>
      </c>
      <c r="U1257" t="s">
        <v>106</v>
      </c>
      <c r="V1257" t="s">
        <v>106</v>
      </c>
      <c r="W1257" t="s">
        <v>443</v>
      </c>
      <c r="X1257" t="s">
        <v>106</v>
      </c>
      <c r="Y1257" t="s">
        <v>108</v>
      </c>
      <c r="Z1257" t="s">
        <v>108</v>
      </c>
      <c r="AA1257" t="s">
        <v>2041</v>
      </c>
      <c r="AB1257" t="s">
        <v>106</v>
      </c>
    </row>
    <row r="1258" spans="1:28" x14ac:dyDescent="0.3">
      <c r="A1258" t="s">
        <v>1452</v>
      </c>
      <c r="B1258">
        <v>2</v>
      </c>
      <c r="C1258">
        <v>15</v>
      </c>
      <c r="D1258">
        <v>130</v>
      </c>
      <c r="E1258" t="s">
        <v>128</v>
      </c>
      <c r="F1258" s="12">
        <v>45547</v>
      </c>
      <c r="G1258" t="s">
        <v>314</v>
      </c>
      <c r="H1258" s="12">
        <v>45547</v>
      </c>
      <c r="I1258" t="s">
        <v>412</v>
      </c>
      <c r="J1258" t="s">
        <v>459</v>
      </c>
      <c r="K1258">
        <v>2</v>
      </c>
      <c r="L1258">
        <v>12.3</v>
      </c>
      <c r="P1258" t="s">
        <v>106</v>
      </c>
      <c r="Q1258" t="s">
        <v>106</v>
      </c>
      <c r="R1258" t="s">
        <v>106</v>
      </c>
      <c r="S1258" t="s">
        <v>106</v>
      </c>
      <c r="T1258" t="s">
        <v>2048</v>
      </c>
      <c r="U1258" t="s">
        <v>2019</v>
      </c>
      <c r="V1258" t="s">
        <v>106</v>
      </c>
      <c r="W1258" t="s">
        <v>443</v>
      </c>
      <c r="X1258" t="s">
        <v>106</v>
      </c>
      <c r="Y1258" t="s">
        <v>108</v>
      </c>
      <c r="Z1258" t="s">
        <v>108</v>
      </c>
      <c r="AA1258" t="s">
        <v>2041</v>
      </c>
      <c r="AB1258" t="s">
        <v>106</v>
      </c>
    </row>
    <row r="1259" spans="1:28" x14ac:dyDescent="0.3">
      <c r="A1259" t="s">
        <v>1452</v>
      </c>
      <c r="B1259">
        <v>2</v>
      </c>
      <c r="C1259">
        <v>15</v>
      </c>
      <c r="D1259">
        <v>129</v>
      </c>
      <c r="E1259" t="s">
        <v>128</v>
      </c>
      <c r="F1259" s="12">
        <v>45547</v>
      </c>
      <c r="G1259" t="s">
        <v>314</v>
      </c>
      <c r="H1259" s="12">
        <v>45547</v>
      </c>
      <c r="I1259" t="s">
        <v>412</v>
      </c>
      <c r="J1259" t="s">
        <v>459</v>
      </c>
      <c r="K1259">
        <v>2</v>
      </c>
      <c r="L1259">
        <v>12.7</v>
      </c>
      <c r="P1259" t="s">
        <v>106</v>
      </c>
      <c r="Q1259" t="s">
        <v>106</v>
      </c>
      <c r="R1259" t="s">
        <v>106</v>
      </c>
      <c r="S1259" t="s">
        <v>106</v>
      </c>
      <c r="T1259" t="s">
        <v>2049</v>
      </c>
      <c r="U1259" t="s">
        <v>2044</v>
      </c>
      <c r="V1259" t="s">
        <v>106</v>
      </c>
      <c r="W1259" t="s">
        <v>443</v>
      </c>
      <c r="X1259" t="s">
        <v>106</v>
      </c>
      <c r="Y1259" t="s">
        <v>108</v>
      </c>
      <c r="Z1259" t="s">
        <v>108</v>
      </c>
      <c r="AA1259" t="s">
        <v>2041</v>
      </c>
      <c r="AB1259" t="s">
        <v>106</v>
      </c>
    </row>
    <row r="1260" spans="1:28" x14ac:dyDescent="0.3">
      <c r="A1260" t="s">
        <v>1452</v>
      </c>
      <c r="B1260">
        <v>2</v>
      </c>
      <c r="C1260">
        <v>15</v>
      </c>
      <c r="D1260">
        <v>126</v>
      </c>
      <c r="E1260" t="s">
        <v>128</v>
      </c>
      <c r="F1260" s="12">
        <v>45547</v>
      </c>
      <c r="G1260" t="s">
        <v>467</v>
      </c>
      <c r="H1260" s="12">
        <v>45547</v>
      </c>
      <c r="I1260" t="s">
        <v>470</v>
      </c>
      <c r="J1260" t="s">
        <v>459</v>
      </c>
      <c r="K1260">
        <v>2</v>
      </c>
      <c r="L1260">
        <v>15.5</v>
      </c>
      <c r="P1260" t="s">
        <v>106</v>
      </c>
      <c r="Q1260" t="s">
        <v>106</v>
      </c>
      <c r="R1260" t="s">
        <v>106</v>
      </c>
      <c r="S1260" t="s">
        <v>106</v>
      </c>
      <c r="T1260" t="s">
        <v>2050</v>
      </c>
      <c r="U1260" t="s">
        <v>2033</v>
      </c>
      <c r="V1260" t="s">
        <v>106</v>
      </c>
      <c r="W1260" t="s">
        <v>443</v>
      </c>
      <c r="X1260" t="s">
        <v>106</v>
      </c>
      <c r="Y1260" t="s">
        <v>108</v>
      </c>
      <c r="Z1260" t="s">
        <v>104</v>
      </c>
      <c r="AA1260" t="s">
        <v>2016</v>
      </c>
      <c r="AB1260" t="s">
        <v>106</v>
      </c>
    </row>
    <row r="1261" spans="1:28" x14ac:dyDescent="0.3">
      <c r="A1261" t="s">
        <v>1452</v>
      </c>
      <c r="B1261">
        <v>2</v>
      </c>
      <c r="C1261">
        <v>15</v>
      </c>
      <c r="D1261">
        <v>125</v>
      </c>
      <c r="E1261" t="s">
        <v>128</v>
      </c>
      <c r="F1261" s="12">
        <v>45547</v>
      </c>
      <c r="G1261" t="s">
        <v>467</v>
      </c>
      <c r="H1261" s="12">
        <v>45547</v>
      </c>
      <c r="I1261" t="s">
        <v>470</v>
      </c>
      <c r="J1261" t="s">
        <v>459</v>
      </c>
      <c r="K1261">
        <v>2</v>
      </c>
      <c r="L1261">
        <v>15</v>
      </c>
      <c r="P1261" t="s">
        <v>106</v>
      </c>
      <c r="Q1261" t="s">
        <v>106</v>
      </c>
      <c r="R1261" t="s">
        <v>106</v>
      </c>
      <c r="S1261" t="s">
        <v>106</v>
      </c>
      <c r="T1261" t="s">
        <v>942</v>
      </c>
      <c r="U1261" t="s">
        <v>702</v>
      </c>
      <c r="V1261" t="s">
        <v>106</v>
      </c>
      <c r="W1261" t="s">
        <v>443</v>
      </c>
      <c r="X1261" t="s">
        <v>106</v>
      </c>
      <c r="Y1261" t="s">
        <v>108</v>
      </c>
      <c r="Z1261" t="s">
        <v>104</v>
      </c>
      <c r="AA1261" t="s">
        <v>2016</v>
      </c>
      <c r="AB1261" t="s">
        <v>106</v>
      </c>
    </row>
    <row r="1262" spans="1:28" x14ac:dyDescent="0.3">
      <c r="A1262" t="s">
        <v>1452</v>
      </c>
      <c r="B1262">
        <v>2</v>
      </c>
      <c r="C1262">
        <v>15</v>
      </c>
      <c r="D1262">
        <v>120</v>
      </c>
      <c r="E1262" t="s">
        <v>128</v>
      </c>
      <c r="F1262" s="12">
        <v>45547</v>
      </c>
      <c r="G1262" t="s">
        <v>2051</v>
      </c>
      <c r="H1262" s="12">
        <v>45547</v>
      </c>
      <c r="I1262" t="s">
        <v>2052</v>
      </c>
      <c r="J1262" t="s">
        <v>458</v>
      </c>
      <c r="K1262">
        <v>2</v>
      </c>
      <c r="L1262">
        <v>16.8</v>
      </c>
      <c r="P1262" t="s">
        <v>106</v>
      </c>
      <c r="Q1262" t="s">
        <v>106</v>
      </c>
      <c r="R1262" t="s">
        <v>106</v>
      </c>
      <c r="S1262" t="s">
        <v>106</v>
      </c>
      <c r="T1262" t="s">
        <v>1101</v>
      </c>
      <c r="U1262" t="s">
        <v>2021</v>
      </c>
      <c r="V1262" t="s">
        <v>106</v>
      </c>
      <c r="W1262" t="s">
        <v>443</v>
      </c>
      <c r="X1262" t="s">
        <v>106</v>
      </c>
      <c r="Y1262" t="s">
        <v>108</v>
      </c>
      <c r="Z1262" t="s">
        <v>108</v>
      </c>
      <c r="AA1262" t="s">
        <v>2016</v>
      </c>
      <c r="AB1262" t="s">
        <v>106</v>
      </c>
    </row>
    <row r="1263" spans="1:28" x14ac:dyDescent="0.3">
      <c r="A1263" t="s">
        <v>1452</v>
      </c>
      <c r="B1263">
        <v>2</v>
      </c>
      <c r="C1263">
        <v>15</v>
      </c>
      <c r="D1263">
        <v>119</v>
      </c>
      <c r="E1263" t="s">
        <v>128</v>
      </c>
      <c r="F1263" s="12">
        <v>45547</v>
      </c>
      <c r="G1263" t="s">
        <v>2053</v>
      </c>
      <c r="H1263" s="12">
        <v>45547</v>
      </c>
      <c r="I1263" t="s">
        <v>2052</v>
      </c>
      <c r="J1263" t="s">
        <v>458</v>
      </c>
      <c r="K1263">
        <v>2</v>
      </c>
      <c r="L1263">
        <v>16.899999999999999</v>
      </c>
      <c r="P1263" t="s">
        <v>106</v>
      </c>
      <c r="Q1263" t="s">
        <v>106</v>
      </c>
      <c r="R1263" t="s">
        <v>106</v>
      </c>
      <c r="S1263" t="s">
        <v>106</v>
      </c>
      <c r="T1263" t="s">
        <v>1561</v>
      </c>
      <c r="U1263" t="s">
        <v>2014</v>
      </c>
      <c r="V1263" t="s">
        <v>106</v>
      </c>
      <c r="W1263" t="s">
        <v>443</v>
      </c>
      <c r="X1263" t="s">
        <v>106</v>
      </c>
      <c r="Y1263" t="s">
        <v>108</v>
      </c>
      <c r="Z1263" t="s">
        <v>108</v>
      </c>
      <c r="AA1263" t="s">
        <v>2016</v>
      </c>
      <c r="AB1263" t="s">
        <v>106</v>
      </c>
    </row>
    <row r="1264" spans="1:28" x14ac:dyDescent="0.3">
      <c r="A1264" t="s">
        <v>1452</v>
      </c>
      <c r="B1264">
        <v>2</v>
      </c>
      <c r="C1264">
        <v>15</v>
      </c>
      <c r="D1264">
        <v>140</v>
      </c>
      <c r="E1264" t="s">
        <v>128</v>
      </c>
      <c r="F1264" s="12">
        <v>45547</v>
      </c>
      <c r="G1264" t="s">
        <v>462</v>
      </c>
      <c r="H1264" s="12">
        <v>45547</v>
      </c>
      <c r="I1264" t="s">
        <v>398</v>
      </c>
      <c r="J1264" t="s">
        <v>458</v>
      </c>
      <c r="K1264">
        <v>2</v>
      </c>
      <c r="L1264">
        <v>12.3</v>
      </c>
      <c r="P1264" t="s">
        <v>106</v>
      </c>
      <c r="Q1264" t="s">
        <v>106</v>
      </c>
      <c r="R1264" t="s">
        <v>106</v>
      </c>
      <c r="S1264" t="s">
        <v>106</v>
      </c>
      <c r="T1264" t="s">
        <v>975</v>
      </c>
      <c r="U1264" t="s">
        <v>2054</v>
      </c>
      <c r="V1264" t="s">
        <v>106</v>
      </c>
      <c r="W1264" t="s">
        <v>443</v>
      </c>
      <c r="X1264" t="s">
        <v>106</v>
      </c>
      <c r="Y1264" t="s">
        <v>108</v>
      </c>
      <c r="Z1264" t="s">
        <v>108</v>
      </c>
      <c r="AA1264" t="s">
        <v>106</v>
      </c>
      <c r="AB1264" t="s">
        <v>106</v>
      </c>
    </row>
    <row r="1265" spans="1:28" x14ac:dyDescent="0.3">
      <c r="A1265" t="s">
        <v>1452</v>
      </c>
      <c r="B1265">
        <v>3</v>
      </c>
      <c r="C1265">
        <v>35</v>
      </c>
      <c r="D1265">
        <v>168</v>
      </c>
      <c r="E1265" t="s">
        <v>128</v>
      </c>
      <c r="F1265" s="12">
        <v>45547</v>
      </c>
      <c r="G1265" t="s">
        <v>2483</v>
      </c>
      <c r="H1265" s="12">
        <v>45547</v>
      </c>
      <c r="I1265" t="s">
        <v>2042</v>
      </c>
      <c r="J1265" t="s">
        <v>471</v>
      </c>
      <c r="K1265">
        <v>2</v>
      </c>
      <c r="L1265">
        <v>33.4</v>
      </c>
      <c r="P1265" t="s">
        <v>106</v>
      </c>
      <c r="Q1265" t="s">
        <v>106</v>
      </c>
      <c r="R1265" t="s">
        <v>106</v>
      </c>
      <c r="S1265" t="s">
        <v>106</v>
      </c>
      <c r="T1265" t="s">
        <v>1791</v>
      </c>
      <c r="U1265" t="s">
        <v>1978</v>
      </c>
      <c r="V1265" t="s">
        <v>106</v>
      </c>
      <c r="W1265" t="s">
        <v>2015</v>
      </c>
      <c r="X1265" t="s">
        <v>106</v>
      </c>
      <c r="Y1265" t="s">
        <v>108</v>
      </c>
      <c r="Z1265" t="s">
        <v>108</v>
      </c>
      <c r="AA1265" t="s">
        <v>106</v>
      </c>
      <c r="AB1265" t="s">
        <v>106</v>
      </c>
    </row>
    <row r="1266" spans="1:28" x14ac:dyDescent="0.3">
      <c r="A1266" t="s">
        <v>1452</v>
      </c>
      <c r="B1266">
        <v>3</v>
      </c>
      <c r="C1266">
        <v>35</v>
      </c>
      <c r="D1266">
        <v>167</v>
      </c>
      <c r="E1266" t="s">
        <v>128</v>
      </c>
      <c r="F1266" s="12">
        <v>45547</v>
      </c>
      <c r="G1266" t="s">
        <v>1831</v>
      </c>
      <c r="H1266" s="12">
        <v>45547</v>
      </c>
      <c r="I1266" t="s">
        <v>2042</v>
      </c>
      <c r="J1266" t="s">
        <v>471</v>
      </c>
      <c r="K1266">
        <v>2</v>
      </c>
      <c r="L1266">
        <v>34.799999999999997</v>
      </c>
      <c r="P1266" t="s">
        <v>106</v>
      </c>
      <c r="Q1266" t="s">
        <v>106</v>
      </c>
      <c r="R1266" t="s">
        <v>106</v>
      </c>
      <c r="S1266" t="s">
        <v>106</v>
      </c>
      <c r="T1266" t="s">
        <v>1822</v>
      </c>
      <c r="U1266" t="s">
        <v>2021</v>
      </c>
      <c r="V1266" t="s">
        <v>106</v>
      </c>
      <c r="W1266" t="s">
        <v>2015</v>
      </c>
      <c r="X1266" t="s">
        <v>106</v>
      </c>
      <c r="Y1266" t="s">
        <v>108</v>
      </c>
      <c r="Z1266" t="s">
        <v>108</v>
      </c>
      <c r="AA1266" t="s">
        <v>106</v>
      </c>
      <c r="AB1266" t="s">
        <v>106</v>
      </c>
    </row>
    <row r="1267" spans="1:28" x14ac:dyDescent="0.3">
      <c r="A1267" t="s">
        <v>1452</v>
      </c>
      <c r="B1267">
        <v>3</v>
      </c>
      <c r="C1267">
        <v>35</v>
      </c>
      <c r="D1267">
        <v>173</v>
      </c>
      <c r="E1267" t="s">
        <v>128</v>
      </c>
      <c r="F1267" s="12">
        <v>45547</v>
      </c>
      <c r="G1267" t="s">
        <v>1601</v>
      </c>
      <c r="H1267" s="12">
        <v>45547</v>
      </c>
      <c r="I1267" t="s">
        <v>2047</v>
      </c>
      <c r="J1267" t="s">
        <v>471</v>
      </c>
      <c r="K1267">
        <v>2</v>
      </c>
      <c r="L1267">
        <v>33.299999999999997</v>
      </c>
      <c r="P1267" t="s">
        <v>106</v>
      </c>
      <c r="Q1267" t="s">
        <v>106</v>
      </c>
      <c r="R1267" t="s">
        <v>106</v>
      </c>
      <c r="S1267" t="s">
        <v>106</v>
      </c>
      <c r="T1267" t="s">
        <v>1822</v>
      </c>
      <c r="U1267" t="s">
        <v>1978</v>
      </c>
      <c r="V1267" t="s">
        <v>106</v>
      </c>
      <c r="W1267" t="s">
        <v>2015</v>
      </c>
      <c r="X1267" t="s">
        <v>106</v>
      </c>
      <c r="Y1267" t="s">
        <v>108</v>
      </c>
      <c r="Z1267" t="s">
        <v>108</v>
      </c>
      <c r="AA1267" t="s">
        <v>106</v>
      </c>
      <c r="AB1267" t="s">
        <v>106</v>
      </c>
    </row>
    <row r="1268" spans="1:28" x14ac:dyDescent="0.3">
      <c r="A1268" t="s">
        <v>1452</v>
      </c>
      <c r="B1268">
        <v>3</v>
      </c>
      <c r="C1268">
        <v>35</v>
      </c>
      <c r="D1268">
        <v>174</v>
      </c>
      <c r="E1268" t="s">
        <v>128</v>
      </c>
      <c r="F1268" s="12">
        <v>45547</v>
      </c>
      <c r="G1268" t="s">
        <v>2484</v>
      </c>
      <c r="H1268" s="12">
        <v>45547</v>
      </c>
      <c r="I1268" t="s">
        <v>2047</v>
      </c>
      <c r="J1268" t="s">
        <v>471</v>
      </c>
      <c r="K1268">
        <v>2</v>
      </c>
      <c r="L1268">
        <v>34.4</v>
      </c>
      <c r="P1268" t="s">
        <v>106</v>
      </c>
      <c r="Q1268" t="s">
        <v>106</v>
      </c>
      <c r="R1268" t="s">
        <v>106</v>
      </c>
      <c r="S1268" t="s">
        <v>106</v>
      </c>
      <c r="T1268" t="s">
        <v>1478</v>
      </c>
      <c r="U1268" t="s">
        <v>2017</v>
      </c>
      <c r="V1268" t="s">
        <v>106</v>
      </c>
      <c r="W1268" t="s">
        <v>2015</v>
      </c>
      <c r="X1268" t="s">
        <v>106</v>
      </c>
      <c r="Y1268" t="s">
        <v>108</v>
      </c>
      <c r="Z1268" t="s">
        <v>108</v>
      </c>
      <c r="AA1268" t="s">
        <v>106</v>
      </c>
      <c r="AB1268" t="s">
        <v>106</v>
      </c>
    </row>
    <row r="1269" spans="1:28" x14ac:dyDescent="0.3">
      <c r="A1269" t="s">
        <v>1452</v>
      </c>
      <c r="B1269">
        <v>3</v>
      </c>
      <c r="C1269">
        <v>35</v>
      </c>
      <c r="D1269">
        <v>117</v>
      </c>
      <c r="E1269" t="s">
        <v>128</v>
      </c>
      <c r="F1269" s="12">
        <v>45547</v>
      </c>
      <c r="G1269" t="s">
        <v>2485</v>
      </c>
      <c r="H1269" s="12">
        <v>45547</v>
      </c>
      <c r="I1269" t="s">
        <v>2052</v>
      </c>
      <c r="J1269" t="s">
        <v>458</v>
      </c>
      <c r="K1269">
        <v>2</v>
      </c>
      <c r="L1269">
        <v>36.799999999999997</v>
      </c>
      <c r="P1269" t="s">
        <v>106</v>
      </c>
      <c r="Q1269" t="s">
        <v>106</v>
      </c>
      <c r="R1269" t="s">
        <v>106</v>
      </c>
      <c r="S1269" t="s">
        <v>106</v>
      </c>
      <c r="T1269" t="s">
        <v>940</v>
      </c>
      <c r="U1269" t="s">
        <v>2044</v>
      </c>
      <c r="V1269" t="s">
        <v>106</v>
      </c>
      <c r="W1269" t="s">
        <v>443</v>
      </c>
      <c r="X1269" t="s">
        <v>106</v>
      </c>
      <c r="Y1269" t="s">
        <v>108</v>
      </c>
      <c r="Z1269" t="s">
        <v>108</v>
      </c>
      <c r="AA1269" t="s">
        <v>2016</v>
      </c>
      <c r="AB1269" t="s">
        <v>1960</v>
      </c>
    </row>
    <row r="1270" spans="1:28" x14ac:dyDescent="0.3">
      <c r="A1270" t="s">
        <v>1452</v>
      </c>
      <c r="B1270">
        <v>3</v>
      </c>
      <c r="C1270">
        <v>35</v>
      </c>
      <c r="D1270">
        <v>162</v>
      </c>
      <c r="E1270" t="s">
        <v>128</v>
      </c>
      <c r="F1270" s="12">
        <v>45547</v>
      </c>
      <c r="G1270" t="s">
        <v>2486</v>
      </c>
      <c r="H1270" s="12">
        <v>45547</v>
      </c>
      <c r="I1270" t="s">
        <v>2038</v>
      </c>
      <c r="J1270" t="s">
        <v>471</v>
      </c>
      <c r="K1270">
        <v>2</v>
      </c>
      <c r="L1270">
        <v>34.5</v>
      </c>
      <c r="P1270" t="s">
        <v>106</v>
      </c>
      <c r="Q1270" t="s">
        <v>106</v>
      </c>
      <c r="R1270" t="s">
        <v>106</v>
      </c>
      <c r="S1270" t="s">
        <v>888</v>
      </c>
      <c r="T1270" t="s">
        <v>888</v>
      </c>
      <c r="U1270" t="s">
        <v>2033</v>
      </c>
      <c r="V1270" t="s">
        <v>106</v>
      </c>
      <c r="W1270" t="s">
        <v>2471</v>
      </c>
      <c r="X1270" t="s">
        <v>106</v>
      </c>
      <c r="Y1270" t="s">
        <v>108</v>
      </c>
      <c r="Z1270" t="s">
        <v>108</v>
      </c>
      <c r="AA1270" t="s">
        <v>106</v>
      </c>
      <c r="AB1270" t="s">
        <v>106</v>
      </c>
    </row>
    <row r="1271" spans="1:28" x14ac:dyDescent="0.3">
      <c r="A1271" t="s">
        <v>1452</v>
      </c>
      <c r="B1271">
        <v>3</v>
      </c>
      <c r="C1271">
        <v>35</v>
      </c>
      <c r="D1271">
        <v>144</v>
      </c>
      <c r="E1271" t="s">
        <v>128</v>
      </c>
      <c r="F1271" s="12">
        <v>45547</v>
      </c>
      <c r="G1271" t="s">
        <v>322</v>
      </c>
      <c r="H1271" s="12">
        <v>45547</v>
      </c>
      <c r="I1271" t="s">
        <v>1970</v>
      </c>
      <c r="J1271" t="s">
        <v>458</v>
      </c>
      <c r="K1271">
        <v>2</v>
      </c>
      <c r="L1271">
        <v>33.700000000000003</v>
      </c>
      <c r="P1271" t="s">
        <v>106</v>
      </c>
      <c r="Q1271" t="s">
        <v>106</v>
      </c>
      <c r="R1271" t="s">
        <v>106</v>
      </c>
      <c r="S1271" t="s">
        <v>106</v>
      </c>
      <c r="T1271" t="s">
        <v>1561</v>
      </c>
      <c r="U1271" t="s">
        <v>106</v>
      </c>
      <c r="V1271" t="s">
        <v>106</v>
      </c>
      <c r="W1271" t="s">
        <v>443</v>
      </c>
      <c r="X1271" t="s">
        <v>106</v>
      </c>
      <c r="Y1271" t="s">
        <v>108</v>
      </c>
      <c r="Z1271" t="s">
        <v>108</v>
      </c>
      <c r="AA1271" t="s">
        <v>2041</v>
      </c>
      <c r="AB1271" t="s">
        <v>106</v>
      </c>
    </row>
    <row r="1272" spans="1:28" x14ac:dyDescent="0.3">
      <c r="A1272" t="s">
        <v>1452</v>
      </c>
      <c r="B1272">
        <v>3</v>
      </c>
      <c r="C1272">
        <v>35</v>
      </c>
      <c r="D1272">
        <v>138</v>
      </c>
      <c r="E1272" t="s">
        <v>128</v>
      </c>
      <c r="F1272" s="12">
        <v>45547</v>
      </c>
      <c r="G1272" t="s">
        <v>531</v>
      </c>
      <c r="H1272" s="12">
        <v>45547</v>
      </c>
      <c r="I1272" t="s">
        <v>398</v>
      </c>
      <c r="J1272" t="s">
        <v>458</v>
      </c>
      <c r="K1272">
        <v>2</v>
      </c>
      <c r="L1272">
        <v>33.200000000000003</v>
      </c>
      <c r="P1272" t="s">
        <v>106</v>
      </c>
      <c r="Q1272" t="s">
        <v>106</v>
      </c>
      <c r="R1272" t="s">
        <v>106</v>
      </c>
      <c r="S1272" t="s">
        <v>106</v>
      </c>
      <c r="T1272" t="s">
        <v>1022</v>
      </c>
      <c r="U1272" t="s">
        <v>2019</v>
      </c>
      <c r="V1272" t="s">
        <v>106</v>
      </c>
      <c r="W1272" t="s">
        <v>443</v>
      </c>
      <c r="X1272" t="s">
        <v>106</v>
      </c>
      <c r="Y1272" t="s">
        <v>108</v>
      </c>
      <c r="Z1272" t="s">
        <v>108</v>
      </c>
      <c r="AA1272" t="s">
        <v>106</v>
      </c>
      <c r="AB1272" t="s">
        <v>106</v>
      </c>
    </row>
    <row r="1273" spans="1:28" x14ac:dyDescent="0.3">
      <c r="A1273" t="s">
        <v>1452</v>
      </c>
      <c r="B1273">
        <v>3</v>
      </c>
      <c r="C1273">
        <v>35</v>
      </c>
      <c r="D1273">
        <v>137</v>
      </c>
      <c r="E1273" t="s">
        <v>128</v>
      </c>
      <c r="F1273" s="12">
        <v>45547</v>
      </c>
      <c r="G1273" t="s">
        <v>533</v>
      </c>
      <c r="H1273" s="12">
        <v>45547</v>
      </c>
      <c r="I1273" t="s">
        <v>398</v>
      </c>
      <c r="J1273" t="s">
        <v>458</v>
      </c>
      <c r="K1273">
        <v>2</v>
      </c>
      <c r="L1273">
        <v>33.200000000000003</v>
      </c>
      <c r="P1273" t="s">
        <v>106</v>
      </c>
      <c r="Q1273" t="s">
        <v>106</v>
      </c>
      <c r="R1273" t="s">
        <v>106</v>
      </c>
      <c r="S1273" t="s">
        <v>106</v>
      </c>
      <c r="T1273" t="s">
        <v>984</v>
      </c>
      <c r="U1273" t="s">
        <v>702</v>
      </c>
      <c r="V1273" t="s">
        <v>106</v>
      </c>
      <c r="W1273" t="s">
        <v>443</v>
      </c>
      <c r="X1273" t="s">
        <v>106</v>
      </c>
      <c r="Y1273" t="s">
        <v>108</v>
      </c>
      <c r="Z1273" t="s">
        <v>108</v>
      </c>
      <c r="AA1273" t="s">
        <v>106</v>
      </c>
      <c r="AB1273" t="s">
        <v>106</v>
      </c>
    </row>
    <row r="1274" spans="1:28" x14ac:dyDescent="0.3">
      <c r="A1274" t="s">
        <v>1452</v>
      </c>
      <c r="B1274">
        <v>3</v>
      </c>
      <c r="C1274">
        <v>35</v>
      </c>
      <c r="D1274">
        <v>136</v>
      </c>
      <c r="E1274" t="s">
        <v>128</v>
      </c>
      <c r="F1274" s="12">
        <v>45547</v>
      </c>
      <c r="G1274" t="s">
        <v>689</v>
      </c>
      <c r="H1274" s="12">
        <v>45547</v>
      </c>
      <c r="I1274" t="s">
        <v>106</v>
      </c>
      <c r="J1274" t="s">
        <v>458</v>
      </c>
      <c r="K1274">
        <v>2</v>
      </c>
      <c r="L1274">
        <v>33.200000000000003</v>
      </c>
      <c r="P1274" t="s">
        <v>106</v>
      </c>
      <c r="Q1274" t="s">
        <v>106</v>
      </c>
      <c r="R1274" t="s">
        <v>106</v>
      </c>
      <c r="S1274" t="s">
        <v>106</v>
      </c>
      <c r="T1274" t="s">
        <v>984</v>
      </c>
      <c r="U1274" t="s">
        <v>106</v>
      </c>
      <c r="V1274" t="s">
        <v>106</v>
      </c>
      <c r="W1274" t="s">
        <v>443</v>
      </c>
      <c r="X1274" t="s">
        <v>106</v>
      </c>
      <c r="Y1274" t="s">
        <v>108</v>
      </c>
      <c r="Z1274" t="s">
        <v>108</v>
      </c>
      <c r="AA1274" t="s">
        <v>106</v>
      </c>
      <c r="AB1274" t="s">
        <v>106</v>
      </c>
    </row>
    <row r="1275" spans="1:28" x14ac:dyDescent="0.3">
      <c r="A1275" t="s">
        <v>1452</v>
      </c>
      <c r="B1275">
        <v>3</v>
      </c>
      <c r="C1275">
        <v>35</v>
      </c>
      <c r="D1275">
        <v>134</v>
      </c>
      <c r="E1275" t="s">
        <v>308</v>
      </c>
      <c r="F1275" s="12">
        <v>45547</v>
      </c>
      <c r="G1275" t="s">
        <v>309</v>
      </c>
      <c r="H1275" s="12">
        <v>45547</v>
      </c>
      <c r="I1275" t="s">
        <v>412</v>
      </c>
      <c r="J1275" t="s">
        <v>459</v>
      </c>
      <c r="K1275">
        <v>2</v>
      </c>
      <c r="L1275">
        <v>32.700000000000003</v>
      </c>
      <c r="P1275" t="s">
        <v>106</v>
      </c>
      <c r="Q1275" t="s">
        <v>106</v>
      </c>
      <c r="R1275" t="s">
        <v>106</v>
      </c>
      <c r="S1275" t="s">
        <v>106</v>
      </c>
      <c r="T1275" t="s">
        <v>996</v>
      </c>
      <c r="U1275" t="s">
        <v>106</v>
      </c>
      <c r="V1275" t="s">
        <v>106</v>
      </c>
      <c r="W1275" t="s">
        <v>443</v>
      </c>
      <c r="X1275" t="s">
        <v>106</v>
      </c>
      <c r="Y1275" t="s">
        <v>108</v>
      </c>
      <c r="Z1275" t="s">
        <v>108</v>
      </c>
      <c r="AA1275" t="s">
        <v>2041</v>
      </c>
      <c r="AB1275" t="s">
        <v>106</v>
      </c>
    </row>
    <row r="1276" spans="1:28" x14ac:dyDescent="0.3">
      <c r="A1276" t="s">
        <v>1452</v>
      </c>
      <c r="B1276">
        <v>3</v>
      </c>
      <c r="C1276">
        <v>35</v>
      </c>
      <c r="D1276">
        <v>151</v>
      </c>
      <c r="E1276" t="s">
        <v>128</v>
      </c>
      <c r="F1276" s="12">
        <v>45547</v>
      </c>
      <c r="G1276" t="s">
        <v>134</v>
      </c>
      <c r="H1276" s="12">
        <v>45547</v>
      </c>
      <c r="I1276" t="s">
        <v>1525</v>
      </c>
      <c r="J1276" t="s">
        <v>471</v>
      </c>
      <c r="K1276">
        <v>2</v>
      </c>
      <c r="L1276">
        <v>34.200000000000003</v>
      </c>
      <c r="P1276" t="s">
        <v>106</v>
      </c>
      <c r="Q1276" t="s">
        <v>106</v>
      </c>
      <c r="R1276" t="s">
        <v>106</v>
      </c>
      <c r="S1276" t="s">
        <v>106</v>
      </c>
      <c r="T1276" t="s">
        <v>1796</v>
      </c>
      <c r="U1276" t="s">
        <v>2019</v>
      </c>
      <c r="V1276" t="s">
        <v>106</v>
      </c>
      <c r="W1276" t="s">
        <v>443</v>
      </c>
      <c r="X1276" t="s">
        <v>106</v>
      </c>
      <c r="Y1276" t="s">
        <v>108</v>
      </c>
      <c r="Z1276" t="s">
        <v>104</v>
      </c>
      <c r="AA1276" t="s">
        <v>2041</v>
      </c>
      <c r="AB1276" t="s">
        <v>106</v>
      </c>
    </row>
    <row r="1277" spans="1:28" x14ac:dyDescent="0.3">
      <c r="A1277" t="s">
        <v>1452</v>
      </c>
      <c r="B1277">
        <v>3</v>
      </c>
      <c r="C1277">
        <v>35</v>
      </c>
      <c r="D1277">
        <v>128</v>
      </c>
      <c r="E1277" t="s">
        <v>128</v>
      </c>
      <c r="F1277" s="12">
        <v>45547</v>
      </c>
      <c r="G1277" t="s">
        <v>314</v>
      </c>
      <c r="H1277" s="12">
        <v>45547</v>
      </c>
      <c r="I1277" t="s">
        <v>412</v>
      </c>
      <c r="J1277" t="s">
        <v>459</v>
      </c>
      <c r="K1277">
        <v>2</v>
      </c>
      <c r="L1277">
        <v>31.7</v>
      </c>
      <c r="P1277" t="s">
        <v>106</v>
      </c>
      <c r="Q1277" t="s">
        <v>106</v>
      </c>
      <c r="R1277" t="s">
        <v>106</v>
      </c>
      <c r="S1277" t="s">
        <v>106</v>
      </c>
      <c r="T1277" t="s">
        <v>651</v>
      </c>
      <c r="U1277" t="s">
        <v>2029</v>
      </c>
      <c r="V1277" t="s">
        <v>106</v>
      </c>
      <c r="W1277" t="s">
        <v>443</v>
      </c>
      <c r="X1277" t="s">
        <v>106</v>
      </c>
      <c r="Y1277" t="s">
        <v>108</v>
      </c>
      <c r="Z1277" t="s">
        <v>108</v>
      </c>
      <c r="AA1277" t="s">
        <v>2041</v>
      </c>
      <c r="AB1277" t="s">
        <v>106</v>
      </c>
    </row>
    <row r="1278" spans="1:28" x14ac:dyDescent="0.3">
      <c r="A1278" t="s">
        <v>1452</v>
      </c>
      <c r="B1278">
        <v>3</v>
      </c>
      <c r="C1278">
        <v>35</v>
      </c>
      <c r="D1278">
        <v>127</v>
      </c>
      <c r="E1278" t="s">
        <v>128</v>
      </c>
      <c r="F1278" s="12">
        <v>45547</v>
      </c>
      <c r="G1278" t="s">
        <v>314</v>
      </c>
      <c r="H1278" s="12">
        <v>45547</v>
      </c>
      <c r="I1278" t="s">
        <v>412</v>
      </c>
      <c r="J1278" t="s">
        <v>459</v>
      </c>
      <c r="K1278">
        <v>2</v>
      </c>
      <c r="L1278">
        <v>32.200000000000003</v>
      </c>
      <c r="P1278" t="s">
        <v>106</v>
      </c>
      <c r="Q1278" t="s">
        <v>106</v>
      </c>
      <c r="R1278" t="s">
        <v>106</v>
      </c>
      <c r="S1278" t="s">
        <v>106</v>
      </c>
      <c r="T1278" t="s">
        <v>1638</v>
      </c>
      <c r="U1278" t="s">
        <v>2054</v>
      </c>
      <c r="V1278" t="s">
        <v>106</v>
      </c>
      <c r="W1278" t="s">
        <v>443</v>
      </c>
      <c r="X1278" t="s">
        <v>106</v>
      </c>
      <c r="Y1278" t="s">
        <v>108</v>
      </c>
      <c r="Z1278" t="s">
        <v>108</v>
      </c>
      <c r="AA1278" t="s">
        <v>2041</v>
      </c>
      <c r="AB1278" t="s">
        <v>106</v>
      </c>
    </row>
    <row r="1279" spans="1:28" x14ac:dyDescent="0.3">
      <c r="A1279" t="s">
        <v>1452</v>
      </c>
      <c r="B1279">
        <v>3</v>
      </c>
      <c r="C1279">
        <v>35</v>
      </c>
      <c r="D1279">
        <v>143</v>
      </c>
      <c r="E1279" t="s">
        <v>128</v>
      </c>
      <c r="F1279" s="12">
        <v>45547</v>
      </c>
      <c r="G1279" t="s">
        <v>321</v>
      </c>
      <c r="H1279" s="12">
        <v>45547</v>
      </c>
      <c r="I1279" t="s">
        <v>1970</v>
      </c>
      <c r="J1279" t="s">
        <v>458</v>
      </c>
      <c r="K1279">
        <v>2</v>
      </c>
      <c r="L1279">
        <v>35</v>
      </c>
      <c r="P1279" t="s">
        <v>106</v>
      </c>
      <c r="Q1279" t="s">
        <v>106</v>
      </c>
      <c r="R1279" t="s">
        <v>106</v>
      </c>
      <c r="S1279" t="s">
        <v>106</v>
      </c>
      <c r="T1279" t="s">
        <v>1016</v>
      </c>
      <c r="U1279" t="s">
        <v>106</v>
      </c>
      <c r="V1279" t="s">
        <v>106</v>
      </c>
      <c r="W1279" t="s">
        <v>443</v>
      </c>
      <c r="X1279" t="s">
        <v>106</v>
      </c>
      <c r="Y1279" t="s">
        <v>108</v>
      </c>
      <c r="Z1279" t="s">
        <v>108</v>
      </c>
      <c r="AA1279" t="s">
        <v>2041</v>
      </c>
      <c r="AB1279" t="s">
        <v>106</v>
      </c>
    </row>
    <row r="1280" spans="1:28" x14ac:dyDescent="0.3">
      <c r="A1280" t="s">
        <v>1452</v>
      </c>
      <c r="B1280">
        <v>3</v>
      </c>
      <c r="C1280">
        <v>35</v>
      </c>
      <c r="D1280">
        <v>122</v>
      </c>
      <c r="E1280" t="s">
        <v>128</v>
      </c>
      <c r="F1280" s="12">
        <v>45547</v>
      </c>
      <c r="G1280" t="s">
        <v>1694</v>
      </c>
      <c r="H1280" s="12">
        <v>45547</v>
      </c>
      <c r="I1280" t="s">
        <v>470</v>
      </c>
      <c r="J1280" t="s">
        <v>459</v>
      </c>
      <c r="K1280">
        <v>2</v>
      </c>
      <c r="L1280">
        <v>35.299999999999997</v>
      </c>
      <c r="P1280" t="s">
        <v>106</v>
      </c>
      <c r="Q1280" t="s">
        <v>106</v>
      </c>
      <c r="R1280" t="s">
        <v>106</v>
      </c>
      <c r="S1280" t="s">
        <v>106</v>
      </c>
      <c r="T1280" t="s">
        <v>1223</v>
      </c>
      <c r="U1280" t="s">
        <v>2033</v>
      </c>
      <c r="V1280" t="s">
        <v>106</v>
      </c>
      <c r="W1280" t="s">
        <v>443</v>
      </c>
      <c r="X1280" t="s">
        <v>106</v>
      </c>
      <c r="Y1280" t="s">
        <v>108</v>
      </c>
      <c r="Z1280" t="s">
        <v>108</v>
      </c>
      <c r="AA1280" t="s">
        <v>2016</v>
      </c>
      <c r="AB1280" t="s">
        <v>106</v>
      </c>
    </row>
    <row r="1281" spans="1:28" x14ac:dyDescent="0.3">
      <c r="A1281" t="s">
        <v>1452</v>
      </c>
      <c r="B1281">
        <v>3</v>
      </c>
      <c r="C1281">
        <v>35</v>
      </c>
      <c r="D1281">
        <v>121</v>
      </c>
      <c r="E1281" t="s">
        <v>128</v>
      </c>
      <c r="F1281" s="12">
        <v>45547</v>
      </c>
      <c r="G1281" t="s">
        <v>2487</v>
      </c>
      <c r="H1281" s="12">
        <v>45547</v>
      </c>
      <c r="I1281" t="s">
        <v>470</v>
      </c>
      <c r="J1281" t="s">
        <v>528</v>
      </c>
      <c r="K1281">
        <v>2</v>
      </c>
      <c r="L1281">
        <v>35.700000000000003</v>
      </c>
      <c r="P1281" t="s">
        <v>106</v>
      </c>
      <c r="Q1281" t="s">
        <v>106</v>
      </c>
      <c r="R1281" t="s">
        <v>106</v>
      </c>
      <c r="S1281" t="s">
        <v>106</v>
      </c>
      <c r="T1281" t="s">
        <v>811</v>
      </c>
      <c r="U1281" t="s">
        <v>2060</v>
      </c>
      <c r="V1281" t="s">
        <v>106</v>
      </c>
      <c r="W1281" t="s">
        <v>443</v>
      </c>
      <c r="X1281" t="s">
        <v>106</v>
      </c>
      <c r="Y1281" t="s">
        <v>108</v>
      </c>
      <c r="Z1281" t="s">
        <v>108</v>
      </c>
      <c r="AA1281" t="s">
        <v>2016</v>
      </c>
      <c r="AB1281" t="s">
        <v>2488</v>
      </c>
    </row>
    <row r="1282" spans="1:28" x14ac:dyDescent="0.3">
      <c r="A1282" t="s">
        <v>1452</v>
      </c>
      <c r="B1282">
        <v>3</v>
      </c>
      <c r="C1282">
        <v>35</v>
      </c>
      <c r="D1282">
        <v>155</v>
      </c>
      <c r="E1282" t="s">
        <v>128</v>
      </c>
      <c r="F1282" s="12">
        <v>45547</v>
      </c>
      <c r="G1282" t="s">
        <v>375</v>
      </c>
      <c r="H1282" s="12">
        <v>45547</v>
      </c>
      <c r="I1282" t="s">
        <v>512</v>
      </c>
      <c r="J1282" t="s">
        <v>471</v>
      </c>
      <c r="K1282">
        <v>2</v>
      </c>
      <c r="L1282">
        <v>34.299999999999997</v>
      </c>
      <c r="P1282" t="s">
        <v>106</v>
      </c>
      <c r="Q1282" t="s">
        <v>106</v>
      </c>
      <c r="R1282" t="s">
        <v>106</v>
      </c>
      <c r="S1282" t="s">
        <v>106</v>
      </c>
      <c r="T1282" t="s">
        <v>1529</v>
      </c>
      <c r="U1282" t="s">
        <v>2054</v>
      </c>
      <c r="V1282" t="s">
        <v>106</v>
      </c>
      <c r="W1282" t="s">
        <v>443</v>
      </c>
      <c r="X1282" t="s">
        <v>106</v>
      </c>
      <c r="Y1282" t="s">
        <v>108</v>
      </c>
      <c r="Z1282" t="s">
        <v>104</v>
      </c>
      <c r="AA1282" t="s">
        <v>2041</v>
      </c>
      <c r="AB1282" t="s">
        <v>106</v>
      </c>
    </row>
    <row r="1283" spans="1:28" x14ac:dyDescent="0.3">
      <c r="A1283" t="s">
        <v>1452</v>
      </c>
      <c r="B1283">
        <v>3</v>
      </c>
      <c r="C1283">
        <v>35</v>
      </c>
      <c r="D1283">
        <v>118</v>
      </c>
      <c r="E1283" t="s">
        <v>128</v>
      </c>
      <c r="F1283" s="12">
        <v>45547</v>
      </c>
      <c r="G1283" t="s">
        <v>2053</v>
      </c>
      <c r="H1283" s="12">
        <v>45547</v>
      </c>
      <c r="I1283" t="s">
        <v>2052</v>
      </c>
      <c r="J1283" t="s">
        <v>458</v>
      </c>
      <c r="K1283">
        <v>2</v>
      </c>
      <c r="L1283">
        <v>37.200000000000003</v>
      </c>
      <c r="P1283" t="s">
        <v>106</v>
      </c>
      <c r="Q1283" t="s">
        <v>106</v>
      </c>
      <c r="R1283" t="s">
        <v>106</v>
      </c>
      <c r="S1283" t="s">
        <v>106</v>
      </c>
      <c r="T1283" t="s">
        <v>525</v>
      </c>
      <c r="U1283" t="s">
        <v>2033</v>
      </c>
      <c r="V1283" t="s">
        <v>106</v>
      </c>
      <c r="W1283" t="s">
        <v>443</v>
      </c>
      <c r="X1283" t="s">
        <v>106</v>
      </c>
      <c r="Y1283" t="s">
        <v>108</v>
      </c>
      <c r="Z1283" t="s">
        <v>108</v>
      </c>
      <c r="AA1283" t="s">
        <v>2016</v>
      </c>
      <c r="AB1283" t="s">
        <v>106</v>
      </c>
    </row>
    <row r="1284" spans="1:28" x14ac:dyDescent="0.3">
      <c r="A1284" t="s">
        <v>1452</v>
      </c>
      <c r="B1284">
        <v>3</v>
      </c>
      <c r="C1284">
        <v>35</v>
      </c>
      <c r="D1284">
        <v>156</v>
      </c>
      <c r="E1284" t="s">
        <v>128</v>
      </c>
      <c r="F1284" s="12">
        <v>45547</v>
      </c>
      <c r="G1284" t="s">
        <v>475</v>
      </c>
      <c r="H1284" s="12">
        <v>45547</v>
      </c>
      <c r="I1284" t="s">
        <v>512</v>
      </c>
      <c r="J1284" t="s">
        <v>471</v>
      </c>
      <c r="K1284">
        <v>2</v>
      </c>
      <c r="L1284">
        <v>34.200000000000003</v>
      </c>
      <c r="P1284" t="s">
        <v>106</v>
      </c>
      <c r="Q1284" t="s">
        <v>106</v>
      </c>
      <c r="R1284" t="s">
        <v>106</v>
      </c>
      <c r="S1284" t="s">
        <v>106</v>
      </c>
      <c r="T1284" t="s">
        <v>971</v>
      </c>
      <c r="U1284" t="s">
        <v>2029</v>
      </c>
      <c r="V1284" t="s">
        <v>106</v>
      </c>
      <c r="W1284" t="s">
        <v>443</v>
      </c>
      <c r="X1284" t="s">
        <v>106</v>
      </c>
      <c r="Y1284" t="s">
        <v>108</v>
      </c>
      <c r="Z1284" t="s">
        <v>104</v>
      </c>
      <c r="AA1284" t="s">
        <v>2041</v>
      </c>
      <c r="AB1284" t="s">
        <v>106</v>
      </c>
    </row>
    <row r="1285" spans="1:28" x14ac:dyDescent="0.3">
      <c r="A1285" t="s">
        <v>1452</v>
      </c>
      <c r="B1285">
        <v>3</v>
      </c>
      <c r="C1285">
        <v>35</v>
      </c>
      <c r="D1285">
        <v>161</v>
      </c>
      <c r="E1285" t="s">
        <v>128</v>
      </c>
      <c r="F1285" s="12">
        <v>45547</v>
      </c>
      <c r="G1285" t="s">
        <v>2165</v>
      </c>
      <c r="H1285" s="12">
        <v>45547</v>
      </c>
      <c r="I1285" t="s">
        <v>2038</v>
      </c>
      <c r="J1285" t="s">
        <v>471</v>
      </c>
      <c r="K1285">
        <v>2</v>
      </c>
      <c r="L1285">
        <v>32.799999999999997</v>
      </c>
      <c r="P1285" t="s">
        <v>106</v>
      </c>
      <c r="Q1285" t="s">
        <v>106</v>
      </c>
      <c r="R1285" t="s">
        <v>106</v>
      </c>
      <c r="S1285" t="s">
        <v>106</v>
      </c>
      <c r="T1285" t="s">
        <v>1459</v>
      </c>
      <c r="U1285" t="s">
        <v>2489</v>
      </c>
      <c r="V1285" t="s">
        <v>106</v>
      </c>
      <c r="W1285" t="s">
        <v>2471</v>
      </c>
      <c r="X1285" t="s">
        <v>106</v>
      </c>
      <c r="Y1285" t="s">
        <v>108</v>
      </c>
      <c r="Z1285" t="s">
        <v>108</v>
      </c>
      <c r="AA1285" t="s">
        <v>106</v>
      </c>
      <c r="AB1285" t="s">
        <v>106</v>
      </c>
    </row>
    <row r="1286" spans="1:28" x14ac:dyDescent="0.3">
      <c r="A1286" t="s">
        <v>1452</v>
      </c>
      <c r="B1286">
        <v>3</v>
      </c>
      <c r="C1286">
        <v>35</v>
      </c>
      <c r="D1286">
        <v>114</v>
      </c>
      <c r="E1286" t="s">
        <v>128</v>
      </c>
      <c r="F1286" s="12">
        <v>45547</v>
      </c>
      <c r="G1286" t="s">
        <v>2340</v>
      </c>
      <c r="H1286" s="12">
        <v>45547</v>
      </c>
      <c r="I1286" t="s">
        <v>2052</v>
      </c>
      <c r="J1286" t="s">
        <v>458</v>
      </c>
      <c r="K1286">
        <v>2</v>
      </c>
      <c r="L1286">
        <v>40.200000000000003</v>
      </c>
      <c r="P1286" t="s">
        <v>106</v>
      </c>
      <c r="Q1286" t="s">
        <v>106</v>
      </c>
      <c r="R1286" t="s">
        <v>106</v>
      </c>
      <c r="S1286" t="s">
        <v>106</v>
      </c>
      <c r="T1286" t="s">
        <v>525</v>
      </c>
      <c r="U1286" t="s">
        <v>2057</v>
      </c>
      <c r="V1286" t="s">
        <v>106</v>
      </c>
      <c r="W1286" t="s">
        <v>443</v>
      </c>
      <c r="X1286" t="s">
        <v>106</v>
      </c>
      <c r="Y1286" t="s">
        <v>108</v>
      </c>
      <c r="Z1286" t="s">
        <v>108</v>
      </c>
      <c r="AA1286" t="s">
        <v>2016</v>
      </c>
      <c r="AB1286" t="s">
        <v>106</v>
      </c>
    </row>
    <row r="1287" spans="1:28" x14ac:dyDescent="0.3">
      <c r="A1287" t="s">
        <v>1452</v>
      </c>
      <c r="B1287">
        <v>3</v>
      </c>
      <c r="C1287">
        <v>35</v>
      </c>
      <c r="D1287">
        <v>152</v>
      </c>
      <c r="E1287" t="s">
        <v>128</v>
      </c>
      <c r="F1287" s="12">
        <v>45547</v>
      </c>
      <c r="G1287" t="s">
        <v>134</v>
      </c>
      <c r="H1287" s="12">
        <v>45547</v>
      </c>
      <c r="I1287" t="s">
        <v>1525</v>
      </c>
      <c r="J1287" t="s">
        <v>471</v>
      </c>
      <c r="K1287">
        <v>2</v>
      </c>
      <c r="L1287">
        <v>33.6</v>
      </c>
      <c r="P1287" t="s">
        <v>106</v>
      </c>
      <c r="Q1287" t="s">
        <v>106</v>
      </c>
      <c r="R1287" t="s">
        <v>106</v>
      </c>
      <c r="S1287" t="s">
        <v>106</v>
      </c>
      <c r="T1287" t="s">
        <v>2063</v>
      </c>
      <c r="U1287" t="s">
        <v>2029</v>
      </c>
      <c r="V1287" t="s">
        <v>106</v>
      </c>
      <c r="W1287" t="s">
        <v>443</v>
      </c>
      <c r="X1287" t="s">
        <v>106</v>
      </c>
      <c r="Y1287" t="s">
        <v>108</v>
      </c>
      <c r="Z1287" t="s">
        <v>104</v>
      </c>
      <c r="AA1287" t="s">
        <v>2041</v>
      </c>
      <c r="AB1287" t="s">
        <v>106</v>
      </c>
    </row>
    <row r="1288" spans="1:28" x14ac:dyDescent="0.3">
      <c r="A1288" t="s">
        <v>1452</v>
      </c>
      <c r="B1288">
        <v>4</v>
      </c>
      <c r="C1288">
        <v>60</v>
      </c>
      <c r="D1288">
        <v>178</v>
      </c>
      <c r="E1288" t="s">
        <v>128</v>
      </c>
      <c r="F1288" s="12">
        <v>45547</v>
      </c>
      <c r="G1288" t="s">
        <v>1861</v>
      </c>
      <c r="H1288" s="12">
        <v>45547</v>
      </c>
      <c r="I1288" t="s">
        <v>2047</v>
      </c>
      <c r="J1288" t="s">
        <v>471</v>
      </c>
      <c r="K1288">
        <v>2</v>
      </c>
      <c r="L1288">
        <v>58.2</v>
      </c>
      <c r="P1288" t="s">
        <v>106</v>
      </c>
      <c r="Q1288" t="s">
        <v>106</v>
      </c>
      <c r="R1288" t="s">
        <v>106</v>
      </c>
      <c r="S1288" t="s">
        <v>106</v>
      </c>
      <c r="T1288" t="s">
        <v>1242</v>
      </c>
      <c r="U1288" t="s">
        <v>1978</v>
      </c>
      <c r="V1288" t="s">
        <v>106</v>
      </c>
      <c r="W1288" t="s">
        <v>2015</v>
      </c>
      <c r="X1288" t="s">
        <v>106</v>
      </c>
      <c r="Y1288" t="s">
        <v>108</v>
      </c>
      <c r="Z1288" t="s">
        <v>104</v>
      </c>
      <c r="AA1288" t="s">
        <v>106</v>
      </c>
      <c r="AB1288" t="s">
        <v>106</v>
      </c>
    </row>
    <row r="1289" spans="1:28" x14ac:dyDescent="0.3">
      <c r="A1289" t="s">
        <v>1452</v>
      </c>
      <c r="B1289">
        <v>4</v>
      </c>
      <c r="C1289">
        <v>60</v>
      </c>
      <c r="D1289">
        <v>165</v>
      </c>
      <c r="E1289" t="s">
        <v>128</v>
      </c>
      <c r="F1289" s="12">
        <v>45547</v>
      </c>
      <c r="G1289" t="s">
        <v>1594</v>
      </c>
      <c r="H1289" s="12">
        <v>45547</v>
      </c>
      <c r="I1289" t="s">
        <v>2038</v>
      </c>
      <c r="J1289" t="s">
        <v>471</v>
      </c>
      <c r="K1289">
        <v>2</v>
      </c>
      <c r="L1289">
        <v>56.5</v>
      </c>
      <c r="P1289" t="s">
        <v>106</v>
      </c>
      <c r="Q1289" t="s">
        <v>106</v>
      </c>
      <c r="R1289" t="s">
        <v>106</v>
      </c>
      <c r="S1289" t="s">
        <v>106</v>
      </c>
      <c r="T1289" t="s">
        <v>1409</v>
      </c>
      <c r="U1289" t="s">
        <v>2029</v>
      </c>
      <c r="V1289" t="s">
        <v>106</v>
      </c>
      <c r="W1289" t="s">
        <v>2015</v>
      </c>
      <c r="X1289" t="s">
        <v>106</v>
      </c>
      <c r="Y1289" t="s">
        <v>108</v>
      </c>
      <c r="Z1289" t="s">
        <v>104</v>
      </c>
      <c r="AA1289" t="s">
        <v>106</v>
      </c>
      <c r="AB1289" t="s">
        <v>106</v>
      </c>
    </row>
    <row r="1290" spans="1:28" x14ac:dyDescent="0.3">
      <c r="A1290" t="s">
        <v>1452</v>
      </c>
      <c r="B1290">
        <v>4</v>
      </c>
      <c r="C1290">
        <v>60</v>
      </c>
      <c r="D1290">
        <v>158</v>
      </c>
      <c r="E1290" t="s">
        <v>128</v>
      </c>
      <c r="F1290" s="12">
        <v>45547</v>
      </c>
      <c r="G1290" t="s">
        <v>475</v>
      </c>
      <c r="H1290" s="12">
        <v>45547</v>
      </c>
      <c r="I1290" t="s">
        <v>512</v>
      </c>
      <c r="J1290" t="s">
        <v>471</v>
      </c>
      <c r="K1290">
        <v>2</v>
      </c>
      <c r="L1290">
        <v>58.2</v>
      </c>
      <c r="P1290" t="s">
        <v>106</v>
      </c>
      <c r="Q1290" t="s">
        <v>106</v>
      </c>
      <c r="R1290" t="s">
        <v>106</v>
      </c>
      <c r="S1290" t="s">
        <v>106</v>
      </c>
      <c r="T1290" t="s">
        <v>1625</v>
      </c>
      <c r="U1290" t="s">
        <v>2014</v>
      </c>
      <c r="V1290" t="s">
        <v>106</v>
      </c>
      <c r="W1290" t="s">
        <v>443</v>
      </c>
      <c r="X1290" t="s">
        <v>106</v>
      </c>
      <c r="Y1290" t="s">
        <v>108</v>
      </c>
      <c r="Z1290" t="s">
        <v>104</v>
      </c>
      <c r="AA1290" t="s">
        <v>2041</v>
      </c>
      <c r="AB1290" t="s">
        <v>106</v>
      </c>
    </row>
    <row r="1291" spans="1:28" x14ac:dyDescent="0.3">
      <c r="A1291" t="s">
        <v>1452</v>
      </c>
      <c r="B1291">
        <v>4</v>
      </c>
      <c r="C1291">
        <v>60</v>
      </c>
      <c r="D1291">
        <v>150</v>
      </c>
      <c r="E1291" t="s">
        <v>128</v>
      </c>
      <c r="F1291" s="12">
        <v>45547</v>
      </c>
      <c r="G1291" t="s">
        <v>134</v>
      </c>
      <c r="H1291" s="12">
        <v>45547</v>
      </c>
      <c r="I1291" t="s">
        <v>1525</v>
      </c>
      <c r="J1291" t="s">
        <v>471</v>
      </c>
      <c r="K1291">
        <v>2</v>
      </c>
      <c r="L1291">
        <v>56.1</v>
      </c>
      <c r="P1291" t="s">
        <v>106</v>
      </c>
      <c r="Q1291" t="s">
        <v>106</v>
      </c>
      <c r="R1291" t="s">
        <v>106</v>
      </c>
      <c r="S1291" t="s">
        <v>106</v>
      </c>
      <c r="T1291" t="s">
        <v>989</v>
      </c>
      <c r="U1291" t="s">
        <v>2019</v>
      </c>
      <c r="V1291" t="s">
        <v>106</v>
      </c>
      <c r="W1291" t="s">
        <v>443</v>
      </c>
      <c r="X1291" t="s">
        <v>106</v>
      </c>
      <c r="Y1291" t="s">
        <v>108</v>
      </c>
      <c r="Z1291" t="s">
        <v>104</v>
      </c>
      <c r="AA1291" t="s">
        <v>2041</v>
      </c>
      <c r="AB1291" t="s">
        <v>106</v>
      </c>
    </row>
    <row r="1292" spans="1:28" x14ac:dyDescent="0.3">
      <c r="A1292" t="s">
        <v>1452</v>
      </c>
      <c r="B1292">
        <v>4</v>
      </c>
      <c r="C1292">
        <v>60</v>
      </c>
      <c r="D1292">
        <v>149</v>
      </c>
      <c r="E1292" t="s">
        <v>128</v>
      </c>
      <c r="F1292" s="12">
        <v>45547</v>
      </c>
      <c r="G1292" t="s">
        <v>338</v>
      </c>
      <c r="H1292" s="12">
        <v>45547</v>
      </c>
      <c r="I1292" t="s">
        <v>1525</v>
      </c>
      <c r="J1292" t="s">
        <v>471</v>
      </c>
      <c r="K1292">
        <v>2</v>
      </c>
      <c r="L1292">
        <v>57.7</v>
      </c>
      <c r="P1292" t="s">
        <v>106</v>
      </c>
      <c r="Q1292" t="s">
        <v>106</v>
      </c>
      <c r="R1292" t="s">
        <v>106</v>
      </c>
      <c r="S1292" t="s">
        <v>106</v>
      </c>
      <c r="T1292" t="s">
        <v>860</v>
      </c>
      <c r="U1292" t="s">
        <v>2014</v>
      </c>
      <c r="V1292" t="s">
        <v>106</v>
      </c>
      <c r="W1292" t="s">
        <v>443</v>
      </c>
      <c r="X1292" t="s">
        <v>106</v>
      </c>
      <c r="Y1292" t="s">
        <v>108</v>
      </c>
      <c r="Z1292" t="s">
        <v>104</v>
      </c>
      <c r="AA1292" t="s">
        <v>2041</v>
      </c>
      <c r="AB1292" t="s">
        <v>106</v>
      </c>
    </row>
    <row r="1293" spans="1:28" x14ac:dyDescent="0.3">
      <c r="A1293" t="s">
        <v>1452</v>
      </c>
      <c r="B1293">
        <v>4</v>
      </c>
      <c r="C1293">
        <v>60</v>
      </c>
      <c r="D1293">
        <v>148</v>
      </c>
      <c r="E1293" t="s">
        <v>128</v>
      </c>
      <c r="F1293" s="12">
        <v>45547</v>
      </c>
      <c r="G1293" t="s">
        <v>542</v>
      </c>
      <c r="H1293" s="12">
        <v>45547</v>
      </c>
      <c r="I1293" t="s">
        <v>1970</v>
      </c>
      <c r="J1293" t="s">
        <v>458</v>
      </c>
      <c r="K1293">
        <v>2</v>
      </c>
      <c r="L1293">
        <v>58.1</v>
      </c>
      <c r="P1293" t="s">
        <v>106</v>
      </c>
      <c r="Q1293" t="s">
        <v>106</v>
      </c>
      <c r="R1293" t="s">
        <v>106</v>
      </c>
      <c r="S1293" t="s">
        <v>106</v>
      </c>
      <c r="T1293" t="s">
        <v>775</v>
      </c>
      <c r="U1293" t="s">
        <v>106</v>
      </c>
      <c r="V1293" t="s">
        <v>106</v>
      </c>
      <c r="W1293" t="s">
        <v>443</v>
      </c>
      <c r="X1293" t="s">
        <v>106</v>
      </c>
      <c r="Y1293" t="s">
        <v>108</v>
      </c>
      <c r="Z1293" t="s">
        <v>104</v>
      </c>
      <c r="AA1293" t="s">
        <v>2041</v>
      </c>
      <c r="AB1293" t="s">
        <v>106</v>
      </c>
    </row>
    <row r="1294" spans="1:28" x14ac:dyDescent="0.3">
      <c r="A1294" t="s">
        <v>1452</v>
      </c>
      <c r="B1294">
        <v>4</v>
      </c>
      <c r="C1294">
        <v>60</v>
      </c>
      <c r="D1294">
        <v>147</v>
      </c>
      <c r="E1294" t="s">
        <v>128</v>
      </c>
      <c r="F1294" s="12">
        <v>45547</v>
      </c>
      <c r="G1294" t="s">
        <v>364</v>
      </c>
      <c r="H1294" s="12">
        <v>45547</v>
      </c>
      <c r="I1294" t="s">
        <v>1970</v>
      </c>
      <c r="J1294" t="s">
        <v>458</v>
      </c>
      <c r="K1294">
        <v>2</v>
      </c>
      <c r="L1294">
        <v>58.9</v>
      </c>
      <c r="P1294" t="s">
        <v>106</v>
      </c>
      <c r="Q1294" t="s">
        <v>106</v>
      </c>
      <c r="R1294" t="s">
        <v>106</v>
      </c>
      <c r="S1294" t="s">
        <v>106</v>
      </c>
      <c r="T1294" t="s">
        <v>981</v>
      </c>
      <c r="U1294" t="s">
        <v>106</v>
      </c>
      <c r="V1294" t="s">
        <v>106</v>
      </c>
      <c r="W1294" t="s">
        <v>443</v>
      </c>
      <c r="X1294" t="s">
        <v>106</v>
      </c>
      <c r="Y1294" t="s">
        <v>108</v>
      </c>
      <c r="Z1294" t="s">
        <v>104</v>
      </c>
      <c r="AA1294" t="s">
        <v>2041</v>
      </c>
      <c r="AB1294" t="s">
        <v>106</v>
      </c>
    </row>
    <row r="1295" spans="1:28" x14ac:dyDescent="0.3">
      <c r="A1295" t="s">
        <v>1452</v>
      </c>
      <c r="B1295">
        <v>4</v>
      </c>
      <c r="C1295">
        <v>60</v>
      </c>
      <c r="D1295">
        <v>142</v>
      </c>
      <c r="E1295" t="s">
        <v>128</v>
      </c>
      <c r="F1295" s="12">
        <v>45547</v>
      </c>
      <c r="G1295" t="s">
        <v>2470</v>
      </c>
      <c r="H1295" s="12">
        <v>45547</v>
      </c>
      <c r="I1295" t="s">
        <v>398</v>
      </c>
      <c r="J1295" t="s">
        <v>458</v>
      </c>
      <c r="K1295">
        <v>2</v>
      </c>
      <c r="L1295">
        <v>57.5</v>
      </c>
      <c r="P1295" t="s">
        <v>106</v>
      </c>
      <c r="Q1295" t="s">
        <v>106</v>
      </c>
      <c r="R1295" t="s">
        <v>106</v>
      </c>
      <c r="S1295" t="s">
        <v>106</v>
      </c>
      <c r="T1295" t="s">
        <v>961</v>
      </c>
      <c r="U1295" t="s">
        <v>2043</v>
      </c>
      <c r="V1295" t="s">
        <v>106</v>
      </c>
      <c r="W1295" t="s">
        <v>443</v>
      </c>
      <c r="X1295" t="s">
        <v>106</v>
      </c>
      <c r="Y1295" t="s">
        <v>108</v>
      </c>
      <c r="Z1295" t="s">
        <v>108</v>
      </c>
      <c r="AA1295" t="s">
        <v>106</v>
      </c>
      <c r="AB1295" t="s">
        <v>106</v>
      </c>
    </row>
    <row r="1296" spans="1:28" x14ac:dyDescent="0.3">
      <c r="A1296" t="s">
        <v>1452</v>
      </c>
      <c r="B1296">
        <v>4</v>
      </c>
      <c r="C1296">
        <v>60</v>
      </c>
      <c r="D1296">
        <v>166</v>
      </c>
      <c r="E1296" t="s">
        <v>128</v>
      </c>
      <c r="F1296" s="12">
        <v>45547</v>
      </c>
      <c r="G1296" t="s">
        <v>1632</v>
      </c>
      <c r="H1296" s="12">
        <v>45547</v>
      </c>
      <c r="I1296" t="s">
        <v>2038</v>
      </c>
      <c r="J1296" t="s">
        <v>471</v>
      </c>
      <c r="K1296">
        <v>2</v>
      </c>
      <c r="L1296">
        <v>57.5</v>
      </c>
      <c r="P1296" t="s">
        <v>106</v>
      </c>
      <c r="Q1296" t="s">
        <v>106</v>
      </c>
      <c r="R1296" t="s">
        <v>106</v>
      </c>
      <c r="S1296" t="s">
        <v>106</v>
      </c>
      <c r="T1296" t="s">
        <v>1822</v>
      </c>
      <c r="U1296" t="s">
        <v>2715</v>
      </c>
      <c r="V1296" t="s">
        <v>106</v>
      </c>
      <c r="W1296" t="s">
        <v>2015</v>
      </c>
      <c r="X1296" t="s">
        <v>106</v>
      </c>
      <c r="Y1296" t="s">
        <v>108</v>
      </c>
      <c r="Z1296" t="s">
        <v>104</v>
      </c>
      <c r="AA1296" t="s">
        <v>106</v>
      </c>
      <c r="AB1296" t="s">
        <v>106</v>
      </c>
    </row>
    <row r="1297" spans="1:28" x14ac:dyDescent="0.3">
      <c r="A1297" t="s">
        <v>1452</v>
      </c>
      <c r="B1297">
        <v>4</v>
      </c>
      <c r="C1297">
        <v>60</v>
      </c>
      <c r="D1297">
        <v>141</v>
      </c>
      <c r="E1297" t="s">
        <v>128</v>
      </c>
      <c r="F1297" s="12">
        <v>45547</v>
      </c>
      <c r="G1297" t="s">
        <v>2470</v>
      </c>
      <c r="H1297" s="12">
        <v>45547</v>
      </c>
      <c r="I1297" t="s">
        <v>398</v>
      </c>
      <c r="J1297" t="s">
        <v>458</v>
      </c>
      <c r="K1297">
        <v>2</v>
      </c>
      <c r="L1297">
        <v>55.3</v>
      </c>
      <c r="P1297" t="s">
        <v>106</v>
      </c>
      <c r="Q1297" t="s">
        <v>106</v>
      </c>
      <c r="R1297" t="s">
        <v>106</v>
      </c>
      <c r="S1297" t="s">
        <v>106</v>
      </c>
      <c r="T1297" t="s">
        <v>1899</v>
      </c>
      <c r="U1297" t="s">
        <v>2019</v>
      </c>
      <c r="V1297" t="s">
        <v>106</v>
      </c>
      <c r="W1297" t="s">
        <v>443</v>
      </c>
      <c r="X1297" t="s">
        <v>106</v>
      </c>
      <c r="Y1297" t="s">
        <v>108</v>
      </c>
      <c r="Z1297" t="s">
        <v>108</v>
      </c>
      <c r="AA1297" t="s">
        <v>106</v>
      </c>
      <c r="AB1297" t="s">
        <v>106</v>
      </c>
    </row>
    <row r="1298" spans="1:28" x14ac:dyDescent="0.3">
      <c r="A1298" t="s">
        <v>1452</v>
      </c>
      <c r="B1298">
        <v>4</v>
      </c>
      <c r="C1298">
        <v>60</v>
      </c>
      <c r="D1298">
        <v>132</v>
      </c>
      <c r="E1298" t="s">
        <v>128</v>
      </c>
      <c r="F1298" s="12">
        <v>45547</v>
      </c>
      <c r="G1298" t="s">
        <v>314</v>
      </c>
      <c r="H1298" s="12">
        <v>45547</v>
      </c>
      <c r="I1298" t="s">
        <v>412</v>
      </c>
      <c r="J1298" t="s">
        <v>459</v>
      </c>
      <c r="K1298">
        <v>2</v>
      </c>
      <c r="L1298">
        <v>54.8</v>
      </c>
      <c r="P1298" t="s">
        <v>106</v>
      </c>
      <c r="Q1298" t="s">
        <v>106</v>
      </c>
      <c r="R1298" t="s">
        <v>106</v>
      </c>
      <c r="S1298" t="s">
        <v>106</v>
      </c>
      <c r="T1298" t="s">
        <v>859</v>
      </c>
      <c r="U1298" t="s">
        <v>1981</v>
      </c>
      <c r="V1298" t="s">
        <v>106</v>
      </c>
      <c r="W1298" t="s">
        <v>443</v>
      </c>
      <c r="X1298" t="s">
        <v>106</v>
      </c>
      <c r="Y1298" t="s">
        <v>108</v>
      </c>
      <c r="Z1298" t="s">
        <v>108</v>
      </c>
      <c r="AA1298" t="s">
        <v>2041</v>
      </c>
      <c r="AB1298" t="s">
        <v>106</v>
      </c>
    </row>
    <row r="1299" spans="1:28" x14ac:dyDescent="0.3">
      <c r="A1299" t="s">
        <v>1452</v>
      </c>
      <c r="B1299">
        <v>4</v>
      </c>
      <c r="C1299">
        <v>60</v>
      </c>
      <c r="D1299">
        <v>131</v>
      </c>
      <c r="E1299" t="s">
        <v>128</v>
      </c>
      <c r="F1299" s="12">
        <v>45547</v>
      </c>
      <c r="G1299" t="s">
        <v>314</v>
      </c>
      <c r="H1299" s="12">
        <v>45547</v>
      </c>
      <c r="I1299" t="s">
        <v>412</v>
      </c>
      <c r="J1299" t="s">
        <v>459</v>
      </c>
      <c r="K1299">
        <v>2</v>
      </c>
      <c r="L1299">
        <v>56.8</v>
      </c>
      <c r="P1299" t="s">
        <v>106</v>
      </c>
      <c r="Q1299" t="s">
        <v>106</v>
      </c>
      <c r="R1299" t="s">
        <v>106</v>
      </c>
      <c r="S1299" t="s">
        <v>106</v>
      </c>
      <c r="T1299" t="s">
        <v>1060</v>
      </c>
      <c r="U1299" t="s">
        <v>2039</v>
      </c>
      <c r="V1299" t="s">
        <v>106</v>
      </c>
      <c r="W1299" t="s">
        <v>443</v>
      </c>
      <c r="X1299" t="s">
        <v>106</v>
      </c>
      <c r="Y1299" t="s">
        <v>108</v>
      </c>
      <c r="Z1299" t="s">
        <v>108</v>
      </c>
      <c r="AA1299" t="s">
        <v>2041</v>
      </c>
      <c r="AB1299" t="s">
        <v>106</v>
      </c>
    </row>
    <row r="1300" spans="1:28" x14ac:dyDescent="0.3">
      <c r="A1300" t="s">
        <v>1452</v>
      </c>
      <c r="B1300">
        <v>4</v>
      </c>
      <c r="C1300">
        <v>60</v>
      </c>
      <c r="D1300">
        <v>124</v>
      </c>
      <c r="E1300" t="s">
        <v>128</v>
      </c>
      <c r="F1300" s="12">
        <v>45547</v>
      </c>
      <c r="G1300" t="s">
        <v>746</v>
      </c>
      <c r="H1300" s="12">
        <v>45547</v>
      </c>
      <c r="I1300" t="s">
        <v>470</v>
      </c>
      <c r="J1300" t="s">
        <v>459</v>
      </c>
      <c r="K1300">
        <v>2</v>
      </c>
      <c r="L1300">
        <v>58.9</v>
      </c>
      <c r="P1300" t="s">
        <v>106</v>
      </c>
      <c r="Q1300" t="s">
        <v>106</v>
      </c>
      <c r="R1300" t="s">
        <v>106</v>
      </c>
      <c r="S1300" t="s">
        <v>106</v>
      </c>
      <c r="T1300" t="s">
        <v>1659</v>
      </c>
      <c r="U1300" t="s">
        <v>2014</v>
      </c>
      <c r="V1300" t="s">
        <v>106</v>
      </c>
      <c r="W1300" t="s">
        <v>443</v>
      </c>
      <c r="X1300" t="s">
        <v>106</v>
      </c>
      <c r="Y1300" t="s">
        <v>108</v>
      </c>
      <c r="Z1300" t="s">
        <v>104</v>
      </c>
      <c r="AA1300" t="s">
        <v>2016</v>
      </c>
      <c r="AB1300" t="s">
        <v>106</v>
      </c>
    </row>
    <row r="1301" spans="1:28" x14ac:dyDescent="0.3">
      <c r="A1301" t="s">
        <v>1452</v>
      </c>
      <c r="B1301">
        <v>4</v>
      </c>
      <c r="C1301">
        <v>60</v>
      </c>
      <c r="D1301">
        <v>123</v>
      </c>
      <c r="E1301" t="s">
        <v>128</v>
      </c>
      <c r="F1301" s="12">
        <v>45547</v>
      </c>
      <c r="G1301" t="s">
        <v>751</v>
      </c>
      <c r="H1301" s="12">
        <v>45547</v>
      </c>
      <c r="I1301" t="s">
        <v>470</v>
      </c>
      <c r="J1301" t="s">
        <v>459</v>
      </c>
      <c r="K1301">
        <v>2</v>
      </c>
      <c r="L1301">
        <v>57.3</v>
      </c>
      <c r="P1301" t="s">
        <v>106</v>
      </c>
      <c r="Q1301" t="s">
        <v>106</v>
      </c>
      <c r="R1301" t="s">
        <v>106</v>
      </c>
      <c r="S1301" t="s">
        <v>106</v>
      </c>
      <c r="T1301" t="s">
        <v>1060</v>
      </c>
      <c r="U1301" t="s">
        <v>2032</v>
      </c>
      <c r="V1301" t="s">
        <v>106</v>
      </c>
      <c r="W1301" t="s">
        <v>443</v>
      </c>
      <c r="X1301" t="s">
        <v>106</v>
      </c>
      <c r="Y1301" t="s">
        <v>108</v>
      </c>
      <c r="Z1301" t="s">
        <v>104</v>
      </c>
      <c r="AA1301" t="s">
        <v>2016</v>
      </c>
      <c r="AB1301" t="s">
        <v>106</v>
      </c>
    </row>
    <row r="1302" spans="1:28" x14ac:dyDescent="0.3">
      <c r="A1302" t="s">
        <v>1452</v>
      </c>
      <c r="B1302">
        <v>4</v>
      </c>
      <c r="C1302">
        <v>60</v>
      </c>
      <c r="D1302">
        <v>116</v>
      </c>
      <c r="E1302" t="s">
        <v>128</v>
      </c>
      <c r="F1302" s="12">
        <v>45547</v>
      </c>
      <c r="G1302" t="s">
        <v>2485</v>
      </c>
      <c r="H1302" s="12">
        <v>45547</v>
      </c>
      <c r="I1302" t="s">
        <v>2052</v>
      </c>
      <c r="J1302" t="s">
        <v>458</v>
      </c>
      <c r="K1302">
        <v>2</v>
      </c>
      <c r="L1302">
        <v>61.3</v>
      </c>
      <c r="P1302" t="s">
        <v>106</v>
      </c>
      <c r="Q1302" t="s">
        <v>106</v>
      </c>
      <c r="R1302" t="s">
        <v>106</v>
      </c>
      <c r="S1302" t="s">
        <v>106</v>
      </c>
      <c r="T1302" t="s">
        <v>1585</v>
      </c>
      <c r="U1302" t="s">
        <v>2498</v>
      </c>
      <c r="V1302" t="s">
        <v>106</v>
      </c>
      <c r="W1302" t="s">
        <v>443</v>
      </c>
      <c r="X1302" t="s">
        <v>106</v>
      </c>
      <c r="Y1302" t="s">
        <v>108</v>
      </c>
      <c r="Z1302" t="s">
        <v>108</v>
      </c>
      <c r="AA1302" t="s">
        <v>2016</v>
      </c>
      <c r="AB1302" t="s">
        <v>106</v>
      </c>
    </row>
    <row r="1303" spans="1:28" x14ac:dyDescent="0.3">
      <c r="A1303" t="s">
        <v>1452</v>
      </c>
      <c r="B1303">
        <v>4</v>
      </c>
      <c r="C1303">
        <v>60</v>
      </c>
      <c r="D1303">
        <v>115</v>
      </c>
      <c r="E1303" t="s">
        <v>128</v>
      </c>
      <c r="F1303" s="12">
        <v>45547</v>
      </c>
      <c r="G1303" t="s">
        <v>2485</v>
      </c>
      <c r="H1303" s="12">
        <v>45547</v>
      </c>
      <c r="I1303" t="s">
        <v>2052</v>
      </c>
      <c r="J1303" t="s">
        <v>458</v>
      </c>
      <c r="K1303">
        <v>2</v>
      </c>
      <c r="L1303">
        <v>56.1</v>
      </c>
      <c r="P1303" t="s">
        <v>106</v>
      </c>
      <c r="Q1303" t="s">
        <v>106</v>
      </c>
      <c r="R1303" t="s">
        <v>106</v>
      </c>
      <c r="S1303" t="s">
        <v>106</v>
      </c>
      <c r="T1303" t="s">
        <v>1606</v>
      </c>
      <c r="U1303" t="s">
        <v>1716</v>
      </c>
      <c r="V1303" t="s">
        <v>106</v>
      </c>
      <c r="W1303" t="s">
        <v>443</v>
      </c>
      <c r="X1303" t="s">
        <v>106</v>
      </c>
      <c r="Y1303" t="s">
        <v>108</v>
      </c>
      <c r="Z1303" t="s">
        <v>108</v>
      </c>
      <c r="AA1303" t="s">
        <v>2016</v>
      </c>
      <c r="AB1303" t="s">
        <v>106</v>
      </c>
    </row>
    <row r="1304" spans="1:28" x14ac:dyDescent="0.3">
      <c r="A1304" t="s">
        <v>1452</v>
      </c>
      <c r="B1304">
        <v>4</v>
      </c>
      <c r="C1304">
        <v>60</v>
      </c>
      <c r="D1304">
        <v>133</v>
      </c>
      <c r="E1304" t="s">
        <v>308</v>
      </c>
      <c r="F1304" s="12">
        <v>45547</v>
      </c>
      <c r="G1304" t="s">
        <v>316</v>
      </c>
      <c r="H1304" s="12">
        <v>45547</v>
      </c>
      <c r="I1304" t="s">
        <v>412</v>
      </c>
      <c r="J1304" t="s">
        <v>459</v>
      </c>
      <c r="K1304">
        <v>2</v>
      </c>
      <c r="L1304">
        <v>55.5</v>
      </c>
      <c r="P1304" t="s">
        <v>106</v>
      </c>
      <c r="Q1304" t="s">
        <v>106</v>
      </c>
      <c r="R1304" t="s">
        <v>106</v>
      </c>
      <c r="S1304" t="s">
        <v>106</v>
      </c>
      <c r="T1304" t="s">
        <v>1084</v>
      </c>
      <c r="U1304" t="s">
        <v>106</v>
      </c>
      <c r="V1304" t="s">
        <v>106</v>
      </c>
      <c r="W1304" t="s">
        <v>443</v>
      </c>
      <c r="X1304" t="s">
        <v>106</v>
      </c>
      <c r="Y1304" t="s">
        <v>108</v>
      </c>
      <c r="Z1304" t="s">
        <v>108</v>
      </c>
      <c r="AA1304" t="s">
        <v>2041</v>
      </c>
      <c r="AB1304" t="s">
        <v>106</v>
      </c>
    </row>
    <row r="1305" spans="1:28" x14ac:dyDescent="0.3">
      <c r="A1305" t="s">
        <v>1452</v>
      </c>
      <c r="B1305">
        <v>4</v>
      </c>
      <c r="C1305">
        <v>60</v>
      </c>
      <c r="D1305">
        <v>171</v>
      </c>
      <c r="E1305" t="s">
        <v>128</v>
      </c>
      <c r="F1305" s="12">
        <v>45547</v>
      </c>
      <c r="G1305" t="s">
        <v>2154</v>
      </c>
      <c r="H1305" s="12">
        <v>45547</v>
      </c>
      <c r="I1305" t="s">
        <v>2042</v>
      </c>
      <c r="J1305" t="s">
        <v>471</v>
      </c>
      <c r="K1305">
        <v>2</v>
      </c>
      <c r="L1305">
        <v>54.1</v>
      </c>
      <c r="P1305" t="s">
        <v>106</v>
      </c>
      <c r="Q1305" t="s">
        <v>106</v>
      </c>
      <c r="R1305" t="s">
        <v>106</v>
      </c>
      <c r="S1305" t="s">
        <v>106</v>
      </c>
      <c r="T1305" t="s">
        <v>1049</v>
      </c>
      <c r="U1305" t="s">
        <v>2057</v>
      </c>
      <c r="V1305" t="s">
        <v>106</v>
      </c>
      <c r="W1305" t="s">
        <v>2015</v>
      </c>
      <c r="X1305" t="s">
        <v>106</v>
      </c>
      <c r="Y1305" t="s">
        <v>108</v>
      </c>
      <c r="Z1305" t="s">
        <v>104</v>
      </c>
      <c r="AA1305" t="s">
        <v>106</v>
      </c>
      <c r="AB1305" t="s">
        <v>106</v>
      </c>
    </row>
    <row r="1306" spans="1:28" x14ac:dyDescent="0.3">
      <c r="A1306" t="s">
        <v>1452</v>
      </c>
      <c r="B1306">
        <v>4</v>
      </c>
      <c r="C1306">
        <v>60</v>
      </c>
      <c r="D1306">
        <v>157</v>
      </c>
      <c r="E1306" t="s">
        <v>128</v>
      </c>
      <c r="F1306" s="12">
        <v>45547</v>
      </c>
      <c r="G1306" t="s">
        <v>475</v>
      </c>
      <c r="H1306" s="12">
        <v>45547</v>
      </c>
      <c r="I1306" t="s">
        <v>512</v>
      </c>
      <c r="J1306" t="s">
        <v>471</v>
      </c>
      <c r="K1306">
        <v>2</v>
      </c>
      <c r="L1306">
        <v>53.5</v>
      </c>
      <c r="P1306" t="s">
        <v>106</v>
      </c>
      <c r="Q1306" t="s">
        <v>106</v>
      </c>
      <c r="R1306" t="s">
        <v>106</v>
      </c>
      <c r="S1306" t="s">
        <v>106</v>
      </c>
      <c r="T1306" t="s">
        <v>1509</v>
      </c>
      <c r="U1306" t="s">
        <v>1978</v>
      </c>
      <c r="V1306" t="s">
        <v>106</v>
      </c>
      <c r="W1306" t="s">
        <v>443</v>
      </c>
      <c r="X1306" t="s">
        <v>106</v>
      </c>
      <c r="Y1306" t="s">
        <v>108</v>
      </c>
      <c r="Z1306" t="s">
        <v>104</v>
      </c>
      <c r="AA1306" t="s">
        <v>2041</v>
      </c>
      <c r="AB1306" t="s">
        <v>106</v>
      </c>
    </row>
    <row r="1307" spans="1:28" x14ac:dyDescent="0.3">
      <c r="A1307" t="s">
        <v>1452</v>
      </c>
      <c r="B1307">
        <v>4</v>
      </c>
      <c r="C1307">
        <v>60</v>
      </c>
      <c r="D1307">
        <v>177</v>
      </c>
      <c r="E1307" t="s">
        <v>128</v>
      </c>
      <c r="F1307" s="12">
        <v>45547</v>
      </c>
      <c r="G1307" t="s">
        <v>2581</v>
      </c>
      <c r="H1307" s="12">
        <v>45547</v>
      </c>
      <c r="I1307" t="s">
        <v>2047</v>
      </c>
      <c r="J1307" t="s">
        <v>471</v>
      </c>
      <c r="K1307">
        <v>2</v>
      </c>
      <c r="L1307">
        <v>54.5</v>
      </c>
      <c r="P1307" t="s">
        <v>106</v>
      </c>
      <c r="Q1307" t="s">
        <v>106</v>
      </c>
      <c r="R1307" t="s">
        <v>106</v>
      </c>
      <c r="S1307" t="s">
        <v>106</v>
      </c>
      <c r="T1307" t="s">
        <v>975</v>
      </c>
      <c r="U1307" t="s">
        <v>2032</v>
      </c>
      <c r="V1307" t="s">
        <v>106</v>
      </c>
      <c r="W1307" t="s">
        <v>2015</v>
      </c>
      <c r="X1307" t="s">
        <v>106</v>
      </c>
      <c r="Y1307" t="s">
        <v>108</v>
      </c>
      <c r="Z1307" t="s">
        <v>104</v>
      </c>
      <c r="AA1307" t="s">
        <v>106</v>
      </c>
      <c r="AB1307" t="s">
        <v>106</v>
      </c>
    </row>
    <row r="1308" spans="1:28" x14ac:dyDescent="0.3">
      <c r="A1308" t="s">
        <v>1452</v>
      </c>
      <c r="B1308">
        <v>4</v>
      </c>
      <c r="C1308">
        <v>60</v>
      </c>
      <c r="D1308">
        <v>172</v>
      </c>
      <c r="E1308" t="s">
        <v>128</v>
      </c>
      <c r="F1308" s="12">
        <v>45547</v>
      </c>
      <c r="G1308" t="s">
        <v>2154</v>
      </c>
      <c r="H1308" s="12">
        <v>45547</v>
      </c>
      <c r="I1308" t="s">
        <v>2042</v>
      </c>
      <c r="J1308" t="s">
        <v>471</v>
      </c>
      <c r="K1308">
        <v>2</v>
      </c>
      <c r="L1308">
        <v>55.5</v>
      </c>
      <c r="P1308" t="s">
        <v>106</v>
      </c>
      <c r="Q1308" t="s">
        <v>106</v>
      </c>
      <c r="R1308" t="s">
        <v>106</v>
      </c>
      <c r="S1308" t="s">
        <v>106</v>
      </c>
      <c r="T1308" t="s">
        <v>1565</v>
      </c>
      <c r="U1308" t="s">
        <v>2472</v>
      </c>
      <c r="V1308" t="s">
        <v>106</v>
      </c>
      <c r="W1308" t="s">
        <v>2015</v>
      </c>
      <c r="X1308" t="s">
        <v>106</v>
      </c>
      <c r="Y1308" t="s">
        <v>108</v>
      </c>
      <c r="Z1308" t="s">
        <v>104</v>
      </c>
      <c r="AA1308" t="s">
        <v>106</v>
      </c>
      <c r="AB1308" t="s">
        <v>106</v>
      </c>
    </row>
    <row r="1309" spans="1:28" x14ac:dyDescent="0.3">
      <c r="A1309" t="s">
        <v>1452</v>
      </c>
      <c r="B1309">
        <v>2</v>
      </c>
      <c r="C1309">
        <v>15</v>
      </c>
      <c r="D1309">
        <v>221</v>
      </c>
      <c r="E1309" t="s">
        <v>128</v>
      </c>
      <c r="F1309" s="12">
        <v>45548</v>
      </c>
      <c r="G1309" t="s">
        <v>2055</v>
      </c>
      <c r="H1309" s="12">
        <v>45548</v>
      </c>
      <c r="I1309" t="s">
        <v>2056</v>
      </c>
      <c r="J1309" t="s">
        <v>1363</v>
      </c>
      <c r="K1309">
        <v>2</v>
      </c>
      <c r="L1309">
        <v>14.6</v>
      </c>
      <c r="P1309" t="s">
        <v>106</v>
      </c>
      <c r="Q1309" t="s">
        <v>106</v>
      </c>
      <c r="R1309" t="s">
        <v>106</v>
      </c>
      <c r="S1309" t="s">
        <v>106</v>
      </c>
      <c r="T1309" t="s">
        <v>1899</v>
      </c>
      <c r="U1309" t="s">
        <v>2057</v>
      </c>
      <c r="V1309" t="s">
        <v>106</v>
      </c>
      <c r="W1309" t="s">
        <v>2015</v>
      </c>
      <c r="X1309" t="s">
        <v>106</v>
      </c>
      <c r="Y1309" t="s">
        <v>108</v>
      </c>
      <c r="Z1309" t="s">
        <v>109</v>
      </c>
      <c r="AA1309" t="s">
        <v>2058</v>
      </c>
      <c r="AB1309" t="s">
        <v>106</v>
      </c>
    </row>
    <row r="1310" spans="1:28" x14ac:dyDescent="0.3">
      <c r="A1310" t="s">
        <v>1452</v>
      </c>
      <c r="B1310">
        <v>2</v>
      </c>
      <c r="C1310">
        <v>15</v>
      </c>
      <c r="D1310">
        <v>187</v>
      </c>
      <c r="E1310" t="s">
        <v>128</v>
      </c>
      <c r="F1310" s="12">
        <v>45548</v>
      </c>
      <c r="G1310" t="s">
        <v>536</v>
      </c>
      <c r="H1310" s="12">
        <v>45548</v>
      </c>
      <c r="I1310" t="s">
        <v>432</v>
      </c>
      <c r="J1310" t="s">
        <v>466</v>
      </c>
      <c r="K1310">
        <v>2</v>
      </c>
      <c r="L1310">
        <v>12.8</v>
      </c>
      <c r="P1310" t="s">
        <v>106</v>
      </c>
      <c r="Q1310" t="s">
        <v>106</v>
      </c>
      <c r="R1310" t="s">
        <v>106</v>
      </c>
      <c r="S1310" t="s">
        <v>106</v>
      </c>
      <c r="T1310" t="s">
        <v>2059</v>
      </c>
      <c r="U1310" t="s">
        <v>2060</v>
      </c>
      <c r="V1310" t="s">
        <v>106</v>
      </c>
      <c r="W1310" t="s">
        <v>443</v>
      </c>
      <c r="X1310" t="s">
        <v>106</v>
      </c>
      <c r="Y1310" t="s">
        <v>108</v>
      </c>
      <c r="Z1310" t="s">
        <v>108</v>
      </c>
      <c r="AA1310" t="s">
        <v>106</v>
      </c>
      <c r="AB1310" t="s">
        <v>106</v>
      </c>
    </row>
    <row r="1311" spans="1:28" x14ac:dyDescent="0.3">
      <c r="A1311" t="s">
        <v>1452</v>
      </c>
      <c r="B1311">
        <v>2</v>
      </c>
      <c r="C1311">
        <v>15</v>
      </c>
      <c r="D1311">
        <v>198</v>
      </c>
      <c r="E1311" t="s">
        <v>128</v>
      </c>
      <c r="F1311" s="12">
        <v>45548</v>
      </c>
      <c r="G1311" t="s">
        <v>1686</v>
      </c>
      <c r="H1311" s="12">
        <v>45548</v>
      </c>
      <c r="I1311" t="s">
        <v>365</v>
      </c>
      <c r="J1311" t="s">
        <v>1363</v>
      </c>
      <c r="K1311">
        <v>2</v>
      </c>
      <c r="L1311">
        <v>13.2</v>
      </c>
      <c r="P1311" t="s">
        <v>106</v>
      </c>
      <c r="Q1311" t="s">
        <v>106</v>
      </c>
      <c r="R1311" t="s">
        <v>106</v>
      </c>
      <c r="S1311" t="s">
        <v>106</v>
      </c>
      <c r="T1311" t="s">
        <v>2013</v>
      </c>
      <c r="U1311" t="s">
        <v>2019</v>
      </c>
      <c r="V1311" t="s">
        <v>106</v>
      </c>
      <c r="W1311" t="s">
        <v>2015</v>
      </c>
      <c r="X1311" t="s">
        <v>106</v>
      </c>
      <c r="Y1311" t="s">
        <v>108</v>
      </c>
      <c r="Z1311" t="s">
        <v>109</v>
      </c>
      <c r="AA1311" t="s">
        <v>2058</v>
      </c>
      <c r="AB1311" t="s">
        <v>106</v>
      </c>
    </row>
    <row r="1312" spans="1:28" x14ac:dyDescent="0.3">
      <c r="A1312" t="s">
        <v>1452</v>
      </c>
      <c r="B1312">
        <v>2</v>
      </c>
      <c r="C1312">
        <v>15</v>
      </c>
      <c r="D1312">
        <v>213</v>
      </c>
      <c r="E1312" t="s">
        <v>128</v>
      </c>
      <c r="F1312" s="12">
        <v>45548</v>
      </c>
      <c r="G1312" t="s">
        <v>2061</v>
      </c>
      <c r="H1312" s="12">
        <v>45548</v>
      </c>
      <c r="I1312" t="s">
        <v>2062</v>
      </c>
      <c r="J1312" t="s">
        <v>1363</v>
      </c>
      <c r="K1312">
        <v>2</v>
      </c>
      <c r="L1312">
        <v>12.9</v>
      </c>
      <c r="P1312" t="s">
        <v>106</v>
      </c>
      <c r="Q1312" t="s">
        <v>106</v>
      </c>
      <c r="R1312" t="s">
        <v>106</v>
      </c>
      <c r="S1312" t="s">
        <v>106</v>
      </c>
      <c r="T1312" t="s">
        <v>961</v>
      </c>
      <c r="U1312" t="s">
        <v>2044</v>
      </c>
      <c r="V1312" t="s">
        <v>106</v>
      </c>
      <c r="W1312" t="s">
        <v>2015</v>
      </c>
      <c r="X1312" t="s">
        <v>106</v>
      </c>
      <c r="Y1312" t="s">
        <v>108</v>
      </c>
      <c r="Z1312" t="s">
        <v>109</v>
      </c>
      <c r="AA1312" t="s">
        <v>2058</v>
      </c>
      <c r="AB1312" t="s">
        <v>106</v>
      </c>
    </row>
    <row r="1313" spans="1:28" x14ac:dyDescent="0.3">
      <c r="A1313" t="s">
        <v>1452</v>
      </c>
      <c r="B1313">
        <v>2</v>
      </c>
      <c r="C1313">
        <v>15</v>
      </c>
      <c r="D1313">
        <v>204</v>
      </c>
      <c r="E1313" t="s">
        <v>308</v>
      </c>
      <c r="F1313" s="12">
        <v>45548</v>
      </c>
      <c r="G1313" t="s">
        <v>1337</v>
      </c>
      <c r="H1313" s="12">
        <v>45548</v>
      </c>
      <c r="I1313" t="s">
        <v>365</v>
      </c>
      <c r="J1313" t="s">
        <v>1363</v>
      </c>
      <c r="K1313">
        <v>2</v>
      </c>
      <c r="L1313">
        <v>14.6</v>
      </c>
      <c r="P1313" t="s">
        <v>106</v>
      </c>
      <c r="Q1313" t="s">
        <v>106</v>
      </c>
      <c r="R1313" t="s">
        <v>106</v>
      </c>
      <c r="S1313" t="s">
        <v>106</v>
      </c>
      <c r="T1313" t="s">
        <v>1090</v>
      </c>
      <c r="U1313" t="s">
        <v>1626</v>
      </c>
      <c r="V1313" t="s">
        <v>106</v>
      </c>
      <c r="W1313" t="s">
        <v>2015</v>
      </c>
      <c r="X1313" t="s">
        <v>106</v>
      </c>
      <c r="Y1313" t="s">
        <v>108</v>
      </c>
      <c r="Z1313" t="s">
        <v>109</v>
      </c>
      <c r="AA1313" t="s">
        <v>2058</v>
      </c>
      <c r="AB1313" t="s">
        <v>106</v>
      </c>
    </row>
    <row r="1314" spans="1:28" x14ac:dyDescent="0.3">
      <c r="A1314" t="s">
        <v>1452</v>
      </c>
      <c r="B1314">
        <v>2</v>
      </c>
      <c r="C1314">
        <v>15</v>
      </c>
      <c r="D1314">
        <v>199</v>
      </c>
      <c r="E1314" t="s">
        <v>128</v>
      </c>
      <c r="F1314" s="12">
        <v>45548</v>
      </c>
      <c r="G1314" t="s">
        <v>374</v>
      </c>
      <c r="H1314" s="12">
        <v>45548</v>
      </c>
      <c r="I1314" t="s">
        <v>365</v>
      </c>
      <c r="J1314" t="s">
        <v>1363</v>
      </c>
      <c r="K1314">
        <v>2</v>
      </c>
      <c r="L1314">
        <v>14</v>
      </c>
      <c r="P1314" t="s">
        <v>106</v>
      </c>
      <c r="Q1314" t="s">
        <v>106</v>
      </c>
      <c r="R1314" t="s">
        <v>106</v>
      </c>
      <c r="S1314" t="s">
        <v>106</v>
      </c>
      <c r="T1314" t="s">
        <v>975</v>
      </c>
      <c r="U1314" t="s">
        <v>2029</v>
      </c>
      <c r="V1314" t="s">
        <v>106</v>
      </c>
      <c r="W1314" t="s">
        <v>2015</v>
      </c>
      <c r="X1314" t="s">
        <v>106</v>
      </c>
      <c r="Y1314" t="s">
        <v>108</v>
      </c>
      <c r="Z1314" t="s">
        <v>109</v>
      </c>
      <c r="AA1314" t="s">
        <v>2058</v>
      </c>
      <c r="AB1314" t="s">
        <v>106</v>
      </c>
    </row>
    <row r="1315" spans="1:28" x14ac:dyDescent="0.3">
      <c r="A1315" t="s">
        <v>1452</v>
      </c>
      <c r="B1315">
        <v>2</v>
      </c>
      <c r="C1315">
        <v>15</v>
      </c>
      <c r="D1315">
        <v>220</v>
      </c>
      <c r="E1315" t="s">
        <v>128</v>
      </c>
      <c r="F1315" s="12">
        <v>45548</v>
      </c>
      <c r="G1315" t="s">
        <v>1833</v>
      </c>
      <c r="H1315" s="12">
        <v>45548</v>
      </c>
      <c r="I1315" t="s">
        <v>2056</v>
      </c>
      <c r="J1315" t="s">
        <v>1363</v>
      </c>
      <c r="K1315">
        <v>2</v>
      </c>
      <c r="L1315">
        <v>14.8</v>
      </c>
      <c r="P1315" t="s">
        <v>106</v>
      </c>
      <c r="Q1315" t="s">
        <v>106</v>
      </c>
      <c r="R1315" t="s">
        <v>106</v>
      </c>
      <c r="S1315" t="s">
        <v>106</v>
      </c>
      <c r="T1315" t="s">
        <v>975</v>
      </c>
      <c r="U1315" t="s">
        <v>2029</v>
      </c>
      <c r="V1315" t="s">
        <v>106</v>
      </c>
      <c r="W1315" t="s">
        <v>2015</v>
      </c>
      <c r="X1315" t="s">
        <v>106</v>
      </c>
      <c r="Y1315" t="s">
        <v>108</v>
      </c>
      <c r="Z1315" t="s">
        <v>109</v>
      </c>
      <c r="AA1315" t="s">
        <v>2058</v>
      </c>
      <c r="AB1315" t="s">
        <v>106</v>
      </c>
    </row>
    <row r="1316" spans="1:28" x14ac:dyDescent="0.3">
      <c r="A1316" t="s">
        <v>1452</v>
      </c>
      <c r="B1316">
        <v>2</v>
      </c>
      <c r="C1316">
        <v>15</v>
      </c>
      <c r="D1316">
        <v>205</v>
      </c>
      <c r="E1316" t="s">
        <v>308</v>
      </c>
      <c r="F1316" s="12">
        <v>45548</v>
      </c>
      <c r="G1316" t="s">
        <v>1337</v>
      </c>
      <c r="H1316" s="12">
        <v>45548</v>
      </c>
      <c r="I1316" t="s">
        <v>365</v>
      </c>
      <c r="J1316" t="s">
        <v>1363</v>
      </c>
      <c r="K1316">
        <v>2</v>
      </c>
      <c r="L1316">
        <v>13.2</v>
      </c>
      <c r="P1316" t="s">
        <v>106</v>
      </c>
      <c r="Q1316" t="s">
        <v>106</v>
      </c>
      <c r="R1316" t="s">
        <v>106</v>
      </c>
      <c r="S1316" t="s">
        <v>106</v>
      </c>
      <c r="T1316" t="s">
        <v>1659</v>
      </c>
      <c r="U1316" t="s">
        <v>1539</v>
      </c>
      <c r="V1316" t="s">
        <v>106</v>
      </c>
      <c r="W1316" t="s">
        <v>2015</v>
      </c>
      <c r="X1316" t="s">
        <v>106</v>
      </c>
      <c r="Y1316" t="s">
        <v>108</v>
      </c>
      <c r="Z1316" t="s">
        <v>109</v>
      </c>
      <c r="AA1316" t="s">
        <v>2058</v>
      </c>
      <c r="AB1316" t="s">
        <v>106</v>
      </c>
    </row>
    <row r="1317" spans="1:28" x14ac:dyDescent="0.3">
      <c r="A1317" t="s">
        <v>1452</v>
      </c>
      <c r="B1317">
        <v>2</v>
      </c>
      <c r="C1317">
        <v>15</v>
      </c>
      <c r="D1317">
        <v>194</v>
      </c>
      <c r="E1317" t="s">
        <v>128</v>
      </c>
      <c r="F1317" s="12">
        <v>45548</v>
      </c>
      <c r="G1317" t="s">
        <v>590</v>
      </c>
      <c r="H1317" s="12">
        <v>45548</v>
      </c>
      <c r="I1317" t="s">
        <v>432</v>
      </c>
      <c r="J1317" t="s">
        <v>466</v>
      </c>
      <c r="K1317">
        <v>2</v>
      </c>
      <c r="L1317">
        <v>12.3</v>
      </c>
      <c r="P1317" t="s">
        <v>106</v>
      </c>
      <c r="Q1317" t="s">
        <v>106</v>
      </c>
      <c r="R1317" t="s">
        <v>106</v>
      </c>
      <c r="S1317" t="s">
        <v>106</v>
      </c>
      <c r="T1317" t="s">
        <v>1558</v>
      </c>
      <c r="U1317" t="s">
        <v>2054</v>
      </c>
      <c r="V1317" t="s">
        <v>106</v>
      </c>
      <c r="W1317" t="s">
        <v>443</v>
      </c>
      <c r="X1317" t="s">
        <v>106</v>
      </c>
      <c r="Y1317" t="s">
        <v>108</v>
      </c>
      <c r="Z1317" t="s">
        <v>108</v>
      </c>
      <c r="AA1317" t="s">
        <v>106</v>
      </c>
      <c r="AB1317" t="s">
        <v>106</v>
      </c>
    </row>
    <row r="1318" spans="1:28" x14ac:dyDescent="0.3">
      <c r="A1318" t="s">
        <v>1452</v>
      </c>
      <c r="B1318">
        <v>2</v>
      </c>
      <c r="C1318">
        <v>15</v>
      </c>
      <c r="D1318">
        <v>212</v>
      </c>
      <c r="E1318" t="s">
        <v>128</v>
      </c>
      <c r="F1318" s="12">
        <v>45548</v>
      </c>
      <c r="G1318" t="s">
        <v>2061</v>
      </c>
      <c r="H1318" s="12">
        <v>45548</v>
      </c>
      <c r="I1318" t="s">
        <v>2062</v>
      </c>
      <c r="J1318" t="s">
        <v>1363</v>
      </c>
      <c r="K1318">
        <v>2</v>
      </c>
      <c r="L1318">
        <v>12.8</v>
      </c>
      <c r="P1318" t="s">
        <v>106</v>
      </c>
      <c r="Q1318" t="s">
        <v>106</v>
      </c>
      <c r="R1318" t="s">
        <v>106</v>
      </c>
      <c r="S1318" t="s">
        <v>106</v>
      </c>
      <c r="T1318" t="s">
        <v>2063</v>
      </c>
      <c r="U1318" t="s">
        <v>2014</v>
      </c>
      <c r="V1318" t="s">
        <v>106</v>
      </c>
      <c r="W1318" t="s">
        <v>2015</v>
      </c>
      <c r="X1318" t="s">
        <v>106</v>
      </c>
      <c r="Y1318" t="s">
        <v>108</v>
      </c>
      <c r="Z1318" t="s">
        <v>109</v>
      </c>
      <c r="AA1318" t="s">
        <v>2058</v>
      </c>
      <c r="AB1318" t="s">
        <v>106</v>
      </c>
    </row>
    <row r="1319" spans="1:28" x14ac:dyDescent="0.3">
      <c r="A1319" t="s">
        <v>1452</v>
      </c>
      <c r="B1319">
        <v>2</v>
      </c>
      <c r="C1319">
        <v>15</v>
      </c>
      <c r="D1319">
        <v>182</v>
      </c>
      <c r="E1319" t="s">
        <v>128</v>
      </c>
      <c r="F1319" s="12">
        <v>45548</v>
      </c>
      <c r="G1319" t="s">
        <v>2064</v>
      </c>
      <c r="H1319" s="12">
        <v>45548</v>
      </c>
      <c r="I1319" t="s">
        <v>1186</v>
      </c>
      <c r="J1319" t="s">
        <v>464</v>
      </c>
      <c r="K1319">
        <v>2</v>
      </c>
      <c r="L1319">
        <v>12.8</v>
      </c>
      <c r="P1319" t="s">
        <v>106</v>
      </c>
      <c r="Q1319" t="s">
        <v>106</v>
      </c>
      <c r="R1319" t="s">
        <v>106</v>
      </c>
      <c r="S1319" t="s">
        <v>106</v>
      </c>
      <c r="T1319" t="s">
        <v>2024</v>
      </c>
      <c r="U1319" t="s">
        <v>1981</v>
      </c>
      <c r="V1319" t="s">
        <v>106</v>
      </c>
      <c r="W1319" t="s">
        <v>443</v>
      </c>
      <c r="X1319" t="s">
        <v>106</v>
      </c>
      <c r="Y1319" t="s">
        <v>108</v>
      </c>
      <c r="Z1319" t="s">
        <v>109</v>
      </c>
      <c r="AA1319" t="s">
        <v>2041</v>
      </c>
      <c r="AB1319" t="s">
        <v>106</v>
      </c>
    </row>
    <row r="1320" spans="1:28" x14ac:dyDescent="0.3">
      <c r="A1320" t="s">
        <v>1452</v>
      </c>
      <c r="B1320">
        <v>2</v>
      </c>
      <c r="C1320">
        <v>15</v>
      </c>
      <c r="D1320">
        <v>181</v>
      </c>
      <c r="E1320" t="s">
        <v>128</v>
      </c>
      <c r="F1320" s="12">
        <v>45548</v>
      </c>
      <c r="G1320" t="s">
        <v>1956</v>
      </c>
      <c r="H1320" s="12">
        <v>45548</v>
      </c>
      <c r="I1320" t="s">
        <v>1186</v>
      </c>
      <c r="J1320" t="s">
        <v>464</v>
      </c>
      <c r="K1320">
        <v>2</v>
      </c>
      <c r="L1320">
        <v>13.6</v>
      </c>
      <c r="P1320" t="s">
        <v>106</v>
      </c>
      <c r="Q1320" t="s">
        <v>106</v>
      </c>
      <c r="R1320" t="s">
        <v>106</v>
      </c>
      <c r="S1320" t="s">
        <v>106</v>
      </c>
      <c r="T1320" t="s">
        <v>1257</v>
      </c>
      <c r="U1320" t="s">
        <v>2017</v>
      </c>
      <c r="V1320" t="s">
        <v>106</v>
      </c>
      <c r="W1320" t="s">
        <v>443</v>
      </c>
      <c r="X1320" t="s">
        <v>106</v>
      </c>
      <c r="Y1320" t="s">
        <v>108</v>
      </c>
      <c r="Z1320" t="s">
        <v>109</v>
      </c>
      <c r="AA1320" t="s">
        <v>2041</v>
      </c>
      <c r="AB1320" t="s">
        <v>106</v>
      </c>
    </row>
    <row r="1321" spans="1:28" x14ac:dyDescent="0.3">
      <c r="A1321" t="s">
        <v>1452</v>
      </c>
      <c r="B1321">
        <v>2</v>
      </c>
      <c r="C1321">
        <v>15</v>
      </c>
      <c r="D1321">
        <v>188</v>
      </c>
      <c r="E1321" t="s">
        <v>128</v>
      </c>
      <c r="F1321" s="12">
        <v>45548</v>
      </c>
      <c r="G1321" t="s">
        <v>536</v>
      </c>
      <c r="H1321" s="12">
        <v>45548</v>
      </c>
      <c r="I1321" t="s">
        <v>432</v>
      </c>
      <c r="J1321" t="s">
        <v>466</v>
      </c>
      <c r="K1321">
        <v>2</v>
      </c>
      <c r="L1321">
        <v>13.1</v>
      </c>
      <c r="P1321" t="s">
        <v>106</v>
      </c>
      <c r="Q1321" t="s">
        <v>106</v>
      </c>
      <c r="R1321" t="s">
        <v>106</v>
      </c>
      <c r="S1321" t="s">
        <v>106</v>
      </c>
      <c r="T1321" t="s">
        <v>760</v>
      </c>
      <c r="U1321" t="s">
        <v>2014</v>
      </c>
      <c r="V1321" t="s">
        <v>106</v>
      </c>
      <c r="W1321" t="s">
        <v>443</v>
      </c>
      <c r="X1321" t="s">
        <v>106</v>
      </c>
      <c r="Y1321" t="s">
        <v>108</v>
      </c>
      <c r="Z1321" t="s">
        <v>108</v>
      </c>
      <c r="AA1321" t="s">
        <v>106</v>
      </c>
      <c r="AB1321" t="s">
        <v>106</v>
      </c>
    </row>
    <row r="1322" spans="1:28" x14ac:dyDescent="0.3">
      <c r="A1322" t="s">
        <v>1452</v>
      </c>
      <c r="B1322">
        <v>3</v>
      </c>
      <c r="C1322">
        <v>35</v>
      </c>
      <c r="D1322">
        <v>186</v>
      </c>
      <c r="E1322" t="s">
        <v>128</v>
      </c>
      <c r="F1322" s="12">
        <v>45548</v>
      </c>
      <c r="G1322" t="s">
        <v>481</v>
      </c>
      <c r="H1322" s="12">
        <v>45548</v>
      </c>
      <c r="I1322" t="s">
        <v>432</v>
      </c>
      <c r="J1322" t="s">
        <v>466</v>
      </c>
      <c r="K1322">
        <v>2</v>
      </c>
      <c r="L1322">
        <v>34.799999999999997</v>
      </c>
      <c r="P1322" t="s">
        <v>106</v>
      </c>
      <c r="Q1322" t="s">
        <v>106</v>
      </c>
      <c r="R1322" t="s">
        <v>106</v>
      </c>
      <c r="S1322" t="s">
        <v>106</v>
      </c>
      <c r="T1322" t="s">
        <v>1478</v>
      </c>
      <c r="U1322" t="s">
        <v>2490</v>
      </c>
      <c r="V1322" t="s">
        <v>106</v>
      </c>
      <c r="W1322" t="s">
        <v>443</v>
      </c>
      <c r="X1322" t="s">
        <v>106</v>
      </c>
      <c r="Y1322" t="s">
        <v>108</v>
      </c>
      <c r="Z1322" t="s">
        <v>108</v>
      </c>
      <c r="AA1322" t="s">
        <v>106</v>
      </c>
      <c r="AB1322" t="s">
        <v>106</v>
      </c>
    </row>
    <row r="1323" spans="1:28" x14ac:dyDescent="0.3">
      <c r="A1323" t="s">
        <v>1452</v>
      </c>
      <c r="B1323">
        <v>3</v>
      </c>
      <c r="C1323">
        <v>35</v>
      </c>
      <c r="D1323">
        <v>185</v>
      </c>
      <c r="E1323" t="s">
        <v>128</v>
      </c>
      <c r="F1323" s="12">
        <v>45548</v>
      </c>
      <c r="G1323" t="s">
        <v>481</v>
      </c>
      <c r="H1323" s="12">
        <v>45548</v>
      </c>
      <c r="I1323" t="s">
        <v>432</v>
      </c>
      <c r="J1323" t="s">
        <v>466</v>
      </c>
      <c r="K1323">
        <v>2</v>
      </c>
      <c r="L1323">
        <v>33.700000000000003</v>
      </c>
      <c r="P1323" t="s">
        <v>106</v>
      </c>
      <c r="Q1323" t="s">
        <v>106</v>
      </c>
      <c r="R1323" t="s">
        <v>106</v>
      </c>
      <c r="S1323" t="s">
        <v>106</v>
      </c>
      <c r="T1323" t="s">
        <v>1935</v>
      </c>
      <c r="U1323" t="s">
        <v>2039</v>
      </c>
      <c r="V1323" t="s">
        <v>106</v>
      </c>
      <c r="W1323" t="s">
        <v>443</v>
      </c>
      <c r="X1323" t="s">
        <v>106</v>
      </c>
      <c r="Y1323" t="s">
        <v>108</v>
      </c>
      <c r="Z1323" t="s">
        <v>108</v>
      </c>
      <c r="AA1323" t="s">
        <v>106</v>
      </c>
      <c r="AB1323" t="s">
        <v>106</v>
      </c>
    </row>
    <row r="1324" spans="1:28" x14ac:dyDescent="0.3">
      <c r="A1324" t="s">
        <v>1452</v>
      </c>
      <c r="B1324">
        <v>3</v>
      </c>
      <c r="C1324">
        <v>35</v>
      </c>
      <c r="D1324">
        <v>180</v>
      </c>
      <c r="E1324" t="s">
        <v>128</v>
      </c>
      <c r="F1324" s="12">
        <v>45548</v>
      </c>
      <c r="G1324" t="s">
        <v>561</v>
      </c>
      <c r="H1324" s="12">
        <v>45548</v>
      </c>
      <c r="I1324" t="s">
        <v>1186</v>
      </c>
      <c r="J1324" t="s">
        <v>464</v>
      </c>
      <c r="K1324">
        <v>2</v>
      </c>
      <c r="L1324">
        <v>33.700000000000003</v>
      </c>
      <c r="P1324" t="s">
        <v>106</v>
      </c>
      <c r="Q1324" t="s">
        <v>106</v>
      </c>
      <c r="R1324" t="s">
        <v>106</v>
      </c>
      <c r="S1324" t="s">
        <v>106</v>
      </c>
      <c r="T1324" t="s">
        <v>1385</v>
      </c>
      <c r="U1324" t="s">
        <v>2478</v>
      </c>
      <c r="V1324" t="s">
        <v>106</v>
      </c>
      <c r="W1324" t="s">
        <v>443</v>
      </c>
      <c r="X1324" t="s">
        <v>106</v>
      </c>
      <c r="Y1324" t="s">
        <v>108</v>
      </c>
      <c r="Z1324" t="s">
        <v>108</v>
      </c>
      <c r="AA1324" t="s">
        <v>2041</v>
      </c>
      <c r="AB1324" t="s">
        <v>106</v>
      </c>
    </row>
    <row r="1325" spans="1:28" x14ac:dyDescent="0.3">
      <c r="A1325" t="s">
        <v>1452</v>
      </c>
      <c r="B1325">
        <v>3</v>
      </c>
      <c r="C1325">
        <v>35</v>
      </c>
      <c r="D1325">
        <v>218</v>
      </c>
      <c r="E1325" t="s">
        <v>128</v>
      </c>
      <c r="F1325" s="12">
        <v>45548</v>
      </c>
      <c r="G1325" t="s">
        <v>818</v>
      </c>
      <c r="H1325" s="12">
        <v>45548</v>
      </c>
      <c r="I1325" t="s">
        <v>2056</v>
      </c>
      <c r="J1325" t="s">
        <v>1363</v>
      </c>
      <c r="K1325">
        <v>2</v>
      </c>
      <c r="L1325">
        <v>34</v>
      </c>
      <c r="P1325" t="s">
        <v>106</v>
      </c>
      <c r="Q1325" t="s">
        <v>106</v>
      </c>
      <c r="R1325" t="s">
        <v>106</v>
      </c>
      <c r="S1325" t="s">
        <v>106</v>
      </c>
      <c r="T1325" t="s">
        <v>1822</v>
      </c>
      <c r="U1325" t="s">
        <v>2489</v>
      </c>
      <c r="V1325" t="s">
        <v>106</v>
      </c>
      <c r="W1325" t="s">
        <v>2015</v>
      </c>
      <c r="X1325" t="s">
        <v>106</v>
      </c>
      <c r="Y1325" t="s">
        <v>108</v>
      </c>
      <c r="Z1325" t="s">
        <v>108</v>
      </c>
      <c r="AA1325" t="s">
        <v>2058</v>
      </c>
      <c r="AB1325" t="s">
        <v>106</v>
      </c>
    </row>
    <row r="1326" spans="1:28" x14ac:dyDescent="0.3">
      <c r="A1326" t="s">
        <v>1452</v>
      </c>
      <c r="B1326">
        <v>3</v>
      </c>
      <c r="C1326">
        <v>35</v>
      </c>
      <c r="D1326">
        <v>197</v>
      </c>
      <c r="E1326" t="s">
        <v>128</v>
      </c>
      <c r="F1326" s="12">
        <v>45548</v>
      </c>
      <c r="G1326" t="s">
        <v>1686</v>
      </c>
      <c r="H1326" s="12">
        <v>45548</v>
      </c>
      <c r="I1326" t="s">
        <v>365</v>
      </c>
      <c r="J1326" t="s">
        <v>1363</v>
      </c>
      <c r="K1326">
        <v>2</v>
      </c>
      <c r="L1326">
        <v>32.9</v>
      </c>
      <c r="P1326" t="s">
        <v>106</v>
      </c>
      <c r="Q1326" t="s">
        <v>106</v>
      </c>
      <c r="R1326" t="s">
        <v>106</v>
      </c>
      <c r="S1326" t="s">
        <v>106</v>
      </c>
      <c r="T1326" t="s">
        <v>1257</v>
      </c>
      <c r="U1326" t="s">
        <v>2021</v>
      </c>
      <c r="V1326" t="s">
        <v>106</v>
      </c>
      <c r="W1326" t="s">
        <v>2015</v>
      </c>
      <c r="X1326" t="s">
        <v>106</v>
      </c>
      <c r="Y1326" t="s">
        <v>108</v>
      </c>
      <c r="Z1326" t="s">
        <v>108</v>
      </c>
      <c r="AA1326" t="s">
        <v>2058</v>
      </c>
      <c r="AB1326" t="s">
        <v>106</v>
      </c>
    </row>
    <row r="1327" spans="1:28" x14ac:dyDescent="0.3">
      <c r="A1327" t="s">
        <v>1452</v>
      </c>
      <c r="B1327">
        <v>3</v>
      </c>
      <c r="C1327">
        <v>35</v>
      </c>
      <c r="D1327">
        <v>216</v>
      </c>
      <c r="E1327" t="s">
        <v>128</v>
      </c>
      <c r="F1327" s="12">
        <v>45548</v>
      </c>
      <c r="G1327" t="s">
        <v>2491</v>
      </c>
      <c r="H1327" s="12">
        <v>45548</v>
      </c>
      <c r="I1327" t="s">
        <v>2062</v>
      </c>
      <c r="J1327" t="s">
        <v>1363</v>
      </c>
      <c r="K1327">
        <v>2</v>
      </c>
      <c r="L1327">
        <v>33.5</v>
      </c>
      <c r="P1327" t="s">
        <v>106</v>
      </c>
      <c r="Q1327" t="s">
        <v>106</v>
      </c>
      <c r="R1327" t="s">
        <v>106</v>
      </c>
      <c r="S1327" t="s">
        <v>106</v>
      </c>
      <c r="T1327" t="s">
        <v>1458</v>
      </c>
      <c r="U1327" t="s">
        <v>2039</v>
      </c>
      <c r="V1327" t="s">
        <v>106</v>
      </c>
      <c r="W1327" t="s">
        <v>2015</v>
      </c>
      <c r="X1327" t="s">
        <v>106</v>
      </c>
      <c r="Y1327" t="s">
        <v>108</v>
      </c>
      <c r="Z1327" t="s">
        <v>108</v>
      </c>
      <c r="AA1327" t="s">
        <v>2058</v>
      </c>
      <c r="AB1327" t="s">
        <v>106</v>
      </c>
    </row>
    <row r="1328" spans="1:28" x14ac:dyDescent="0.3">
      <c r="A1328" t="s">
        <v>1452</v>
      </c>
      <c r="B1328">
        <v>3</v>
      </c>
      <c r="C1328">
        <v>35</v>
      </c>
      <c r="D1328">
        <v>191</v>
      </c>
      <c r="E1328" t="s">
        <v>128</v>
      </c>
      <c r="F1328" s="12">
        <v>45548</v>
      </c>
      <c r="G1328" t="s">
        <v>590</v>
      </c>
      <c r="H1328" s="12">
        <v>45548</v>
      </c>
      <c r="I1328" t="s">
        <v>432</v>
      </c>
      <c r="J1328" t="s">
        <v>466</v>
      </c>
      <c r="K1328">
        <v>2</v>
      </c>
      <c r="L1328">
        <v>33.799999999999997</v>
      </c>
      <c r="P1328" t="s">
        <v>106</v>
      </c>
      <c r="Q1328" t="s">
        <v>106</v>
      </c>
      <c r="R1328" t="s">
        <v>106</v>
      </c>
      <c r="S1328" t="s">
        <v>106</v>
      </c>
      <c r="T1328" t="s">
        <v>1449</v>
      </c>
      <c r="U1328" t="s">
        <v>2021</v>
      </c>
      <c r="V1328" t="s">
        <v>106</v>
      </c>
      <c r="W1328" t="s">
        <v>443</v>
      </c>
      <c r="X1328" t="s">
        <v>106</v>
      </c>
      <c r="Y1328" t="s">
        <v>108</v>
      </c>
      <c r="Z1328" t="s">
        <v>108</v>
      </c>
      <c r="AA1328" t="s">
        <v>106</v>
      </c>
      <c r="AB1328" t="s">
        <v>106</v>
      </c>
    </row>
    <row r="1329" spans="1:28" x14ac:dyDescent="0.3">
      <c r="A1329" t="s">
        <v>1452</v>
      </c>
      <c r="B1329">
        <v>3</v>
      </c>
      <c r="C1329">
        <v>35</v>
      </c>
      <c r="D1329">
        <v>192</v>
      </c>
      <c r="E1329" t="s">
        <v>128</v>
      </c>
      <c r="F1329" s="12">
        <v>45548</v>
      </c>
      <c r="G1329" t="s">
        <v>590</v>
      </c>
      <c r="H1329" s="12">
        <v>45548</v>
      </c>
      <c r="I1329" t="s">
        <v>432</v>
      </c>
      <c r="J1329" t="s">
        <v>466</v>
      </c>
      <c r="K1329">
        <v>2</v>
      </c>
      <c r="L1329">
        <v>34.5</v>
      </c>
      <c r="P1329" t="s">
        <v>106</v>
      </c>
      <c r="Q1329" t="s">
        <v>106</v>
      </c>
      <c r="R1329" t="s">
        <v>106</v>
      </c>
      <c r="S1329" t="s">
        <v>106</v>
      </c>
      <c r="T1329" t="s">
        <v>2063</v>
      </c>
      <c r="U1329" t="s">
        <v>2039</v>
      </c>
      <c r="V1329" t="s">
        <v>106</v>
      </c>
      <c r="W1329" t="s">
        <v>443</v>
      </c>
      <c r="X1329" t="s">
        <v>106</v>
      </c>
      <c r="Y1329" t="s">
        <v>108</v>
      </c>
      <c r="Z1329" t="s">
        <v>108</v>
      </c>
      <c r="AA1329" t="s">
        <v>106</v>
      </c>
      <c r="AB1329" t="s">
        <v>106</v>
      </c>
    </row>
    <row r="1330" spans="1:28" x14ac:dyDescent="0.3">
      <c r="A1330" t="s">
        <v>1452</v>
      </c>
      <c r="B1330">
        <v>3</v>
      </c>
      <c r="C1330">
        <v>35</v>
      </c>
      <c r="D1330">
        <v>211</v>
      </c>
      <c r="E1330" t="s">
        <v>128</v>
      </c>
      <c r="F1330" s="12">
        <v>45548</v>
      </c>
      <c r="G1330" t="s">
        <v>2031</v>
      </c>
      <c r="H1330" s="12">
        <v>45548</v>
      </c>
      <c r="I1330" t="s">
        <v>2062</v>
      </c>
      <c r="J1330" t="s">
        <v>1363</v>
      </c>
      <c r="K1330">
        <v>2</v>
      </c>
      <c r="L1330">
        <v>28.9</v>
      </c>
      <c r="P1330" t="s">
        <v>106</v>
      </c>
      <c r="Q1330" t="s">
        <v>106</v>
      </c>
      <c r="R1330" t="s">
        <v>106</v>
      </c>
      <c r="S1330" t="s">
        <v>106</v>
      </c>
      <c r="T1330" t="s">
        <v>1485</v>
      </c>
      <c r="U1330" t="s">
        <v>2019</v>
      </c>
      <c r="V1330" t="s">
        <v>106</v>
      </c>
      <c r="W1330" t="s">
        <v>2015</v>
      </c>
      <c r="X1330" t="s">
        <v>106</v>
      </c>
      <c r="Y1330" t="s">
        <v>108</v>
      </c>
      <c r="Z1330" t="s">
        <v>108</v>
      </c>
      <c r="AA1330" t="s">
        <v>2058</v>
      </c>
      <c r="AB1330" t="s">
        <v>106</v>
      </c>
    </row>
    <row r="1331" spans="1:28" x14ac:dyDescent="0.3">
      <c r="A1331" t="s">
        <v>1452</v>
      </c>
      <c r="B1331">
        <v>3</v>
      </c>
      <c r="C1331">
        <v>35</v>
      </c>
      <c r="D1331">
        <v>210</v>
      </c>
      <c r="E1331" t="s">
        <v>128</v>
      </c>
      <c r="F1331" s="12">
        <v>45548</v>
      </c>
      <c r="G1331" t="s">
        <v>1979</v>
      </c>
      <c r="H1331" s="12">
        <v>45548</v>
      </c>
      <c r="I1331" t="s">
        <v>2062</v>
      </c>
      <c r="J1331" t="s">
        <v>1363</v>
      </c>
      <c r="K1331">
        <v>2</v>
      </c>
      <c r="L1331">
        <v>32.4</v>
      </c>
      <c r="P1331" t="s">
        <v>106</v>
      </c>
      <c r="Q1331" t="s">
        <v>106</v>
      </c>
      <c r="R1331" t="s">
        <v>106</v>
      </c>
      <c r="S1331" t="s">
        <v>106</v>
      </c>
      <c r="T1331" t="s">
        <v>1022</v>
      </c>
      <c r="U1331" t="s">
        <v>2044</v>
      </c>
      <c r="V1331" t="s">
        <v>106</v>
      </c>
      <c r="W1331" t="s">
        <v>2015</v>
      </c>
      <c r="X1331" t="s">
        <v>106</v>
      </c>
      <c r="Y1331" t="s">
        <v>108</v>
      </c>
      <c r="Z1331" t="s">
        <v>108</v>
      </c>
      <c r="AA1331" t="s">
        <v>2058</v>
      </c>
      <c r="AB1331" t="s">
        <v>106</v>
      </c>
    </row>
    <row r="1332" spans="1:28" x14ac:dyDescent="0.3">
      <c r="A1332" t="s">
        <v>1452</v>
      </c>
      <c r="B1332">
        <v>3</v>
      </c>
      <c r="C1332">
        <v>35</v>
      </c>
      <c r="D1332">
        <v>209</v>
      </c>
      <c r="E1332" t="s">
        <v>308</v>
      </c>
      <c r="F1332" s="12">
        <v>45548</v>
      </c>
      <c r="G1332" t="s">
        <v>2492</v>
      </c>
      <c r="H1332" s="12">
        <v>45548</v>
      </c>
      <c r="I1332" t="s">
        <v>365</v>
      </c>
      <c r="J1332" t="s">
        <v>1363</v>
      </c>
      <c r="K1332">
        <v>2</v>
      </c>
      <c r="L1332">
        <v>30.6</v>
      </c>
      <c r="P1332" t="s">
        <v>106</v>
      </c>
      <c r="Q1332" t="s">
        <v>106</v>
      </c>
      <c r="R1332" t="s">
        <v>106</v>
      </c>
      <c r="S1332" t="s">
        <v>106</v>
      </c>
      <c r="T1332" t="s">
        <v>1274</v>
      </c>
      <c r="U1332" t="s">
        <v>1468</v>
      </c>
      <c r="V1332" t="s">
        <v>106</v>
      </c>
      <c r="W1332" t="s">
        <v>2015</v>
      </c>
      <c r="X1332" t="s">
        <v>106</v>
      </c>
      <c r="Y1332" t="s">
        <v>108</v>
      </c>
      <c r="Z1332" t="s">
        <v>108</v>
      </c>
      <c r="AA1332" t="s">
        <v>2058</v>
      </c>
      <c r="AB1332" t="s">
        <v>106</v>
      </c>
    </row>
    <row r="1333" spans="1:28" x14ac:dyDescent="0.3">
      <c r="A1333" t="s">
        <v>1452</v>
      </c>
      <c r="B1333">
        <v>3</v>
      </c>
      <c r="C1333">
        <v>35</v>
      </c>
      <c r="D1333">
        <v>208</v>
      </c>
      <c r="E1333" t="s">
        <v>308</v>
      </c>
      <c r="F1333" s="12">
        <v>45548</v>
      </c>
      <c r="G1333" t="s">
        <v>2462</v>
      </c>
      <c r="H1333" s="12">
        <v>45548</v>
      </c>
      <c r="I1333" t="s">
        <v>365</v>
      </c>
      <c r="J1333" t="s">
        <v>1363</v>
      </c>
      <c r="K1333">
        <v>2</v>
      </c>
      <c r="L1333">
        <v>32.1</v>
      </c>
      <c r="P1333" t="s">
        <v>106</v>
      </c>
      <c r="Q1333" t="s">
        <v>106</v>
      </c>
      <c r="R1333" t="s">
        <v>106</v>
      </c>
      <c r="S1333" t="s">
        <v>106</v>
      </c>
      <c r="T1333" t="s">
        <v>1158</v>
      </c>
      <c r="U1333" t="s">
        <v>1353</v>
      </c>
      <c r="V1333" t="s">
        <v>106</v>
      </c>
      <c r="W1333" t="s">
        <v>2015</v>
      </c>
      <c r="X1333" t="s">
        <v>106</v>
      </c>
      <c r="Y1333" t="s">
        <v>108</v>
      </c>
      <c r="Z1333" t="s">
        <v>108</v>
      </c>
      <c r="AA1333" t="s">
        <v>2058</v>
      </c>
      <c r="AB1333" t="s">
        <v>106</v>
      </c>
    </row>
    <row r="1334" spans="1:28" x14ac:dyDescent="0.3">
      <c r="A1334" t="s">
        <v>1452</v>
      </c>
      <c r="B1334">
        <v>3</v>
      </c>
      <c r="C1334">
        <v>35</v>
      </c>
      <c r="D1334">
        <v>195</v>
      </c>
      <c r="E1334" t="s">
        <v>128</v>
      </c>
      <c r="F1334" s="12">
        <v>45548</v>
      </c>
      <c r="G1334" t="s">
        <v>2384</v>
      </c>
      <c r="H1334" s="12">
        <v>45548</v>
      </c>
      <c r="I1334" t="s">
        <v>365</v>
      </c>
      <c r="J1334" t="s">
        <v>1363</v>
      </c>
      <c r="K1334">
        <v>2</v>
      </c>
      <c r="L1334">
        <v>30.8</v>
      </c>
      <c r="P1334" t="s">
        <v>106</v>
      </c>
      <c r="Q1334" t="s">
        <v>106</v>
      </c>
      <c r="R1334" t="s">
        <v>106</v>
      </c>
      <c r="S1334" t="s">
        <v>106</v>
      </c>
      <c r="T1334" t="s">
        <v>977</v>
      </c>
      <c r="U1334" t="s">
        <v>2021</v>
      </c>
      <c r="V1334" t="s">
        <v>106</v>
      </c>
      <c r="W1334" t="s">
        <v>2015</v>
      </c>
      <c r="X1334" t="s">
        <v>106</v>
      </c>
      <c r="Y1334" t="s">
        <v>108</v>
      </c>
      <c r="Z1334" t="s">
        <v>108</v>
      </c>
      <c r="AA1334" t="s">
        <v>2058</v>
      </c>
      <c r="AB1334" t="s">
        <v>106</v>
      </c>
    </row>
    <row r="1335" spans="1:28" x14ac:dyDescent="0.3">
      <c r="A1335" t="s">
        <v>1452</v>
      </c>
      <c r="B1335">
        <v>3</v>
      </c>
      <c r="C1335">
        <v>35</v>
      </c>
      <c r="D1335">
        <v>203</v>
      </c>
      <c r="E1335" t="s">
        <v>308</v>
      </c>
      <c r="F1335" s="12">
        <v>45548</v>
      </c>
      <c r="G1335" t="s">
        <v>475</v>
      </c>
      <c r="H1335" s="12">
        <v>45548</v>
      </c>
      <c r="I1335" t="s">
        <v>365</v>
      </c>
      <c r="J1335" t="s">
        <v>1363</v>
      </c>
      <c r="K1335">
        <v>2</v>
      </c>
      <c r="L1335">
        <v>31.9</v>
      </c>
      <c r="P1335" t="s">
        <v>106</v>
      </c>
      <c r="Q1335" t="s">
        <v>106</v>
      </c>
      <c r="R1335" t="s">
        <v>106</v>
      </c>
      <c r="S1335" t="s">
        <v>106</v>
      </c>
      <c r="T1335" t="s">
        <v>1529</v>
      </c>
      <c r="U1335" t="s">
        <v>1604</v>
      </c>
      <c r="V1335" t="s">
        <v>106</v>
      </c>
      <c r="W1335" t="s">
        <v>2015</v>
      </c>
      <c r="X1335" t="s">
        <v>106</v>
      </c>
      <c r="Y1335" t="s">
        <v>108</v>
      </c>
      <c r="Z1335" t="s">
        <v>108</v>
      </c>
      <c r="AA1335" t="s">
        <v>2058</v>
      </c>
      <c r="AB1335" t="s">
        <v>106</v>
      </c>
    </row>
    <row r="1336" spans="1:28" x14ac:dyDescent="0.3">
      <c r="A1336" t="s">
        <v>1452</v>
      </c>
      <c r="B1336">
        <v>3</v>
      </c>
      <c r="C1336">
        <v>35</v>
      </c>
      <c r="D1336">
        <v>202</v>
      </c>
      <c r="E1336" t="s">
        <v>308</v>
      </c>
      <c r="F1336" s="12">
        <v>45548</v>
      </c>
      <c r="G1336" t="s">
        <v>475</v>
      </c>
      <c r="H1336" s="12">
        <v>45548</v>
      </c>
      <c r="I1336" t="s">
        <v>365</v>
      </c>
      <c r="J1336" t="s">
        <v>1363</v>
      </c>
      <c r="K1336">
        <v>2</v>
      </c>
      <c r="L1336">
        <v>30.3</v>
      </c>
      <c r="P1336" t="s">
        <v>106</v>
      </c>
      <c r="Q1336" t="s">
        <v>106</v>
      </c>
      <c r="R1336" t="s">
        <v>106</v>
      </c>
      <c r="S1336" t="s">
        <v>106</v>
      </c>
      <c r="T1336" t="s">
        <v>1280</v>
      </c>
      <c r="U1336" t="s">
        <v>1382</v>
      </c>
      <c r="V1336" t="s">
        <v>106</v>
      </c>
      <c r="W1336" t="s">
        <v>2015</v>
      </c>
      <c r="X1336" t="s">
        <v>106</v>
      </c>
      <c r="Y1336" t="s">
        <v>108</v>
      </c>
      <c r="Z1336" t="s">
        <v>108</v>
      </c>
      <c r="AA1336" t="s">
        <v>2058</v>
      </c>
      <c r="AB1336" t="s">
        <v>106</v>
      </c>
    </row>
    <row r="1337" spans="1:28" x14ac:dyDescent="0.3">
      <c r="A1337" t="s">
        <v>1452</v>
      </c>
      <c r="B1337">
        <v>3</v>
      </c>
      <c r="C1337">
        <v>35</v>
      </c>
      <c r="D1337">
        <v>196</v>
      </c>
      <c r="E1337" t="s">
        <v>128</v>
      </c>
      <c r="F1337" s="12">
        <v>45548</v>
      </c>
      <c r="G1337" t="s">
        <v>1686</v>
      </c>
      <c r="H1337" s="12">
        <v>45548</v>
      </c>
      <c r="I1337" t="s">
        <v>365</v>
      </c>
      <c r="J1337" t="s">
        <v>1363</v>
      </c>
      <c r="K1337">
        <v>2</v>
      </c>
      <c r="L1337">
        <v>33</v>
      </c>
      <c r="P1337" t="s">
        <v>106</v>
      </c>
      <c r="Q1337" t="s">
        <v>106</v>
      </c>
      <c r="R1337" t="s">
        <v>106</v>
      </c>
      <c r="S1337" t="s">
        <v>106</v>
      </c>
      <c r="T1337" t="s">
        <v>1529</v>
      </c>
      <c r="U1337" t="s">
        <v>2493</v>
      </c>
      <c r="V1337" t="s">
        <v>106</v>
      </c>
      <c r="W1337" t="s">
        <v>2015</v>
      </c>
      <c r="X1337" t="s">
        <v>106</v>
      </c>
      <c r="Y1337" t="s">
        <v>108</v>
      </c>
      <c r="Z1337" t="s">
        <v>108</v>
      </c>
      <c r="AA1337" t="s">
        <v>2058</v>
      </c>
      <c r="AB1337" t="s">
        <v>106</v>
      </c>
    </row>
    <row r="1338" spans="1:28" x14ac:dyDescent="0.3">
      <c r="A1338" t="s">
        <v>1452</v>
      </c>
      <c r="B1338">
        <v>3</v>
      </c>
      <c r="C1338">
        <v>35</v>
      </c>
      <c r="D1338">
        <v>179</v>
      </c>
      <c r="E1338" t="s">
        <v>128</v>
      </c>
      <c r="F1338" s="12">
        <v>45548</v>
      </c>
      <c r="G1338" t="s">
        <v>1697</v>
      </c>
      <c r="H1338" s="12">
        <v>45548</v>
      </c>
      <c r="I1338" t="s">
        <v>1186</v>
      </c>
      <c r="J1338" t="s">
        <v>464</v>
      </c>
      <c r="K1338">
        <v>2</v>
      </c>
      <c r="L1338">
        <v>33.9</v>
      </c>
      <c r="P1338" t="s">
        <v>106</v>
      </c>
      <c r="Q1338" t="s">
        <v>106</v>
      </c>
      <c r="R1338" t="s">
        <v>106</v>
      </c>
      <c r="S1338" t="s">
        <v>106</v>
      </c>
      <c r="T1338" t="s">
        <v>750</v>
      </c>
      <c r="U1338" t="s">
        <v>2494</v>
      </c>
      <c r="V1338" t="s">
        <v>106</v>
      </c>
      <c r="W1338" t="s">
        <v>443</v>
      </c>
      <c r="X1338" t="s">
        <v>106</v>
      </c>
      <c r="Y1338" t="s">
        <v>108</v>
      </c>
      <c r="Z1338" t="s">
        <v>108</v>
      </c>
      <c r="AA1338" t="s">
        <v>2041</v>
      </c>
      <c r="AB1338" t="s">
        <v>106</v>
      </c>
    </row>
    <row r="1339" spans="1:28" x14ac:dyDescent="0.3">
      <c r="A1339" t="s">
        <v>1452</v>
      </c>
      <c r="B1339">
        <v>3</v>
      </c>
      <c r="C1339">
        <v>35</v>
      </c>
      <c r="D1339">
        <v>219</v>
      </c>
      <c r="E1339" t="s">
        <v>128</v>
      </c>
      <c r="F1339" s="12">
        <v>45548</v>
      </c>
      <c r="G1339" t="s">
        <v>820</v>
      </c>
      <c r="H1339" s="12">
        <v>45548</v>
      </c>
      <c r="I1339" t="s">
        <v>2056</v>
      </c>
      <c r="J1339" t="s">
        <v>1363</v>
      </c>
      <c r="K1339">
        <v>2</v>
      </c>
      <c r="L1339">
        <v>34.799999999999997</v>
      </c>
      <c r="P1339" t="s">
        <v>106</v>
      </c>
      <c r="Q1339" t="s">
        <v>106</v>
      </c>
      <c r="R1339" t="s">
        <v>106</v>
      </c>
      <c r="S1339" t="s">
        <v>106</v>
      </c>
      <c r="T1339" t="s">
        <v>2063</v>
      </c>
      <c r="U1339" t="s">
        <v>1978</v>
      </c>
      <c r="V1339" t="s">
        <v>106</v>
      </c>
      <c r="W1339" t="s">
        <v>2015</v>
      </c>
      <c r="X1339" t="s">
        <v>106</v>
      </c>
      <c r="Y1339" t="s">
        <v>108</v>
      </c>
      <c r="Z1339" t="s">
        <v>108</v>
      </c>
      <c r="AA1339" t="s">
        <v>2058</v>
      </c>
      <c r="AB1339" t="s">
        <v>106</v>
      </c>
    </row>
    <row r="1340" spans="1:28" x14ac:dyDescent="0.3">
      <c r="A1340" t="s">
        <v>1452</v>
      </c>
      <c r="B1340">
        <v>4</v>
      </c>
      <c r="C1340">
        <v>60</v>
      </c>
      <c r="D1340">
        <v>206</v>
      </c>
      <c r="E1340" t="s">
        <v>308</v>
      </c>
      <c r="F1340" s="12">
        <v>45548</v>
      </c>
      <c r="G1340" t="s">
        <v>2658</v>
      </c>
      <c r="H1340" s="12">
        <v>45548</v>
      </c>
      <c r="I1340" t="s">
        <v>365</v>
      </c>
      <c r="J1340" t="s">
        <v>1363</v>
      </c>
      <c r="K1340">
        <v>2</v>
      </c>
      <c r="L1340">
        <v>57.5</v>
      </c>
      <c r="P1340" t="s">
        <v>106</v>
      </c>
      <c r="Q1340" t="s">
        <v>106</v>
      </c>
      <c r="R1340" t="s">
        <v>106</v>
      </c>
      <c r="S1340" t="s">
        <v>106</v>
      </c>
      <c r="T1340" t="s">
        <v>1885</v>
      </c>
      <c r="U1340" t="s">
        <v>1615</v>
      </c>
      <c r="V1340" t="s">
        <v>106</v>
      </c>
      <c r="W1340" t="s">
        <v>2015</v>
      </c>
      <c r="X1340" t="s">
        <v>106</v>
      </c>
      <c r="Y1340" t="s">
        <v>108</v>
      </c>
      <c r="Z1340" t="s">
        <v>104</v>
      </c>
      <c r="AA1340" t="s">
        <v>2058</v>
      </c>
      <c r="AB1340" t="s">
        <v>106</v>
      </c>
    </row>
    <row r="1341" spans="1:28" x14ac:dyDescent="0.3">
      <c r="A1341" t="s">
        <v>1452</v>
      </c>
      <c r="B1341">
        <v>4</v>
      </c>
      <c r="C1341">
        <v>60</v>
      </c>
      <c r="D1341">
        <v>207</v>
      </c>
      <c r="E1341" t="s">
        <v>308</v>
      </c>
      <c r="F1341" s="12">
        <v>45548</v>
      </c>
      <c r="G1341" t="s">
        <v>2082</v>
      </c>
      <c r="H1341" s="12">
        <v>45548</v>
      </c>
      <c r="I1341" t="s">
        <v>365</v>
      </c>
      <c r="J1341" t="s">
        <v>1363</v>
      </c>
      <c r="K1341">
        <v>2</v>
      </c>
      <c r="L1341">
        <v>52.9</v>
      </c>
      <c r="P1341" t="s">
        <v>106</v>
      </c>
      <c r="Q1341" t="s">
        <v>106</v>
      </c>
      <c r="R1341" t="s">
        <v>106</v>
      </c>
      <c r="S1341" t="s">
        <v>106</v>
      </c>
      <c r="T1341" t="s">
        <v>1558</v>
      </c>
      <c r="U1341" t="s">
        <v>1615</v>
      </c>
      <c r="V1341" t="s">
        <v>106</v>
      </c>
      <c r="W1341" t="s">
        <v>2015</v>
      </c>
      <c r="X1341" t="s">
        <v>106</v>
      </c>
      <c r="Y1341" t="s">
        <v>108</v>
      </c>
      <c r="Z1341" t="s">
        <v>104</v>
      </c>
      <c r="AA1341" t="s">
        <v>2058</v>
      </c>
      <c r="AB1341" t="s">
        <v>106</v>
      </c>
    </row>
    <row r="1342" spans="1:28" x14ac:dyDescent="0.3">
      <c r="A1342" t="s">
        <v>1452</v>
      </c>
      <c r="B1342">
        <v>4</v>
      </c>
      <c r="C1342">
        <v>60</v>
      </c>
      <c r="D1342">
        <v>214</v>
      </c>
      <c r="E1342" t="s">
        <v>128</v>
      </c>
      <c r="F1342" s="12">
        <v>45548</v>
      </c>
      <c r="G1342" t="s">
        <v>1883</v>
      </c>
      <c r="H1342" s="12">
        <v>45548</v>
      </c>
      <c r="I1342" t="s">
        <v>2062</v>
      </c>
      <c r="J1342" t="s">
        <v>1363</v>
      </c>
      <c r="K1342">
        <v>2</v>
      </c>
      <c r="L1342">
        <v>54.5</v>
      </c>
      <c r="P1342" t="s">
        <v>106</v>
      </c>
      <c r="Q1342" t="s">
        <v>106</v>
      </c>
      <c r="R1342" t="s">
        <v>106</v>
      </c>
      <c r="S1342" t="s">
        <v>106</v>
      </c>
      <c r="T1342" t="s">
        <v>1431</v>
      </c>
      <c r="U1342" t="s">
        <v>2033</v>
      </c>
      <c r="V1342" t="s">
        <v>106</v>
      </c>
      <c r="W1342" t="s">
        <v>2015</v>
      </c>
      <c r="X1342" t="s">
        <v>106</v>
      </c>
      <c r="Y1342" t="s">
        <v>108</v>
      </c>
      <c r="Z1342" t="s">
        <v>104</v>
      </c>
      <c r="AA1342" t="s">
        <v>2058</v>
      </c>
      <c r="AB1342" t="s">
        <v>106</v>
      </c>
    </row>
    <row r="1343" spans="1:28" x14ac:dyDescent="0.3">
      <c r="A1343" t="s">
        <v>1452</v>
      </c>
      <c r="B1343">
        <v>4</v>
      </c>
      <c r="C1343">
        <v>60</v>
      </c>
      <c r="D1343">
        <v>215</v>
      </c>
      <c r="E1343" t="s">
        <v>128</v>
      </c>
      <c r="F1343" s="12">
        <v>45548</v>
      </c>
      <c r="G1343" t="s">
        <v>1883</v>
      </c>
      <c r="H1343" s="12">
        <v>45548</v>
      </c>
      <c r="I1343" t="s">
        <v>2062</v>
      </c>
      <c r="J1343" t="s">
        <v>1363</v>
      </c>
      <c r="K1343">
        <v>2</v>
      </c>
      <c r="L1343">
        <v>54.4</v>
      </c>
      <c r="P1343" t="s">
        <v>106</v>
      </c>
      <c r="Q1343" t="s">
        <v>106</v>
      </c>
      <c r="R1343" t="s">
        <v>106</v>
      </c>
      <c r="S1343" t="s">
        <v>106</v>
      </c>
      <c r="T1343" t="s">
        <v>1485</v>
      </c>
      <c r="U1343" t="s">
        <v>2033</v>
      </c>
      <c r="V1343" t="s">
        <v>106</v>
      </c>
      <c r="W1343" t="s">
        <v>2015</v>
      </c>
      <c r="X1343" t="s">
        <v>106</v>
      </c>
      <c r="Y1343" t="s">
        <v>108</v>
      </c>
      <c r="Z1343" t="s">
        <v>104</v>
      </c>
      <c r="AA1343" t="s">
        <v>2058</v>
      </c>
      <c r="AB1343" t="s">
        <v>106</v>
      </c>
    </row>
    <row r="1344" spans="1:28" x14ac:dyDescent="0.3">
      <c r="A1344" t="s">
        <v>1452</v>
      </c>
      <c r="B1344">
        <v>4</v>
      </c>
      <c r="C1344">
        <v>60</v>
      </c>
      <c r="D1344">
        <v>217</v>
      </c>
      <c r="E1344" t="s">
        <v>128</v>
      </c>
      <c r="F1344" s="12">
        <v>45548</v>
      </c>
      <c r="G1344" t="s">
        <v>2238</v>
      </c>
      <c r="H1344" s="12">
        <v>45548</v>
      </c>
      <c r="I1344" t="s">
        <v>2062</v>
      </c>
      <c r="J1344" t="s">
        <v>1363</v>
      </c>
      <c r="K1344">
        <v>2</v>
      </c>
      <c r="L1344">
        <v>57.7</v>
      </c>
      <c r="P1344" t="s">
        <v>106</v>
      </c>
      <c r="Q1344" t="s">
        <v>106</v>
      </c>
      <c r="R1344" t="s">
        <v>106</v>
      </c>
      <c r="S1344" t="s">
        <v>106</v>
      </c>
      <c r="T1344" t="s">
        <v>1899</v>
      </c>
      <c r="U1344" t="s">
        <v>2716</v>
      </c>
      <c r="V1344" t="s">
        <v>106</v>
      </c>
      <c r="W1344" t="s">
        <v>2015</v>
      </c>
      <c r="X1344" t="s">
        <v>106</v>
      </c>
      <c r="Y1344" t="s">
        <v>108</v>
      </c>
      <c r="Z1344" t="s">
        <v>104</v>
      </c>
      <c r="AA1344" t="s">
        <v>2058</v>
      </c>
      <c r="AB1344" t="s">
        <v>2717</v>
      </c>
    </row>
    <row r="1345" spans="1:28" x14ac:dyDescent="0.3">
      <c r="A1345" t="s">
        <v>1452</v>
      </c>
      <c r="B1345">
        <v>4</v>
      </c>
      <c r="C1345">
        <v>60</v>
      </c>
      <c r="D1345">
        <v>222</v>
      </c>
      <c r="E1345" t="s">
        <v>128</v>
      </c>
      <c r="F1345" s="12">
        <v>45548</v>
      </c>
      <c r="G1345" t="s">
        <v>985</v>
      </c>
      <c r="H1345" s="12">
        <v>45548</v>
      </c>
      <c r="I1345" t="s">
        <v>2056</v>
      </c>
      <c r="J1345" t="s">
        <v>1363</v>
      </c>
      <c r="K1345">
        <v>2</v>
      </c>
      <c r="L1345">
        <v>54.9</v>
      </c>
      <c r="P1345" t="s">
        <v>106</v>
      </c>
      <c r="Q1345" t="s">
        <v>106</v>
      </c>
      <c r="R1345" t="s">
        <v>106</v>
      </c>
      <c r="S1345" t="s">
        <v>106</v>
      </c>
      <c r="T1345" t="s">
        <v>1485</v>
      </c>
      <c r="U1345" t="s">
        <v>2073</v>
      </c>
      <c r="V1345" t="s">
        <v>106</v>
      </c>
      <c r="W1345" t="s">
        <v>2015</v>
      </c>
      <c r="X1345" t="s">
        <v>106</v>
      </c>
      <c r="Y1345" t="s">
        <v>108</v>
      </c>
      <c r="Z1345" t="s">
        <v>104</v>
      </c>
      <c r="AA1345" t="s">
        <v>2058</v>
      </c>
      <c r="AB1345" t="s">
        <v>106</v>
      </c>
    </row>
    <row r="1346" spans="1:28" x14ac:dyDescent="0.3">
      <c r="A1346" t="s">
        <v>1452</v>
      </c>
      <c r="B1346">
        <v>4</v>
      </c>
      <c r="C1346">
        <v>60</v>
      </c>
      <c r="D1346">
        <v>223</v>
      </c>
      <c r="E1346" t="s">
        <v>128</v>
      </c>
      <c r="F1346" s="12">
        <v>45548</v>
      </c>
      <c r="G1346" t="s">
        <v>985</v>
      </c>
      <c r="H1346" s="12">
        <v>45548</v>
      </c>
      <c r="I1346" t="s">
        <v>2056</v>
      </c>
      <c r="J1346" t="s">
        <v>1363</v>
      </c>
      <c r="K1346">
        <v>2</v>
      </c>
      <c r="L1346">
        <v>56.3</v>
      </c>
      <c r="P1346" t="s">
        <v>106</v>
      </c>
      <c r="Q1346" t="s">
        <v>106</v>
      </c>
      <c r="R1346" t="s">
        <v>106</v>
      </c>
      <c r="S1346" t="s">
        <v>106</v>
      </c>
      <c r="T1346" t="s">
        <v>888</v>
      </c>
      <c r="U1346" t="s">
        <v>2498</v>
      </c>
      <c r="V1346" t="s">
        <v>106</v>
      </c>
      <c r="W1346" t="s">
        <v>2015</v>
      </c>
      <c r="X1346" t="s">
        <v>106</v>
      </c>
      <c r="Y1346" t="s">
        <v>108</v>
      </c>
      <c r="Z1346" t="s">
        <v>104</v>
      </c>
      <c r="AA1346" t="s">
        <v>2058</v>
      </c>
      <c r="AB1346" t="s">
        <v>106</v>
      </c>
    </row>
    <row r="1347" spans="1:28" x14ac:dyDescent="0.3">
      <c r="A1347" t="s">
        <v>1452</v>
      </c>
      <c r="B1347">
        <v>4</v>
      </c>
      <c r="C1347">
        <v>60</v>
      </c>
      <c r="D1347">
        <v>193</v>
      </c>
      <c r="E1347" t="s">
        <v>128</v>
      </c>
      <c r="F1347" s="12">
        <v>45548</v>
      </c>
      <c r="G1347" t="s">
        <v>590</v>
      </c>
      <c r="H1347" s="12">
        <v>45548</v>
      </c>
      <c r="I1347" t="s">
        <v>432</v>
      </c>
      <c r="J1347" t="s">
        <v>466</v>
      </c>
      <c r="K1347">
        <v>2</v>
      </c>
      <c r="L1347">
        <v>57</v>
      </c>
      <c r="P1347" t="s">
        <v>106</v>
      </c>
      <c r="Q1347" t="s">
        <v>106</v>
      </c>
      <c r="R1347" t="s">
        <v>106</v>
      </c>
      <c r="S1347" t="s">
        <v>106</v>
      </c>
      <c r="T1347" t="s">
        <v>757</v>
      </c>
      <c r="U1347" t="s">
        <v>2039</v>
      </c>
      <c r="V1347" t="s">
        <v>106</v>
      </c>
      <c r="W1347" t="s">
        <v>443</v>
      </c>
      <c r="X1347" t="s">
        <v>106</v>
      </c>
      <c r="Y1347" t="s">
        <v>108</v>
      </c>
      <c r="Z1347" t="s">
        <v>108</v>
      </c>
      <c r="AA1347" t="s">
        <v>106</v>
      </c>
      <c r="AB1347" t="s">
        <v>106</v>
      </c>
    </row>
    <row r="1348" spans="1:28" x14ac:dyDescent="0.3">
      <c r="A1348" t="s">
        <v>1452</v>
      </c>
      <c r="B1348">
        <v>4</v>
      </c>
      <c r="C1348">
        <v>60</v>
      </c>
      <c r="D1348">
        <v>190</v>
      </c>
      <c r="E1348" t="s">
        <v>128</v>
      </c>
      <c r="F1348" s="12">
        <v>45548</v>
      </c>
      <c r="G1348" t="s">
        <v>536</v>
      </c>
      <c r="H1348" s="12">
        <v>45548</v>
      </c>
      <c r="I1348" t="s">
        <v>432</v>
      </c>
      <c r="J1348" t="s">
        <v>466</v>
      </c>
      <c r="K1348">
        <v>2</v>
      </c>
      <c r="L1348">
        <v>58.9</v>
      </c>
      <c r="P1348" t="s">
        <v>106</v>
      </c>
      <c r="Q1348" t="s">
        <v>106</v>
      </c>
      <c r="R1348" t="s">
        <v>106</v>
      </c>
      <c r="S1348" t="s">
        <v>106</v>
      </c>
      <c r="T1348" t="s">
        <v>1791</v>
      </c>
      <c r="U1348" t="s">
        <v>2060</v>
      </c>
      <c r="V1348" t="s">
        <v>106</v>
      </c>
      <c r="W1348" t="s">
        <v>443</v>
      </c>
      <c r="X1348" t="s">
        <v>106</v>
      </c>
      <c r="Y1348" t="s">
        <v>108</v>
      </c>
      <c r="Z1348" t="s">
        <v>108</v>
      </c>
      <c r="AA1348" t="s">
        <v>106</v>
      </c>
      <c r="AB1348" t="s">
        <v>106</v>
      </c>
    </row>
    <row r="1349" spans="1:28" x14ac:dyDescent="0.3">
      <c r="A1349" t="s">
        <v>1452</v>
      </c>
      <c r="B1349">
        <v>4</v>
      </c>
      <c r="C1349">
        <v>60</v>
      </c>
      <c r="D1349">
        <v>189</v>
      </c>
      <c r="E1349" t="s">
        <v>128</v>
      </c>
      <c r="F1349" s="12">
        <v>45548</v>
      </c>
      <c r="G1349" t="s">
        <v>536</v>
      </c>
      <c r="H1349" s="12">
        <v>45548</v>
      </c>
      <c r="I1349" t="s">
        <v>432</v>
      </c>
      <c r="J1349" t="s">
        <v>466</v>
      </c>
      <c r="K1349">
        <v>2</v>
      </c>
      <c r="L1349">
        <v>56.7</v>
      </c>
      <c r="P1349" t="s">
        <v>106</v>
      </c>
      <c r="Q1349" t="s">
        <v>106</v>
      </c>
      <c r="R1349" t="s">
        <v>106</v>
      </c>
      <c r="S1349" t="s">
        <v>106</v>
      </c>
      <c r="T1349" t="s">
        <v>1935</v>
      </c>
      <c r="U1349" t="s">
        <v>2014</v>
      </c>
      <c r="V1349" t="s">
        <v>106</v>
      </c>
      <c r="W1349" t="s">
        <v>443</v>
      </c>
      <c r="X1349" t="s">
        <v>106</v>
      </c>
      <c r="Y1349" t="s">
        <v>108</v>
      </c>
      <c r="Z1349" t="s">
        <v>108</v>
      </c>
      <c r="AA1349" t="s">
        <v>106</v>
      </c>
      <c r="AB1349" t="s">
        <v>106</v>
      </c>
    </row>
    <row r="1350" spans="1:28" x14ac:dyDescent="0.3">
      <c r="A1350" t="s">
        <v>1452</v>
      </c>
      <c r="B1350">
        <v>4</v>
      </c>
      <c r="C1350">
        <v>60</v>
      </c>
      <c r="D1350">
        <v>184</v>
      </c>
      <c r="E1350" t="s">
        <v>128</v>
      </c>
      <c r="F1350" s="12">
        <v>45548</v>
      </c>
      <c r="G1350" t="s">
        <v>474</v>
      </c>
      <c r="H1350" s="12">
        <v>45548</v>
      </c>
      <c r="I1350" t="s">
        <v>1186</v>
      </c>
      <c r="J1350" t="s">
        <v>464</v>
      </c>
      <c r="K1350">
        <v>2</v>
      </c>
      <c r="L1350">
        <v>58.1</v>
      </c>
      <c r="P1350" t="s">
        <v>106</v>
      </c>
      <c r="Q1350" t="s">
        <v>106</v>
      </c>
      <c r="R1350" t="s">
        <v>106</v>
      </c>
      <c r="S1350" t="s">
        <v>106</v>
      </c>
      <c r="T1350" t="s">
        <v>851</v>
      </c>
      <c r="U1350" t="s">
        <v>1716</v>
      </c>
      <c r="V1350" t="s">
        <v>106</v>
      </c>
      <c r="W1350" t="s">
        <v>443</v>
      </c>
      <c r="X1350" t="s">
        <v>106</v>
      </c>
      <c r="Y1350" t="s">
        <v>108</v>
      </c>
      <c r="Z1350" t="s">
        <v>109</v>
      </c>
      <c r="AA1350" t="s">
        <v>2041</v>
      </c>
      <c r="AB1350" t="s">
        <v>106</v>
      </c>
    </row>
    <row r="1351" spans="1:28" x14ac:dyDescent="0.3">
      <c r="A1351" t="s">
        <v>1452</v>
      </c>
      <c r="B1351">
        <v>4</v>
      </c>
      <c r="C1351">
        <v>60</v>
      </c>
      <c r="D1351">
        <v>200</v>
      </c>
      <c r="E1351" t="s">
        <v>128</v>
      </c>
      <c r="F1351" s="12">
        <v>45548</v>
      </c>
      <c r="G1351" t="s">
        <v>375</v>
      </c>
      <c r="H1351" s="12">
        <v>45548</v>
      </c>
      <c r="I1351" t="s">
        <v>365</v>
      </c>
      <c r="J1351" t="s">
        <v>1363</v>
      </c>
      <c r="K1351">
        <v>2</v>
      </c>
      <c r="L1351">
        <v>48.5</v>
      </c>
      <c r="P1351" t="s">
        <v>106</v>
      </c>
      <c r="Q1351" t="s">
        <v>106</v>
      </c>
      <c r="R1351" t="s">
        <v>106</v>
      </c>
      <c r="S1351" t="s">
        <v>106</v>
      </c>
      <c r="T1351" t="s">
        <v>1049</v>
      </c>
      <c r="U1351" t="s">
        <v>2054</v>
      </c>
      <c r="V1351" t="s">
        <v>106</v>
      </c>
      <c r="W1351" t="s">
        <v>2015</v>
      </c>
      <c r="X1351" t="s">
        <v>106</v>
      </c>
      <c r="Y1351" t="s">
        <v>108</v>
      </c>
      <c r="Z1351" t="s">
        <v>104</v>
      </c>
      <c r="AA1351" t="s">
        <v>2058</v>
      </c>
      <c r="AB1351" t="s">
        <v>106</v>
      </c>
    </row>
    <row r="1352" spans="1:28" x14ac:dyDescent="0.3">
      <c r="A1352" t="s">
        <v>1452</v>
      </c>
      <c r="B1352">
        <v>4</v>
      </c>
      <c r="C1352">
        <v>60</v>
      </c>
      <c r="D1352">
        <v>183</v>
      </c>
      <c r="E1352" t="s">
        <v>128</v>
      </c>
      <c r="F1352" s="12">
        <v>45548</v>
      </c>
      <c r="G1352" t="s">
        <v>589</v>
      </c>
      <c r="H1352" s="12">
        <v>45548</v>
      </c>
      <c r="I1352" t="s">
        <v>1186</v>
      </c>
      <c r="J1352" t="s">
        <v>464</v>
      </c>
      <c r="K1352">
        <v>2</v>
      </c>
      <c r="L1352">
        <v>59.1</v>
      </c>
      <c r="P1352" t="s">
        <v>106</v>
      </c>
      <c r="Q1352" t="s">
        <v>106</v>
      </c>
      <c r="R1352" t="s">
        <v>106</v>
      </c>
      <c r="S1352" t="s">
        <v>106</v>
      </c>
      <c r="T1352" t="s">
        <v>1214</v>
      </c>
      <c r="U1352" t="s">
        <v>1716</v>
      </c>
      <c r="V1352" t="s">
        <v>106</v>
      </c>
      <c r="W1352" t="s">
        <v>443</v>
      </c>
      <c r="X1352" t="s">
        <v>106</v>
      </c>
      <c r="Y1352" t="s">
        <v>108</v>
      </c>
      <c r="Z1352" t="s">
        <v>109</v>
      </c>
      <c r="AA1352" t="s">
        <v>2041</v>
      </c>
      <c r="AB1352" t="s">
        <v>106</v>
      </c>
    </row>
    <row r="1353" spans="1:28" x14ac:dyDescent="0.3">
      <c r="A1353" t="s">
        <v>1452</v>
      </c>
      <c r="B1353">
        <v>4</v>
      </c>
      <c r="C1353">
        <v>60</v>
      </c>
      <c r="D1353">
        <v>201</v>
      </c>
      <c r="E1353" t="s">
        <v>128</v>
      </c>
      <c r="F1353" s="12">
        <v>45548</v>
      </c>
      <c r="G1353" t="s">
        <v>375</v>
      </c>
      <c r="H1353" s="12">
        <v>45548</v>
      </c>
      <c r="I1353" t="s">
        <v>365</v>
      </c>
      <c r="J1353" t="s">
        <v>1363</v>
      </c>
      <c r="K1353">
        <v>2</v>
      </c>
      <c r="L1353">
        <v>57.5</v>
      </c>
      <c r="P1353" t="s">
        <v>106</v>
      </c>
      <c r="Q1353" t="s">
        <v>106</v>
      </c>
      <c r="R1353" t="s">
        <v>106</v>
      </c>
      <c r="S1353" t="s">
        <v>106</v>
      </c>
      <c r="T1353" t="s">
        <v>981</v>
      </c>
      <c r="U1353" t="s">
        <v>2039</v>
      </c>
      <c r="V1353" t="s">
        <v>106</v>
      </c>
      <c r="W1353" t="s">
        <v>2015</v>
      </c>
      <c r="X1353" t="s">
        <v>106</v>
      </c>
      <c r="Y1353" t="s">
        <v>108</v>
      </c>
      <c r="Z1353" t="s">
        <v>104</v>
      </c>
      <c r="AA1353" t="s">
        <v>2058</v>
      </c>
      <c r="AB1353" t="s">
        <v>106</v>
      </c>
    </row>
    <row r="1354" spans="1:28" x14ac:dyDescent="0.3">
      <c r="A1354" t="s">
        <v>1456</v>
      </c>
      <c r="B1354">
        <v>2</v>
      </c>
      <c r="C1354">
        <v>15</v>
      </c>
      <c r="D1354">
        <v>1</v>
      </c>
      <c r="E1354" t="s">
        <v>128</v>
      </c>
      <c r="F1354" s="12">
        <v>45555</v>
      </c>
      <c r="G1354" t="s">
        <v>634</v>
      </c>
      <c r="H1354" s="12">
        <v>45555</v>
      </c>
      <c r="I1354" t="s">
        <v>362</v>
      </c>
      <c r="J1354" t="s">
        <v>1363</v>
      </c>
      <c r="K1354">
        <v>2</v>
      </c>
      <c r="L1354">
        <v>13.2</v>
      </c>
      <c r="P1354" t="s">
        <v>106</v>
      </c>
      <c r="Q1354" t="s">
        <v>106</v>
      </c>
      <c r="R1354" t="s">
        <v>106</v>
      </c>
      <c r="S1354" t="s">
        <v>106</v>
      </c>
      <c r="T1354" t="s">
        <v>1495</v>
      </c>
      <c r="U1354" t="s">
        <v>719</v>
      </c>
      <c r="V1354" t="s">
        <v>106</v>
      </c>
      <c r="W1354" t="s">
        <v>443</v>
      </c>
      <c r="X1354" t="s">
        <v>106</v>
      </c>
      <c r="Y1354" t="s">
        <v>108</v>
      </c>
      <c r="Z1354" t="s">
        <v>109</v>
      </c>
      <c r="AA1354" t="s">
        <v>106</v>
      </c>
      <c r="AB1354" t="s">
        <v>106</v>
      </c>
    </row>
    <row r="1355" spans="1:28" x14ac:dyDescent="0.3">
      <c r="A1355" t="s">
        <v>1456</v>
      </c>
      <c r="B1355">
        <v>2</v>
      </c>
      <c r="C1355">
        <v>15</v>
      </c>
      <c r="D1355">
        <v>11</v>
      </c>
      <c r="E1355" t="s">
        <v>128</v>
      </c>
      <c r="F1355" s="12">
        <v>45555</v>
      </c>
      <c r="G1355" t="s">
        <v>491</v>
      </c>
      <c r="H1355" s="12">
        <v>45555</v>
      </c>
      <c r="I1355" t="s">
        <v>675</v>
      </c>
      <c r="J1355" t="s">
        <v>1363</v>
      </c>
      <c r="K1355">
        <v>2</v>
      </c>
      <c r="L1355">
        <v>13.7</v>
      </c>
      <c r="P1355" t="s">
        <v>106</v>
      </c>
      <c r="Q1355" t="s">
        <v>106</v>
      </c>
      <c r="R1355" t="s">
        <v>106</v>
      </c>
      <c r="S1355" t="s">
        <v>106</v>
      </c>
      <c r="T1355" t="s">
        <v>1063</v>
      </c>
      <c r="U1355" t="s">
        <v>106</v>
      </c>
      <c r="V1355" t="s">
        <v>106</v>
      </c>
      <c r="W1355" t="s">
        <v>443</v>
      </c>
      <c r="X1355" t="s">
        <v>106</v>
      </c>
      <c r="Y1355" t="s">
        <v>108</v>
      </c>
      <c r="Z1355" t="s">
        <v>109</v>
      </c>
      <c r="AA1355" t="s">
        <v>106</v>
      </c>
      <c r="AB1355" t="s">
        <v>106</v>
      </c>
    </row>
    <row r="1356" spans="1:28" x14ac:dyDescent="0.3">
      <c r="A1356" t="s">
        <v>1456</v>
      </c>
      <c r="B1356">
        <v>2</v>
      </c>
      <c r="C1356">
        <v>15</v>
      </c>
      <c r="D1356">
        <v>22</v>
      </c>
      <c r="E1356" t="s">
        <v>128</v>
      </c>
      <c r="F1356" s="12">
        <v>45555</v>
      </c>
      <c r="G1356" t="s">
        <v>374</v>
      </c>
      <c r="H1356" s="12">
        <v>45555</v>
      </c>
      <c r="I1356" t="s">
        <v>1402</v>
      </c>
      <c r="J1356" t="s">
        <v>458</v>
      </c>
      <c r="K1356">
        <v>2</v>
      </c>
      <c r="L1356">
        <v>14.1</v>
      </c>
      <c r="P1356" t="s">
        <v>106</v>
      </c>
      <c r="Q1356" t="s">
        <v>106</v>
      </c>
      <c r="R1356" t="s">
        <v>106</v>
      </c>
      <c r="S1356" t="s">
        <v>106</v>
      </c>
      <c r="T1356" t="s">
        <v>1101</v>
      </c>
      <c r="U1356" t="s">
        <v>1600</v>
      </c>
      <c r="V1356" t="s">
        <v>106</v>
      </c>
      <c r="W1356" t="s">
        <v>443</v>
      </c>
      <c r="X1356" t="s">
        <v>106</v>
      </c>
      <c r="Y1356" t="s">
        <v>108</v>
      </c>
      <c r="Z1356" t="s">
        <v>104</v>
      </c>
      <c r="AA1356" t="s">
        <v>106</v>
      </c>
      <c r="AB1356" t="s">
        <v>106</v>
      </c>
    </row>
    <row r="1357" spans="1:28" x14ac:dyDescent="0.3">
      <c r="A1357" t="s">
        <v>1456</v>
      </c>
      <c r="B1357">
        <v>2</v>
      </c>
      <c r="C1357">
        <v>15</v>
      </c>
      <c r="D1357">
        <v>18</v>
      </c>
      <c r="E1357" t="s">
        <v>128</v>
      </c>
      <c r="F1357" s="12">
        <v>45555</v>
      </c>
      <c r="G1357" t="s">
        <v>1139</v>
      </c>
      <c r="H1357" s="12">
        <v>45555</v>
      </c>
      <c r="I1357" t="s">
        <v>1110</v>
      </c>
      <c r="J1357" t="s">
        <v>458</v>
      </c>
      <c r="K1357">
        <v>2</v>
      </c>
      <c r="L1357">
        <v>13.8</v>
      </c>
      <c r="P1357" t="s">
        <v>106</v>
      </c>
      <c r="Q1357" t="s">
        <v>106</v>
      </c>
      <c r="R1357" t="s">
        <v>106</v>
      </c>
      <c r="S1357" t="s">
        <v>106</v>
      </c>
      <c r="T1357" t="s">
        <v>1825</v>
      </c>
      <c r="U1357" t="s">
        <v>1596</v>
      </c>
      <c r="V1357" t="s">
        <v>106</v>
      </c>
      <c r="W1357" t="s">
        <v>443</v>
      </c>
      <c r="X1357" t="s">
        <v>106</v>
      </c>
      <c r="Y1357" t="s">
        <v>108</v>
      </c>
      <c r="Z1357" t="s">
        <v>104</v>
      </c>
      <c r="AA1357" t="s">
        <v>106</v>
      </c>
      <c r="AB1357" t="s">
        <v>106</v>
      </c>
    </row>
    <row r="1358" spans="1:28" x14ac:dyDescent="0.3">
      <c r="A1358" t="s">
        <v>1456</v>
      </c>
      <c r="B1358">
        <v>2</v>
      </c>
      <c r="C1358">
        <v>15</v>
      </c>
      <c r="D1358">
        <v>19</v>
      </c>
      <c r="E1358" t="s">
        <v>128</v>
      </c>
      <c r="F1358" s="12">
        <v>45555</v>
      </c>
      <c r="G1358" t="s">
        <v>1139</v>
      </c>
      <c r="H1358" s="12">
        <v>45555</v>
      </c>
      <c r="I1358" t="s">
        <v>1110</v>
      </c>
      <c r="J1358" t="s">
        <v>458</v>
      </c>
      <c r="K1358">
        <v>2</v>
      </c>
      <c r="L1358">
        <v>14.3</v>
      </c>
      <c r="P1358" t="s">
        <v>106</v>
      </c>
      <c r="Q1358" t="s">
        <v>106</v>
      </c>
      <c r="R1358" t="s">
        <v>106</v>
      </c>
      <c r="S1358" t="s">
        <v>106</v>
      </c>
      <c r="T1358" t="s">
        <v>1379</v>
      </c>
      <c r="U1358" t="s">
        <v>1483</v>
      </c>
      <c r="V1358" t="s">
        <v>106</v>
      </c>
      <c r="W1358" t="s">
        <v>443</v>
      </c>
      <c r="X1358" t="s">
        <v>106</v>
      </c>
      <c r="Y1358" t="s">
        <v>108</v>
      </c>
      <c r="Z1358" t="s">
        <v>104</v>
      </c>
      <c r="AA1358" t="s">
        <v>106</v>
      </c>
      <c r="AB1358" t="s">
        <v>106</v>
      </c>
    </row>
    <row r="1359" spans="1:28" x14ac:dyDescent="0.3">
      <c r="A1359" t="s">
        <v>1456</v>
      </c>
      <c r="B1359">
        <v>2</v>
      </c>
      <c r="C1359">
        <v>15</v>
      </c>
      <c r="D1359">
        <v>2</v>
      </c>
      <c r="E1359" t="s">
        <v>128</v>
      </c>
      <c r="F1359" s="12">
        <v>45555</v>
      </c>
      <c r="G1359" t="s">
        <v>634</v>
      </c>
      <c r="H1359" s="12">
        <v>45555</v>
      </c>
      <c r="I1359" t="s">
        <v>362</v>
      </c>
      <c r="J1359" t="s">
        <v>1363</v>
      </c>
      <c r="K1359">
        <v>2</v>
      </c>
      <c r="L1359">
        <v>13.4</v>
      </c>
      <c r="P1359" t="s">
        <v>106</v>
      </c>
      <c r="Q1359" t="s">
        <v>106</v>
      </c>
      <c r="R1359" t="s">
        <v>106</v>
      </c>
      <c r="S1359" t="s">
        <v>106</v>
      </c>
      <c r="T1359" t="s">
        <v>1495</v>
      </c>
      <c r="U1359" t="s">
        <v>147</v>
      </c>
      <c r="V1359" t="s">
        <v>106</v>
      </c>
      <c r="W1359" t="s">
        <v>443</v>
      </c>
      <c r="X1359" t="s">
        <v>106</v>
      </c>
      <c r="Y1359" t="s">
        <v>108</v>
      </c>
      <c r="Z1359" t="s">
        <v>109</v>
      </c>
      <c r="AA1359" t="s">
        <v>106</v>
      </c>
      <c r="AB1359" t="s">
        <v>106</v>
      </c>
    </row>
    <row r="1360" spans="1:28" x14ac:dyDescent="0.3">
      <c r="A1360" t="s">
        <v>1456</v>
      </c>
      <c r="B1360">
        <v>3</v>
      </c>
      <c r="C1360">
        <v>35</v>
      </c>
      <c r="D1360">
        <v>15</v>
      </c>
      <c r="E1360" t="s">
        <v>128</v>
      </c>
      <c r="F1360" s="12">
        <v>45555</v>
      </c>
      <c r="G1360" t="s">
        <v>683</v>
      </c>
      <c r="H1360" s="12">
        <v>45555</v>
      </c>
      <c r="I1360" t="s">
        <v>1110</v>
      </c>
      <c r="J1360" t="s">
        <v>458</v>
      </c>
      <c r="K1360">
        <v>2</v>
      </c>
      <c r="L1360">
        <v>34.1</v>
      </c>
      <c r="P1360" t="s">
        <v>106</v>
      </c>
      <c r="Q1360" t="s">
        <v>106</v>
      </c>
      <c r="R1360" t="s">
        <v>106</v>
      </c>
      <c r="S1360" t="s">
        <v>106</v>
      </c>
      <c r="T1360" t="s">
        <v>1476</v>
      </c>
      <c r="U1360" t="s">
        <v>1736</v>
      </c>
      <c r="V1360" t="s">
        <v>106</v>
      </c>
      <c r="W1360" t="s">
        <v>443</v>
      </c>
      <c r="X1360" t="s">
        <v>106</v>
      </c>
      <c r="Y1360" t="s">
        <v>108</v>
      </c>
      <c r="Z1360" t="s">
        <v>108</v>
      </c>
      <c r="AA1360" t="s">
        <v>106</v>
      </c>
      <c r="AB1360" t="s">
        <v>106</v>
      </c>
    </row>
    <row r="1361" spans="1:28" x14ac:dyDescent="0.3">
      <c r="A1361" t="s">
        <v>1456</v>
      </c>
      <c r="B1361">
        <v>3</v>
      </c>
      <c r="C1361">
        <v>35</v>
      </c>
      <c r="D1361">
        <v>13</v>
      </c>
      <c r="E1361" t="s">
        <v>128</v>
      </c>
      <c r="F1361" s="12">
        <v>45555</v>
      </c>
      <c r="G1361" t="s">
        <v>2236</v>
      </c>
      <c r="H1361" s="12">
        <v>45555</v>
      </c>
      <c r="I1361" t="s">
        <v>1421</v>
      </c>
      <c r="J1361" t="s">
        <v>1363</v>
      </c>
      <c r="K1361">
        <v>2</v>
      </c>
      <c r="L1361">
        <v>33.6</v>
      </c>
      <c r="P1361" t="s">
        <v>106</v>
      </c>
      <c r="Q1361" t="s">
        <v>106</v>
      </c>
      <c r="R1361" t="s">
        <v>106</v>
      </c>
      <c r="S1361" t="s">
        <v>106</v>
      </c>
      <c r="T1361" t="s">
        <v>1409</v>
      </c>
      <c r="U1361" t="s">
        <v>1539</v>
      </c>
      <c r="V1361" t="s">
        <v>106</v>
      </c>
      <c r="W1361" t="s">
        <v>443</v>
      </c>
      <c r="X1361" t="s">
        <v>106</v>
      </c>
      <c r="Y1361" t="s">
        <v>108</v>
      </c>
      <c r="Z1361" t="s">
        <v>108</v>
      </c>
      <c r="AA1361" t="s">
        <v>2495</v>
      </c>
      <c r="AB1361" t="s">
        <v>106</v>
      </c>
    </row>
    <row r="1362" spans="1:28" x14ac:dyDescent="0.3">
      <c r="A1362" t="s">
        <v>1456</v>
      </c>
      <c r="B1362">
        <v>3</v>
      </c>
      <c r="C1362">
        <v>35</v>
      </c>
      <c r="D1362">
        <v>3</v>
      </c>
      <c r="E1362" t="s">
        <v>128</v>
      </c>
      <c r="F1362" s="12">
        <v>45555</v>
      </c>
      <c r="G1362" t="s">
        <v>648</v>
      </c>
      <c r="H1362" s="12">
        <v>45555</v>
      </c>
      <c r="I1362" t="s">
        <v>362</v>
      </c>
      <c r="J1362" t="s">
        <v>1363</v>
      </c>
      <c r="K1362">
        <v>2</v>
      </c>
      <c r="L1362">
        <v>32.6</v>
      </c>
      <c r="P1362" t="s">
        <v>106</v>
      </c>
      <c r="Q1362" t="s">
        <v>106</v>
      </c>
      <c r="R1362" t="s">
        <v>106</v>
      </c>
      <c r="S1362" t="s">
        <v>106</v>
      </c>
      <c r="T1362" t="s">
        <v>989</v>
      </c>
      <c r="U1362" t="s">
        <v>720</v>
      </c>
      <c r="V1362" t="s">
        <v>106</v>
      </c>
      <c r="W1362" t="s">
        <v>443</v>
      </c>
      <c r="X1362" t="s">
        <v>106</v>
      </c>
      <c r="Y1362" t="s">
        <v>108</v>
      </c>
      <c r="Z1362" t="s">
        <v>108</v>
      </c>
      <c r="AA1362" t="s">
        <v>106</v>
      </c>
      <c r="AB1362" t="s">
        <v>106</v>
      </c>
    </row>
    <row r="1363" spans="1:28" x14ac:dyDescent="0.3">
      <c r="A1363" t="s">
        <v>1456</v>
      </c>
      <c r="B1363">
        <v>3</v>
      </c>
      <c r="C1363">
        <v>35</v>
      </c>
      <c r="D1363">
        <v>4</v>
      </c>
      <c r="E1363" t="s">
        <v>128</v>
      </c>
      <c r="F1363" s="12">
        <v>45555</v>
      </c>
      <c r="G1363" t="s">
        <v>648</v>
      </c>
      <c r="H1363" s="12">
        <v>45555</v>
      </c>
      <c r="I1363" t="s">
        <v>362</v>
      </c>
      <c r="J1363" t="s">
        <v>1363</v>
      </c>
      <c r="K1363">
        <v>2</v>
      </c>
      <c r="L1363">
        <v>32.299999999999997</v>
      </c>
      <c r="P1363" t="s">
        <v>106</v>
      </c>
      <c r="Q1363" t="s">
        <v>106</v>
      </c>
      <c r="R1363" t="s">
        <v>106</v>
      </c>
      <c r="S1363" t="s">
        <v>106</v>
      </c>
      <c r="T1363" t="s">
        <v>1400</v>
      </c>
      <c r="U1363" t="s">
        <v>426</v>
      </c>
      <c r="V1363" t="s">
        <v>106</v>
      </c>
      <c r="W1363" t="s">
        <v>443</v>
      </c>
      <c r="X1363" t="s">
        <v>106</v>
      </c>
      <c r="Y1363" t="s">
        <v>108</v>
      </c>
      <c r="Z1363" t="s">
        <v>108</v>
      </c>
      <c r="AA1363" t="s">
        <v>106</v>
      </c>
      <c r="AB1363" t="s">
        <v>106</v>
      </c>
    </row>
    <row r="1364" spans="1:28" x14ac:dyDescent="0.3">
      <c r="A1364" t="s">
        <v>1456</v>
      </c>
      <c r="B1364">
        <v>3</v>
      </c>
      <c r="C1364">
        <v>35</v>
      </c>
      <c r="D1364">
        <v>21</v>
      </c>
      <c r="E1364" t="s">
        <v>128</v>
      </c>
      <c r="F1364" s="12">
        <v>45555</v>
      </c>
      <c r="G1364" t="s">
        <v>389</v>
      </c>
      <c r="H1364" s="12">
        <v>45555</v>
      </c>
      <c r="I1364" t="s">
        <v>1402</v>
      </c>
      <c r="J1364" t="s">
        <v>458</v>
      </c>
      <c r="K1364">
        <v>2</v>
      </c>
      <c r="L1364">
        <v>33.299999999999997</v>
      </c>
      <c r="P1364" t="s">
        <v>106</v>
      </c>
      <c r="Q1364" t="s">
        <v>106</v>
      </c>
      <c r="R1364" t="s">
        <v>106</v>
      </c>
      <c r="S1364" t="s">
        <v>106</v>
      </c>
      <c r="T1364" t="s">
        <v>2063</v>
      </c>
      <c r="U1364" t="s">
        <v>1596</v>
      </c>
      <c r="V1364" t="s">
        <v>106</v>
      </c>
      <c r="W1364" t="s">
        <v>443</v>
      </c>
      <c r="X1364" t="s">
        <v>106</v>
      </c>
      <c r="Y1364" t="s">
        <v>108</v>
      </c>
      <c r="Z1364" t="s">
        <v>104</v>
      </c>
      <c r="AA1364" t="s">
        <v>106</v>
      </c>
      <c r="AB1364" t="s">
        <v>106</v>
      </c>
    </row>
    <row r="1365" spans="1:28" x14ac:dyDescent="0.3">
      <c r="A1365" t="s">
        <v>1456</v>
      </c>
      <c r="B1365">
        <v>3</v>
      </c>
      <c r="C1365">
        <v>35</v>
      </c>
      <c r="D1365">
        <v>9</v>
      </c>
      <c r="E1365" t="s">
        <v>128</v>
      </c>
      <c r="F1365" s="12">
        <v>45555</v>
      </c>
      <c r="G1365" t="s">
        <v>2496</v>
      </c>
      <c r="H1365" s="12">
        <v>45555</v>
      </c>
      <c r="I1365" t="s">
        <v>675</v>
      </c>
      <c r="J1365" t="s">
        <v>1363</v>
      </c>
      <c r="K1365">
        <v>2</v>
      </c>
      <c r="L1365">
        <v>32.799999999999997</v>
      </c>
      <c r="P1365" t="s">
        <v>106</v>
      </c>
      <c r="Q1365" t="s">
        <v>106</v>
      </c>
      <c r="R1365" t="s">
        <v>106</v>
      </c>
      <c r="S1365" t="s">
        <v>106</v>
      </c>
      <c r="T1365" t="s">
        <v>1158</v>
      </c>
      <c r="U1365" t="s">
        <v>106</v>
      </c>
      <c r="V1365" t="s">
        <v>106</v>
      </c>
      <c r="W1365" t="s">
        <v>443</v>
      </c>
      <c r="X1365" t="s">
        <v>106</v>
      </c>
      <c r="Y1365" t="s">
        <v>108</v>
      </c>
      <c r="Z1365" t="s">
        <v>108</v>
      </c>
      <c r="AA1365" t="s">
        <v>106</v>
      </c>
      <c r="AB1365" t="s">
        <v>106</v>
      </c>
    </row>
    <row r="1366" spans="1:28" x14ac:dyDescent="0.3">
      <c r="A1366" t="s">
        <v>1456</v>
      </c>
      <c r="B1366">
        <v>3</v>
      </c>
      <c r="C1366">
        <v>35</v>
      </c>
      <c r="D1366">
        <v>10</v>
      </c>
      <c r="E1366" t="s">
        <v>128</v>
      </c>
      <c r="F1366" s="12">
        <v>45555</v>
      </c>
      <c r="G1366" t="s">
        <v>2496</v>
      </c>
      <c r="H1366" s="12">
        <v>45555</v>
      </c>
      <c r="I1366" t="s">
        <v>675</v>
      </c>
      <c r="J1366" t="s">
        <v>1363</v>
      </c>
      <c r="K1366">
        <v>2</v>
      </c>
      <c r="L1366">
        <v>32.9</v>
      </c>
      <c r="P1366" t="s">
        <v>106</v>
      </c>
      <c r="Q1366" t="s">
        <v>106</v>
      </c>
      <c r="R1366" t="s">
        <v>106</v>
      </c>
      <c r="S1366" t="s">
        <v>106</v>
      </c>
      <c r="T1366" t="s">
        <v>1459</v>
      </c>
      <c r="U1366" t="s">
        <v>106</v>
      </c>
      <c r="V1366" t="s">
        <v>106</v>
      </c>
      <c r="W1366" t="s">
        <v>443</v>
      </c>
      <c r="X1366" t="s">
        <v>106</v>
      </c>
      <c r="Y1366" t="s">
        <v>108</v>
      </c>
      <c r="Z1366" t="s">
        <v>108</v>
      </c>
      <c r="AA1366" t="s">
        <v>106</v>
      </c>
      <c r="AB1366" t="s">
        <v>106</v>
      </c>
    </row>
    <row r="1367" spans="1:28" x14ac:dyDescent="0.3">
      <c r="A1367" t="s">
        <v>1456</v>
      </c>
      <c r="B1367">
        <v>3</v>
      </c>
      <c r="C1367">
        <v>35</v>
      </c>
      <c r="D1367">
        <v>12</v>
      </c>
      <c r="E1367" t="s">
        <v>128</v>
      </c>
      <c r="F1367" s="12">
        <v>45555</v>
      </c>
      <c r="G1367" t="s">
        <v>2236</v>
      </c>
      <c r="H1367" s="12">
        <v>45555</v>
      </c>
      <c r="I1367" t="s">
        <v>1421</v>
      </c>
      <c r="J1367" t="s">
        <v>1363</v>
      </c>
      <c r="K1367">
        <v>2</v>
      </c>
      <c r="L1367">
        <v>33.700000000000003</v>
      </c>
      <c r="P1367" t="s">
        <v>106</v>
      </c>
      <c r="Q1367" t="s">
        <v>106</v>
      </c>
      <c r="R1367" t="s">
        <v>106</v>
      </c>
      <c r="S1367" t="s">
        <v>106</v>
      </c>
      <c r="T1367" t="s">
        <v>1839</v>
      </c>
      <c r="U1367" t="s">
        <v>905</v>
      </c>
      <c r="V1367" t="s">
        <v>106</v>
      </c>
      <c r="W1367" t="s">
        <v>443</v>
      </c>
      <c r="X1367" t="s">
        <v>106</v>
      </c>
      <c r="Y1367" t="s">
        <v>108</v>
      </c>
      <c r="Z1367" t="s">
        <v>108</v>
      </c>
      <c r="AA1367" t="s">
        <v>2495</v>
      </c>
      <c r="AB1367" t="s">
        <v>106</v>
      </c>
    </row>
    <row r="1368" spans="1:28" x14ac:dyDescent="0.3">
      <c r="A1368" t="s">
        <v>1456</v>
      </c>
      <c r="B1368">
        <v>3</v>
      </c>
      <c r="C1368">
        <v>35</v>
      </c>
      <c r="D1368">
        <v>14</v>
      </c>
      <c r="E1368" t="s">
        <v>128</v>
      </c>
      <c r="F1368" s="12">
        <v>45555</v>
      </c>
      <c r="G1368" t="s">
        <v>452</v>
      </c>
      <c r="H1368" s="12">
        <v>45555</v>
      </c>
      <c r="I1368" t="s">
        <v>1110</v>
      </c>
      <c r="J1368" t="s">
        <v>458</v>
      </c>
      <c r="K1368">
        <v>2</v>
      </c>
      <c r="L1368">
        <v>33.799999999999997</v>
      </c>
      <c r="P1368" t="s">
        <v>106</v>
      </c>
      <c r="Q1368" t="s">
        <v>106</v>
      </c>
      <c r="R1368" t="s">
        <v>106</v>
      </c>
      <c r="S1368" t="s">
        <v>106</v>
      </c>
      <c r="T1368" t="s">
        <v>1839</v>
      </c>
      <c r="U1368" t="s">
        <v>1600</v>
      </c>
      <c r="V1368" t="s">
        <v>106</v>
      </c>
      <c r="W1368" t="s">
        <v>443</v>
      </c>
      <c r="X1368" t="s">
        <v>106</v>
      </c>
      <c r="Y1368" t="s">
        <v>108</v>
      </c>
      <c r="Z1368" t="s">
        <v>108</v>
      </c>
      <c r="AA1368" t="s">
        <v>106</v>
      </c>
      <c r="AB1368" t="s">
        <v>106</v>
      </c>
    </row>
    <row r="1369" spans="1:28" x14ac:dyDescent="0.3">
      <c r="A1369" t="s">
        <v>1456</v>
      </c>
      <c r="B1369">
        <v>3</v>
      </c>
      <c r="C1369">
        <v>35</v>
      </c>
      <c r="D1369">
        <v>20</v>
      </c>
      <c r="E1369" t="s">
        <v>128</v>
      </c>
      <c r="F1369" s="12">
        <v>45555</v>
      </c>
      <c r="G1369" t="s">
        <v>389</v>
      </c>
      <c r="H1369" s="12">
        <v>45555</v>
      </c>
      <c r="I1369" t="s">
        <v>1402</v>
      </c>
      <c r="J1369" t="s">
        <v>458</v>
      </c>
      <c r="K1369">
        <v>2</v>
      </c>
      <c r="L1369">
        <v>32.9</v>
      </c>
      <c r="P1369" t="s">
        <v>106</v>
      </c>
      <c r="Q1369" t="s">
        <v>106</v>
      </c>
      <c r="R1369" t="s">
        <v>106</v>
      </c>
      <c r="S1369" t="s">
        <v>106</v>
      </c>
      <c r="T1369" t="s">
        <v>1379</v>
      </c>
      <c r="U1369" t="s">
        <v>1483</v>
      </c>
      <c r="V1369" t="s">
        <v>106</v>
      </c>
      <c r="W1369" t="s">
        <v>443</v>
      </c>
      <c r="X1369" t="s">
        <v>106</v>
      </c>
      <c r="Y1369" t="s">
        <v>108</v>
      </c>
      <c r="Z1369" t="s">
        <v>104</v>
      </c>
      <c r="AA1369" t="s">
        <v>106</v>
      </c>
      <c r="AB1369" t="s">
        <v>106</v>
      </c>
    </row>
    <row r="1370" spans="1:28" x14ac:dyDescent="0.3">
      <c r="A1370" t="s">
        <v>1456</v>
      </c>
      <c r="B1370">
        <v>4</v>
      </c>
      <c r="C1370">
        <v>60</v>
      </c>
      <c r="D1370">
        <v>5</v>
      </c>
      <c r="E1370" t="s">
        <v>128</v>
      </c>
      <c r="F1370" s="12">
        <v>45555</v>
      </c>
      <c r="G1370" t="s">
        <v>422</v>
      </c>
      <c r="H1370" s="12">
        <v>45555</v>
      </c>
      <c r="I1370" t="s">
        <v>362</v>
      </c>
      <c r="J1370" t="s">
        <v>1363</v>
      </c>
      <c r="K1370">
        <v>2</v>
      </c>
      <c r="L1370">
        <v>52.1</v>
      </c>
      <c r="P1370" t="s">
        <v>106</v>
      </c>
      <c r="Q1370" t="s">
        <v>106</v>
      </c>
      <c r="R1370" t="s">
        <v>106</v>
      </c>
      <c r="S1370" t="s">
        <v>106</v>
      </c>
      <c r="T1370" t="s">
        <v>1793</v>
      </c>
      <c r="U1370" t="s">
        <v>444</v>
      </c>
      <c r="V1370" t="s">
        <v>106</v>
      </c>
      <c r="W1370" t="s">
        <v>443</v>
      </c>
      <c r="X1370" t="s">
        <v>106</v>
      </c>
      <c r="Y1370" t="s">
        <v>108</v>
      </c>
      <c r="Z1370" t="s">
        <v>104</v>
      </c>
      <c r="AA1370" t="s">
        <v>106</v>
      </c>
      <c r="AB1370" t="s">
        <v>106</v>
      </c>
    </row>
    <row r="1371" spans="1:28" x14ac:dyDescent="0.3">
      <c r="A1371" t="s">
        <v>1456</v>
      </c>
      <c r="B1371">
        <v>4</v>
      </c>
      <c r="C1371">
        <v>60</v>
      </c>
      <c r="D1371">
        <v>8</v>
      </c>
      <c r="E1371" t="s">
        <v>128</v>
      </c>
      <c r="F1371" s="12">
        <v>45555</v>
      </c>
      <c r="G1371" t="s">
        <v>2496</v>
      </c>
      <c r="H1371" s="12">
        <v>45555</v>
      </c>
      <c r="I1371" t="s">
        <v>675</v>
      </c>
      <c r="J1371" t="s">
        <v>1363</v>
      </c>
      <c r="K1371">
        <v>2</v>
      </c>
      <c r="L1371">
        <v>55.2</v>
      </c>
      <c r="P1371" t="s">
        <v>106</v>
      </c>
      <c r="Q1371" t="s">
        <v>106</v>
      </c>
      <c r="R1371" t="s">
        <v>106</v>
      </c>
      <c r="S1371" t="s">
        <v>106</v>
      </c>
      <c r="T1371" t="s">
        <v>1004</v>
      </c>
      <c r="U1371" t="s">
        <v>106</v>
      </c>
      <c r="V1371" t="s">
        <v>106</v>
      </c>
      <c r="W1371" t="s">
        <v>443</v>
      </c>
      <c r="X1371" t="s">
        <v>106</v>
      </c>
      <c r="Y1371" t="s">
        <v>108</v>
      </c>
      <c r="Z1371" t="s">
        <v>104</v>
      </c>
      <c r="AA1371" t="s">
        <v>106</v>
      </c>
      <c r="AB1371" t="s">
        <v>106</v>
      </c>
    </row>
    <row r="1372" spans="1:28" x14ac:dyDescent="0.3">
      <c r="A1372" t="s">
        <v>1456</v>
      </c>
      <c r="B1372">
        <v>4</v>
      </c>
      <c r="C1372">
        <v>60</v>
      </c>
      <c r="D1372">
        <v>7</v>
      </c>
      <c r="E1372" t="s">
        <v>128</v>
      </c>
      <c r="F1372" s="12">
        <v>45555</v>
      </c>
      <c r="G1372" t="s">
        <v>1103</v>
      </c>
      <c r="H1372" s="12">
        <v>45555</v>
      </c>
      <c r="I1372" t="s">
        <v>675</v>
      </c>
      <c r="J1372" t="s">
        <v>1363</v>
      </c>
      <c r="K1372">
        <v>2</v>
      </c>
      <c r="L1372">
        <v>55.4</v>
      </c>
      <c r="P1372" t="s">
        <v>106</v>
      </c>
      <c r="Q1372" t="s">
        <v>106</v>
      </c>
      <c r="R1372" t="s">
        <v>106</v>
      </c>
      <c r="S1372" t="s">
        <v>106</v>
      </c>
      <c r="T1372" t="s">
        <v>1458</v>
      </c>
      <c r="U1372" t="s">
        <v>106</v>
      </c>
      <c r="V1372" t="s">
        <v>106</v>
      </c>
      <c r="W1372" t="s">
        <v>443</v>
      </c>
      <c r="X1372" t="s">
        <v>106</v>
      </c>
      <c r="Y1372" t="s">
        <v>108</v>
      </c>
      <c r="Z1372" t="s">
        <v>104</v>
      </c>
      <c r="AA1372" t="s">
        <v>106</v>
      </c>
      <c r="AB1372" t="s">
        <v>106</v>
      </c>
    </row>
    <row r="1373" spans="1:28" x14ac:dyDescent="0.3">
      <c r="A1373" t="s">
        <v>1456</v>
      </c>
      <c r="B1373">
        <v>4</v>
      </c>
      <c r="C1373">
        <v>60</v>
      </c>
      <c r="D1373">
        <v>16</v>
      </c>
      <c r="E1373" t="s">
        <v>128</v>
      </c>
      <c r="F1373" s="12">
        <v>45555</v>
      </c>
      <c r="G1373" t="s">
        <v>582</v>
      </c>
      <c r="H1373" s="12">
        <v>45555</v>
      </c>
      <c r="I1373" t="s">
        <v>1110</v>
      </c>
      <c r="J1373" t="s">
        <v>458</v>
      </c>
      <c r="K1373">
        <v>2</v>
      </c>
      <c r="L1373">
        <v>57</v>
      </c>
      <c r="P1373" t="s">
        <v>106</v>
      </c>
      <c r="Q1373" t="s">
        <v>106</v>
      </c>
      <c r="R1373" t="s">
        <v>106</v>
      </c>
      <c r="S1373" t="s">
        <v>106</v>
      </c>
      <c r="T1373" t="s">
        <v>1935</v>
      </c>
      <c r="U1373" t="s">
        <v>1626</v>
      </c>
      <c r="V1373" t="s">
        <v>106</v>
      </c>
      <c r="W1373" t="s">
        <v>443</v>
      </c>
      <c r="X1373" t="s">
        <v>106</v>
      </c>
      <c r="Y1373" t="s">
        <v>108</v>
      </c>
      <c r="Z1373" t="s">
        <v>104</v>
      </c>
      <c r="AA1373" t="s">
        <v>106</v>
      </c>
      <c r="AB1373" t="s">
        <v>106</v>
      </c>
    </row>
    <row r="1374" spans="1:28" x14ac:dyDescent="0.3">
      <c r="A1374" t="s">
        <v>1456</v>
      </c>
      <c r="B1374">
        <v>4</v>
      </c>
      <c r="C1374">
        <v>60</v>
      </c>
      <c r="D1374">
        <v>17</v>
      </c>
      <c r="E1374" t="s">
        <v>128</v>
      </c>
      <c r="F1374" s="12">
        <v>45555</v>
      </c>
      <c r="G1374" t="s">
        <v>582</v>
      </c>
      <c r="H1374" s="12">
        <v>45555</v>
      </c>
      <c r="I1374" t="s">
        <v>1110</v>
      </c>
      <c r="J1374" t="s">
        <v>458</v>
      </c>
      <c r="K1374">
        <v>2</v>
      </c>
      <c r="L1374">
        <v>57.8</v>
      </c>
      <c r="P1374" t="s">
        <v>106</v>
      </c>
      <c r="Q1374" t="s">
        <v>106</v>
      </c>
      <c r="R1374" t="s">
        <v>106</v>
      </c>
      <c r="S1374" t="s">
        <v>106</v>
      </c>
      <c r="T1374" t="s">
        <v>1959</v>
      </c>
      <c r="U1374" t="s">
        <v>1631</v>
      </c>
      <c r="V1374" t="s">
        <v>106</v>
      </c>
      <c r="W1374" t="s">
        <v>443</v>
      </c>
      <c r="X1374" t="s">
        <v>106</v>
      </c>
      <c r="Y1374" t="s">
        <v>108</v>
      </c>
      <c r="Z1374" t="s">
        <v>104</v>
      </c>
      <c r="AA1374" t="s">
        <v>106</v>
      </c>
      <c r="AB1374" t="s">
        <v>106</v>
      </c>
    </row>
    <row r="1375" spans="1:28" x14ac:dyDescent="0.3">
      <c r="A1375" t="s">
        <v>1456</v>
      </c>
      <c r="B1375">
        <v>4</v>
      </c>
      <c r="C1375">
        <v>60</v>
      </c>
      <c r="D1375">
        <v>23</v>
      </c>
      <c r="E1375" t="s">
        <v>128</v>
      </c>
      <c r="F1375" s="12">
        <v>45555</v>
      </c>
      <c r="G1375" t="s">
        <v>374</v>
      </c>
      <c r="H1375" s="12">
        <v>45555</v>
      </c>
      <c r="I1375" t="s">
        <v>1402</v>
      </c>
      <c r="J1375" t="s">
        <v>458</v>
      </c>
      <c r="K1375">
        <v>2</v>
      </c>
      <c r="L1375">
        <v>55.8</v>
      </c>
      <c r="P1375" t="s">
        <v>106</v>
      </c>
      <c r="Q1375" t="s">
        <v>106</v>
      </c>
      <c r="R1375" t="s">
        <v>106</v>
      </c>
      <c r="S1375" t="s">
        <v>106</v>
      </c>
      <c r="T1375" t="s">
        <v>1208</v>
      </c>
      <c r="U1375" t="s">
        <v>1776</v>
      </c>
      <c r="V1375" t="s">
        <v>106</v>
      </c>
      <c r="W1375" t="s">
        <v>443</v>
      </c>
      <c r="X1375" t="s">
        <v>106</v>
      </c>
      <c r="Y1375" t="s">
        <v>108</v>
      </c>
      <c r="Z1375" t="s">
        <v>104</v>
      </c>
      <c r="AA1375" t="s">
        <v>106</v>
      </c>
      <c r="AB1375" t="s">
        <v>106</v>
      </c>
    </row>
    <row r="1376" spans="1:28" x14ac:dyDescent="0.3">
      <c r="A1376" t="s">
        <v>1456</v>
      </c>
      <c r="B1376">
        <v>4</v>
      </c>
      <c r="C1376">
        <v>60</v>
      </c>
      <c r="D1376">
        <v>6</v>
      </c>
      <c r="E1376" t="s">
        <v>128</v>
      </c>
      <c r="F1376" s="12">
        <v>45555</v>
      </c>
      <c r="G1376" t="s">
        <v>142</v>
      </c>
      <c r="H1376" s="12">
        <v>45555</v>
      </c>
      <c r="I1376" t="s">
        <v>362</v>
      </c>
      <c r="J1376" t="s">
        <v>1363</v>
      </c>
      <c r="K1376">
        <v>2</v>
      </c>
      <c r="L1376">
        <v>47.5</v>
      </c>
      <c r="P1376" t="s">
        <v>106</v>
      </c>
      <c r="Q1376" t="s">
        <v>106</v>
      </c>
      <c r="R1376" t="s">
        <v>106</v>
      </c>
      <c r="S1376" t="s">
        <v>106</v>
      </c>
      <c r="T1376" t="s">
        <v>1485</v>
      </c>
      <c r="U1376" t="s">
        <v>136</v>
      </c>
      <c r="V1376" t="s">
        <v>106</v>
      </c>
      <c r="W1376" t="s">
        <v>443</v>
      </c>
      <c r="X1376" t="s">
        <v>106</v>
      </c>
      <c r="Y1376" t="s">
        <v>108</v>
      </c>
      <c r="Z1376" t="s">
        <v>104</v>
      </c>
      <c r="AA1376" t="s">
        <v>106</v>
      </c>
      <c r="AB1376" t="s">
        <v>106</v>
      </c>
    </row>
    <row r="1377" spans="1:28" x14ac:dyDescent="0.3">
      <c r="A1377" t="s">
        <v>1456</v>
      </c>
      <c r="B1377">
        <v>2</v>
      </c>
      <c r="C1377">
        <v>15</v>
      </c>
      <c r="D1377">
        <v>69</v>
      </c>
      <c r="E1377" t="s">
        <v>128</v>
      </c>
      <c r="F1377" s="12">
        <v>45558</v>
      </c>
      <c r="G1377" t="s">
        <v>1879</v>
      </c>
      <c r="H1377" s="12">
        <v>45558</v>
      </c>
      <c r="I1377" t="s">
        <v>1178</v>
      </c>
      <c r="J1377" t="s">
        <v>1290</v>
      </c>
      <c r="K1377">
        <v>2</v>
      </c>
      <c r="L1377">
        <v>15.3</v>
      </c>
      <c r="P1377" t="s">
        <v>106</v>
      </c>
      <c r="Q1377" t="s">
        <v>106</v>
      </c>
      <c r="R1377" t="s">
        <v>106</v>
      </c>
      <c r="S1377" t="s">
        <v>106</v>
      </c>
      <c r="T1377" t="s">
        <v>1825</v>
      </c>
      <c r="U1377" t="s">
        <v>1736</v>
      </c>
      <c r="V1377" t="s">
        <v>106</v>
      </c>
      <c r="W1377" t="s">
        <v>2015</v>
      </c>
      <c r="X1377" t="s">
        <v>106</v>
      </c>
      <c r="Y1377" t="s">
        <v>108</v>
      </c>
      <c r="Z1377" t="s">
        <v>109</v>
      </c>
      <c r="AA1377" t="s">
        <v>106</v>
      </c>
      <c r="AB1377" t="s">
        <v>106</v>
      </c>
    </row>
    <row r="1378" spans="1:28" x14ac:dyDescent="0.3">
      <c r="A1378" t="s">
        <v>1456</v>
      </c>
      <c r="B1378">
        <v>2</v>
      </c>
      <c r="C1378">
        <v>15</v>
      </c>
      <c r="D1378">
        <v>74</v>
      </c>
      <c r="E1378" t="s">
        <v>128</v>
      </c>
      <c r="F1378" s="12">
        <v>45558</v>
      </c>
      <c r="G1378" t="s">
        <v>1502</v>
      </c>
      <c r="H1378" s="12">
        <v>45558</v>
      </c>
      <c r="I1378" t="s">
        <v>2065</v>
      </c>
      <c r="J1378" t="s">
        <v>1290</v>
      </c>
      <c r="K1378">
        <v>2</v>
      </c>
      <c r="L1378">
        <v>13.9</v>
      </c>
      <c r="P1378" t="s">
        <v>106</v>
      </c>
      <c r="Q1378" t="s">
        <v>106</v>
      </c>
      <c r="R1378" t="s">
        <v>106</v>
      </c>
      <c r="S1378" t="s">
        <v>106</v>
      </c>
      <c r="T1378" t="s">
        <v>1257</v>
      </c>
      <c r="U1378" t="s">
        <v>1776</v>
      </c>
      <c r="V1378" t="s">
        <v>106</v>
      </c>
      <c r="W1378" t="s">
        <v>2015</v>
      </c>
      <c r="X1378" t="s">
        <v>106</v>
      </c>
      <c r="Y1378" t="s">
        <v>108</v>
      </c>
      <c r="Z1378" t="s">
        <v>109</v>
      </c>
      <c r="AA1378" t="s">
        <v>2066</v>
      </c>
      <c r="AB1378" t="s">
        <v>106</v>
      </c>
    </row>
    <row r="1379" spans="1:28" x14ac:dyDescent="0.3">
      <c r="A1379" t="s">
        <v>1456</v>
      </c>
      <c r="B1379">
        <v>2</v>
      </c>
      <c r="C1379">
        <v>15</v>
      </c>
      <c r="D1379">
        <v>64</v>
      </c>
      <c r="E1379" t="s">
        <v>128</v>
      </c>
      <c r="F1379" s="12">
        <v>45558</v>
      </c>
      <c r="G1379" t="s">
        <v>2067</v>
      </c>
      <c r="H1379" s="12">
        <v>45558</v>
      </c>
      <c r="I1379" t="s">
        <v>593</v>
      </c>
      <c r="J1379" t="s">
        <v>1290</v>
      </c>
      <c r="K1379">
        <v>2</v>
      </c>
      <c r="L1379">
        <v>16</v>
      </c>
      <c r="P1379" t="s">
        <v>106</v>
      </c>
      <c r="Q1379" t="s">
        <v>106</v>
      </c>
      <c r="R1379" t="s">
        <v>106</v>
      </c>
      <c r="S1379" t="s">
        <v>106</v>
      </c>
      <c r="T1379" t="s">
        <v>1876</v>
      </c>
      <c r="U1379" t="s">
        <v>2022</v>
      </c>
      <c r="V1379" t="s">
        <v>106</v>
      </c>
      <c r="W1379" t="s">
        <v>443</v>
      </c>
      <c r="X1379" t="s">
        <v>106</v>
      </c>
      <c r="Y1379" t="s">
        <v>108</v>
      </c>
      <c r="Z1379" t="s">
        <v>109</v>
      </c>
      <c r="AA1379" t="s">
        <v>106</v>
      </c>
      <c r="AB1379" t="s">
        <v>106</v>
      </c>
    </row>
    <row r="1380" spans="1:28" x14ac:dyDescent="0.3">
      <c r="A1380" t="s">
        <v>1456</v>
      </c>
      <c r="B1380">
        <v>2</v>
      </c>
      <c r="C1380">
        <v>15</v>
      </c>
      <c r="D1380">
        <v>37</v>
      </c>
      <c r="E1380" t="s">
        <v>128</v>
      </c>
      <c r="F1380" s="12">
        <v>45558</v>
      </c>
      <c r="G1380" t="s">
        <v>748</v>
      </c>
      <c r="H1380" s="12">
        <v>45558</v>
      </c>
      <c r="I1380" t="s">
        <v>2068</v>
      </c>
      <c r="J1380" t="s">
        <v>458</v>
      </c>
      <c r="K1380">
        <v>2</v>
      </c>
      <c r="L1380">
        <v>12.5</v>
      </c>
      <c r="P1380" t="s">
        <v>106</v>
      </c>
      <c r="Q1380" t="s">
        <v>106</v>
      </c>
      <c r="R1380" t="s">
        <v>106</v>
      </c>
      <c r="S1380" t="s">
        <v>106</v>
      </c>
      <c r="T1380" t="s">
        <v>2069</v>
      </c>
      <c r="U1380" t="s">
        <v>1736</v>
      </c>
      <c r="V1380" t="s">
        <v>106</v>
      </c>
      <c r="W1380" t="s">
        <v>443</v>
      </c>
      <c r="X1380" t="s">
        <v>106</v>
      </c>
      <c r="Y1380" t="s">
        <v>108</v>
      </c>
      <c r="Z1380" t="s">
        <v>109</v>
      </c>
      <c r="AA1380" t="s">
        <v>106</v>
      </c>
      <c r="AB1380" t="s">
        <v>106</v>
      </c>
    </row>
    <row r="1381" spans="1:28" x14ac:dyDescent="0.3">
      <c r="A1381" t="s">
        <v>1456</v>
      </c>
      <c r="B1381">
        <v>2</v>
      </c>
      <c r="C1381">
        <v>15</v>
      </c>
      <c r="D1381">
        <v>48</v>
      </c>
      <c r="E1381" t="s">
        <v>128</v>
      </c>
      <c r="F1381" s="12">
        <v>45558</v>
      </c>
      <c r="G1381" t="s">
        <v>1327</v>
      </c>
      <c r="H1381" s="12">
        <v>45558</v>
      </c>
      <c r="I1381" t="s">
        <v>2070</v>
      </c>
      <c r="J1381" t="s">
        <v>458</v>
      </c>
      <c r="K1381">
        <v>2</v>
      </c>
      <c r="L1381">
        <v>14.3</v>
      </c>
      <c r="P1381" t="s">
        <v>106</v>
      </c>
      <c r="Q1381" t="s">
        <v>106</v>
      </c>
      <c r="R1381" t="s">
        <v>106</v>
      </c>
      <c r="S1381" t="s">
        <v>106</v>
      </c>
      <c r="T1381" t="s">
        <v>1459</v>
      </c>
      <c r="U1381" t="s">
        <v>1600</v>
      </c>
      <c r="V1381" t="s">
        <v>106</v>
      </c>
      <c r="W1381" t="s">
        <v>443</v>
      </c>
      <c r="X1381" t="s">
        <v>106</v>
      </c>
      <c r="Y1381" t="s">
        <v>108</v>
      </c>
      <c r="Z1381" t="s">
        <v>109</v>
      </c>
      <c r="AA1381" t="s">
        <v>106</v>
      </c>
      <c r="AB1381" t="s">
        <v>106</v>
      </c>
    </row>
    <row r="1382" spans="1:28" x14ac:dyDescent="0.3">
      <c r="A1382" t="s">
        <v>1456</v>
      </c>
      <c r="B1382">
        <v>2</v>
      </c>
      <c r="C1382">
        <v>15</v>
      </c>
      <c r="D1382">
        <v>75</v>
      </c>
      <c r="E1382" t="s">
        <v>128</v>
      </c>
      <c r="F1382" s="12">
        <v>45558</v>
      </c>
      <c r="G1382" t="s">
        <v>2071</v>
      </c>
      <c r="H1382" s="12">
        <v>45558</v>
      </c>
      <c r="I1382" t="s">
        <v>2065</v>
      </c>
      <c r="J1382" t="s">
        <v>1290</v>
      </c>
      <c r="K1382">
        <v>2</v>
      </c>
      <c r="L1382">
        <v>13.6</v>
      </c>
      <c r="P1382" t="s">
        <v>106</v>
      </c>
      <c r="Q1382" t="s">
        <v>106</v>
      </c>
      <c r="R1382" t="s">
        <v>106</v>
      </c>
      <c r="S1382" t="s">
        <v>106</v>
      </c>
      <c r="T1382" t="s">
        <v>1101</v>
      </c>
      <c r="U1382" t="s">
        <v>1736</v>
      </c>
      <c r="V1382" t="s">
        <v>106</v>
      </c>
      <c r="W1382" t="s">
        <v>2015</v>
      </c>
      <c r="X1382" t="s">
        <v>106</v>
      </c>
      <c r="Y1382" t="s">
        <v>108</v>
      </c>
      <c r="Z1382" t="s">
        <v>109</v>
      </c>
      <c r="AA1382" t="s">
        <v>2066</v>
      </c>
      <c r="AB1382" t="s">
        <v>106</v>
      </c>
    </row>
    <row r="1383" spans="1:28" x14ac:dyDescent="0.3">
      <c r="A1383" t="s">
        <v>1456</v>
      </c>
      <c r="B1383">
        <v>2</v>
      </c>
      <c r="C1383">
        <v>15</v>
      </c>
      <c r="D1383">
        <v>49</v>
      </c>
      <c r="E1383" t="s">
        <v>128</v>
      </c>
      <c r="F1383" s="12">
        <v>45558</v>
      </c>
      <c r="G1383" t="s">
        <v>1237</v>
      </c>
      <c r="H1383" s="12">
        <v>45558</v>
      </c>
      <c r="I1383" t="s">
        <v>2070</v>
      </c>
      <c r="J1383" t="s">
        <v>458</v>
      </c>
      <c r="K1383">
        <v>2</v>
      </c>
      <c r="L1383">
        <v>16.3</v>
      </c>
      <c r="P1383" t="s">
        <v>106</v>
      </c>
      <c r="Q1383" t="s">
        <v>106</v>
      </c>
      <c r="R1383" t="s">
        <v>106</v>
      </c>
      <c r="S1383" t="s">
        <v>106</v>
      </c>
      <c r="T1383" t="s">
        <v>971</v>
      </c>
      <c r="U1383" t="s">
        <v>1736</v>
      </c>
      <c r="V1383" t="s">
        <v>106</v>
      </c>
      <c r="W1383" t="s">
        <v>443</v>
      </c>
      <c r="X1383" t="s">
        <v>106</v>
      </c>
      <c r="Y1383" t="s">
        <v>108</v>
      </c>
      <c r="Z1383" t="s">
        <v>109</v>
      </c>
      <c r="AA1383" t="s">
        <v>106</v>
      </c>
      <c r="AB1383" t="s">
        <v>106</v>
      </c>
    </row>
    <row r="1384" spans="1:28" x14ac:dyDescent="0.3">
      <c r="A1384" t="s">
        <v>1456</v>
      </c>
      <c r="B1384">
        <v>2</v>
      </c>
      <c r="C1384">
        <v>15</v>
      </c>
      <c r="D1384">
        <v>24</v>
      </c>
      <c r="E1384" t="s">
        <v>128</v>
      </c>
      <c r="F1384" s="12">
        <v>45558</v>
      </c>
      <c r="G1384" t="s">
        <v>709</v>
      </c>
      <c r="H1384" s="12">
        <v>45558</v>
      </c>
      <c r="I1384" t="s">
        <v>2072</v>
      </c>
      <c r="J1384" t="s">
        <v>458</v>
      </c>
      <c r="K1384">
        <v>2</v>
      </c>
      <c r="L1384">
        <v>15.1</v>
      </c>
      <c r="P1384" t="s">
        <v>106</v>
      </c>
      <c r="Q1384" t="s">
        <v>106</v>
      </c>
      <c r="R1384" t="s">
        <v>106</v>
      </c>
      <c r="S1384" t="s">
        <v>106</v>
      </c>
      <c r="T1384" t="s">
        <v>971</v>
      </c>
      <c r="U1384" t="s">
        <v>1772</v>
      </c>
      <c r="V1384" t="s">
        <v>106</v>
      </c>
      <c r="W1384" t="s">
        <v>443</v>
      </c>
      <c r="X1384" t="s">
        <v>106</v>
      </c>
      <c r="Y1384" t="s">
        <v>108</v>
      </c>
      <c r="Z1384" t="s">
        <v>109</v>
      </c>
      <c r="AA1384" t="s">
        <v>106</v>
      </c>
      <c r="AB1384" t="s">
        <v>106</v>
      </c>
    </row>
    <row r="1385" spans="1:28" x14ac:dyDescent="0.3">
      <c r="A1385" t="s">
        <v>1456</v>
      </c>
      <c r="B1385">
        <v>2</v>
      </c>
      <c r="C1385">
        <v>15</v>
      </c>
      <c r="D1385">
        <v>25</v>
      </c>
      <c r="E1385" t="s">
        <v>128</v>
      </c>
      <c r="F1385" s="12">
        <v>45558</v>
      </c>
      <c r="G1385" t="s">
        <v>709</v>
      </c>
      <c r="H1385" s="12">
        <v>45558</v>
      </c>
      <c r="I1385" t="s">
        <v>2072</v>
      </c>
      <c r="J1385" t="s">
        <v>458</v>
      </c>
      <c r="K1385">
        <v>2</v>
      </c>
      <c r="L1385">
        <v>16.5</v>
      </c>
      <c r="P1385" t="s">
        <v>106</v>
      </c>
      <c r="Q1385" t="s">
        <v>106</v>
      </c>
      <c r="R1385" t="s">
        <v>106</v>
      </c>
      <c r="S1385" t="s">
        <v>106</v>
      </c>
      <c r="T1385" t="s">
        <v>1235</v>
      </c>
      <c r="U1385" t="s">
        <v>1699</v>
      </c>
      <c r="V1385" t="s">
        <v>106</v>
      </c>
      <c r="W1385" t="s">
        <v>443</v>
      </c>
      <c r="X1385" t="s">
        <v>106</v>
      </c>
      <c r="Y1385" t="s">
        <v>108</v>
      </c>
      <c r="Z1385" t="s">
        <v>109</v>
      </c>
      <c r="AA1385" t="s">
        <v>106</v>
      </c>
      <c r="AB1385" t="s">
        <v>106</v>
      </c>
    </row>
    <row r="1386" spans="1:28" x14ac:dyDescent="0.3">
      <c r="A1386" t="s">
        <v>1456</v>
      </c>
      <c r="B1386">
        <v>2</v>
      </c>
      <c r="C1386">
        <v>15</v>
      </c>
      <c r="D1386">
        <v>65</v>
      </c>
      <c r="E1386" t="s">
        <v>128</v>
      </c>
      <c r="F1386" s="12">
        <v>45558</v>
      </c>
      <c r="G1386" t="s">
        <v>1163</v>
      </c>
      <c r="H1386" s="12">
        <v>45558</v>
      </c>
      <c r="I1386" t="s">
        <v>593</v>
      </c>
      <c r="J1386" t="s">
        <v>1290</v>
      </c>
      <c r="K1386">
        <v>2</v>
      </c>
      <c r="L1386">
        <v>17.2</v>
      </c>
      <c r="P1386" t="s">
        <v>106</v>
      </c>
      <c r="Q1386" t="s">
        <v>106</v>
      </c>
      <c r="R1386" t="s">
        <v>106</v>
      </c>
      <c r="S1386" t="s">
        <v>106</v>
      </c>
      <c r="T1386" t="s">
        <v>1793</v>
      </c>
      <c r="U1386" t="s">
        <v>2073</v>
      </c>
      <c r="V1386" t="s">
        <v>106</v>
      </c>
      <c r="W1386" t="s">
        <v>443</v>
      </c>
      <c r="X1386" t="s">
        <v>106</v>
      </c>
      <c r="Y1386" t="s">
        <v>108</v>
      </c>
      <c r="Z1386" t="s">
        <v>109</v>
      </c>
      <c r="AA1386" t="s">
        <v>106</v>
      </c>
      <c r="AB1386" t="s">
        <v>106</v>
      </c>
    </row>
    <row r="1387" spans="1:28" x14ac:dyDescent="0.3">
      <c r="A1387" t="s">
        <v>1456</v>
      </c>
      <c r="B1387">
        <v>2</v>
      </c>
      <c r="C1387">
        <v>15</v>
      </c>
      <c r="D1387">
        <v>31</v>
      </c>
      <c r="E1387" t="s">
        <v>128</v>
      </c>
      <c r="F1387" s="12">
        <v>45558</v>
      </c>
      <c r="G1387" t="s">
        <v>1688</v>
      </c>
      <c r="H1387" s="12">
        <v>45555</v>
      </c>
      <c r="I1387" t="s">
        <v>2072</v>
      </c>
      <c r="J1387" t="s">
        <v>458</v>
      </c>
      <c r="K1387">
        <v>2</v>
      </c>
      <c r="L1387">
        <v>16.100000000000001</v>
      </c>
      <c r="P1387" t="s">
        <v>106</v>
      </c>
      <c r="Q1387" t="s">
        <v>106</v>
      </c>
      <c r="R1387" t="s">
        <v>106</v>
      </c>
      <c r="S1387" t="s">
        <v>106</v>
      </c>
      <c r="T1387" t="s">
        <v>1478</v>
      </c>
      <c r="U1387" t="s">
        <v>1980</v>
      </c>
      <c r="V1387" t="s">
        <v>106</v>
      </c>
      <c r="W1387" t="s">
        <v>443</v>
      </c>
      <c r="X1387" t="s">
        <v>106</v>
      </c>
      <c r="Y1387" t="s">
        <v>108</v>
      </c>
      <c r="Z1387" t="s">
        <v>109</v>
      </c>
      <c r="AA1387" t="s">
        <v>106</v>
      </c>
      <c r="AB1387" t="s">
        <v>106</v>
      </c>
    </row>
    <row r="1388" spans="1:28" x14ac:dyDescent="0.3">
      <c r="A1388" t="s">
        <v>1456</v>
      </c>
      <c r="B1388">
        <v>2</v>
      </c>
      <c r="C1388">
        <v>15</v>
      </c>
      <c r="D1388">
        <v>68</v>
      </c>
      <c r="E1388" t="s">
        <v>128</v>
      </c>
      <c r="F1388" s="12">
        <v>45558</v>
      </c>
      <c r="G1388" t="s">
        <v>2074</v>
      </c>
      <c r="H1388" s="12">
        <v>45558</v>
      </c>
      <c r="I1388" t="s">
        <v>1178</v>
      </c>
      <c r="J1388" t="s">
        <v>1290</v>
      </c>
      <c r="K1388">
        <v>2</v>
      </c>
      <c r="L1388">
        <v>13.9</v>
      </c>
      <c r="P1388" t="s">
        <v>106</v>
      </c>
      <c r="Q1388" t="s">
        <v>106</v>
      </c>
      <c r="R1388" t="s">
        <v>106</v>
      </c>
      <c r="S1388" t="s">
        <v>106</v>
      </c>
      <c r="T1388" t="s">
        <v>1495</v>
      </c>
      <c r="U1388" t="s">
        <v>1985</v>
      </c>
      <c r="V1388" t="s">
        <v>106</v>
      </c>
      <c r="W1388" t="s">
        <v>2015</v>
      </c>
      <c r="X1388" t="s">
        <v>106</v>
      </c>
      <c r="Y1388" t="s">
        <v>108</v>
      </c>
      <c r="Z1388" t="s">
        <v>109</v>
      </c>
      <c r="AA1388" t="s">
        <v>106</v>
      </c>
      <c r="AB1388" t="s">
        <v>106</v>
      </c>
    </row>
    <row r="1389" spans="1:28" x14ac:dyDescent="0.3">
      <c r="A1389" t="s">
        <v>1456</v>
      </c>
      <c r="B1389">
        <v>2</v>
      </c>
      <c r="C1389">
        <v>15</v>
      </c>
      <c r="D1389">
        <v>57</v>
      </c>
      <c r="E1389" t="s">
        <v>128</v>
      </c>
      <c r="F1389" s="12">
        <v>45558</v>
      </c>
      <c r="G1389" t="s">
        <v>753</v>
      </c>
      <c r="H1389" s="12">
        <v>45558</v>
      </c>
      <c r="I1389" t="s">
        <v>2070</v>
      </c>
      <c r="J1389" t="s">
        <v>1290</v>
      </c>
      <c r="K1389">
        <v>2</v>
      </c>
      <c r="L1389">
        <v>16.399999999999999</v>
      </c>
      <c r="P1389" t="s">
        <v>106</v>
      </c>
      <c r="Q1389" t="s">
        <v>106</v>
      </c>
      <c r="R1389" t="s">
        <v>106</v>
      </c>
      <c r="S1389" t="s">
        <v>106</v>
      </c>
      <c r="T1389" t="s">
        <v>1959</v>
      </c>
      <c r="U1389" t="s">
        <v>1347</v>
      </c>
      <c r="V1389" t="s">
        <v>106</v>
      </c>
      <c r="W1389" t="s">
        <v>443</v>
      </c>
      <c r="X1389" t="s">
        <v>106</v>
      </c>
      <c r="Y1389" t="s">
        <v>108</v>
      </c>
      <c r="Z1389" t="s">
        <v>109</v>
      </c>
      <c r="AA1389" t="s">
        <v>106</v>
      </c>
      <c r="AB1389" t="s">
        <v>106</v>
      </c>
    </row>
    <row r="1390" spans="1:28" x14ac:dyDescent="0.3">
      <c r="A1390" t="s">
        <v>1456</v>
      </c>
      <c r="B1390">
        <v>2</v>
      </c>
      <c r="C1390">
        <v>15</v>
      </c>
      <c r="D1390">
        <v>44</v>
      </c>
      <c r="E1390" t="s">
        <v>128</v>
      </c>
      <c r="F1390" s="12">
        <v>45558</v>
      </c>
      <c r="G1390" t="s">
        <v>1086</v>
      </c>
      <c r="H1390" s="12">
        <v>45558</v>
      </c>
      <c r="I1390" t="s">
        <v>2068</v>
      </c>
      <c r="J1390" t="s">
        <v>458</v>
      </c>
      <c r="K1390">
        <v>2</v>
      </c>
      <c r="L1390">
        <v>14.5</v>
      </c>
      <c r="P1390" t="s">
        <v>106</v>
      </c>
      <c r="Q1390" t="s">
        <v>106</v>
      </c>
      <c r="R1390" t="s">
        <v>106</v>
      </c>
      <c r="S1390" t="s">
        <v>106</v>
      </c>
      <c r="T1390" t="s">
        <v>1449</v>
      </c>
      <c r="U1390" t="s">
        <v>1776</v>
      </c>
      <c r="V1390" t="s">
        <v>106</v>
      </c>
      <c r="W1390" t="s">
        <v>443</v>
      </c>
      <c r="X1390" t="s">
        <v>106</v>
      </c>
      <c r="Y1390" t="s">
        <v>108</v>
      </c>
      <c r="Z1390" t="s">
        <v>109</v>
      </c>
      <c r="AA1390" t="s">
        <v>106</v>
      </c>
      <c r="AB1390" t="s">
        <v>106</v>
      </c>
    </row>
    <row r="1391" spans="1:28" x14ac:dyDescent="0.3">
      <c r="A1391" t="s">
        <v>1456</v>
      </c>
      <c r="B1391">
        <v>2</v>
      </c>
      <c r="C1391">
        <v>15</v>
      </c>
      <c r="D1391">
        <v>56</v>
      </c>
      <c r="E1391" t="s">
        <v>128</v>
      </c>
      <c r="F1391" s="12">
        <v>45558</v>
      </c>
      <c r="G1391" t="s">
        <v>570</v>
      </c>
      <c r="H1391" s="12">
        <v>45558</v>
      </c>
      <c r="I1391" t="s">
        <v>2070</v>
      </c>
      <c r="J1391" t="s">
        <v>1290</v>
      </c>
      <c r="K1391">
        <v>2</v>
      </c>
      <c r="L1391">
        <v>15.9</v>
      </c>
      <c r="P1391" t="s">
        <v>106</v>
      </c>
      <c r="Q1391" t="s">
        <v>106</v>
      </c>
      <c r="R1391" t="s">
        <v>106</v>
      </c>
      <c r="S1391" t="s">
        <v>106</v>
      </c>
      <c r="T1391" t="s">
        <v>1475</v>
      </c>
      <c r="U1391" t="s">
        <v>1351</v>
      </c>
      <c r="V1391" t="s">
        <v>106</v>
      </c>
      <c r="W1391" t="s">
        <v>443</v>
      </c>
      <c r="X1391" t="s">
        <v>106</v>
      </c>
      <c r="Y1391" t="s">
        <v>108</v>
      </c>
      <c r="Z1391" t="s">
        <v>109</v>
      </c>
      <c r="AA1391" t="s">
        <v>106</v>
      </c>
      <c r="AB1391" t="s">
        <v>106</v>
      </c>
    </row>
    <row r="1392" spans="1:28" x14ac:dyDescent="0.3">
      <c r="A1392" t="s">
        <v>1456</v>
      </c>
      <c r="B1392">
        <v>2</v>
      </c>
      <c r="C1392">
        <v>15</v>
      </c>
      <c r="D1392">
        <v>30</v>
      </c>
      <c r="E1392" t="s">
        <v>128</v>
      </c>
      <c r="F1392" s="12">
        <v>45558</v>
      </c>
      <c r="G1392" t="s">
        <v>1688</v>
      </c>
      <c r="H1392" s="12">
        <v>45555</v>
      </c>
      <c r="I1392" t="s">
        <v>2072</v>
      </c>
      <c r="J1392" t="s">
        <v>458</v>
      </c>
      <c r="K1392">
        <v>2</v>
      </c>
      <c r="L1392">
        <v>15.7</v>
      </c>
      <c r="P1392" t="s">
        <v>106</v>
      </c>
      <c r="Q1392" t="s">
        <v>106</v>
      </c>
      <c r="R1392" t="s">
        <v>106</v>
      </c>
      <c r="S1392" t="s">
        <v>106</v>
      </c>
      <c r="T1392" t="s">
        <v>1431</v>
      </c>
      <c r="U1392" t="s">
        <v>2022</v>
      </c>
      <c r="V1392" t="s">
        <v>106</v>
      </c>
      <c r="W1392" t="s">
        <v>443</v>
      </c>
      <c r="X1392" t="s">
        <v>106</v>
      </c>
      <c r="Y1392" t="s">
        <v>108</v>
      </c>
      <c r="Z1392" t="s">
        <v>109</v>
      </c>
      <c r="AA1392" t="s">
        <v>106</v>
      </c>
      <c r="AB1392" t="s">
        <v>106</v>
      </c>
    </row>
    <row r="1393" spans="1:28" x14ac:dyDescent="0.3">
      <c r="A1393" t="s">
        <v>1456</v>
      </c>
      <c r="B1393">
        <v>2</v>
      </c>
      <c r="C1393">
        <v>15</v>
      </c>
      <c r="D1393">
        <v>45</v>
      </c>
      <c r="E1393" t="s">
        <v>128</v>
      </c>
      <c r="F1393" s="12">
        <v>45558</v>
      </c>
      <c r="G1393" t="s">
        <v>1092</v>
      </c>
      <c r="H1393" s="12">
        <v>45558</v>
      </c>
      <c r="I1393" t="s">
        <v>2068</v>
      </c>
      <c r="J1393" t="s">
        <v>458</v>
      </c>
      <c r="K1393">
        <v>2</v>
      </c>
      <c r="L1393">
        <v>15.5</v>
      </c>
      <c r="P1393" t="s">
        <v>106</v>
      </c>
      <c r="Q1393" t="s">
        <v>106</v>
      </c>
      <c r="R1393" t="s">
        <v>106</v>
      </c>
      <c r="S1393" t="s">
        <v>106</v>
      </c>
      <c r="T1393" t="s">
        <v>1459</v>
      </c>
      <c r="U1393" t="s">
        <v>1353</v>
      </c>
      <c r="V1393" t="s">
        <v>106</v>
      </c>
      <c r="W1393" t="s">
        <v>443</v>
      </c>
      <c r="X1393" t="s">
        <v>106</v>
      </c>
      <c r="Y1393" t="s">
        <v>108</v>
      </c>
      <c r="Z1393" t="s">
        <v>109</v>
      </c>
      <c r="AA1393" t="s">
        <v>106</v>
      </c>
      <c r="AB1393" t="s">
        <v>106</v>
      </c>
    </row>
    <row r="1394" spans="1:28" x14ac:dyDescent="0.3">
      <c r="A1394" t="s">
        <v>1456</v>
      </c>
      <c r="B1394">
        <v>2</v>
      </c>
      <c r="C1394">
        <v>15</v>
      </c>
      <c r="D1394">
        <v>36</v>
      </c>
      <c r="E1394" t="s">
        <v>128</v>
      </c>
      <c r="F1394" s="12">
        <v>45558</v>
      </c>
      <c r="G1394" t="s">
        <v>748</v>
      </c>
      <c r="H1394" s="12">
        <v>45558</v>
      </c>
      <c r="I1394" t="s">
        <v>2068</v>
      </c>
      <c r="J1394" t="s">
        <v>458</v>
      </c>
      <c r="K1394">
        <v>2</v>
      </c>
      <c r="L1394">
        <v>12.8</v>
      </c>
      <c r="P1394" t="s">
        <v>106</v>
      </c>
      <c r="Q1394" t="s">
        <v>106</v>
      </c>
      <c r="R1394" t="s">
        <v>106</v>
      </c>
      <c r="S1394" t="s">
        <v>106</v>
      </c>
      <c r="T1394" t="s">
        <v>2063</v>
      </c>
      <c r="U1394" t="s">
        <v>1626</v>
      </c>
      <c r="V1394" t="s">
        <v>106</v>
      </c>
      <c r="W1394" t="s">
        <v>443</v>
      </c>
      <c r="X1394" t="s">
        <v>106</v>
      </c>
      <c r="Y1394" t="s">
        <v>108</v>
      </c>
      <c r="Z1394" t="s">
        <v>109</v>
      </c>
      <c r="AA1394" t="s">
        <v>106</v>
      </c>
      <c r="AB1394" t="s">
        <v>106</v>
      </c>
    </row>
    <row r="1395" spans="1:28" x14ac:dyDescent="0.3">
      <c r="A1395" t="s">
        <v>1456</v>
      </c>
      <c r="B1395">
        <v>3</v>
      </c>
      <c r="C1395">
        <v>35</v>
      </c>
      <c r="D1395">
        <v>73</v>
      </c>
      <c r="E1395" t="s">
        <v>128</v>
      </c>
      <c r="F1395" s="12">
        <v>45558</v>
      </c>
      <c r="G1395" t="s">
        <v>2497</v>
      </c>
      <c r="H1395" s="12">
        <v>45558</v>
      </c>
      <c r="I1395" t="s">
        <v>2065</v>
      </c>
      <c r="J1395" t="s">
        <v>1290</v>
      </c>
      <c r="K1395">
        <v>2</v>
      </c>
      <c r="L1395">
        <v>35.1</v>
      </c>
      <c r="P1395" t="s">
        <v>106</v>
      </c>
      <c r="Q1395" t="s">
        <v>106</v>
      </c>
      <c r="R1395" t="s">
        <v>106</v>
      </c>
      <c r="S1395" t="s">
        <v>106</v>
      </c>
      <c r="T1395" t="s">
        <v>1793</v>
      </c>
      <c r="U1395" t="s">
        <v>1699</v>
      </c>
      <c r="V1395" t="s">
        <v>106</v>
      </c>
      <c r="W1395" t="s">
        <v>2015</v>
      </c>
      <c r="X1395" t="s">
        <v>106</v>
      </c>
      <c r="Y1395" t="s">
        <v>108</v>
      </c>
      <c r="Z1395" t="s">
        <v>108</v>
      </c>
      <c r="AA1395" t="s">
        <v>2066</v>
      </c>
      <c r="AB1395" t="s">
        <v>106</v>
      </c>
    </row>
    <row r="1396" spans="1:28" x14ac:dyDescent="0.3">
      <c r="A1396" t="s">
        <v>1456</v>
      </c>
      <c r="B1396">
        <v>3</v>
      </c>
      <c r="C1396">
        <v>35</v>
      </c>
      <c r="D1396">
        <v>72</v>
      </c>
      <c r="E1396" t="s">
        <v>128</v>
      </c>
      <c r="F1396" s="12">
        <v>45558</v>
      </c>
      <c r="G1396" t="s">
        <v>2218</v>
      </c>
      <c r="H1396" s="12">
        <v>45558</v>
      </c>
      <c r="I1396" t="s">
        <v>2065</v>
      </c>
      <c r="J1396" t="s">
        <v>1290</v>
      </c>
      <c r="K1396">
        <v>2</v>
      </c>
      <c r="L1396">
        <v>32.700000000000003</v>
      </c>
      <c r="P1396" t="s">
        <v>106</v>
      </c>
      <c r="Q1396" t="s">
        <v>106</v>
      </c>
      <c r="R1396" t="s">
        <v>106</v>
      </c>
      <c r="S1396" t="s">
        <v>106</v>
      </c>
      <c r="T1396" t="s">
        <v>971</v>
      </c>
      <c r="U1396" t="s">
        <v>1776</v>
      </c>
      <c r="V1396" t="s">
        <v>106</v>
      </c>
      <c r="W1396" t="s">
        <v>2015</v>
      </c>
      <c r="X1396" t="s">
        <v>106</v>
      </c>
      <c r="Y1396" t="s">
        <v>108</v>
      </c>
      <c r="Z1396" t="s">
        <v>108</v>
      </c>
      <c r="AA1396" t="s">
        <v>2066</v>
      </c>
      <c r="AB1396" t="s">
        <v>106</v>
      </c>
    </row>
    <row r="1397" spans="1:28" x14ac:dyDescent="0.3">
      <c r="A1397" t="s">
        <v>1456</v>
      </c>
      <c r="B1397">
        <v>3</v>
      </c>
      <c r="C1397">
        <v>35</v>
      </c>
      <c r="D1397">
        <v>26</v>
      </c>
      <c r="E1397" t="s">
        <v>128</v>
      </c>
      <c r="F1397" s="12">
        <v>45558</v>
      </c>
      <c r="G1397" t="s">
        <v>1986</v>
      </c>
      <c r="H1397" s="12">
        <v>45558</v>
      </c>
      <c r="I1397" t="s">
        <v>2072</v>
      </c>
      <c r="J1397" t="s">
        <v>458</v>
      </c>
      <c r="K1397">
        <v>2</v>
      </c>
      <c r="L1397">
        <v>35.6</v>
      </c>
      <c r="P1397" t="s">
        <v>106</v>
      </c>
      <c r="Q1397" t="s">
        <v>106</v>
      </c>
      <c r="R1397" t="s">
        <v>106</v>
      </c>
      <c r="S1397" t="s">
        <v>106</v>
      </c>
      <c r="T1397" t="s">
        <v>1808</v>
      </c>
      <c r="U1397" t="s">
        <v>1776</v>
      </c>
      <c r="V1397" t="s">
        <v>106</v>
      </c>
      <c r="W1397" t="s">
        <v>443</v>
      </c>
      <c r="X1397" t="s">
        <v>106</v>
      </c>
      <c r="Y1397" t="s">
        <v>108</v>
      </c>
      <c r="Z1397" t="s">
        <v>108</v>
      </c>
      <c r="AA1397" t="s">
        <v>106</v>
      </c>
      <c r="AB1397" t="s">
        <v>106</v>
      </c>
    </row>
    <row r="1398" spans="1:28" x14ac:dyDescent="0.3">
      <c r="A1398" t="s">
        <v>1456</v>
      </c>
      <c r="B1398">
        <v>3</v>
      </c>
      <c r="C1398">
        <v>35</v>
      </c>
      <c r="D1398">
        <v>67</v>
      </c>
      <c r="E1398" t="s">
        <v>128</v>
      </c>
      <c r="F1398" s="12">
        <v>45558</v>
      </c>
      <c r="G1398" t="s">
        <v>2042</v>
      </c>
      <c r="H1398" s="12">
        <v>45558</v>
      </c>
      <c r="I1398" t="s">
        <v>1178</v>
      </c>
      <c r="J1398" t="s">
        <v>1290</v>
      </c>
      <c r="K1398">
        <v>2</v>
      </c>
      <c r="L1398">
        <v>34.700000000000003</v>
      </c>
      <c r="P1398" t="s">
        <v>106</v>
      </c>
      <c r="Q1398" t="s">
        <v>106</v>
      </c>
      <c r="R1398" t="s">
        <v>106</v>
      </c>
      <c r="S1398" t="s">
        <v>106</v>
      </c>
      <c r="T1398" t="s">
        <v>1808</v>
      </c>
      <c r="U1398" t="s">
        <v>2341</v>
      </c>
      <c r="V1398" t="s">
        <v>106</v>
      </c>
      <c r="W1398" t="s">
        <v>2015</v>
      </c>
      <c r="X1398" t="s">
        <v>106</v>
      </c>
      <c r="Y1398" t="s">
        <v>108</v>
      </c>
      <c r="Z1398" t="s">
        <v>108</v>
      </c>
      <c r="AA1398" t="s">
        <v>106</v>
      </c>
      <c r="AB1398" t="s">
        <v>106</v>
      </c>
    </row>
    <row r="1399" spans="1:28" x14ac:dyDescent="0.3">
      <c r="A1399" t="s">
        <v>1456</v>
      </c>
      <c r="B1399">
        <v>3</v>
      </c>
      <c r="C1399">
        <v>35</v>
      </c>
      <c r="D1399">
        <v>66</v>
      </c>
      <c r="E1399" t="s">
        <v>128</v>
      </c>
      <c r="F1399" s="12">
        <v>45558</v>
      </c>
      <c r="G1399" t="s">
        <v>496</v>
      </c>
      <c r="H1399" s="12">
        <v>45558</v>
      </c>
      <c r="I1399" t="s">
        <v>1178</v>
      </c>
      <c r="J1399" t="s">
        <v>1290</v>
      </c>
      <c r="K1399">
        <v>2</v>
      </c>
      <c r="L1399">
        <v>34.6</v>
      </c>
      <c r="P1399" t="s">
        <v>106</v>
      </c>
      <c r="Q1399" t="s">
        <v>106</v>
      </c>
      <c r="R1399" t="s">
        <v>106</v>
      </c>
      <c r="S1399" t="s">
        <v>106</v>
      </c>
      <c r="T1399" t="s">
        <v>1409</v>
      </c>
      <c r="U1399" t="s">
        <v>1980</v>
      </c>
      <c r="V1399" t="s">
        <v>106</v>
      </c>
      <c r="W1399" t="s">
        <v>2015</v>
      </c>
      <c r="X1399" t="s">
        <v>106</v>
      </c>
      <c r="Y1399" t="s">
        <v>108</v>
      </c>
      <c r="Z1399" t="s">
        <v>108</v>
      </c>
      <c r="AA1399" t="s">
        <v>106</v>
      </c>
      <c r="AB1399" t="s">
        <v>106</v>
      </c>
    </row>
    <row r="1400" spans="1:28" x14ac:dyDescent="0.3">
      <c r="A1400" t="s">
        <v>1456</v>
      </c>
      <c r="B1400">
        <v>3</v>
      </c>
      <c r="C1400">
        <v>35</v>
      </c>
      <c r="D1400">
        <v>27</v>
      </c>
      <c r="E1400" t="s">
        <v>128</v>
      </c>
      <c r="F1400" s="12">
        <v>45558</v>
      </c>
      <c r="G1400" t="s">
        <v>772</v>
      </c>
      <c r="H1400" s="12">
        <v>45558</v>
      </c>
      <c r="I1400" t="s">
        <v>2072</v>
      </c>
      <c r="J1400" t="s">
        <v>458</v>
      </c>
      <c r="K1400">
        <v>2</v>
      </c>
      <c r="L1400">
        <v>38.4</v>
      </c>
      <c r="P1400" t="s">
        <v>106</v>
      </c>
      <c r="Q1400" t="s">
        <v>106</v>
      </c>
      <c r="R1400" t="s">
        <v>106</v>
      </c>
      <c r="S1400" t="s">
        <v>106</v>
      </c>
      <c r="T1400" t="s">
        <v>1825</v>
      </c>
      <c r="U1400" t="s">
        <v>1968</v>
      </c>
      <c r="V1400" t="s">
        <v>106</v>
      </c>
      <c r="W1400" t="s">
        <v>443</v>
      </c>
      <c r="X1400" t="s">
        <v>106</v>
      </c>
      <c r="Y1400" t="s">
        <v>108</v>
      </c>
      <c r="Z1400" t="s">
        <v>108</v>
      </c>
      <c r="AA1400" t="s">
        <v>106</v>
      </c>
      <c r="AB1400" t="s">
        <v>106</v>
      </c>
    </row>
    <row r="1401" spans="1:28" x14ac:dyDescent="0.3">
      <c r="A1401" t="s">
        <v>1456</v>
      </c>
      <c r="B1401">
        <v>3</v>
      </c>
      <c r="C1401">
        <v>35</v>
      </c>
      <c r="D1401">
        <v>63</v>
      </c>
      <c r="E1401" t="s">
        <v>128</v>
      </c>
      <c r="F1401" s="12">
        <v>45558</v>
      </c>
      <c r="G1401" t="s">
        <v>374</v>
      </c>
      <c r="H1401" s="12">
        <v>45558</v>
      </c>
      <c r="I1401" t="s">
        <v>593</v>
      </c>
      <c r="J1401" t="s">
        <v>1290</v>
      </c>
      <c r="K1401">
        <v>2</v>
      </c>
      <c r="L1401">
        <v>38</v>
      </c>
      <c r="P1401" t="s">
        <v>106</v>
      </c>
      <c r="Q1401" t="s">
        <v>106</v>
      </c>
      <c r="R1401" t="s">
        <v>106</v>
      </c>
      <c r="S1401" t="s">
        <v>106</v>
      </c>
      <c r="T1401" t="s">
        <v>1041</v>
      </c>
      <c r="U1401" t="s">
        <v>1734</v>
      </c>
      <c r="V1401" t="s">
        <v>106</v>
      </c>
      <c r="W1401" t="s">
        <v>443</v>
      </c>
      <c r="X1401" t="s">
        <v>106</v>
      </c>
      <c r="Y1401" t="s">
        <v>108</v>
      </c>
      <c r="Z1401" t="s">
        <v>108</v>
      </c>
      <c r="AA1401" t="s">
        <v>106</v>
      </c>
      <c r="AB1401" t="s">
        <v>106</v>
      </c>
    </row>
    <row r="1402" spans="1:28" x14ac:dyDescent="0.3">
      <c r="A1402" t="s">
        <v>1456</v>
      </c>
      <c r="B1402">
        <v>3</v>
      </c>
      <c r="C1402">
        <v>35</v>
      </c>
      <c r="D1402">
        <v>42</v>
      </c>
      <c r="E1402" t="s">
        <v>128</v>
      </c>
      <c r="F1402" s="12">
        <v>45558</v>
      </c>
      <c r="G1402" t="s">
        <v>1489</v>
      </c>
      <c r="H1402" s="12">
        <v>45558</v>
      </c>
      <c r="I1402" t="s">
        <v>2068</v>
      </c>
      <c r="J1402" t="s">
        <v>458</v>
      </c>
      <c r="K1402">
        <v>2</v>
      </c>
      <c r="L1402">
        <v>36.4</v>
      </c>
      <c r="P1402" t="s">
        <v>106</v>
      </c>
      <c r="Q1402" t="s">
        <v>106</v>
      </c>
      <c r="R1402" t="s">
        <v>106</v>
      </c>
      <c r="S1402" t="s">
        <v>106</v>
      </c>
      <c r="T1402" t="s">
        <v>1409</v>
      </c>
      <c r="U1402" t="s">
        <v>2341</v>
      </c>
      <c r="V1402" t="s">
        <v>106</v>
      </c>
      <c r="W1402" t="s">
        <v>443</v>
      </c>
      <c r="X1402" t="s">
        <v>106</v>
      </c>
      <c r="Y1402" t="s">
        <v>108</v>
      </c>
      <c r="Z1402" t="s">
        <v>108</v>
      </c>
      <c r="AA1402" t="s">
        <v>106</v>
      </c>
      <c r="AB1402" t="s">
        <v>106</v>
      </c>
    </row>
    <row r="1403" spans="1:28" x14ac:dyDescent="0.3">
      <c r="A1403" t="s">
        <v>1456</v>
      </c>
      <c r="B1403">
        <v>3</v>
      </c>
      <c r="C1403">
        <v>35</v>
      </c>
      <c r="D1403">
        <v>32</v>
      </c>
      <c r="E1403" t="s">
        <v>128</v>
      </c>
      <c r="F1403" s="12">
        <v>45558</v>
      </c>
      <c r="G1403" t="s">
        <v>323</v>
      </c>
      <c r="H1403" s="12">
        <v>45555</v>
      </c>
      <c r="I1403" t="s">
        <v>2072</v>
      </c>
      <c r="J1403" t="s">
        <v>458</v>
      </c>
      <c r="K1403">
        <v>2</v>
      </c>
      <c r="L1403">
        <v>38.6</v>
      </c>
      <c r="P1403" t="s">
        <v>106</v>
      </c>
      <c r="Q1403" t="s">
        <v>106</v>
      </c>
      <c r="R1403" t="s">
        <v>106</v>
      </c>
      <c r="S1403" t="s">
        <v>106</v>
      </c>
      <c r="T1403" t="s">
        <v>756</v>
      </c>
      <c r="U1403" t="s">
        <v>1738</v>
      </c>
      <c r="V1403" t="s">
        <v>106</v>
      </c>
      <c r="W1403" t="s">
        <v>443</v>
      </c>
      <c r="X1403" t="s">
        <v>106</v>
      </c>
      <c r="Y1403" t="s">
        <v>108</v>
      </c>
      <c r="Z1403" t="s">
        <v>108</v>
      </c>
      <c r="AA1403" t="s">
        <v>106</v>
      </c>
      <c r="AB1403" t="s">
        <v>106</v>
      </c>
    </row>
    <row r="1404" spans="1:28" x14ac:dyDescent="0.3">
      <c r="A1404" t="s">
        <v>1456</v>
      </c>
      <c r="B1404">
        <v>3</v>
      </c>
      <c r="C1404">
        <v>35</v>
      </c>
      <c r="D1404">
        <v>33</v>
      </c>
      <c r="E1404" t="s">
        <v>128</v>
      </c>
      <c r="F1404" s="12">
        <v>45558</v>
      </c>
      <c r="G1404" t="s">
        <v>324</v>
      </c>
      <c r="H1404" s="12">
        <v>45555</v>
      </c>
      <c r="I1404" t="s">
        <v>2072</v>
      </c>
      <c r="J1404" t="s">
        <v>458</v>
      </c>
      <c r="K1404">
        <v>2</v>
      </c>
      <c r="L1404">
        <v>36.4</v>
      </c>
      <c r="P1404" t="s">
        <v>106</v>
      </c>
      <c r="Q1404" t="s">
        <v>106</v>
      </c>
      <c r="R1404" t="s">
        <v>106</v>
      </c>
      <c r="S1404" t="s">
        <v>106</v>
      </c>
      <c r="T1404" t="s">
        <v>1959</v>
      </c>
      <c r="U1404" t="s">
        <v>1734</v>
      </c>
      <c r="V1404" t="s">
        <v>106</v>
      </c>
      <c r="W1404" t="s">
        <v>443</v>
      </c>
      <c r="X1404" t="s">
        <v>106</v>
      </c>
      <c r="Y1404" t="s">
        <v>108</v>
      </c>
      <c r="Z1404" t="s">
        <v>108</v>
      </c>
      <c r="AA1404" t="s">
        <v>106</v>
      </c>
      <c r="AB1404" t="s">
        <v>106</v>
      </c>
    </row>
    <row r="1405" spans="1:28" x14ac:dyDescent="0.3">
      <c r="A1405" t="s">
        <v>1456</v>
      </c>
      <c r="B1405">
        <v>3</v>
      </c>
      <c r="C1405">
        <v>35</v>
      </c>
      <c r="D1405">
        <v>55</v>
      </c>
      <c r="E1405" t="s">
        <v>128</v>
      </c>
      <c r="F1405" s="12">
        <v>45558</v>
      </c>
      <c r="G1405" t="s">
        <v>739</v>
      </c>
      <c r="H1405" s="12">
        <v>45558</v>
      </c>
      <c r="I1405" t="s">
        <v>2070</v>
      </c>
      <c r="J1405" t="s">
        <v>1290</v>
      </c>
      <c r="K1405">
        <v>2</v>
      </c>
      <c r="L1405">
        <v>37.299999999999997</v>
      </c>
      <c r="P1405" t="s">
        <v>106</v>
      </c>
      <c r="Q1405" t="s">
        <v>106</v>
      </c>
      <c r="R1405" t="s">
        <v>106</v>
      </c>
      <c r="S1405" t="s">
        <v>106</v>
      </c>
      <c r="T1405" t="s">
        <v>1409</v>
      </c>
      <c r="U1405" t="s">
        <v>1736</v>
      </c>
      <c r="V1405" t="s">
        <v>106</v>
      </c>
      <c r="W1405" t="s">
        <v>443</v>
      </c>
      <c r="X1405" t="s">
        <v>106</v>
      </c>
      <c r="Y1405" t="s">
        <v>108</v>
      </c>
      <c r="Z1405" t="s">
        <v>108</v>
      </c>
      <c r="AA1405" t="s">
        <v>106</v>
      </c>
      <c r="AB1405" t="s">
        <v>106</v>
      </c>
    </row>
    <row r="1406" spans="1:28" x14ac:dyDescent="0.3">
      <c r="A1406" t="s">
        <v>1456</v>
      </c>
      <c r="B1406">
        <v>3</v>
      </c>
      <c r="C1406">
        <v>35</v>
      </c>
      <c r="D1406">
        <v>54</v>
      </c>
      <c r="E1406" t="s">
        <v>128</v>
      </c>
      <c r="F1406" s="12">
        <v>45558</v>
      </c>
      <c r="G1406" t="s">
        <v>739</v>
      </c>
      <c r="H1406" s="12">
        <v>45558</v>
      </c>
      <c r="I1406" t="s">
        <v>2070</v>
      </c>
      <c r="J1406" t="s">
        <v>1290</v>
      </c>
      <c r="K1406">
        <v>2</v>
      </c>
      <c r="L1406">
        <v>35.6</v>
      </c>
      <c r="P1406" t="s">
        <v>106</v>
      </c>
      <c r="Q1406" t="s">
        <v>106</v>
      </c>
      <c r="R1406" t="s">
        <v>106</v>
      </c>
      <c r="S1406" t="s">
        <v>106</v>
      </c>
      <c r="T1406" t="s">
        <v>881</v>
      </c>
      <c r="U1406" t="s">
        <v>2341</v>
      </c>
      <c r="V1406" t="s">
        <v>106</v>
      </c>
      <c r="W1406" t="s">
        <v>443</v>
      </c>
      <c r="X1406" t="s">
        <v>106</v>
      </c>
      <c r="Y1406" t="s">
        <v>108</v>
      </c>
      <c r="Z1406" t="s">
        <v>108</v>
      </c>
      <c r="AA1406" t="s">
        <v>106</v>
      </c>
      <c r="AB1406" t="s">
        <v>106</v>
      </c>
    </row>
    <row r="1407" spans="1:28" x14ac:dyDescent="0.3">
      <c r="A1407" t="s">
        <v>1456</v>
      </c>
      <c r="B1407">
        <v>3</v>
      </c>
      <c r="C1407">
        <v>35</v>
      </c>
      <c r="D1407">
        <v>38</v>
      </c>
      <c r="E1407" t="s">
        <v>128</v>
      </c>
      <c r="F1407" s="12">
        <v>45558</v>
      </c>
      <c r="G1407" t="s">
        <v>790</v>
      </c>
      <c r="H1407" s="12">
        <v>45558</v>
      </c>
      <c r="I1407" t="s">
        <v>2068</v>
      </c>
      <c r="J1407" t="s">
        <v>458</v>
      </c>
      <c r="K1407">
        <v>2</v>
      </c>
      <c r="L1407">
        <v>36.299999999999997</v>
      </c>
      <c r="P1407" t="s">
        <v>106</v>
      </c>
      <c r="Q1407" t="s">
        <v>106</v>
      </c>
      <c r="R1407" t="s">
        <v>106</v>
      </c>
      <c r="S1407" t="s">
        <v>106</v>
      </c>
      <c r="T1407" t="s">
        <v>1793</v>
      </c>
      <c r="U1407" t="s">
        <v>2341</v>
      </c>
      <c r="V1407" t="s">
        <v>106</v>
      </c>
      <c r="W1407" t="s">
        <v>443</v>
      </c>
      <c r="X1407" t="s">
        <v>106</v>
      </c>
      <c r="Y1407" t="s">
        <v>108</v>
      </c>
      <c r="Z1407" t="s">
        <v>108</v>
      </c>
      <c r="AA1407" t="s">
        <v>106</v>
      </c>
      <c r="AB1407" t="s">
        <v>106</v>
      </c>
    </row>
    <row r="1408" spans="1:28" x14ac:dyDescent="0.3">
      <c r="A1408" t="s">
        <v>1456</v>
      </c>
      <c r="B1408">
        <v>3</v>
      </c>
      <c r="C1408">
        <v>35</v>
      </c>
      <c r="D1408">
        <v>39</v>
      </c>
      <c r="E1408" t="s">
        <v>128</v>
      </c>
      <c r="F1408" s="12">
        <v>45558</v>
      </c>
      <c r="G1408" t="s">
        <v>790</v>
      </c>
      <c r="H1408" s="12">
        <v>45558</v>
      </c>
      <c r="I1408" t="s">
        <v>2068</v>
      </c>
      <c r="J1408" t="s">
        <v>458</v>
      </c>
      <c r="K1408">
        <v>2</v>
      </c>
      <c r="L1408">
        <v>36.299999999999997</v>
      </c>
      <c r="P1408" t="s">
        <v>106</v>
      </c>
      <c r="Q1408" t="s">
        <v>106</v>
      </c>
      <c r="R1408" t="s">
        <v>106</v>
      </c>
      <c r="S1408" t="s">
        <v>106</v>
      </c>
      <c r="T1408" t="s">
        <v>1016</v>
      </c>
      <c r="U1408" t="s">
        <v>2341</v>
      </c>
      <c r="V1408" t="s">
        <v>106</v>
      </c>
      <c r="W1408" t="s">
        <v>443</v>
      </c>
      <c r="X1408" t="s">
        <v>106</v>
      </c>
      <c r="Y1408" t="s">
        <v>108</v>
      </c>
      <c r="Z1408" t="s">
        <v>108</v>
      </c>
      <c r="AA1408" t="s">
        <v>106</v>
      </c>
      <c r="AB1408" t="s">
        <v>106</v>
      </c>
    </row>
    <row r="1409" spans="1:28" x14ac:dyDescent="0.3">
      <c r="A1409" t="s">
        <v>1456</v>
      </c>
      <c r="B1409">
        <v>3</v>
      </c>
      <c r="C1409">
        <v>35</v>
      </c>
      <c r="D1409">
        <v>51</v>
      </c>
      <c r="E1409" t="s">
        <v>128</v>
      </c>
      <c r="F1409" s="12">
        <v>45558</v>
      </c>
      <c r="G1409" t="s">
        <v>1240</v>
      </c>
      <c r="H1409" s="12">
        <v>45558</v>
      </c>
      <c r="I1409" t="s">
        <v>2070</v>
      </c>
      <c r="J1409" t="s">
        <v>458</v>
      </c>
      <c r="K1409">
        <v>2</v>
      </c>
      <c r="L1409">
        <v>36</v>
      </c>
      <c r="P1409" t="s">
        <v>106</v>
      </c>
      <c r="Q1409" t="s">
        <v>106</v>
      </c>
      <c r="R1409" t="s">
        <v>106</v>
      </c>
      <c r="S1409" t="s">
        <v>106</v>
      </c>
      <c r="T1409" t="s">
        <v>1793</v>
      </c>
      <c r="U1409" t="s">
        <v>1985</v>
      </c>
      <c r="V1409" t="s">
        <v>106</v>
      </c>
      <c r="W1409" t="s">
        <v>443</v>
      </c>
      <c r="X1409" t="s">
        <v>106</v>
      </c>
      <c r="Y1409" t="s">
        <v>108</v>
      </c>
      <c r="Z1409" t="s">
        <v>108</v>
      </c>
      <c r="AA1409" t="s">
        <v>106</v>
      </c>
      <c r="AB1409" t="s">
        <v>106</v>
      </c>
    </row>
    <row r="1410" spans="1:28" x14ac:dyDescent="0.3">
      <c r="A1410" t="s">
        <v>1456</v>
      </c>
      <c r="B1410">
        <v>3</v>
      </c>
      <c r="C1410">
        <v>35</v>
      </c>
      <c r="D1410">
        <v>50</v>
      </c>
      <c r="E1410" t="s">
        <v>128</v>
      </c>
      <c r="F1410" s="12">
        <v>45558</v>
      </c>
      <c r="G1410" t="s">
        <v>1237</v>
      </c>
      <c r="H1410" s="12">
        <v>45558</v>
      </c>
      <c r="I1410" t="s">
        <v>2070</v>
      </c>
      <c r="J1410" t="s">
        <v>458</v>
      </c>
      <c r="K1410">
        <v>2</v>
      </c>
      <c r="L1410">
        <v>35.299999999999997</v>
      </c>
      <c r="P1410" t="s">
        <v>106</v>
      </c>
      <c r="Q1410" t="s">
        <v>106</v>
      </c>
      <c r="R1410" t="s">
        <v>106</v>
      </c>
      <c r="S1410" t="s">
        <v>106</v>
      </c>
      <c r="T1410" t="s">
        <v>1257</v>
      </c>
      <c r="U1410" t="s">
        <v>1985</v>
      </c>
      <c r="V1410" t="s">
        <v>106</v>
      </c>
      <c r="W1410" t="s">
        <v>443</v>
      </c>
      <c r="X1410" t="s">
        <v>106</v>
      </c>
      <c r="Y1410" t="s">
        <v>108</v>
      </c>
      <c r="Z1410" t="s">
        <v>108</v>
      </c>
      <c r="AA1410" t="s">
        <v>106</v>
      </c>
      <c r="AB1410" t="s">
        <v>106</v>
      </c>
    </row>
    <row r="1411" spans="1:28" x14ac:dyDescent="0.3">
      <c r="A1411" t="s">
        <v>1456</v>
      </c>
      <c r="B1411">
        <v>3</v>
      </c>
      <c r="C1411">
        <v>35</v>
      </c>
      <c r="D1411">
        <v>62</v>
      </c>
      <c r="E1411" t="s">
        <v>128</v>
      </c>
      <c r="F1411" s="12">
        <v>45558</v>
      </c>
      <c r="G1411" t="s">
        <v>1686</v>
      </c>
      <c r="H1411" s="12">
        <v>45558</v>
      </c>
      <c r="I1411" t="s">
        <v>593</v>
      </c>
      <c r="J1411" t="s">
        <v>1290</v>
      </c>
      <c r="K1411">
        <v>2</v>
      </c>
      <c r="L1411">
        <v>37.700000000000003</v>
      </c>
      <c r="P1411" t="s">
        <v>106</v>
      </c>
      <c r="Q1411" t="s">
        <v>106</v>
      </c>
      <c r="R1411" t="s">
        <v>106</v>
      </c>
      <c r="S1411" t="s">
        <v>106</v>
      </c>
      <c r="T1411" t="s">
        <v>1049</v>
      </c>
      <c r="U1411" t="s">
        <v>2498</v>
      </c>
      <c r="V1411" t="s">
        <v>106</v>
      </c>
      <c r="W1411" t="s">
        <v>443</v>
      </c>
      <c r="X1411" t="s">
        <v>106</v>
      </c>
      <c r="Y1411" t="s">
        <v>108</v>
      </c>
      <c r="Z1411" t="s">
        <v>108</v>
      </c>
      <c r="AA1411" t="s">
        <v>106</v>
      </c>
      <c r="AB1411" t="s">
        <v>106</v>
      </c>
    </row>
    <row r="1412" spans="1:28" x14ac:dyDescent="0.3">
      <c r="A1412" t="s">
        <v>1456</v>
      </c>
      <c r="B1412">
        <v>3</v>
      </c>
      <c r="C1412">
        <v>35</v>
      </c>
      <c r="D1412">
        <v>43</v>
      </c>
      <c r="E1412" t="s">
        <v>128</v>
      </c>
      <c r="F1412" s="12">
        <v>45558</v>
      </c>
      <c r="G1412" t="s">
        <v>1086</v>
      </c>
      <c r="H1412" s="12">
        <v>45558</v>
      </c>
      <c r="I1412" t="s">
        <v>2068</v>
      </c>
      <c r="J1412" t="s">
        <v>458</v>
      </c>
      <c r="K1412">
        <v>2</v>
      </c>
      <c r="L1412">
        <v>36.700000000000003</v>
      </c>
      <c r="P1412" t="s">
        <v>106</v>
      </c>
      <c r="Q1412" t="s">
        <v>106</v>
      </c>
      <c r="R1412" t="s">
        <v>106</v>
      </c>
      <c r="S1412" t="s">
        <v>106</v>
      </c>
      <c r="T1412" t="s">
        <v>1793</v>
      </c>
      <c r="U1412" t="s">
        <v>1776</v>
      </c>
      <c r="V1412" t="s">
        <v>106</v>
      </c>
      <c r="W1412" t="s">
        <v>443</v>
      </c>
      <c r="X1412" t="s">
        <v>106</v>
      </c>
      <c r="Y1412" t="s">
        <v>108</v>
      </c>
      <c r="Z1412" t="s">
        <v>108</v>
      </c>
      <c r="AA1412" t="s">
        <v>106</v>
      </c>
      <c r="AB1412" t="s">
        <v>106</v>
      </c>
    </row>
    <row r="1413" spans="1:28" x14ac:dyDescent="0.3">
      <c r="A1413" t="s">
        <v>1456</v>
      </c>
      <c r="B1413">
        <v>4</v>
      </c>
      <c r="C1413">
        <v>60</v>
      </c>
      <c r="D1413">
        <v>76</v>
      </c>
      <c r="E1413" t="s">
        <v>128</v>
      </c>
      <c r="F1413" s="12">
        <v>45558</v>
      </c>
      <c r="G1413" t="s">
        <v>1861</v>
      </c>
      <c r="H1413" s="12">
        <v>45558</v>
      </c>
      <c r="I1413" t="s">
        <v>2065</v>
      </c>
      <c r="J1413" t="s">
        <v>1290</v>
      </c>
      <c r="K1413">
        <v>2</v>
      </c>
      <c r="L1413">
        <v>58.5</v>
      </c>
      <c r="P1413" t="s">
        <v>106</v>
      </c>
      <c r="Q1413" t="s">
        <v>106</v>
      </c>
      <c r="R1413" t="s">
        <v>106</v>
      </c>
      <c r="S1413" t="s">
        <v>106</v>
      </c>
      <c r="T1413" t="s">
        <v>1274</v>
      </c>
      <c r="U1413" t="s">
        <v>1985</v>
      </c>
      <c r="V1413" t="s">
        <v>106</v>
      </c>
      <c r="W1413" t="s">
        <v>2015</v>
      </c>
      <c r="X1413" t="s">
        <v>106</v>
      </c>
      <c r="Y1413" t="s">
        <v>108</v>
      </c>
      <c r="Z1413" t="s">
        <v>104</v>
      </c>
      <c r="AA1413" t="s">
        <v>2066</v>
      </c>
      <c r="AB1413" t="s">
        <v>106</v>
      </c>
    </row>
    <row r="1414" spans="1:28" x14ac:dyDescent="0.3">
      <c r="A1414" t="s">
        <v>1456</v>
      </c>
      <c r="B1414">
        <v>4</v>
      </c>
      <c r="C1414">
        <v>60</v>
      </c>
      <c r="D1414">
        <v>52</v>
      </c>
      <c r="E1414" t="s">
        <v>128</v>
      </c>
      <c r="F1414" s="12">
        <v>45558</v>
      </c>
      <c r="G1414" t="s">
        <v>585</v>
      </c>
      <c r="H1414" s="12">
        <v>45558</v>
      </c>
      <c r="I1414" t="s">
        <v>2070</v>
      </c>
      <c r="J1414" t="s">
        <v>458</v>
      </c>
      <c r="K1414">
        <v>2</v>
      </c>
      <c r="L1414">
        <v>59</v>
      </c>
      <c r="P1414" t="s">
        <v>106</v>
      </c>
      <c r="Q1414" t="s">
        <v>106</v>
      </c>
      <c r="R1414" t="s">
        <v>106</v>
      </c>
      <c r="S1414" t="s">
        <v>106</v>
      </c>
      <c r="T1414" t="s">
        <v>1379</v>
      </c>
      <c r="U1414" t="s">
        <v>1699</v>
      </c>
      <c r="V1414" t="s">
        <v>106</v>
      </c>
      <c r="W1414" t="s">
        <v>443</v>
      </c>
      <c r="X1414" t="s">
        <v>106</v>
      </c>
      <c r="Y1414" t="s">
        <v>108</v>
      </c>
      <c r="Z1414" t="s">
        <v>104</v>
      </c>
      <c r="AA1414" t="s">
        <v>106</v>
      </c>
      <c r="AB1414" t="s">
        <v>106</v>
      </c>
    </row>
    <row r="1415" spans="1:28" x14ac:dyDescent="0.3">
      <c r="A1415" t="s">
        <v>1456</v>
      </c>
      <c r="B1415">
        <v>4</v>
      </c>
      <c r="C1415">
        <v>60</v>
      </c>
      <c r="D1415">
        <v>29</v>
      </c>
      <c r="E1415" t="s">
        <v>128</v>
      </c>
      <c r="F1415" s="12">
        <v>45558</v>
      </c>
      <c r="G1415" t="s">
        <v>1194</v>
      </c>
      <c r="H1415" s="12">
        <v>45558</v>
      </c>
      <c r="I1415" t="s">
        <v>2072</v>
      </c>
      <c r="J1415" t="s">
        <v>458</v>
      </c>
      <c r="K1415">
        <v>2</v>
      </c>
      <c r="L1415">
        <v>62</v>
      </c>
      <c r="P1415" t="s">
        <v>106</v>
      </c>
      <c r="Q1415" t="s">
        <v>106</v>
      </c>
      <c r="R1415" t="s">
        <v>106</v>
      </c>
      <c r="S1415" t="s">
        <v>106</v>
      </c>
      <c r="T1415" t="s">
        <v>1274</v>
      </c>
      <c r="U1415" t="s">
        <v>1968</v>
      </c>
      <c r="V1415" t="s">
        <v>106</v>
      </c>
      <c r="W1415" t="s">
        <v>443</v>
      </c>
      <c r="X1415" t="s">
        <v>106</v>
      </c>
      <c r="Y1415" t="s">
        <v>108</v>
      </c>
      <c r="Z1415" t="s">
        <v>104</v>
      </c>
      <c r="AA1415" t="s">
        <v>106</v>
      </c>
      <c r="AB1415" t="s">
        <v>106</v>
      </c>
    </row>
    <row r="1416" spans="1:28" x14ac:dyDescent="0.3">
      <c r="A1416" t="s">
        <v>1456</v>
      </c>
      <c r="B1416">
        <v>4</v>
      </c>
      <c r="C1416">
        <v>60</v>
      </c>
      <c r="D1416">
        <v>34</v>
      </c>
      <c r="E1416" t="s">
        <v>128</v>
      </c>
      <c r="F1416" s="12">
        <v>45558</v>
      </c>
      <c r="G1416" t="s">
        <v>324</v>
      </c>
      <c r="H1416" s="12">
        <v>45555</v>
      </c>
      <c r="I1416" t="s">
        <v>2072</v>
      </c>
      <c r="J1416" t="s">
        <v>458</v>
      </c>
      <c r="K1416">
        <v>2</v>
      </c>
      <c r="L1416">
        <v>61.5</v>
      </c>
      <c r="P1416" t="s">
        <v>106</v>
      </c>
      <c r="Q1416" t="s">
        <v>106</v>
      </c>
      <c r="R1416" t="s">
        <v>106</v>
      </c>
      <c r="S1416" t="s">
        <v>106</v>
      </c>
      <c r="T1416" t="s">
        <v>884</v>
      </c>
      <c r="U1416" t="s">
        <v>1699</v>
      </c>
      <c r="V1416" t="s">
        <v>106</v>
      </c>
      <c r="W1416" t="s">
        <v>443</v>
      </c>
      <c r="X1416" t="s">
        <v>106</v>
      </c>
      <c r="Y1416" t="s">
        <v>108</v>
      </c>
      <c r="Z1416" t="s">
        <v>104</v>
      </c>
      <c r="AA1416" t="s">
        <v>106</v>
      </c>
      <c r="AB1416" t="s">
        <v>106</v>
      </c>
    </row>
    <row r="1417" spans="1:28" x14ac:dyDescent="0.3">
      <c r="A1417" t="s">
        <v>1456</v>
      </c>
      <c r="B1417">
        <v>4</v>
      </c>
      <c r="C1417">
        <v>60</v>
      </c>
      <c r="D1417">
        <v>35</v>
      </c>
      <c r="E1417" t="s">
        <v>128</v>
      </c>
      <c r="F1417" s="12">
        <v>45558</v>
      </c>
      <c r="G1417" t="s">
        <v>2107</v>
      </c>
      <c r="H1417" s="12">
        <v>45555</v>
      </c>
      <c r="I1417" t="s">
        <v>2072</v>
      </c>
      <c r="J1417" t="s">
        <v>458</v>
      </c>
      <c r="K1417">
        <v>2</v>
      </c>
      <c r="L1417">
        <v>62</v>
      </c>
      <c r="P1417" t="s">
        <v>106</v>
      </c>
      <c r="Q1417" t="s">
        <v>106</v>
      </c>
      <c r="R1417" t="s">
        <v>106</v>
      </c>
      <c r="S1417" t="s">
        <v>106</v>
      </c>
      <c r="T1417" t="s">
        <v>1158</v>
      </c>
      <c r="U1417" t="s">
        <v>2341</v>
      </c>
      <c r="V1417" t="s">
        <v>106</v>
      </c>
      <c r="W1417" t="s">
        <v>443</v>
      </c>
      <c r="X1417" t="s">
        <v>106</v>
      </c>
      <c r="Y1417" t="s">
        <v>108</v>
      </c>
      <c r="Z1417" t="s">
        <v>104</v>
      </c>
      <c r="AA1417" t="s">
        <v>106</v>
      </c>
      <c r="AB1417" t="s">
        <v>106</v>
      </c>
    </row>
    <row r="1418" spans="1:28" x14ac:dyDescent="0.3">
      <c r="A1418" t="s">
        <v>1456</v>
      </c>
      <c r="B1418">
        <v>4</v>
      </c>
      <c r="C1418">
        <v>60</v>
      </c>
      <c r="D1418">
        <v>40</v>
      </c>
      <c r="E1418" t="s">
        <v>128</v>
      </c>
      <c r="F1418" s="12">
        <v>45558</v>
      </c>
      <c r="G1418" t="s">
        <v>636</v>
      </c>
      <c r="H1418" s="12">
        <v>45558</v>
      </c>
      <c r="I1418" t="s">
        <v>2068</v>
      </c>
      <c r="J1418" t="s">
        <v>458</v>
      </c>
      <c r="K1418">
        <v>2</v>
      </c>
      <c r="L1418">
        <v>58.3</v>
      </c>
      <c r="P1418" t="s">
        <v>106</v>
      </c>
      <c r="Q1418" t="s">
        <v>106</v>
      </c>
      <c r="R1418" t="s">
        <v>106</v>
      </c>
      <c r="S1418" t="s">
        <v>106</v>
      </c>
      <c r="T1418" t="s">
        <v>1529</v>
      </c>
      <c r="U1418" t="s">
        <v>2022</v>
      </c>
      <c r="V1418" t="s">
        <v>106</v>
      </c>
      <c r="W1418" t="s">
        <v>443</v>
      </c>
      <c r="X1418" t="s">
        <v>106</v>
      </c>
      <c r="Y1418" t="s">
        <v>108</v>
      </c>
      <c r="Z1418" t="s">
        <v>104</v>
      </c>
      <c r="AA1418" t="s">
        <v>106</v>
      </c>
      <c r="AB1418" t="s">
        <v>106</v>
      </c>
    </row>
    <row r="1419" spans="1:28" x14ac:dyDescent="0.3">
      <c r="A1419" t="s">
        <v>1456</v>
      </c>
      <c r="B1419">
        <v>4</v>
      </c>
      <c r="C1419">
        <v>60</v>
      </c>
      <c r="D1419">
        <v>41</v>
      </c>
      <c r="E1419" t="s">
        <v>128</v>
      </c>
      <c r="F1419" s="12">
        <v>45558</v>
      </c>
      <c r="G1419" t="s">
        <v>634</v>
      </c>
      <c r="H1419" s="12">
        <v>45558</v>
      </c>
      <c r="I1419" t="s">
        <v>2068</v>
      </c>
      <c r="J1419" t="s">
        <v>458</v>
      </c>
      <c r="K1419">
        <v>2</v>
      </c>
      <c r="L1419">
        <v>56.2</v>
      </c>
      <c r="P1419" t="s">
        <v>106</v>
      </c>
      <c r="Q1419" t="s">
        <v>106</v>
      </c>
      <c r="R1419" t="s">
        <v>106</v>
      </c>
      <c r="S1419" t="s">
        <v>106</v>
      </c>
      <c r="T1419" t="s">
        <v>1529</v>
      </c>
      <c r="U1419" t="s">
        <v>2341</v>
      </c>
      <c r="V1419" t="s">
        <v>106</v>
      </c>
      <c r="W1419" t="s">
        <v>443</v>
      </c>
      <c r="X1419" t="s">
        <v>106</v>
      </c>
      <c r="Y1419" t="s">
        <v>108</v>
      </c>
      <c r="Z1419" t="s">
        <v>104</v>
      </c>
      <c r="AA1419" t="s">
        <v>106</v>
      </c>
      <c r="AB1419" t="s">
        <v>106</v>
      </c>
    </row>
    <row r="1420" spans="1:28" x14ac:dyDescent="0.3">
      <c r="A1420" t="s">
        <v>1456</v>
      </c>
      <c r="B1420">
        <v>4</v>
      </c>
      <c r="C1420">
        <v>60</v>
      </c>
      <c r="D1420">
        <v>46</v>
      </c>
      <c r="E1420" t="s">
        <v>128</v>
      </c>
      <c r="F1420" s="12">
        <v>45558</v>
      </c>
      <c r="G1420" t="s">
        <v>491</v>
      </c>
      <c r="H1420" s="12">
        <v>45558</v>
      </c>
      <c r="I1420" t="s">
        <v>2068</v>
      </c>
      <c r="J1420" t="s">
        <v>458</v>
      </c>
      <c r="K1420">
        <v>2</v>
      </c>
      <c r="L1420">
        <v>57.2</v>
      </c>
      <c r="P1420" t="s">
        <v>106</v>
      </c>
      <c r="Q1420" t="s">
        <v>106</v>
      </c>
      <c r="R1420" t="s">
        <v>106</v>
      </c>
      <c r="S1420" t="s">
        <v>106</v>
      </c>
      <c r="T1420" t="s">
        <v>1796</v>
      </c>
      <c r="U1420" t="s">
        <v>905</v>
      </c>
      <c r="V1420" t="s">
        <v>106</v>
      </c>
      <c r="W1420" t="s">
        <v>443</v>
      </c>
      <c r="X1420" t="s">
        <v>106</v>
      </c>
      <c r="Y1420" t="s">
        <v>108</v>
      </c>
      <c r="Z1420" t="s">
        <v>104</v>
      </c>
      <c r="AA1420" t="s">
        <v>106</v>
      </c>
      <c r="AB1420" t="s">
        <v>106</v>
      </c>
    </row>
    <row r="1421" spans="1:28" x14ac:dyDescent="0.3">
      <c r="A1421" t="s">
        <v>1456</v>
      </c>
      <c r="B1421">
        <v>4</v>
      </c>
      <c r="C1421">
        <v>60</v>
      </c>
      <c r="D1421">
        <v>47</v>
      </c>
      <c r="E1421" t="s">
        <v>128</v>
      </c>
      <c r="F1421" s="12">
        <v>45558</v>
      </c>
      <c r="G1421" t="s">
        <v>491</v>
      </c>
      <c r="H1421" s="12">
        <v>45558</v>
      </c>
      <c r="I1421" t="s">
        <v>2068</v>
      </c>
      <c r="J1421" t="s">
        <v>458</v>
      </c>
      <c r="K1421">
        <v>2</v>
      </c>
      <c r="L1421">
        <v>56.6</v>
      </c>
      <c r="P1421" t="s">
        <v>106</v>
      </c>
      <c r="Q1421" t="s">
        <v>106</v>
      </c>
      <c r="R1421" t="s">
        <v>106</v>
      </c>
      <c r="S1421" t="s">
        <v>106</v>
      </c>
      <c r="T1421" t="s">
        <v>1808</v>
      </c>
      <c r="U1421" t="s">
        <v>2106</v>
      </c>
      <c r="V1421" t="s">
        <v>106</v>
      </c>
      <c r="W1421" t="s">
        <v>443</v>
      </c>
      <c r="X1421" t="s">
        <v>106</v>
      </c>
      <c r="Y1421" t="s">
        <v>108</v>
      </c>
      <c r="Z1421" t="s">
        <v>104</v>
      </c>
      <c r="AA1421" t="s">
        <v>106</v>
      </c>
      <c r="AB1421" t="s">
        <v>106</v>
      </c>
    </row>
    <row r="1422" spans="1:28" x14ac:dyDescent="0.3">
      <c r="A1422" t="s">
        <v>1456</v>
      </c>
      <c r="B1422">
        <v>4</v>
      </c>
      <c r="C1422">
        <v>60</v>
      </c>
      <c r="D1422">
        <v>28</v>
      </c>
      <c r="E1422" t="s">
        <v>128</v>
      </c>
      <c r="F1422" s="12">
        <v>45558</v>
      </c>
      <c r="G1422" t="s">
        <v>470</v>
      </c>
      <c r="H1422" s="12">
        <v>45558</v>
      </c>
      <c r="I1422" t="s">
        <v>2072</v>
      </c>
      <c r="J1422" t="s">
        <v>458</v>
      </c>
      <c r="K1422">
        <v>2</v>
      </c>
      <c r="L1422">
        <v>61.1</v>
      </c>
      <c r="P1422" t="s">
        <v>106</v>
      </c>
      <c r="Q1422" t="s">
        <v>106</v>
      </c>
      <c r="R1422" t="s">
        <v>106</v>
      </c>
      <c r="S1422" t="s">
        <v>106</v>
      </c>
      <c r="T1422" t="s">
        <v>1485</v>
      </c>
      <c r="U1422" t="s">
        <v>1734</v>
      </c>
      <c r="V1422" t="s">
        <v>106</v>
      </c>
      <c r="W1422" t="s">
        <v>443</v>
      </c>
      <c r="X1422" t="s">
        <v>106</v>
      </c>
      <c r="Y1422" t="s">
        <v>108</v>
      </c>
      <c r="Z1422" t="s">
        <v>104</v>
      </c>
      <c r="AA1422" t="s">
        <v>106</v>
      </c>
      <c r="AB1422" t="s">
        <v>106</v>
      </c>
    </row>
    <row r="1423" spans="1:28" x14ac:dyDescent="0.3">
      <c r="A1423" t="s">
        <v>1456</v>
      </c>
      <c r="B1423">
        <v>4</v>
      </c>
      <c r="C1423">
        <v>60</v>
      </c>
      <c r="D1423">
        <v>77</v>
      </c>
      <c r="E1423" t="s">
        <v>128</v>
      </c>
      <c r="F1423" s="12">
        <v>45558</v>
      </c>
      <c r="G1423" t="s">
        <v>2090</v>
      </c>
      <c r="H1423" s="12">
        <v>45558</v>
      </c>
      <c r="I1423" t="s">
        <v>2065</v>
      </c>
      <c r="J1423" t="s">
        <v>1290</v>
      </c>
      <c r="K1423">
        <v>2</v>
      </c>
      <c r="L1423">
        <v>54.5</v>
      </c>
      <c r="P1423" t="s">
        <v>106</v>
      </c>
      <c r="Q1423" t="s">
        <v>106</v>
      </c>
      <c r="R1423" t="s">
        <v>106</v>
      </c>
      <c r="S1423" t="s">
        <v>106</v>
      </c>
      <c r="T1423" t="s">
        <v>977</v>
      </c>
      <c r="U1423" t="s">
        <v>1626</v>
      </c>
      <c r="V1423" t="s">
        <v>106</v>
      </c>
      <c r="W1423" t="s">
        <v>2015</v>
      </c>
      <c r="X1423" t="s">
        <v>106</v>
      </c>
      <c r="Y1423" t="s">
        <v>108</v>
      </c>
      <c r="Z1423" t="s">
        <v>104</v>
      </c>
      <c r="AA1423" t="s">
        <v>2066</v>
      </c>
      <c r="AB1423" t="s">
        <v>106</v>
      </c>
    </row>
    <row r="1424" spans="1:28" x14ac:dyDescent="0.3">
      <c r="A1424" t="s">
        <v>1456</v>
      </c>
      <c r="B1424">
        <v>4</v>
      </c>
      <c r="C1424">
        <v>60</v>
      </c>
      <c r="D1424">
        <v>53</v>
      </c>
      <c r="E1424" t="s">
        <v>128</v>
      </c>
      <c r="F1424" s="12">
        <v>45558</v>
      </c>
      <c r="G1424" t="s">
        <v>585</v>
      </c>
      <c r="H1424" s="12">
        <v>45558</v>
      </c>
      <c r="I1424" t="s">
        <v>2070</v>
      </c>
      <c r="J1424" t="s">
        <v>458</v>
      </c>
      <c r="K1424">
        <v>2</v>
      </c>
      <c r="L1424">
        <v>60.2</v>
      </c>
      <c r="P1424" t="s">
        <v>106</v>
      </c>
      <c r="Q1424" t="s">
        <v>106</v>
      </c>
      <c r="R1424" t="s">
        <v>106</v>
      </c>
      <c r="S1424" t="s">
        <v>106</v>
      </c>
      <c r="T1424" t="s">
        <v>1485</v>
      </c>
      <c r="U1424" t="s">
        <v>1734</v>
      </c>
      <c r="V1424" t="s">
        <v>106</v>
      </c>
      <c r="W1424" t="s">
        <v>443</v>
      </c>
      <c r="X1424" t="s">
        <v>106</v>
      </c>
      <c r="Y1424" t="s">
        <v>108</v>
      </c>
      <c r="Z1424" t="s">
        <v>104</v>
      </c>
      <c r="AA1424" t="s">
        <v>106</v>
      </c>
      <c r="AB1424" t="s">
        <v>106</v>
      </c>
    </row>
    <row r="1425" spans="1:28" x14ac:dyDescent="0.3">
      <c r="A1425" t="s">
        <v>1456</v>
      </c>
      <c r="B1425">
        <v>4</v>
      </c>
      <c r="C1425">
        <v>60</v>
      </c>
      <c r="D1425">
        <v>58</v>
      </c>
      <c r="E1425" t="s">
        <v>128</v>
      </c>
      <c r="F1425" s="12">
        <v>45558</v>
      </c>
      <c r="G1425" t="s">
        <v>1773</v>
      </c>
      <c r="H1425" s="12">
        <v>45558</v>
      </c>
      <c r="I1425" t="s">
        <v>2070</v>
      </c>
      <c r="J1425" t="s">
        <v>1290</v>
      </c>
      <c r="K1425">
        <v>2</v>
      </c>
      <c r="L1425">
        <v>58.3</v>
      </c>
      <c r="P1425" t="s">
        <v>106</v>
      </c>
      <c r="Q1425" t="s">
        <v>106</v>
      </c>
      <c r="R1425" t="s">
        <v>106</v>
      </c>
      <c r="S1425" t="s">
        <v>106</v>
      </c>
      <c r="T1425" t="s">
        <v>1793</v>
      </c>
      <c r="U1425" t="s">
        <v>905</v>
      </c>
      <c r="V1425" t="s">
        <v>106</v>
      </c>
      <c r="W1425" t="s">
        <v>443</v>
      </c>
      <c r="X1425" t="s">
        <v>106</v>
      </c>
      <c r="Y1425" t="s">
        <v>108</v>
      </c>
      <c r="Z1425" t="s">
        <v>104</v>
      </c>
      <c r="AA1425" t="s">
        <v>106</v>
      </c>
      <c r="AB1425" t="s">
        <v>106</v>
      </c>
    </row>
    <row r="1426" spans="1:28" x14ac:dyDescent="0.3">
      <c r="A1426" t="s">
        <v>1456</v>
      </c>
      <c r="B1426">
        <v>4</v>
      </c>
      <c r="C1426">
        <v>60</v>
      </c>
      <c r="D1426">
        <v>59</v>
      </c>
      <c r="E1426" t="s">
        <v>128</v>
      </c>
      <c r="F1426" s="12">
        <v>45558</v>
      </c>
      <c r="G1426" t="s">
        <v>1773</v>
      </c>
      <c r="H1426" s="12">
        <v>45558</v>
      </c>
      <c r="I1426" t="s">
        <v>2070</v>
      </c>
      <c r="J1426" t="s">
        <v>1290</v>
      </c>
      <c r="K1426">
        <v>2</v>
      </c>
      <c r="L1426">
        <v>57.7</v>
      </c>
      <c r="P1426" t="s">
        <v>106</v>
      </c>
      <c r="Q1426" t="s">
        <v>106</v>
      </c>
      <c r="R1426" t="s">
        <v>106</v>
      </c>
      <c r="S1426" t="s">
        <v>106</v>
      </c>
      <c r="T1426" t="s">
        <v>1793</v>
      </c>
      <c r="U1426" t="s">
        <v>1596</v>
      </c>
      <c r="V1426" t="s">
        <v>106</v>
      </c>
      <c r="W1426" t="s">
        <v>443</v>
      </c>
      <c r="X1426" t="s">
        <v>106</v>
      </c>
      <c r="Y1426" t="s">
        <v>108</v>
      </c>
      <c r="Z1426" t="s">
        <v>104</v>
      </c>
      <c r="AA1426" t="s">
        <v>106</v>
      </c>
      <c r="AB1426" t="s">
        <v>106</v>
      </c>
    </row>
    <row r="1427" spans="1:28" x14ac:dyDescent="0.3">
      <c r="A1427" t="s">
        <v>1456</v>
      </c>
      <c r="B1427">
        <v>4</v>
      </c>
      <c r="C1427">
        <v>60</v>
      </c>
      <c r="D1427">
        <v>60</v>
      </c>
      <c r="E1427" t="s">
        <v>128</v>
      </c>
      <c r="F1427" s="12">
        <v>45558</v>
      </c>
      <c r="G1427" t="s">
        <v>137</v>
      </c>
      <c r="H1427" s="12">
        <v>45558</v>
      </c>
      <c r="I1427" t="s">
        <v>593</v>
      </c>
      <c r="J1427" t="s">
        <v>1290</v>
      </c>
      <c r="K1427">
        <v>2</v>
      </c>
      <c r="L1427">
        <v>57.9</v>
      </c>
      <c r="P1427" t="s">
        <v>106</v>
      </c>
      <c r="Q1427" t="s">
        <v>106</v>
      </c>
      <c r="R1427" t="s">
        <v>106</v>
      </c>
      <c r="S1427" t="s">
        <v>106</v>
      </c>
      <c r="T1427" t="s">
        <v>881</v>
      </c>
      <c r="U1427" t="s">
        <v>1699</v>
      </c>
      <c r="V1427" t="s">
        <v>106</v>
      </c>
      <c r="W1427" t="s">
        <v>443</v>
      </c>
      <c r="X1427" t="s">
        <v>106</v>
      </c>
      <c r="Y1427" t="s">
        <v>108</v>
      </c>
      <c r="Z1427" t="s">
        <v>104</v>
      </c>
      <c r="AA1427" t="s">
        <v>106</v>
      </c>
      <c r="AB1427" t="s">
        <v>106</v>
      </c>
    </row>
    <row r="1428" spans="1:28" x14ac:dyDescent="0.3">
      <c r="A1428" t="s">
        <v>1456</v>
      </c>
      <c r="B1428">
        <v>4</v>
      </c>
      <c r="C1428">
        <v>60</v>
      </c>
      <c r="D1428">
        <v>61</v>
      </c>
      <c r="E1428" t="s">
        <v>128</v>
      </c>
      <c r="F1428" s="12">
        <v>45558</v>
      </c>
      <c r="G1428" t="s">
        <v>2384</v>
      </c>
      <c r="H1428" s="12">
        <v>45558</v>
      </c>
      <c r="I1428" t="s">
        <v>593</v>
      </c>
      <c r="J1428" t="s">
        <v>1290</v>
      </c>
      <c r="K1428">
        <v>2</v>
      </c>
      <c r="L1428">
        <v>59.4</v>
      </c>
      <c r="P1428" t="s">
        <v>106</v>
      </c>
      <c r="Q1428" t="s">
        <v>106</v>
      </c>
      <c r="R1428" t="s">
        <v>106</v>
      </c>
      <c r="S1428" t="s">
        <v>106</v>
      </c>
      <c r="T1428" t="s">
        <v>971</v>
      </c>
      <c r="U1428" t="s">
        <v>1699</v>
      </c>
      <c r="V1428" t="s">
        <v>106</v>
      </c>
      <c r="W1428" t="s">
        <v>443</v>
      </c>
      <c r="X1428" t="s">
        <v>106</v>
      </c>
      <c r="Y1428" t="s">
        <v>108</v>
      </c>
      <c r="Z1428" t="s">
        <v>104</v>
      </c>
      <c r="AA1428" t="s">
        <v>106</v>
      </c>
      <c r="AB1428" t="s">
        <v>106</v>
      </c>
    </row>
    <row r="1429" spans="1:28" x14ac:dyDescent="0.3">
      <c r="A1429" t="s">
        <v>1456</v>
      </c>
      <c r="B1429">
        <v>4</v>
      </c>
      <c r="C1429">
        <v>60</v>
      </c>
      <c r="D1429">
        <v>70</v>
      </c>
      <c r="E1429" t="s">
        <v>128</v>
      </c>
      <c r="F1429" s="12">
        <v>45558</v>
      </c>
      <c r="G1429" t="s">
        <v>2483</v>
      </c>
      <c r="H1429" s="12">
        <v>45558</v>
      </c>
      <c r="I1429" t="s">
        <v>1178</v>
      </c>
      <c r="J1429" t="s">
        <v>1290</v>
      </c>
      <c r="K1429">
        <v>2</v>
      </c>
      <c r="L1429">
        <v>56.1</v>
      </c>
      <c r="P1429" t="s">
        <v>106</v>
      </c>
      <c r="Q1429" t="s">
        <v>106</v>
      </c>
      <c r="R1429" t="s">
        <v>106</v>
      </c>
      <c r="S1429" t="s">
        <v>106</v>
      </c>
      <c r="T1429" t="s">
        <v>757</v>
      </c>
      <c r="U1429" t="s">
        <v>1968</v>
      </c>
      <c r="V1429" t="s">
        <v>106</v>
      </c>
      <c r="W1429" t="s">
        <v>2015</v>
      </c>
      <c r="X1429" t="s">
        <v>106</v>
      </c>
      <c r="Y1429" t="s">
        <v>108</v>
      </c>
      <c r="Z1429" t="s">
        <v>104</v>
      </c>
      <c r="AA1429" t="s">
        <v>106</v>
      </c>
      <c r="AB1429" t="s">
        <v>106</v>
      </c>
    </row>
    <row r="1430" spans="1:28" x14ac:dyDescent="0.3">
      <c r="A1430" t="s">
        <v>1456</v>
      </c>
      <c r="B1430">
        <v>4</v>
      </c>
      <c r="C1430">
        <v>60</v>
      </c>
      <c r="D1430">
        <v>71</v>
      </c>
      <c r="E1430" t="s">
        <v>128</v>
      </c>
      <c r="F1430" s="12">
        <v>45558</v>
      </c>
      <c r="G1430" t="s">
        <v>2483</v>
      </c>
      <c r="H1430" s="12">
        <v>45558</v>
      </c>
      <c r="I1430" t="s">
        <v>1178</v>
      </c>
      <c r="J1430" t="s">
        <v>1290</v>
      </c>
      <c r="K1430">
        <v>2</v>
      </c>
      <c r="L1430">
        <v>59</v>
      </c>
      <c r="P1430" t="s">
        <v>106</v>
      </c>
      <c r="Q1430" t="s">
        <v>106</v>
      </c>
      <c r="R1430" t="s">
        <v>106</v>
      </c>
      <c r="S1430" t="s">
        <v>106</v>
      </c>
      <c r="T1430" t="s">
        <v>881</v>
      </c>
      <c r="U1430" t="s">
        <v>1734</v>
      </c>
      <c r="V1430" t="s">
        <v>106</v>
      </c>
      <c r="W1430" t="s">
        <v>2015</v>
      </c>
      <c r="X1430" t="s">
        <v>106</v>
      </c>
      <c r="Y1430" t="s">
        <v>108</v>
      </c>
      <c r="Z1430" t="s">
        <v>104</v>
      </c>
      <c r="AA1430" t="s">
        <v>106</v>
      </c>
      <c r="AB1430" t="s">
        <v>106</v>
      </c>
    </row>
    <row r="1431" spans="1:28" x14ac:dyDescent="0.3">
      <c r="A1431" t="s">
        <v>1456</v>
      </c>
      <c r="B1431">
        <v>1</v>
      </c>
      <c r="C1431">
        <v>0</v>
      </c>
      <c r="D1431">
        <v>85</v>
      </c>
      <c r="E1431" t="s">
        <v>128</v>
      </c>
      <c r="F1431" s="12">
        <v>45559</v>
      </c>
      <c r="G1431" t="s">
        <v>594</v>
      </c>
      <c r="H1431" s="12">
        <v>45559</v>
      </c>
      <c r="I1431" t="s">
        <v>1457</v>
      </c>
      <c r="J1431" t="s">
        <v>458</v>
      </c>
      <c r="K1431">
        <v>2</v>
      </c>
      <c r="L1431">
        <v>0</v>
      </c>
      <c r="P1431" t="s">
        <v>106</v>
      </c>
      <c r="Q1431" t="s">
        <v>106</v>
      </c>
      <c r="R1431" t="s">
        <v>106</v>
      </c>
      <c r="S1431" t="s">
        <v>106</v>
      </c>
      <c r="T1431" t="s">
        <v>977</v>
      </c>
      <c r="U1431" t="s">
        <v>106</v>
      </c>
      <c r="V1431" t="s">
        <v>106</v>
      </c>
      <c r="W1431" t="s">
        <v>443</v>
      </c>
      <c r="X1431" t="s">
        <v>106</v>
      </c>
      <c r="Y1431" t="s">
        <v>108</v>
      </c>
      <c r="Z1431" t="s">
        <v>104</v>
      </c>
      <c r="AA1431" t="s">
        <v>106</v>
      </c>
      <c r="AB1431" t="s">
        <v>106</v>
      </c>
    </row>
    <row r="1432" spans="1:28" x14ac:dyDescent="0.3">
      <c r="A1432" t="s">
        <v>1456</v>
      </c>
      <c r="B1432">
        <v>1</v>
      </c>
      <c r="C1432">
        <v>0</v>
      </c>
      <c r="D1432">
        <v>84</v>
      </c>
      <c r="E1432" t="s">
        <v>128</v>
      </c>
      <c r="F1432" s="12">
        <v>45559</v>
      </c>
      <c r="G1432" t="s">
        <v>594</v>
      </c>
      <c r="H1432" s="12">
        <v>45559</v>
      </c>
      <c r="I1432" t="s">
        <v>1457</v>
      </c>
      <c r="J1432" t="s">
        <v>458</v>
      </c>
      <c r="K1432">
        <v>2</v>
      </c>
      <c r="L1432">
        <v>0</v>
      </c>
      <c r="P1432" t="s">
        <v>106</v>
      </c>
      <c r="Q1432" t="s">
        <v>106</v>
      </c>
      <c r="R1432" t="s">
        <v>106</v>
      </c>
      <c r="S1432" t="s">
        <v>106</v>
      </c>
      <c r="T1432" t="s">
        <v>1458</v>
      </c>
      <c r="U1432" t="s">
        <v>106</v>
      </c>
      <c r="V1432" t="s">
        <v>106</v>
      </c>
      <c r="W1432" t="s">
        <v>443</v>
      </c>
      <c r="X1432" t="s">
        <v>106</v>
      </c>
      <c r="Y1432" t="s">
        <v>108</v>
      </c>
      <c r="Z1432" t="s">
        <v>104</v>
      </c>
      <c r="AA1432" t="s">
        <v>106</v>
      </c>
      <c r="AB1432" t="s">
        <v>106</v>
      </c>
    </row>
    <row r="1433" spans="1:28" x14ac:dyDescent="0.3">
      <c r="A1433" t="s">
        <v>1456</v>
      </c>
      <c r="B1433">
        <v>1</v>
      </c>
      <c r="C1433">
        <v>0</v>
      </c>
      <c r="D1433">
        <v>86</v>
      </c>
      <c r="E1433" t="s">
        <v>128</v>
      </c>
      <c r="F1433" s="12">
        <v>45559</v>
      </c>
      <c r="G1433" t="s">
        <v>594</v>
      </c>
      <c r="H1433" s="12">
        <v>45559</v>
      </c>
      <c r="I1433" t="s">
        <v>1457</v>
      </c>
      <c r="J1433" t="s">
        <v>458</v>
      </c>
      <c r="K1433">
        <v>2</v>
      </c>
      <c r="L1433">
        <v>0</v>
      </c>
      <c r="P1433" t="s">
        <v>106</v>
      </c>
      <c r="Q1433" t="s">
        <v>106</v>
      </c>
      <c r="R1433" t="s">
        <v>106</v>
      </c>
      <c r="S1433" t="s">
        <v>106</v>
      </c>
      <c r="T1433" t="s">
        <v>1459</v>
      </c>
      <c r="U1433" t="s">
        <v>106</v>
      </c>
      <c r="V1433" t="s">
        <v>106</v>
      </c>
      <c r="W1433" t="s">
        <v>443</v>
      </c>
      <c r="X1433" t="s">
        <v>106</v>
      </c>
      <c r="Y1433" t="s">
        <v>108</v>
      </c>
      <c r="Z1433" t="s">
        <v>104</v>
      </c>
      <c r="AA1433" t="s">
        <v>106</v>
      </c>
      <c r="AB1433" t="s">
        <v>106</v>
      </c>
    </row>
    <row r="1434" spans="1:28" x14ac:dyDescent="0.3">
      <c r="A1434" t="s">
        <v>1456</v>
      </c>
      <c r="B1434">
        <v>1</v>
      </c>
      <c r="C1434">
        <v>0</v>
      </c>
      <c r="D1434">
        <v>87</v>
      </c>
      <c r="E1434" t="s">
        <v>128</v>
      </c>
      <c r="F1434" s="12">
        <v>45559</v>
      </c>
      <c r="G1434" t="s">
        <v>594</v>
      </c>
      <c r="H1434" s="12">
        <v>45559</v>
      </c>
      <c r="I1434" t="s">
        <v>1457</v>
      </c>
      <c r="J1434" t="s">
        <v>458</v>
      </c>
      <c r="K1434">
        <v>2</v>
      </c>
      <c r="L1434">
        <v>0</v>
      </c>
      <c r="P1434" t="s">
        <v>106</v>
      </c>
      <c r="Q1434" t="s">
        <v>106</v>
      </c>
      <c r="R1434" t="s">
        <v>106</v>
      </c>
      <c r="S1434" t="s">
        <v>106</v>
      </c>
      <c r="T1434" t="s">
        <v>1409</v>
      </c>
      <c r="U1434" t="s">
        <v>106</v>
      </c>
      <c r="V1434" t="s">
        <v>106</v>
      </c>
      <c r="W1434" t="s">
        <v>443</v>
      </c>
      <c r="X1434" t="s">
        <v>106</v>
      </c>
      <c r="Y1434" t="s">
        <v>108</v>
      </c>
      <c r="Z1434" t="s">
        <v>104</v>
      </c>
      <c r="AA1434" t="s">
        <v>106</v>
      </c>
      <c r="AB1434" t="s">
        <v>106</v>
      </c>
    </row>
    <row r="1435" spans="1:28" x14ac:dyDescent="0.3">
      <c r="A1435" t="s">
        <v>1456</v>
      </c>
      <c r="B1435">
        <v>2</v>
      </c>
      <c r="C1435">
        <v>15</v>
      </c>
      <c r="D1435">
        <v>78</v>
      </c>
      <c r="E1435" t="s">
        <v>128</v>
      </c>
      <c r="F1435" s="12">
        <v>45559</v>
      </c>
      <c r="G1435" t="s">
        <v>847</v>
      </c>
      <c r="H1435" s="12">
        <v>45559</v>
      </c>
      <c r="I1435" t="s">
        <v>1457</v>
      </c>
      <c r="J1435" t="s">
        <v>458</v>
      </c>
      <c r="K1435">
        <v>2</v>
      </c>
      <c r="L1435">
        <v>15.6</v>
      </c>
      <c r="P1435" t="s">
        <v>106</v>
      </c>
      <c r="Q1435" t="s">
        <v>106</v>
      </c>
      <c r="R1435" t="s">
        <v>106</v>
      </c>
      <c r="S1435" t="s">
        <v>106</v>
      </c>
      <c r="T1435" t="s">
        <v>1409</v>
      </c>
      <c r="U1435" t="s">
        <v>106</v>
      </c>
      <c r="V1435" t="s">
        <v>106</v>
      </c>
      <c r="W1435" t="s">
        <v>443</v>
      </c>
      <c r="X1435" t="s">
        <v>106</v>
      </c>
      <c r="Y1435" t="s">
        <v>108</v>
      </c>
      <c r="Z1435" t="s">
        <v>109</v>
      </c>
      <c r="AA1435" t="s">
        <v>106</v>
      </c>
      <c r="AB1435" t="s">
        <v>106</v>
      </c>
    </row>
    <row r="1436" spans="1:28" x14ac:dyDescent="0.3">
      <c r="A1436" t="s">
        <v>1460</v>
      </c>
      <c r="B1436">
        <v>2</v>
      </c>
      <c r="C1436">
        <v>15</v>
      </c>
      <c r="D1436">
        <v>21</v>
      </c>
      <c r="E1436" t="s">
        <v>128</v>
      </c>
      <c r="F1436" s="12">
        <v>45559</v>
      </c>
      <c r="G1436" t="s">
        <v>950</v>
      </c>
      <c r="H1436" s="12">
        <v>45559</v>
      </c>
      <c r="I1436" t="s">
        <v>1613</v>
      </c>
      <c r="J1436" t="s">
        <v>1290</v>
      </c>
      <c r="K1436">
        <v>2</v>
      </c>
      <c r="L1436">
        <v>13.6</v>
      </c>
      <c r="P1436" t="s">
        <v>106</v>
      </c>
      <c r="Q1436" t="s">
        <v>106</v>
      </c>
      <c r="R1436" t="s">
        <v>106</v>
      </c>
      <c r="S1436" t="s">
        <v>106</v>
      </c>
      <c r="T1436" t="s">
        <v>2075</v>
      </c>
      <c r="U1436" t="s">
        <v>841</v>
      </c>
      <c r="V1436" t="s">
        <v>106</v>
      </c>
      <c r="W1436" t="s">
        <v>2015</v>
      </c>
      <c r="X1436" t="s">
        <v>106</v>
      </c>
      <c r="Y1436" t="s">
        <v>108</v>
      </c>
      <c r="Z1436" t="s">
        <v>109</v>
      </c>
      <c r="AA1436" t="s">
        <v>2076</v>
      </c>
      <c r="AB1436" t="s">
        <v>106</v>
      </c>
    </row>
    <row r="1437" spans="1:28" x14ac:dyDescent="0.3">
      <c r="A1437" t="s">
        <v>1456</v>
      </c>
      <c r="B1437">
        <v>2</v>
      </c>
      <c r="C1437">
        <v>15</v>
      </c>
      <c r="D1437">
        <v>79</v>
      </c>
      <c r="E1437" t="s">
        <v>128</v>
      </c>
      <c r="F1437" s="12">
        <v>45559</v>
      </c>
      <c r="G1437" t="s">
        <v>354</v>
      </c>
      <c r="H1437" s="12">
        <v>45559</v>
      </c>
      <c r="I1437" t="s">
        <v>1457</v>
      </c>
      <c r="J1437" t="s">
        <v>458</v>
      </c>
      <c r="K1437">
        <v>2</v>
      </c>
      <c r="L1437">
        <v>15.6</v>
      </c>
      <c r="P1437" t="s">
        <v>106</v>
      </c>
      <c r="Q1437" t="s">
        <v>106</v>
      </c>
      <c r="R1437" t="s">
        <v>106</v>
      </c>
      <c r="S1437" t="s">
        <v>106</v>
      </c>
      <c r="T1437" t="s">
        <v>1145</v>
      </c>
      <c r="U1437" t="s">
        <v>106</v>
      </c>
      <c r="V1437" t="s">
        <v>106</v>
      </c>
      <c r="W1437" t="s">
        <v>443</v>
      </c>
      <c r="X1437" t="s">
        <v>106</v>
      </c>
      <c r="Y1437" t="s">
        <v>108</v>
      </c>
      <c r="Z1437" t="s">
        <v>109</v>
      </c>
      <c r="AA1437" t="s">
        <v>106</v>
      </c>
      <c r="AB1437" t="s">
        <v>106</v>
      </c>
    </row>
    <row r="1438" spans="1:28" x14ac:dyDescent="0.3">
      <c r="A1438" t="s">
        <v>1460</v>
      </c>
      <c r="B1438">
        <v>2</v>
      </c>
      <c r="C1438">
        <v>15</v>
      </c>
      <c r="D1438">
        <v>1</v>
      </c>
      <c r="E1438" t="s">
        <v>110</v>
      </c>
      <c r="F1438" s="12">
        <v>45559</v>
      </c>
      <c r="G1438" t="s">
        <v>575</v>
      </c>
      <c r="H1438" s="12">
        <v>45559</v>
      </c>
      <c r="I1438" t="s">
        <v>106</v>
      </c>
      <c r="J1438" t="s">
        <v>425</v>
      </c>
      <c r="K1438">
        <v>2</v>
      </c>
      <c r="L1438">
        <v>15.6</v>
      </c>
      <c r="P1438" t="s">
        <v>106</v>
      </c>
      <c r="Q1438" t="s">
        <v>106</v>
      </c>
      <c r="R1438" t="s">
        <v>106</v>
      </c>
      <c r="S1438" t="s">
        <v>106</v>
      </c>
      <c r="T1438" t="s">
        <v>977</v>
      </c>
      <c r="U1438" t="s">
        <v>841</v>
      </c>
      <c r="V1438" t="s">
        <v>106</v>
      </c>
      <c r="W1438" t="s">
        <v>443</v>
      </c>
      <c r="X1438" t="s">
        <v>106</v>
      </c>
      <c r="Y1438" t="s">
        <v>108</v>
      </c>
      <c r="Z1438" t="s">
        <v>109</v>
      </c>
      <c r="AA1438" t="s">
        <v>106</v>
      </c>
      <c r="AB1438" t="s">
        <v>106</v>
      </c>
    </row>
    <row r="1439" spans="1:28" x14ac:dyDescent="0.3">
      <c r="A1439" t="s">
        <v>1460</v>
      </c>
      <c r="B1439">
        <v>2</v>
      </c>
      <c r="C1439">
        <v>15</v>
      </c>
      <c r="D1439">
        <v>2</v>
      </c>
      <c r="E1439" t="s">
        <v>110</v>
      </c>
      <c r="F1439" s="12">
        <v>45559</v>
      </c>
      <c r="G1439" t="s">
        <v>575</v>
      </c>
      <c r="H1439" s="12">
        <v>45559</v>
      </c>
      <c r="I1439" t="s">
        <v>106</v>
      </c>
      <c r="J1439" t="s">
        <v>425</v>
      </c>
      <c r="K1439">
        <v>2</v>
      </c>
      <c r="L1439">
        <v>14.5</v>
      </c>
      <c r="P1439" t="s">
        <v>106</v>
      </c>
      <c r="Q1439" t="s">
        <v>106</v>
      </c>
      <c r="R1439" t="s">
        <v>106</v>
      </c>
      <c r="S1439" t="s">
        <v>106</v>
      </c>
      <c r="T1439" t="s">
        <v>1529</v>
      </c>
      <c r="U1439" t="s">
        <v>1418</v>
      </c>
      <c r="V1439" t="s">
        <v>106</v>
      </c>
      <c r="W1439" t="s">
        <v>443</v>
      </c>
      <c r="X1439" t="s">
        <v>106</v>
      </c>
      <c r="Y1439" t="s">
        <v>108</v>
      </c>
      <c r="Z1439" t="s">
        <v>109</v>
      </c>
      <c r="AA1439" t="s">
        <v>106</v>
      </c>
      <c r="AB1439" t="s">
        <v>106</v>
      </c>
    </row>
    <row r="1440" spans="1:28" x14ac:dyDescent="0.3">
      <c r="A1440" t="s">
        <v>1460</v>
      </c>
      <c r="B1440">
        <v>2</v>
      </c>
      <c r="C1440">
        <v>15</v>
      </c>
      <c r="D1440">
        <v>9</v>
      </c>
      <c r="E1440" t="s">
        <v>128</v>
      </c>
      <c r="F1440" s="12">
        <v>45559</v>
      </c>
      <c r="G1440" t="s">
        <v>413</v>
      </c>
      <c r="H1440" s="12">
        <v>45559</v>
      </c>
      <c r="I1440" t="s">
        <v>106</v>
      </c>
      <c r="J1440" t="s">
        <v>1290</v>
      </c>
      <c r="K1440">
        <v>2</v>
      </c>
      <c r="L1440">
        <v>12.7</v>
      </c>
      <c r="P1440" t="s">
        <v>106</v>
      </c>
      <c r="Q1440" t="s">
        <v>106</v>
      </c>
      <c r="R1440" t="s">
        <v>106</v>
      </c>
      <c r="S1440" t="s">
        <v>106</v>
      </c>
      <c r="T1440" t="s">
        <v>1947</v>
      </c>
      <c r="U1440" t="s">
        <v>1780</v>
      </c>
      <c r="V1440" t="s">
        <v>106</v>
      </c>
      <c r="W1440" t="s">
        <v>443</v>
      </c>
      <c r="X1440" t="s">
        <v>106</v>
      </c>
      <c r="Y1440" t="s">
        <v>108</v>
      </c>
      <c r="Z1440" t="s">
        <v>108</v>
      </c>
      <c r="AA1440" t="s">
        <v>106</v>
      </c>
      <c r="AB1440" t="s">
        <v>106</v>
      </c>
    </row>
    <row r="1441" spans="1:28" x14ac:dyDescent="0.3">
      <c r="A1441" t="s">
        <v>1460</v>
      </c>
      <c r="B1441">
        <v>2</v>
      </c>
      <c r="C1441">
        <v>15</v>
      </c>
      <c r="D1441">
        <v>28</v>
      </c>
      <c r="E1441" t="s">
        <v>128</v>
      </c>
      <c r="F1441" s="12">
        <v>45559</v>
      </c>
      <c r="G1441" t="s">
        <v>2071</v>
      </c>
      <c r="H1441" s="12">
        <v>45559</v>
      </c>
      <c r="I1441" t="s">
        <v>672</v>
      </c>
      <c r="J1441" t="s">
        <v>1290</v>
      </c>
      <c r="K1441">
        <v>2</v>
      </c>
      <c r="L1441">
        <v>15.1</v>
      </c>
      <c r="P1441" t="s">
        <v>106</v>
      </c>
      <c r="Q1441" t="s">
        <v>106</v>
      </c>
      <c r="R1441" t="s">
        <v>106</v>
      </c>
      <c r="S1441" t="s">
        <v>106</v>
      </c>
      <c r="T1441" t="s">
        <v>1438</v>
      </c>
      <c r="U1441" t="s">
        <v>1411</v>
      </c>
      <c r="V1441" t="s">
        <v>106</v>
      </c>
      <c r="W1441" t="s">
        <v>2015</v>
      </c>
      <c r="X1441" t="s">
        <v>106</v>
      </c>
      <c r="Y1441" t="s">
        <v>108</v>
      </c>
      <c r="Z1441" t="s">
        <v>109</v>
      </c>
      <c r="AA1441" t="s">
        <v>2076</v>
      </c>
      <c r="AB1441" t="s">
        <v>106</v>
      </c>
    </row>
    <row r="1442" spans="1:28" x14ac:dyDescent="0.3">
      <c r="A1442" t="s">
        <v>1460</v>
      </c>
      <c r="B1442">
        <v>2</v>
      </c>
      <c r="C1442">
        <v>15</v>
      </c>
      <c r="D1442">
        <v>27</v>
      </c>
      <c r="E1442" t="s">
        <v>128</v>
      </c>
      <c r="F1442" s="12">
        <v>45559</v>
      </c>
      <c r="G1442" t="s">
        <v>2071</v>
      </c>
      <c r="H1442" s="12">
        <v>45559</v>
      </c>
      <c r="I1442" t="s">
        <v>672</v>
      </c>
      <c r="J1442" t="s">
        <v>1290</v>
      </c>
      <c r="K1442">
        <v>2</v>
      </c>
      <c r="L1442">
        <v>13.3</v>
      </c>
      <c r="P1442" t="s">
        <v>106</v>
      </c>
      <c r="Q1442" t="s">
        <v>106</v>
      </c>
      <c r="R1442" t="s">
        <v>106</v>
      </c>
      <c r="S1442" t="s">
        <v>106</v>
      </c>
      <c r="T1442" t="s">
        <v>2077</v>
      </c>
      <c r="U1442" t="s">
        <v>1479</v>
      </c>
      <c r="V1442" t="s">
        <v>106</v>
      </c>
      <c r="W1442" t="s">
        <v>2015</v>
      </c>
      <c r="X1442" t="s">
        <v>106</v>
      </c>
      <c r="Y1442" t="s">
        <v>108</v>
      </c>
      <c r="Z1442" t="s">
        <v>109</v>
      </c>
      <c r="AA1442" t="s">
        <v>2076</v>
      </c>
      <c r="AB1442" t="s">
        <v>106</v>
      </c>
    </row>
    <row r="1443" spans="1:28" x14ac:dyDescent="0.3">
      <c r="A1443" t="s">
        <v>1460</v>
      </c>
      <c r="B1443">
        <v>2</v>
      </c>
      <c r="C1443">
        <v>15</v>
      </c>
      <c r="D1443">
        <v>10</v>
      </c>
      <c r="E1443" t="s">
        <v>128</v>
      </c>
      <c r="F1443" s="12">
        <v>45559</v>
      </c>
      <c r="G1443" t="s">
        <v>413</v>
      </c>
      <c r="H1443" s="12">
        <v>45559</v>
      </c>
      <c r="I1443" t="s">
        <v>106</v>
      </c>
      <c r="J1443" t="s">
        <v>1290</v>
      </c>
      <c r="K1443">
        <v>2</v>
      </c>
      <c r="L1443">
        <v>14.7</v>
      </c>
      <c r="P1443" t="s">
        <v>106</v>
      </c>
      <c r="Q1443" t="s">
        <v>106</v>
      </c>
      <c r="R1443" t="s">
        <v>106</v>
      </c>
      <c r="S1443" t="s">
        <v>106</v>
      </c>
      <c r="T1443" t="s">
        <v>1381</v>
      </c>
      <c r="U1443" t="s">
        <v>719</v>
      </c>
      <c r="V1443" t="s">
        <v>106</v>
      </c>
      <c r="W1443" t="s">
        <v>443</v>
      </c>
      <c r="X1443" t="s">
        <v>106</v>
      </c>
      <c r="Y1443" t="s">
        <v>108</v>
      </c>
      <c r="Z1443" t="s">
        <v>108</v>
      </c>
      <c r="AA1443" t="s">
        <v>106</v>
      </c>
      <c r="AB1443" t="s">
        <v>106</v>
      </c>
    </row>
    <row r="1444" spans="1:28" x14ac:dyDescent="0.3">
      <c r="A1444" t="s">
        <v>1460</v>
      </c>
      <c r="B1444">
        <v>2</v>
      </c>
      <c r="C1444">
        <v>15</v>
      </c>
      <c r="D1444">
        <v>22</v>
      </c>
      <c r="E1444" t="s">
        <v>128</v>
      </c>
      <c r="F1444" s="12">
        <v>45559</v>
      </c>
      <c r="G1444" t="s">
        <v>950</v>
      </c>
      <c r="H1444" s="12">
        <v>45559</v>
      </c>
      <c r="I1444" t="s">
        <v>1613</v>
      </c>
      <c r="J1444" t="s">
        <v>1290</v>
      </c>
      <c r="K1444">
        <v>2</v>
      </c>
      <c r="L1444">
        <v>15.4</v>
      </c>
      <c r="P1444" t="s">
        <v>106</v>
      </c>
      <c r="Q1444" t="s">
        <v>106</v>
      </c>
      <c r="R1444" t="s">
        <v>106</v>
      </c>
      <c r="S1444" t="s">
        <v>106</v>
      </c>
      <c r="T1444" t="s">
        <v>1641</v>
      </c>
      <c r="U1444" t="s">
        <v>1600</v>
      </c>
      <c r="V1444" t="s">
        <v>106</v>
      </c>
      <c r="W1444" t="s">
        <v>2015</v>
      </c>
      <c r="X1444" t="s">
        <v>106</v>
      </c>
      <c r="Y1444" t="s">
        <v>108</v>
      </c>
      <c r="Z1444" t="s">
        <v>109</v>
      </c>
      <c r="AA1444" t="s">
        <v>2076</v>
      </c>
      <c r="AB1444" t="s">
        <v>106</v>
      </c>
    </row>
    <row r="1445" spans="1:28" x14ac:dyDescent="0.3">
      <c r="A1445" t="s">
        <v>1460</v>
      </c>
      <c r="B1445">
        <v>2</v>
      </c>
      <c r="C1445">
        <v>15</v>
      </c>
      <c r="D1445">
        <v>15</v>
      </c>
      <c r="E1445" t="s">
        <v>128</v>
      </c>
      <c r="F1445" s="12">
        <v>45559</v>
      </c>
      <c r="G1445" t="s">
        <v>2078</v>
      </c>
      <c r="H1445" s="12">
        <v>45559</v>
      </c>
      <c r="I1445" t="s">
        <v>2079</v>
      </c>
      <c r="J1445" t="s">
        <v>1290</v>
      </c>
      <c r="K1445">
        <v>2</v>
      </c>
      <c r="L1445">
        <v>12.9</v>
      </c>
      <c r="P1445" t="s">
        <v>106</v>
      </c>
      <c r="Q1445" t="s">
        <v>106</v>
      </c>
      <c r="R1445" t="s">
        <v>106</v>
      </c>
      <c r="S1445" t="s">
        <v>106</v>
      </c>
      <c r="T1445" t="s">
        <v>1701</v>
      </c>
      <c r="U1445" t="s">
        <v>427</v>
      </c>
      <c r="V1445" t="s">
        <v>106</v>
      </c>
      <c r="W1445" t="s">
        <v>2015</v>
      </c>
      <c r="X1445" t="s">
        <v>106</v>
      </c>
      <c r="Y1445" t="s">
        <v>108</v>
      </c>
      <c r="Z1445" t="s">
        <v>109</v>
      </c>
      <c r="AA1445" t="s">
        <v>106</v>
      </c>
      <c r="AB1445" t="s">
        <v>106</v>
      </c>
    </row>
    <row r="1446" spans="1:28" x14ac:dyDescent="0.3">
      <c r="A1446" t="s">
        <v>1460</v>
      </c>
      <c r="B1446">
        <v>2</v>
      </c>
      <c r="C1446">
        <v>15</v>
      </c>
      <c r="D1446">
        <v>16</v>
      </c>
      <c r="E1446" t="s">
        <v>128</v>
      </c>
      <c r="F1446" s="12">
        <v>45559</v>
      </c>
      <c r="G1446" t="s">
        <v>2080</v>
      </c>
      <c r="H1446" s="12">
        <v>45559</v>
      </c>
      <c r="I1446" t="s">
        <v>2079</v>
      </c>
      <c r="J1446" t="s">
        <v>1290</v>
      </c>
      <c r="K1446">
        <v>2</v>
      </c>
      <c r="L1446">
        <v>14.6</v>
      </c>
      <c r="P1446" t="s">
        <v>106</v>
      </c>
      <c r="Q1446" t="s">
        <v>106</v>
      </c>
      <c r="R1446" t="s">
        <v>106</v>
      </c>
      <c r="S1446" t="s">
        <v>106</v>
      </c>
      <c r="T1446" t="s">
        <v>1701</v>
      </c>
      <c r="U1446" t="s">
        <v>1382</v>
      </c>
      <c r="V1446" t="s">
        <v>106</v>
      </c>
      <c r="W1446" t="s">
        <v>2015</v>
      </c>
      <c r="X1446" t="s">
        <v>106</v>
      </c>
      <c r="Y1446" t="s">
        <v>108</v>
      </c>
      <c r="Z1446" t="s">
        <v>109</v>
      </c>
      <c r="AA1446" t="s">
        <v>106</v>
      </c>
      <c r="AB1446" t="s">
        <v>106</v>
      </c>
    </row>
    <row r="1447" spans="1:28" x14ac:dyDescent="0.3">
      <c r="A1447" t="s">
        <v>1456</v>
      </c>
      <c r="B1447">
        <v>3</v>
      </c>
      <c r="C1447">
        <v>35</v>
      </c>
      <c r="D1447">
        <v>81</v>
      </c>
      <c r="E1447" t="s">
        <v>128</v>
      </c>
      <c r="F1447" s="12">
        <v>45559</v>
      </c>
      <c r="G1447" t="s">
        <v>546</v>
      </c>
      <c r="H1447" s="12">
        <v>45559</v>
      </c>
      <c r="I1447" t="s">
        <v>1457</v>
      </c>
      <c r="J1447" t="s">
        <v>458</v>
      </c>
      <c r="K1447">
        <v>2</v>
      </c>
      <c r="L1447">
        <v>33.9</v>
      </c>
      <c r="P1447" t="s">
        <v>106</v>
      </c>
      <c r="Q1447" t="s">
        <v>106</v>
      </c>
      <c r="R1447" t="s">
        <v>106</v>
      </c>
      <c r="S1447" t="s">
        <v>106</v>
      </c>
      <c r="T1447" t="s">
        <v>1825</v>
      </c>
      <c r="U1447" t="s">
        <v>106</v>
      </c>
      <c r="V1447" t="s">
        <v>106</v>
      </c>
      <c r="W1447" t="s">
        <v>443</v>
      </c>
      <c r="X1447" t="s">
        <v>106</v>
      </c>
      <c r="Y1447" t="s">
        <v>108</v>
      </c>
      <c r="Z1447" t="s">
        <v>108</v>
      </c>
      <c r="AA1447" t="s">
        <v>106</v>
      </c>
      <c r="AB1447" t="s">
        <v>106</v>
      </c>
    </row>
    <row r="1448" spans="1:28" x14ac:dyDescent="0.3">
      <c r="A1448" t="s">
        <v>1456</v>
      </c>
      <c r="B1448">
        <v>3</v>
      </c>
      <c r="C1448">
        <v>35</v>
      </c>
      <c r="D1448">
        <v>80</v>
      </c>
      <c r="E1448" t="s">
        <v>128</v>
      </c>
      <c r="F1448" s="12">
        <v>45559</v>
      </c>
      <c r="G1448" t="s">
        <v>339</v>
      </c>
      <c r="H1448" s="12">
        <v>45559</v>
      </c>
      <c r="I1448" t="s">
        <v>1457</v>
      </c>
      <c r="J1448" t="s">
        <v>458</v>
      </c>
      <c r="K1448">
        <v>2</v>
      </c>
      <c r="L1448">
        <v>36</v>
      </c>
      <c r="P1448" t="s">
        <v>106</v>
      </c>
      <c r="Q1448" t="s">
        <v>106</v>
      </c>
      <c r="R1448" t="s">
        <v>106</v>
      </c>
      <c r="S1448" t="s">
        <v>106</v>
      </c>
      <c r="T1448" t="s">
        <v>757</v>
      </c>
      <c r="U1448" t="s">
        <v>106</v>
      </c>
      <c r="V1448" t="s">
        <v>106</v>
      </c>
      <c r="W1448" t="s">
        <v>443</v>
      </c>
      <c r="X1448" t="s">
        <v>106</v>
      </c>
      <c r="Y1448" t="s">
        <v>108</v>
      </c>
      <c r="Z1448" t="s">
        <v>108</v>
      </c>
      <c r="AA1448" t="s">
        <v>106</v>
      </c>
      <c r="AB1448" t="s">
        <v>106</v>
      </c>
    </row>
    <row r="1449" spans="1:28" x14ac:dyDescent="0.3">
      <c r="A1449" t="s">
        <v>1460</v>
      </c>
      <c r="B1449">
        <v>3</v>
      </c>
      <c r="C1449">
        <v>35</v>
      </c>
      <c r="D1449">
        <v>25</v>
      </c>
      <c r="E1449" t="s">
        <v>128</v>
      </c>
      <c r="F1449" s="12">
        <v>45559</v>
      </c>
      <c r="G1449" t="s">
        <v>2218</v>
      </c>
      <c r="H1449" s="12">
        <v>45559</v>
      </c>
      <c r="I1449" t="s">
        <v>672</v>
      </c>
      <c r="J1449" t="s">
        <v>1290</v>
      </c>
      <c r="K1449">
        <v>2</v>
      </c>
      <c r="L1449">
        <v>33.799999999999997</v>
      </c>
      <c r="P1449" t="s">
        <v>106</v>
      </c>
      <c r="Q1449" t="s">
        <v>106</v>
      </c>
      <c r="R1449" t="s">
        <v>106</v>
      </c>
      <c r="S1449" t="s">
        <v>106</v>
      </c>
      <c r="T1449" t="s">
        <v>971</v>
      </c>
      <c r="U1449" t="s">
        <v>1591</v>
      </c>
      <c r="V1449" t="s">
        <v>106</v>
      </c>
      <c r="W1449" t="s">
        <v>2015</v>
      </c>
      <c r="X1449" t="s">
        <v>106</v>
      </c>
      <c r="Y1449" t="s">
        <v>108</v>
      </c>
      <c r="Z1449" t="s">
        <v>108</v>
      </c>
      <c r="AA1449" t="s">
        <v>2076</v>
      </c>
      <c r="AB1449" t="s">
        <v>106</v>
      </c>
    </row>
    <row r="1450" spans="1:28" x14ac:dyDescent="0.3">
      <c r="A1450" t="s">
        <v>1460</v>
      </c>
      <c r="B1450">
        <v>3</v>
      </c>
      <c r="C1450">
        <v>35</v>
      </c>
      <c r="D1450">
        <v>8</v>
      </c>
      <c r="E1450" t="s">
        <v>128</v>
      </c>
      <c r="F1450" s="12">
        <v>45559</v>
      </c>
      <c r="G1450" t="s">
        <v>493</v>
      </c>
      <c r="H1450" s="12">
        <v>45559</v>
      </c>
      <c r="I1450" t="s">
        <v>106</v>
      </c>
      <c r="J1450" t="s">
        <v>1290</v>
      </c>
      <c r="K1450">
        <v>2</v>
      </c>
      <c r="L1450">
        <v>36.5</v>
      </c>
      <c r="P1450" t="s">
        <v>106</v>
      </c>
      <c r="Q1450" t="s">
        <v>106</v>
      </c>
      <c r="R1450" t="s">
        <v>106</v>
      </c>
      <c r="S1450" t="s">
        <v>106</v>
      </c>
      <c r="T1450" t="s">
        <v>1839</v>
      </c>
      <c r="U1450" t="s">
        <v>1483</v>
      </c>
      <c r="V1450" t="s">
        <v>106</v>
      </c>
      <c r="W1450" t="s">
        <v>443</v>
      </c>
      <c r="X1450" t="s">
        <v>106</v>
      </c>
      <c r="Y1450" t="s">
        <v>108</v>
      </c>
      <c r="Z1450" t="s">
        <v>108</v>
      </c>
      <c r="AA1450" t="s">
        <v>106</v>
      </c>
      <c r="AB1450" t="s">
        <v>106</v>
      </c>
    </row>
    <row r="1451" spans="1:28" x14ac:dyDescent="0.3">
      <c r="A1451" t="s">
        <v>1460</v>
      </c>
      <c r="B1451">
        <v>3</v>
      </c>
      <c r="C1451">
        <v>35</v>
      </c>
      <c r="D1451">
        <v>5</v>
      </c>
      <c r="E1451" t="s">
        <v>110</v>
      </c>
      <c r="F1451" s="12">
        <v>45559</v>
      </c>
      <c r="G1451" t="s">
        <v>398</v>
      </c>
      <c r="H1451" s="12">
        <v>45559</v>
      </c>
      <c r="I1451" t="s">
        <v>106</v>
      </c>
      <c r="J1451" t="s">
        <v>425</v>
      </c>
      <c r="K1451">
        <v>2</v>
      </c>
      <c r="L1451">
        <v>36</v>
      </c>
      <c r="P1451" t="s">
        <v>106</v>
      </c>
      <c r="Q1451" t="s">
        <v>106</v>
      </c>
      <c r="R1451" t="s">
        <v>106</v>
      </c>
      <c r="S1451" t="s">
        <v>106</v>
      </c>
      <c r="T1451" t="s">
        <v>1876</v>
      </c>
      <c r="U1451" t="s">
        <v>1418</v>
      </c>
      <c r="V1451" t="s">
        <v>106</v>
      </c>
      <c r="W1451" t="s">
        <v>443</v>
      </c>
      <c r="X1451" t="s">
        <v>106</v>
      </c>
      <c r="Y1451" t="s">
        <v>108</v>
      </c>
      <c r="Z1451" t="s">
        <v>109</v>
      </c>
      <c r="AA1451" t="s">
        <v>106</v>
      </c>
      <c r="AB1451" t="s">
        <v>106</v>
      </c>
    </row>
    <row r="1452" spans="1:28" x14ac:dyDescent="0.3">
      <c r="A1452" t="s">
        <v>1460</v>
      </c>
      <c r="B1452">
        <v>3</v>
      </c>
      <c r="C1452">
        <v>35</v>
      </c>
      <c r="D1452">
        <v>20</v>
      </c>
      <c r="E1452" t="s">
        <v>128</v>
      </c>
      <c r="F1452" s="12">
        <v>45559</v>
      </c>
      <c r="G1452" t="s">
        <v>496</v>
      </c>
      <c r="H1452" s="12">
        <v>45559</v>
      </c>
      <c r="I1452" t="s">
        <v>1613</v>
      </c>
      <c r="J1452" t="s">
        <v>1290</v>
      </c>
      <c r="K1452">
        <v>2</v>
      </c>
      <c r="L1452">
        <v>35.6</v>
      </c>
      <c r="P1452" t="s">
        <v>106</v>
      </c>
      <c r="Q1452" t="s">
        <v>106</v>
      </c>
      <c r="R1452" t="s">
        <v>106</v>
      </c>
      <c r="S1452" t="s">
        <v>106</v>
      </c>
      <c r="T1452" t="s">
        <v>1747</v>
      </c>
      <c r="U1452" t="s">
        <v>429</v>
      </c>
      <c r="V1452" t="s">
        <v>106</v>
      </c>
      <c r="W1452" t="s">
        <v>2015</v>
      </c>
      <c r="X1452" t="s">
        <v>106</v>
      </c>
      <c r="Y1452" t="s">
        <v>108</v>
      </c>
      <c r="Z1452" t="s">
        <v>108</v>
      </c>
      <c r="AA1452" t="s">
        <v>2076</v>
      </c>
      <c r="AB1452" t="s">
        <v>106</v>
      </c>
    </row>
    <row r="1453" spans="1:28" x14ac:dyDescent="0.3">
      <c r="A1453" t="s">
        <v>1460</v>
      </c>
      <c r="B1453">
        <v>3</v>
      </c>
      <c r="C1453">
        <v>35</v>
      </c>
      <c r="D1453">
        <v>19</v>
      </c>
      <c r="E1453" t="s">
        <v>128</v>
      </c>
      <c r="F1453" s="12">
        <v>45559</v>
      </c>
      <c r="G1453" t="s">
        <v>2499</v>
      </c>
      <c r="H1453" s="12">
        <v>45559</v>
      </c>
      <c r="I1453" t="s">
        <v>1613</v>
      </c>
      <c r="J1453" t="s">
        <v>1290</v>
      </c>
      <c r="K1453">
        <v>2</v>
      </c>
      <c r="L1453">
        <v>31.4</v>
      </c>
      <c r="P1453" t="s">
        <v>106</v>
      </c>
      <c r="Q1453" t="s">
        <v>106</v>
      </c>
      <c r="R1453" t="s">
        <v>106</v>
      </c>
      <c r="S1453" t="s">
        <v>106</v>
      </c>
      <c r="T1453" t="s">
        <v>1291</v>
      </c>
      <c r="U1453" t="s">
        <v>564</v>
      </c>
      <c r="V1453" t="s">
        <v>106</v>
      </c>
      <c r="W1453" t="s">
        <v>2015</v>
      </c>
      <c r="X1453" t="s">
        <v>106</v>
      </c>
      <c r="Y1453" t="s">
        <v>108</v>
      </c>
      <c r="Z1453" t="s">
        <v>108</v>
      </c>
      <c r="AA1453" t="s">
        <v>2076</v>
      </c>
      <c r="AB1453" t="s">
        <v>106</v>
      </c>
    </row>
    <row r="1454" spans="1:28" x14ac:dyDescent="0.3">
      <c r="A1454" t="s">
        <v>1460</v>
      </c>
      <c r="B1454">
        <v>3</v>
      </c>
      <c r="C1454">
        <v>35</v>
      </c>
      <c r="D1454">
        <v>14</v>
      </c>
      <c r="E1454" t="s">
        <v>128</v>
      </c>
      <c r="F1454" s="12">
        <v>45559</v>
      </c>
      <c r="G1454" t="s">
        <v>2061</v>
      </c>
      <c r="H1454" s="12">
        <v>45559</v>
      </c>
      <c r="I1454" t="s">
        <v>2079</v>
      </c>
      <c r="J1454" t="s">
        <v>1290</v>
      </c>
      <c r="K1454">
        <v>2</v>
      </c>
      <c r="L1454">
        <v>36</v>
      </c>
      <c r="P1454" t="s">
        <v>106</v>
      </c>
      <c r="Q1454" t="s">
        <v>106</v>
      </c>
      <c r="R1454" t="s">
        <v>106</v>
      </c>
      <c r="S1454" t="s">
        <v>106</v>
      </c>
      <c r="T1454" t="s">
        <v>2095</v>
      </c>
      <c r="U1454" t="s">
        <v>1382</v>
      </c>
      <c r="V1454" t="s">
        <v>106</v>
      </c>
      <c r="W1454" t="s">
        <v>2015</v>
      </c>
      <c r="X1454" t="s">
        <v>106</v>
      </c>
      <c r="Y1454" t="s">
        <v>108</v>
      </c>
      <c r="Z1454" t="s">
        <v>108</v>
      </c>
      <c r="AA1454" t="s">
        <v>106</v>
      </c>
      <c r="AB1454" t="s">
        <v>106</v>
      </c>
    </row>
    <row r="1455" spans="1:28" x14ac:dyDescent="0.3">
      <c r="A1455" t="s">
        <v>1460</v>
      </c>
      <c r="B1455">
        <v>3</v>
      </c>
      <c r="C1455">
        <v>35</v>
      </c>
      <c r="D1455">
        <v>13</v>
      </c>
      <c r="E1455" t="s">
        <v>128</v>
      </c>
      <c r="F1455" s="12">
        <v>45559</v>
      </c>
      <c r="G1455" t="s">
        <v>2061</v>
      </c>
      <c r="H1455" s="12">
        <v>45559</v>
      </c>
      <c r="I1455" t="s">
        <v>2079</v>
      </c>
      <c r="J1455" t="s">
        <v>1290</v>
      </c>
      <c r="K1455">
        <v>2</v>
      </c>
      <c r="L1455">
        <v>36.200000000000003</v>
      </c>
      <c r="P1455" t="s">
        <v>106</v>
      </c>
      <c r="Q1455" t="s">
        <v>106</v>
      </c>
      <c r="R1455" t="s">
        <v>106</v>
      </c>
      <c r="S1455" t="s">
        <v>106</v>
      </c>
      <c r="T1455" t="s">
        <v>1804</v>
      </c>
      <c r="U1455" t="s">
        <v>1415</v>
      </c>
      <c r="V1455" t="s">
        <v>106</v>
      </c>
      <c r="W1455" t="s">
        <v>2015</v>
      </c>
      <c r="X1455" t="s">
        <v>106</v>
      </c>
      <c r="Y1455" t="s">
        <v>108</v>
      </c>
      <c r="Z1455" t="s">
        <v>108</v>
      </c>
      <c r="AA1455" t="s">
        <v>106</v>
      </c>
      <c r="AB1455" t="s">
        <v>106</v>
      </c>
    </row>
    <row r="1456" spans="1:28" x14ac:dyDescent="0.3">
      <c r="A1456" t="s">
        <v>1460</v>
      </c>
      <c r="B1456">
        <v>3</v>
      </c>
      <c r="C1456">
        <v>35</v>
      </c>
      <c r="D1456">
        <v>26</v>
      </c>
      <c r="E1456" t="s">
        <v>128</v>
      </c>
      <c r="F1456" s="12">
        <v>45559</v>
      </c>
      <c r="G1456" t="s">
        <v>2497</v>
      </c>
      <c r="H1456" s="12">
        <v>45559</v>
      </c>
      <c r="I1456" t="s">
        <v>672</v>
      </c>
      <c r="J1456" t="s">
        <v>1290</v>
      </c>
      <c r="K1456">
        <v>2</v>
      </c>
      <c r="L1456">
        <v>38.1</v>
      </c>
      <c r="P1456" t="s">
        <v>106</v>
      </c>
      <c r="Q1456" t="s">
        <v>106</v>
      </c>
      <c r="R1456" t="s">
        <v>106</v>
      </c>
      <c r="S1456" t="s">
        <v>106</v>
      </c>
      <c r="T1456" t="s">
        <v>1400</v>
      </c>
      <c r="U1456" t="s">
        <v>1468</v>
      </c>
      <c r="V1456" t="s">
        <v>106</v>
      </c>
      <c r="W1456" t="s">
        <v>2015</v>
      </c>
      <c r="X1456" t="s">
        <v>106</v>
      </c>
      <c r="Y1456" t="s">
        <v>108</v>
      </c>
      <c r="Z1456" t="s">
        <v>108</v>
      </c>
      <c r="AA1456" t="s">
        <v>2076</v>
      </c>
      <c r="AB1456" t="s">
        <v>106</v>
      </c>
    </row>
    <row r="1457" spans="1:28" x14ac:dyDescent="0.3">
      <c r="A1457" t="s">
        <v>1460</v>
      </c>
      <c r="B1457">
        <v>3</v>
      </c>
      <c r="C1457">
        <v>35</v>
      </c>
      <c r="D1457">
        <v>6</v>
      </c>
      <c r="E1457" t="s">
        <v>110</v>
      </c>
      <c r="F1457" s="12">
        <v>45559</v>
      </c>
      <c r="G1457" t="s">
        <v>398</v>
      </c>
      <c r="H1457" s="12">
        <v>45559</v>
      </c>
      <c r="I1457" t="s">
        <v>106</v>
      </c>
      <c r="J1457" t="s">
        <v>425</v>
      </c>
      <c r="K1457">
        <v>2</v>
      </c>
      <c r="L1457">
        <v>37.200000000000003</v>
      </c>
      <c r="P1457" t="s">
        <v>106</v>
      </c>
      <c r="Q1457" t="s">
        <v>106</v>
      </c>
      <c r="R1457" t="s">
        <v>106</v>
      </c>
      <c r="S1457" t="s">
        <v>106</v>
      </c>
      <c r="T1457" t="s">
        <v>1899</v>
      </c>
      <c r="U1457" t="s">
        <v>1410</v>
      </c>
      <c r="V1457" t="s">
        <v>106</v>
      </c>
      <c r="W1457" t="s">
        <v>443</v>
      </c>
      <c r="X1457" t="s">
        <v>106</v>
      </c>
      <c r="Y1457" t="s">
        <v>108</v>
      </c>
      <c r="Z1457" t="s">
        <v>109</v>
      </c>
      <c r="AA1457" t="s">
        <v>106</v>
      </c>
      <c r="AB1457" t="s">
        <v>106</v>
      </c>
    </row>
    <row r="1458" spans="1:28" x14ac:dyDescent="0.3">
      <c r="A1458" t="s">
        <v>1460</v>
      </c>
      <c r="B1458">
        <v>3</v>
      </c>
      <c r="C1458">
        <v>35</v>
      </c>
      <c r="D1458">
        <v>7</v>
      </c>
      <c r="E1458" t="s">
        <v>128</v>
      </c>
      <c r="F1458" s="12">
        <v>45559</v>
      </c>
      <c r="G1458" t="s">
        <v>413</v>
      </c>
      <c r="H1458" s="12">
        <v>45559</v>
      </c>
      <c r="I1458" t="s">
        <v>106</v>
      </c>
      <c r="J1458" t="s">
        <v>1290</v>
      </c>
      <c r="K1458">
        <v>2</v>
      </c>
      <c r="L1458">
        <v>35</v>
      </c>
      <c r="P1458" t="s">
        <v>106</v>
      </c>
      <c r="Q1458" t="s">
        <v>106</v>
      </c>
      <c r="R1458" t="s">
        <v>106</v>
      </c>
      <c r="S1458" t="s">
        <v>106</v>
      </c>
      <c r="T1458" t="s">
        <v>1476</v>
      </c>
      <c r="U1458" t="s">
        <v>1359</v>
      </c>
      <c r="V1458" t="s">
        <v>106</v>
      </c>
      <c r="W1458" t="s">
        <v>443</v>
      </c>
      <c r="X1458" t="s">
        <v>106</v>
      </c>
      <c r="Y1458" t="s">
        <v>108</v>
      </c>
      <c r="Z1458" t="s">
        <v>108</v>
      </c>
      <c r="AA1458" t="s">
        <v>106</v>
      </c>
      <c r="AB1458" t="s">
        <v>106</v>
      </c>
    </row>
    <row r="1459" spans="1:28" x14ac:dyDescent="0.3">
      <c r="A1459" t="s">
        <v>1456</v>
      </c>
      <c r="B1459">
        <v>4</v>
      </c>
      <c r="C1459">
        <v>60</v>
      </c>
      <c r="D1459">
        <v>83</v>
      </c>
      <c r="E1459" t="s">
        <v>128</v>
      </c>
      <c r="F1459" s="12">
        <v>45559</v>
      </c>
      <c r="G1459" t="s">
        <v>2102</v>
      </c>
      <c r="H1459" s="12">
        <v>45559</v>
      </c>
      <c r="I1459" t="s">
        <v>1457</v>
      </c>
      <c r="J1459" t="s">
        <v>458</v>
      </c>
      <c r="K1459">
        <v>2</v>
      </c>
      <c r="L1459">
        <v>61.8</v>
      </c>
      <c r="P1459" t="s">
        <v>106</v>
      </c>
      <c r="Q1459" t="s">
        <v>106</v>
      </c>
      <c r="R1459" t="s">
        <v>106</v>
      </c>
      <c r="S1459" t="s">
        <v>106</v>
      </c>
      <c r="T1459" t="s">
        <v>1274</v>
      </c>
      <c r="U1459" t="s">
        <v>106</v>
      </c>
      <c r="V1459" t="s">
        <v>106</v>
      </c>
      <c r="W1459" t="s">
        <v>443</v>
      </c>
      <c r="X1459" t="s">
        <v>106</v>
      </c>
      <c r="Y1459" t="s">
        <v>108</v>
      </c>
      <c r="Z1459" t="s">
        <v>104</v>
      </c>
      <c r="AA1459" t="s">
        <v>106</v>
      </c>
      <c r="AB1459" t="s">
        <v>106</v>
      </c>
    </row>
    <row r="1460" spans="1:28" x14ac:dyDescent="0.3">
      <c r="A1460" t="s">
        <v>1460</v>
      </c>
      <c r="B1460">
        <v>4</v>
      </c>
      <c r="C1460">
        <v>60</v>
      </c>
      <c r="D1460">
        <v>3</v>
      </c>
      <c r="E1460" t="s">
        <v>110</v>
      </c>
      <c r="F1460" s="12">
        <v>45559</v>
      </c>
      <c r="G1460" t="s">
        <v>415</v>
      </c>
      <c r="H1460" s="12">
        <v>45559</v>
      </c>
      <c r="I1460" t="s">
        <v>106</v>
      </c>
      <c r="J1460" t="s">
        <v>425</v>
      </c>
      <c r="K1460">
        <v>2</v>
      </c>
      <c r="L1460">
        <v>63.3</v>
      </c>
      <c r="P1460" t="s">
        <v>106</v>
      </c>
      <c r="Q1460" t="s">
        <v>106</v>
      </c>
      <c r="R1460" t="s">
        <v>106</v>
      </c>
      <c r="S1460" t="s">
        <v>106</v>
      </c>
      <c r="T1460" t="s">
        <v>989</v>
      </c>
      <c r="U1460" t="s">
        <v>429</v>
      </c>
      <c r="V1460" t="s">
        <v>106</v>
      </c>
      <c r="W1460" t="s">
        <v>443</v>
      </c>
      <c r="X1460" t="s">
        <v>106</v>
      </c>
      <c r="Y1460" t="s">
        <v>108</v>
      </c>
      <c r="Z1460" t="s">
        <v>109</v>
      </c>
      <c r="AA1460" t="s">
        <v>106</v>
      </c>
      <c r="AB1460" t="s">
        <v>106</v>
      </c>
    </row>
    <row r="1461" spans="1:28" x14ac:dyDescent="0.3">
      <c r="A1461" t="s">
        <v>1456</v>
      </c>
      <c r="B1461">
        <v>4</v>
      </c>
      <c r="C1461">
        <v>60</v>
      </c>
      <c r="D1461">
        <v>82</v>
      </c>
      <c r="E1461" t="s">
        <v>128</v>
      </c>
      <c r="F1461" s="12">
        <v>45559</v>
      </c>
      <c r="G1461" t="s">
        <v>546</v>
      </c>
      <c r="H1461" s="12">
        <v>45559</v>
      </c>
      <c r="I1461" t="s">
        <v>1457</v>
      </c>
      <c r="J1461" t="s">
        <v>458</v>
      </c>
      <c r="K1461">
        <v>2</v>
      </c>
      <c r="L1461">
        <v>63</v>
      </c>
      <c r="P1461" t="s">
        <v>106</v>
      </c>
      <c r="Q1461" t="s">
        <v>106</v>
      </c>
      <c r="R1461" t="s">
        <v>106</v>
      </c>
      <c r="S1461" t="s">
        <v>106</v>
      </c>
      <c r="T1461" t="s">
        <v>1449</v>
      </c>
      <c r="U1461" t="s">
        <v>106</v>
      </c>
      <c r="V1461" t="s">
        <v>106</v>
      </c>
      <c r="W1461" t="s">
        <v>443</v>
      </c>
      <c r="X1461" t="s">
        <v>106</v>
      </c>
      <c r="Y1461" t="s">
        <v>108</v>
      </c>
      <c r="Z1461" t="s">
        <v>104</v>
      </c>
      <c r="AA1461" t="s">
        <v>106</v>
      </c>
      <c r="AB1461" t="s">
        <v>106</v>
      </c>
    </row>
    <row r="1462" spans="1:28" x14ac:dyDescent="0.3">
      <c r="A1462" t="s">
        <v>1460</v>
      </c>
      <c r="B1462">
        <v>4</v>
      </c>
      <c r="C1462">
        <v>60</v>
      </c>
      <c r="D1462">
        <v>29</v>
      </c>
      <c r="E1462" t="s">
        <v>128</v>
      </c>
      <c r="F1462" s="12">
        <v>45559</v>
      </c>
      <c r="G1462" t="s">
        <v>2253</v>
      </c>
      <c r="H1462" s="12">
        <v>45559</v>
      </c>
      <c r="I1462" t="s">
        <v>672</v>
      </c>
      <c r="J1462" t="s">
        <v>1290</v>
      </c>
      <c r="K1462">
        <v>2</v>
      </c>
      <c r="L1462">
        <v>57.4</v>
      </c>
      <c r="P1462" t="s">
        <v>106</v>
      </c>
      <c r="Q1462" t="s">
        <v>106</v>
      </c>
      <c r="R1462" t="s">
        <v>106</v>
      </c>
      <c r="S1462" t="s">
        <v>106</v>
      </c>
      <c r="T1462" t="s">
        <v>1825</v>
      </c>
      <c r="U1462" t="s">
        <v>1651</v>
      </c>
      <c r="V1462" t="s">
        <v>106</v>
      </c>
      <c r="W1462" t="s">
        <v>2015</v>
      </c>
      <c r="X1462" t="s">
        <v>106</v>
      </c>
      <c r="Y1462" t="s">
        <v>108</v>
      </c>
      <c r="Z1462" t="s">
        <v>104</v>
      </c>
      <c r="AA1462" t="s">
        <v>2076</v>
      </c>
      <c r="AB1462" t="s">
        <v>106</v>
      </c>
    </row>
    <row r="1463" spans="1:28" x14ac:dyDescent="0.3">
      <c r="A1463" t="s">
        <v>1460</v>
      </c>
      <c r="B1463">
        <v>4</v>
      </c>
      <c r="C1463">
        <v>60</v>
      </c>
      <c r="D1463">
        <v>4</v>
      </c>
      <c r="E1463" t="s">
        <v>110</v>
      </c>
      <c r="F1463" s="12">
        <v>45559</v>
      </c>
      <c r="G1463" t="s">
        <v>415</v>
      </c>
      <c r="H1463" s="12">
        <v>45559</v>
      </c>
      <c r="I1463" t="s">
        <v>106</v>
      </c>
      <c r="J1463" t="s">
        <v>425</v>
      </c>
      <c r="K1463">
        <v>2</v>
      </c>
      <c r="L1463">
        <v>64.900000000000006</v>
      </c>
      <c r="P1463" t="s">
        <v>106</v>
      </c>
      <c r="Q1463" t="s">
        <v>106</v>
      </c>
      <c r="R1463" t="s">
        <v>106</v>
      </c>
      <c r="S1463" t="s">
        <v>106</v>
      </c>
      <c r="T1463" t="s">
        <v>2229</v>
      </c>
      <c r="U1463" t="s">
        <v>1418</v>
      </c>
      <c r="V1463" t="s">
        <v>106</v>
      </c>
      <c r="W1463" t="s">
        <v>443</v>
      </c>
      <c r="X1463" t="s">
        <v>106</v>
      </c>
      <c r="Y1463" t="s">
        <v>108</v>
      </c>
      <c r="Z1463" t="s">
        <v>109</v>
      </c>
      <c r="AA1463" t="s">
        <v>106</v>
      </c>
      <c r="AB1463" t="s">
        <v>106</v>
      </c>
    </row>
    <row r="1464" spans="1:28" x14ac:dyDescent="0.3">
      <c r="A1464" t="s">
        <v>1460</v>
      </c>
      <c r="B1464">
        <v>4</v>
      </c>
      <c r="C1464">
        <v>60</v>
      </c>
      <c r="D1464">
        <v>11</v>
      </c>
      <c r="E1464" t="s">
        <v>128</v>
      </c>
      <c r="F1464" s="12">
        <v>45559</v>
      </c>
      <c r="G1464" t="s">
        <v>413</v>
      </c>
      <c r="H1464" s="12">
        <v>45559</v>
      </c>
      <c r="I1464" t="s">
        <v>106</v>
      </c>
      <c r="J1464" t="s">
        <v>1290</v>
      </c>
      <c r="K1464">
        <v>2</v>
      </c>
      <c r="L1464">
        <v>55.2</v>
      </c>
      <c r="P1464" t="s">
        <v>106</v>
      </c>
      <c r="Q1464" t="s">
        <v>106</v>
      </c>
      <c r="R1464" t="s">
        <v>106</v>
      </c>
      <c r="S1464" t="s">
        <v>106</v>
      </c>
      <c r="T1464" t="s">
        <v>2095</v>
      </c>
      <c r="U1464" t="s">
        <v>565</v>
      </c>
      <c r="V1464" t="s">
        <v>106</v>
      </c>
      <c r="W1464" t="s">
        <v>443</v>
      </c>
      <c r="X1464" t="s">
        <v>106</v>
      </c>
      <c r="Y1464" t="s">
        <v>108</v>
      </c>
      <c r="Z1464" t="s">
        <v>108</v>
      </c>
      <c r="AA1464" t="s">
        <v>106</v>
      </c>
      <c r="AB1464" t="s">
        <v>106</v>
      </c>
    </row>
    <row r="1465" spans="1:28" x14ac:dyDescent="0.3">
      <c r="A1465" t="s">
        <v>1460</v>
      </c>
      <c r="B1465">
        <v>4</v>
      </c>
      <c r="C1465">
        <v>60</v>
      </c>
      <c r="D1465">
        <v>12</v>
      </c>
      <c r="E1465" t="s">
        <v>128</v>
      </c>
      <c r="F1465" s="12">
        <v>45559</v>
      </c>
      <c r="G1465" t="s">
        <v>413</v>
      </c>
      <c r="H1465" s="12">
        <v>45559</v>
      </c>
      <c r="I1465" t="s">
        <v>106</v>
      </c>
      <c r="J1465" t="s">
        <v>1290</v>
      </c>
      <c r="K1465">
        <v>2</v>
      </c>
      <c r="L1465">
        <v>56.2</v>
      </c>
      <c r="P1465" t="s">
        <v>106</v>
      </c>
      <c r="Q1465" t="s">
        <v>106</v>
      </c>
      <c r="R1465" t="s">
        <v>106</v>
      </c>
      <c r="S1465" t="s">
        <v>106</v>
      </c>
      <c r="T1465" t="s">
        <v>1850</v>
      </c>
      <c r="U1465" t="s">
        <v>1539</v>
      </c>
      <c r="V1465" t="s">
        <v>106</v>
      </c>
      <c r="W1465" t="s">
        <v>443</v>
      </c>
      <c r="X1465" t="s">
        <v>106</v>
      </c>
      <c r="Y1465" t="s">
        <v>108</v>
      </c>
      <c r="Z1465" t="s">
        <v>108</v>
      </c>
      <c r="AA1465" t="s">
        <v>106</v>
      </c>
      <c r="AB1465" t="s">
        <v>106</v>
      </c>
    </row>
    <row r="1466" spans="1:28" x14ac:dyDescent="0.3">
      <c r="A1466" t="s">
        <v>1460</v>
      </c>
      <c r="B1466">
        <v>4</v>
      </c>
      <c r="C1466">
        <v>60</v>
      </c>
      <c r="D1466">
        <v>17</v>
      </c>
      <c r="E1466" t="s">
        <v>128</v>
      </c>
      <c r="F1466" s="12">
        <v>45559</v>
      </c>
      <c r="G1466" t="s">
        <v>2193</v>
      </c>
      <c r="H1466" s="12">
        <v>45559</v>
      </c>
      <c r="I1466" t="s">
        <v>2079</v>
      </c>
      <c r="J1466" t="s">
        <v>1290</v>
      </c>
      <c r="K1466">
        <v>2</v>
      </c>
      <c r="L1466">
        <v>55.3</v>
      </c>
      <c r="P1466" t="s">
        <v>106</v>
      </c>
      <c r="Q1466" t="s">
        <v>106</v>
      </c>
      <c r="R1466" t="s">
        <v>106</v>
      </c>
      <c r="S1466" t="s">
        <v>106</v>
      </c>
      <c r="T1466" t="s">
        <v>1458</v>
      </c>
      <c r="U1466" t="s">
        <v>1411</v>
      </c>
      <c r="V1466" t="s">
        <v>106</v>
      </c>
      <c r="W1466" t="s">
        <v>2015</v>
      </c>
      <c r="X1466" t="s">
        <v>106</v>
      </c>
      <c r="Y1466" t="s">
        <v>108</v>
      </c>
      <c r="Z1466" t="s">
        <v>104</v>
      </c>
      <c r="AA1466" t="s">
        <v>106</v>
      </c>
      <c r="AB1466" t="s">
        <v>106</v>
      </c>
    </row>
    <row r="1467" spans="1:28" x14ac:dyDescent="0.3">
      <c r="A1467" t="s">
        <v>1460</v>
      </c>
      <c r="B1467">
        <v>4</v>
      </c>
      <c r="C1467">
        <v>60</v>
      </c>
      <c r="D1467">
        <v>18</v>
      </c>
      <c r="E1467" t="s">
        <v>128</v>
      </c>
      <c r="F1467" s="12">
        <v>45559</v>
      </c>
      <c r="G1467" t="s">
        <v>2193</v>
      </c>
      <c r="H1467" s="12">
        <v>45559</v>
      </c>
      <c r="I1467" t="s">
        <v>2079</v>
      </c>
      <c r="J1467" t="s">
        <v>1290</v>
      </c>
      <c r="K1467">
        <v>2</v>
      </c>
      <c r="L1467">
        <v>58.8</v>
      </c>
      <c r="P1467" t="s">
        <v>106</v>
      </c>
      <c r="Q1467" t="s">
        <v>106</v>
      </c>
      <c r="R1467" t="s">
        <v>106</v>
      </c>
      <c r="S1467" t="s">
        <v>106</v>
      </c>
      <c r="T1467" t="s">
        <v>1495</v>
      </c>
      <c r="U1467" t="s">
        <v>1382</v>
      </c>
      <c r="V1467" t="s">
        <v>106</v>
      </c>
      <c r="W1467" t="s">
        <v>2015</v>
      </c>
      <c r="X1467" t="s">
        <v>106</v>
      </c>
      <c r="Y1467" t="s">
        <v>108</v>
      </c>
      <c r="Z1467" t="s">
        <v>104</v>
      </c>
      <c r="AA1467" t="s">
        <v>106</v>
      </c>
      <c r="AB1467" t="s">
        <v>106</v>
      </c>
    </row>
    <row r="1468" spans="1:28" x14ac:dyDescent="0.3">
      <c r="A1468" t="s">
        <v>1460</v>
      </c>
      <c r="B1468">
        <v>4</v>
      </c>
      <c r="C1468">
        <v>60</v>
      </c>
      <c r="D1468">
        <v>23</v>
      </c>
      <c r="E1468" t="s">
        <v>128</v>
      </c>
      <c r="F1468" s="12">
        <v>45559</v>
      </c>
      <c r="G1468" t="s">
        <v>2445</v>
      </c>
      <c r="H1468" s="12">
        <v>45559</v>
      </c>
      <c r="I1468" t="s">
        <v>1613</v>
      </c>
      <c r="J1468" t="s">
        <v>1290</v>
      </c>
      <c r="K1468">
        <v>2</v>
      </c>
      <c r="L1468">
        <v>53.9</v>
      </c>
      <c r="P1468" t="s">
        <v>106</v>
      </c>
      <c r="Q1468" t="s">
        <v>106</v>
      </c>
      <c r="R1468" t="s">
        <v>106</v>
      </c>
      <c r="S1468" t="s">
        <v>106</v>
      </c>
      <c r="T1468" t="s">
        <v>722</v>
      </c>
      <c r="U1468" t="s">
        <v>429</v>
      </c>
      <c r="V1468" t="s">
        <v>106</v>
      </c>
      <c r="W1468" t="s">
        <v>2015</v>
      </c>
      <c r="X1468" t="s">
        <v>106</v>
      </c>
      <c r="Y1468" t="s">
        <v>108</v>
      </c>
      <c r="Z1468" t="s">
        <v>104</v>
      </c>
      <c r="AA1468" t="s">
        <v>2076</v>
      </c>
      <c r="AB1468" t="s">
        <v>106</v>
      </c>
    </row>
    <row r="1469" spans="1:28" x14ac:dyDescent="0.3">
      <c r="A1469" t="s">
        <v>1460</v>
      </c>
      <c r="B1469">
        <v>4</v>
      </c>
      <c r="C1469">
        <v>60</v>
      </c>
      <c r="D1469">
        <v>24</v>
      </c>
      <c r="E1469" t="s">
        <v>128</v>
      </c>
      <c r="F1469" s="12">
        <v>45559</v>
      </c>
      <c r="G1469" t="s">
        <v>1829</v>
      </c>
      <c r="H1469" s="12">
        <v>45559</v>
      </c>
      <c r="I1469" t="s">
        <v>1613</v>
      </c>
      <c r="J1469" t="s">
        <v>1290</v>
      </c>
      <c r="K1469">
        <v>2</v>
      </c>
      <c r="L1469">
        <v>57.8</v>
      </c>
      <c r="P1469" t="s">
        <v>106</v>
      </c>
      <c r="Q1469" t="s">
        <v>106</v>
      </c>
      <c r="R1469" t="s">
        <v>106</v>
      </c>
      <c r="S1469" t="s">
        <v>106</v>
      </c>
      <c r="T1469" t="s">
        <v>1459</v>
      </c>
      <c r="U1469" t="s">
        <v>905</v>
      </c>
      <c r="V1469" t="s">
        <v>106</v>
      </c>
      <c r="W1469" t="s">
        <v>2015</v>
      </c>
      <c r="X1469" t="s">
        <v>106</v>
      </c>
      <c r="Y1469" t="s">
        <v>108</v>
      </c>
      <c r="Z1469" t="s">
        <v>104</v>
      </c>
      <c r="AA1469" t="s">
        <v>2076</v>
      </c>
      <c r="AB1469" t="s">
        <v>106</v>
      </c>
    </row>
    <row r="1470" spans="1:28" x14ac:dyDescent="0.3">
      <c r="A1470" t="s">
        <v>1460</v>
      </c>
      <c r="B1470">
        <v>4</v>
      </c>
      <c r="C1470">
        <v>60</v>
      </c>
      <c r="D1470">
        <v>30</v>
      </c>
      <c r="E1470" t="s">
        <v>128</v>
      </c>
      <c r="F1470" s="12">
        <v>45559</v>
      </c>
      <c r="G1470" t="s">
        <v>2253</v>
      </c>
      <c r="H1470" s="12">
        <v>45559</v>
      </c>
      <c r="I1470" t="s">
        <v>672</v>
      </c>
      <c r="J1470" t="s">
        <v>1290</v>
      </c>
      <c r="K1470">
        <v>2</v>
      </c>
      <c r="L1470">
        <v>62.4</v>
      </c>
      <c r="P1470" t="s">
        <v>106</v>
      </c>
      <c r="Q1470" t="s">
        <v>106</v>
      </c>
      <c r="R1470" t="s">
        <v>106</v>
      </c>
      <c r="S1470" t="s">
        <v>106</v>
      </c>
      <c r="T1470" t="s">
        <v>881</v>
      </c>
      <c r="U1470" t="s">
        <v>1359</v>
      </c>
      <c r="V1470" t="s">
        <v>106</v>
      </c>
      <c r="W1470" t="s">
        <v>2015</v>
      </c>
      <c r="X1470" t="s">
        <v>106</v>
      </c>
      <c r="Y1470" t="s">
        <v>108</v>
      </c>
      <c r="Z1470" t="s">
        <v>104</v>
      </c>
      <c r="AA1470" t="s">
        <v>2076</v>
      </c>
      <c r="AB1470" t="s">
        <v>106</v>
      </c>
    </row>
    <row r="1471" spans="1:28" x14ac:dyDescent="0.3">
      <c r="A1471" t="s">
        <v>1460</v>
      </c>
      <c r="B1471">
        <v>1</v>
      </c>
      <c r="C1471">
        <v>0</v>
      </c>
      <c r="D1471">
        <v>61</v>
      </c>
      <c r="E1471" t="s">
        <v>128</v>
      </c>
      <c r="F1471" s="12">
        <v>45560</v>
      </c>
      <c r="G1471" t="s">
        <v>1461</v>
      </c>
      <c r="H1471" s="12">
        <v>45560</v>
      </c>
      <c r="I1471" t="s">
        <v>377</v>
      </c>
      <c r="J1471" t="s">
        <v>1363</v>
      </c>
      <c r="K1471">
        <v>2</v>
      </c>
      <c r="L1471">
        <v>0</v>
      </c>
      <c r="P1471" t="s">
        <v>106</v>
      </c>
      <c r="Q1471" t="s">
        <v>106</v>
      </c>
      <c r="R1471" t="s">
        <v>106</v>
      </c>
      <c r="S1471" t="s">
        <v>106</v>
      </c>
      <c r="T1471" t="s">
        <v>977</v>
      </c>
      <c r="U1471" t="s">
        <v>106</v>
      </c>
      <c r="V1471" t="s">
        <v>106</v>
      </c>
      <c r="W1471" t="s">
        <v>443</v>
      </c>
      <c r="X1471" t="s">
        <v>106</v>
      </c>
      <c r="Y1471" t="s">
        <v>108</v>
      </c>
      <c r="Z1471" t="s">
        <v>105</v>
      </c>
      <c r="AA1471" t="s">
        <v>106</v>
      </c>
      <c r="AB1471" t="s">
        <v>106</v>
      </c>
    </row>
    <row r="1472" spans="1:28" x14ac:dyDescent="0.3">
      <c r="A1472" t="s">
        <v>1460</v>
      </c>
      <c r="B1472">
        <v>1</v>
      </c>
      <c r="C1472">
        <v>0</v>
      </c>
      <c r="D1472">
        <v>60</v>
      </c>
      <c r="E1472" t="s">
        <v>128</v>
      </c>
      <c r="F1472" s="12">
        <v>45560</v>
      </c>
      <c r="G1472" t="s">
        <v>1461</v>
      </c>
      <c r="H1472" s="12">
        <v>45560</v>
      </c>
      <c r="I1472" t="s">
        <v>377</v>
      </c>
      <c r="J1472" t="s">
        <v>1363</v>
      </c>
      <c r="K1472">
        <v>2</v>
      </c>
      <c r="L1472">
        <v>0</v>
      </c>
      <c r="P1472" t="s">
        <v>106</v>
      </c>
      <c r="Q1472" t="s">
        <v>106</v>
      </c>
      <c r="R1472" t="s">
        <v>106</v>
      </c>
      <c r="S1472" t="s">
        <v>106</v>
      </c>
      <c r="T1472" t="s">
        <v>1120</v>
      </c>
      <c r="U1472" t="s">
        <v>106</v>
      </c>
      <c r="V1472" t="s">
        <v>106</v>
      </c>
      <c r="W1472" t="s">
        <v>443</v>
      </c>
      <c r="X1472" t="s">
        <v>106</v>
      </c>
      <c r="Y1472" t="s">
        <v>108</v>
      </c>
      <c r="Z1472" t="s">
        <v>105</v>
      </c>
      <c r="AA1472" t="s">
        <v>106</v>
      </c>
      <c r="AB1472" t="s">
        <v>106</v>
      </c>
    </row>
    <row r="1473" spans="1:28" x14ac:dyDescent="0.3">
      <c r="A1473" t="s">
        <v>1460</v>
      </c>
      <c r="B1473">
        <v>2</v>
      </c>
      <c r="C1473">
        <v>15</v>
      </c>
      <c r="D1473">
        <v>63</v>
      </c>
      <c r="E1473" t="s">
        <v>128</v>
      </c>
      <c r="F1473" s="12">
        <v>45560</v>
      </c>
      <c r="G1473" t="s">
        <v>2081</v>
      </c>
      <c r="H1473" s="12">
        <v>45560</v>
      </c>
      <c r="I1473" t="s">
        <v>377</v>
      </c>
      <c r="J1473" t="s">
        <v>1363</v>
      </c>
      <c r="K1473">
        <v>2</v>
      </c>
      <c r="L1473">
        <v>15.4</v>
      </c>
      <c r="P1473" t="s">
        <v>106</v>
      </c>
      <c r="Q1473" t="s">
        <v>106</v>
      </c>
      <c r="R1473" t="s">
        <v>106</v>
      </c>
      <c r="S1473" t="s">
        <v>106</v>
      </c>
      <c r="T1473" t="s">
        <v>1495</v>
      </c>
      <c r="U1473" t="s">
        <v>1345</v>
      </c>
      <c r="V1473" t="s">
        <v>106</v>
      </c>
      <c r="W1473" t="s">
        <v>443</v>
      </c>
      <c r="X1473" t="s">
        <v>106</v>
      </c>
      <c r="Y1473" t="s">
        <v>108</v>
      </c>
      <c r="Z1473" t="s">
        <v>109</v>
      </c>
      <c r="AA1473" t="s">
        <v>106</v>
      </c>
      <c r="AB1473" t="s">
        <v>106</v>
      </c>
    </row>
    <row r="1474" spans="1:28" x14ac:dyDescent="0.3">
      <c r="A1474" t="s">
        <v>1460</v>
      </c>
      <c r="B1474">
        <v>2</v>
      </c>
      <c r="C1474">
        <v>15</v>
      </c>
      <c r="D1474">
        <v>62</v>
      </c>
      <c r="E1474" t="s">
        <v>128</v>
      </c>
      <c r="F1474" s="12">
        <v>45560</v>
      </c>
      <c r="G1474" t="s">
        <v>1461</v>
      </c>
      <c r="H1474" s="12">
        <v>45560</v>
      </c>
      <c r="I1474" t="s">
        <v>377</v>
      </c>
      <c r="J1474" t="s">
        <v>1363</v>
      </c>
      <c r="K1474">
        <v>2</v>
      </c>
      <c r="L1474">
        <v>13.7</v>
      </c>
      <c r="P1474" t="s">
        <v>106</v>
      </c>
      <c r="Q1474" t="s">
        <v>106</v>
      </c>
      <c r="R1474" t="s">
        <v>106</v>
      </c>
      <c r="S1474" t="s">
        <v>106</v>
      </c>
      <c r="T1474" t="s">
        <v>1935</v>
      </c>
      <c r="U1474" t="s">
        <v>719</v>
      </c>
      <c r="V1474" t="s">
        <v>106</v>
      </c>
      <c r="W1474" t="s">
        <v>443</v>
      </c>
      <c r="X1474" t="s">
        <v>106</v>
      </c>
      <c r="Y1474" t="s">
        <v>108</v>
      </c>
      <c r="Z1474" t="s">
        <v>109</v>
      </c>
      <c r="AA1474" t="s">
        <v>106</v>
      </c>
      <c r="AB1474" t="s">
        <v>106</v>
      </c>
    </row>
    <row r="1475" spans="1:28" x14ac:dyDescent="0.3">
      <c r="A1475" t="s">
        <v>1460</v>
      </c>
      <c r="B1475">
        <v>2</v>
      </c>
      <c r="C1475">
        <v>15</v>
      </c>
      <c r="D1475">
        <v>67</v>
      </c>
      <c r="E1475" t="s">
        <v>128</v>
      </c>
      <c r="F1475" s="12">
        <v>45560</v>
      </c>
      <c r="G1475" t="s">
        <v>2080</v>
      </c>
      <c r="H1475" s="12">
        <v>45560</v>
      </c>
      <c r="I1475" t="s">
        <v>2082</v>
      </c>
      <c r="J1475" t="s">
        <v>1363</v>
      </c>
      <c r="K1475">
        <v>2</v>
      </c>
      <c r="L1475">
        <v>15.1</v>
      </c>
      <c r="P1475" t="s">
        <v>106</v>
      </c>
      <c r="Q1475" t="s">
        <v>106</v>
      </c>
      <c r="R1475" t="s">
        <v>106</v>
      </c>
      <c r="S1475" t="s">
        <v>106</v>
      </c>
      <c r="T1475" t="s">
        <v>981</v>
      </c>
      <c r="U1475" t="s">
        <v>1479</v>
      </c>
      <c r="V1475" t="s">
        <v>106</v>
      </c>
      <c r="W1475" t="s">
        <v>2015</v>
      </c>
      <c r="X1475" t="s">
        <v>106</v>
      </c>
      <c r="Y1475" t="s">
        <v>108</v>
      </c>
      <c r="Z1475" t="s">
        <v>109</v>
      </c>
      <c r="AA1475" t="s">
        <v>106</v>
      </c>
      <c r="AB1475" t="s">
        <v>106</v>
      </c>
    </row>
    <row r="1476" spans="1:28" x14ac:dyDescent="0.3">
      <c r="A1476" t="s">
        <v>1460</v>
      </c>
      <c r="B1476">
        <v>2</v>
      </c>
      <c r="C1476">
        <v>15</v>
      </c>
      <c r="D1476">
        <v>55</v>
      </c>
      <c r="E1476" t="s">
        <v>128</v>
      </c>
      <c r="F1476" s="12">
        <v>45560</v>
      </c>
      <c r="G1476" t="s">
        <v>1426</v>
      </c>
      <c r="H1476" s="12">
        <v>45560</v>
      </c>
      <c r="I1476" t="s">
        <v>1768</v>
      </c>
      <c r="J1476" t="s">
        <v>458</v>
      </c>
      <c r="K1476">
        <v>2</v>
      </c>
      <c r="L1476">
        <v>15.5</v>
      </c>
      <c r="P1476" t="s">
        <v>106</v>
      </c>
      <c r="Q1476" t="s">
        <v>106</v>
      </c>
      <c r="R1476" t="s">
        <v>106</v>
      </c>
      <c r="S1476" t="s">
        <v>106</v>
      </c>
      <c r="T1476" t="s">
        <v>2083</v>
      </c>
      <c r="U1476" t="s">
        <v>395</v>
      </c>
      <c r="V1476" t="s">
        <v>106</v>
      </c>
      <c r="W1476" t="s">
        <v>443</v>
      </c>
      <c r="X1476" t="s">
        <v>106</v>
      </c>
      <c r="Y1476" t="s">
        <v>108</v>
      </c>
      <c r="Z1476" t="s">
        <v>109</v>
      </c>
      <c r="AA1476" t="s">
        <v>106</v>
      </c>
      <c r="AB1476" t="s">
        <v>106</v>
      </c>
    </row>
    <row r="1477" spans="1:28" x14ac:dyDescent="0.3">
      <c r="A1477" t="s">
        <v>1460</v>
      </c>
      <c r="B1477">
        <v>2</v>
      </c>
      <c r="C1477">
        <v>15</v>
      </c>
      <c r="D1477">
        <v>31</v>
      </c>
      <c r="E1477" t="s">
        <v>128</v>
      </c>
      <c r="F1477" s="12">
        <v>45560</v>
      </c>
      <c r="G1477" t="s">
        <v>2084</v>
      </c>
      <c r="H1477" s="12">
        <v>45560</v>
      </c>
      <c r="I1477" t="s">
        <v>1945</v>
      </c>
      <c r="J1477" t="s">
        <v>458</v>
      </c>
      <c r="K1477">
        <v>2</v>
      </c>
      <c r="L1477">
        <v>17.7</v>
      </c>
      <c r="P1477" t="s">
        <v>106</v>
      </c>
      <c r="Q1477" t="s">
        <v>106</v>
      </c>
      <c r="R1477" t="s">
        <v>106</v>
      </c>
      <c r="S1477" t="s">
        <v>106</v>
      </c>
      <c r="T1477" t="s">
        <v>1899</v>
      </c>
      <c r="U1477" t="s">
        <v>1418</v>
      </c>
      <c r="V1477" t="s">
        <v>106</v>
      </c>
      <c r="W1477" t="s">
        <v>443</v>
      </c>
      <c r="X1477" t="s">
        <v>106</v>
      </c>
      <c r="Y1477" t="s">
        <v>108</v>
      </c>
      <c r="Z1477" t="s">
        <v>109</v>
      </c>
      <c r="AA1477" t="s">
        <v>2076</v>
      </c>
      <c r="AB1477" t="s">
        <v>106</v>
      </c>
    </row>
    <row r="1478" spans="1:28" x14ac:dyDescent="0.3">
      <c r="A1478" t="s">
        <v>1460</v>
      </c>
      <c r="B1478">
        <v>2</v>
      </c>
      <c r="C1478">
        <v>15</v>
      </c>
      <c r="D1478">
        <v>32</v>
      </c>
      <c r="E1478" t="s">
        <v>128</v>
      </c>
      <c r="F1478" s="12">
        <v>45560</v>
      </c>
      <c r="G1478" t="s">
        <v>1799</v>
      </c>
      <c r="H1478" s="12">
        <v>45560</v>
      </c>
      <c r="I1478" t="s">
        <v>1945</v>
      </c>
      <c r="J1478" t="s">
        <v>458</v>
      </c>
      <c r="K1478">
        <v>2</v>
      </c>
      <c r="L1478">
        <v>18.100000000000001</v>
      </c>
      <c r="P1478" t="s">
        <v>106</v>
      </c>
      <c r="Q1478" t="s">
        <v>106</v>
      </c>
      <c r="R1478" t="s">
        <v>106</v>
      </c>
      <c r="S1478" t="s">
        <v>106</v>
      </c>
      <c r="T1478" t="s">
        <v>875</v>
      </c>
      <c r="U1478" t="s">
        <v>429</v>
      </c>
      <c r="V1478" t="s">
        <v>106</v>
      </c>
      <c r="W1478" t="s">
        <v>443</v>
      </c>
      <c r="X1478" t="s">
        <v>106</v>
      </c>
      <c r="Y1478" t="s">
        <v>108</v>
      </c>
      <c r="Z1478" t="s">
        <v>109</v>
      </c>
      <c r="AA1478" t="s">
        <v>2076</v>
      </c>
      <c r="AB1478" t="s">
        <v>106</v>
      </c>
    </row>
    <row r="1479" spans="1:28" x14ac:dyDescent="0.3">
      <c r="A1479" t="s">
        <v>1460</v>
      </c>
      <c r="B1479">
        <v>2</v>
      </c>
      <c r="C1479">
        <v>15</v>
      </c>
      <c r="D1479">
        <v>37</v>
      </c>
      <c r="E1479" t="s">
        <v>128</v>
      </c>
      <c r="F1479" s="12">
        <v>45560</v>
      </c>
      <c r="G1479" t="s">
        <v>501</v>
      </c>
      <c r="H1479" s="12">
        <v>45560</v>
      </c>
      <c r="I1479" t="s">
        <v>2085</v>
      </c>
      <c r="J1479" t="s">
        <v>458</v>
      </c>
      <c r="K1479">
        <v>2</v>
      </c>
      <c r="L1479">
        <v>17.399999999999999</v>
      </c>
      <c r="P1479" t="s">
        <v>106</v>
      </c>
      <c r="Q1479" t="s">
        <v>106</v>
      </c>
      <c r="R1479" t="s">
        <v>106</v>
      </c>
      <c r="S1479" t="s">
        <v>106</v>
      </c>
      <c r="T1479" t="s">
        <v>828</v>
      </c>
      <c r="U1479" t="s">
        <v>1411</v>
      </c>
      <c r="V1479" t="s">
        <v>106</v>
      </c>
      <c r="W1479" t="s">
        <v>443</v>
      </c>
      <c r="X1479" t="s">
        <v>106</v>
      </c>
      <c r="Y1479" t="s">
        <v>108</v>
      </c>
      <c r="Z1479" t="s">
        <v>109</v>
      </c>
      <c r="AA1479" t="s">
        <v>2076</v>
      </c>
      <c r="AB1479" t="s">
        <v>106</v>
      </c>
    </row>
    <row r="1480" spans="1:28" x14ac:dyDescent="0.3">
      <c r="A1480" t="s">
        <v>1460</v>
      </c>
      <c r="B1480">
        <v>2</v>
      </c>
      <c r="C1480">
        <v>15</v>
      </c>
      <c r="D1480">
        <v>38</v>
      </c>
      <c r="E1480" t="s">
        <v>128</v>
      </c>
      <c r="F1480" s="12">
        <v>45560</v>
      </c>
      <c r="G1480" t="s">
        <v>501</v>
      </c>
      <c r="H1480" s="12">
        <v>45560</v>
      </c>
      <c r="I1480" t="s">
        <v>2085</v>
      </c>
      <c r="J1480" t="s">
        <v>458</v>
      </c>
      <c r="K1480">
        <v>2</v>
      </c>
      <c r="L1480">
        <v>17.5</v>
      </c>
      <c r="P1480" t="s">
        <v>106</v>
      </c>
      <c r="Q1480" t="s">
        <v>106</v>
      </c>
      <c r="R1480" t="s">
        <v>106</v>
      </c>
      <c r="S1480" t="s">
        <v>106</v>
      </c>
      <c r="T1480" t="s">
        <v>756</v>
      </c>
      <c r="U1480" t="s">
        <v>430</v>
      </c>
      <c r="V1480" t="s">
        <v>106</v>
      </c>
      <c r="W1480" t="s">
        <v>443</v>
      </c>
      <c r="X1480" t="s">
        <v>106</v>
      </c>
      <c r="Y1480" t="s">
        <v>108</v>
      </c>
      <c r="Z1480" t="s">
        <v>109</v>
      </c>
      <c r="AA1480" t="s">
        <v>2076</v>
      </c>
      <c r="AB1480" t="s">
        <v>106</v>
      </c>
    </row>
    <row r="1481" spans="1:28" x14ac:dyDescent="0.3">
      <c r="A1481" t="s">
        <v>1460</v>
      </c>
      <c r="B1481">
        <v>2</v>
      </c>
      <c r="C1481">
        <v>15</v>
      </c>
      <c r="D1481">
        <v>47</v>
      </c>
      <c r="E1481" t="s">
        <v>128</v>
      </c>
      <c r="F1481" s="12">
        <v>45560</v>
      </c>
      <c r="G1481" t="s">
        <v>1648</v>
      </c>
      <c r="H1481" s="12">
        <v>45560</v>
      </c>
      <c r="I1481" t="s">
        <v>2086</v>
      </c>
      <c r="J1481" t="s">
        <v>458</v>
      </c>
      <c r="K1481">
        <v>2</v>
      </c>
      <c r="L1481">
        <v>14.9</v>
      </c>
      <c r="P1481" t="s">
        <v>106</v>
      </c>
      <c r="Q1481" t="s">
        <v>106</v>
      </c>
      <c r="R1481" t="s">
        <v>106</v>
      </c>
      <c r="S1481" t="s">
        <v>106</v>
      </c>
      <c r="T1481" t="s">
        <v>2087</v>
      </c>
      <c r="U1481" t="s">
        <v>1410</v>
      </c>
      <c r="V1481" t="s">
        <v>106</v>
      </c>
      <c r="W1481" t="s">
        <v>443</v>
      </c>
      <c r="X1481" t="s">
        <v>106</v>
      </c>
      <c r="Y1481" t="s">
        <v>108</v>
      </c>
      <c r="Z1481" t="s">
        <v>109</v>
      </c>
      <c r="AA1481" t="s">
        <v>106</v>
      </c>
      <c r="AB1481" t="s">
        <v>106</v>
      </c>
    </row>
    <row r="1482" spans="1:28" x14ac:dyDescent="0.3">
      <c r="A1482" t="s">
        <v>1460</v>
      </c>
      <c r="B1482">
        <v>2</v>
      </c>
      <c r="C1482">
        <v>15</v>
      </c>
      <c r="D1482">
        <v>48</v>
      </c>
      <c r="E1482" t="s">
        <v>128</v>
      </c>
      <c r="F1482" s="12">
        <v>45560</v>
      </c>
      <c r="G1482" t="s">
        <v>411</v>
      </c>
      <c r="H1482" s="12">
        <v>45560</v>
      </c>
      <c r="I1482" t="s">
        <v>2086</v>
      </c>
      <c r="J1482" t="s">
        <v>458</v>
      </c>
      <c r="K1482">
        <v>2</v>
      </c>
      <c r="L1482">
        <v>15.5</v>
      </c>
      <c r="P1482" t="s">
        <v>106</v>
      </c>
      <c r="Q1482" t="s">
        <v>106</v>
      </c>
      <c r="R1482" t="s">
        <v>106</v>
      </c>
      <c r="S1482" t="s">
        <v>106</v>
      </c>
      <c r="T1482" t="s">
        <v>2083</v>
      </c>
      <c r="U1482" t="s">
        <v>841</v>
      </c>
      <c r="V1482" t="s">
        <v>106</v>
      </c>
      <c r="W1482" t="s">
        <v>443</v>
      </c>
      <c r="X1482" t="s">
        <v>106</v>
      </c>
      <c r="Y1482" t="s">
        <v>108</v>
      </c>
      <c r="Z1482" t="s">
        <v>109</v>
      </c>
      <c r="AA1482" t="s">
        <v>106</v>
      </c>
      <c r="AB1482" t="s">
        <v>106</v>
      </c>
    </row>
    <row r="1483" spans="1:28" x14ac:dyDescent="0.3">
      <c r="A1483" t="s">
        <v>1460</v>
      </c>
      <c r="B1483">
        <v>2</v>
      </c>
      <c r="C1483">
        <v>15</v>
      </c>
      <c r="D1483">
        <v>49</v>
      </c>
      <c r="E1483" t="s">
        <v>128</v>
      </c>
      <c r="F1483" s="12">
        <v>45560</v>
      </c>
      <c r="G1483" t="s">
        <v>378</v>
      </c>
      <c r="H1483" s="12">
        <v>45560</v>
      </c>
      <c r="I1483" t="s">
        <v>2086</v>
      </c>
      <c r="J1483" t="s">
        <v>458</v>
      </c>
      <c r="K1483">
        <v>2</v>
      </c>
      <c r="L1483">
        <v>16.899999999999999</v>
      </c>
      <c r="P1483" t="s">
        <v>106</v>
      </c>
      <c r="Q1483" t="s">
        <v>106</v>
      </c>
      <c r="R1483" t="s">
        <v>106</v>
      </c>
      <c r="S1483" t="s">
        <v>106</v>
      </c>
      <c r="T1483" t="s">
        <v>860</v>
      </c>
      <c r="U1483" t="s">
        <v>426</v>
      </c>
      <c r="V1483" t="s">
        <v>106</v>
      </c>
      <c r="W1483" t="s">
        <v>443</v>
      </c>
      <c r="X1483" t="s">
        <v>106</v>
      </c>
      <c r="Y1483" t="s">
        <v>108</v>
      </c>
      <c r="Z1483" t="s">
        <v>109</v>
      </c>
      <c r="AA1483" t="s">
        <v>106</v>
      </c>
      <c r="AB1483" t="s">
        <v>106</v>
      </c>
    </row>
    <row r="1484" spans="1:28" x14ac:dyDescent="0.3">
      <c r="A1484" t="s">
        <v>1460</v>
      </c>
      <c r="B1484">
        <v>2</v>
      </c>
      <c r="C1484">
        <v>15</v>
      </c>
      <c r="D1484">
        <v>68</v>
      </c>
      <c r="E1484" t="s">
        <v>128</v>
      </c>
      <c r="F1484" s="12">
        <v>45560</v>
      </c>
      <c r="G1484" t="s">
        <v>2088</v>
      </c>
      <c r="H1484" s="12">
        <v>45560</v>
      </c>
      <c r="I1484" t="s">
        <v>2082</v>
      </c>
      <c r="J1484" t="s">
        <v>1363</v>
      </c>
      <c r="K1484">
        <v>2</v>
      </c>
      <c r="L1484">
        <v>15.6</v>
      </c>
      <c r="P1484" t="s">
        <v>106</v>
      </c>
      <c r="Q1484" t="s">
        <v>106</v>
      </c>
      <c r="R1484" t="s">
        <v>106</v>
      </c>
      <c r="S1484" t="s">
        <v>106</v>
      </c>
      <c r="T1484" t="s">
        <v>1701</v>
      </c>
      <c r="U1484" t="s">
        <v>708</v>
      </c>
      <c r="V1484" t="s">
        <v>106</v>
      </c>
      <c r="W1484" t="s">
        <v>2015</v>
      </c>
      <c r="X1484" t="s">
        <v>106</v>
      </c>
      <c r="Y1484" t="s">
        <v>108</v>
      </c>
      <c r="Z1484" t="s">
        <v>109</v>
      </c>
      <c r="AA1484" t="s">
        <v>106</v>
      </c>
      <c r="AB1484" t="s">
        <v>106</v>
      </c>
    </row>
    <row r="1485" spans="1:28" x14ac:dyDescent="0.3">
      <c r="A1485" t="s">
        <v>1460</v>
      </c>
      <c r="B1485">
        <v>2</v>
      </c>
      <c r="C1485">
        <v>15</v>
      </c>
      <c r="D1485">
        <v>54</v>
      </c>
      <c r="E1485" t="s">
        <v>128</v>
      </c>
      <c r="F1485" s="12">
        <v>45560</v>
      </c>
      <c r="G1485" t="s">
        <v>1424</v>
      </c>
      <c r="H1485" s="12">
        <v>45560</v>
      </c>
      <c r="I1485" t="s">
        <v>1768</v>
      </c>
      <c r="J1485" t="s">
        <v>458</v>
      </c>
      <c r="K1485">
        <v>2</v>
      </c>
      <c r="L1485">
        <v>15.6</v>
      </c>
      <c r="P1485" t="s">
        <v>106</v>
      </c>
      <c r="Q1485" t="s">
        <v>106</v>
      </c>
      <c r="R1485" t="s">
        <v>106</v>
      </c>
      <c r="S1485" t="s">
        <v>106</v>
      </c>
      <c r="T1485" t="s">
        <v>2024</v>
      </c>
      <c r="U1485" t="s">
        <v>703</v>
      </c>
      <c r="V1485" t="s">
        <v>106</v>
      </c>
      <c r="W1485" t="s">
        <v>443</v>
      </c>
      <c r="X1485" t="s">
        <v>106</v>
      </c>
      <c r="Y1485" t="s">
        <v>108</v>
      </c>
      <c r="Z1485" t="s">
        <v>109</v>
      </c>
      <c r="AA1485" t="s">
        <v>106</v>
      </c>
      <c r="AB1485" t="s">
        <v>106</v>
      </c>
    </row>
    <row r="1486" spans="1:28" x14ac:dyDescent="0.3">
      <c r="A1486" t="s">
        <v>1460</v>
      </c>
      <c r="B1486">
        <v>2</v>
      </c>
      <c r="C1486">
        <v>15</v>
      </c>
      <c r="D1486">
        <v>73</v>
      </c>
      <c r="E1486" t="s">
        <v>128</v>
      </c>
      <c r="F1486" s="12">
        <v>45560</v>
      </c>
      <c r="G1486" t="s">
        <v>978</v>
      </c>
      <c r="H1486" s="12">
        <v>45560</v>
      </c>
      <c r="I1486" t="s">
        <v>2089</v>
      </c>
      <c r="J1486" t="s">
        <v>1363</v>
      </c>
      <c r="K1486">
        <v>2</v>
      </c>
      <c r="L1486">
        <v>12.5</v>
      </c>
      <c r="P1486" t="s">
        <v>106</v>
      </c>
      <c r="Q1486" t="s">
        <v>106</v>
      </c>
      <c r="R1486" t="s">
        <v>106</v>
      </c>
      <c r="S1486" t="s">
        <v>106</v>
      </c>
      <c r="T1486" t="s">
        <v>1394</v>
      </c>
      <c r="U1486" t="s">
        <v>841</v>
      </c>
      <c r="V1486" t="s">
        <v>106</v>
      </c>
      <c r="W1486" t="s">
        <v>2015</v>
      </c>
      <c r="X1486" t="s">
        <v>106</v>
      </c>
      <c r="Y1486" t="s">
        <v>108</v>
      </c>
      <c r="Z1486" t="s">
        <v>109</v>
      </c>
      <c r="AA1486" t="s">
        <v>106</v>
      </c>
      <c r="AB1486" t="s">
        <v>106</v>
      </c>
    </row>
    <row r="1487" spans="1:28" x14ac:dyDescent="0.3">
      <c r="A1487" t="s">
        <v>1460</v>
      </c>
      <c r="B1487">
        <v>2</v>
      </c>
      <c r="C1487">
        <v>15</v>
      </c>
      <c r="D1487">
        <v>74</v>
      </c>
      <c r="E1487" t="s">
        <v>128</v>
      </c>
      <c r="F1487" s="12">
        <v>45560</v>
      </c>
      <c r="G1487" t="s">
        <v>573</v>
      </c>
      <c r="H1487" s="12">
        <v>45560</v>
      </c>
      <c r="I1487" t="s">
        <v>2089</v>
      </c>
      <c r="J1487" t="s">
        <v>1363</v>
      </c>
      <c r="K1487">
        <v>2</v>
      </c>
      <c r="L1487">
        <v>15.8</v>
      </c>
      <c r="P1487" t="s">
        <v>106</v>
      </c>
      <c r="Q1487" t="s">
        <v>106</v>
      </c>
      <c r="R1487" t="s">
        <v>106</v>
      </c>
      <c r="S1487" t="s">
        <v>106</v>
      </c>
      <c r="T1487" t="s">
        <v>1217</v>
      </c>
      <c r="U1487" t="s">
        <v>1418</v>
      </c>
      <c r="V1487" t="s">
        <v>106</v>
      </c>
      <c r="W1487" t="s">
        <v>2015</v>
      </c>
      <c r="X1487" t="s">
        <v>106</v>
      </c>
      <c r="Y1487" t="s">
        <v>108</v>
      </c>
      <c r="Z1487" t="s">
        <v>109</v>
      </c>
      <c r="AA1487" t="s">
        <v>106</v>
      </c>
      <c r="AB1487" t="s">
        <v>106</v>
      </c>
    </row>
    <row r="1488" spans="1:28" x14ac:dyDescent="0.3">
      <c r="A1488" t="s">
        <v>1460</v>
      </c>
      <c r="B1488">
        <v>2</v>
      </c>
      <c r="C1488">
        <v>15</v>
      </c>
      <c r="D1488">
        <v>79</v>
      </c>
      <c r="E1488" t="s">
        <v>128</v>
      </c>
      <c r="F1488" s="12">
        <v>45560</v>
      </c>
      <c r="G1488" t="s">
        <v>2090</v>
      </c>
      <c r="H1488" s="12">
        <v>45560</v>
      </c>
      <c r="I1488" t="s">
        <v>2091</v>
      </c>
      <c r="J1488" t="s">
        <v>1363</v>
      </c>
      <c r="K1488">
        <v>2</v>
      </c>
      <c r="L1488">
        <v>15.5</v>
      </c>
      <c r="P1488" t="s">
        <v>106</v>
      </c>
      <c r="Q1488" t="s">
        <v>106</v>
      </c>
      <c r="R1488" t="s">
        <v>106</v>
      </c>
      <c r="S1488" t="s">
        <v>106</v>
      </c>
      <c r="T1488" t="s">
        <v>1951</v>
      </c>
      <c r="U1488" t="s">
        <v>1477</v>
      </c>
      <c r="V1488" t="s">
        <v>106</v>
      </c>
      <c r="W1488" t="s">
        <v>2015</v>
      </c>
      <c r="X1488" t="s">
        <v>106</v>
      </c>
      <c r="Y1488" t="s">
        <v>108</v>
      </c>
      <c r="Z1488" t="s">
        <v>109</v>
      </c>
      <c r="AA1488" t="s">
        <v>106</v>
      </c>
      <c r="AB1488" t="s">
        <v>106</v>
      </c>
    </row>
    <row r="1489" spans="1:28" x14ac:dyDescent="0.3">
      <c r="A1489" t="s">
        <v>1460</v>
      </c>
      <c r="B1489">
        <v>2</v>
      </c>
      <c r="C1489">
        <v>15</v>
      </c>
      <c r="D1489">
        <v>80</v>
      </c>
      <c r="E1489" t="s">
        <v>128</v>
      </c>
      <c r="F1489" s="12">
        <v>45560</v>
      </c>
      <c r="G1489" t="s">
        <v>2090</v>
      </c>
      <c r="H1489" s="12">
        <v>45560</v>
      </c>
      <c r="I1489" t="s">
        <v>2091</v>
      </c>
      <c r="J1489" t="s">
        <v>1363</v>
      </c>
      <c r="K1489">
        <v>2</v>
      </c>
      <c r="L1489">
        <v>16.100000000000001</v>
      </c>
      <c r="P1489" t="s">
        <v>106</v>
      </c>
      <c r="Q1489" t="s">
        <v>106</v>
      </c>
      <c r="R1489" t="s">
        <v>106</v>
      </c>
      <c r="S1489" t="s">
        <v>106</v>
      </c>
      <c r="T1489" t="s">
        <v>1459</v>
      </c>
      <c r="U1489" t="s">
        <v>1418</v>
      </c>
      <c r="V1489" t="s">
        <v>106</v>
      </c>
      <c r="W1489" t="s">
        <v>2015</v>
      </c>
      <c r="X1489" t="s">
        <v>106</v>
      </c>
      <c r="Y1489" t="s">
        <v>108</v>
      </c>
      <c r="Z1489" t="s">
        <v>109</v>
      </c>
      <c r="AA1489" t="s">
        <v>106</v>
      </c>
      <c r="AB1489" t="s">
        <v>106</v>
      </c>
    </row>
    <row r="1490" spans="1:28" x14ac:dyDescent="0.3">
      <c r="A1490" t="s">
        <v>1460</v>
      </c>
      <c r="B1490">
        <v>3</v>
      </c>
      <c r="C1490">
        <v>35</v>
      </c>
      <c r="D1490">
        <v>65</v>
      </c>
      <c r="E1490" t="s">
        <v>128</v>
      </c>
      <c r="F1490" s="12">
        <v>45560</v>
      </c>
      <c r="G1490" t="s">
        <v>1741</v>
      </c>
      <c r="H1490" s="12">
        <v>45560</v>
      </c>
      <c r="I1490" t="s">
        <v>2082</v>
      </c>
      <c r="J1490" t="s">
        <v>1363</v>
      </c>
      <c r="K1490">
        <v>2</v>
      </c>
      <c r="L1490">
        <v>37.1</v>
      </c>
      <c r="P1490" t="s">
        <v>106</v>
      </c>
      <c r="Q1490" t="s">
        <v>106</v>
      </c>
      <c r="R1490" t="s">
        <v>106</v>
      </c>
      <c r="S1490" t="s">
        <v>106</v>
      </c>
      <c r="T1490" t="s">
        <v>2095</v>
      </c>
      <c r="U1490" t="s">
        <v>1651</v>
      </c>
      <c r="V1490" t="s">
        <v>106</v>
      </c>
      <c r="W1490" t="s">
        <v>443</v>
      </c>
      <c r="X1490" t="s">
        <v>106</v>
      </c>
      <c r="Y1490" t="s">
        <v>108</v>
      </c>
      <c r="Z1490" t="s">
        <v>108</v>
      </c>
      <c r="AA1490" t="s">
        <v>106</v>
      </c>
      <c r="AB1490" t="s">
        <v>106</v>
      </c>
    </row>
    <row r="1491" spans="1:28" x14ac:dyDescent="0.3">
      <c r="A1491" t="s">
        <v>1460</v>
      </c>
      <c r="B1491">
        <v>3</v>
      </c>
      <c r="C1491">
        <v>35</v>
      </c>
      <c r="D1491">
        <v>66</v>
      </c>
      <c r="E1491" t="s">
        <v>128</v>
      </c>
      <c r="F1491" s="12">
        <v>45560</v>
      </c>
      <c r="G1491" t="s">
        <v>2500</v>
      </c>
      <c r="H1491" s="12">
        <v>45560</v>
      </c>
      <c r="I1491" t="s">
        <v>2082</v>
      </c>
      <c r="J1491" t="s">
        <v>1363</v>
      </c>
      <c r="K1491">
        <v>2</v>
      </c>
      <c r="L1491">
        <v>38.5</v>
      </c>
      <c r="P1491" t="s">
        <v>106</v>
      </c>
      <c r="Q1491" t="s">
        <v>106</v>
      </c>
      <c r="R1491" t="s">
        <v>106</v>
      </c>
      <c r="S1491" t="s">
        <v>106</v>
      </c>
      <c r="T1491" t="s">
        <v>1409</v>
      </c>
      <c r="U1491" t="s">
        <v>703</v>
      </c>
      <c r="V1491" t="s">
        <v>106</v>
      </c>
      <c r="W1491" t="s">
        <v>443</v>
      </c>
      <c r="X1491" t="s">
        <v>106</v>
      </c>
      <c r="Y1491" t="s">
        <v>108</v>
      </c>
      <c r="Z1491" t="s">
        <v>108</v>
      </c>
      <c r="AA1491" t="s">
        <v>106</v>
      </c>
      <c r="AB1491" t="s">
        <v>106</v>
      </c>
    </row>
    <row r="1492" spans="1:28" x14ac:dyDescent="0.3">
      <c r="A1492" t="s">
        <v>1460</v>
      </c>
      <c r="B1492">
        <v>3</v>
      </c>
      <c r="C1492">
        <v>35</v>
      </c>
      <c r="D1492">
        <v>78</v>
      </c>
      <c r="E1492" t="s">
        <v>128</v>
      </c>
      <c r="F1492" s="12">
        <v>45560</v>
      </c>
      <c r="G1492" t="s">
        <v>2335</v>
      </c>
      <c r="H1492" s="12">
        <v>45560</v>
      </c>
      <c r="I1492" t="s">
        <v>2091</v>
      </c>
      <c r="J1492" t="s">
        <v>1363</v>
      </c>
      <c r="K1492">
        <v>2</v>
      </c>
      <c r="L1492">
        <v>35.9</v>
      </c>
      <c r="P1492" t="s">
        <v>106</v>
      </c>
      <c r="Q1492" t="s">
        <v>106</v>
      </c>
      <c r="R1492" t="s">
        <v>106</v>
      </c>
      <c r="S1492" t="s">
        <v>106</v>
      </c>
      <c r="T1492" t="s">
        <v>1097</v>
      </c>
      <c r="U1492" t="s">
        <v>1780</v>
      </c>
      <c r="V1492" t="s">
        <v>106</v>
      </c>
      <c r="W1492" t="s">
        <v>2015</v>
      </c>
      <c r="X1492" t="s">
        <v>106</v>
      </c>
      <c r="Y1492" t="s">
        <v>108</v>
      </c>
      <c r="Z1492" t="s">
        <v>108</v>
      </c>
      <c r="AA1492" t="s">
        <v>106</v>
      </c>
      <c r="AB1492" t="s">
        <v>106</v>
      </c>
    </row>
    <row r="1493" spans="1:28" x14ac:dyDescent="0.3">
      <c r="A1493" t="s">
        <v>1460</v>
      </c>
      <c r="B1493">
        <v>3</v>
      </c>
      <c r="C1493">
        <v>35</v>
      </c>
      <c r="D1493">
        <v>64</v>
      </c>
      <c r="E1493" t="s">
        <v>308</v>
      </c>
      <c r="F1493" s="12">
        <v>45560</v>
      </c>
      <c r="G1493" t="s">
        <v>1160</v>
      </c>
      <c r="H1493" s="12">
        <v>45560</v>
      </c>
      <c r="I1493" t="s">
        <v>377</v>
      </c>
      <c r="J1493" t="s">
        <v>1363</v>
      </c>
      <c r="K1493">
        <v>2</v>
      </c>
      <c r="L1493">
        <v>33.5</v>
      </c>
      <c r="P1493" t="s">
        <v>106</v>
      </c>
      <c r="Q1493" t="s">
        <v>106</v>
      </c>
      <c r="R1493" t="s">
        <v>106</v>
      </c>
      <c r="S1493" t="s">
        <v>106</v>
      </c>
      <c r="T1493" t="s">
        <v>977</v>
      </c>
      <c r="U1493" t="s">
        <v>106</v>
      </c>
      <c r="V1493" t="s">
        <v>106</v>
      </c>
      <c r="W1493" t="s">
        <v>443</v>
      </c>
      <c r="X1493" t="s">
        <v>106</v>
      </c>
      <c r="Y1493" t="s">
        <v>108</v>
      </c>
      <c r="Z1493" t="s">
        <v>108</v>
      </c>
      <c r="AA1493" t="s">
        <v>106</v>
      </c>
      <c r="AB1493" t="s">
        <v>2501</v>
      </c>
    </row>
    <row r="1494" spans="1:28" x14ac:dyDescent="0.3">
      <c r="A1494" t="s">
        <v>1460</v>
      </c>
      <c r="B1494">
        <v>3</v>
      </c>
      <c r="C1494">
        <v>35</v>
      </c>
      <c r="D1494">
        <v>72</v>
      </c>
      <c r="E1494" t="s">
        <v>128</v>
      </c>
      <c r="F1494" s="12">
        <v>45560</v>
      </c>
      <c r="G1494" t="s">
        <v>1740</v>
      </c>
      <c r="H1494" s="12">
        <v>45560</v>
      </c>
      <c r="I1494" t="s">
        <v>2089</v>
      </c>
      <c r="J1494" t="s">
        <v>1363</v>
      </c>
      <c r="K1494">
        <v>2</v>
      </c>
      <c r="L1494">
        <v>35</v>
      </c>
      <c r="P1494" t="s">
        <v>106</v>
      </c>
      <c r="Q1494" t="s">
        <v>106</v>
      </c>
      <c r="R1494" t="s">
        <v>106</v>
      </c>
      <c r="S1494" t="s">
        <v>106</v>
      </c>
      <c r="T1494" t="s">
        <v>1049</v>
      </c>
      <c r="U1494" t="s">
        <v>1591</v>
      </c>
      <c r="V1494" t="s">
        <v>106</v>
      </c>
      <c r="W1494" t="s">
        <v>2015</v>
      </c>
      <c r="X1494" t="s">
        <v>106</v>
      </c>
      <c r="Y1494" t="s">
        <v>108</v>
      </c>
      <c r="Z1494" t="s">
        <v>108</v>
      </c>
      <c r="AA1494" t="s">
        <v>106</v>
      </c>
      <c r="AB1494" t="s">
        <v>106</v>
      </c>
    </row>
    <row r="1495" spans="1:28" x14ac:dyDescent="0.3">
      <c r="A1495" t="s">
        <v>1460</v>
      </c>
      <c r="B1495">
        <v>3</v>
      </c>
      <c r="C1495">
        <v>35</v>
      </c>
      <c r="D1495">
        <v>77</v>
      </c>
      <c r="E1495" t="s">
        <v>128</v>
      </c>
      <c r="F1495" s="12">
        <v>45560</v>
      </c>
      <c r="G1495" t="s">
        <v>2502</v>
      </c>
      <c r="H1495" s="12">
        <v>45560</v>
      </c>
      <c r="I1495" t="s">
        <v>2091</v>
      </c>
      <c r="J1495" t="s">
        <v>1363</v>
      </c>
      <c r="K1495">
        <v>2</v>
      </c>
      <c r="L1495">
        <v>36</v>
      </c>
      <c r="P1495" t="s">
        <v>106</v>
      </c>
      <c r="Q1495" t="s">
        <v>106</v>
      </c>
      <c r="R1495" t="s">
        <v>106</v>
      </c>
      <c r="S1495" t="s">
        <v>106</v>
      </c>
      <c r="T1495" t="s">
        <v>971</v>
      </c>
      <c r="U1495" t="s">
        <v>841</v>
      </c>
      <c r="V1495" t="s">
        <v>106</v>
      </c>
      <c r="W1495" t="s">
        <v>2015</v>
      </c>
      <c r="X1495" t="s">
        <v>106</v>
      </c>
      <c r="Y1495" t="s">
        <v>108</v>
      </c>
      <c r="Z1495" t="s">
        <v>108</v>
      </c>
      <c r="AA1495" t="s">
        <v>106</v>
      </c>
      <c r="AB1495" t="s">
        <v>106</v>
      </c>
    </row>
    <row r="1496" spans="1:28" x14ac:dyDescent="0.3">
      <c r="A1496" t="s">
        <v>1460</v>
      </c>
      <c r="B1496">
        <v>3</v>
      </c>
      <c r="C1496">
        <v>35</v>
      </c>
      <c r="D1496">
        <v>71</v>
      </c>
      <c r="E1496" t="s">
        <v>128</v>
      </c>
      <c r="F1496" s="12">
        <v>45560</v>
      </c>
      <c r="G1496" t="s">
        <v>1183</v>
      </c>
      <c r="H1496" s="12">
        <v>45560</v>
      </c>
      <c r="I1496" t="s">
        <v>2089</v>
      </c>
      <c r="J1496" t="s">
        <v>1363</v>
      </c>
      <c r="K1496">
        <v>2</v>
      </c>
      <c r="L1496">
        <v>34.6</v>
      </c>
      <c r="P1496" t="s">
        <v>106</v>
      </c>
      <c r="Q1496" t="s">
        <v>106</v>
      </c>
      <c r="R1496" t="s">
        <v>106</v>
      </c>
      <c r="S1496" t="s">
        <v>106</v>
      </c>
      <c r="T1496" t="s">
        <v>1804</v>
      </c>
      <c r="U1496" t="s">
        <v>1780</v>
      </c>
      <c r="V1496" t="s">
        <v>106</v>
      </c>
      <c r="W1496" t="s">
        <v>2015</v>
      </c>
      <c r="X1496" t="s">
        <v>106</v>
      </c>
      <c r="Y1496" t="s">
        <v>108</v>
      </c>
      <c r="Z1496" t="s">
        <v>108</v>
      </c>
      <c r="AA1496" t="s">
        <v>106</v>
      </c>
      <c r="AB1496" t="s">
        <v>106</v>
      </c>
    </row>
    <row r="1497" spans="1:28" x14ac:dyDescent="0.3">
      <c r="A1497" t="s">
        <v>1460</v>
      </c>
      <c r="B1497">
        <v>3</v>
      </c>
      <c r="C1497">
        <v>35</v>
      </c>
      <c r="D1497">
        <v>57</v>
      </c>
      <c r="E1497" t="s">
        <v>128</v>
      </c>
      <c r="F1497" s="12">
        <v>45560</v>
      </c>
      <c r="G1497" t="s">
        <v>1434</v>
      </c>
      <c r="H1497" s="12">
        <v>45560</v>
      </c>
      <c r="I1497" t="s">
        <v>377</v>
      </c>
      <c r="J1497" t="s">
        <v>1363</v>
      </c>
      <c r="K1497">
        <v>2</v>
      </c>
      <c r="L1497">
        <v>38.6</v>
      </c>
      <c r="P1497" t="s">
        <v>106</v>
      </c>
      <c r="Q1497" t="s">
        <v>106</v>
      </c>
      <c r="R1497" t="s">
        <v>106</v>
      </c>
      <c r="S1497" t="s">
        <v>106</v>
      </c>
      <c r="T1497" t="s">
        <v>977</v>
      </c>
      <c r="U1497" t="s">
        <v>1418</v>
      </c>
      <c r="V1497" t="s">
        <v>106</v>
      </c>
      <c r="W1497" t="s">
        <v>443</v>
      </c>
      <c r="X1497" t="s">
        <v>106</v>
      </c>
      <c r="Y1497" t="s">
        <v>108</v>
      </c>
      <c r="Z1497" t="s">
        <v>108</v>
      </c>
      <c r="AA1497" t="s">
        <v>106</v>
      </c>
      <c r="AB1497" t="s">
        <v>106</v>
      </c>
    </row>
    <row r="1498" spans="1:28" x14ac:dyDescent="0.3">
      <c r="A1498" t="s">
        <v>1460</v>
      </c>
      <c r="B1498">
        <v>3</v>
      </c>
      <c r="C1498">
        <v>35</v>
      </c>
      <c r="D1498">
        <v>40</v>
      </c>
      <c r="E1498" t="s">
        <v>128</v>
      </c>
      <c r="F1498" s="12">
        <v>45560</v>
      </c>
      <c r="G1498" t="s">
        <v>560</v>
      </c>
      <c r="H1498" s="12">
        <v>45560</v>
      </c>
      <c r="I1498" t="s">
        <v>2085</v>
      </c>
      <c r="J1498" t="s">
        <v>458</v>
      </c>
      <c r="K1498">
        <v>2</v>
      </c>
      <c r="L1498">
        <v>38.700000000000003</v>
      </c>
      <c r="P1498" t="s">
        <v>106</v>
      </c>
      <c r="Q1498" t="s">
        <v>106</v>
      </c>
      <c r="R1498" t="s">
        <v>106</v>
      </c>
      <c r="S1498" t="s">
        <v>106</v>
      </c>
      <c r="T1498" t="s">
        <v>1049</v>
      </c>
      <c r="U1498" t="s">
        <v>1780</v>
      </c>
      <c r="V1498" t="s">
        <v>106</v>
      </c>
      <c r="W1498" t="s">
        <v>443</v>
      </c>
      <c r="X1498" t="s">
        <v>106</v>
      </c>
      <c r="Y1498" t="s">
        <v>108</v>
      </c>
      <c r="Z1498" t="s">
        <v>108</v>
      </c>
      <c r="AA1498" t="s">
        <v>2076</v>
      </c>
      <c r="AB1498" t="s">
        <v>106</v>
      </c>
    </row>
    <row r="1499" spans="1:28" x14ac:dyDescent="0.3">
      <c r="A1499" t="s">
        <v>1460</v>
      </c>
      <c r="B1499">
        <v>3</v>
      </c>
      <c r="C1499">
        <v>35</v>
      </c>
      <c r="D1499">
        <v>51</v>
      </c>
      <c r="E1499" t="s">
        <v>128</v>
      </c>
      <c r="F1499" s="12">
        <v>45560</v>
      </c>
      <c r="G1499" t="s">
        <v>1969</v>
      </c>
      <c r="H1499" s="12">
        <v>45560</v>
      </c>
      <c r="I1499" t="s">
        <v>1768</v>
      </c>
      <c r="J1499" t="s">
        <v>458</v>
      </c>
      <c r="K1499">
        <v>2</v>
      </c>
      <c r="L1499">
        <v>36.700000000000003</v>
      </c>
      <c r="P1499" t="s">
        <v>106</v>
      </c>
      <c r="Q1499" t="s">
        <v>106</v>
      </c>
      <c r="R1499" t="s">
        <v>106</v>
      </c>
      <c r="S1499" t="s">
        <v>106</v>
      </c>
      <c r="T1499" t="s">
        <v>1393</v>
      </c>
      <c r="U1499" t="s">
        <v>440</v>
      </c>
      <c r="V1499" t="s">
        <v>106</v>
      </c>
      <c r="W1499" t="s">
        <v>443</v>
      </c>
      <c r="X1499" t="s">
        <v>106</v>
      </c>
      <c r="Y1499" t="s">
        <v>108</v>
      </c>
      <c r="Z1499" t="s">
        <v>108</v>
      </c>
      <c r="AA1499" t="s">
        <v>106</v>
      </c>
      <c r="AB1499" t="s">
        <v>106</v>
      </c>
    </row>
    <row r="1500" spans="1:28" x14ac:dyDescent="0.3">
      <c r="A1500" t="s">
        <v>1460</v>
      </c>
      <c r="B1500">
        <v>3</v>
      </c>
      <c r="C1500">
        <v>35</v>
      </c>
      <c r="D1500">
        <v>50</v>
      </c>
      <c r="E1500" t="s">
        <v>128</v>
      </c>
      <c r="F1500" s="12">
        <v>45560</v>
      </c>
      <c r="G1500" t="s">
        <v>1996</v>
      </c>
      <c r="H1500" s="12">
        <v>45560</v>
      </c>
      <c r="I1500" t="s">
        <v>1768</v>
      </c>
      <c r="J1500" t="s">
        <v>458</v>
      </c>
      <c r="K1500">
        <v>2</v>
      </c>
      <c r="L1500">
        <v>35.1</v>
      </c>
      <c r="P1500" t="s">
        <v>106</v>
      </c>
      <c r="Q1500" t="s">
        <v>106</v>
      </c>
      <c r="R1500" t="s">
        <v>106</v>
      </c>
      <c r="S1500" t="s">
        <v>106</v>
      </c>
      <c r="T1500" t="s">
        <v>1804</v>
      </c>
      <c r="U1500" t="s">
        <v>703</v>
      </c>
      <c r="V1500" t="s">
        <v>106</v>
      </c>
      <c r="W1500" t="s">
        <v>443</v>
      </c>
      <c r="X1500" t="s">
        <v>106</v>
      </c>
      <c r="Y1500" t="s">
        <v>108</v>
      </c>
      <c r="Z1500" t="s">
        <v>108</v>
      </c>
      <c r="AA1500" t="s">
        <v>106</v>
      </c>
      <c r="AB1500" t="s">
        <v>106</v>
      </c>
    </row>
    <row r="1501" spans="1:28" x14ac:dyDescent="0.3">
      <c r="A1501" t="s">
        <v>1460</v>
      </c>
      <c r="B1501">
        <v>3</v>
      </c>
      <c r="C1501">
        <v>35</v>
      </c>
      <c r="D1501">
        <v>44</v>
      </c>
      <c r="E1501" t="s">
        <v>128</v>
      </c>
      <c r="F1501" s="12">
        <v>45560</v>
      </c>
      <c r="G1501" t="s">
        <v>622</v>
      </c>
      <c r="H1501" s="12">
        <v>45560</v>
      </c>
      <c r="I1501" t="s">
        <v>2086</v>
      </c>
      <c r="J1501" t="s">
        <v>458</v>
      </c>
      <c r="K1501">
        <v>2</v>
      </c>
      <c r="L1501">
        <v>35.4</v>
      </c>
      <c r="P1501" t="s">
        <v>106</v>
      </c>
      <c r="Q1501" t="s">
        <v>106</v>
      </c>
      <c r="R1501" t="s">
        <v>106</v>
      </c>
      <c r="S1501" t="s">
        <v>106</v>
      </c>
      <c r="T1501" t="s">
        <v>1458</v>
      </c>
      <c r="U1501" t="s">
        <v>904</v>
      </c>
      <c r="V1501" t="s">
        <v>106</v>
      </c>
      <c r="W1501" t="s">
        <v>443</v>
      </c>
      <c r="X1501" t="s">
        <v>106</v>
      </c>
      <c r="Y1501" t="s">
        <v>108</v>
      </c>
      <c r="Z1501" t="s">
        <v>108</v>
      </c>
      <c r="AA1501" t="s">
        <v>106</v>
      </c>
      <c r="AB1501" t="s">
        <v>106</v>
      </c>
    </row>
    <row r="1502" spans="1:28" x14ac:dyDescent="0.3">
      <c r="A1502" t="s">
        <v>1460</v>
      </c>
      <c r="B1502">
        <v>3</v>
      </c>
      <c r="C1502">
        <v>35</v>
      </c>
      <c r="D1502">
        <v>43</v>
      </c>
      <c r="E1502" t="s">
        <v>128</v>
      </c>
      <c r="F1502" s="12">
        <v>45560</v>
      </c>
      <c r="G1502" t="s">
        <v>309</v>
      </c>
      <c r="H1502" s="12">
        <v>45560</v>
      </c>
      <c r="I1502" t="s">
        <v>2086</v>
      </c>
      <c r="J1502" t="s">
        <v>458</v>
      </c>
      <c r="K1502">
        <v>2</v>
      </c>
      <c r="L1502">
        <v>37.299999999999997</v>
      </c>
      <c r="P1502" t="s">
        <v>106</v>
      </c>
      <c r="Q1502" t="s">
        <v>106</v>
      </c>
      <c r="R1502" t="s">
        <v>106</v>
      </c>
      <c r="S1502" t="s">
        <v>106</v>
      </c>
      <c r="T1502" t="s">
        <v>1400</v>
      </c>
      <c r="U1502" t="s">
        <v>1418</v>
      </c>
      <c r="V1502" t="s">
        <v>106</v>
      </c>
      <c r="W1502" t="s">
        <v>443</v>
      </c>
      <c r="X1502" t="s">
        <v>106</v>
      </c>
      <c r="Y1502" t="s">
        <v>108</v>
      </c>
      <c r="Z1502" t="s">
        <v>108</v>
      </c>
      <c r="AA1502" t="s">
        <v>106</v>
      </c>
      <c r="AB1502" t="s">
        <v>106</v>
      </c>
    </row>
    <row r="1503" spans="1:28" x14ac:dyDescent="0.3">
      <c r="A1503" t="s">
        <v>1460</v>
      </c>
      <c r="B1503">
        <v>3</v>
      </c>
      <c r="C1503">
        <v>35</v>
      </c>
      <c r="D1503">
        <v>33</v>
      </c>
      <c r="E1503" t="s">
        <v>128</v>
      </c>
      <c r="F1503" s="12">
        <v>45560</v>
      </c>
      <c r="G1503" t="s">
        <v>1636</v>
      </c>
      <c r="H1503" s="12">
        <v>45560</v>
      </c>
      <c r="I1503" t="s">
        <v>1945</v>
      </c>
      <c r="J1503" t="s">
        <v>458</v>
      </c>
      <c r="K1503">
        <v>2</v>
      </c>
      <c r="L1503">
        <v>37.299999999999997</v>
      </c>
      <c r="P1503" t="s">
        <v>106</v>
      </c>
      <c r="Q1503" t="s">
        <v>106</v>
      </c>
      <c r="R1503" t="s">
        <v>106</v>
      </c>
      <c r="S1503" t="s">
        <v>106</v>
      </c>
      <c r="T1503" t="s">
        <v>1817</v>
      </c>
      <c r="U1503" t="s">
        <v>841</v>
      </c>
      <c r="V1503" t="s">
        <v>106</v>
      </c>
      <c r="W1503" t="s">
        <v>443</v>
      </c>
      <c r="X1503" t="s">
        <v>106</v>
      </c>
      <c r="Y1503" t="s">
        <v>108</v>
      </c>
      <c r="Z1503" t="s">
        <v>108</v>
      </c>
      <c r="AA1503" t="s">
        <v>2076</v>
      </c>
      <c r="AB1503" t="s">
        <v>106</v>
      </c>
    </row>
    <row r="1504" spans="1:28" x14ac:dyDescent="0.3">
      <c r="A1504" t="s">
        <v>1460</v>
      </c>
      <c r="B1504">
        <v>3</v>
      </c>
      <c r="C1504">
        <v>35</v>
      </c>
      <c r="D1504">
        <v>39</v>
      </c>
      <c r="E1504" t="s">
        <v>128</v>
      </c>
      <c r="F1504" s="12">
        <v>45560</v>
      </c>
      <c r="G1504" t="s">
        <v>1051</v>
      </c>
      <c r="H1504" s="12">
        <v>45560</v>
      </c>
      <c r="I1504" t="s">
        <v>2085</v>
      </c>
      <c r="J1504" t="s">
        <v>458</v>
      </c>
      <c r="K1504">
        <v>2</v>
      </c>
      <c r="L1504">
        <v>39.1</v>
      </c>
      <c r="P1504" t="s">
        <v>106</v>
      </c>
      <c r="Q1504" t="s">
        <v>106</v>
      </c>
      <c r="R1504" t="s">
        <v>106</v>
      </c>
      <c r="S1504" t="s">
        <v>106</v>
      </c>
      <c r="T1504" t="s">
        <v>971</v>
      </c>
      <c r="U1504" t="s">
        <v>1345</v>
      </c>
      <c r="V1504" t="s">
        <v>106</v>
      </c>
      <c r="W1504" t="s">
        <v>443</v>
      </c>
      <c r="X1504" t="s">
        <v>106</v>
      </c>
      <c r="Y1504" t="s">
        <v>108</v>
      </c>
      <c r="Z1504" t="s">
        <v>108</v>
      </c>
      <c r="AA1504" t="s">
        <v>2076</v>
      </c>
      <c r="AB1504" t="s">
        <v>106</v>
      </c>
    </row>
    <row r="1505" spans="1:28" x14ac:dyDescent="0.3">
      <c r="A1505" t="s">
        <v>1460</v>
      </c>
      <c r="B1505">
        <v>3</v>
      </c>
      <c r="C1505">
        <v>35</v>
      </c>
      <c r="D1505">
        <v>34</v>
      </c>
      <c r="E1505" t="s">
        <v>128</v>
      </c>
      <c r="F1505" s="12">
        <v>45560</v>
      </c>
      <c r="G1505" t="s">
        <v>547</v>
      </c>
      <c r="H1505" s="12">
        <v>45560</v>
      </c>
      <c r="I1505" t="s">
        <v>1945</v>
      </c>
      <c r="J1505" t="s">
        <v>458</v>
      </c>
      <c r="K1505">
        <v>2</v>
      </c>
      <c r="L1505">
        <v>38.200000000000003</v>
      </c>
      <c r="P1505" t="s">
        <v>106</v>
      </c>
      <c r="Q1505" t="s">
        <v>106</v>
      </c>
      <c r="R1505" t="s">
        <v>106</v>
      </c>
      <c r="S1505" t="s">
        <v>106</v>
      </c>
      <c r="T1505" t="s">
        <v>523</v>
      </c>
      <c r="U1505" t="s">
        <v>564</v>
      </c>
      <c r="V1505" t="s">
        <v>106</v>
      </c>
      <c r="W1505" t="s">
        <v>443</v>
      </c>
      <c r="X1505" t="s">
        <v>106</v>
      </c>
      <c r="Y1505" t="s">
        <v>108</v>
      </c>
      <c r="Z1505" t="s">
        <v>108</v>
      </c>
      <c r="AA1505" t="s">
        <v>2076</v>
      </c>
      <c r="AB1505" t="s">
        <v>106</v>
      </c>
    </row>
    <row r="1506" spans="1:28" x14ac:dyDescent="0.3">
      <c r="A1506" t="s">
        <v>1460</v>
      </c>
      <c r="B1506">
        <v>3</v>
      </c>
      <c r="C1506">
        <v>35</v>
      </c>
      <c r="D1506">
        <v>56</v>
      </c>
      <c r="E1506" t="s">
        <v>128</v>
      </c>
      <c r="F1506" s="12">
        <v>45560</v>
      </c>
      <c r="G1506" t="s">
        <v>1927</v>
      </c>
      <c r="H1506" s="12">
        <v>45560</v>
      </c>
      <c r="I1506" t="s">
        <v>377</v>
      </c>
      <c r="J1506" t="s">
        <v>1363</v>
      </c>
      <c r="K1506">
        <v>2</v>
      </c>
      <c r="L1506">
        <v>38.4</v>
      </c>
      <c r="P1506" t="s">
        <v>106</v>
      </c>
      <c r="Q1506" t="s">
        <v>106</v>
      </c>
      <c r="R1506" t="s">
        <v>106</v>
      </c>
      <c r="S1506" t="s">
        <v>106</v>
      </c>
      <c r="T1506" t="s">
        <v>1885</v>
      </c>
      <c r="U1506" t="s">
        <v>703</v>
      </c>
      <c r="V1506" t="s">
        <v>106</v>
      </c>
      <c r="W1506" t="s">
        <v>443</v>
      </c>
      <c r="X1506" t="s">
        <v>106</v>
      </c>
      <c r="Y1506" t="s">
        <v>108</v>
      </c>
      <c r="Z1506" t="s">
        <v>108</v>
      </c>
      <c r="AA1506" t="s">
        <v>106</v>
      </c>
      <c r="AB1506" t="s">
        <v>106</v>
      </c>
    </row>
    <row r="1507" spans="1:28" x14ac:dyDescent="0.3">
      <c r="A1507" t="s">
        <v>1460</v>
      </c>
      <c r="B1507">
        <v>4</v>
      </c>
      <c r="C1507">
        <v>60</v>
      </c>
      <c r="D1507">
        <v>45</v>
      </c>
      <c r="E1507" t="s">
        <v>128</v>
      </c>
      <c r="F1507" s="12">
        <v>45560</v>
      </c>
      <c r="G1507" t="s">
        <v>411</v>
      </c>
      <c r="H1507" s="12">
        <v>45560</v>
      </c>
      <c r="I1507" t="s">
        <v>2086</v>
      </c>
      <c r="J1507" t="s">
        <v>458</v>
      </c>
      <c r="K1507">
        <v>2</v>
      </c>
      <c r="L1507">
        <v>61.9</v>
      </c>
      <c r="P1507" t="s">
        <v>106</v>
      </c>
      <c r="Q1507" t="s">
        <v>106</v>
      </c>
      <c r="R1507" t="s">
        <v>106</v>
      </c>
      <c r="S1507" t="s">
        <v>106</v>
      </c>
      <c r="T1507" t="s">
        <v>1476</v>
      </c>
      <c r="U1507" t="s">
        <v>1780</v>
      </c>
      <c r="V1507" t="s">
        <v>106</v>
      </c>
      <c r="W1507" t="s">
        <v>443</v>
      </c>
      <c r="X1507" t="s">
        <v>106</v>
      </c>
      <c r="Y1507" t="s">
        <v>108</v>
      </c>
      <c r="Z1507" t="s">
        <v>104</v>
      </c>
      <c r="AA1507" t="s">
        <v>106</v>
      </c>
      <c r="AB1507" t="s">
        <v>106</v>
      </c>
    </row>
    <row r="1508" spans="1:28" x14ac:dyDescent="0.3">
      <c r="A1508" t="s">
        <v>1460</v>
      </c>
      <c r="B1508">
        <v>4</v>
      </c>
      <c r="C1508">
        <v>60</v>
      </c>
      <c r="D1508">
        <v>42</v>
      </c>
      <c r="E1508" t="s">
        <v>128</v>
      </c>
      <c r="F1508" s="12">
        <v>45560</v>
      </c>
      <c r="G1508" t="s">
        <v>488</v>
      </c>
      <c r="H1508" s="12">
        <v>45560</v>
      </c>
      <c r="I1508" t="s">
        <v>2085</v>
      </c>
      <c r="J1508" t="s">
        <v>458</v>
      </c>
      <c r="K1508">
        <v>2</v>
      </c>
      <c r="L1508">
        <v>64.400000000000006</v>
      </c>
      <c r="P1508" t="s">
        <v>106</v>
      </c>
      <c r="Q1508" t="s">
        <v>106</v>
      </c>
      <c r="R1508" t="s">
        <v>106</v>
      </c>
      <c r="S1508" t="s">
        <v>106</v>
      </c>
      <c r="T1508" t="s">
        <v>884</v>
      </c>
      <c r="U1508" t="s">
        <v>905</v>
      </c>
      <c r="V1508" t="s">
        <v>106</v>
      </c>
      <c r="W1508" t="s">
        <v>443</v>
      </c>
      <c r="X1508" t="s">
        <v>106</v>
      </c>
      <c r="Y1508" t="s">
        <v>108</v>
      </c>
      <c r="Z1508" t="s">
        <v>104</v>
      </c>
      <c r="AA1508" t="s">
        <v>2076</v>
      </c>
      <c r="AB1508" t="s">
        <v>106</v>
      </c>
    </row>
    <row r="1509" spans="1:28" x14ac:dyDescent="0.3">
      <c r="A1509" t="s">
        <v>1460</v>
      </c>
      <c r="B1509">
        <v>4</v>
      </c>
      <c r="C1509">
        <v>60</v>
      </c>
      <c r="D1509">
        <v>41</v>
      </c>
      <c r="E1509" t="s">
        <v>128</v>
      </c>
      <c r="F1509" s="12">
        <v>45560</v>
      </c>
      <c r="G1509" t="s">
        <v>488</v>
      </c>
      <c r="H1509" s="12">
        <v>45560</v>
      </c>
      <c r="I1509" t="s">
        <v>2085</v>
      </c>
      <c r="J1509" t="s">
        <v>458</v>
      </c>
      <c r="K1509">
        <v>2</v>
      </c>
      <c r="L1509">
        <v>64.099999999999994</v>
      </c>
      <c r="P1509" t="s">
        <v>106</v>
      </c>
      <c r="Q1509" t="s">
        <v>106</v>
      </c>
      <c r="R1509" t="s">
        <v>106</v>
      </c>
      <c r="S1509" t="s">
        <v>106</v>
      </c>
      <c r="T1509" t="s">
        <v>977</v>
      </c>
      <c r="U1509" t="s">
        <v>395</v>
      </c>
      <c r="V1509" t="s">
        <v>106</v>
      </c>
      <c r="W1509" t="s">
        <v>443</v>
      </c>
      <c r="X1509" t="s">
        <v>106</v>
      </c>
      <c r="Y1509" t="s">
        <v>108</v>
      </c>
      <c r="Z1509" t="s">
        <v>104</v>
      </c>
      <c r="AA1509" t="s">
        <v>2076</v>
      </c>
      <c r="AB1509" t="s">
        <v>106</v>
      </c>
    </row>
    <row r="1510" spans="1:28" x14ac:dyDescent="0.3">
      <c r="A1510" t="s">
        <v>1460</v>
      </c>
      <c r="B1510">
        <v>4</v>
      </c>
      <c r="C1510">
        <v>60</v>
      </c>
      <c r="D1510">
        <v>69</v>
      </c>
      <c r="E1510" t="s">
        <v>128</v>
      </c>
      <c r="F1510" s="12">
        <v>45560</v>
      </c>
      <c r="G1510" t="s">
        <v>1391</v>
      </c>
      <c r="H1510" s="12">
        <v>45560</v>
      </c>
      <c r="I1510" t="s">
        <v>2082</v>
      </c>
      <c r="J1510" t="s">
        <v>1363</v>
      </c>
      <c r="K1510">
        <v>2</v>
      </c>
      <c r="L1510">
        <v>60.1</v>
      </c>
      <c r="P1510" t="s">
        <v>106</v>
      </c>
      <c r="Q1510" t="s">
        <v>106</v>
      </c>
      <c r="R1510" t="s">
        <v>106</v>
      </c>
      <c r="S1510" t="s">
        <v>106</v>
      </c>
      <c r="T1510" t="s">
        <v>1796</v>
      </c>
      <c r="U1510" t="s">
        <v>1780</v>
      </c>
      <c r="V1510" t="s">
        <v>106</v>
      </c>
      <c r="W1510" t="s">
        <v>2015</v>
      </c>
      <c r="X1510" t="s">
        <v>106</v>
      </c>
      <c r="Y1510" t="s">
        <v>108</v>
      </c>
      <c r="Z1510" t="s">
        <v>104</v>
      </c>
      <c r="AA1510" t="s">
        <v>106</v>
      </c>
      <c r="AB1510" t="s">
        <v>106</v>
      </c>
    </row>
    <row r="1511" spans="1:28" x14ac:dyDescent="0.3">
      <c r="A1511" t="s">
        <v>1460</v>
      </c>
      <c r="B1511">
        <v>4</v>
      </c>
      <c r="C1511">
        <v>60</v>
      </c>
      <c r="D1511">
        <v>35</v>
      </c>
      <c r="E1511" t="s">
        <v>128</v>
      </c>
      <c r="F1511" s="12">
        <v>45560</v>
      </c>
      <c r="G1511" t="s">
        <v>1575</v>
      </c>
      <c r="H1511" s="12">
        <v>45560</v>
      </c>
      <c r="I1511" t="s">
        <v>1945</v>
      </c>
      <c r="J1511" t="s">
        <v>458</v>
      </c>
      <c r="K1511">
        <v>2</v>
      </c>
      <c r="L1511">
        <v>63.7</v>
      </c>
      <c r="P1511" t="s">
        <v>106</v>
      </c>
      <c r="Q1511" t="s">
        <v>106</v>
      </c>
      <c r="R1511" t="s">
        <v>106</v>
      </c>
      <c r="S1511" t="s">
        <v>106</v>
      </c>
      <c r="T1511" t="s">
        <v>776</v>
      </c>
      <c r="U1511" t="s">
        <v>841</v>
      </c>
      <c r="V1511" t="s">
        <v>106</v>
      </c>
      <c r="W1511" t="s">
        <v>443</v>
      </c>
      <c r="X1511" t="s">
        <v>106</v>
      </c>
      <c r="Y1511" t="s">
        <v>108</v>
      </c>
      <c r="Z1511" t="s">
        <v>104</v>
      </c>
      <c r="AA1511" t="s">
        <v>2076</v>
      </c>
      <c r="AB1511" t="s">
        <v>106</v>
      </c>
    </row>
    <row r="1512" spans="1:28" x14ac:dyDescent="0.3">
      <c r="A1512" t="s">
        <v>1460</v>
      </c>
      <c r="B1512">
        <v>4</v>
      </c>
      <c r="C1512">
        <v>60</v>
      </c>
      <c r="D1512">
        <v>46</v>
      </c>
      <c r="E1512" t="s">
        <v>128</v>
      </c>
      <c r="F1512" s="12">
        <v>45560</v>
      </c>
      <c r="G1512" t="s">
        <v>411</v>
      </c>
      <c r="H1512" s="12">
        <v>45560</v>
      </c>
      <c r="I1512" t="s">
        <v>2086</v>
      </c>
      <c r="J1512" t="s">
        <v>458</v>
      </c>
      <c r="K1512">
        <v>2</v>
      </c>
      <c r="L1512">
        <v>63</v>
      </c>
      <c r="P1512" t="s">
        <v>106</v>
      </c>
      <c r="Q1512" t="s">
        <v>106</v>
      </c>
      <c r="R1512" t="s">
        <v>106</v>
      </c>
      <c r="S1512" t="s">
        <v>106</v>
      </c>
      <c r="T1512" t="s">
        <v>1431</v>
      </c>
      <c r="U1512" t="s">
        <v>1359</v>
      </c>
      <c r="V1512" t="s">
        <v>106</v>
      </c>
      <c r="W1512" t="s">
        <v>443</v>
      </c>
      <c r="X1512" t="s">
        <v>106</v>
      </c>
      <c r="Y1512" t="s">
        <v>108</v>
      </c>
      <c r="Z1512" t="s">
        <v>104</v>
      </c>
      <c r="AA1512" t="s">
        <v>106</v>
      </c>
      <c r="AB1512" t="s">
        <v>106</v>
      </c>
    </row>
    <row r="1513" spans="1:28" x14ac:dyDescent="0.3">
      <c r="A1513" t="s">
        <v>1460</v>
      </c>
      <c r="B1513">
        <v>4</v>
      </c>
      <c r="C1513">
        <v>60</v>
      </c>
      <c r="D1513">
        <v>36</v>
      </c>
      <c r="E1513" t="s">
        <v>128</v>
      </c>
      <c r="F1513" s="12">
        <v>45560</v>
      </c>
      <c r="G1513" t="s">
        <v>2112</v>
      </c>
      <c r="H1513" s="12">
        <v>45560</v>
      </c>
      <c r="I1513" t="s">
        <v>1945</v>
      </c>
      <c r="J1513" t="s">
        <v>458</v>
      </c>
      <c r="K1513">
        <v>2</v>
      </c>
      <c r="L1513">
        <v>63.3</v>
      </c>
      <c r="P1513" t="s">
        <v>106</v>
      </c>
      <c r="Q1513" t="s">
        <v>106</v>
      </c>
      <c r="R1513" t="s">
        <v>106</v>
      </c>
      <c r="S1513" t="s">
        <v>106</v>
      </c>
      <c r="T1513" t="s">
        <v>1084</v>
      </c>
      <c r="U1513" t="s">
        <v>1780</v>
      </c>
      <c r="V1513" t="s">
        <v>106</v>
      </c>
      <c r="W1513" t="s">
        <v>443</v>
      </c>
      <c r="X1513" t="s">
        <v>106</v>
      </c>
      <c r="Y1513" t="s">
        <v>108</v>
      </c>
      <c r="Z1513" t="s">
        <v>104</v>
      </c>
      <c r="AA1513" t="s">
        <v>2076</v>
      </c>
      <c r="AB1513" t="s">
        <v>106</v>
      </c>
    </row>
    <row r="1514" spans="1:28" x14ac:dyDescent="0.3">
      <c r="A1514" t="s">
        <v>1460</v>
      </c>
      <c r="B1514">
        <v>4</v>
      </c>
      <c r="C1514">
        <v>60</v>
      </c>
      <c r="D1514">
        <v>59</v>
      </c>
      <c r="E1514" t="s">
        <v>128</v>
      </c>
      <c r="F1514" s="12">
        <v>45560</v>
      </c>
      <c r="G1514" t="s">
        <v>865</v>
      </c>
      <c r="H1514" s="12">
        <v>45560</v>
      </c>
      <c r="I1514" t="s">
        <v>377</v>
      </c>
      <c r="J1514" t="s">
        <v>1363</v>
      </c>
      <c r="K1514">
        <v>2</v>
      </c>
      <c r="L1514">
        <v>60.8</v>
      </c>
      <c r="P1514" t="s">
        <v>106</v>
      </c>
      <c r="Q1514" t="s">
        <v>106</v>
      </c>
      <c r="R1514" t="s">
        <v>106</v>
      </c>
      <c r="S1514" t="s">
        <v>106</v>
      </c>
      <c r="T1514" t="s">
        <v>884</v>
      </c>
      <c r="U1514" t="s">
        <v>429</v>
      </c>
      <c r="V1514" t="s">
        <v>106</v>
      </c>
      <c r="W1514" t="s">
        <v>443</v>
      </c>
      <c r="X1514" t="s">
        <v>106</v>
      </c>
      <c r="Y1514" t="s">
        <v>108</v>
      </c>
      <c r="Z1514" t="s">
        <v>104</v>
      </c>
      <c r="AA1514" t="s">
        <v>106</v>
      </c>
      <c r="AB1514" t="s">
        <v>106</v>
      </c>
    </row>
    <row r="1515" spans="1:28" x14ac:dyDescent="0.3">
      <c r="A1515" t="s">
        <v>1460</v>
      </c>
      <c r="B1515">
        <v>4</v>
      </c>
      <c r="C1515">
        <v>60</v>
      </c>
      <c r="D1515">
        <v>52</v>
      </c>
      <c r="E1515" t="s">
        <v>128</v>
      </c>
      <c r="F1515" s="12">
        <v>45560</v>
      </c>
      <c r="G1515" t="s">
        <v>1970</v>
      </c>
      <c r="H1515" s="12">
        <v>45560</v>
      </c>
      <c r="I1515" t="s">
        <v>1768</v>
      </c>
      <c r="J1515" t="s">
        <v>458</v>
      </c>
      <c r="K1515">
        <v>2</v>
      </c>
      <c r="L1515">
        <v>60.1</v>
      </c>
      <c r="P1515" t="s">
        <v>106</v>
      </c>
      <c r="Q1515" t="s">
        <v>106</v>
      </c>
      <c r="R1515" t="s">
        <v>106</v>
      </c>
      <c r="S1515" t="s">
        <v>106</v>
      </c>
      <c r="T1515" t="s">
        <v>1951</v>
      </c>
      <c r="U1515" t="s">
        <v>703</v>
      </c>
      <c r="V1515" t="s">
        <v>106</v>
      </c>
      <c r="W1515" t="s">
        <v>443</v>
      </c>
      <c r="X1515" t="s">
        <v>106</v>
      </c>
      <c r="Y1515" t="s">
        <v>108</v>
      </c>
      <c r="Z1515" t="s">
        <v>104</v>
      </c>
      <c r="AA1515" t="s">
        <v>106</v>
      </c>
      <c r="AB1515" t="s">
        <v>106</v>
      </c>
    </row>
    <row r="1516" spans="1:28" x14ac:dyDescent="0.3">
      <c r="A1516" t="s">
        <v>1460</v>
      </c>
      <c r="B1516">
        <v>4</v>
      </c>
      <c r="C1516">
        <v>60</v>
      </c>
      <c r="D1516">
        <v>58</v>
      </c>
      <c r="E1516" t="s">
        <v>128</v>
      </c>
      <c r="F1516" s="12">
        <v>45560</v>
      </c>
      <c r="G1516" t="s">
        <v>865</v>
      </c>
      <c r="H1516" s="12">
        <v>45560</v>
      </c>
      <c r="I1516" t="s">
        <v>377</v>
      </c>
      <c r="J1516" t="s">
        <v>1363</v>
      </c>
      <c r="K1516">
        <v>2</v>
      </c>
      <c r="L1516">
        <v>60.6</v>
      </c>
      <c r="P1516" t="s">
        <v>106</v>
      </c>
      <c r="Q1516" t="s">
        <v>106</v>
      </c>
      <c r="R1516" t="s">
        <v>106</v>
      </c>
      <c r="S1516" t="s">
        <v>106</v>
      </c>
      <c r="T1516" t="s">
        <v>1885</v>
      </c>
      <c r="U1516" t="s">
        <v>1651</v>
      </c>
      <c r="V1516" t="s">
        <v>106</v>
      </c>
      <c r="W1516" t="s">
        <v>443</v>
      </c>
      <c r="X1516" t="s">
        <v>106</v>
      </c>
      <c r="Y1516" t="s">
        <v>108</v>
      </c>
      <c r="Z1516" t="s">
        <v>104</v>
      </c>
      <c r="AA1516" t="s">
        <v>106</v>
      </c>
      <c r="AB1516" t="s">
        <v>106</v>
      </c>
    </row>
    <row r="1517" spans="1:28" x14ac:dyDescent="0.3">
      <c r="A1517" t="s">
        <v>1460</v>
      </c>
      <c r="B1517">
        <v>4</v>
      </c>
      <c r="C1517">
        <v>60</v>
      </c>
      <c r="D1517">
        <v>70</v>
      </c>
      <c r="E1517" t="s">
        <v>128</v>
      </c>
      <c r="F1517" s="12">
        <v>45560</v>
      </c>
      <c r="G1517" t="s">
        <v>1551</v>
      </c>
      <c r="H1517" s="12">
        <v>45560</v>
      </c>
      <c r="I1517" t="s">
        <v>2082</v>
      </c>
      <c r="J1517" t="s">
        <v>1363</v>
      </c>
      <c r="K1517">
        <v>2</v>
      </c>
      <c r="L1517">
        <v>63.1</v>
      </c>
      <c r="P1517" t="s">
        <v>106</v>
      </c>
      <c r="Q1517" t="s">
        <v>106</v>
      </c>
      <c r="R1517" t="s">
        <v>106</v>
      </c>
      <c r="S1517" t="s">
        <v>106</v>
      </c>
      <c r="T1517" t="s">
        <v>1793</v>
      </c>
      <c r="U1517" t="s">
        <v>427</v>
      </c>
      <c r="V1517" t="s">
        <v>106</v>
      </c>
      <c r="W1517" t="s">
        <v>2015</v>
      </c>
      <c r="X1517" t="s">
        <v>106</v>
      </c>
      <c r="Y1517" t="s">
        <v>108</v>
      </c>
      <c r="Z1517" t="s">
        <v>104</v>
      </c>
      <c r="AA1517" t="s">
        <v>106</v>
      </c>
      <c r="AB1517" t="s">
        <v>106</v>
      </c>
    </row>
    <row r="1518" spans="1:28" x14ac:dyDescent="0.3">
      <c r="A1518" t="s">
        <v>1460</v>
      </c>
      <c r="B1518">
        <v>4</v>
      </c>
      <c r="C1518">
        <v>60</v>
      </c>
      <c r="D1518">
        <v>75</v>
      </c>
      <c r="E1518" t="s">
        <v>128</v>
      </c>
      <c r="F1518" s="12">
        <v>45560</v>
      </c>
      <c r="G1518" t="s">
        <v>2557</v>
      </c>
      <c r="H1518" s="12">
        <v>45560</v>
      </c>
      <c r="I1518" t="s">
        <v>2089</v>
      </c>
      <c r="J1518" t="s">
        <v>1363</v>
      </c>
      <c r="K1518">
        <v>2</v>
      </c>
      <c r="L1518">
        <v>56.3</v>
      </c>
      <c r="P1518" t="s">
        <v>106</v>
      </c>
      <c r="Q1518" t="s">
        <v>106</v>
      </c>
      <c r="R1518" t="s">
        <v>106</v>
      </c>
      <c r="S1518" t="s">
        <v>106</v>
      </c>
      <c r="T1518" t="s">
        <v>1463</v>
      </c>
      <c r="U1518" t="s">
        <v>708</v>
      </c>
      <c r="V1518" t="s">
        <v>106</v>
      </c>
      <c r="W1518" t="s">
        <v>2015</v>
      </c>
      <c r="X1518" t="s">
        <v>106</v>
      </c>
      <c r="Y1518" t="s">
        <v>108</v>
      </c>
      <c r="Z1518" t="s">
        <v>104</v>
      </c>
      <c r="AA1518" t="s">
        <v>106</v>
      </c>
      <c r="AB1518" t="s">
        <v>106</v>
      </c>
    </row>
    <row r="1519" spans="1:28" x14ac:dyDescent="0.3">
      <c r="A1519" t="s">
        <v>1460</v>
      </c>
      <c r="B1519">
        <v>4</v>
      </c>
      <c r="C1519">
        <v>60</v>
      </c>
      <c r="D1519">
        <v>76</v>
      </c>
      <c r="E1519" t="s">
        <v>128</v>
      </c>
      <c r="F1519" s="12">
        <v>45560</v>
      </c>
      <c r="G1519" t="s">
        <v>1566</v>
      </c>
      <c r="H1519" s="12">
        <v>45560</v>
      </c>
      <c r="I1519" t="s">
        <v>2089</v>
      </c>
      <c r="J1519" t="s">
        <v>1363</v>
      </c>
      <c r="K1519">
        <v>2</v>
      </c>
      <c r="L1519">
        <v>62.5</v>
      </c>
      <c r="P1519" t="s">
        <v>106</v>
      </c>
      <c r="Q1519" t="s">
        <v>106</v>
      </c>
      <c r="R1519" t="s">
        <v>106</v>
      </c>
      <c r="S1519" t="s">
        <v>106</v>
      </c>
      <c r="T1519" t="s">
        <v>1808</v>
      </c>
      <c r="U1519" t="s">
        <v>1651</v>
      </c>
      <c r="V1519" t="s">
        <v>106</v>
      </c>
      <c r="W1519" t="s">
        <v>2015</v>
      </c>
      <c r="X1519" t="s">
        <v>106</v>
      </c>
      <c r="Y1519" t="s">
        <v>108</v>
      </c>
      <c r="Z1519" t="s">
        <v>104</v>
      </c>
      <c r="AA1519" t="s">
        <v>106</v>
      </c>
      <c r="AB1519" t="s">
        <v>106</v>
      </c>
    </row>
    <row r="1520" spans="1:28" x14ac:dyDescent="0.3">
      <c r="A1520" t="s">
        <v>1460</v>
      </c>
      <c r="B1520">
        <v>4</v>
      </c>
      <c r="C1520">
        <v>60</v>
      </c>
      <c r="D1520">
        <v>81</v>
      </c>
      <c r="E1520" t="s">
        <v>128</v>
      </c>
      <c r="F1520" s="12">
        <v>45560</v>
      </c>
      <c r="G1520" t="s">
        <v>2718</v>
      </c>
      <c r="H1520" s="12">
        <v>45560</v>
      </c>
      <c r="I1520" t="s">
        <v>2091</v>
      </c>
      <c r="J1520" t="s">
        <v>1363</v>
      </c>
      <c r="K1520">
        <v>2</v>
      </c>
      <c r="L1520">
        <v>58.4</v>
      </c>
      <c r="P1520" t="s">
        <v>106</v>
      </c>
      <c r="Q1520" t="s">
        <v>106</v>
      </c>
      <c r="R1520" t="s">
        <v>106</v>
      </c>
      <c r="S1520" t="s">
        <v>106</v>
      </c>
      <c r="T1520" t="s">
        <v>1459</v>
      </c>
      <c r="U1520" t="s">
        <v>1591</v>
      </c>
      <c r="V1520" t="s">
        <v>106</v>
      </c>
      <c r="W1520" t="s">
        <v>2015</v>
      </c>
      <c r="X1520" t="s">
        <v>106</v>
      </c>
      <c r="Y1520" t="s">
        <v>108</v>
      </c>
      <c r="Z1520" t="s">
        <v>104</v>
      </c>
      <c r="AA1520" t="s">
        <v>106</v>
      </c>
      <c r="AB1520" t="s">
        <v>106</v>
      </c>
    </row>
    <row r="1521" spans="1:28" x14ac:dyDescent="0.3">
      <c r="A1521" t="s">
        <v>1460</v>
      </c>
      <c r="B1521">
        <v>4</v>
      </c>
      <c r="C1521">
        <v>60</v>
      </c>
      <c r="D1521">
        <v>82</v>
      </c>
      <c r="E1521" t="s">
        <v>128</v>
      </c>
      <c r="F1521" s="12">
        <v>45560</v>
      </c>
      <c r="G1521" t="s">
        <v>2718</v>
      </c>
      <c r="H1521" s="12">
        <v>45560</v>
      </c>
      <c r="I1521" t="s">
        <v>2091</v>
      </c>
      <c r="J1521" t="s">
        <v>1363</v>
      </c>
      <c r="K1521">
        <v>2</v>
      </c>
      <c r="L1521">
        <v>59.4</v>
      </c>
      <c r="P1521" t="s">
        <v>106</v>
      </c>
      <c r="Q1521" t="s">
        <v>106</v>
      </c>
      <c r="R1521" t="s">
        <v>106</v>
      </c>
      <c r="S1521" t="s">
        <v>106</v>
      </c>
      <c r="T1521" t="s">
        <v>1791</v>
      </c>
      <c r="U1521" t="s">
        <v>1359</v>
      </c>
      <c r="V1521" t="s">
        <v>106</v>
      </c>
      <c r="W1521" t="s">
        <v>2015</v>
      </c>
      <c r="X1521" t="s">
        <v>106</v>
      </c>
      <c r="Y1521" t="s">
        <v>108</v>
      </c>
      <c r="Z1521" t="s">
        <v>104</v>
      </c>
      <c r="AA1521" t="s">
        <v>106</v>
      </c>
      <c r="AB1521" t="s">
        <v>106</v>
      </c>
    </row>
    <row r="1522" spans="1:28" x14ac:dyDescent="0.3">
      <c r="A1522" t="s">
        <v>1460</v>
      </c>
      <c r="B1522">
        <v>4</v>
      </c>
      <c r="C1522">
        <v>60</v>
      </c>
      <c r="D1522">
        <v>53</v>
      </c>
      <c r="E1522" t="s">
        <v>128</v>
      </c>
      <c r="F1522" s="12">
        <v>45560</v>
      </c>
      <c r="G1522" t="s">
        <v>2070</v>
      </c>
      <c r="H1522" s="12">
        <v>45560</v>
      </c>
      <c r="I1522" t="s">
        <v>1768</v>
      </c>
      <c r="J1522" t="s">
        <v>458</v>
      </c>
      <c r="K1522">
        <v>2</v>
      </c>
      <c r="L1522">
        <v>64.8</v>
      </c>
      <c r="P1522" t="s">
        <v>106</v>
      </c>
      <c r="Q1522" t="s">
        <v>106</v>
      </c>
      <c r="R1522" t="s">
        <v>106</v>
      </c>
      <c r="S1522" t="s">
        <v>106</v>
      </c>
      <c r="T1522" t="s">
        <v>1409</v>
      </c>
      <c r="U1522" t="s">
        <v>395</v>
      </c>
      <c r="V1522" t="s">
        <v>106</v>
      </c>
      <c r="W1522" t="s">
        <v>443</v>
      </c>
      <c r="X1522" t="s">
        <v>106</v>
      </c>
      <c r="Y1522" t="s">
        <v>108</v>
      </c>
      <c r="Z1522" t="s">
        <v>104</v>
      </c>
      <c r="AA1522" t="s">
        <v>106</v>
      </c>
      <c r="AB1522" t="s">
        <v>106</v>
      </c>
    </row>
    <row r="1523" spans="1:28" x14ac:dyDescent="0.3">
      <c r="A1523" t="s">
        <v>1460</v>
      </c>
      <c r="B1523">
        <v>2</v>
      </c>
      <c r="C1523">
        <v>15</v>
      </c>
      <c r="D1523">
        <v>103</v>
      </c>
      <c r="E1523" t="s">
        <v>128</v>
      </c>
      <c r="F1523" s="12">
        <v>45561</v>
      </c>
      <c r="G1523" t="s">
        <v>2092</v>
      </c>
      <c r="H1523" s="12">
        <v>45561</v>
      </c>
      <c r="I1523" t="s">
        <v>1179</v>
      </c>
      <c r="J1523" t="s">
        <v>1363</v>
      </c>
      <c r="K1523">
        <v>2</v>
      </c>
      <c r="L1523">
        <v>15.1</v>
      </c>
      <c r="P1523" t="s">
        <v>106</v>
      </c>
      <c r="Q1523" t="s">
        <v>106</v>
      </c>
      <c r="R1523" t="s">
        <v>106</v>
      </c>
      <c r="S1523" t="s">
        <v>106</v>
      </c>
      <c r="T1523" t="s">
        <v>1235</v>
      </c>
      <c r="U1523" t="s">
        <v>1418</v>
      </c>
      <c r="V1523" t="s">
        <v>106</v>
      </c>
      <c r="W1523" t="s">
        <v>2015</v>
      </c>
      <c r="X1523" t="s">
        <v>106</v>
      </c>
      <c r="Y1523" t="s">
        <v>108</v>
      </c>
      <c r="Z1523" t="s">
        <v>109</v>
      </c>
      <c r="AA1523" t="s">
        <v>2076</v>
      </c>
      <c r="AB1523" t="s">
        <v>106</v>
      </c>
    </row>
    <row r="1524" spans="1:28" x14ac:dyDescent="0.3">
      <c r="A1524" t="s">
        <v>1460</v>
      </c>
      <c r="B1524">
        <v>2</v>
      </c>
      <c r="C1524">
        <v>15</v>
      </c>
      <c r="D1524">
        <v>92</v>
      </c>
      <c r="E1524" t="s">
        <v>128</v>
      </c>
      <c r="F1524" s="12">
        <v>45561</v>
      </c>
      <c r="G1524" t="s">
        <v>400</v>
      </c>
      <c r="H1524" s="12">
        <v>45561</v>
      </c>
      <c r="I1524" t="s">
        <v>1051</v>
      </c>
      <c r="J1524" t="s">
        <v>459</v>
      </c>
      <c r="K1524">
        <v>2</v>
      </c>
      <c r="L1524">
        <v>14.9</v>
      </c>
      <c r="P1524" t="s">
        <v>106</v>
      </c>
      <c r="Q1524" t="s">
        <v>106</v>
      </c>
      <c r="R1524" t="s">
        <v>106</v>
      </c>
      <c r="S1524" t="s">
        <v>106</v>
      </c>
      <c r="T1524" t="s">
        <v>1589</v>
      </c>
      <c r="U1524" t="s">
        <v>677</v>
      </c>
      <c r="V1524" t="s">
        <v>106</v>
      </c>
      <c r="W1524" t="s">
        <v>443</v>
      </c>
      <c r="X1524" t="s">
        <v>106</v>
      </c>
      <c r="Y1524" t="s">
        <v>108</v>
      </c>
      <c r="Z1524" t="s">
        <v>109</v>
      </c>
      <c r="AA1524" t="s">
        <v>2093</v>
      </c>
      <c r="AB1524" t="s">
        <v>106</v>
      </c>
    </row>
    <row r="1525" spans="1:28" x14ac:dyDescent="0.3">
      <c r="A1525" t="s">
        <v>1460</v>
      </c>
      <c r="B1525">
        <v>2</v>
      </c>
      <c r="C1525">
        <v>15</v>
      </c>
      <c r="D1525">
        <v>91</v>
      </c>
      <c r="E1525" t="s">
        <v>128</v>
      </c>
      <c r="F1525" s="12">
        <v>45561</v>
      </c>
      <c r="G1525" t="s">
        <v>400</v>
      </c>
      <c r="H1525" s="12">
        <v>45561</v>
      </c>
      <c r="I1525" t="s">
        <v>1051</v>
      </c>
      <c r="J1525" t="s">
        <v>459</v>
      </c>
      <c r="K1525">
        <v>2</v>
      </c>
      <c r="L1525">
        <v>17.100000000000001</v>
      </c>
      <c r="P1525" t="s">
        <v>106</v>
      </c>
      <c r="Q1525" t="s">
        <v>106</v>
      </c>
      <c r="R1525" t="s">
        <v>106</v>
      </c>
      <c r="S1525" t="s">
        <v>106</v>
      </c>
      <c r="T1525" t="s">
        <v>1822</v>
      </c>
      <c r="U1525" t="s">
        <v>1780</v>
      </c>
      <c r="V1525" t="s">
        <v>106</v>
      </c>
      <c r="W1525" t="s">
        <v>443</v>
      </c>
      <c r="X1525" t="s">
        <v>106</v>
      </c>
      <c r="Y1525" t="s">
        <v>108</v>
      </c>
      <c r="Z1525" t="s">
        <v>109</v>
      </c>
      <c r="AA1525" t="s">
        <v>2093</v>
      </c>
      <c r="AB1525" t="s">
        <v>106</v>
      </c>
    </row>
    <row r="1526" spans="1:28" x14ac:dyDescent="0.3">
      <c r="A1526" t="s">
        <v>1460</v>
      </c>
      <c r="B1526">
        <v>2</v>
      </c>
      <c r="C1526">
        <v>15</v>
      </c>
      <c r="D1526">
        <v>86</v>
      </c>
      <c r="E1526" t="s">
        <v>128</v>
      </c>
      <c r="F1526" s="12">
        <v>45561</v>
      </c>
      <c r="G1526" t="s">
        <v>1797</v>
      </c>
      <c r="H1526" s="12">
        <v>45561</v>
      </c>
      <c r="I1526" t="s">
        <v>566</v>
      </c>
      <c r="J1526" t="s">
        <v>458</v>
      </c>
      <c r="K1526">
        <v>2</v>
      </c>
      <c r="L1526">
        <v>17.899999999999999</v>
      </c>
      <c r="P1526" t="s">
        <v>106</v>
      </c>
      <c r="Q1526" t="s">
        <v>106</v>
      </c>
      <c r="R1526" t="s">
        <v>106</v>
      </c>
      <c r="S1526" t="s">
        <v>106</v>
      </c>
      <c r="T1526" t="s">
        <v>1808</v>
      </c>
      <c r="U1526" t="s">
        <v>106</v>
      </c>
      <c r="V1526" t="s">
        <v>106</v>
      </c>
      <c r="W1526" t="s">
        <v>443</v>
      </c>
      <c r="X1526" t="s">
        <v>106</v>
      </c>
      <c r="Y1526" t="s">
        <v>108</v>
      </c>
      <c r="Z1526" t="s">
        <v>109</v>
      </c>
      <c r="AA1526" t="s">
        <v>2076</v>
      </c>
      <c r="AB1526" t="s">
        <v>106</v>
      </c>
    </row>
    <row r="1527" spans="1:28" x14ac:dyDescent="0.3">
      <c r="A1527" t="s">
        <v>1460</v>
      </c>
      <c r="B1527">
        <v>2</v>
      </c>
      <c r="C1527">
        <v>15</v>
      </c>
      <c r="D1527">
        <v>85</v>
      </c>
      <c r="E1527" t="s">
        <v>128</v>
      </c>
      <c r="F1527" s="12">
        <v>45561</v>
      </c>
      <c r="G1527" t="s">
        <v>1797</v>
      </c>
      <c r="H1527" s="12">
        <v>45561</v>
      </c>
      <c r="I1527" t="s">
        <v>566</v>
      </c>
      <c r="J1527" t="s">
        <v>458</v>
      </c>
      <c r="K1527">
        <v>2</v>
      </c>
      <c r="L1527">
        <v>17.5</v>
      </c>
      <c r="P1527" t="s">
        <v>106</v>
      </c>
      <c r="Q1527" t="s">
        <v>106</v>
      </c>
      <c r="R1527" t="s">
        <v>106</v>
      </c>
      <c r="S1527" t="s">
        <v>106</v>
      </c>
      <c r="T1527" t="s">
        <v>1016</v>
      </c>
      <c r="U1527" t="s">
        <v>106</v>
      </c>
      <c r="V1527" t="s">
        <v>106</v>
      </c>
      <c r="W1527" t="s">
        <v>443</v>
      </c>
      <c r="X1527" t="s">
        <v>106</v>
      </c>
      <c r="Y1527" t="s">
        <v>108</v>
      </c>
      <c r="Z1527" t="s">
        <v>109</v>
      </c>
      <c r="AA1527" t="s">
        <v>2076</v>
      </c>
      <c r="AB1527" t="s">
        <v>106</v>
      </c>
    </row>
    <row r="1528" spans="1:28" x14ac:dyDescent="0.3">
      <c r="A1528" t="s">
        <v>1460</v>
      </c>
      <c r="B1528">
        <v>2</v>
      </c>
      <c r="C1528">
        <v>15</v>
      </c>
      <c r="D1528">
        <v>96</v>
      </c>
      <c r="E1528" t="s">
        <v>128</v>
      </c>
      <c r="F1528" s="12">
        <v>45561</v>
      </c>
      <c r="G1528" t="s">
        <v>2094</v>
      </c>
      <c r="H1528" s="12">
        <v>45561</v>
      </c>
      <c r="I1528" t="s">
        <v>582</v>
      </c>
      <c r="J1528" t="s">
        <v>1363</v>
      </c>
      <c r="K1528">
        <v>2</v>
      </c>
      <c r="L1528">
        <v>17.8</v>
      </c>
      <c r="P1528" t="s">
        <v>106</v>
      </c>
      <c r="Q1528" t="s">
        <v>106</v>
      </c>
      <c r="R1528" t="s">
        <v>106</v>
      </c>
      <c r="S1528" t="s">
        <v>106</v>
      </c>
      <c r="T1528" t="s">
        <v>2095</v>
      </c>
      <c r="U1528" t="s">
        <v>2096</v>
      </c>
      <c r="V1528" t="s">
        <v>106</v>
      </c>
      <c r="W1528" t="s">
        <v>443</v>
      </c>
      <c r="X1528" t="s">
        <v>106</v>
      </c>
      <c r="Y1528" t="s">
        <v>108</v>
      </c>
      <c r="Z1528" t="s">
        <v>109</v>
      </c>
      <c r="AA1528" t="s">
        <v>2076</v>
      </c>
      <c r="AB1528" t="s">
        <v>106</v>
      </c>
    </row>
    <row r="1529" spans="1:28" x14ac:dyDescent="0.3">
      <c r="A1529" t="s">
        <v>1460</v>
      </c>
      <c r="B1529">
        <v>2</v>
      </c>
      <c r="C1529">
        <v>15</v>
      </c>
      <c r="D1529">
        <v>95</v>
      </c>
      <c r="E1529" t="s">
        <v>128</v>
      </c>
      <c r="F1529" s="12">
        <v>45561</v>
      </c>
      <c r="G1529" t="s">
        <v>866</v>
      </c>
      <c r="H1529" s="12">
        <v>45561</v>
      </c>
      <c r="I1529" t="s">
        <v>582</v>
      </c>
      <c r="J1529" t="s">
        <v>1363</v>
      </c>
      <c r="K1529">
        <v>2</v>
      </c>
      <c r="L1529">
        <v>16.2</v>
      </c>
      <c r="P1529" t="s">
        <v>106</v>
      </c>
      <c r="Q1529" t="s">
        <v>106</v>
      </c>
      <c r="R1529" t="s">
        <v>106</v>
      </c>
      <c r="S1529" t="s">
        <v>106</v>
      </c>
      <c r="T1529" t="s">
        <v>2095</v>
      </c>
      <c r="U1529" t="s">
        <v>429</v>
      </c>
      <c r="V1529" t="s">
        <v>106</v>
      </c>
      <c r="W1529" t="s">
        <v>443</v>
      </c>
      <c r="X1529" t="s">
        <v>106</v>
      </c>
      <c r="Y1529" t="s">
        <v>108</v>
      </c>
      <c r="Z1529" t="s">
        <v>109</v>
      </c>
      <c r="AA1529" t="s">
        <v>2076</v>
      </c>
      <c r="AB1529" t="s">
        <v>106</v>
      </c>
    </row>
    <row r="1530" spans="1:28" x14ac:dyDescent="0.3">
      <c r="A1530" t="s">
        <v>1460</v>
      </c>
      <c r="B1530">
        <v>2</v>
      </c>
      <c r="C1530">
        <v>15</v>
      </c>
      <c r="D1530">
        <v>104</v>
      </c>
      <c r="E1530" t="s">
        <v>128</v>
      </c>
      <c r="F1530" s="12">
        <v>45561</v>
      </c>
      <c r="G1530" t="s">
        <v>2092</v>
      </c>
      <c r="H1530" s="12">
        <v>45561</v>
      </c>
      <c r="I1530" t="s">
        <v>1179</v>
      </c>
      <c r="J1530" t="s">
        <v>1363</v>
      </c>
      <c r="K1530">
        <v>2</v>
      </c>
      <c r="L1530">
        <v>14.1</v>
      </c>
      <c r="P1530" t="s">
        <v>106</v>
      </c>
      <c r="Q1530" t="s">
        <v>106</v>
      </c>
      <c r="R1530" t="s">
        <v>106</v>
      </c>
      <c r="S1530" t="s">
        <v>106</v>
      </c>
      <c r="T1530" t="s">
        <v>1145</v>
      </c>
      <c r="U1530" t="s">
        <v>725</v>
      </c>
      <c r="V1530" t="s">
        <v>106</v>
      </c>
      <c r="W1530" t="s">
        <v>2015</v>
      </c>
      <c r="X1530" t="s">
        <v>106</v>
      </c>
      <c r="Y1530" t="s">
        <v>108</v>
      </c>
      <c r="Z1530" t="s">
        <v>109</v>
      </c>
      <c r="AA1530" t="s">
        <v>2076</v>
      </c>
      <c r="AB1530" t="s">
        <v>106</v>
      </c>
    </row>
    <row r="1531" spans="1:28" x14ac:dyDescent="0.3">
      <c r="A1531" t="s">
        <v>1460</v>
      </c>
      <c r="B1531">
        <v>2</v>
      </c>
      <c r="C1531">
        <v>15</v>
      </c>
      <c r="D1531">
        <v>109</v>
      </c>
      <c r="E1531" t="s">
        <v>128</v>
      </c>
      <c r="F1531" s="12">
        <v>45561</v>
      </c>
      <c r="G1531" t="s">
        <v>2097</v>
      </c>
      <c r="H1531" s="12">
        <v>45561</v>
      </c>
      <c r="I1531" t="s">
        <v>2098</v>
      </c>
      <c r="J1531" t="s">
        <v>1363</v>
      </c>
      <c r="K1531">
        <v>2</v>
      </c>
      <c r="L1531">
        <v>15.7</v>
      </c>
      <c r="P1531" t="s">
        <v>106</v>
      </c>
      <c r="Q1531" t="s">
        <v>106</v>
      </c>
      <c r="R1531" t="s">
        <v>106</v>
      </c>
      <c r="S1531" t="s">
        <v>106</v>
      </c>
      <c r="T1531" t="s">
        <v>993</v>
      </c>
      <c r="U1531" t="s">
        <v>395</v>
      </c>
      <c r="V1531" t="s">
        <v>106</v>
      </c>
      <c r="W1531" t="s">
        <v>2015</v>
      </c>
      <c r="X1531" t="s">
        <v>106</v>
      </c>
      <c r="Y1531" t="s">
        <v>108</v>
      </c>
      <c r="Z1531" t="s">
        <v>109</v>
      </c>
      <c r="AA1531" t="s">
        <v>2076</v>
      </c>
      <c r="AB1531" t="s">
        <v>106</v>
      </c>
    </row>
    <row r="1532" spans="1:28" x14ac:dyDescent="0.3">
      <c r="A1532" t="s">
        <v>1460</v>
      </c>
      <c r="B1532">
        <v>2</v>
      </c>
      <c r="C1532">
        <v>15</v>
      </c>
      <c r="D1532">
        <v>110</v>
      </c>
      <c r="E1532" t="s">
        <v>128</v>
      </c>
      <c r="F1532" s="12">
        <v>45561</v>
      </c>
      <c r="G1532" t="s">
        <v>2097</v>
      </c>
      <c r="H1532" s="12">
        <v>45561</v>
      </c>
      <c r="I1532" t="s">
        <v>2098</v>
      </c>
      <c r="J1532" t="s">
        <v>1363</v>
      </c>
      <c r="K1532">
        <v>2</v>
      </c>
      <c r="L1532">
        <v>15.9</v>
      </c>
      <c r="P1532" t="s">
        <v>106</v>
      </c>
      <c r="Q1532" t="s">
        <v>106</v>
      </c>
      <c r="R1532" t="s">
        <v>106</v>
      </c>
      <c r="S1532" t="s">
        <v>106</v>
      </c>
      <c r="T1532" t="s">
        <v>1158</v>
      </c>
      <c r="U1532" t="s">
        <v>1651</v>
      </c>
      <c r="V1532" t="s">
        <v>106</v>
      </c>
      <c r="W1532" t="s">
        <v>2015</v>
      </c>
      <c r="X1532" t="s">
        <v>106</v>
      </c>
      <c r="Y1532" t="s">
        <v>108</v>
      </c>
      <c r="Z1532" t="s">
        <v>109</v>
      </c>
      <c r="AA1532" t="s">
        <v>2076</v>
      </c>
      <c r="AB1532" t="s">
        <v>106</v>
      </c>
    </row>
    <row r="1533" spans="1:28" x14ac:dyDescent="0.3">
      <c r="A1533" t="s">
        <v>1460</v>
      </c>
      <c r="B1533">
        <v>3</v>
      </c>
      <c r="C1533">
        <v>35</v>
      </c>
      <c r="D1533">
        <v>101</v>
      </c>
      <c r="E1533" t="s">
        <v>128</v>
      </c>
      <c r="F1533" s="12">
        <v>45561</v>
      </c>
      <c r="G1533" t="s">
        <v>2124</v>
      </c>
      <c r="H1533" s="12">
        <v>45561</v>
      </c>
      <c r="I1533" t="s">
        <v>1179</v>
      </c>
      <c r="J1533" t="s">
        <v>1363</v>
      </c>
      <c r="K1533">
        <v>2</v>
      </c>
      <c r="L1533">
        <v>34.6</v>
      </c>
      <c r="P1533" t="s">
        <v>106</v>
      </c>
      <c r="Q1533" t="s">
        <v>106</v>
      </c>
      <c r="R1533" t="s">
        <v>106</v>
      </c>
      <c r="S1533" t="s">
        <v>106</v>
      </c>
      <c r="T1533" t="s">
        <v>750</v>
      </c>
      <c r="U1533" t="s">
        <v>361</v>
      </c>
      <c r="V1533" t="s">
        <v>106</v>
      </c>
      <c r="W1533" t="s">
        <v>2015</v>
      </c>
      <c r="X1533" t="s">
        <v>106</v>
      </c>
      <c r="Y1533" t="s">
        <v>108</v>
      </c>
      <c r="Z1533" t="s">
        <v>108</v>
      </c>
      <c r="AA1533" t="s">
        <v>2076</v>
      </c>
      <c r="AB1533" t="s">
        <v>106</v>
      </c>
    </row>
    <row r="1534" spans="1:28" x14ac:dyDescent="0.3">
      <c r="A1534" t="s">
        <v>1460</v>
      </c>
      <c r="B1534">
        <v>3</v>
      </c>
      <c r="C1534">
        <v>35</v>
      </c>
      <c r="D1534">
        <v>98</v>
      </c>
      <c r="E1534" t="s">
        <v>128</v>
      </c>
      <c r="F1534" s="12">
        <v>45561</v>
      </c>
      <c r="G1534" t="s">
        <v>2104</v>
      </c>
      <c r="H1534" s="12">
        <v>45561</v>
      </c>
      <c r="I1534" t="s">
        <v>582</v>
      </c>
      <c r="J1534" t="s">
        <v>1363</v>
      </c>
      <c r="K1534">
        <v>2</v>
      </c>
      <c r="L1534">
        <v>36</v>
      </c>
      <c r="P1534" t="s">
        <v>106</v>
      </c>
      <c r="Q1534" t="s">
        <v>106</v>
      </c>
      <c r="R1534" t="s">
        <v>106</v>
      </c>
      <c r="S1534" t="s">
        <v>106</v>
      </c>
      <c r="T1534" t="s">
        <v>502</v>
      </c>
      <c r="U1534" t="s">
        <v>429</v>
      </c>
      <c r="V1534" t="s">
        <v>106</v>
      </c>
      <c r="W1534" t="s">
        <v>443</v>
      </c>
      <c r="X1534" t="s">
        <v>106</v>
      </c>
      <c r="Y1534" t="s">
        <v>108</v>
      </c>
      <c r="Z1534" t="s">
        <v>108</v>
      </c>
      <c r="AA1534" t="s">
        <v>2076</v>
      </c>
      <c r="AB1534" t="s">
        <v>106</v>
      </c>
    </row>
    <row r="1535" spans="1:28" x14ac:dyDescent="0.3">
      <c r="A1535" t="s">
        <v>1460</v>
      </c>
      <c r="B1535">
        <v>3</v>
      </c>
      <c r="C1535">
        <v>35</v>
      </c>
      <c r="D1535">
        <v>97</v>
      </c>
      <c r="E1535" t="s">
        <v>128</v>
      </c>
      <c r="F1535" s="12">
        <v>45561</v>
      </c>
      <c r="G1535" t="s">
        <v>2104</v>
      </c>
      <c r="H1535" s="12">
        <v>45561</v>
      </c>
      <c r="I1535" t="s">
        <v>582</v>
      </c>
      <c r="J1535" t="s">
        <v>1363</v>
      </c>
      <c r="K1535">
        <v>2</v>
      </c>
      <c r="L1535">
        <v>36.700000000000003</v>
      </c>
      <c r="P1535" t="s">
        <v>106</v>
      </c>
      <c r="Q1535" t="s">
        <v>106</v>
      </c>
      <c r="R1535" t="s">
        <v>106</v>
      </c>
      <c r="S1535" t="s">
        <v>106</v>
      </c>
      <c r="T1535" t="s">
        <v>2013</v>
      </c>
      <c r="U1535" t="s">
        <v>1382</v>
      </c>
      <c r="V1535" t="s">
        <v>106</v>
      </c>
      <c r="W1535" t="s">
        <v>443</v>
      </c>
      <c r="X1535" t="s">
        <v>106</v>
      </c>
      <c r="Y1535" t="s">
        <v>108</v>
      </c>
      <c r="Z1535" t="s">
        <v>108</v>
      </c>
      <c r="AA1535" t="s">
        <v>2076</v>
      </c>
      <c r="AB1535" t="s">
        <v>106</v>
      </c>
    </row>
    <row r="1536" spans="1:28" x14ac:dyDescent="0.3">
      <c r="A1536" t="s">
        <v>1460</v>
      </c>
      <c r="B1536">
        <v>3</v>
      </c>
      <c r="C1536">
        <v>35</v>
      </c>
      <c r="D1536">
        <v>84</v>
      </c>
      <c r="E1536" t="s">
        <v>128</v>
      </c>
      <c r="F1536" s="12">
        <v>45561</v>
      </c>
      <c r="G1536" t="s">
        <v>1028</v>
      </c>
      <c r="H1536" s="12">
        <v>45561</v>
      </c>
      <c r="I1536" t="s">
        <v>566</v>
      </c>
      <c r="J1536" t="s">
        <v>458</v>
      </c>
      <c r="K1536">
        <v>2</v>
      </c>
      <c r="L1536">
        <v>35.700000000000003</v>
      </c>
      <c r="P1536" t="s">
        <v>106</v>
      </c>
      <c r="Q1536" t="s">
        <v>106</v>
      </c>
      <c r="R1536" t="s">
        <v>106</v>
      </c>
      <c r="S1536" t="s">
        <v>106</v>
      </c>
      <c r="T1536" t="s">
        <v>609</v>
      </c>
      <c r="U1536" t="s">
        <v>106</v>
      </c>
      <c r="V1536" t="s">
        <v>106</v>
      </c>
      <c r="W1536" t="s">
        <v>443</v>
      </c>
      <c r="X1536" t="s">
        <v>106</v>
      </c>
      <c r="Y1536" t="s">
        <v>108</v>
      </c>
      <c r="Z1536" t="s">
        <v>108</v>
      </c>
      <c r="AA1536" t="s">
        <v>2076</v>
      </c>
      <c r="AB1536" t="s">
        <v>106</v>
      </c>
    </row>
    <row r="1537" spans="1:28" x14ac:dyDescent="0.3">
      <c r="A1537" t="s">
        <v>1460</v>
      </c>
      <c r="B1537">
        <v>3</v>
      </c>
      <c r="C1537">
        <v>35</v>
      </c>
      <c r="D1537">
        <v>89</v>
      </c>
      <c r="E1537" t="s">
        <v>128</v>
      </c>
      <c r="F1537" s="12">
        <v>45561</v>
      </c>
      <c r="G1537" t="s">
        <v>648</v>
      </c>
      <c r="H1537" s="12">
        <v>45561</v>
      </c>
      <c r="I1537" t="s">
        <v>1051</v>
      </c>
      <c r="J1537" t="s">
        <v>459</v>
      </c>
      <c r="K1537">
        <v>2</v>
      </c>
      <c r="L1537">
        <v>37.4</v>
      </c>
      <c r="P1537" t="s">
        <v>106</v>
      </c>
      <c r="Q1537" t="s">
        <v>106</v>
      </c>
      <c r="R1537" t="s">
        <v>106</v>
      </c>
      <c r="S1537" t="s">
        <v>106</v>
      </c>
      <c r="T1537" t="s">
        <v>1022</v>
      </c>
      <c r="U1537" t="s">
        <v>1468</v>
      </c>
      <c r="V1537" t="s">
        <v>106</v>
      </c>
      <c r="W1537" t="s">
        <v>443</v>
      </c>
      <c r="X1537" t="s">
        <v>106</v>
      </c>
      <c r="Y1537" t="s">
        <v>108</v>
      </c>
      <c r="Z1537" t="s">
        <v>108</v>
      </c>
      <c r="AA1537" t="s">
        <v>2503</v>
      </c>
      <c r="AB1537" t="s">
        <v>106</v>
      </c>
    </row>
    <row r="1538" spans="1:28" x14ac:dyDescent="0.3">
      <c r="A1538" t="s">
        <v>1460</v>
      </c>
      <c r="B1538">
        <v>3</v>
      </c>
      <c r="C1538">
        <v>35</v>
      </c>
      <c r="D1538">
        <v>83</v>
      </c>
      <c r="E1538" t="s">
        <v>128</v>
      </c>
      <c r="F1538" s="12">
        <v>45561</v>
      </c>
      <c r="G1538" t="s">
        <v>1028</v>
      </c>
      <c r="H1538" s="12">
        <v>45561</v>
      </c>
      <c r="I1538" t="s">
        <v>566</v>
      </c>
      <c r="J1538" t="s">
        <v>458</v>
      </c>
      <c r="K1538">
        <v>2</v>
      </c>
      <c r="L1538">
        <v>35.5</v>
      </c>
      <c r="P1538" t="s">
        <v>106</v>
      </c>
      <c r="Q1538" t="s">
        <v>106</v>
      </c>
      <c r="R1538" t="s">
        <v>106</v>
      </c>
      <c r="S1538" t="s">
        <v>106</v>
      </c>
      <c r="T1538" t="s">
        <v>2418</v>
      </c>
      <c r="U1538" t="s">
        <v>106</v>
      </c>
      <c r="V1538" t="s">
        <v>106</v>
      </c>
      <c r="W1538" t="s">
        <v>443</v>
      </c>
      <c r="X1538" t="s">
        <v>106</v>
      </c>
      <c r="Y1538" t="s">
        <v>108</v>
      </c>
      <c r="Z1538" t="s">
        <v>108</v>
      </c>
      <c r="AA1538" t="s">
        <v>2076</v>
      </c>
      <c r="AB1538" t="s">
        <v>106</v>
      </c>
    </row>
    <row r="1539" spans="1:28" x14ac:dyDescent="0.3">
      <c r="A1539" t="s">
        <v>1460</v>
      </c>
      <c r="B1539">
        <v>3</v>
      </c>
      <c r="C1539">
        <v>35</v>
      </c>
      <c r="D1539">
        <v>107</v>
      </c>
      <c r="E1539" t="s">
        <v>128</v>
      </c>
      <c r="F1539" s="12">
        <v>45561</v>
      </c>
      <c r="G1539" t="s">
        <v>2504</v>
      </c>
      <c r="H1539" s="12">
        <v>45561</v>
      </c>
      <c r="I1539" t="s">
        <v>2098</v>
      </c>
      <c r="J1539" t="s">
        <v>1363</v>
      </c>
      <c r="K1539">
        <v>2</v>
      </c>
      <c r="L1539">
        <v>35.4</v>
      </c>
      <c r="P1539" t="s">
        <v>106</v>
      </c>
      <c r="Q1539" t="s">
        <v>106</v>
      </c>
      <c r="R1539" t="s">
        <v>106</v>
      </c>
      <c r="S1539" t="s">
        <v>106</v>
      </c>
      <c r="T1539" t="s">
        <v>760</v>
      </c>
      <c r="U1539" t="s">
        <v>1477</v>
      </c>
      <c r="V1539" t="s">
        <v>106</v>
      </c>
      <c r="W1539" t="s">
        <v>2015</v>
      </c>
      <c r="X1539" t="s">
        <v>106</v>
      </c>
      <c r="Y1539" t="s">
        <v>108</v>
      </c>
      <c r="Z1539" t="s">
        <v>108</v>
      </c>
      <c r="AA1539" t="s">
        <v>2076</v>
      </c>
      <c r="AB1539" t="s">
        <v>106</v>
      </c>
    </row>
    <row r="1540" spans="1:28" x14ac:dyDescent="0.3">
      <c r="A1540" t="s">
        <v>1460</v>
      </c>
      <c r="B1540">
        <v>3</v>
      </c>
      <c r="C1540">
        <v>35</v>
      </c>
      <c r="D1540">
        <v>90</v>
      </c>
      <c r="E1540" t="s">
        <v>128</v>
      </c>
      <c r="F1540" s="12">
        <v>45561</v>
      </c>
      <c r="G1540" t="s">
        <v>805</v>
      </c>
      <c r="H1540" s="12">
        <v>45561</v>
      </c>
      <c r="I1540" t="s">
        <v>1051</v>
      </c>
      <c r="J1540" t="s">
        <v>459</v>
      </c>
      <c r="K1540">
        <v>2</v>
      </c>
      <c r="L1540">
        <v>37.299999999999997</v>
      </c>
      <c r="P1540" t="s">
        <v>106</v>
      </c>
      <c r="Q1540" t="s">
        <v>106</v>
      </c>
      <c r="R1540" t="s">
        <v>106</v>
      </c>
      <c r="S1540" t="s">
        <v>106</v>
      </c>
      <c r="T1540" t="s">
        <v>1063</v>
      </c>
      <c r="U1540" t="s">
        <v>1479</v>
      </c>
      <c r="V1540" t="s">
        <v>106</v>
      </c>
      <c r="W1540" t="s">
        <v>443</v>
      </c>
      <c r="X1540" t="s">
        <v>106</v>
      </c>
      <c r="Y1540" t="s">
        <v>108</v>
      </c>
      <c r="Z1540" t="s">
        <v>108</v>
      </c>
      <c r="AA1540" t="s">
        <v>2503</v>
      </c>
      <c r="AB1540" t="s">
        <v>106</v>
      </c>
    </row>
    <row r="1541" spans="1:28" x14ac:dyDescent="0.3">
      <c r="A1541" t="s">
        <v>1460</v>
      </c>
      <c r="B1541">
        <v>3</v>
      </c>
      <c r="C1541">
        <v>35</v>
      </c>
      <c r="D1541">
        <v>108</v>
      </c>
      <c r="E1541" t="s">
        <v>128</v>
      </c>
      <c r="F1541" s="12">
        <v>45561</v>
      </c>
      <c r="G1541" t="s">
        <v>2504</v>
      </c>
      <c r="H1541" s="12">
        <v>45561</v>
      </c>
      <c r="I1541" t="s">
        <v>2098</v>
      </c>
      <c r="J1541" t="s">
        <v>1363</v>
      </c>
      <c r="K1541">
        <v>2</v>
      </c>
      <c r="L1541">
        <v>35.9</v>
      </c>
      <c r="P1541" t="s">
        <v>106</v>
      </c>
      <c r="Q1541" t="s">
        <v>106</v>
      </c>
      <c r="R1541" t="s">
        <v>106</v>
      </c>
      <c r="S1541" t="s">
        <v>106</v>
      </c>
      <c r="T1541" t="s">
        <v>1808</v>
      </c>
      <c r="U1541" t="s">
        <v>1418</v>
      </c>
      <c r="V1541" t="s">
        <v>106</v>
      </c>
      <c r="W1541" t="s">
        <v>2015</v>
      </c>
      <c r="X1541" t="s">
        <v>106</v>
      </c>
      <c r="Y1541" t="s">
        <v>108</v>
      </c>
      <c r="Z1541" t="s">
        <v>108</v>
      </c>
      <c r="AA1541" t="s">
        <v>2076</v>
      </c>
      <c r="AB1541" t="s">
        <v>106</v>
      </c>
    </row>
    <row r="1542" spans="1:28" x14ac:dyDescent="0.3">
      <c r="A1542" t="s">
        <v>1460</v>
      </c>
      <c r="B1542">
        <v>3</v>
      </c>
      <c r="C1542">
        <v>35</v>
      </c>
      <c r="D1542">
        <v>102</v>
      </c>
      <c r="E1542" t="s">
        <v>128</v>
      </c>
      <c r="F1542" s="12">
        <v>45561</v>
      </c>
      <c r="G1542" t="s">
        <v>2124</v>
      </c>
      <c r="H1542" s="12">
        <v>45561</v>
      </c>
      <c r="I1542" t="s">
        <v>1179</v>
      </c>
      <c r="J1542" t="s">
        <v>1363</v>
      </c>
      <c r="K1542">
        <v>2</v>
      </c>
      <c r="L1542">
        <v>35.6</v>
      </c>
      <c r="P1542" t="s">
        <v>106</v>
      </c>
      <c r="Q1542" t="s">
        <v>106</v>
      </c>
      <c r="R1542" t="s">
        <v>106</v>
      </c>
      <c r="S1542" t="s">
        <v>106</v>
      </c>
      <c r="T1542" t="s">
        <v>1459</v>
      </c>
      <c r="U1542" t="s">
        <v>1651</v>
      </c>
      <c r="V1542" t="s">
        <v>106</v>
      </c>
      <c r="W1542" t="s">
        <v>2015</v>
      </c>
      <c r="X1542" t="s">
        <v>106</v>
      </c>
      <c r="Y1542" t="s">
        <v>108</v>
      </c>
      <c r="Z1542" t="s">
        <v>108</v>
      </c>
      <c r="AA1542" t="s">
        <v>2076</v>
      </c>
      <c r="AB1542" t="s">
        <v>106</v>
      </c>
    </row>
    <row r="1543" spans="1:28" x14ac:dyDescent="0.3">
      <c r="A1543" t="s">
        <v>1460</v>
      </c>
      <c r="B1543">
        <v>4</v>
      </c>
      <c r="C1543">
        <v>60</v>
      </c>
      <c r="D1543">
        <v>87</v>
      </c>
      <c r="E1543" t="s">
        <v>128</v>
      </c>
      <c r="F1543" s="12">
        <v>45561</v>
      </c>
      <c r="G1543" t="s">
        <v>1966</v>
      </c>
      <c r="H1543" s="12">
        <v>45561</v>
      </c>
      <c r="I1543" t="s">
        <v>566</v>
      </c>
      <c r="J1543" t="s">
        <v>458</v>
      </c>
      <c r="K1543">
        <v>2</v>
      </c>
      <c r="L1543">
        <v>64.2</v>
      </c>
      <c r="P1543" t="s">
        <v>106</v>
      </c>
      <c r="Q1543" t="s">
        <v>106</v>
      </c>
      <c r="R1543" t="s">
        <v>106</v>
      </c>
      <c r="S1543" t="s">
        <v>106</v>
      </c>
      <c r="T1543" t="s">
        <v>1825</v>
      </c>
      <c r="U1543" t="s">
        <v>106</v>
      </c>
      <c r="V1543" t="s">
        <v>106</v>
      </c>
      <c r="W1543" t="s">
        <v>443</v>
      </c>
      <c r="X1543" t="s">
        <v>106</v>
      </c>
      <c r="Y1543" t="s">
        <v>108</v>
      </c>
      <c r="Z1543" t="s">
        <v>104</v>
      </c>
      <c r="AA1543" t="s">
        <v>2076</v>
      </c>
      <c r="AB1543" t="s">
        <v>106</v>
      </c>
    </row>
    <row r="1544" spans="1:28" x14ac:dyDescent="0.3">
      <c r="A1544" t="s">
        <v>1460</v>
      </c>
      <c r="B1544">
        <v>4</v>
      </c>
      <c r="C1544">
        <v>60</v>
      </c>
      <c r="D1544">
        <v>112</v>
      </c>
      <c r="E1544" t="s">
        <v>128</v>
      </c>
      <c r="F1544" s="12">
        <v>45561</v>
      </c>
      <c r="G1544" t="s">
        <v>1497</v>
      </c>
      <c r="H1544" s="12">
        <v>45561</v>
      </c>
      <c r="I1544" t="s">
        <v>2098</v>
      </c>
      <c r="J1544" t="s">
        <v>1363</v>
      </c>
      <c r="K1544">
        <v>2</v>
      </c>
      <c r="L1544">
        <v>62.4</v>
      </c>
      <c r="P1544" t="s">
        <v>106</v>
      </c>
      <c r="Q1544" t="s">
        <v>106</v>
      </c>
      <c r="R1544" t="s">
        <v>106</v>
      </c>
      <c r="S1544" t="s">
        <v>106</v>
      </c>
      <c r="T1544" t="s">
        <v>1529</v>
      </c>
      <c r="U1544" t="s">
        <v>1411</v>
      </c>
      <c r="V1544" t="s">
        <v>106</v>
      </c>
      <c r="W1544" t="s">
        <v>2015</v>
      </c>
      <c r="X1544" t="s">
        <v>106</v>
      </c>
      <c r="Y1544" t="s">
        <v>108</v>
      </c>
      <c r="Z1544" t="s">
        <v>104</v>
      </c>
      <c r="AA1544" t="s">
        <v>2076</v>
      </c>
      <c r="AB1544" t="s">
        <v>106</v>
      </c>
    </row>
    <row r="1545" spans="1:28" x14ac:dyDescent="0.3">
      <c r="A1545" t="s">
        <v>1460</v>
      </c>
      <c r="B1545">
        <v>4</v>
      </c>
      <c r="C1545">
        <v>60</v>
      </c>
      <c r="D1545">
        <v>94</v>
      </c>
      <c r="E1545" t="s">
        <v>128</v>
      </c>
      <c r="F1545" s="12">
        <v>45561</v>
      </c>
      <c r="G1545" t="s">
        <v>390</v>
      </c>
      <c r="H1545" s="12">
        <v>45561</v>
      </c>
      <c r="I1545" t="s">
        <v>1051</v>
      </c>
      <c r="J1545" t="s">
        <v>459</v>
      </c>
      <c r="K1545">
        <v>2</v>
      </c>
      <c r="L1545">
        <v>56.9</v>
      </c>
      <c r="P1545" t="s">
        <v>106</v>
      </c>
      <c r="Q1545" t="s">
        <v>106</v>
      </c>
      <c r="R1545" t="s">
        <v>106</v>
      </c>
      <c r="S1545" t="s">
        <v>106</v>
      </c>
      <c r="T1545" t="s">
        <v>1478</v>
      </c>
      <c r="U1545" t="s">
        <v>708</v>
      </c>
      <c r="V1545" t="s">
        <v>106</v>
      </c>
      <c r="W1545" t="s">
        <v>443</v>
      </c>
      <c r="X1545" t="s">
        <v>106</v>
      </c>
      <c r="Y1545" t="s">
        <v>108</v>
      </c>
      <c r="Z1545" t="s">
        <v>104</v>
      </c>
      <c r="AA1545" t="s">
        <v>2093</v>
      </c>
      <c r="AB1545" t="s">
        <v>106</v>
      </c>
    </row>
    <row r="1546" spans="1:28" x14ac:dyDescent="0.3">
      <c r="A1546" t="s">
        <v>1460</v>
      </c>
      <c r="B1546">
        <v>4</v>
      </c>
      <c r="C1546">
        <v>60</v>
      </c>
      <c r="D1546">
        <v>99</v>
      </c>
      <c r="E1546" t="s">
        <v>128</v>
      </c>
      <c r="F1546" s="12">
        <v>45561</v>
      </c>
      <c r="G1546" t="s">
        <v>1994</v>
      </c>
      <c r="H1546" s="12">
        <v>45561</v>
      </c>
      <c r="I1546" t="s">
        <v>582</v>
      </c>
      <c r="J1546" t="s">
        <v>1363</v>
      </c>
      <c r="K1546">
        <v>2</v>
      </c>
      <c r="L1546">
        <v>58.8</v>
      </c>
      <c r="P1546" t="s">
        <v>106</v>
      </c>
      <c r="Q1546" t="s">
        <v>106</v>
      </c>
      <c r="R1546" t="s">
        <v>106</v>
      </c>
      <c r="S1546" t="s">
        <v>106</v>
      </c>
      <c r="T1546" t="s">
        <v>1386</v>
      </c>
      <c r="U1546" t="s">
        <v>1591</v>
      </c>
      <c r="V1546" t="s">
        <v>106</v>
      </c>
      <c r="W1546" t="s">
        <v>443</v>
      </c>
      <c r="X1546" t="s">
        <v>106</v>
      </c>
      <c r="Y1546" t="s">
        <v>108</v>
      </c>
      <c r="Z1546" t="s">
        <v>104</v>
      </c>
      <c r="AA1546" t="s">
        <v>2076</v>
      </c>
      <c r="AB1546" t="s">
        <v>106</v>
      </c>
    </row>
    <row r="1547" spans="1:28" x14ac:dyDescent="0.3">
      <c r="A1547" t="s">
        <v>1460</v>
      </c>
      <c r="B1547">
        <v>4</v>
      </c>
      <c r="C1547">
        <v>60</v>
      </c>
      <c r="D1547">
        <v>100</v>
      </c>
      <c r="E1547" t="s">
        <v>128</v>
      </c>
      <c r="F1547" s="12">
        <v>45561</v>
      </c>
      <c r="G1547" t="s">
        <v>460</v>
      </c>
      <c r="H1547" s="12">
        <v>45561</v>
      </c>
      <c r="I1547" t="s">
        <v>582</v>
      </c>
      <c r="J1547" t="s">
        <v>1363</v>
      </c>
      <c r="K1547">
        <v>2</v>
      </c>
      <c r="L1547">
        <v>55.2</v>
      </c>
      <c r="P1547" t="s">
        <v>106</v>
      </c>
      <c r="Q1547" t="s">
        <v>106</v>
      </c>
      <c r="R1547" t="s">
        <v>106</v>
      </c>
      <c r="S1547" t="s">
        <v>106</v>
      </c>
      <c r="T1547" t="s">
        <v>2200</v>
      </c>
      <c r="U1547" t="s">
        <v>391</v>
      </c>
      <c r="V1547" t="s">
        <v>106</v>
      </c>
      <c r="W1547" t="s">
        <v>443</v>
      </c>
      <c r="X1547" t="s">
        <v>106</v>
      </c>
      <c r="Y1547" t="s">
        <v>108</v>
      </c>
      <c r="Z1547" t="s">
        <v>104</v>
      </c>
      <c r="AA1547" t="s">
        <v>2076</v>
      </c>
      <c r="AB1547" t="s">
        <v>106</v>
      </c>
    </row>
    <row r="1548" spans="1:28" x14ac:dyDescent="0.3">
      <c r="A1548" t="s">
        <v>1460</v>
      </c>
      <c r="B1548">
        <v>4</v>
      </c>
      <c r="C1548">
        <v>60</v>
      </c>
      <c r="D1548">
        <v>105</v>
      </c>
      <c r="E1548" t="s">
        <v>128</v>
      </c>
      <c r="F1548" s="12">
        <v>45561</v>
      </c>
      <c r="G1548" t="s">
        <v>2719</v>
      </c>
      <c r="H1548" s="12">
        <v>45561</v>
      </c>
      <c r="I1548" t="s">
        <v>1179</v>
      </c>
      <c r="J1548" t="s">
        <v>1363</v>
      </c>
      <c r="K1548">
        <v>2</v>
      </c>
      <c r="L1548">
        <v>51.3</v>
      </c>
      <c r="P1548" t="s">
        <v>106</v>
      </c>
      <c r="Q1548" t="s">
        <v>106</v>
      </c>
      <c r="R1548" t="s">
        <v>106</v>
      </c>
      <c r="S1548" t="s">
        <v>106</v>
      </c>
      <c r="T1548" t="s">
        <v>1405</v>
      </c>
      <c r="U1548" t="s">
        <v>825</v>
      </c>
      <c r="V1548" t="s">
        <v>106</v>
      </c>
      <c r="W1548" t="s">
        <v>2015</v>
      </c>
      <c r="X1548" t="s">
        <v>106</v>
      </c>
      <c r="Y1548" t="s">
        <v>108</v>
      </c>
      <c r="Z1548" t="s">
        <v>104</v>
      </c>
      <c r="AA1548" t="s">
        <v>2076</v>
      </c>
      <c r="AB1548" t="s">
        <v>106</v>
      </c>
    </row>
    <row r="1549" spans="1:28" x14ac:dyDescent="0.3">
      <c r="A1549" t="s">
        <v>1460</v>
      </c>
      <c r="B1549">
        <v>4</v>
      </c>
      <c r="C1549">
        <v>60</v>
      </c>
      <c r="D1549">
        <v>106</v>
      </c>
      <c r="E1549" t="s">
        <v>128</v>
      </c>
      <c r="F1549" s="12">
        <v>45561</v>
      </c>
      <c r="G1549" t="s">
        <v>2719</v>
      </c>
      <c r="H1549" s="12">
        <v>45561</v>
      </c>
      <c r="I1549" t="s">
        <v>1179</v>
      </c>
      <c r="J1549" t="s">
        <v>1363</v>
      </c>
      <c r="K1549">
        <v>2</v>
      </c>
      <c r="L1549">
        <v>56.8</v>
      </c>
      <c r="P1549" t="s">
        <v>106</v>
      </c>
      <c r="Q1549" t="s">
        <v>106</v>
      </c>
      <c r="R1549" t="s">
        <v>106</v>
      </c>
      <c r="S1549" t="s">
        <v>106</v>
      </c>
      <c r="T1549" t="s">
        <v>1393</v>
      </c>
      <c r="U1549" t="s">
        <v>565</v>
      </c>
      <c r="V1549" t="s">
        <v>106</v>
      </c>
      <c r="W1549" t="s">
        <v>2015</v>
      </c>
      <c r="X1549" t="s">
        <v>106</v>
      </c>
      <c r="Y1549" t="s">
        <v>108</v>
      </c>
      <c r="Z1549" t="s">
        <v>104</v>
      </c>
      <c r="AA1549" t="s">
        <v>2076</v>
      </c>
      <c r="AB1549" t="s">
        <v>106</v>
      </c>
    </row>
    <row r="1550" spans="1:28" x14ac:dyDescent="0.3">
      <c r="A1550" t="s">
        <v>1460</v>
      </c>
      <c r="B1550">
        <v>4</v>
      </c>
      <c r="C1550">
        <v>60</v>
      </c>
      <c r="D1550">
        <v>111</v>
      </c>
      <c r="E1550" t="s">
        <v>128</v>
      </c>
      <c r="F1550" s="12">
        <v>45561</v>
      </c>
      <c r="G1550" t="s">
        <v>1500</v>
      </c>
      <c r="H1550" s="12">
        <v>45561</v>
      </c>
      <c r="I1550" t="s">
        <v>2098</v>
      </c>
      <c r="J1550" t="s">
        <v>1363</v>
      </c>
      <c r="K1550">
        <v>2</v>
      </c>
      <c r="L1550">
        <v>56</v>
      </c>
      <c r="P1550" t="s">
        <v>106</v>
      </c>
      <c r="Q1550" t="s">
        <v>106</v>
      </c>
      <c r="R1550" t="s">
        <v>106</v>
      </c>
      <c r="S1550" t="s">
        <v>106</v>
      </c>
      <c r="T1550" t="s">
        <v>1393</v>
      </c>
      <c r="U1550" t="s">
        <v>360</v>
      </c>
      <c r="V1550" t="s">
        <v>106</v>
      </c>
      <c r="W1550" t="s">
        <v>2015</v>
      </c>
      <c r="X1550" t="s">
        <v>106</v>
      </c>
      <c r="Y1550" t="s">
        <v>108</v>
      </c>
      <c r="Z1550" t="s">
        <v>104</v>
      </c>
      <c r="AA1550" t="s">
        <v>2076</v>
      </c>
      <c r="AB1550" t="s">
        <v>106</v>
      </c>
    </row>
    <row r="1551" spans="1:28" x14ac:dyDescent="0.3">
      <c r="A1551" t="s">
        <v>1460</v>
      </c>
      <c r="B1551">
        <v>4</v>
      </c>
      <c r="C1551">
        <v>60</v>
      </c>
      <c r="D1551">
        <v>93</v>
      </c>
      <c r="E1551" t="s">
        <v>128</v>
      </c>
      <c r="F1551" s="12">
        <v>45561</v>
      </c>
      <c r="G1551" t="s">
        <v>390</v>
      </c>
      <c r="H1551" s="12">
        <v>45561</v>
      </c>
      <c r="I1551" t="s">
        <v>1051</v>
      </c>
      <c r="J1551" t="s">
        <v>459</v>
      </c>
      <c r="K1551">
        <v>2</v>
      </c>
      <c r="L1551">
        <v>62.8</v>
      </c>
      <c r="P1551" t="s">
        <v>106</v>
      </c>
      <c r="Q1551" t="s">
        <v>106</v>
      </c>
      <c r="R1551" t="s">
        <v>106</v>
      </c>
      <c r="S1551" t="s">
        <v>106</v>
      </c>
      <c r="T1551" t="s">
        <v>2296</v>
      </c>
      <c r="U1551" t="s">
        <v>1980</v>
      </c>
      <c r="V1551" t="s">
        <v>106</v>
      </c>
      <c r="W1551" t="s">
        <v>443</v>
      </c>
      <c r="X1551" t="s">
        <v>106</v>
      </c>
      <c r="Y1551" t="s">
        <v>108</v>
      </c>
      <c r="Z1551" t="s">
        <v>104</v>
      </c>
      <c r="AA1551" t="s">
        <v>2093</v>
      </c>
      <c r="AB1551" t="s">
        <v>106</v>
      </c>
    </row>
    <row r="1552" spans="1:28" x14ac:dyDescent="0.3">
      <c r="A1552" t="s">
        <v>1460</v>
      </c>
      <c r="B1552">
        <v>4</v>
      </c>
      <c r="C1552">
        <v>60</v>
      </c>
      <c r="D1552">
        <v>88</v>
      </c>
      <c r="E1552" t="s">
        <v>128</v>
      </c>
      <c r="F1552" s="12">
        <v>45561</v>
      </c>
      <c r="G1552" t="s">
        <v>1966</v>
      </c>
      <c r="H1552" s="12">
        <v>45561</v>
      </c>
      <c r="I1552" t="s">
        <v>566</v>
      </c>
      <c r="J1552" t="s">
        <v>458</v>
      </c>
      <c r="K1552">
        <v>2</v>
      </c>
      <c r="L1552">
        <v>64.599999999999994</v>
      </c>
      <c r="P1552" t="s">
        <v>106</v>
      </c>
      <c r="Q1552" t="s">
        <v>106</v>
      </c>
      <c r="R1552" t="s">
        <v>106</v>
      </c>
      <c r="S1552" t="s">
        <v>106</v>
      </c>
      <c r="T1552" t="s">
        <v>1459</v>
      </c>
      <c r="U1552" t="s">
        <v>106</v>
      </c>
      <c r="V1552" t="s">
        <v>106</v>
      </c>
      <c r="W1552" t="s">
        <v>443</v>
      </c>
      <c r="X1552" t="s">
        <v>106</v>
      </c>
      <c r="Y1552" t="s">
        <v>108</v>
      </c>
      <c r="Z1552" t="s">
        <v>104</v>
      </c>
      <c r="AA1552" t="s">
        <v>2076</v>
      </c>
      <c r="AB1552" t="s">
        <v>106</v>
      </c>
    </row>
    <row r="1553" spans="1:28" x14ac:dyDescent="0.3">
      <c r="A1553" t="s">
        <v>1460</v>
      </c>
      <c r="B1553">
        <v>2</v>
      </c>
      <c r="C1553">
        <v>15</v>
      </c>
      <c r="D1553">
        <v>113</v>
      </c>
      <c r="E1553" t="s">
        <v>128</v>
      </c>
      <c r="F1553" s="12">
        <v>45562</v>
      </c>
      <c r="G1553" t="s">
        <v>527</v>
      </c>
      <c r="H1553" s="12">
        <v>45562</v>
      </c>
      <c r="I1553" t="s">
        <v>2099</v>
      </c>
      <c r="J1553" t="s">
        <v>458</v>
      </c>
      <c r="K1553">
        <v>2</v>
      </c>
      <c r="L1553">
        <v>15.2</v>
      </c>
      <c r="P1553" t="s">
        <v>106</v>
      </c>
      <c r="Q1553" t="s">
        <v>106</v>
      </c>
      <c r="R1553" t="s">
        <v>106</v>
      </c>
      <c r="S1553" t="s">
        <v>106</v>
      </c>
      <c r="T1553" t="s">
        <v>2100</v>
      </c>
      <c r="U1553" t="s">
        <v>1479</v>
      </c>
      <c r="V1553" t="s">
        <v>106</v>
      </c>
      <c r="W1553" t="s">
        <v>443</v>
      </c>
      <c r="X1553" t="s">
        <v>106</v>
      </c>
      <c r="Y1553" t="s">
        <v>108</v>
      </c>
      <c r="Z1553" t="s">
        <v>109</v>
      </c>
      <c r="AA1553" t="s">
        <v>106</v>
      </c>
      <c r="AB1553" t="s">
        <v>106</v>
      </c>
    </row>
    <row r="1554" spans="1:28" x14ac:dyDescent="0.3">
      <c r="A1554" t="s">
        <v>1460</v>
      </c>
      <c r="B1554">
        <v>2</v>
      </c>
      <c r="C1554">
        <v>15</v>
      </c>
      <c r="D1554">
        <v>138</v>
      </c>
      <c r="E1554" t="s">
        <v>128</v>
      </c>
      <c r="F1554" s="12">
        <v>45562</v>
      </c>
      <c r="G1554" t="s">
        <v>652</v>
      </c>
      <c r="H1554" s="12">
        <v>45562</v>
      </c>
      <c r="I1554" t="s">
        <v>951</v>
      </c>
      <c r="J1554" t="s">
        <v>1363</v>
      </c>
      <c r="K1554">
        <v>2</v>
      </c>
      <c r="L1554">
        <v>15.4</v>
      </c>
      <c r="P1554" t="s">
        <v>106</v>
      </c>
      <c r="Q1554" t="s">
        <v>106</v>
      </c>
      <c r="R1554" t="s">
        <v>106</v>
      </c>
      <c r="S1554" t="s">
        <v>106</v>
      </c>
      <c r="T1554" t="s">
        <v>1257</v>
      </c>
      <c r="U1554" t="s">
        <v>1411</v>
      </c>
      <c r="V1554" t="s">
        <v>106</v>
      </c>
      <c r="W1554" t="s">
        <v>2015</v>
      </c>
      <c r="X1554" t="s">
        <v>106</v>
      </c>
      <c r="Y1554" t="s">
        <v>108</v>
      </c>
      <c r="Z1554" t="s">
        <v>109</v>
      </c>
      <c r="AA1554" t="s">
        <v>106</v>
      </c>
      <c r="AB1554" t="s">
        <v>106</v>
      </c>
    </row>
    <row r="1555" spans="1:28" x14ac:dyDescent="0.3">
      <c r="A1555" t="s">
        <v>1460</v>
      </c>
      <c r="B1555">
        <v>2</v>
      </c>
      <c r="C1555">
        <v>15</v>
      </c>
      <c r="D1555">
        <v>137</v>
      </c>
      <c r="E1555" t="s">
        <v>128</v>
      </c>
      <c r="F1555" s="12">
        <v>45562</v>
      </c>
      <c r="G1555" t="s">
        <v>652</v>
      </c>
      <c r="H1555" s="12">
        <v>45562</v>
      </c>
      <c r="I1555" t="s">
        <v>951</v>
      </c>
      <c r="J1555" t="s">
        <v>1363</v>
      </c>
      <c r="K1555">
        <v>2</v>
      </c>
      <c r="L1555">
        <v>14.6</v>
      </c>
      <c r="P1555" t="s">
        <v>106</v>
      </c>
      <c r="Q1555" t="s">
        <v>106</v>
      </c>
      <c r="R1555" t="s">
        <v>106</v>
      </c>
      <c r="S1555" t="s">
        <v>106</v>
      </c>
      <c r="T1555" t="s">
        <v>1016</v>
      </c>
      <c r="U1555" t="s">
        <v>429</v>
      </c>
      <c r="V1555" t="s">
        <v>106</v>
      </c>
      <c r="W1555" t="s">
        <v>2015</v>
      </c>
      <c r="X1555" t="s">
        <v>106</v>
      </c>
      <c r="Y1555" t="s">
        <v>108</v>
      </c>
      <c r="Z1555" t="s">
        <v>109</v>
      </c>
      <c r="AA1555" t="s">
        <v>106</v>
      </c>
      <c r="AB1555" t="s">
        <v>106</v>
      </c>
    </row>
    <row r="1556" spans="1:28" x14ac:dyDescent="0.3">
      <c r="A1556" t="s">
        <v>1460</v>
      </c>
      <c r="B1556">
        <v>2</v>
      </c>
      <c r="C1556">
        <v>15</v>
      </c>
      <c r="D1556">
        <v>114</v>
      </c>
      <c r="E1556" t="s">
        <v>128</v>
      </c>
      <c r="F1556" s="12">
        <v>45562</v>
      </c>
      <c r="G1556" t="s">
        <v>1086</v>
      </c>
      <c r="H1556" s="12">
        <v>45562</v>
      </c>
      <c r="I1556" t="s">
        <v>2099</v>
      </c>
      <c r="J1556" t="s">
        <v>458</v>
      </c>
      <c r="K1556">
        <v>2</v>
      </c>
      <c r="L1556">
        <v>15.5</v>
      </c>
      <c r="P1556" t="s">
        <v>106</v>
      </c>
      <c r="Q1556" t="s">
        <v>106</v>
      </c>
      <c r="R1556" t="s">
        <v>106</v>
      </c>
      <c r="S1556" t="s">
        <v>106</v>
      </c>
      <c r="T1556" t="s">
        <v>989</v>
      </c>
      <c r="U1556" t="s">
        <v>395</v>
      </c>
      <c r="V1556" t="s">
        <v>106</v>
      </c>
      <c r="W1556" t="s">
        <v>443</v>
      </c>
      <c r="X1556" t="s">
        <v>106</v>
      </c>
      <c r="Y1556" t="s">
        <v>108</v>
      </c>
      <c r="Z1556" t="s">
        <v>109</v>
      </c>
      <c r="AA1556" t="s">
        <v>106</v>
      </c>
      <c r="AB1556" t="s">
        <v>106</v>
      </c>
    </row>
    <row r="1557" spans="1:28" x14ac:dyDescent="0.3">
      <c r="A1557" t="s">
        <v>1460</v>
      </c>
      <c r="B1557">
        <v>2</v>
      </c>
      <c r="C1557">
        <v>15</v>
      </c>
      <c r="D1557">
        <v>130</v>
      </c>
      <c r="E1557" t="s">
        <v>128</v>
      </c>
      <c r="F1557" s="12">
        <v>45562</v>
      </c>
      <c r="G1557" t="s">
        <v>1166</v>
      </c>
      <c r="H1557" s="12">
        <v>45562</v>
      </c>
      <c r="I1557" t="s">
        <v>2101</v>
      </c>
      <c r="J1557" t="s">
        <v>458</v>
      </c>
      <c r="K1557">
        <v>2</v>
      </c>
      <c r="L1557">
        <v>14.5</v>
      </c>
      <c r="P1557" t="s">
        <v>106</v>
      </c>
      <c r="Q1557" t="s">
        <v>106</v>
      </c>
      <c r="R1557" t="s">
        <v>106</v>
      </c>
      <c r="S1557" t="s">
        <v>106</v>
      </c>
      <c r="T1557" t="s">
        <v>934</v>
      </c>
      <c r="U1557" t="s">
        <v>905</v>
      </c>
      <c r="V1557" t="s">
        <v>106</v>
      </c>
      <c r="W1557" t="s">
        <v>443</v>
      </c>
      <c r="X1557" t="s">
        <v>106</v>
      </c>
      <c r="Y1557" t="s">
        <v>108</v>
      </c>
      <c r="Z1557" t="s">
        <v>109</v>
      </c>
      <c r="AA1557" t="s">
        <v>106</v>
      </c>
      <c r="AB1557" t="s">
        <v>106</v>
      </c>
    </row>
    <row r="1558" spans="1:28" x14ac:dyDescent="0.3">
      <c r="A1558" t="s">
        <v>1460</v>
      </c>
      <c r="B1558">
        <v>2</v>
      </c>
      <c r="C1558">
        <v>15</v>
      </c>
      <c r="D1558">
        <v>123</v>
      </c>
      <c r="E1558" t="s">
        <v>128</v>
      </c>
      <c r="F1558" s="12">
        <v>45562</v>
      </c>
      <c r="G1558" t="s">
        <v>1103</v>
      </c>
      <c r="H1558" s="12">
        <v>45562</v>
      </c>
      <c r="I1558" t="s">
        <v>2101</v>
      </c>
      <c r="J1558" t="s">
        <v>458</v>
      </c>
      <c r="K1558">
        <v>2</v>
      </c>
      <c r="L1558">
        <v>14.4</v>
      </c>
      <c r="P1558" t="s">
        <v>106</v>
      </c>
      <c r="Q1558" t="s">
        <v>106</v>
      </c>
      <c r="R1558" t="s">
        <v>106</v>
      </c>
      <c r="S1558" t="s">
        <v>106</v>
      </c>
      <c r="T1558" t="s">
        <v>1108</v>
      </c>
      <c r="U1558" t="s">
        <v>440</v>
      </c>
      <c r="V1558" t="s">
        <v>106</v>
      </c>
      <c r="W1558" t="s">
        <v>443</v>
      </c>
      <c r="X1558" t="s">
        <v>106</v>
      </c>
      <c r="Y1558" t="s">
        <v>108</v>
      </c>
      <c r="Z1558" t="s">
        <v>109</v>
      </c>
      <c r="AA1558" t="s">
        <v>106</v>
      </c>
      <c r="AB1558" t="s">
        <v>106</v>
      </c>
    </row>
    <row r="1559" spans="1:28" x14ac:dyDescent="0.3">
      <c r="A1559" t="s">
        <v>1460</v>
      </c>
      <c r="B1559">
        <v>2</v>
      </c>
      <c r="C1559">
        <v>15</v>
      </c>
      <c r="D1559">
        <v>124</v>
      </c>
      <c r="E1559" t="s">
        <v>128</v>
      </c>
      <c r="F1559" s="12">
        <v>45562</v>
      </c>
      <c r="G1559" t="s">
        <v>1103</v>
      </c>
      <c r="H1559" s="12">
        <v>45562</v>
      </c>
      <c r="I1559" t="s">
        <v>2101</v>
      </c>
      <c r="J1559" t="s">
        <v>458</v>
      </c>
      <c r="K1559">
        <v>2</v>
      </c>
      <c r="L1559">
        <v>14</v>
      </c>
      <c r="P1559" t="s">
        <v>106</v>
      </c>
      <c r="Q1559" t="s">
        <v>106</v>
      </c>
      <c r="R1559" t="s">
        <v>106</v>
      </c>
      <c r="S1559" t="s">
        <v>106</v>
      </c>
      <c r="T1559" t="s">
        <v>1850</v>
      </c>
      <c r="U1559" t="s">
        <v>1780</v>
      </c>
      <c r="V1559" t="s">
        <v>106</v>
      </c>
      <c r="W1559" t="s">
        <v>443</v>
      </c>
      <c r="X1559" t="s">
        <v>106</v>
      </c>
      <c r="Y1559" t="s">
        <v>108</v>
      </c>
      <c r="Z1559" t="s">
        <v>109</v>
      </c>
      <c r="AA1559" t="s">
        <v>106</v>
      </c>
      <c r="AB1559" t="s">
        <v>106</v>
      </c>
    </row>
    <row r="1560" spans="1:28" x14ac:dyDescent="0.3">
      <c r="A1560" t="s">
        <v>1460</v>
      </c>
      <c r="B1560">
        <v>2</v>
      </c>
      <c r="C1560">
        <v>15</v>
      </c>
      <c r="D1560">
        <v>125</v>
      </c>
      <c r="E1560" t="s">
        <v>128</v>
      </c>
      <c r="F1560" s="12">
        <v>45562</v>
      </c>
      <c r="G1560" t="s">
        <v>852</v>
      </c>
      <c r="H1560" s="12">
        <v>45562</v>
      </c>
      <c r="I1560" t="s">
        <v>2101</v>
      </c>
      <c r="J1560" t="s">
        <v>458</v>
      </c>
      <c r="K1560">
        <v>2</v>
      </c>
      <c r="L1560">
        <v>14.2</v>
      </c>
      <c r="P1560" t="s">
        <v>106</v>
      </c>
      <c r="Q1560" t="s">
        <v>106</v>
      </c>
      <c r="R1560" t="s">
        <v>106</v>
      </c>
      <c r="S1560" t="s">
        <v>106</v>
      </c>
      <c r="T1560" t="s">
        <v>1808</v>
      </c>
      <c r="U1560" t="s">
        <v>1415</v>
      </c>
      <c r="V1560" t="s">
        <v>106</v>
      </c>
      <c r="W1560" t="s">
        <v>443</v>
      </c>
      <c r="X1560" t="s">
        <v>106</v>
      </c>
      <c r="Y1560" t="s">
        <v>108</v>
      </c>
      <c r="Z1560" t="s">
        <v>109</v>
      </c>
      <c r="AA1560" t="s">
        <v>106</v>
      </c>
      <c r="AB1560" t="s">
        <v>106</v>
      </c>
    </row>
    <row r="1561" spans="1:28" x14ac:dyDescent="0.3">
      <c r="A1561" t="s">
        <v>1460</v>
      </c>
      <c r="B1561">
        <v>2</v>
      </c>
      <c r="C1561">
        <v>15</v>
      </c>
      <c r="D1561">
        <v>129</v>
      </c>
      <c r="E1561" t="s">
        <v>128</v>
      </c>
      <c r="F1561" s="12">
        <v>45562</v>
      </c>
      <c r="G1561" t="s">
        <v>1401</v>
      </c>
      <c r="H1561" s="12">
        <v>45562</v>
      </c>
      <c r="I1561" t="s">
        <v>2101</v>
      </c>
      <c r="J1561" t="s">
        <v>458</v>
      </c>
      <c r="K1561">
        <v>2</v>
      </c>
      <c r="L1561">
        <v>14.5</v>
      </c>
      <c r="P1561" t="s">
        <v>106</v>
      </c>
      <c r="Q1561" t="s">
        <v>106</v>
      </c>
      <c r="R1561" t="s">
        <v>106</v>
      </c>
      <c r="S1561" t="s">
        <v>106</v>
      </c>
      <c r="T1561" t="s">
        <v>1105</v>
      </c>
      <c r="U1561" t="s">
        <v>1591</v>
      </c>
      <c r="V1561" t="s">
        <v>106</v>
      </c>
      <c r="W1561" t="s">
        <v>443</v>
      </c>
      <c r="X1561" t="s">
        <v>106</v>
      </c>
      <c r="Y1561" t="s">
        <v>108</v>
      </c>
      <c r="Z1561" t="s">
        <v>109</v>
      </c>
      <c r="AA1561" t="s">
        <v>106</v>
      </c>
      <c r="AB1561" t="s">
        <v>106</v>
      </c>
    </row>
    <row r="1562" spans="1:28" x14ac:dyDescent="0.3">
      <c r="A1562" t="s">
        <v>1460</v>
      </c>
      <c r="B1562">
        <v>3</v>
      </c>
      <c r="C1562">
        <v>35</v>
      </c>
      <c r="D1562">
        <v>115</v>
      </c>
      <c r="E1562" t="s">
        <v>128</v>
      </c>
      <c r="F1562" s="12">
        <v>45562</v>
      </c>
      <c r="G1562" t="s">
        <v>1086</v>
      </c>
      <c r="H1562" s="12">
        <v>45562</v>
      </c>
      <c r="I1562" t="s">
        <v>2099</v>
      </c>
      <c r="J1562" t="s">
        <v>458</v>
      </c>
      <c r="K1562">
        <v>2</v>
      </c>
      <c r="L1562">
        <v>36.200000000000003</v>
      </c>
      <c r="P1562" t="s">
        <v>106</v>
      </c>
      <c r="Q1562" t="s">
        <v>106</v>
      </c>
      <c r="R1562" t="s">
        <v>106</v>
      </c>
      <c r="S1562" t="s">
        <v>106</v>
      </c>
      <c r="T1562" t="s">
        <v>782</v>
      </c>
      <c r="U1562" t="s">
        <v>441</v>
      </c>
      <c r="V1562" t="s">
        <v>106</v>
      </c>
      <c r="W1562" t="s">
        <v>443</v>
      </c>
      <c r="X1562" t="s">
        <v>106</v>
      </c>
      <c r="Y1562" t="s">
        <v>108</v>
      </c>
      <c r="Z1562" t="s">
        <v>108</v>
      </c>
      <c r="AA1562" t="s">
        <v>106</v>
      </c>
      <c r="AB1562" t="s">
        <v>106</v>
      </c>
    </row>
    <row r="1563" spans="1:28" x14ac:dyDescent="0.3">
      <c r="A1563" t="s">
        <v>1460</v>
      </c>
      <c r="B1563">
        <v>3</v>
      </c>
      <c r="C1563">
        <v>35</v>
      </c>
      <c r="D1563">
        <v>128</v>
      </c>
      <c r="E1563" t="s">
        <v>128</v>
      </c>
      <c r="F1563" s="12">
        <v>45562</v>
      </c>
      <c r="G1563" t="s">
        <v>656</v>
      </c>
      <c r="H1563" s="12">
        <v>45562</v>
      </c>
      <c r="I1563" t="s">
        <v>2101</v>
      </c>
      <c r="J1563" t="s">
        <v>458</v>
      </c>
      <c r="K1563">
        <v>2</v>
      </c>
      <c r="L1563">
        <v>32.799999999999997</v>
      </c>
      <c r="P1563" t="s">
        <v>106</v>
      </c>
      <c r="Q1563" t="s">
        <v>106</v>
      </c>
      <c r="R1563" t="s">
        <v>106</v>
      </c>
      <c r="S1563" t="s">
        <v>106</v>
      </c>
      <c r="T1563" t="s">
        <v>1476</v>
      </c>
      <c r="U1563" t="s">
        <v>441</v>
      </c>
      <c r="V1563" t="s">
        <v>106</v>
      </c>
      <c r="W1563" t="s">
        <v>443</v>
      </c>
      <c r="X1563" t="s">
        <v>106</v>
      </c>
      <c r="Y1563" t="s">
        <v>108</v>
      </c>
      <c r="Z1563" t="s">
        <v>108</v>
      </c>
      <c r="AA1563" t="s">
        <v>106</v>
      </c>
      <c r="AB1563" t="s">
        <v>106</v>
      </c>
    </row>
    <row r="1564" spans="1:28" x14ac:dyDescent="0.3">
      <c r="A1564" t="s">
        <v>1460</v>
      </c>
      <c r="B1564">
        <v>3</v>
      </c>
      <c r="C1564">
        <v>35</v>
      </c>
      <c r="D1564">
        <v>127</v>
      </c>
      <c r="E1564" t="s">
        <v>128</v>
      </c>
      <c r="F1564" s="12">
        <v>45562</v>
      </c>
      <c r="G1564" t="s">
        <v>1362</v>
      </c>
      <c r="H1564" s="12">
        <v>45562</v>
      </c>
      <c r="I1564" t="s">
        <v>2101</v>
      </c>
      <c r="J1564" t="s">
        <v>458</v>
      </c>
      <c r="K1564">
        <v>2</v>
      </c>
      <c r="L1564">
        <v>33.5</v>
      </c>
      <c r="P1564" t="s">
        <v>106</v>
      </c>
      <c r="Q1564" t="s">
        <v>106</v>
      </c>
      <c r="R1564" t="s">
        <v>106</v>
      </c>
      <c r="S1564" t="s">
        <v>106</v>
      </c>
      <c r="T1564" t="s">
        <v>1935</v>
      </c>
      <c r="U1564" t="s">
        <v>1468</v>
      </c>
      <c r="V1564" t="s">
        <v>106</v>
      </c>
      <c r="W1564" t="s">
        <v>443</v>
      </c>
      <c r="X1564" t="s">
        <v>106</v>
      </c>
      <c r="Y1564" t="s">
        <v>108</v>
      </c>
      <c r="Z1564" t="s">
        <v>108</v>
      </c>
      <c r="AA1564" t="s">
        <v>106</v>
      </c>
      <c r="AB1564" t="s">
        <v>106</v>
      </c>
    </row>
    <row r="1565" spans="1:28" x14ac:dyDescent="0.3">
      <c r="A1565" t="s">
        <v>1460</v>
      </c>
      <c r="B1565">
        <v>3</v>
      </c>
      <c r="C1565">
        <v>35</v>
      </c>
      <c r="D1565">
        <v>122</v>
      </c>
      <c r="E1565" t="s">
        <v>128</v>
      </c>
      <c r="F1565" s="12">
        <v>45562</v>
      </c>
      <c r="G1565" t="s">
        <v>1094</v>
      </c>
      <c r="H1565" s="12">
        <v>45562</v>
      </c>
      <c r="I1565" t="s">
        <v>2101</v>
      </c>
      <c r="J1565" t="s">
        <v>458</v>
      </c>
      <c r="K1565">
        <v>2</v>
      </c>
      <c r="L1565">
        <v>33.4</v>
      </c>
      <c r="P1565" t="s">
        <v>106</v>
      </c>
      <c r="Q1565" t="s">
        <v>106</v>
      </c>
      <c r="R1565" t="s">
        <v>106</v>
      </c>
      <c r="S1565" t="s">
        <v>106</v>
      </c>
      <c r="T1565" t="s">
        <v>757</v>
      </c>
      <c r="U1565" t="s">
        <v>1651</v>
      </c>
      <c r="V1565" t="s">
        <v>106</v>
      </c>
      <c r="W1565" t="s">
        <v>443</v>
      </c>
      <c r="X1565" t="s">
        <v>106</v>
      </c>
      <c r="Y1565" t="s">
        <v>108</v>
      </c>
      <c r="Z1565" t="s">
        <v>108</v>
      </c>
      <c r="AA1565" t="s">
        <v>106</v>
      </c>
      <c r="AB1565" t="s">
        <v>106</v>
      </c>
    </row>
    <row r="1566" spans="1:28" x14ac:dyDescent="0.3">
      <c r="A1566" t="s">
        <v>1460</v>
      </c>
      <c r="B1566">
        <v>3</v>
      </c>
      <c r="C1566">
        <v>35</v>
      </c>
      <c r="D1566">
        <v>121</v>
      </c>
      <c r="E1566" t="s">
        <v>128</v>
      </c>
      <c r="F1566" s="12">
        <v>45562</v>
      </c>
      <c r="G1566" t="s">
        <v>1094</v>
      </c>
      <c r="H1566" s="12">
        <v>45562</v>
      </c>
      <c r="I1566" t="s">
        <v>2101</v>
      </c>
      <c r="J1566" t="s">
        <v>458</v>
      </c>
      <c r="K1566">
        <v>2</v>
      </c>
      <c r="L1566">
        <v>34.200000000000003</v>
      </c>
      <c r="P1566" t="s">
        <v>106</v>
      </c>
      <c r="Q1566" t="s">
        <v>106</v>
      </c>
      <c r="R1566" t="s">
        <v>106</v>
      </c>
      <c r="S1566" t="s">
        <v>106</v>
      </c>
      <c r="T1566" t="s">
        <v>1650</v>
      </c>
      <c r="U1566" t="s">
        <v>1382</v>
      </c>
      <c r="V1566" t="s">
        <v>106</v>
      </c>
      <c r="W1566" t="s">
        <v>443</v>
      </c>
      <c r="X1566" t="s">
        <v>106</v>
      </c>
      <c r="Y1566" t="s">
        <v>108</v>
      </c>
      <c r="Z1566" t="s">
        <v>108</v>
      </c>
      <c r="AA1566" t="s">
        <v>106</v>
      </c>
      <c r="AB1566" t="s">
        <v>106</v>
      </c>
    </row>
    <row r="1567" spans="1:28" x14ac:dyDescent="0.3">
      <c r="A1567" t="s">
        <v>1460</v>
      </c>
      <c r="B1567">
        <v>3</v>
      </c>
      <c r="C1567">
        <v>35</v>
      </c>
      <c r="D1567">
        <v>116</v>
      </c>
      <c r="E1567" t="s">
        <v>128</v>
      </c>
      <c r="F1567" s="12">
        <v>45562</v>
      </c>
      <c r="G1567" t="s">
        <v>1086</v>
      </c>
      <c r="H1567" s="12">
        <v>45562</v>
      </c>
      <c r="I1567" t="s">
        <v>2099</v>
      </c>
      <c r="J1567" t="s">
        <v>458</v>
      </c>
      <c r="K1567">
        <v>2</v>
      </c>
      <c r="L1567">
        <v>35.700000000000003</v>
      </c>
      <c r="P1567" t="s">
        <v>106</v>
      </c>
      <c r="Q1567" t="s">
        <v>106</v>
      </c>
      <c r="R1567" t="s">
        <v>106</v>
      </c>
      <c r="S1567" t="s">
        <v>106</v>
      </c>
      <c r="T1567" t="s">
        <v>1817</v>
      </c>
      <c r="U1567" t="s">
        <v>1418</v>
      </c>
      <c r="V1567" t="s">
        <v>106</v>
      </c>
      <c r="W1567" t="s">
        <v>443</v>
      </c>
      <c r="X1567" t="s">
        <v>106</v>
      </c>
      <c r="Y1567" t="s">
        <v>108</v>
      </c>
      <c r="Z1567" t="s">
        <v>108</v>
      </c>
      <c r="AA1567" t="s">
        <v>106</v>
      </c>
      <c r="AB1567" t="s">
        <v>106</v>
      </c>
    </row>
    <row r="1568" spans="1:28" x14ac:dyDescent="0.3">
      <c r="A1568" t="s">
        <v>1460</v>
      </c>
      <c r="B1568">
        <v>3</v>
      </c>
      <c r="C1568">
        <v>35</v>
      </c>
      <c r="D1568">
        <v>136</v>
      </c>
      <c r="E1568" t="s">
        <v>128</v>
      </c>
      <c r="F1568" s="12">
        <v>45562</v>
      </c>
      <c r="G1568" t="s">
        <v>2355</v>
      </c>
      <c r="H1568" s="12">
        <v>45562</v>
      </c>
      <c r="I1568" t="s">
        <v>951</v>
      </c>
      <c r="J1568" t="s">
        <v>1363</v>
      </c>
      <c r="K1568">
        <v>2</v>
      </c>
      <c r="L1568">
        <v>36.1</v>
      </c>
      <c r="P1568" t="s">
        <v>106</v>
      </c>
      <c r="Q1568" t="s">
        <v>106</v>
      </c>
      <c r="R1568" t="s">
        <v>106</v>
      </c>
      <c r="S1568" t="s">
        <v>106</v>
      </c>
      <c r="T1568" t="s">
        <v>1876</v>
      </c>
      <c r="U1568" t="s">
        <v>1411</v>
      </c>
      <c r="V1568" t="s">
        <v>106</v>
      </c>
      <c r="W1568" t="s">
        <v>2015</v>
      </c>
      <c r="X1568" t="s">
        <v>106</v>
      </c>
      <c r="Y1568" t="s">
        <v>108</v>
      </c>
      <c r="Z1568" t="s">
        <v>108</v>
      </c>
      <c r="AA1568" t="s">
        <v>106</v>
      </c>
      <c r="AB1568" t="s">
        <v>106</v>
      </c>
    </row>
    <row r="1569" spans="1:28" x14ac:dyDescent="0.3">
      <c r="A1569" t="s">
        <v>1460</v>
      </c>
      <c r="B1569">
        <v>3</v>
      </c>
      <c r="C1569">
        <v>35</v>
      </c>
      <c r="D1569">
        <v>131</v>
      </c>
      <c r="E1569" t="s">
        <v>128</v>
      </c>
      <c r="F1569" s="12">
        <v>45562</v>
      </c>
      <c r="G1569" t="s">
        <v>1166</v>
      </c>
      <c r="H1569" s="12">
        <v>45562</v>
      </c>
      <c r="I1569" t="s">
        <v>2101</v>
      </c>
      <c r="J1569" t="s">
        <v>458</v>
      </c>
      <c r="K1569">
        <v>2</v>
      </c>
      <c r="L1569">
        <v>36.1</v>
      </c>
      <c r="P1569" t="s">
        <v>106</v>
      </c>
      <c r="Q1569" t="s">
        <v>106</v>
      </c>
      <c r="R1569" t="s">
        <v>106</v>
      </c>
      <c r="S1569" t="s">
        <v>106</v>
      </c>
      <c r="T1569" t="s">
        <v>934</v>
      </c>
      <c r="U1569" t="s">
        <v>1482</v>
      </c>
      <c r="V1569" t="s">
        <v>106</v>
      </c>
      <c r="W1569" t="s">
        <v>443</v>
      </c>
      <c r="X1569" t="s">
        <v>106</v>
      </c>
      <c r="Y1569" t="s">
        <v>108</v>
      </c>
      <c r="Z1569" t="s">
        <v>108</v>
      </c>
      <c r="AA1569" t="s">
        <v>106</v>
      </c>
      <c r="AB1569" t="s">
        <v>106</v>
      </c>
    </row>
    <row r="1570" spans="1:28" x14ac:dyDescent="0.3">
      <c r="A1570" t="s">
        <v>1460</v>
      </c>
      <c r="B1570">
        <v>3</v>
      </c>
      <c r="C1570">
        <v>35</v>
      </c>
      <c r="D1570">
        <v>135</v>
      </c>
      <c r="E1570" t="s">
        <v>128</v>
      </c>
      <c r="F1570" s="12">
        <v>45562</v>
      </c>
      <c r="G1570" t="s">
        <v>2355</v>
      </c>
      <c r="H1570" s="12">
        <v>45562</v>
      </c>
      <c r="I1570" t="s">
        <v>951</v>
      </c>
      <c r="J1570" t="s">
        <v>1363</v>
      </c>
      <c r="K1570">
        <v>2</v>
      </c>
      <c r="L1570">
        <v>32.700000000000003</v>
      </c>
      <c r="P1570" t="s">
        <v>106</v>
      </c>
      <c r="Q1570" t="s">
        <v>106</v>
      </c>
      <c r="R1570" t="s">
        <v>106</v>
      </c>
      <c r="S1570" t="s">
        <v>106</v>
      </c>
      <c r="T1570" t="s">
        <v>1885</v>
      </c>
      <c r="U1570" t="s">
        <v>429</v>
      </c>
      <c r="V1570" t="s">
        <v>106</v>
      </c>
      <c r="W1570" t="s">
        <v>2015</v>
      </c>
      <c r="X1570" t="s">
        <v>106</v>
      </c>
      <c r="Y1570" t="s">
        <v>108</v>
      </c>
      <c r="Z1570" t="s">
        <v>108</v>
      </c>
      <c r="AA1570" t="s">
        <v>106</v>
      </c>
      <c r="AB1570" t="s">
        <v>106</v>
      </c>
    </row>
    <row r="1571" spans="1:28" x14ac:dyDescent="0.3">
      <c r="A1571" t="s">
        <v>1460</v>
      </c>
      <c r="B1571">
        <v>3</v>
      </c>
      <c r="C1571">
        <v>35</v>
      </c>
      <c r="D1571">
        <v>132</v>
      </c>
      <c r="E1571" t="s">
        <v>128</v>
      </c>
      <c r="F1571" s="12">
        <v>45562</v>
      </c>
      <c r="G1571" t="s">
        <v>1166</v>
      </c>
      <c r="H1571" s="12">
        <v>45562</v>
      </c>
      <c r="I1571" t="s">
        <v>2101</v>
      </c>
      <c r="J1571" t="s">
        <v>458</v>
      </c>
      <c r="K1571">
        <v>2</v>
      </c>
      <c r="L1571">
        <v>37.5</v>
      </c>
      <c r="P1571" t="s">
        <v>106</v>
      </c>
      <c r="Q1571" t="s">
        <v>106</v>
      </c>
      <c r="R1571" t="s">
        <v>106</v>
      </c>
      <c r="S1571" t="s">
        <v>106</v>
      </c>
      <c r="T1571" t="s">
        <v>756</v>
      </c>
      <c r="U1571" t="s">
        <v>430</v>
      </c>
      <c r="V1571" t="s">
        <v>106</v>
      </c>
      <c r="W1571" t="s">
        <v>443</v>
      </c>
      <c r="X1571" t="s">
        <v>106</v>
      </c>
      <c r="Y1571" t="s">
        <v>108</v>
      </c>
      <c r="Z1571" t="s">
        <v>108</v>
      </c>
      <c r="AA1571" t="s">
        <v>106</v>
      </c>
      <c r="AB1571" t="s">
        <v>106</v>
      </c>
    </row>
    <row r="1572" spans="1:28" x14ac:dyDescent="0.3">
      <c r="A1572" t="s">
        <v>1460</v>
      </c>
      <c r="B1572">
        <v>4</v>
      </c>
      <c r="C1572">
        <v>60</v>
      </c>
      <c r="D1572">
        <v>118</v>
      </c>
      <c r="E1572" t="s">
        <v>128</v>
      </c>
      <c r="F1572" s="12">
        <v>45562</v>
      </c>
      <c r="G1572" t="s">
        <v>619</v>
      </c>
      <c r="H1572" s="12">
        <v>45562</v>
      </c>
      <c r="I1572" t="s">
        <v>2099</v>
      </c>
      <c r="J1572" t="s">
        <v>458</v>
      </c>
      <c r="K1572">
        <v>2</v>
      </c>
      <c r="L1572">
        <v>59.5</v>
      </c>
      <c r="P1572" t="s">
        <v>106</v>
      </c>
      <c r="Q1572" t="s">
        <v>106</v>
      </c>
      <c r="R1572" t="s">
        <v>106</v>
      </c>
      <c r="S1572" t="s">
        <v>106</v>
      </c>
      <c r="T1572" t="s">
        <v>1431</v>
      </c>
      <c r="U1572" t="s">
        <v>904</v>
      </c>
      <c r="V1572" t="s">
        <v>106</v>
      </c>
      <c r="W1572" t="s">
        <v>443</v>
      </c>
      <c r="X1572" t="s">
        <v>106</v>
      </c>
      <c r="Y1572" t="s">
        <v>108</v>
      </c>
      <c r="Z1572" t="s">
        <v>104</v>
      </c>
      <c r="AA1572" t="s">
        <v>106</v>
      </c>
      <c r="AB1572" t="s">
        <v>106</v>
      </c>
    </row>
    <row r="1573" spans="1:28" x14ac:dyDescent="0.3">
      <c r="A1573" t="s">
        <v>1460</v>
      </c>
      <c r="B1573">
        <v>4</v>
      </c>
      <c r="C1573">
        <v>60</v>
      </c>
      <c r="D1573">
        <v>120</v>
      </c>
      <c r="E1573" t="s">
        <v>128</v>
      </c>
      <c r="F1573" s="12">
        <v>45562</v>
      </c>
      <c r="G1573" t="s">
        <v>1094</v>
      </c>
      <c r="H1573" s="12">
        <v>45562</v>
      </c>
      <c r="I1573" t="s">
        <v>2101</v>
      </c>
      <c r="J1573" t="s">
        <v>458</v>
      </c>
      <c r="K1573">
        <v>2</v>
      </c>
      <c r="L1573">
        <v>53.1</v>
      </c>
      <c r="P1573" t="s">
        <v>106</v>
      </c>
      <c r="Q1573" t="s">
        <v>106</v>
      </c>
      <c r="R1573" t="s">
        <v>106</v>
      </c>
      <c r="S1573" t="s">
        <v>106</v>
      </c>
      <c r="T1573" t="s">
        <v>1516</v>
      </c>
      <c r="U1573" t="s">
        <v>1418</v>
      </c>
      <c r="V1573" t="s">
        <v>106</v>
      </c>
      <c r="W1573" t="s">
        <v>443</v>
      </c>
      <c r="X1573" t="s">
        <v>106</v>
      </c>
      <c r="Y1573" t="s">
        <v>108</v>
      </c>
      <c r="Z1573" t="s">
        <v>104</v>
      </c>
      <c r="AA1573" t="s">
        <v>106</v>
      </c>
      <c r="AB1573" t="s">
        <v>106</v>
      </c>
    </row>
    <row r="1574" spans="1:28" x14ac:dyDescent="0.3">
      <c r="A1574" t="s">
        <v>1460</v>
      </c>
      <c r="B1574">
        <v>4</v>
      </c>
      <c r="C1574">
        <v>60</v>
      </c>
      <c r="D1574">
        <v>117</v>
      </c>
      <c r="E1574" t="s">
        <v>128</v>
      </c>
      <c r="F1574" s="12">
        <v>45562</v>
      </c>
      <c r="G1574" t="s">
        <v>1092</v>
      </c>
      <c r="H1574" s="12">
        <v>45562</v>
      </c>
      <c r="I1574" t="s">
        <v>2099</v>
      </c>
      <c r="J1574" t="s">
        <v>458</v>
      </c>
      <c r="K1574">
        <v>2</v>
      </c>
      <c r="L1574">
        <v>63.1</v>
      </c>
      <c r="P1574" t="s">
        <v>106</v>
      </c>
      <c r="Q1574" t="s">
        <v>106</v>
      </c>
      <c r="R1574" t="s">
        <v>106</v>
      </c>
      <c r="S1574" t="s">
        <v>106</v>
      </c>
      <c r="T1574" t="s">
        <v>482</v>
      </c>
      <c r="U1574" t="s">
        <v>395</v>
      </c>
      <c r="V1574" t="s">
        <v>106</v>
      </c>
      <c r="W1574" t="s">
        <v>443</v>
      </c>
      <c r="X1574" t="s">
        <v>106</v>
      </c>
      <c r="Y1574" t="s">
        <v>108</v>
      </c>
      <c r="Z1574" t="s">
        <v>104</v>
      </c>
      <c r="AA1574" t="s">
        <v>106</v>
      </c>
      <c r="AB1574" t="s">
        <v>106</v>
      </c>
    </row>
    <row r="1575" spans="1:28" x14ac:dyDescent="0.3">
      <c r="A1575" t="s">
        <v>1460</v>
      </c>
      <c r="B1575">
        <v>4</v>
      </c>
      <c r="C1575">
        <v>60</v>
      </c>
      <c r="D1575">
        <v>119</v>
      </c>
      <c r="E1575" t="s">
        <v>128</v>
      </c>
      <c r="F1575" s="12">
        <v>45562</v>
      </c>
      <c r="G1575" t="s">
        <v>619</v>
      </c>
      <c r="H1575" s="12">
        <v>45562</v>
      </c>
      <c r="I1575" t="s">
        <v>2101</v>
      </c>
      <c r="J1575" t="s">
        <v>458</v>
      </c>
      <c r="K1575">
        <v>2</v>
      </c>
      <c r="L1575">
        <v>63.2</v>
      </c>
      <c r="P1575" t="s">
        <v>106</v>
      </c>
      <c r="Q1575" t="s">
        <v>106</v>
      </c>
      <c r="R1575" t="s">
        <v>106</v>
      </c>
      <c r="S1575" t="s">
        <v>106</v>
      </c>
      <c r="T1575" t="s">
        <v>1041</v>
      </c>
      <c r="U1575" t="s">
        <v>1651</v>
      </c>
      <c r="V1575" t="s">
        <v>106</v>
      </c>
      <c r="W1575" t="s">
        <v>443</v>
      </c>
      <c r="X1575" t="s">
        <v>106</v>
      </c>
      <c r="Y1575" t="s">
        <v>108</v>
      </c>
      <c r="Z1575" t="s">
        <v>104</v>
      </c>
      <c r="AA1575" t="s">
        <v>106</v>
      </c>
      <c r="AB1575" t="s">
        <v>106</v>
      </c>
    </row>
    <row r="1576" spans="1:28" x14ac:dyDescent="0.3">
      <c r="A1576" t="s">
        <v>1460</v>
      </c>
      <c r="B1576">
        <v>4</v>
      </c>
      <c r="C1576">
        <v>60</v>
      </c>
      <c r="D1576">
        <v>126</v>
      </c>
      <c r="E1576" t="s">
        <v>128</v>
      </c>
      <c r="F1576" s="12">
        <v>45562</v>
      </c>
      <c r="G1576" t="s">
        <v>852</v>
      </c>
      <c r="H1576" s="12">
        <v>45562</v>
      </c>
      <c r="I1576" t="s">
        <v>2101</v>
      </c>
      <c r="J1576" t="s">
        <v>458</v>
      </c>
      <c r="K1576">
        <v>2</v>
      </c>
      <c r="L1576">
        <v>56.3</v>
      </c>
      <c r="P1576" t="s">
        <v>106</v>
      </c>
      <c r="Q1576" t="s">
        <v>106</v>
      </c>
      <c r="R1576" t="s">
        <v>106</v>
      </c>
      <c r="S1576" t="s">
        <v>106</v>
      </c>
      <c r="T1576" t="s">
        <v>1379</v>
      </c>
      <c r="U1576" t="s">
        <v>141</v>
      </c>
      <c r="V1576" t="s">
        <v>106</v>
      </c>
      <c r="W1576" t="s">
        <v>443</v>
      </c>
      <c r="X1576" t="s">
        <v>106</v>
      </c>
      <c r="Y1576" t="s">
        <v>108</v>
      </c>
      <c r="Z1576" t="s">
        <v>104</v>
      </c>
      <c r="AA1576" t="s">
        <v>106</v>
      </c>
      <c r="AB1576" t="s">
        <v>106</v>
      </c>
    </row>
    <row r="1577" spans="1:28" x14ac:dyDescent="0.3">
      <c r="A1577" t="s">
        <v>1460</v>
      </c>
      <c r="B1577">
        <v>4</v>
      </c>
      <c r="C1577">
        <v>60</v>
      </c>
      <c r="D1577">
        <v>133</v>
      </c>
      <c r="E1577" t="s">
        <v>128</v>
      </c>
      <c r="F1577" s="12">
        <v>45562</v>
      </c>
      <c r="G1577" t="s">
        <v>1166</v>
      </c>
      <c r="H1577" s="12">
        <v>45562</v>
      </c>
      <c r="I1577" t="s">
        <v>2101</v>
      </c>
      <c r="J1577" t="s">
        <v>458</v>
      </c>
      <c r="K1577">
        <v>2</v>
      </c>
      <c r="L1577">
        <v>61.7</v>
      </c>
      <c r="P1577" t="s">
        <v>106</v>
      </c>
      <c r="Q1577" t="s">
        <v>106</v>
      </c>
      <c r="R1577" t="s">
        <v>106</v>
      </c>
      <c r="S1577" t="s">
        <v>106</v>
      </c>
      <c r="T1577" t="s">
        <v>934</v>
      </c>
      <c r="U1577" t="s">
        <v>1410</v>
      </c>
      <c r="V1577" t="s">
        <v>106</v>
      </c>
      <c r="W1577" t="s">
        <v>443</v>
      </c>
      <c r="X1577" t="s">
        <v>106</v>
      </c>
      <c r="Y1577" t="s">
        <v>108</v>
      </c>
      <c r="Z1577" t="s">
        <v>104</v>
      </c>
      <c r="AA1577" t="s">
        <v>106</v>
      </c>
      <c r="AB1577" t="s">
        <v>106</v>
      </c>
    </row>
    <row r="1578" spans="1:28" x14ac:dyDescent="0.3">
      <c r="A1578" t="s">
        <v>1460</v>
      </c>
      <c r="B1578">
        <v>4</v>
      </c>
      <c r="C1578">
        <v>60</v>
      </c>
      <c r="D1578">
        <v>134</v>
      </c>
      <c r="E1578" t="s">
        <v>128</v>
      </c>
      <c r="F1578" s="12">
        <v>45562</v>
      </c>
      <c r="G1578" t="s">
        <v>1437</v>
      </c>
      <c r="H1578" s="12">
        <v>45562</v>
      </c>
      <c r="I1578" t="s">
        <v>2101</v>
      </c>
      <c r="J1578" t="s">
        <v>458</v>
      </c>
      <c r="K1578">
        <v>2</v>
      </c>
      <c r="L1578">
        <v>58.7</v>
      </c>
      <c r="P1578" t="s">
        <v>106</v>
      </c>
      <c r="Q1578" t="s">
        <v>106</v>
      </c>
      <c r="R1578" t="s">
        <v>106</v>
      </c>
      <c r="S1578" t="s">
        <v>106</v>
      </c>
      <c r="T1578" t="s">
        <v>1449</v>
      </c>
      <c r="U1578" t="s">
        <v>1477</v>
      </c>
      <c r="V1578" t="s">
        <v>106</v>
      </c>
      <c r="W1578" t="s">
        <v>443</v>
      </c>
      <c r="X1578" t="s">
        <v>106</v>
      </c>
      <c r="Y1578" t="s">
        <v>108</v>
      </c>
      <c r="Z1578" t="s">
        <v>104</v>
      </c>
      <c r="AA1578" t="s">
        <v>106</v>
      </c>
      <c r="AB1578" t="s">
        <v>106</v>
      </c>
    </row>
    <row r="1579" spans="1:28" x14ac:dyDescent="0.3">
      <c r="A1579" t="s">
        <v>1460</v>
      </c>
      <c r="B1579">
        <v>4</v>
      </c>
      <c r="C1579">
        <v>60</v>
      </c>
      <c r="D1579">
        <v>139</v>
      </c>
      <c r="E1579" t="s">
        <v>128</v>
      </c>
      <c r="F1579" s="12">
        <v>45562</v>
      </c>
      <c r="G1579" t="s">
        <v>573</v>
      </c>
      <c r="H1579" s="12">
        <v>45562</v>
      </c>
      <c r="I1579" t="s">
        <v>951</v>
      </c>
      <c r="J1579" t="s">
        <v>1363</v>
      </c>
      <c r="K1579">
        <v>2</v>
      </c>
      <c r="L1579">
        <v>60.5</v>
      </c>
      <c r="P1579" t="s">
        <v>106</v>
      </c>
      <c r="Q1579" t="s">
        <v>106</v>
      </c>
      <c r="R1579" t="s">
        <v>106</v>
      </c>
      <c r="S1579" t="s">
        <v>106</v>
      </c>
      <c r="T1579" t="s">
        <v>1603</v>
      </c>
      <c r="U1579" t="s">
        <v>429</v>
      </c>
      <c r="V1579" t="s">
        <v>106</v>
      </c>
      <c r="W1579" t="s">
        <v>2015</v>
      </c>
      <c r="X1579" t="s">
        <v>106</v>
      </c>
      <c r="Y1579" t="s">
        <v>108</v>
      </c>
      <c r="Z1579" t="s">
        <v>104</v>
      </c>
      <c r="AA1579" t="s">
        <v>106</v>
      </c>
      <c r="AB1579" t="s">
        <v>106</v>
      </c>
    </row>
    <row r="1580" spans="1:28" x14ac:dyDescent="0.3">
      <c r="A1580" t="s">
        <v>1460</v>
      </c>
      <c r="B1580">
        <v>4</v>
      </c>
      <c r="C1580">
        <v>60</v>
      </c>
      <c r="D1580">
        <v>140</v>
      </c>
      <c r="E1580" t="s">
        <v>128</v>
      </c>
      <c r="F1580" s="12">
        <v>45562</v>
      </c>
      <c r="G1580" t="s">
        <v>1787</v>
      </c>
      <c r="H1580" s="12">
        <v>45562</v>
      </c>
      <c r="I1580" t="s">
        <v>951</v>
      </c>
      <c r="J1580" t="s">
        <v>1363</v>
      </c>
      <c r="K1580">
        <v>2</v>
      </c>
      <c r="L1580">
        <v>62.2</v>
      </c>
      <c r="P1580" t="s">
        <v>106</v>
      </c>
      <c r="Q1580" t="s">
        <v>106</v>
      </c>
      <c r="R1580" t="s">
        <v>106</v>
      </c>
      <c r="S1580" t="s">
        <v>106</v>
      </c>
      <c r="T1580" t="s">
        <v>1449</v>
      </c>
      <c r="U1580" t="s">
        <v>1776</v>
      </c>
      <c r="V1580" t="s">
        <v>106</v>
      </c>
      <c r="W1580" t="s">
        <v>2015</v>
      </c>
      <c r="X1580" t="s">
        <v>106</v>
      </c>
      <c r="Y1580" t="s">
        <v>108</v>
      </c>
      <c r="Z1580" t="s">
        <v>104</v>
      </c>
      <c r="AA1580" t="s">
        <v>106</v>
      </c>
      <c r="AB1580" t="s">
        <v>106</v>
      </c>
    </row>
    <row r="1581" spans="1:28" x14ac:dyDescent="0.3">
      <c r="A1581" t="s">
        <v>1460</v>
      </c>
      <c r="B1581">
        <v>2</v>
      </c>
      <c r="C1581">
        <v>15</v>
      </c>
      <c r="D1581">
        <v>149</v>
      </c>
      <c r="E1581" t="s">
        <v>128</v>
      </c>
      <c r="F1581" s="12">
        <v>45565</v>
      </c>
      <c r="G1581" t="s">
        <v>378</v>
      </c>
      <c r="H1581" s="12">
        <v>45565</v>
      </c>
      <c r="I1581" t="s">
        <v>648</v>
      </c>
      <c r="J1581" t="s">
        <v>1818</v>
      </c>
      <c r="K1581">
        <v>2</v>
      </c>
      <c r="L1581">
        <v>16.399999999999999</v>
      </c>
      <c r="P1581" t="s">
        <v>106</v>
      </c>
      <c r="Q1581" t="s">
        <v>106</v>
      </c>
      <c r="R1581" t="s">
        <v>106</v>
      </c>
      <c r="S1581" t="s">
        <v>106</v>
      </c>
      <c r="T1581" t="s">
        <v>106</v>
      </c>
      <c r="U1581" t="s">
        <v>427</v>
      </c>
      <c r="V1581" t="s">
        <v>106</v>
      </c>
      <c r="W1581" t="s">
        <v>443</v>
      </c>
      <c r="X1581" t="s">
        <v>106</v>
      </c>
      <c r="Y1581" t="s">
        <v>108</v>
      </c>
      <c r="Z1581" t="s">
        <v>109</v>
      </c>
      <c r="AA1581" t="s">
        <v>106</v>
      </c>
      <c r="AB1581" t="s">
        <v>106</v>
      </c>
    </row>
    <row r="1582" spans="1:28" x14ac:dyDescent="0.3">
      <c r="A1582" t="s">
        <v>1460</v>
      </c>
      <c r="B1582">
        <v>2</v>
      </c>
      <c r="C1582">
        <v>15</v>
      </c>
      <c r="D1582">
        <v>150</v>
      </c>
      <c r="E1582" t="s">
        <v>128</v>
      </c>
      <c r="F1582" s="12">
        <v>45565</v>
      </c>
      <c r="G1582" t="s">
        <v>378</v>
      </c>
      <c r="H1582" s="12">
        <v>45565</v>
      </c>
      <c r="I1582" t="s">
        <v>648</v>
      </c>
      <c r="J1582" t="s">
        <v>1818</v>
      </c>
      <c r="K1582">
        <v>2</v>
      </c>
      <c r="L1582">
        <v>14.8</v>
      </c>
      <c r="P1582" t="s">
        <v>106</v>
      </c>
      <c r="Q1582" t="s">
        <v>106</v>
      </c>
      <c r="R1582" t="s">
        <v>106</v>
      </c>
      <c r="S1582" t="s">
        <v>106</v>
      </c>
      <c r="T1582" t="s">
        <v>106</v>
      </c>
      <c r="U1582" t="s">
        <v>1780</v>
      </c>
      <c r="V1582" t="s">
        <v>106</v>
      </c>
      <c r="W1582" t="s">
        <v>443</v>
      </c>
      <c r="X1582" t="s">
        <v>106</v>
      </c>
      <c r="Y1582" t="s">
        <v>108</v>
      </c>
      <c r="Z1582" t="s">
        <v>109</v>
      </c>
      <c r="AA1582" t="s">
        <v>106</v>
      </c>
      <c r="AB1582" t="s">
        <v>106</v>
      </c>
    </row>
    <row r="1583" spans="1:28" x14ac:dyDescent="0.3">
      <c r="A1583" t="s">
        <v>1460</v>
      </c>
      <c r="B1583">
        <v>2</v>
      </c>
      <c r="C1583">
        <v>15</v>
      </c>
      <c r="D1583">
        <v>141</v>
      </c>
      <c r="E1583" t="s">
        <v>128</v>
      </c>
      <c r="F1583" s="12">
        <v>45565</v>
      </c>
      <c r="G1583" t="s">
        <v>409</v>
      </c>
      <c r="H1583" s="12">
        <v>45565</v>
      </c>
      <c r="I1583" t="s">
        <v>2102</v>
      </c>
      <c r="J1583" t="s">
        <v>1818</v>
      </c>
      <c r="K1583">
        <v>2</v>
      </c>
      <c r="L1583">
        <v>16.399999999999999</v>
      </c>
      <c r="P1583" t="s">
        <v>106</v>
      </c>
      <c r="Q1583" t="s">
        <v>106</v>
      </c>
      <c r="R1583" t="s">
        <v>106</v>
      </c>
      <c r="S1583" t="s">
        <v>106</v>
      </c>
      <c r="T1583" t="s">
        <v>106</v>
      </c>
      <c r="U1583" t="s">
        <v>427</v>
      </c>
      <c r="V1583" t="s">
        <v>106</v>
      </c>
      <c r="W1583" t="s">
        <v>443</v>
      </c>
      <c r="X1583" t="s">
        <v>106</v>
      </c>
      <c r="Y1583" t="s">
        <v>108</v>
      </c>
      <c r="Z1583" t="s">
        <v>109</v>
      </c>
      <c r="AA1583" t="s">
        <v>106</v>
      </c>
      <c r="AB1583" t="s">
        <v>106</v>
      </c>
    </row>
    <row r="1584" spans="1:28" x14ac:dyDescent="0.3">
      <c r="A1584" t="s">
        <v>1460</v>
      </c>
      <c r="B1584">
        <v>2</v>
      </c>
      <c r="C1584">
        <v>15</v>
      </c>
      <c r="D1584">
        <v>142</v>
      </c>
      <c r="E1584" t="s">
        <v>128</v>
      </c>
      <c r="F1584" s="12">
        <v>45565</v>
      </c>
      <c r="G1584" t="s">
        <v>409</v>
      </c>
      <c r="H1584" s="12">
        <v>45565</v>
      </c>
      <c r="I1584" t="s">
        <v>2102</v>
      </c>
      <c r="J1584" t="s">
        <v>1818</v>
      </c>
      <c r="K1584">
        <v>2</v>
      </c>
      <c r="L1584">
        <v>15.3</v>
      </c>
      <c r="P1584" t="s">
        <v>106</v>
      </c>
      <c r="Q1584" t="s">
        <v>106</v>
      </c>
      <c r="R1584" t="s">
        <v>106</v>
      </c>
      <c r="S1584" t="s">
        <v>106</v>
      </c>
      <c r="T1584" t="s">
        <v>106</v>
      </c>
      <c r="U1584" t="s">
        <v>1418</v>
      </c>
      <c r="V1584" t="s">
        <v>106</v>
      </c>
      <c r="W1584" t="s">
        <v>443</v>
      </c>
      <c r="X1584" t="s">
        <v>106</v>
      </c>
      <c r="Y1584" t="s">
        <v>108</v>
      </c>
      <c r="Z1584" t="s">
        <v>109</v>
      </c>
      <c r="AA1584" t="s">
        <v>106</v>
      </c>
      <c r="AB1584" t="s">
        <v>106</v>
      </c>
    </row>
    <row r="1585" spans="1:28" x14ac:dyDescent="0.3">
      <c r="A1585" t="s">
        <v>1460</v>
      </c>
      <c r="B1585">
        <v>3</v>
      </c>
      <c r="C1585">
        <v>35</v>
      </c>
      <c r="D1585">
        <v>151</v>
      </c>
      <c r="E1585" t="s">
        <v>128</v>
      </c>
      <c r="F1585" s="12">
        <v>45565</v>
      </c>
      <c r="G1585" t="s">
        <v>320</v>
      </c>
      <c r="H1585" s="12">
        <v>45565</v>
      </c>
      <c r="I1585" t="s">
        <v>648</v>
      </c>
      <c r="J1585" t="s">
        <v>1818</v>
      </c>
      <c r="K1585">
        <v>2</v>
      </c>
      <c r="L1585">
        <v>39.299999999999997</v>
      </c>
      <c r="P1585" t="s">
        <v>106</v>
      </c>
      <c r="Q1585" t="s">
        <v>106</v>
      </c>
      <c r="R1585" t="s">
        <v>106</v>
      </c>
      <c r="S1585" t="s">
        <v>106</v>
      </c>
      <c r="T1585" t="s">
        <v>106</v>
      </c>
      <c r="U1585" t="s">
        <v>1410</v>
      </c>
      <c r="V1585" t="s">
        <v>106</v>
      </c>
      <c r="W1585" t="s">
        <v>443</v>
      </c>
      <c r="X1585" t="s">
        <v>106</v>
      </c>
      <c r="Y1585" t="s">
        <v>108</v>
      </c>
      <c r="Z1585" t="s">
        <v>108</v>
      </c>
      <c r="AA1585" t="s">
        <v>106</v>
      </c>
      <c r="AB1585" t="s">
        <v>106</v>
      </c>
    </row>
    <row r="1586" spans="1:28" x14ac:dyDescent="0.3">
      <c r="A1586" t="s">
        <v>1460</v>
      </c>
      <c r="B1586">
        <v>3</v>
      </c>
      <c r="C1586">
        <v>35</v>
      </c>
      <c r="D1586">
        <v>143</v>
      </c>
      <c r="E1586" t="s">
        <v>128</v>
      </c>
      <c r="F1586" s="12">
        <v>45565</v>
      </c>
      <c r="G1586" t="s">
        <v>409</v>
      </c>
      <c r="H1586" s="12">
        <v>45565</v>
      </c>
      <c r="I1586" t="s">
        <v>2102</v>
      </c>
      <c r="J1586" t="s">
        <v>1818</v>
      </c>
      <c r="K1586">
        <v>2</v>
      </c>
      <c r="L1586">
        <v>38.799999999999997</v>
      </c>
      <c r="P1586" t="s">
        <v>106</v>
      </c>
      <c r="Q1586" t="s">
        <v>106</v>
      </c>
      <c r="R1586" t="s">
        <v>106</v>
      </c>
      <c r="S1586" t="s">
        <v>106</v>
      </c>
      <c r="T1586" t="s">
        <v>106</v>
      </c>
      <c r="U1586" t="s">
        <v>1411</v>
      </c>
      <c r="V1586" t="s">
        <v>106</v>
      </c>
      <c r="W1586" t="s">
        <v>443</v>
      </c>
      <c r="X1586" t="s">
        <v>106</v>
      </c>
      <c r="Y1586" t="s">
        <v>108</v>
      </c>
      <c r="Z1586" t="s">
        <v>108</v>
      </c>
      <c r="AA1586" t="s">
        <v>106</v>
      </c>
      <c r="AB1586" t="s">
        <v>106</v>
      </c>
    </row>
    <row r="1587" spans="1:28" x14ac:dyDescent="0.3">
      <c r="A1587" t="s">
        <v>1460</v>
      </c>
      <c r="B1587">
        <v>3</v>
      </c>
      <c r="C1587">
        <v>35</v>
      </c>
      <c r="D1587">
        <v>156</v>
      </c>
      <c r="E1587" t="s">
        <v>128</v>
      </c>
      <c r="F1587" s="12">
        <v>45565</v>
      </c>
      <c r="G1587" t="s">
        <v>1094</v>
      </c>
      <c r="H1587" s="12">
        <v>45565</v>
      </c>
      <c r="I1587" t="s">
        <v>648</v>
      </c>
      <c r="J1587" t="s">
        <v>1818</v>
      </c>
      <c r="K1587">
        <v>2</v>
      </c>
      <c r="L1587">
        <v>37.700000000000003</v>
      </c>
      <c r="P1587" t="s">
        <v>106</v>
      </c>
      <c r="Q1587" t="s">
        <v>106</v>
      </c>
      <c r="R1587" t="s">
        <v>106</v>
      </c>
      <c r="S1587" t="s">
        <v>106</v>
      </c>
      <c r="T1587" t="s">
        <v>106</v>
      </c>
      <c r="U1587" t="s">
        <v>1596</v>
      </c>
      <c r="V1587" t="s">
        <v>106</v>
      </c>
      <c r="W1587" t="s">
        <v>443</v>
      </c>
      <c r="X1587" t="s">
        <v>106</v>
      </c>
      <c r="Y1587" t="s">
        <v>108</v>
      </c>
      <c r="Z1587" t="s">
        <v>108</v>
      </c>
      <c r="AA1587" t="s">
        <v>106</v>
      </c>
      <c r="AB1587" t="s">
        <v>2505</v>
      </c>
    </row>
    <row r="1588" spans="1:28" x14ac:dyDescent="0.3">
      <c r="A1588" t="s">
        <v>1460</v>
      </c>
      <c r="B1588">
        <v>3</v>
      </c>
      <c r="C1588">
        <v>35</v>
      </c>
      <c r="D1588">
        <v>152</v>
      </c>
      <c r="E1588" t="s">
        <v>128</v>
      </c>
      <c r="F1588" s="12">
        <v>45565</v>
      </c>
      <c r="G1588" t="s">
        <v>320</v>
      </c>
      <c r="H1588" s="12">
        <v>45565</v>
      </c>
      <c r="I1588" t="s">
        <v>648</v>
      </c>
      <c r="J1588" t="s">
        <v>1818</v>
      </c>
      <c r="K1588">
        <v>2</v>
      </c>
      <c r="L1588">
        <v>35.4</v>
      </c>
      <c r="P1588" t="s">
        <v>106</v>
      </c>
      <c r="Q1588" t="s">
        <v>106</v>
      </c>
      <c r="R1588" t="s">
        <v>106</v>
      </c>
      <c r="S1588" t="s">
        <v>106</v>
      </c>
      <c r="T1588" t="s">
        <v>106</v>
      </c>
      <c r="U1588" t="s">
        <v>141</v>
      </c>
      <c r="V1588" t="s">
        <v>106</v>
      </c>
      <c r="W1588" t="s">
        <v>443</v>
      </c>
      <c r="X1588" t="s">
        <v>106</v>
      </c>
      <c r="Y1588" t="s">
        <v>108</v>
      </c>
      <c r="Z1588" t="s">
        <v>108</v>
      </c>
      <c r="AA1588" t="s">
        <v>106</v>
      </c>
      <c r="AB1588" t="s">
        <v>106</v>
      </c>
    </row>
    <row r="1589" spans="1:28" x14ac:dyDescent="0.3">
      <c r="A1589" t="s">
        <v>1460</v>
      </c>
      <c r="B1589">
        <v>3</v>
      </c>
      <c r="C1589">
        <v>35</v>
      </c>
      <c r="D1589">
        <v>146</v>
      </c>
      <c r="E1589" t="s">
        <v>128</v>
      </c>
      <c r="F1589" s="12">
        <v>45565</v>
      </c>
      <c r="G1589" t="s">
        <v>409</v>
      </c>
      <c r="H1589" s="12">
        <v>45565</v>
      </c>
      <c r="I1589" t="s">
        <v>2102</v>
      </c>
      <c r="J1589" t="s">
        <v>1818</v>
      </c>
      <c r="K1589">
        <v>2</v>
      </c>
      <c r="L1589">
        <v>33.299999999999997</v>
      </c>
      <c r="P1589" t="s">
        <v>106</v>
      </c>
      <c r="Q1589" t="s">
        <v>106</v>
      </c>
      <c r="R1589" t="s">
        <v>106</v>
      </c>
      <c r="S1589" t="s">
        <v>106</v>
      </c>
      <c r="T1589" t="s">
        <v>106</v>
      </c>
      <c r="U1589" t="s">
        <v>1345</v>
      </c>
      <c r="V1589" t="s">
        <v>106</v>
      </c>
      <c r="W1589" t="s">
        <v>443</v>
      </c>
      <c r="X1589" t="s">
        <v>106</v>
      </c>
      <c r="Y1589" t="s">
        <v>108</v>
      </c>
      <c r="Z1589" t="s">
        <v>108</v>
      </c>
      <c r="AA1589" t="s">
        <v>106</v>
      </c>
      <c r="AB1589" t="s">
        <v>106</v>
      </c>
    </row>
    <row r="1590" spans="1:28" x14ac:dyDescent="0.3">
      <c r="A1590" t="s">
        <v>1460</v>
      </c>
      <c r="B1590">
        <v>3</v>
      </c>
      <c r="C1590">
        <v>35</v>
      </c>
      <c r="D1590">
        <v>157</v>
      </c>
      <c r="E1590" t="s">
        <v>128</v>
      </c>
      <c r="F1590" s="12">
        <v>45565</v>
      </c>
      <c r="G1590" t="s">
        <v>1103</v>
      </c>
      <c r="H1590" s="12">
        <v>45565</v>
      </c>
      <c r="I1590" t="s">
        <v>648</v>
      </c>
      <c r="J1590" t="s">
        <v>1818</v>
      </c>
      <c r="K1590">
        <v>2</v>
      </c>
      <c r="L1590">
        <v>37.799999999999997</v>
      </c>
      <c r="P1590" t="s">
        <v>106</v>
      </c>
      <c r="Q1590" t="s">
        <v>106</v>
      </c>
      <c r="R1590" t="s">
        <v>106</v>
      </c>
      <c r="S1590" t="s">
        <v>106</v>
      </c>
      <c r="T1590" t="s">
        <v>106</v>
      </c>
      <c r="U1590" t="s">
        <v>1411</v>
      </c>
      <c r="V1590" t="s">
        <v>106</v>
      </c>
      <c r="W1590" t="s">
        <v>443</v>
      </c>
      <c r="X1590" t="s">
        <v>106</v>
      </c>
      <c r="Y1590" t="s">
        <v>108</v>
      </c>
      <c r="Z1590" t="s">
        <v>108</v>
      </c>
      <c r="AA1590" t="s">
        <v>106</v>
      </c>
      <c r="AB1590" t="s">
        <v>106</v>
      </c>
    </row>
    <row r="1591" spans="1:28" x14ac:dyDescent="0.3">
      <c r="A1591" t="s">
        <v>1460</v>
      </c>
      <c r="B1591">
        <v>3</v>
      </c>
      <c r="C1591">
        <v>35</v>
      </c>
      <c r="D1591">
        <v>144</v>
      </c>
      <c r="E1591" t="s">
        <v>128</v>
      </c>
      <c r="F1591" s="12">
        <v>45565</v>
      </c>
      <c r="G1591" t="s">
        <v>409</v>
      </c>
      <c r="H1591" s="12">
        <v>45565</v>
      </c>
      <c r="I1591" t="s">
        <v>2102</v>
      </c>
      <c r="J1591" t="s">
        <v>1818</v>
      </c>
      <c r="K1591">
        <v>2</v>
      </c>
      <c r="L1591">
        <v>33.5</v>
      </c>
      <c r="P1591" t="s">
        <v>106</v>
      </c>
      <c r="Q1591" t="s">
        <v>106</v>
      </c>
      <c r="R1591" t="s">
        <v>106</v>
      </c>
      <c r="S1591" t="s">
        <v>106</v>
      </c>
      <c r="T1591" t="s">
        <v>106</v>
      </c>
      <c r="U1591" t="s">
        <v>141</v>
      </c>
      <c r="V1591" t="s">
        <v>106</v>
      </c>
      <c r="W1591" t="s">
        <v>443</v>
      </c>
      <c r="X1591" t="s">
        <v>106</v>
      </c>
      <c r="Y1591" t="s">
        <v>108</v>
      </c>
      <c r="Z1591" t="s">
        <v>108</v>
      </c>
      <c r="AA1591" t="s">
        <v>106</v>
      </c>
      <c r="AB1591" t="s">
        <v>106</v>
      </c>
    </row>
    <row r="1592" spans="1:28" x14ac:dyDescent="0.3">
      <c r="A1592" t="s">
        <v>1460</v>
      </c>
      <c r="B1592">
        <v>3</v>
      </c>
      <c r="C1592">
        <v>35</v>
      </c>
      <c r="D1592">
        <v>153</v>
      </c>
      <c r="E1592" t="s">
        <v>128</v>
      </c>
      <c r="F1592" s="12">
        <v>45565</v>
      </c>
      <c r="G1592" t="s">
        <v>320</v>
      </c>
      <c r="H1592" s="12">
        <v>45565</v>
      </c>
      <c r="I1592" t="s">
        <v>648</v>
      </c>
      <c r="J1592" t="s">
        <v>1818</v>
      </c>
      <c r="K1592">
        <v>2</v>
      </c>
      <c r="L1592">
        <v>40.200000000000003</v>
      </c>
      <c r="P1592" t="s">
        <v>106</v>
      </c>
      <c r="Q1592" t="s">
        <v>106</v>
      </c>
      <c r="R1592" t="s">
        <v>106</v>
      </c>
      <c r="S1592" t="s">
        <v>106</v>
      </c>
      <c r="T1592" t="s">
        <v>106</v>
      </c>
      <c r="U1592" t="s">
        <v>1651</v>
      </c>
      <c r="V1592" t="s">
        <v>106</v>
      </c>
      <c r="W1592" t="s">
        <v>443</v>
      </c>
      <c r="X1592" t="s">
        <v>106</v>
      </c>
      <c r="Y1592" t="s">
        <v>108</v>
      </c>
      <c r="Z1592" t="s">
        <v>108</v>
      </c>
      <c r="AA1592" t="s">
        <v>106</v>
      </c>
      <c r="AB1592" t="s">
        <v>106</v>
      </c>
    </row>
    <row r="1593" spans="1:28" x14ac:dyDescent="0.3">
      <c r="A1593" t="s">
        <v>1460</v>
      </c>
      <c r="B1593">
        <v>3</v>
      </c>
      <c r="C1593">
        <v>35</v>
      </c>
      <c r="D1593">
        <v>145</v>
      </c>
      <c r="E1593" t="s">
        <v>128</v>
      </c>
      <c r="F1593" s="12">
        <v>45565</v>
      </c>
      <c r="G1593" t="s">
        <v>409</v>
      </c>
      <c r="H1593" s="12">
        <v>45565</v>
      </c>
      <c r="I1593" t="s">
        <v>2102</v>
      </c>
      <c r="J1593" t="s">
        <v>1818</v>
      </c>
      <c r="K1593">
        <v>2</v>
      </c>
      <c r="L1593">
        <v>39.799999999999997</v>
      </c>
      <c r="P1593" t="s">
        <v>106</v>
      </c>
      <c r="Q1593" t="s">
        <v>106</v>
      </c>
      <c r="R1593" t="s">
        <v>106</v>
      </c>
      <c r="S1593" t="s">
        <v>106</v>
      </c>
      <c r="T1593" t="s">
        <v>106</v>
      </c>
      <c r="U1593" t="s">
        <v>1651</v>
      </c>
      <c r="V1593" t="s">
        <v>106</v>
      </c>
      <c r="W1593" t="s">
        <v>443</v>
      </c>
      <c r="X1593" t="s">
        <v>106</v>
      </c>
      <c r="Y1593" t="s">
        <v>108</v>
      </c>
      <c r="Z1593" t="s">
        <v>108</v>
      </c>
      <c r="AA1593" t="s">
        <v>106</v>
      </c>
      <c r="AB1593" t="s">
        <v>106</v>
      </c>
    </row>
    <row r="1594" spans="1:28" x14ac:dyDescent="0.3">
      <c r="A1594" t="s">
        <v>1460</v>
      </c>
      <c r="B1594">
        <v>4</v>
      </c>
      <c r="C1594">
        <v>60</v>
      </c>
      <c r="D1594">
        <v>155</v>
      </c>
      <c r="E1594" t="s">
        <v>128</v>
      </c>
      <c r="F1594" s="12">
        <v>45565</v>
      </c>
      <c r="G1594" t="s">
        <v>329</v>
      </c>
      <c r="H1594" s="12">
        <v>45565</v>
      </c>
      <c r="I1594" t="s">
        <v>648</v>
      </c>
      <c r="J1594" t="s">
        <v>1818</v>
      </c>
      <c r="K1594">
        <v>2</v>
      </c>
      <c r="L1594">
        <v>59.9</v>
      </c>
      <c r="P1594" t="s">
        <v>106</v>
      </c>
      <c r="Q1594" t="s">
        <v>106</v>
      </c>
      <c r="R1594" t="s">
        <v>106</v>
      </c>
      <c r="S1594" t="s">
        <v>106</v>
      </c>
      <c r="T1594" t="s">
        <v>106</v>
      </c>
      <c r="U1594" t="s">
        <v>395</v>
      </c>
      <c r="V1594" t="s">
        <v>106</v>
      </c>
      <c r="W1594" t="s">
        <v>443</v>
      </c>
      <c r="X1594" t="s">
        <v>106</v>
      </c>
      <c r="Y1594" t="s">
        <v>108</v>
      </c>
      <c r="Z1594" t="s">
        <v>104</v>
      </c>
      <c r="AA1594" t="s">
        <v>106</v>
      </c>
      <c r="AB1594" t="s">
        <v>106</v>
      </c>
    </row>
    <row r="1595" spans="1:28" x14ac:dyDescent="0.3">
      <c r="A1595" t="s">
        <v>1460</v>
      </c>
      <c r="B1595">
        <v>4</v>
      </c>
      <c r="C1595">
        <v>60</v>
      </c>
      <c r="D1595">
        <v>147</v>
      </c>
      <c r="E1595" t="s">
        <v>128</v>
      </c>
      <c r="F1595" s="12">
        <v>45565</v>
      </c>
      <c r="G1595" t="s">
        <v>409</v>
      </c>
      <c r="H1595" s="12">
        <v>45565</v>
      </c>
      <c r="I1595" t="s">
        <v>2102</v>
      </c>
      <c r="J1595" t="s">
        <v>1818</v>
      </c>
      <c r="K1595">
        <v>2</v>
      </c>
      <c r="L1595">
        <v>63.7</v>
      </c>
      <c r="P1595" t="s">
        <v>106</v>
      </c>
      <c r="Q1595" t="s">
        <v>106</v>
      </c>
      <c r="R1595" t="s">
        <v>106</v>
      </c>
      <c r="S1595" t="s">
        <v>106</v>
      </c>
      <c r="T1595" t="s">
        <v>106</v>
      </c>
      <c r="U1595" t="s">
        <v>1410</v>
      </c>
      <c r="V1595" t="s">
        <v>106</v>
      </c>
      <c r="W1595" t="s">
        <v>443</v>
      </c>
      <c r="X1595" t="s">
        <v>106</v>
      </c>
      <c r="Y1595" t="s">
        <v>108</v>
      </c>
      <c r="Z1595" t="s">
        <v>104</v>
      </c>
      <c r="AA1595" t="s">
        <v>106</v>
      </c>
      <c r="AB1595" t="s">
        <v>106</v>
      </c>
    </row>
    <row r="1596" spans="1:28" x14ac:dyDescent="0.3">
      <c r="A1596" t="s">
        <v>1460</v>
      </c>
      <c r="B1596">
        <v>4</v>
      </c>
      <c r="C1596">
        <v>60</v>
      </c>
      <c r="D1596">
        <v>148</v>
      </c>
      <c r="E1596" t="s">
        <v>128</v>
      </c>
      <c r="F1596" s="12">
        <v>45565</v>
      </c>
      <c r="G1596" t="s">
        <v>409</v>
      </c>
      <c r="H1596" s="12">
        <v>45565</v>
      </c>
      <c r="I1596" t="s">
        <v>2102</v>
      </c>
      <c r="J1596" t="s">
        <v>1818</v>
      </c>
      <c r="K1596">
        <v>2</v>
      </c>
      <c r="L1596">
        <v>56.1</v>
      </c>
      <c r="P1596" t="s">
        <v>106</v>
      </c>
      <c r="Q1596" t="s">
        <v>106</v>
      </c>
      <c r="R1596" t="s">
        <v>106</v>
      </c>
      <c r="S1596" t="s">
        <v>106</v>
      </c>
      <c r="T1596" t="s">
        <v>106</v>
      </c>
      <c r="U1596" t="s">
        <v>361</v>
      </c>
      <c r="V1596" t="s">
        <v>106</v>
      </c>
      <c r="W1596" t="s">
        <v>443</v>
      </c>
      <c r="X1596" t="s">
        <v>106</v>
      </c>
      <c r="Y1596" t="s">
        <v>108</v>
      </c>
      <c r="Z1596" t="s">
        <v>104</v>
      </c>
      <c r="AA1596" t="s">
        <v>106</v>
      </c>
      <c r="AB1596" t="s">
        <v>106</v>
      </c>
    </row>
    <row r="1597" spans="1:28" x14ac:dyDescent="0.3">
      <c r="A1597" t="s">
        <v>1460</v>
      </c>
      <c r="B1597">
        <v>4</v>
      </c>
      <c r="C1597">
        <v>60</v>
      </c>
      <c r="D1597">
        <v>154</v>
      </c>
      <c r="E1597" t="s">
        <v>128</v>
      </c>
      <c r="F1597" s="12">
        <v>45565</v>
      </c>
      <c r="G1597" t="s">
        <v>329</v>
      </c>
      <c r="H1597" s="12">
        <v>45565</v>
      </c>
      <c r="I1597" t="s">
        <v>648</v>
      </c>
      <c r="J1597" t="s">
        <v>1818</v>
      </c>
      <c r="K1597">
        <v>2</v>
      </c>
      <c r="L1597">
        <v>63.5</v>
      </c>
      <c r="P1597" t="s">
        <v>106</v>
      </c>
      <c r="Q1597" t="s">
        <v>106</v>
      </c>
      <c r="R1597" t="s">
        <v>106</v>
      </c>
      <c r="S1597" t="s">
        <v>106</v>
      </c>
      <c r="T1597" t="s">
        <v>106</v>
      </c>
      <c r="U1597" t="s">
        <v>1596</v>
      </c>
      <c r="V1597" t="s">
        <v>106</v>
      </c>
      <c r="W1597" t="s">
        <v>443</v>
      </c>
      <c r="X1597" t="s">
        <v>106</v>
      </c>
      <c r="Y1597" t="s">
        <v>108</v>
      </c>
      <c r="Z1597" t="s">
        <v>104</v>
      </c>
      <c r="AA1597" t="s">
        <v>106</v>
      </c>
      <c r="AB1597" t="s">
        <v>106</v>
      </c>
    </row>
    <row r="1598" spans="1:28" x14ac:dyDescent="0.3">
      <c r="A1598" t="s">
        <v>1462</v>
      </c>
      <c r="B1598">
        <v>1</v>
      </c>
      <c r="C1598">
        <v>0</v>
      </c>
      <c r="D1598">
        <v>4</v>
      </c>
      <c r="E1598" t="s">
        <v>308</v>
      </c>
      <c r="F1598" s="12">
        <v>45603</v>
      </c>
      <c r="G1598" t="s">
        <v>313</v>
      </c>
      <c r="H1598" s="12">
        <v>45603</v>
      </c>
      <c r="I1598" t="s">
        <v>704</v>
      </c>
      <c r="J1598" t="s">
        <v>425</v>
      </c>
      <c r="L1598">
        <v>0</v>
      </c>
      <c r="P1598" t="s">
        <v>106</v>
      </c>
      <c r="Q1598" t="s">
        <v>106</v>
      </c>
      <c r="R1598" t="s">
        <v>106</v>
      </c>
      <c r="S1598" t="s">
        <v>106</v>
      </c>
      <c r="T1598" t="s">
        <v>1463</v>
      </c>
      <c r="U1598" t="s">
        <v>106</v>
      </c>
      <c r="V1598" t="s">
        <v>106</v>
      </c>
      <c r="W1598" t="s">
        <v>557</v>
      </c>
      <c r="X1598" t="s">
        <v>106</v>
      </c>
      <c r="Y1598" t="s">
        <v>108</v>
      </c>
      <c r="Z1598" t="s">
        <v>105</v>
      </c>
      <c r="AA1598" t="s">
        <v>1464</v>
      </c>
      <c r="AB1598" t="s">
        <v>106</v>
      </c>
    </row>
    <row r="1599" spans="1:28" x14ac:dyDescent="0.3">
      <c r="A1599" t="s">
        <v>1462</v>
      </c>
      <c r="B1599">
        <v>1</v>
      </c>
      <c r="C1599">
        <v>0</v>
      </c>
      <c r="D1599">
        <v>11</v>
      </c>
      <c r="E1599" t="s">
        <v>110</v>
      </c>
      <c r="F1599" s="12">
        <v>45603</v>
      </c>
      <c r="G1599" t="s">
        <v>378</v>
      </c>
      <c r="H1599" s="12">
        <v>45603</v>
      </c>
      <c r="I1599" t="s">
        <v>704</v>
      </c>
      <c r="J1599" t="s">
        <v>425</v>
      </c>
      <c r="L1599">
        <v>0</v>
      </c>
      <c r="P1599" t="s">
        <v>106</v>
      </c>
      <c r="Q1599" t="s">
        <v>106</v>
      </c>
      <c r="R1599" t="s">
        <v>106</v>
      </c>
      <c r="S1599" t="s">
        <v>106</v>
      </c>
      <c r="T1599" t="s">
        <v>961</v>
      </c>
      <c r="U1599" t="s">
        <v>106</v>
      </c>
      <c r="V1599" t="s">
        <v>106</v>
      </c>
      <c r="W1599" t="s">
        <v>557</v>
      </c>
      <c r="X1599" t="s">
        <v>106</v>
      </c>
      <c r="Y1599" t="s">
        <v>108</v>
      </c>
      <c r="Z1599" t="s">
        <v>105</v>
      </c>
      <c r="AA1599" t="s">
        <v>1464</v>
      </c>
      <c r="AB1599" t="s">
        <v>106</v>
      </c>
    </row>
    <row r="1600" spans="1:28" x14ac:dyDescent="0.3">
      <c r="A1600" t="s">
        <v>1462</v>
      </c>
      <c r="B1600">
        <v>1</v>
      </c>
      <c r="C1600">
        <v>0</v>
      </c>
      <c r="D1600">
        <v>12</v>
      </c>
      <c r="E1600" t="s">
        <v>110</v>
      </c>
      <c r="F1600" s="12">
        <v>45603</v>
      </c>
      <c r="G1600" t="s">
        <v>1465</v>
      </c>
      <c r="H1600" s="12">
        <v>45603</v>
      </c>
      <c r="I1600" t="s">
        <v>704</v>
      </c>
      <c r="J1600" t="s">
        <v>425</v>
      </c>
      <c r="L1600">
        <v>0</v>
      </c>
      <c r="P1600" t="s">
        <v>106</v>
      </c>
      <c r="Q1600" t="s">
        <v>106</v>
      </c>
      <c r="R1600" t="s">
        <v>106</v>
      </c>
      <c r="S1600" t="s">
        <v>106</v>
      </c>
      <c r="T1600" t="s">
        <v>1158</v>
      </c>
      <c r="U1600" t="s">
        <v>106</v>
      </c>
      <c r="V1600" t="s">
        <v>106</v>
      </c>
      <c r="W1600" t="s">
        <v>557</v>
      </c>
      <c r="X1600" t="s">
        <v>106</v>
      </c>
      <c r="Y1600" t="s">
        <v>108</v>
      </c>
      <c r="Z1600" t="s">
        <v>105</v>
      </c>
      <c r="AA1600" t="s">
        <v>1464</v>
      </c>
      <c r="AB1600" t="s">
        <v>106</v>
      </c>
    </row>
    <row r="1601" spans="1:28" x14ac:dyDescent="0.3">
      <c r="A1601" t="s">
        <v>1462</v>
      </c>
      <c r="B1601">
        <v>2</v>
      </c>
      <c r="C1601">
        <v>15</v>
      </c>
      <c r="D1601">
        <v>1</v>
      </c>
      <c r="E1601" t="s">
        <v>308</v>
      </c>
      <c r="F1601" s="12">
        <v>45603</v>
      </c>
      <c r="G1601" t="s">
        <v>805</v>
      </c>
      <c r="H1601" s="12">
        <v>45603</v>
      </c>
      <c r="I1601" t="s">
        <v>704</v>
      </c>
      <c r="J1601" t="s">
        <v>425</v>
      </c>
      <c r="L1601">
        <v>16</v>
      </c>
      <c r="P1601" t="s">
        <v>106</v>
      </c>
      <c r="Q1601" t="s">
        <v>106</v>
      </c>
      <c r="R1601" t="s">
        <v>106</v>
      </c>
      <c r="S1601" t="s">
        <v>106</v>
      </c>
      <c r="T1601" t="s">
        <v>884</v>
      </c>
      <c r="U1601" t="s">
        <v>106</v>
      </c>
      <c r="V1601" t="s">
        <v>106</v>
      </c>
      <c r="W1601" t="s">
        <v>557</v>
      </c>
      <c r="X1601" t="s">
        <v>106</v>
      </c>
      <c r="Y1601" t="s">
        <v>108</v>
      </c>
      <c r="Z1601" t="s">
        <v>109</v>
      </c>
      <c r="AA1601" t="s">
        <v>1464</v>
      </c>
      <c r="AB1601" t="s">
        <v>106</v>
      </c>
    </row>
    <row r="1602" spans="1:28" x14ac:dyDescent="0.3">
      <c r="A1602" t="s">
        <v>1462</v>
      </c>
      <c r="B1602">
        <v>2</v>
      </c>
      <c r="C1602">
        <v>15</v>
      </c>
      <c r="D1602">
        <v>6</v>
      </c>
      <c r="E1602" t="s">
        <v>110</v>
      </c>
      <c r="F1602" s="12">
        <v>45603</v>
      </c>
      <c r="G1602" t="s">
        <v>314</v>
      </c>
      <c r="H1602" s="12">
        <v>45603</v>
      </c>
      <c r="I1602" t="s">
        <v>704</v>
      </c>
      <c r="J1602" t="s">
        <v>425</v>
      </c>
      <c r="L1602">
        <v>17.2</v>
      </c>
      <c r="P1602" t="s">
        <v>106</v>
      </c>
      <c r="Q1602" t="s">
        <v>106</v>
      </c>
      <c r="R1602" t="s">
        <v>106</v>
      </c>
      <c r="S1602" t="s">
        <v>1355</v>
      </c>
      <c r="T1602" t="s">
        <v>1561</v>
      </c>
      <c r="U1602" t="s">
        <v>106</v>
      </c>
      <c r="V1602" t="s">
        <v>106</v>
      </c>
      <c r="W1602" t="s">
        <v>557</v>
      </c>
      <c r="X1602" t="s">
        <v>106</v>
      </c>
      <c r="Y1602" t="s">
        <v>108</v>
      </c>
      <c r="Z1602" t="s">
        <v>109</v>
      </c>
      <c r="AA1602" t="s">
        <v>1464</v>
      </c>
      <c r="AB1602" t="s">
        <v>106</v>
      </c>
    </row>
    <row r="1603" spans="1:28" x14ac:dyDescent="0.3">
      <c r="A1603" t="s">
        <v>1462</v>
      </c>
      <c r="B1603">
        <v>2</v>
      </c>
      <c r="C1603">
        <v>15</v>
      </c>
      <c r="D1603">
        <v>5</v>
      </c>
      <c r="E1603" t="s">
        <v>110</v>
      </c>
      <c r="F1603" s="12">
        <v>45603</v>
      </c>
      <c r="G1603" t="s">
        <v>2103</v>
      </c>
      <c r="H1603" s="12">
        <v>45603</v>
      </c>
      <c r="I1603" t="s">
        <v>704</v>
      </c>
      <c r="J1603" t="s">
        <v>425</v>
      </c>
      <c r="L1603">
        <v>16.600000000000001</v>
      </c>
      <c r="P1603" t="s">
        <v>106</v>
      </c>
      <c r="Q1603" t="s">
        <v>106</v>
      </c>
      <c r="R1603" t="s">
        <v>106</v>
      </c>
      <c r="S1603" t="s">
        <v>1388</v>
      </c>
      <c r="T1603" t="s">
        <v>1561</v>
      </c>
      <c r="U1603" t="s">
        <v>106</v>
      </c>
      <c r="V1603" t="s">
        <v>106</v>
      </c>
      <c r="W1603" t="s">
        <v>557</v>
      </c>
      <c r="X1603" t="s">
        <v>106</v>
      </c>
      <c r="Y1603" t="s">
        <v>108</v>
      </c>
      <c r="Z1603" t="s">
        <v>109</v>
      </c>
      <c r="AA1603" t="s">
        <v>1464</v>
      </c>
      <c r="AB1603" t="s">
        <v>106</v>
      </c>
    </row>
    <row r="1604" spans="1:28" x14ac:dyDescent="0.3">
      <c r="A1604" t="s">
        <v>1462</v>
      </c>
      <c r="B1604">
        <v>3</v>
      </c>
      <c r="C1604">
        <v>35</v>
      </c>
      <c r="D1604">
        <v>7</v>
      </c>
      <c r="E1604" t="s">
        <v>110</v>
      </c>
      <c r="F1604" s="12">
        <v>45603</v>
      </c>
      <c r="G1604" t="s">
        <v>592</v>
      </c>
      <c r="H1604" s="12">
        <v>45603</v>
      </c>
      <c r="I1604" t="s">
        <v>704</v>
      </c>
      <c r="J1604" t="s">
        <v>425</v>
      </c>
      <c r="L1604">
        <v>38.299999999999997</v>
      </c>
      <c r="P1604" t="s">
        <v>106</v>
      </c>
      <c r="Q1604" t="s">
        <v>106</v>
      </c>
      <c r="R1604" t="s">
        <v>106</v>
      </c>
      <c r="S1604" t="s">
        <v>2155</v>
      </c>
      <c r="T1604" t="s">
        <v>1208</v>
      </c>
      <c r="U1604" t="s">
        <v>106</v>
      </c>
      <c r="V1604" t="s">
        <v>106</v>
      </c>
      <c r="W1604" t="s">
        <v>557</v>
      </c>
      <c r="X1604" t="s">
        <v>106</v>
      </c>
      <c r="Y1604" t="s">
        <v>108</v>
      </c>
      <c r="Z1604" t="s">
        <v>108</v>
      </c>
      <c r="AA1604" t="s">
        <v>1464</v>
      </c>
      <c r="AB1604" t="s">
        <v>106</v>
      </c>
    </row>
    <row r="1605" spans="1:28" x14ac:dyDescent="0.3">
      <c r="A1605" t="s">
        <v>1462</v>
      </c>
      <c r="B1605">
        <v>3</v>
      </c>
      <c r="C1605">
        <v>35</v>
      </c>
      <c r="D1605">
        <v>8</v>
      </c>
      <c r="E1605" t="s">
        <v>110</v>
      </c>
      <c r="F1605" s="12">
        <v>45603</v>
      </c>
      <c r="G1605" t="s">
        <v>676</v>
      </c>
      <c r="H1605" s="12">
        <v>45603</v>
      </c>
      <c r="I1605" t="s">
        <v>704</v>
      </c>
      <c r="J1605" t="s">
        <v>425</v>
      </c>
      <c r="L1605">
        <v>38.6</v>
      </c>
      <c r="P1605" t="s">
        <v>106</v>
      </c>
      <c r="Q1605" t="s">
        <v>106</v>
      </c>
      <c r="R1605" t="s">
        <v>106</v>
      </c>
      <c r="S1605" t="s">
        <v>1541</v>
      </c>
      <c r="T1605" t="s">
        <v>1158</v>
      </c>
      <c r="U1605" t="s">
        <v>106</v>
      </c>
      <c r="V1605" t="s">
        <v>106</v>
      </c>
      <c r="W1605" t="s">
        <v>557</v>
      </c>
      <c r="X1605" t="s">
        <v>106</v>
      </c>
      <c r="Y1605" t="s">
        <v>108</v>
      </c>
      <c r="Z1605" t="s">
        <v>108</v>
      </c>
      <c r="AA1605" t="s">
        <v>1464</v>
      </c>
      <c r="AB1605" t="s">
        <v>106</v>
      </c>
    </row>
    <row r="1606" spans="1:28" x14ac:dyDescent="0.3">
      <c r="A1606" t="s">
        <v>1462</v>
      </c>
      <c r="B1606">
        <v>3</v>
      </c>
      <c r="C1606">
        <v>35</v>
      </c>
      <c r="D1606">
        <v>2</v>
      </c>
      <c r="E1606" t="s">
        <v>308</v>
      </c>
      <c r="F1606" s="12">
        <v>45603</v>
      </c>
      <c r="G1606" t="s">
        <v>390</v>
      </c>
      <c r="H1606" s="12">
        <v>45603</v>
      </c>
      <c r="I1606" t="s">
        <v>704</v>
      </c>
      <c r="J1606" t="s">
        <v>425</v>
      </c>
      <c r="L1606">
        <v>33.6</v>
      </c>
      <c r="P1606" t="s">
        <v>106</v>
      </c>
      <c r="Q1606" t="s">
        <v>106</v>
      </c>
      <c r="R1606" t="s">
        <v>106</v>
      </c>
      <c r="S1606" t="s">
        <v>106</v>
      </c>
      <c r="T1606" t="s">
        <v>1485</v>
      </c>
      <c r="U1606" t="s">
        <v>106</v>
      </c>
      <c r="V1606" t="s">
        <v>106</v>
      </c>
      <c r="W1606" t="s">
        <v>557</v>
      </c>
      <c r="X1606" t="s">
        <v>106</v>
      </c>
      <c r="Y1606" t="s">
        <v>108</v>
      </c>
      <c r="Z1606" t="s">
        <v>108</v>
      </c>
      <c r="AA1606" t="s">
        <v>1464</v>
      </c>
      <c r="AB1606" t="s">
        <v>106</v>
      </c>
    </row>
    <row r="1607" spans="1:28" x14ac:dyDescent="0.3">
      <c r="A1607" t="s">
        <v>1462</v>
      </c>
      <c r="B1607">
        <v>4</v>
      </c>
      <c r="C1607">
        <v>60</v>
      </c>
      <c r="D1607">
        <v>10</v>
      </c>
      <c r="E1607" t="s">
        <v>110</v>
      </c>
      <c r="F1607" s="12">
        <v>45603</v>
      </c>
      <c r="G1607" t="s">
        <v>437</v>
      </c>
      <c r="H1607" s="12">
        <v>45603</v>
      </c>
      <c r="I1607" t="s">
        <v>704</v>
      </c>
      <c r="J1607" t="s">
        <v>425</v>
      </c>
      <c r="L1607">
        <v>61.5</v>
      </c>
      <c r="P1607" t="s">
        <v>106</v>
      </c>
      <c r="Q1607" t="s">
        <v>106</v>
      </c>
      <c r="R1607" t="s">
        <v>106</v>
      </c>
      <c r="S1607" t="s">
        <v>2160</v>
      </c>
      <c r="T1607" t="s">
        <v>884</v>
      </c>
      <c r="U1607" t="s">
        <v>106</v>
      </c>
      <c r="V1607" t="s">
        <v>106</v>
      </c>
      <c r="W1607" t="s">
        <v>557</v>
      </c>
      <c r="X1607" t="s">
        <v>106</v>
      </c>
      <c r="Y1607" t="s">
        <v>108</v>
      </c>
      <c r="Z1607" t="s">
        <v>104</v>
      </c>
      <c r="AA1607" t="s">
        <v>1464</v>
      </c>
      <c r="AB1607" t="s">
        <v>106</v>
      </c>
    </row>
    <row r="1608" spans="1:28" x14ac:dyDescent="0.3">
      <c r="A1608" t="s">
        <v>1462</v>
      </c>
      <c r="B1608">
        <v>4</v>
      </c>
      <c r="C1608">
        <v>60</v>
      </c>
      <c r="D1608">
        <v>9</v>
      </c>
      <c r="E1608" t="s">
        <v>110</v>
      </c>
      <c r="F1608" s="12">
        <v>45603</v>
      </c>
      <c r="G1608" t="s">
        <v>317</v>
      </c>
      <c r="H1608" s="12">
        <v>45603</v>
      </c>
      <c r="I1608" t="s">
        <v>704</v>
      </c>
      <c r="J1608" t="s">
        <v>425</v>
      </c>
      <c r="L1608">
        <v>61.8</v>
      </c>
      <c r="P1608" t="s">
        <v>106</v>
      </c>
      <c r="Q1608" t="s">
        <v>106</v>
      </c>
      <c r="R1608" t="s">
        <v>106</v>
      </c>
      <c r="S1608" t="s">
        <v>1873</v>
      </c>
      <c r="T1608" t="s">
        <v>1242</v>
      </c>
      <c r="U1608" t="s">
        <v>106</v>
      </c>
      <c r="V1608" t="s">
        <v>106</v>
      </c>
      <c r="W1608" t="s">
        <v>557</v>
      </c>
      <c r="X1608" t="s">
        <v>106</v>
      </c>
      <c r="Y1608" t="s">
        <v>108</v>
      </c>
      <c r="Z1608" t="s">
        <v>104</v>
      </c>
      <c r="AA1608" t="s">
        <v>1464</v>
      </c>
      <c r="AB1608" t="s">
        <v>106</v>
      </c>
    </row>
    <row r="1609" spans="1:28" x14ac:dyDescent="0.3">
      <c r="A1609" t="s">
        <v>1462</v>
      </c>
      <c r="B1609">
        <v>4</v>
      </c>
      <c r="C1609">
        <v>60</v>
      </c>
      <c r="D1609">
        <v>3</v>
      </c>
      <c r="E1609" t="s">
        <v>308</v>
      </c>
      <c r="F1609" s="12">
        <v>45603</v>
      </c>
      <c r="G1609" t="s">
        <v>142</v>
      </c>
      <c r="H1609" s="12">
        <v>45603</v>
      </c>
      <c r="I1609" t="s">
        <v>704</v>
      </c>
      <c r="J1609" t="s">
        <v>425</v>
      </c>
      <c r="L1609">
        <v>55.2</v>
      </c>
      <c r="P1609" t="s">
        <v>106</v>
      </c>
      <c r="Q1609" t="s">
        <v>106</v>
      </c>
      <c r="R1609" t="s">
        <v>106</v>
      </c>
      <c r="S1609" t="s">
        <v>106</v>
      </c>
      <c r="T1609" t="s">
        <v>1529</v>
      </c>
      <c r="U1609" t="s">
        <v>106</v>
      </c>
      <c r="V1609" t="s">
        <v>106</v>
      </c>
      <c r="W1609" t="s">
        <v>557</v>
      </c>
      <c r="X1609" t="s">
        <v>106</v>
      </c>
      <c r="Y1609" t="s">
        <v>108</v>
      </c>
      <c r="Z1609" t="s">
        <v>104</v>
      </c>
      <c r="AA1609" t="s">
        <v>1464</v>
      </c>
      <c r="AB1609" t="s">
        <v>106</v>
      </c>
    </row>
    <row r="1610" spans="1:28" x14ac:dyDescent="0.3">
      <c r="A1610" t="s">
        <v>1462</v>
      </c>
      <c r="B1610">
        <v>1</v>
      </c>
      <c r="C1610">
        <v>0</v>
      </c>
      <c r="D1610">
        <v>43</v>
      </c>
      <c r="E1610" t="s">
        <v>128</v>
      </c>
      <c r="F1610" s="12">
        <v>45607</v>
      </c>
      <c r="G1610" t="s">
        <v>858</v>
      </c>
      <c r="H1610" s="12">
        <v>45607</v>
      </c>
      <c r="I1610" t="s">
        <v>133</v>
      </c>
      <c r="J1610" t="s">
        <v>1363</v>
      </c>
      <c r="L1610">
        <v>0</v>
      </c>
      <c r="P1610" t="s">
        <v>106</v>
      </c>
      <c r="Q1610" t="s">
        <v>106</v>
      </c>
      <c r="R1610" t="s">
        <v>106</v>
      </c>
      <c r="S1610" t="s">
        <v>106</v>
      </c>
      <c r="T1610" t="s">
        <v>1466</v>
      </c>
      <c r="U1610" t="s">
        <v>106</v>
      </c>
      <c r="V1610" t="s">
        <v>106</v>
      </c>
      <c r="W1610" t="s">
        <v>557</v>
      </c>
      <c r="X1610" t="s">
        <v>106</v>
      </c>
      <c r="Y1610" t="s">
        <v>108</v>
      </c>
      <c r="Z1610" t="s">
        <v>105</v>
      </c>
      <c r="AA1610" t="s">
        <v>1464</v>
      </c>
      <c r="AB1610" t="s">
        <v>106</v>
      </c>
    </row>
    <row r="1611" spans="1:28" x14ac:dyDescent="0.3">
      <c r="A1611" t="s">
        <v>1462</v>
      </c>
      <c r="B1611">
        <v>1</v>
      </c>
      <c r="C1611">
        <v>0</v>
      </c>
      <c r="D1611">
        <v>34</v>
      </c>
      <c r="E1611" t="s">
        <v>128</v>
      </c>
      <c r="F1611" s="12">
        <v>45607</v>
      </c>
      <c r="G1611" t="s">
        <v>697</v>
      </c>
      <c r="H1611" s="12">
        <v>45607</v>
      </c>
      <c r="I1611" t="s">
        <v>325</v>
      </c>
      <c r="J1611" t="s">
        <v>458</v>
      </c>
      <c r="K1611">
        <v>2</v>
      </c>
      <c r="L1611">
        <v>0</v>
      </c>
      <c r="P1611" t="s">
        <v>106</v>
      </c>
      <c r="Q1611" t="s">
        <v>106</v>
      </c>
      <c r="R1611" t="s">
        <v>106</v>
      </c>
      <c r="S1611" t="s">
        <v>106</v>
      </c>
      <c r="T1611" t="s">
        <v>1467</v>
      </c>
      <c r="U1611" t="s">
        <v>1468</v>
      </c>
      <c r="V1611" t="s">
        <v>106</v>
      </c>
      <c r="W1611" t="s">
        <v>557</v>
      </c>
      <c r="X1611" t="s">
        <v>106</v>
      </c>
      <c r="Y1611" t="s">
        <v>108</v>
      </c>
      <c r="Z1611" t="s">
        <v>105</v>
      </c>
      <c r="AA1611" t="s">
        <v>1464</v>
      </c>
      <c r="AB1611" t="s">
        <v>106</v>
      </c>
    </row>
    <row r="1612" spans="1:28" x14ac:dyDescent="0.3">
      <c r="A1612" t="s">
        <v>1462</v>
      </c>
      <c r="B1612">
        <v>1</v>
      </c>
      <c r="C1612">
        <v>0</v>
      </c>
      <c r="D1612">
        <v>35</v>
      </c>
      <c r="E1612" t="s">
        <v>128</v>
      </c>
      <c r="F1612" s="12">
        <v>45607</v>
      </c>
      <c r="G1612" t="s">
        <v>839</v>
      </c>
      <c r="H1612" s="12">
        <v>45607</v>
      </c>
      <c r="I1612" t="s">
        <v>325</v>
      </c>
      <c r="J1612" t="s">
        <v>458</v>
      </c>
      <c r="K1612">
        <v>2</v>
      </c>
      <c r="L1612">
        <v>0</v>
      </c>
      <c r="P1612" t="s">
        <v>106</v>
      </c>
      <c r="Q1612" t="s">
        <v>106</v>
      </c>
      <c r="R1612" t="s">
        <v>106</v>
      </c>
      <c r="S1612" t="s">
        <v>106</v>
      </c>
      <c r="T1612" t="s">
        <v>757</v>
      </c>
      <c r="U1612" t="s">
        <v>1411</v>
      </c>
      <c r="V1612" t="s">
        <v>106</v>
      </c>
      <c r="W1612" t="s">
        <v>557</v>
      </c>
      <c r="X1612" t="s">
        <v>106</v>
      </c>
      <c r="Y1612" t="s">
        <v>108</v>
      </c>
      <c r="Z1612" t="s">
        <v>105</v>
      </c>
      <c r="AA1612" t="s">
        <v>1464</v>
      </c>
      <c r="AB1612" t="s">
        <v>106</v>
      </c>
    </row>
    <row r="1613" spans="1:28" x14ac:dyDescent="0.3">
      <c r="A1613" t="s">
        <v>1462</v>
      </c>
      <c r="B1613">
        <v>1</v>
      </c>
      <c r="C1613">
        <v>0</v>
      </c>
      <c r="D1613">
        <v>21</v>
      </c>
      <c r="E1613" t="s">
        <v>128</v>
      </c>
      <c r="F1613" s="12">
        <v>45607</v>
      </c>
      <c r="G1613" t="s">
        <v>1469</v>
      </c>
      <c r="H1613" s="12">
        <v>45607</v>
      </c>
      <c r="I1613" t="s">
        <v>1052</v>
      </c>
      <c r="J1613" t="s">
        <v>477</v>
      </c>
      <c r="L1613">
        <v>0</v>
      </c>
      <c r="P1613" t="s">
        <v>106</v>
      </c>
      <c r="Q1613" t="s">
        <v>106</v>
      </c>
      <c r="R1613" t="s">
        <v>106</v>
      </c>
      <c r="S1613" t="s">
        <v>106</v>
      </c>
      <c r="T1613" t="s">
        <v>1449</v>
      </c>
      <c r="U1613" t="s">
        <v>1418</v>
      </c>
      <c r="V1613" t="s">
        <v>106</v>
      </c>
      <c r="W1613" t="s">
        <v>954</v>
      </c>
      <c r="X1613" t="s">
        <v>106</v>
      </c>
      <c r="Y1613" t="s">
        <v>108</v>
      </c>
      <c r="Z1613" t="s">
        <v>105</v>
      </c>
      <c r="AA1613" t="s">
        <v>106</v>
      </c>
      <c r="AB1613" t="s">
        <v>106</v>
      </c>
    </row>
    <row r="1614" spans="1:28" x14ac:dyDescent="0.3">
      <c r="A1614" t="s">
        <v>1462</v>
      </c>
      <c r="B1614">
        <v>1</v>
      </c>
      <c r="C1614">
        <v>0</v>
      </c>
      <c r="D1614">
        <v>20</v>
      </c>
      <c r="E1614" t="s">
        <v>128</v>
      </c>
      <c r="F1614" s="12">
        <v>45607</v>
      </c>
      <c r="G1614" t="s">
        <v>1470</v>
      </c>
      <c r="H1614" s="12">
        <v>45607</v>
      </c>
      <c r="I1614" t="s">
        <v>1052</v>
      </c>
      <c r="J1614" t="s">
        <v>477</v>
      </c>
      <c r="L1614">
        <v>0</v>
      </c>
      <c r="P1614" t="s">
        <v>106</v>
      </c>
      <c r="Q1614" t="s">
        <v>106</v>
      </c>
      <c r="R1614" t="s">
        <v>106</v>
      </c>
      <c r="S1614" t="s">
        <v>106</v>
      </c>
      <c r="T1614" t="s">
        <v>1463</v>
      </c>
      <c r="U1614" t="s">
        <v>429</v>
      </c>
      <c r="V1614" t="s">
        <v>106</v>
      </c>
      <c r="W1614" t="s">
        <v>954</v>
      </c>
      <c r="X1614" t="s">
        <v>106</v>
      </c>
      <c r="Y1614" t="s">
        <v>108</v>
      </c>
      <c r="Z1614" t="s">
        <v>105</v>
      </c>
      <c r="AA1614" t="s">
        <v>106</v>
      </c>
      <c r="AB1614" t="s">
        <v>106</v>
      </c>
    </row>
    <row r="1615" spans="1:28" x14ac:dyDescent="0.3">
      <c r="A1615" t="s">
        <v>1462</v>
      </c>
      <c r="B1615">
        <v>1</v>
      </c>
      <c r="C1615">
        <v>0</v>
      </c>
      <c r="D1615">
        <v>42</v>
      </c>
      <c r="E1615" t="s">
        <v>128</v>
      </c>
      <c r="F1615" s="12">
        <v>45607</v>
      </c>
      <c r="G1615" t="s">
        <v>856</v>
      </c>
      <c r="H1615" s="12">
        <v>45607</v>
      </c>
      <c r="I1615" t="s">
        <v>133</v>
      </c>
      <c r="J1615" t="s">
        <v>1363</v>
      </c>
      <c r="L1615">
        <v>0</v>
      </c>
      <c r="P1615" t="s">
        <v>106</v>
      </c>
      <c r="Q1615" t="s">
        <v>106</v>
      </c>
      <c r="R1615" t="s">
        <v>106</v>
      </c>
      <c r="S1615" t="s">
        <v>106</v>
      </c>
      <c r="T1615" t="s">
        <v>1471</v>
      </c>
      <c r="U1615" t="s">
        <v>106</v>
      </c>
      <c r="V1615" t="s">
        <v>106</v>
      </c>
      <c r="W1615" t="s">
        <v>557</v>
      </c>
      <c r="X1615" t="s">
        <v>106</v>
      </c>
      <c r="Y1615" t="s">
        <v>108</v>
      </c>
      <c r="Z1615" t="s">
        <v>105</v>
      </c>
      <c r="AA1615" t="s">
        <v>1464</v>
      </c>
      <c r="AB1615" t="s">
        <v>106</v>
      </c>
    </row>
    <row r="1616" spans="1:28" x14ac:dyDescent="0.3">
      <c r="A1616" t="s">
        <v>1462</v>
      </c>
      <c r="B1616">
        <v>2</v>
      </c>
      <c r="C1616">
        <v>15</v>
      </c>
      <c r="D1616">
        <v>23</v>
      </c>
      <c r="E1616" t="s">
        <v>308</v>
      </c>
      <c r="F1616" s="12">
        <v>45607</v>
      </c>
      <c r="G1616" t="s">
        <v>330</v>
      </c>
      <c r="H1616" s="12">
        <v>45607</v>
      </c>
      <c r="I1616" t="s">
        <v>1052</v>
      </c>
      <c r="J1616" t="s">
        <v>477</v>
      </c>
      <c r="L1616">
        <v>16.2</v>
      </c>
      <c r="P1616" t="s">
        <v>106</v>
      </c>
      <c r="Q1616" t="s">
        <v>106</v>
      </c>
      <c r="R1616" t="s">
        <v>106</v>
      </c>
      <c r="S1616" t="s">
        <v>106</v>
      </c>
      <c r="T1616" t="s">
        <v>1257</v>
      </c>
      <c r="U1616" t="s">
        <v>429</v>
      </c>
      <c r="V1616" t="s">
        <v>106</v>
      </c>
      <c r="W1616" t="s">
        <v>557</v>
      </c>
      <c r="X1616" t="s">
        <v>106</v>
      </c>
      <c r="Y1616" t="s">
        <v>108</v>
      </c>
      <c r="Z1616" t="s">
        <v>109</v>
      </c>
      <c r="AA1616" t="s">
        <v>1464</v>
      </c>
      <c r="AB1616" t="s">
        <v>106</v>
      </c>
    </row>
    <row r="1617" spans="1:28" x14ac:dyDescent="0.3">
      <c r="A1617" t="s">
        <v>1462</v>
      </c>
      <c r="B1617">
        <v>2</v>
      </c>
      <c r="C1617">
        <v>15</v>
      </c>
      <c r="D1617">
        <v>28</v>
      </c>
      <c r="E1617" t="s">
        <v>128</v>
      </c>
      <c r="F1617" s="12">
        <v>45607</v>
      </c>
      <c r="G1617" t="s">
        <v>830</v>
      </c>
      <c r="H1617" s="12">
        <v>45607</v>
      </c>
      <c r="I1617" t="s">
        <v>325</v>
      </c>
      <c r="J1617" t="s">
        <v>458</v>
      </c>
      <c r="K1617">
        <v>2</v>
      </c>
      <c r="L1617">
        <v>12.7</v>
      </c>
      <c r="P1617" t="s">
        <v>106</v>
      </c>
      <c r="Q1617" t="s">
        <v>106</v>
      </c>
      <c r="R1617" t="s">
        <v>106</v>
      </c>
      <c r="S1617" t="s">
        <v>1777</v>
      </c>
      <c r="T1617" t="s">
        <v>1951</v>
      </c>
      <c r="U1617" t="s">
        <v>1477</v>
      </c>
      <c r="V1617" t="s">
        <v>106</v>
      </c>
      <c r="W1617" t="s">
        <v>557</v>
      </c>
      <c r="X1617" t="s">
        <v>106</v>
      </c>
      <c r="Y1617" t="s">
        <v>108</v>
      </c>
      <c r="Z1617" t="s">
        <v>109</v>
      </c>
      <c r="AA1617" t="s">
        <v>1464</v>
      </c>
      <c r="AB1617" t="s">
        <v>106</v>
      </c>
    </row>
    <row r="1618" spans="1:28" x14ac:dyDescent="0.3">
      <c r="A1618" t="s">
        <v>1462</v>
      </c>
      <c r="B1618">
        <v>2</v>
      </c>
      <c r="C1618">
        <v>15</v>
      </c>
      <c r="D1618">
        <v>29</v>
      </c>
      <c r="E1618" t="s">
        <v>128</v>
      </c>
      <c r="F1618" s="12">
        <v>45607</v>
      </c>
      <c r="G1618" t="s">
        <v>577</v>
      </c>
      <c r="H1618" s="12">
        <v>45607</v>
      </c>
      <c r="I1618" t="s">
        <v>325</v>
      </c>
      <c r="J1618" t="s">
        <v>458</v>
      </c>
      <c r="K1618">
        <v>2</v>
      </c>
      <c r="L1618">
        <v>14.1</v>
      </c>
      <c r="P1618" t="s">
        <v>106</v>
      </c>
      <c r="Q1618" t="s">
        <v>106</v>
      </c>
      <c r="R1618" t="s">
        <v>106</v>
      </c>
      <c r="S1618" t="s">
        <v>1446</v>
      </c>
      <c r="T1618" t="s">
        <v>1458</v>
      </c>
      <c r="U1618" t="s">
        <v>1410</v>
      </c>
      <c r="V1618" t="s">
        <v>106</v>
      </c>
      <c r="W1618" t="s">
        <v>557</v>
      </c>
      <c r="X1618" t="s">
        <v>106</v>
      </c>
      <c r="Y1618" t="s">
        <v>108</v>
      </c>
      <c r="Z1618" t="s">
        <v>109</v>
      </c>
      <c r="AA1618" t="s">
        <v>1464</v>
      </c>
      <c r="AB1618" t="s">
        <v>106</v>
      </c>
    </row>
    <row r="1619" spans="1:28" x14ac:dyDescent="0.3">
      <c r="A1619" t="s">
        <v>1462</v>
      </c>
      <c r="B1619">
        <v>2</v>
      </c>
      <c r="C1619">
        <v>15</v>
      </c>
      <c r="D1619">
        <v>36</v>
      </c>
      <c r="E1619" t="s">
        <v>128</v>
      </c>
      <c r="F1619" s="12">
        <v>45607</v>
      </c>
      <c r="G1619" t="s">
        <v>2094</v>
      </c>
      <c r="H1619" s="12">
        <v>45607</v>
      </c>
      <c r="I1619" t="s">
        <v>133</v>
      </c>
      <c r="J1619" t="s">
        <v>1363</v>
      </c>
      <c r="L1619">
        <v>13.9</v>
      </c>
      <c r="P1619" t="s">
        <v>106</v>
      </c>
      <c r="Q1619" t="s">
        <v>106</v>
      </c>
      <c r="R1619" t="s">
        <v>106</v>
      </c>
      <c r="S1619" t="s">
        <v>106</v>
      </c>
      <c r="T1619" t="s">
        <v>1400</v>
      </c>
      <c r="U1619" t="s">
        <v>1482</v>
      </c>
      <c r="V1619" t="s">
        <v>106</v>
      </c>
      <c r="W1619" t="s">
        <v>557</v>
      </c>
      <c r="X1619" t="s">
        <v>106</v>
      </c>
      <c r="Y1619" t="s">
        <v>108</v>
      </c>
      <c r="Z1619" t="s">
        <v>109</v>
      </c>
      <c r="AA1619" t="s">
        <v>1464</v>
      </c>
      <c r="AB1619" t="s">
        <v>106</v>
      </c>
    </row>
    <row r="1620" spans="1:28" x14ac:dyDescent="0.3">
      <c r="A1620" t="s">
        <v>1462</v>
      </c>
      <c r="B1620">
        <v>2</v>
      </c>
      <c r="C1620">
        <v>15</v>
      </c>
      <c r="D1620">
        <v>37</v>
      </c>
      <c r="E1620" t="s">
        <v>128</v>
      </c>
      <c r="F1620" s="12">
        <v>45607</v>
      </c>
      <c r="G1620" t="s">
        <v>2104</v>
      </c>
      <c r="H1620" s="12">
        <v>45607</v>
      </c>
      <c r="I1620" t="s">
        <v>133</v>
      </c>
      <c r="J1620" t="s">
        <v>1363</v>
      </c>
      <c r="L1620">
        <v>15</v>
      </c>
      <c r="P1620" t="s">
        <v>106</v>
      </c>
      <c r="Q1620" t="s">
        <v>106</v>
      </c>
      <c r="R1620" t="s">
        <v>106</v>
      </c>
      <c r="S1620" t="s">
        <v>106</v>
      </c>
      <c r="T1620" t="s">
        <v>1069</v>
      </c>
      <c r="U1620" t="s">
        <v>1539</v>
      </c>
      <c r="V1620" t="s">
        <v>106</v>
      </c>
      <c r="W1620" t="s">
        <v>557</v>
      </c>
      <c r="X1620" t="s">
        <v>106</v>
      </c>
      <c r="Y1620" t="s">
        <v>108</v>
      </c>
      <c r="Z1620" t="s">
        <v>109</v>
      </c>
      <c r="AA1620" t="s">
        <v>1464</v>
      </c>
      <c r="AB1620" t="s">
        <v>106</v>
      </c>
    </row>
    <row r="1621" spans="1:28" x14ac:dyDescent="0.3">
      <c r="A1621" t="s">
        <v>1462</v>
      </c>
      <c r="B1621">
        <v>2</v>
      </c>
      <c r="C1621">
        <v>15</v>
      </c>
      <c r="D1621">
        <v>14</v>
      </c>
      <c r="E1621" t="s">
        <v>128</v>
      </c>
      <c r="F1621" s="12">
        <v>45607</v>
      </c>
      <c r="G1621" t="s">
        <v>1199</v>
      </c>
      <c r="H1621" s="12">
        <v>45607</v>
      </c>
      <c r="I1621" t="s">
        <v>1052</v>
      </c>
      <c r="J1621" t="s">
        <v>477</v>
      </c>
      <c r="L1621">
        <v>15.1</v>
      </c>
      <c r="P1621" t="s">
        <v>106</v>
      </c>
      <c r="Q1621" t="s">
        <v>106</v>
      </c>
      <c r="R1621" t="s">
        <v>106</v>
      </c>
      <c r="S1621" t="s">
        <v>106</v>
      </c>
      <c r="T1621" t="s">
        <v>1458</v>
      </c>
      <c r="U1621" t="s">
        <v>1468</v>
      </c>
      <c r="V1621" t="s">
        <v>106</v>
      </c>
      <c r="W1621" t="s">
        <v>954</v>
      </c>
      <c r="X1621" t="s">
        <v>106</v>
      </c>
      <c r="Y1621" t="s">
        <v>108</v>
      </c>
      <c r="Z1621" t="s">
        <v>109</v>
      </c>
      <c r="AA1621" t="s">
        <v>106</v>
      </c>
      <c r="AB1621" t="s">
        <v>106</v>
      </c>
    </row>
    <row r="1622" spans="1:28" x14ac:dyDescent="0.3">
      <c r="A1622" t="s">
        <v>1462</v>
      </c>
      <c r="B1622">
        <v>2</v>
      </c>
      <c r="C1622">
        <v>15</v>
      </c>
      <c r="D1622">
        <v>13</v>
      </c>
      <c r="E1622" t="s">
        <v>128</v>
      </c>
      <c r="F1622" s="12">
        <v>45607</v>
      </c>
      <c r="G1622" t="s">
        <v>2105</v>
      </c>
      <c r="H1622" s="12">
        <v>45607</v>
      </c>
      <c r="I1622" t="s">
        <v>1052</v>
      </c>
      <c r="J1622" t="s">
        <v>477</v>
      </c>
      <c r="L1622">
        <v>15.6</v>
      </c>
      <c r="P1622" t="s">
        <v>106</v>
      </c>
      <c r="Q1622" t="s">
        <v>106</v>
      </c>
      <c r="R1622" t="s">
        <v>106</v>
      </c>
      <c r="S1622" t="s">
        <v>106</v>
      </c>
      <c r="T1622" t="s">
        <v>977</v>
      </c>
      <c r="U1622" t="s">
        <v>1382</v>
      </c>
      <c r="V1622" t="s">
        <v>106</v>
      </c>
      <c r="W1622" t="s">
        <v>954</v>
      </c>
      <c r="X1622" t="s">
        <v>106</v>
      </c>
      <c r="Y1622" t="s">
        <v>108</v>
      </c>
      <c r="Z1622" t="s">
        <v>109</v>
      </c>
      <c r="AA1622" t="s">
        <v>106</v>
      </c>
      <c r="AB1622" t="s">
        <v>106</v>
      </c>
    </row>
    <row r="1623" spans="1:28" x14ac:dyDescent="0.3">
      <c r="A1623" t="s">
        <v>1462</v>
      </c>
      <c r="B1623">
        <v>2</v>
      </c>
      <c r="C1623">
        <v>15</v>
      </c>
      <c r="D1623">
        <v>22</v>
      </c>
      <c r="E1623" t="s">
        <v>308</v>
      </c>
      <c r="F1623" s="12">
        <v>45607</v>
      </c>
      <c r="G1623" t="s">
        <v>1389</v>
      </c>
      <c r="H1623" s="12">
        <v>45607</v>
      </c>
      <c r="I1623" t="s">
        <v>1052</v>
      </c>
      <c r="J1623" t="s">
        <v>477</v>
      </c>
      <c r="L1623">
        <v>14.2</v>
      </c>
      <c r="P1623" t="s">
        <v>106</v>
      </c>
      <c r="Q1623" t="s">
        <v>106</v>
      </c>
      <c r="R1623" t="s">
        <v>106</v>
      </c>
      <c r="S1623" t="s">
        <v>106</v>
      </c>
      <c r="T1623" t="s">
        <v>977</v>
      </c>
      <c r="U1623" t="s">
        <v>703</v>
      </c>
      <c r="V1623" t="s">
        <v>106</v>
      </c>
      <c r="W1623" t="s">
        <v>557</v>
      </c>
      <c r="X1623" t="s">
        <v>106</v>
      </c>
      <c r="Y1623" t="s">
        <v>108</v>
      </c>
      <c r="Z1623" t="s">
        <v>109</v>
      </c>
      <c r="AA1623" t="s">
        <v>1464</v>
      </c>
      <c r="AB1623" t="s">
        <v>106</v>
      </c>
    </row>
    <row r="1624" spans="1:28" x14ac:dyDescent="0.3">
      <c r="A1624" t="s">
        <v>1462</v>
      </c>
      <c r="B1624">
        <v>3</v>
      </c>
      <c r="C1624">
        <v>35</v>
      </c>
      <c r="D1624">
        <v>19</v>
      </c>
      <c r="E1624" t="s">
        <v>128</v>
      </c>
      <c r="F1624" s="12">
        <v>45607</v>
      </c>
      <c r="G1624" t="s">
        <v>745</v>
      </c>
      <c r="H1624" s="12">
        <v>45607</v>
      </c>
      <c r="I1624" t="s">
        <v>1052</v>
      </c>
      <c r="J1624" t="s">
        <v>477</v>
      </c>
      <c r="L1624">
        <v>35</v>
      </c>
      <c r="P1624" t="s">
        <v>106</v>
      </c>
      <c r="Q1624" t="s">
        <v>106</v>
      </c>
      <c r="R1624" t="s">
        <v>106</v>
      </c>
      <c r="S1624" t="s">
        <v>1335</v>
      </c>
      <c r="T1624" t="s">
        <v>1158</v>
      </c>
      <c r="U1624" t="s">
        <v>141</v>
      </c>
      <c r="V1624" t="s">
        <v>106</v>
      </c>
      <c r="W1624" t="s">
        <v>954</v>
      </c>
      <c r="X1624" t="s">
        <v>106</v>
      </c>
      <c r="Y1624" t="s">
        <v>108</v>
      </c>
      <c r="Z1624" t="s">
        <v>108</v>
      </c>
      <c r="AA1624" t="s">
        <v>106</v>
      </c>
      <c r="AB1624" t="s">
        <v>106</v>
      </c>
    </row>
    <row r="1625" spans="1:28" x14ac:dyDescent="0.3">
      <c r="A1625" t="s">
        <v>1462</v>
      </c>
      <c r="B1625">
        <v>3</v>
      </c>
      <c r="C1625">
        <v>35</v>
      </c>
      <c r="D1625">
        <v>26</v>
      </c>
      <c r="E1625" t="s">
        <v>308</v>
      </c>
      <c r="F1625" s="12">
        <v>45607</v>
      </c>
      <c r="G1625" t="s">
        <v>1071</v>
      </c>
      <c r="H1625" s="12">
        <v>45607</v>
      </c>
      <c r="I1625" t="s">
        <v>1052</v>
      </c>
      <c r="J1625" t="s">
        <v>458</v>
      </c>
      <c r="K1625">
        <v>2</v>
      </c>
      <c r="L1625">
        <v>38</v>
      </c>
      <c r="P1625" t="s">
        <v>106</v>
      </c>
      <c r="Q1625" t="s">
        <v>106</v>
      </c>
      <c r="R1625" t="s">
        <v>106</v>
      </c>
      <c r="S1625" t="s">
        <v>1335</v>
      </c>
      <c r="T1625" t="s">
        <v>1485</v>
      </c>
      <c r="U1625" t="s">
        <v>1410</v>
      </c>
      <c r="V1625" t="s">
        <v>106</v>
      </c>
      <c r="W1625" t="s">
        <v>557</v>
      </c>
      <c r="X1625" t="s">
        <v>106</v>
      </c>
      <c r="Y1625" t="s">
        <v>108</v>
      </c>
      <c r="Z1625" t="s">
        <v>108</v>
      </c>
      <c r="AA1625" t="s">
        <v>1464</v>
      </c>
      <c r="AB1625" t="s">
        <v>106</v>
      </c>
    </row>
    <row r="1626" spans="1:28" x14ac:dyDescent="0.3">
      <c r="A1626" t="s">
        <v>1462</v>
      </c>
      <c r="B1626">
        <v>3</v>
      </c>
      <c r="C1626">
        <v>35</v>
      </c>
      <c r="D1626">
        <v>39</v>
      </c>
      <c r="E1626" t="s">
        <v>128</v>
      </c>
      <c r="F1626" s="12">
        <v>45607</v>
      </c>
      <c r="G1626" t="s">
        <v>493</v>
      </c>
      <c r="H1626" s="12">
        <v>45607</v>
      </c>
      <c r="I1626" t="s">
        <v>133</v>
      </c>
      <c r="J1626" t="s">
        <v>1363</v>
      </c>
      <c r="L1626">
        <v>34.9</v>
      </c>
      <c r="P1626" t="s">
        <v>106</v>
      </c>
      <c r="Q1626" t="s">
        <v>106</v>
      </c>
      <c r="R1626" t="s">
        <v>106</v>
      </c>
      <c r="S1626" t="s">
        <v>106</v>
      </c>
      <c r="T1626" t="s">
        <v>981</v>
      </c>
      <c r="U1626" t="s">
        <v>391</v>
      </c>
      <c r="V1626" t="s">
        <v>106</v>
      </c>
      <c r="W1626" t="s">
        <v>557</v>
      </c>
      <c r="X1626" t="s">
        <v>106</v>
      </c>
      <c r="Y1626" t="s">
        <v>108</v>
      </c>
      <c r="Z1626" t="s">
        <v>108</v>
      </c>
      <c r="AA1626" t="s">
        <v>1464</v>
      </c>
      <c r="AB1626" t="s">
        <v>106</v>
      </c>
    </row>
    <row r="1627" spans="1:28" x14ac:dyDescent="0.3">
      <c r="A1627" t="s">
        <v>1462</v>
      </c>
      <c r="B1627">
        <v>3</v>
      </c>
      <c r="C1627">
        <v>35</v>
      </c>
      <c r="D1627">
        <v>30</v>
      </c>
      <c r="E1627" t="s">
        <v>128</v>
      </c>
      <c r="F1627" s="12">
        <v>45607</v>
      </c>
      <c r="G1627" t="s">
        <v>1489</v>
      </c>
      <c r="H1627" s="12">
        <v>45607</v>
      </c>
      <c r="I1627" t="s">
        <v>325</v>
      </c>
      <c r="J1627" t="s">
        <v>458</v>
      </c>
      <c r="K1627">
        <v>2</v>
      </c>
      <c r="L1627">
        <v>32.299999999999997</v>
      </c>
      <c r="P1627" t="s">
        <v>106</v>
      </c>
      <c r="Q1627" t="s">
        <v>106</v>
      </c>
      <c r="R1627" t="s">
        <v>106</v>
      </c>
      <c r="S1627" t="s">
        <v>1579</v>
      </c>
      <c r="T1627" t="s">
        <v>680</v>
      </c>
      <c r="U1627" t="s">
        <v>395</v>
      </c>
      <c r="V1627" t="s">
        <v>106</v>
      </c>
      <c r="W1627" t="s">
        <v>557</v>
      </c>
      <c r="X1627" t="s">
        <v>106</v>
      </c>
      <c r="Y1627" t="s">
        <v>108</v>
      </c>
      <c r="Z1627" t="s">
        <v>108</v>
      </c>
      <c r="AA1627" t="s">
        <v>1464</v>
      </c>
      <c r="AB1627" t="s">
        <v>106</v>
      </c>
    </row>
    <row r="1628" spans="1:28" x14ac:dyDescent="0.3">
      <c r="A1628" t="s">
        <v>1462</v>
      </c>
      <c r="B1628">
        <v>3</v>
      </c>
      <c r="C1628">
        <v>35</v>
      </c>
      <c r="D1628">
        <v>31</v>
      </c>
      <c r="E1628" t="s">
        <v>128</v>
      </c>
      <c r="F1628" s="12">
        <v>45607</v>
      </c>
      <c r="G1628" t="s">
        <v>1086</v>
      </c>
      <c r="H1628" s="12">
        <v>45607</v>
      </c>
      <c r="I1628" t="s">
        <v>325</v>
      </c>
      <c r="J1628" t="s">
        <v>458</v>
      </c>
      <c r="K1628">
        <v>2</v>
      </c>
      <c r="L1628">
        <v>32.799999999999997</v>
      </c>
      <c r="P1628" t="s">
        <v>106</v>
      </c>
      <c r="Q1628" t="s">
        <v>106</v>
      </c>
      <c r="R1628" t="s">
        <v>106</v>
      </c>
      <c r="S1628" t="s">
        <v>1758</v>
      </c>
      <c r="T1628" t="s">
        <v>1951</v>
      </c>
      <c r="U1628" t="s">
        <v>395</v>
      </c>
      <c r="V1628" t="s">
        <v>106</v>
      </c>
      <c r="W1628" t="s">
        <v>557</v>
      </c>
      <c r="X1628" t="s">
        <v>106</v>
      </c>
      <c r="Y1628" t="s">
        <v>108</v>
      </c>
      <c r="Z1628" t="s">
        <v>108</v>
      </c>
      <c r="AA1628" t="s">
        <v>1464</v>
      </c>
      <c r="AB1628" t="s">
        <v>106</v>
      </c>
    </row>
    <row r="1629" spans="1:28" x14ac:dyDescent="0.3">
      <c r="A1629" t="s">
        <v>1462</v>
      </c>
      <c r="B1629">
        <v>3</v>
      </c>
      <c r="C1629">
        <v>35</v>
      </c>
      <c r="D1629">
        <v>18</v>
      </c>
      <c r="E1629" t="s">
        <v>128</v>
      </c>
      <c r="F1629" s="12">
        <v>45607</v>
      </c>
      <c r="G1629" t="s">
        <v>745</v>
      </c>
      <c r="H1629" s="12">
        <v>45607</v>
      </c>
      <c r="I1629" t="s">
        <v>1052</v>
      </c>
      <c r="J1629" t="s">
        <v>477</v>
      </c>
      <c r="L1629">
        <v>33</v>
      </c>
      <c r="P1629" t="s">
        <v>106</v>
      </c>
      <c r="Q1629" t="s">
        <v>106</v>
      </c>
      <c r="R1629" t="s">
        <v>106</v>
      </c>
      <c r="S1629" t="s">
        <v>1783</v>
      </c>
      <c r="T1629" t="s">
        <v>1832</v>
      </c>
      <c r="U1629" t="s">
        <v>1418</v>
      </c>
      <c r="V1629" t="s">
        <v>106</v>
      </c>
      <c r="W1629" t="s">
        <v>954</v>
      </c>
      <c r="X1629" t="s">
        <v>106</v>
      </c>
      <c r="Y1629" t="s">
        <v>108</v>
      </c>
      <c r="Z1629" t="s">
        <v>108</v>
      </c>
      <c r="AA1629" t="s">
        <v>106</v>
      </c>
      <c r="AB1629" t="s">
        <v>106</v>
      </c>
    </row>
    <row r="1630" spans="1:28" x14ac:dyDescent="0.3">
      <c r="A1630" t="s">
        <v>1462</v>
      </c>
      <c r="B1630">
        <v>3</v>
      </c>
      <c r="C1630">
        <v>35</v>
      </c>
      <c r="D1630">
        <v>27</v>
      </c>
      <c r="E1630" t="s">
        <v>308</v>
      </c>
      <c r="F1630" s="12">
        <v>45607</v>
      </c>
      <c r="G1630" t="s">
        <v>2103</v>
      </c>
      <c r="H1630" s="12">
        <v>45607</v>
      </c>
      <c r="I1630" t="s">
        <v>1052</v>
      </c>
      <c r="J1630" t="s">
        <v>458</v>
      </c>
      <c r="K1630">
        <v>2</v>
      </c>
      <c r="L1630">
        <v>38.6</v>
      </c>
      <c r="P1630" t="s">
        <v>106</v>
      </c>
      <c r="Q1630" t="s">
        <v>106</v>
      </c>
      <c r="R1630" t="s">
        <v>106</v>
      </c>
      <c r="S1630" t="s">
        <v>106</v>
      </c>
      <c r="T1630" t="s">
        <v>1016</v>
      </c>
      <c r="U1630" t="s">
        <v>106</v>
      </c>
      <c r="V1630" t="s">
        <v>106</v>
      </c>
      <c r="W1630" t="s">
        <v>557</v>
      </c>
      <c r="X1630" t="s">
        <v>106</v>
      </c>
      <c r="Y1630" t="s">
        <v>108</v>
      </c>
      <c r="Z1630" t="s">
        <v>108</v>
      </c>
      <c r="AA1630" t="s">
        <v>1464</v>
      </c>
      <c r="AB1630" t="s">
        <v>106</v>
      </c>
    </row>
    <row r="1631" spans="1:28" x14ac:dyDescent="0.3">
      <c r="A1631" t="s">
        <v>1462</v>
      </c>
      <c r="B1631">
        <v>3</v>
      </c>
      <c r="C1631">
        <v>35</v>
      </c>
      <c r="D1631">
        <v>38</v>
      </c>
      <c r="E1631" t="s">
        <v>128</v>
      </c>
      <c r="F1631" s="12">
        <v>45607</v>
      </c>
      <c r="G1631" t="s">
        <v>493</v>
      </c>
      <c r="H1631" s="12">
        <v>45607</v>
      </c>
      <c r="I1631" t="s">
        <v>133</v>
      </c>
      <c r="J1631" t="s">
        <v>1363</v>
      </c>
      <c r="L1631">
        <v>32.5</v>
      </c>
      <c r="P1631" t="s">
        <v>106</v>
      </c>
      <c r="Q1631" t="s">
        <v>106</v>
      </c>
      <c r="R1631" t="s">
        <v>106</v>
      </c>
      <c r="S1631" t="s">
        <v>106</v>
      </c>
      <c r="T1631" t="s">
        <v>1049</v>
      </c>
      <c r="U1631" t="s">
        <v>1590</v>
      </c>
      <c r="V1631" t="s">
        <v>106</v>
      </c>
      <c r="W1631" t="s">
        <v>557</v>
      </c>
      <c r="X1631" t="s">
        <v>106</v>
      </c>
      <c r="Y1631" t="s">
        <v>108</v>
      </c>
      <c r="Z1631" t="s">
        <v>108</v>
      </c>
      <c r="AA1631" t="s">
        <v>1464</v>
      </c>
      <c r="AB1631" t="s">
        <v>106</v>
      </c>
    </row>
    <row r="1632" spans="1:28" x14ac:dyDescent="0.3">
      <c r="A1632" t="s">
        <v>1462</v>
      </c>
      <c r="B1632">
        <v>4</v>
      </c>
      <c r="C1632">
        <v>60</v>
      </c>
      <c r="D1632">
        <v>40</v>
      </c>
      <c r="E1632" t="s">
        <v>128</v>
      </c>
      <c r="F1632" s="12">
        <v>45607</v>
      </c>
      <c r="G1632" t="s">
        <v>401</v>
      </c>
      <c r="H1632" s="12">
        <v>45607</v>
      </c>
      <c r="I1632" t="s">
        <v>133</v>
      </c>
      <c r="J1632" t="s">
        <v>1363</v>
      </c>
      <c r="L1632">
        <v>56.4</v>
      </c>
      <c r="P1632" t="s">
        <v>106</v>
      </c>
      <c r="Q1632" t="s">
        <v>106</v>
      </c>
      <c r="R1632" t="s">
        <v>106</v>
      </c>
      <c r="S1632" t="s">
        <v>106</v>
      </c>
      <c r="T1632" t="s">
        <v>2013</v>
      </c>
      <c r="U1632" t="s">
        <v>1736</v>
      </c>
      <c r="V1632" t="s">
        <v>106</v>
      </c>
      <c r="W1632" t="s">
        <v>557</v>
      </c>
      <c r="X1632" t="s">
        <v>106</v>
      </c>
      <c r="Y1632" t="s">
        <v>108</v>
      </c>
      <c r="Z1632" t="s">
        <v>104</v>
      </c>
      <c r="AA1632" t="s">
        <v>1464</v>
      </c>
      <c r="AB1632" t="s">
        <v>106</v>
      </c>
    </row>
    <row r="1633" spans="1:28" x14ac:dyDescent="0.3">
      <c r="A1633" t="s">
        <v>1462</v>
      </c>
      <c r="B1633">
        <v>4</v>
      </c>
      <c r="C1633">
        <v>60</v>
      </c>
      <c r="D1633">
        <v>15</v>
      </c>
      <c r="E1633" t="s">
        <v>128</v>
      </c>
      <c r="F1633" s="12">
        <v>45607</v>
      </c>
      <c r="G1633" t="s">
        <v>1210</v>
      </c>
      <c r="H1633" s="12">
        <v>45607</v>
      </c>
      <c r="I1633" t="s">
        <v>1052</v>
      </c>
      <c r="J1633" t="s">
        <v>477</v>
      </c>
      <c r="L1633">
        <v>58</v>
      </c>
      <c r="P1633" t="s">
        <v>106</v>
      </c>
      <c r="Q1633" t="s">
        <v>106</v>
      </c>
      <c r="R1633" t="s">
        <v>106</v>
      </c>
      <c r="S1633" t="s">
        <v>106</v>
      </c>
      <c r="T1633" t="s">
        <v>2508</v>
      </c>
      <c r="U1633" t="s">
        <v>904</v>
      </c>
      <c r="V1633" t="s">
        <v>106</v>
      </c>
      <c r="W1633" t="s">
        <v>954</v>
      </c>
      <c r="X1633" t="s">
        <v>106</v>
      </c>
      <c r="Y1633" t="s">
        <v>108</v>
      </c>
      <c r="Z1633" t="s">
        <v>104</v>
      </c>
      <c r="AA1633" t="s">
        <v>106</v>
      </c>
      <c r="AB1633" t="s">
        <v>106</v>
      </c>
    </row>
    <row r="1634" spans="1:28" x14ac:dyDescent="0.3">
      <c r="A1634" t="s">
        <v>1462</v>
      </c>
      <c r="B1634">
        <v>4</v>
      </c>
      <c r="C1634">
        <v>60</v>
      </c>
      <c r="D1634">
        <v>16</v>
      </c>
      <c r="E1634" t="s">
        <v>128</v>
      </c>
      <c r="F1634" s="12">
        <v>45607</v>
      </c>
      <c r="G1634" t="s">
        <v>368</v>
      </c>
      <c r="H1634" s="12">
        <v>45607</v>
      </c>
      <c r="I1634" t="s">
        <v>1052</v>
      </c>
      <c r="J1634" t="s">
        <v>477</v>
      </c>
      <c r="L1634">
        <v>55.2</v>
      </c>
      <c r="P1634" t="s">
        <v>106</v>
      </c>
      <c r="Q1634" t="s">
        <v>106</v>
      </c>
      <c r="R1634" t="s">
        <v>106</v>
      </c>
      <c r="S1634" t="s">
        <v>1783</v>
      </c>
      <c r="T1634" t="s">
        <v>1839</v>
      </c>
      <c r="U1634" t="s">
        <v>1415</v>
      </c>
      <c r="V1634" t="s">
        <v>106</v>
      </c>
      <c r="W1634" t="s">
        <v>954</v>
      </c>
      <c r="X1634" t="s">
        <v>106</v>
      </c>
      <c r="Y1634" t="s">
        <v>108</v>
      </c>
      <c r="Z1634" t="s">
        <v>104</v>
      </c>
      <c r="AA1634" t="s">
        <v>106</v>
      </c>
      <c r="AB1634" t="s">
        <v>106</v>
      </c>
    </row>
    <row r="1635" spans="1:28" x14ac:dyDescent="0.3">
      <c r="A1635" t="s">
        <v>1462</v>
      </c>
      <c r="B1635">
        <v>4</v>
      </c>
      <c r="C1635">
        <v>60</v>
      </c>
      <c r="D1635">
        <v>17</v>
      </c>
      <c r="E1635" t="s">
        <v>128</v>
      </c>
      <c r="F1635" s="12">
        <v>45607</v>
      </c>
      <c r="G1635" t="s">
        <v>2720</v>
      </c>
      <c r="H1635" s="12">
        <v>45607</v>
      </c>
      <c r="I1635" t="s">
        <v>1052</v>
      </c>
      <c r="J1635" t="s">
        <v>477</v>
      </c>
      <c r="L1635">
        <v>57.7</v>
      </c>
      <c r="P1635" t="s">
        <v>106</v>
      </c>
      <c r="Q1635" t="s">
        <v>106</v>
      </c>
      <c r="R1635" t="s">
        <v>106</v>
      </c>
      <c r="S1635" t="s">
        <v>1794</v>
      </c>
      <c r="T1635" t="s">
        <v>1459</v>
      </c>
      <c r="U1635" t="s">
        <v>564</v>
      </c>
      <c r="V1635" t="s">
        <v>106</v>
      </c>
      <c r="W1635" t="s">
        <v>954</v>
      </c>
      <c r="X1635" t="s">
        <v>106</v>
      </c>
      <c r="Y1635" t="s">
        <v>108</v>
      </c>
      <c r="Z1635" t="s">
        <v>104</v>
      </c>
      <c r="AA1635" t="s">
        <v>106</v>
      </c>
      <c r="AB1635" t="s">
        <v>106</v>
      </c>
    </row>
    <row r="1636" spans="1:28" x14ac:dyDescent="0.3">
      <c r="A1636" t="s">
        <v>1462</v>
      </c>
      <c r="B1636">
        <v>4</v>
      </c>
      <c r="C1636">
        <v>60</v>
      </c>
      <c r="D1636">
        <v>24</v>
      </c>
      <c r="E1636" t="s">
        <v>308</v>
      </c>
      <c r="F1636" s="12">
        <v>45607</v>
      </c>
      <c r="G1636" t="s">
        <v>647</v>
      </c>
      <c r="H1636" s="12">
        <v>45607</v>
      </c>
      <c r="I1636" t="s">
        <v>1052</v>
      </c>
      <c r="J1636" t="s">
        <v>477</v>
      </c>
      <c r="L1636">
        <v>55.7</v>
      </c>
      <c r="P1636" t="s">
        <v>106</v>
      </c>
      <c r="Q1636" t="s">
        <v>106</v>
      </c>
      <c r="R1636" t="s">
        <v>106</v>
      </c>
      <c r="S1636" t="s">
        <v>106</v>
      </c>
      <c r="T1636" t="s">
        <v>1049</v>
      </c>
      <c r="U1636" t="s">
        <v>1591</v>
      </c>
      <c r="V1636" t="s">
        <v>106</v>
      </c>
      <c r="W1636" t="s">
        <v>557</v>
      </c>
      <c r="X1636" t="s">
        <v>106</v>
      </c>
      <c r="Y1636" t="s">
        <v>108</v>
      </c>
      <c r="Z1636" t="s">
        <v>104</v>
      </c>
      <c r="AA1636" t="s">
        <v>1464</v>
      </c>
      <c r="AB1636" t="s">
        <v>106</v>
      </c>
    </row>
    <row r="1637" spans="1:28" x14ac:dyDescent="0.3">
      <c r="A1637" t="s">
        <v>1462</v>
      </c>
      <c r="B1637">
        <v>4</v>
      </c>
      <c r="C1637">
        <v>60</v>
      </c>
      <c r="D1637">
        <v>41</v>
      </c>
      <c r="E1637" t="s">
        <v>128</v>
      </c>
      <c r="F1637" s="12">
        <v>45607</v>
      </c>
      <c r="G1637" t="s">
        <v>460</v>
      </c>
      <c r="H1637" s="12">
        <v>45607</v>
      </c>
      <c r="I1637" t="s">
        <v>133</v>
      </c>
      <c r="J1637" t="s">
        <v>1363</v>
      </c>
      <c r="L1637">
        <v>57.2</v>
      </c>
      <c r="P1637" t="s">
        <v>106</v>
      </c>
      <c r="Q1637" t="s">
        <v>106</v>
      </c>
      <c r="R1637" t="s">
        <v>106</v>
      </c>
      <c r="S1637" t="s">
        <v>106</v>
      </c>
      <c r="T1637" t="s">
        <v>1935</v>
      </c>
      <c r="U1637" t="s">
        <v>1590</v>
      </c>
      <c r="V1637" t="s">
        <v>106</v>
      </c>
      <c r="W1637" t="s">
        <v>557</v>
      </c>
      <c r="X1637" t="s">
        <v>106</v>
      </c>
      <c r="Y1637" t="s">
        <v>108</v>
      </c>
      <c r="Z1637" t="s">
        <v>104</v>
      </c>
      <c r="AA1637" t="s">
        <v>1464</v>
      </c>
      <c r="AB1637" t="s">
        <v>106</v>
      </c>
    </row>
    <row r="1638" spans="1:28" x14ac:dyDescent="0.3">
      <c r="A1638" t="s">
        <v>1462</v>
      </c>
      <c r="B1638">
        <v>4</v>
      </c>
      <c r="C1638">
        <v>60</v>
      </c>
      <c r="D1638">
        <v>25</v>
      </c>
      <c r="E1638" t="s">
        <v>308</v>
      </c>
      <c r="F1638" s="12">
        <v>45607</v>
      </c>
      <c r="G1638" t="s">
        <v>648</v>
      </c>
      <c r="H1638" s="12">
        <v>45607</v>
      </c>
      <c r="I1638" t="s">
        <v>1052</v>
      </c>
      <c r="J1638" t="s">
        <v>477</v>
      </c>
      <c r="L1638">
        <v>56.8</v>
      </c>
      <c r="P1638" t="s">
        <v>106</v>
      </c>
      <c r="Q1638" t="s">
        <v>106</v>
      </c>
      <c r="R1638" t="s">
        <v>106</v>
      </c>
      <c r="S1638" t="s">
        <v>1658</v>
      </c>
      <c r="T1638" t="s">
        <v>1120</v>
      </c>
      <c r="U1638" t="s">
        <v>1345</v>
      </c>
      <c r="V1638" t="s">
        <v>106</v>
      </c>
      <c r="W1638" t="s">
        <v>557</v>
      </c>
      <c r="X1638" t="s">
        <v>106</v>
      </c>
      <c r="Y1638" t="s">
        <v>108</v>
      </c>
      <c r="Z1638" t="s">
        <v>104</v>
      </c>
      <c r="AA1638" t="s">
        <v>1464</v>
      </c>
      <c r="AB1638" t="s">
        <v>106</v>
      </c>
    </row>
    <row r="1639" spans="1:28" x14ac:dyDescent="0.3">
      <c r="A1639" t="s">
        <v>1462</v>
      </c>
      <c r="B1639">
        <v>4</v>
      </c>
      <c r="C1639">
        <v>60</v>
      </c>
      <c r="D1639">
        <v>32</v>
      </c>
      <c r="E1639" t="s">
        <v>128</v>
      </c>
      <c r="F1639" s="12">
        <v>45607</v>
      </c>
      <c r="G1639" t="s">
        <v>1107</v>
      </c>
      <c r="H1639" s="12">
        <v>45607</v>
      </c>
      <c r="I1639" t="s">
        <v>325</v>
      </c>
      <c r="J1639" t="s">
        <v>458</v>
      </c>
      <c r="K1639">
        <v>2</v>
      </c>
      <c r="L1639">
        <v>57.3</v>
      </c>
      <c r="P1639" t="s">
        <v>106</v>
      </c>
      <c r="Q1639" t="s">
        <v>106</v>
      </c>
      <c r="R1639" t="s">
        <v>106</v>
      </c>
      <c r="S1639" t="s">
        <v>992</v>
      </c>
      <c r="T1639" t="s">
        <v>1386</v>
      </c>
      <c r="U1639" t="s">
        <v>430</v>
      </c>
      <c r="V1639" t="s">
        <v>106</v>
      </c>
      <c r="W1639" t="s">
        <v>557</v>
      </c>
      <c r="X1639" t="s">
        <v>106</v>
      </c>
      <c r="Y1639" t="s">
        <v>108</v>
      </c>
      <c r="Z1639" t="s">
        <v>104</v>
      </c>
      <c r="AA1639" t="s">
        <v>1464</v>
      </c>
      <c r="AB1639" t="s">
        <v>106</v>
      </c>
    </row>
    <row r="1640" spans="1:28" x14ac:dyDescent="0.3">
      <c r="A1640" t="s">
        <v>1462</v>
      </c>
      <c r="B1640">
        <v>4</v>
      </c>
      <c r="C1640">
        <v>60</v>
      </c>
      <c r="D1640">
        <v>33</v>
      </c>
      <c r="E1640" t="s">
        <v>128</v>
      </c>
      <c r="F1640" s="12">
        <v>45607</v>
      </c>
      <c r="G1640" t="s">
        <v>1480</v>
      </c>
      <c r="H1640" s="12">
        <v>45607</v>
      </c>
      <c r="I1640" t="s">
        <v>325</v>
      </c>
      <c r="J1640" t="s">
        <v>458</v>
      </c>
      <c r="K1640">
        <v>2</v>
      </c>
      <c r="L1640">
        <v>56.1</v>
      </c>
      <c r="P1640" t="s">
        <v>106</v>
      </c>
      <c r="Q1640" t="s">
        <v>106</v>
      </c>
      <c r="R1640" t="s">
        <v>106</v>
      </c>
      <c r="S1640" t="s">
        <v>970</v>
      </c>
      <c r="T1640" t="s">
        <v>977</v>
      </c>
      <c r="U1640" t="s">
        <v>1591</v>
      </c>
      <c r="V1640" t="s">
        <v>106</v>
      </c>
      <c r="W1640" t="s">
        <v>557</v>
      </c>
      <c r="X1640" t="s">
        <v>106</v>
      </c>
      <c r="Y1640" t="s">
        <v>108</v>
      </c>
      <c r="Z1640" t="s">
        <v>104</v>
      </c>
      <c r="AA1640" t="s">
        <v>1464</v>
      </c>
      <c r="AB1640" t="s">
        <v>106</v>
      </c>
    </row>
    <row r="1641" spans="1:28" x14ac:dyDescent="0.3">
      <c r="A1641" t="s">
        <v>1462</v>
      </c>
      <c r="B1641">
        <v>1</v>
      </c>
      <c r="C1641">
        <v>0</v>
      </c>
      <c r="D1641">
        <v>60</v>
      </c>
      <c r="E1641" t="s">
        <v>128</v>
      </c>
      <c r="F1641" s="12">
        <v>45608</v>
      </c>
      <c r="G1641" t="s">
        <v>328</v>
      </c>
      <c r="H1641" s="12">
        <v>45608</v>
      </c>
      <c r="I1641" t="s">
        <v>445</v>
      </c>
      <c r="J1641" t="s">
        <v>1363</v>
      </c>
      <c r="L1641">
        <v>0</v>
      </c>
      <c r="P1641" t="s">
        <v>106</v>
      </c>
      <c r="Q1641" t="s">
        <v>106</v>
      </c>
      <c r="R1641" t="s">
        <v>106</v>
      </c>
      <c r="S1641" t="s">
        <v>1472</v>
      </c>
      <c r="T1641" t="s">
        <v>1473</v>
      </c>
      <c r="U1641" t="s">
        <v>430</v>
      </c>
      <c r="V1641" t="s">
        <v>106</v>
      </c>
      <c r="W1641" t="s">
        <v>557</v>
      </c>
      <c r="X1641" t="s">
        <v>106</v>
      </c>
      <c r="Y1641" t="s">
        <v>108</v>
      </c>
      <c r="Z1641" t="s">
        <v>105</v>
      </c>
      <c r="AA1641" t="s">
        <v>1464</v>
      </c>
      <c r="AB1641" t="s">
        <v>106</v>
      </c>
    </row>
    <row r="1642" spans="1:28" x14ac:dyDescent="0.3">
      <c r="A1642" t="s">
        <v>1462</v>
      </c>
      <c r="B1642">
        <v>1</v>
      </c>
      <c r="C1642">
        <v>0</v>
      </c>
      <c r="D1642">
        <v>70</v>
      </c>
      <c r="E1642" t="s">
        <v>128</v>
      </c>
      <c r="F1642" s="12">
        <v>45608</v>
      </c>
      <c r="G1642" t="s">
        <v>379</v>
      </c>
      <c r="H1642" s="12">
        <v>45608</v>
      </c>
      <c r="I1642" t="s">
        <v>1474</v>
      </c>
      <c r="J1642" t="s">
        <v>1363</v>
      </c>
      <c r="K1642">
        <v>1</v>
      </c>
      <c r="L1642">
        <v>0</v>
      </c>
      <c r="P1642" t="s">
        <v>106</v>
      </c>
      <c r="Q1642" t="s">
        <v>106</v>
      </c>
      <c r="R1642" t="s">
        <v>106</v>
      </c>
      <c r="S1642" t="s">
        <v>106</v>
      </c>
      <c r="T1642" t="s">
        <v>1475</v>
      </c>
      <c r="U1642" t="s">
        <v>1411</v>
      </c>
      <c r="V1642" t="s">
        <v>106</v>
      </c>
      <c r="W1642" t="s">
        <v>557</v>
      </c>
      <c r="X1642" t="s">
        <v>106</v>
      </c>
      <c r="Y1642" t="s">
        <v>108</v>
      </c>
      <c r="Z1642" t="s">
        <v>105</v>
      </c>
      <c r="AA1642" t="s">
        <v>1464</v>
      </c>
      <c r="AB1642" t="s">
        <v>106</v>
      </c>
    </row>
    <row r="1643" spans="1:28" x14ac:dyDescent="0.3">
      <c r="A1643" t="s">
        <v>1462</v>
      </c>
      <c r="B1643">
        <v>1</v>
      </c>
      <c r="C1643">
        <v>0</v>
      </c>
      <c r="D1643">
        <v>61</v>
      </c>
      <c r="E1643" t="s">
        <v>128</v>
      </c>
      <c r="F1643" s="12">
        <v>45608</v>
      </c>
      <c r="G1643" t="s">
        <v>491</v>
      </c>
      <c r="H1643" s="12">
        <v>45608</v>
      </c>
      <c r="I1643" t="s">
        <v>445</v>
      </c>
      <c r="J1643" t="s">
        <v>1363</v>
      </c>
      <c r="L1643">
        <v>0</v>
      </c>
      <c r="P1643" t="s">
        <v>106</v>
      </c>
      <c r="Q1643" t="s">
        <v>106</v>
      </c>
      <c r="R1643" t="s">
        <v>106</v>
      </c>
      <c r="S1643" t="s">
        <v>106</v>
      </c>
      <c r="T1643" t="s">
        <v>1476</v>
      </c>
      <c r="U1643" t="s">
        <v>1477</v>
      </c>
      <c r="V1643" t="s">
        <v>106</v>
      </c>
      <c r="W1643" t="s">
        <v>557</v>
      </c>
      <c r="X1643" t="s">
        <v>106</v>
      </c>
      <c r="Y1643" t="s">
        <v>108</v>
      </c>
      <c r="Z1643" t="s">
        <v>105</v>
      </c>
      <c r="AA1643" t="s">
        <v>1464</v>
      </c>
      <c r="AB1643" t="s">
        <v>106</v>
      </c>
    </row>
    <row r="1644" spans="1:28" x14ac:dyDescent="0.3">
      <c r="A1644" t="s">
        <v>1462</v>
      </c>
      <c r="B1644">
        <v>1</v>
      </c>
      <c r="C1644">
        <v>0</v>
      </c>
      <c r="D1644">
        <v>69</v>
      </c>
      <c r="E1644" t="s">
        <v>128</v>
      </c>
      <c r="F1644" s="12">
        <v>45608</v>
      </c>
      <c r="G1644" t="s">
        <v>739</v>
      </c>
      <c r="H1644" s="12">
        <v>45608</v>
      </c>
      <c r="I1644" t="s">
        <v>1474</v>
      </c>
      <c r="J1644" t="s">
        <v>1363</v>
      </c>
      <c r="K1644">
        <v>1</v>
      </c>
      <c r="L1644">
        <v>0</v>
      </c>
      <c r="P1644" t="s">
        <v>106</v>
      </c>
      <c r="Q1644" t="s">
        <v>106</v>
      </c>
      <c r="R1644" t="s">
        <v>106</v>
      </c>
      <c r="S1644" t="s">
        <v>106</v>
      </c>
      <c r="T1644" t="s">
        <v>1478</v>
      </c>
      <c r="U1644" t="s">
        <v>1411</v>
      </c>
      <c r="V1644" t="s">
        <v>106</v>
      </c>
      <c r="W1644" t="s">
        <v>557</v>
      </c>
      <c r="X1644" t="s">
        <v>106</v>
      </c>
      <c r="Y1644" t="s">
        <v>108</v>
      </c>
      <c r="Z1644" t="s">
        <v>105</v>
      </c>
      <c r="AA1644" t="s">
        <v>1464</v>
      </c>
      <c r="AB1644" t="s">
        <v>106</v>
      </c>
    </row>
    <row r="1645" spans="1:28" x14ac:dyDescent="0.3">
      <c r="A1645" t="s">
        <v>1462</v>
      </c>
      <c r="B1645">
        <v>1</v>
      </c>
      <c r="C1645">
        <v>0</v>
      </c>
      <c r="D1645">
        <v>49</v>
      </c>
      <c r="E1645" t="s">
        <v>128</v>
      </c>
      <c r="F1645" s="12">
        <v>45608</v>
      </c>
      <c r="G1645" t="s">
        <v>330</v>
      </c>
      <c r="H1645" s="12">
        <v>45608</v>
      </c>
      <c r="I1645" t="s">
        <v>1187</v>
      </c>
      <c r="J1645" t="s">
        <v>1363</v>
      </c>
      <c r="L1645">
        <v>0</v>
      </c>
      <c r="P1645" t="s">
        <v>106</v>
      </c>
      <c r="Q1645" t="s">
        <v>106</v>
      </c>
      <c r="R1645" t="s">
        <v>106</v>
      </c>
      <c r="S1645" t="s">
        <v>106</v>
      </c>
      <c r="T1645" t="s">
        <v>1006</v>
      </c>
      <c r="U1645" t="s">
        <v>1479</v>
      </c>
      <c r="V1645" t="s">
        <v>106</v>
      </c>
      <c r="W1645" t="s">
        <v>557</v>
      </c>
      <c r="X1645" t="s">
        <v>106</v>
      </c>
      <c r="Y1645" t="s">
        <v>108</v>
      </c>
      <c r="Z1645" t="s">
        <v>105</v>
      </c>
      <c r="AA1645" t="s">
        <v>1464</v>
      </c>
      <c r="AB1645" t="s">
        <v>106</v>
      </c>
    </row>
    <row r="1646" spans="1:28" x14ac:dyDescent="0.3">
      <c r="A1646" t="s">
        <v>1462</v>
      </c>
      <c r="B1646">
        <v>1</v>
      </c>
      <c r="C1646">
        <v>0</v>
      </c>
      <c r="D1646">
        <v>48</v>
      </c>
      <c r="E1646" t="s">
        <v>128</v>
      </c>
      <c r="F1646" s="12">
        <v>45608</v>
      </c>
      <c r="G1646" t="s">
        <v>330</v>
      </c>
      <c r="H1646" s="12">
        <v>45608</v>
      </c>
      <c r="I1646" t="s">
        <v>1187</v>
      </c>
      <c r="J1646" t="s">
        <v>1363</v>
      </c>
      <c r="L1646">
        <v>0</v>
      </c>
      <c r="P1646" t="s">
        <v>106</v>
      </c>
      <c r="Q1646" t="s">
        <v>106</v>
      </c>
      <c r="R1646" t="s">
        <v>106</v>
      </c>
      <c r="S1646" t="s">
        <v>106</v>
      </c>
      <c r="T1646" t="s">
        <v>1431</v>
      </c>
      <c r="U1646" t="s">
        <v>841</v>
      </c>
      <c r="V1646" t="s">
        <v>106</v>
      </c>
      <c r="W1646" t="s">
        <v>557</v>
      </c>
      <c r="X1646" t="s">
        <v>106</v>
      </c>
      <c r="Y1646" t="s">
        <v>108</v>
      </c>
      <c r="Z1646" t="s">
        <v>105</v>
      </c>
      <c r="AA1646" t="s">
        <v>1464</v>
      </c>
      <c r="AB1646" t="s">
        <v>106</v>
      </c>
    </row>
    <row r="1647" spans="1:28" x14ac:dyDescent="0.3">
      <c r="A1647" t="s">
        <v>1462</v>
      </c>
      <c r="B1647">
        <v>1</v>
      </c>
      <c r="C1647">
        <v>0</v>
      </c>
      <c r="D1647">
        <v>44</v>
      </c>
      <c r="E1647" t="s">
        <v>308</v>
      </c>
      <c r="F1647" s="12">
        <v>45608</v>
      </c>
      <c r="G1647" t="s">
        <v>380</v>
      </c>
      <c r="H1647" s="12">
        <v>45608</v>
      </c>
      <c r="I1647" t="s">
        <v>1187</v>
      </c>
      <c r="J1647" t="s">
        <v>1363</v>
      </c>
      <c r="L1647">
        <v>0</v>
      </c>
      <c r="P1647" t="s">
        <v>106</v>
      </c>
      <c r="Q1647" t="s">
        <v>106</v>
      </c>
      <c r="R1647" t="s">
        <v>106</v>
      </c>
      <c r="S1647" t="s">
        <v>106</v>
      </c>
      <c r="T1647" t="s">
        <v>1386</v>
      </c>
      <c r="U1647" t="s">
        <v>106</v>
      </c>
      <c r="V1647" t="s">
        <v>106</v>
      </c>
      <c r="W1647" t="s">
        <v>557</v>
      </c>
      <c r="X1647" t="s">
        <v>106</v>
      </c>
      <c r="Y1647" t="s">
        <v>108</v>
      </c>
      <c r="Z1647" t="s">
        <v>105</v>
      </c>
      <c r="AA1647" t="s">
        <v>1464</v>
      </c>
      <c r="AB1647" t="s">
        <v>106</v>
      </c>
    </row>
    <row r="1648" spans="1:28" x14ac:dyDescent="0.3">
      <c r="A1648" t="s">
        <v>1462</v>
      </c>
      <c r="B1648">
        <v>2</v>
      </c>
      <c r="C1648">
        <v>15</v>
      </c>
      <c r="D1648">
        <v>64</v>
      </c>
      <c r="E1648" t="s">
        <v>128</v>
      </c>
      <c r="F1648" s="12">
        <v>45608</v>
      </c>
      <c r="G1648" t="s">
        <v>585</v>
      </c>
      <c r="H1648" s="12">
        <v>45608</v>
      </c>
      <c r="I1648" t="s">
        <v>106</v>
      </c>
      <c r="J1648" t="s">
        <v>1363</v>
      </c>
      <c r="K1648">
        <v>1</v>
      </c>
      <c r="L1648">
        <v>13.4</v>
      </c>
      <c r="P1648" t="s">
        <v>106</v>
      </c>
      <c r="Q1648" t="s">
        <v>106</v>
      </c>
      <c r="R1648" t="s">
        <v>106</v>
      </c>
      <c r="S1648" t="s">
        <v>106</v>
      </c>
      <c r="T1648" t="s">
        <v>1804</v>
      </c>
      <c r="U1648" t="s">
        <v>395</v>
      </c>
      <c r="V1648" t="s">
        <v>106</v>
      </c>
      <c r="W1648" t="s">
        <v>557</v>
      </c>
      <c r="X1648" t="s">
        <v>106</v>
      </c>
      <c r="Y1648" t="s">
        <v>108</v>
      </c>
      <c r="Z1648" t="s">
        <v>109</v>
      </c>
      <c r="AA1648" t="s">
        <v>1464</v>
      </c>
      <c r="AB1648" t="s">
        <v>106</v>
      </c>
    </row>
    <row r="1649" spans="1:28" x14ac:dyDescent="0.3">
      <c r="A1649" t="s">
        <v>1462</v>
      </c>
      <c r="B1649">
        <v>2</v>
      </c>
      <c r="C1649">
        <v>15</v>
      </c>
      <c r="D1649">
        <v>45</v>
      </c>
      <c r="E1649" t="s">
        <v>308</v>
      </c>
      <c r="F1649" s="12">
        <v>45608</v>
      </c>
      <c r="G1649" t="s">
        <v>788</v>
      </c>
      <c r="H1649" s="12">
        <v>45608</v>
      </c>
      <c r="I1649" t="s">
        <v>1187</v>
      </c>
      <c r="J1649" t="s">
        <v>1363</v>
      </c>
      <c r="L1649">
        <v>13.4</v>
      </c>
      <c r="P1649" t="s">
        <v>106</v>
      </c>
      <c r="Q1649" t="s">
        <v>106</v>
      </c>
      <c r="R1649" t="s">
        <v>106</v>
      </c>
      <c r="S1649" t="s">
        <v>106</v>
      </c>
      <c r="T1649" t="s">
        <v>1145</v>
      </c>
      <c r="U1649" t="s">
        <v>106</v>
      </c>
      <c r="V1649" t="s">
        <v>106</v>
      </c>
      <c r="W1649" t="s">
        <v>557</v>
      </c>
      <c r="X1649" t="s">
        <v>106</v>
      </c>
      <c r="Y1649" t="s">
        <v>108</v>
      </c>
      <c r="Z1649" t="s">
        <v>109</v>
      </c>
      <c r="AA1649" t="s">
        <v>1464</v>
      </c>
      <c r="AB1649" t="s">
        <v>106</v>
      </c>
    </row>
    <row r="1650" spans="1:28" x14ac:dyDescent="0.3">
      <c r="A1650" t="s">
        <v>1462</v>
      </c>
      <c r="B1650">
        <v>2</v>
      </c>
      <c r="C1650">
        <v>15</v>
      </c>
      <c r="D1650">
        <v>50</v>
      </c>
      <c r="E1650" t="s">
        <v>128</v>
      </c>
      <c r="F1650" s="12">
        <v>45608</v>
      </c>
      <c r="G1650" t="s">
        <v>748</v>
      </c>
      <c r="H1650" s="12">
        <v>45608</v>
      </c>
      <c r="I1650" t="s">
        <v>1187</v>
      </c>
      <c r="J1650" t="s">
        <v>1363</v>
      </c>
      <c r="L1650">
        <v>12.7</v>
      </c>
      <c r="P1650" t="s">
        <v>106</v>
      </c>
      <c r="Q1650" t="s">
        <v>106</v>
      </c>
      <c r="R1650" t="s">
        <v>106</v>
      </c>
      <c r="S1650" t="s">
        <v>106</v>
      </c>
      <c r="T1650" t="s">
        <v>1808</v>
      </c>
      <c r="U1650" t="s">
        <v>564</v>
      </c>
      <c r="V1650" t="s">
        <v>106</v>
      </c>
      <c r="W1650" t="s">
        <v>557</v>
      </c>
      <c r="X1650" t="s">
        <v>106</v>
      </c>
      <c r="Y1650" t="s">
        <v>108</v>
      </c>
      <c r="Z1650" t="s">
        <v>109</v>
      </c>
      <c r="AA1650" t="s">
        <v>1464</v>
      </c>
      <c r="AB1650" t="s">
        <v>106</v>
      </c>
    </row>
    <row r="1651" spans="1:28" x14ac:dyDescent="0.3">
      <c r="A1651" t="s">
        <v>1462</v>
      </c>
      <c r="B1651">
        <v>2</v>
      </c>
      <c r="C1651">
        <v>15</v>
      </c>
      <c r="D1651">
        <v>51</v>
      </c>
      <c r="E1651" t="s">
        <v>128</v>
      </c>
      <c r="F1651" s="12">
        <v>45608</v>
      </c>
      <c r="G1651" t="s">
        <v>748</v>
      </c>
      <c r="H1651" s="12">
        <v>45608</v>
      </c>
      <c r="I1651" t="s">
        <v>1187</v>
      </c>
      <c r="J1651" t="s">
        <v>1363</v>
      </c>
      <c r="L1651">
        <v>13.6</v>
      </c>
      <c r="P1651" t="s">
        <v>106</v>
      </c>
      <c r="Q1651" t="s">
        <v>106</v>
      </c>
      <c r="R1651" t="s">
        <v>106</v>
      </c>
      <c r="S1651" t="s">
        <v>106</v>
      </c>
      <c r="T1651" t="s">
        <v>884</v>
      </c>
      <c r="U1651" t="s">
        <v>429</v>
      </c>
      <c r="V1651" t="s">
        <v>106</v>
      </c>
      <c r="W1651" t="s">
        <v>557</v>
      </c>
      <c r="X1651" t="s">
        <v>106</v>
      </c>
      <c r="Y1651" t="s">
        <v>108</v>
      </c>
      <c r="Z1651" t="s">
        <v>109</v>
      </c>
      <c r="AA1651" t="s">
        <v>1464</v>
      </c>
      <c r="AB1651" t="s">
        <v>106</v>
      </c>
    </row>
    <row r="1652" spans="1:28" x14ac:dyDescent="0.3">
      <c r="A1652" t="s">
        <v>1462</v>
      </c>
      <c r="B1652">
        <v>2</v>
      </c>
      <c r="C1652">
        <v>15</v>
      </c>
      <c r="D1652">
        <v>58</v>
      </c>
      <c r="E1652" t="s">
        <v>128</v>
      </c>
      <c r="F1652" s="12">
        <v>45608</v>
      </c>
      <c r="G1652" t="s">
        <v>577</v>
      </c>
      <c r="H1652" s="12">
        <v>45608</v>
      </c>
      <c r="I1652" t="s">
        <v>445</v>
      </c>
      <c r="J1652" t="s">
        <v>1363</v>
      </c>
      <c r="L1652">
        <v>13.3</v>
      </c>
      <c r="P1652" t="s">
        <v>106</v>
      </c>
      <c r="Q1652" t="s">
        <v>106</v>
      </c>
      <c r="R1652" t="s">
        <v>106</v>
      </c>
      <c r="S1652" t="s">
        <v>1605</v>
      </c>
      <c r="T1652" t="s">
        <v>1951</v>
      </c>
      <c r="U1652" t="s">
        <v>1604</v>
      </c>
      <c r="V1652" t="s">
        <v>106</v>
      </c>
      <c r="W1652" t="s">
        <v>557</v>
      </c>
      <c r="X1652" t="s">
        <v>106</v>
      </c>
      <c r="Y1652" t="s">
        <v>108</v>
      </c>
      <c r="Z1652" t="s">
        <v>109</v>
      </c>
      <c r="AA1652" t="s">
        <v>1464</v>
      </c>
      <c r="AB1652" t="s">
        <v>106</v>
      </c>
    </row>
    <row r="1653" spans="1:28" x14ac:dyDescent="0.3">
      <c r="A1653" t="s">
        <v>1462</v>
      </c>
      <c r="B1653">
        <v>2</v>
      </c>
      <c r="C1653">
        <v>15</v>
      </c>
      <c r="D1653">
        <v>59</v>
      </c>
      <c r="E1653" t="s">
        <v>128</v>
      </c>
      <c r="F1653" s="12">
        <v>45608</v>
      </c>
      <c r="G1653" t="s">
        <v>408</v>
      </c>
      <c r="H1653" s="12">
        <v>45608</v>
      </c>
      <c r="I1653" t="s">
        <v>445</v>
      </c>
      <c r="J1653" t="s">
        <v>1363</v>
      </c>
      <c r="L1653">
        <v>13.9</v>
      </c>
      <c r="P1653" t="s">
        <v>106</v>
      </c>
      <c r="Q1653" t="s">
        <v>106</v>
      </c>
      <c r="R1653" t="s">
        <v>106</v>
      </c>
      <c r="S1653" t="s">
        <v>1367</v>
      </c>
      <c r="T1653" t="s">
        <v>1808</v>
      </c>
      <c r="U1653" t="s">
        <v>905</v>
      </c>
      <c r="V1653" t="s">
        <v>106</v>
      </c>
      <c r="W1653" t="s">
        <v>557</v>
      </c>
      <c r="X1653" t="s">
        <v>106</v>
      </c>
      <c r="Y1653" t="s">
        <v>108</v>
      </c>
      <c r="Z1653" t="s">
        <v>109</v>
      </c>
      <c r="AA1653" t="s">
        <v>1464</v>
      </c>
      <c r="AB1653" t="s">
        <v>106</v>
      </c>
    </row>
    <row r="1654" spans="1:28" x14ac:dyDescent="0.3">
      <c r="A1654" t="s">
        <v>1462</v>
      </c>
      <c r="B1654">
        <v>2</v>
      </c>
      <c r="C1654">
        <v>15</v>
      </c>
      <c r="D1654">
        <v>84</v>
      </c>
      <c r="E1654" t="s">
        <v>128</v>
      </c>
      <c r="F1654" s="12">
        <v>45608</v>
      </c>
      <c r="G1654" t="s">
        <v>375</v>
      </c>
      <c r="H1654" s="12">
        <v>45608</v>
      </c>
      <c r="I1654" t="s">
        <v>137</v>
      </c>
      <c r="J1654" t="s">
        <v>458</v>
      </c>
      <c r="K1654">
        <v>2</v>
      </c>
      <c r="L1654">
        <v>15</v>
      </c>
      <c r="P1654" t="s">
        <v>106</v>
      </c>
      <c r="Q1654" t="s">
        <v>106</v>
      </c>
      <c r="R1654" t="s">
        <v>106</v>
      </c>
      <c r="S1654" t="s">
        <v>106</v>
      </c>
      <c r="T1654" t="s">
        <v>775</v>
      </c>
      <c r="U1654" t="s">
        <v>1347</v>
      </c>
      <c r="V1654" t="s">
        <v>106</v>
      </c>
      <c r="W1654" t="s">
        <v>476</v>
      </c>
      <c r="X1654" t="s">
        <v>106</v>
      </c>
      <c r="Y1654" t="s">
        <v>108</v>
      </c>
      <c r="Z1654" t="s">
        <v>108</v>
      </c>
      <c r="AA1654" t="s">
        <v>106</v>
      </c>
      <c r="AB1654" t="s">
        <v>106</v>
      </c>
    </row>
    <row r="1655" spans="1:28" x14ac:dyDescent="0.3">
      <c r="A1655" t="s">
        <v>1462</v>
      </c>
      <c r="B1655">
        <v>2</v>
      </c>
      <c r="C1655">
        <v>15</v>
      </c>
      <c r="D1655">
        <v>71</v>
      </c>
      <c r="E1655" t="s">
        <v>128</v>
      </c>
      <c r="F1655" s="12">
        <v>45608</v>
      </c>
      <c r="G1655" t="s">
        <v>681</v>
      </c>
      <c r="H1655" s="12">
        <v>45608</v>
      </c>
      <c r="I1655" t="s">
        <v>1110</v>
      </c>
      <c r="J1655" t="s">
        <v>458</v>
      </c>
      <c r="K1655">
        <v>2</v>
      </c>
      <c r="L1655">
        <v>12.7</v>
      </c>
      <c r="P1655" t="s">
        <v>106</v>
      </c>
      <c r="Q1655" t="s">
        <v>106</v>
      </c>
      <c r="R1655" t="s">
        <v>106</v>
      </c>
      <c r="S1655" t="s">
        <v>106</v>
      </c>
      <c r="T1655" t="s">
        <v>1280</v>
      </c>
      <c r="U1655" t="s">
        <v>429</v>
      </c>
      <c r="V1655" t="s">
        <v>106</v>
      </c>
      <c r="W1655" t="s">
        <v>557</v>
      </c>
      <c r="X1655" t="s">
        <v>106</v>
      </c>
      <c r="Y1655" t="s">
        <v>108</v>
      </c>
      <c r="Z1655" t="s">
        <v>109</v>
      </c>
      <c r="AA1655" t="s">
        <v>1464</v>
      </c>
      <c r="AB1655" t="s">
        <v>106</v>
      </c>
    </row>
    <row r="1656" spans="1:28" x14ac:dyDescent="0.3">
      <c r="A1656" t="s">
        <v>1462</v>
      </c>
      <c r="B1656">
        <v>2</v>
      </c>
      <c r="C1656">
        <v>15</v>
      </c>
      <c r="D1656">
        <v>72</v>
      </c>
      <c r="E1656" t="s">
        <v>128</v>
      </c>
      <c r="F1656" s="12">
        <v>45608</v>
      </c>
      <c r="G1656" t="s">
        <v>833</v>
      </c>
      <c r="H1656" s="12">
        <v>45608</v>
      </c>
      <c r="I1656" t="s">
        <v>1110</v>
      </c>
      <c r="J1656" t="s">
        <v>458</v>
      </c>
      <c r="K1656">
        <v>2</v>
      </c>
      <c r="L1656">
        <v>13.1</v>
      </c>
      <c r="P1656" t="s">
        <v>106</v>
      </c>
      <c r="Q1656" t="s">
        <v>106</v>
      </c>
      <c r="R1656" t="s">
        <v>106</v>
      </c>
      <c r="S1656" t="s">
        <v>106</v>
      </c>
      <c r="T1656" t="s">
        <v>1839</v>
      </c>
      <c r="U1656" t="s">
        <v>1591</v>
      </c>
      <c r="V1656" t="s">
        <v>106</v>
      </c>
      <c r="W1656" t="s">
        <v>557</v>
      </c>
      <c r="X1656" t="s">
        <v>106</v>
      </c>
      <c r="Y1656" t="s">
        <v>108</v>
      </c>
      <c r="Z1656" t="s">
        <v>109</v>
      </c>
      <c r="AA1656" t="s">
        <v>1464</v>
      </c>
      <c r="AB1656" t="s">
        <v>106</v>
      </c>
    </row>
    <row r="1657" spans="1:28" x14ac:dyDescent="0.3">
      <c r="A1657" t="s">
        <v>1462</v>
      </c>
      <c r="B1657">
        <v>2</v>
      </c>
      <c r="C1657">
        <v>15</v>
      </c>
      <c r="D1657">
        <v>79</v>
      </c>
      <c r="E1657" t="s">
        <v>128</v>
      </c>
      <c r="F1657" s="12">
        <v>45608</v>
      </c>
      <c r="G1657" t="s">
        <v>1994</v>
      </c>
      <c r="H1657" s="12">
        <v>45608</v>
      </c>
      <c r="I1657" t="s">
        <v>1110</v>
      </c>
      <c r="J1657" t="s">
        <v>458</v>
      </c>
      <c r="K1657">
        <v>2</v>
      </c>
      <c r="L1657">
        <v>12.7</v>
      </c>
      <c r="P1657" t="s">
        <v>106</v>
      </c>
      <c r="Q1657" t="s">
        <v>106</v>
      </c>
      <c r="R1657" t="s">
        <v>106</v>
      </c>
      <c r="S1657" t="s">
        <v>106</v>
      </c>
      <c r="T1657" t="s">
        <v>1935</v>
      </c>
      <c r="U1657" t="s">
        <v>429</v>
      </c>
      <c r="V1657" t="s">
        <v>106</v>
      </c>
      <c r="W1657" t="s">
        <v>557</v>
      </c>
      <c r="X1657" t="s">
        <v>106</v>
      </c>
      <c r="Y1657" t="s">
        <v>108</v>
      </c>
      <c r="Z1657" t="s">
        <v>109</v>
      </c>
      <c r="AA1657" t="s">
        <v>1464</v>
      </c>
      <c r="AB1657" t="s">
        <v>106</v>
      </c>
    </row>
    <row r="1658" spans="1:28" x14ac:dyDescent="0.3">
      <c r="A1658" t="s">
        <v>1462</v>
      </c>
      <c r="B1658">
        <v>2</v>
      </c>
      <c r="C1658">
        <v>15</v>
      </c>
      <c r="D1658">
        <v>80</v>
      </c>
      <c r="E1658" t="s">
        <v>128</v>
      </c>
      <c r="F1658" s="12">
        <v>45608</v>
      </c>
      <c r="G1658" t="s">
        <v>401</v>
      </c>
      <c r="H1658" s="12">
        <v>45608</v>
      </c>
      <c r="I1658" t="s">
        <v>1110</v>
      </c>
      <c r="J1658" t="s">
        <v>458</v>
      </c>
      <c r="K1658">
        <v>2</v>
      </c>
      <c r="L1658">
        <v>14.1</v>
      </c>
      <c r="P1658" t="s">
        <v>106</v>
      </c>
      <c r="Q1658" t="s">
        <v>106</v>
      </c>
      <c r="R1658" t="s">
        <v>106</v>
      </c>
      <c r="S1658" t="s">
        <v>106</v>
      </c>
      <c r="T1658" t="s">
        <v>1529</v>
      </c>
      <c r="U1658" t="s">
        <v>1604</v>
      </c>
      <c r="V1658" t="s">
        <v>106</v>
      </c>
      <c r="W1658" t="s">
        <v>557</v>
      </c>
      <c r="X1658" t="s">
        <v>106</v>
      </c>
      <c r="Y1658" t="s">
        <v>108</v>
      </c>
      <c r="Z1658" t="s">
        <v>109</v>
      </c>
      <c r="AA1658" t="s">
        <v>1464</v>
      </c>
      <c r="AB1658" t="s">
        <v>106</v>
      </c>
    </row>
    <row r="1659" spans="1:28" x14ac:dyDescent="0.3">
      <c r="A1659" t="s">
        <v>1462</v>
      </c>
      <c r="B1659">
        <v>2</v>
      </c>
      <c r="C1659">
        <v>15</v>
      </c>
      <c r="D1659">
        <v>83</v>
      </c>
      <c r="E1659" t="s">
        <v>128</v>
      </c>
      <c r="F1659" s="12">
        <v>45608</v>
      </c>
      <c r="G1659" t="s">
        <v>375</v>
      </c>
      <c r="H1659" s="12">
        <v>45608</v>
      </c>
      <c r="I1659" t="s">
        <v>137</v>
      </c>
      <c r="J1659" t="s">
        <v>458</v>
      </c>
      <c r="K1659">
        <v>2</v>
      </c>
      <c r="L1659">
        <v>13.6</v>
      </c>
      <c r="P1659" t="s">
        <v>106</v>
      </c>
      <c r="Q1659" t="s">
        <v>106</v>
      </c>
      <c r="R1659" t="s">
        <v>106</v>
      </c>
      <c r="S1659" t="s">
        <v>106</v>
      </c>
      <c r="T1659" t="s">
        <v>1405</v>
      </c>
      <c r="U1659" t="s">
        <v>2106</v>
      </c>
      <c r="V1659" t="s">
        <v>106</v>
      </c>
      <c r="W1659" t="s">
        <v>476</v>
      </c>
      <c r="X1659" t="s">
        <v>106</v>
      </c>
      <c r="Y1659" t="s">
        <v>108</v>
      </c>
      <c r="Z1659" t="s">
        <v>108</v>
      </c>
      <c r="AA1659" t="s">
        <v>106</v>
      </c>
      <c r="AB1659" t="s">
        <v>106</v>
      </c>
    </row>
    <row r="1660" spans="1:28" x14ac:dyDescent="0.3">
      <c r="A1660" t="s">
        <v>1462</v>
      </c>
      <c r="B1660">
        <v>2</v>
      </c>
      <c r="C1660">
        <v>15</v>
      </c>
      <c r="D1660">
        <v>65</v>
      </c>
      <c r="E1660" t="s">
        <v>128</v>
      </c>
      <c r="F1660" s="12">
        <v>45608</v>
      </c>
      <c r="G1660" t="s">
        <v>585</v>
      </c>
      <c r="H1660" s="12">
        <v>45608</v>
      </c>
      <c r="I1660" t="s">
        <v>106</v>
      </c>
      <c r="J1660" t="s">
        <v>1363</v>
      </c>
      <c r="K1660">
        <v>1</v>
      </c>
      <c r="L1660">
        <v>13.1</v>
      </c>
      <c r="P1660" t="s">
        <v>106</v>
      </c>
      <c r="Q1660" t="s">
        <v>106</v>
      </c>
      <c r="R1660" t="s">
        <v>106</v>
      </c>
      <c r="S1660" t="s">
        <v>106</v>
      </c>
      <c r="T1660" t="s">
        <v>1458</v>
      </c>
      <c r="U1660" t="s">
        <v>1410</v>
      </c>
      <c r="V1660" t="s">
        <v>106</v>
      </c>
      <c r="W1660" t="s">
        <v>557</v>
      </c>
      <c r="X1660" t="s">
        <v>106</v>
      </c>
      <c r="Y1660" t="s">
        <v>108</v>
      </c>
      <c r="Z1660" t="s">
        <v>109</v>
      </c>
      <c r="AA1660" t="s">
        <v>1464</v>
      </c>
      <c r="AB1660" t="s">
        <v>106</v>
      </c>
    </row>
    <row r="1661" spans="1:28" x14ac:dyDescent="0.3">
      <c r="A1661" t="s">
        <v>1462</v>
      </c>
      <c r="B1661">
        <v>3</v>
      </c>
      <c r="C1661">
        <v>35</v>
      </c>
      <c r="D1661">
        <v>74</v>
      </c>
      <c r="E1661" t="s">
        <v>128</v>
      </c>
      <c r="F1661" s="12">
        <v>45608</v>
      </c>
      <c r="G1661" t="s">
        <v>1258</v>
      </c>
      <c r="H1661" s="12">
        <v>45608</v>
      </c>
      <c r="I1661" t="s">
        <v>1110</v>
      </c>
      <c r="J1661" t="s">
        <v>458</v>
      </c>
      <c r="K1661">
        <v>2</v>
      </c>
      <c r="L1661">
        <v>33.200000000000003</v>
      </c>
      <c r="P1661" t="s">
        <v>106</v>
      </c>
      <c r="Q1661" t="s">
        <v>106</v>
      </c>
      <c r="R1661" t="s">
        <v>106</v>
      </c>
      <c r="S1661" t="s">
        <v>106</v>
      </c>
      <c r="T1661" t="s">
        <v>1131</v>
      </c>
      <c r="U1661" t="s">
        <v>1482</v>
      </c>
      <c r="V1661" t="s">
        <v>106</v>
      </c>
      <c r="W1661" t="s">
        <v>557</v>
      </c>
      <c r="X1661" t="s">
        <v>106</v>
      </c>
      <c r="Y1661" t="s">
        <v>108</v>
      </c>
      <c r="Z1661" t="s">
        <v>108</v>
      </c>
      <c r="AA1661" t="s">
        <v>1464</v>
      </c>
      <c r="AB1661" t="s">
        <v>106</v>
      </c>
    </row>
    <row r="1662" spans="1:28" x14ac:dyDescent="0.3">
      <c r="A1662" t="s">
        <v>1462</v>
      </c>
      <c r="B1662">
        <v>3</v>
      </c>
      <c r="C1662">
        <v>35</v>
      </c>
      <c r="D1662">
        <v>46</v>
      </c>
      <c r="E1662" t="s">
        <v>308</v>
      </c>
      <c r="F1662" s="12">
        <v>45608</v>
      </c>
      <c r="G1662" t="s">
        <v>1607</v>
      </c>
      <c r="H1662" s="12">
        <v>45608</v>
      </c>
      <c r="I1662" t="s">
        <v>1187</v>
      </c>
      <c r="J1662" t="s">
        <v>1363</v>
      </c>
      <c r="L1662">
        <v>31.6</v>
      </c>
      <c r="P1662" t="s">
        <v>106</v>
      </c>
      <c r="Q1662" t="s">
        <v>106</v>
      </c>
      <c r="R1662" t="s">
        <v>106</v>
      </c>
      <c r="S1662" t="s">
        <v>106</v>
      </c>
      <c r="T1662" t="s">
        <v>1529</v>
      </c>
      <c r="U1662" t="s">
        <v>106</v>
      </c>
      <c r="V1662" t="s">
        <v>106</v>
      </c>
      <c r="W1662" t="s">
        <v>557</v>
      </c>
      <c r="X1662" t="s">
        <v>106</v>
      </c>
      <c r="Y1662" t="s">
        <v>108</v>
      </c>
      <c r="Z1662" t="s">
        <v>108</v>
      </c>
      <c r="AA1662" t="s">
        <v>1464</v>
      </c>
      <c r="AB1662" t="s">
        <v>106</v>
      </c>
    </row>
    <row r="1663" spans="1:28" x14ac:dyDescent="0.3">
      <c r="A1663" t="s">
        <v>1462</v>
      </c>
      <c r="B1663">
        <v>3</v>
      </c>
      <c r="C1663">
        <v>35</v>
      </c>
      <c r="D1663">
        <v>54</v>
      </c>
      <c r="E1663" t="s">
        <v>128</v>
      </c>
      <c r="F1663" s="12">
        <v>45608</v>
      </c>
      <c r="G1663" t="s">
        <v>675</v>
      </c>
      <c r="H1663" s="12">
        <v>45608</v>
      </c>
      <c r="I1663" t="s">
        <v>1187</v>
      </c>
      <c r="J1663" t="s">
        <v>1363</v>
      </c>
      <c r="L1663">
        <v>31.3</v>
      </c>
      <c r="P1663" t="s">
        <v>106</v>
      </c>
      <c r="Q1663" t="s">
        <v>106</v>
      </c>
      <c r="R1663" t="s">
        <v>106</v>
      </c>
      <c r="S1663" t="s">
        <v>106</v>
      </c>
      <c r="T1663" t="s">
        <v>971</v>
      </c>
      <c r="U1663" t="s">
        <v>427</v>
      </c>
      <c r="V1663" t="s">
        <v>106</v>
      </c>
      <c r="W1663" t="s">
        <v>557</v>
      </c>
      <c r="X1663" t="s">
        <v>106</v>
      </c>
      <c r="Y1663" t="s">
        <v>108</v>
      </c>
      <c r="Z1663" t="s">
        <v>108</v>
      </c>
      <c r="AA1663" t="s">
        <v>1464</v>
      </c>
      <c r="AB1663" t="s">
        <v>106</v>
      </c>
    </row>
    <row r="1664" spans="1:28" x14ac:dyDescent="0.3">
      <c r="A1664" t="s">
        <v>1462</v>
      </c>
      <c r="B1664">
        <v>3</v>
      </c>
      <c r="C1664">
        <v>35</v>
      </c>
      <c r="D1664">
        <v>55</v>
      </c>
      <c r="E1664" t="s">
        <v>128</v>
      </c>
      <c r="F1664" s="12">
        <v>45608</v>
      </c>
      <c r="G1664" t="s">
        <v>823</v>
      </c>
      <c r="H1664" s="12">
        <v>45608</v>
      </c>
      <c r="I1664" t="s">
        <v>1187</v>
      </c>
      <c r="J1664" t="s">
        <v>1363</v>
      </c>
      <c r="L1664">
        <v>30.9</v>
      </c>
      <c r="P1664" t="s">
        <v>106</v>
      </c>
      <c r="Q1664" t="s">
        <v>106</v>
      </c>
      <c r="R1664" t="s">
        <v>106</v>
      </c>
      <c r="S1664" t="s">
        <v>106</v>
      </c>
      <c r="T1664" t="s">
        <v>1478</v>
      </c>
      <c r="U1664" t="s">
        <v>1477</v>
      </c>
      <c r="V1664" t="s">
        <v>106</v>
      </c>
      <c r="W1664" t="s">
        <v>557</v>
      </c>
      <c r="X1664" t="s">
        <v>106</v>
      </c>
      <c r="Y1664" t="s">
        <v>108</v>
      </c>
      <c r="Z1664" t="s">
        <v>108</v>
      </c>
      <c r="AA1664" t="s">
        <v>1464</v>
      </c>
      <c r="AB1664" t="s">
        <v>106</v>
      </c>
    </row>
    <row r="1665" spans="1:28" x14ac:dyDescent="0.3">
      <c r="A1665" t="s">
        <v>1462</v>
      </c>
      <c r="B1665">
        <v>3</v>
      </c>
      <c r="C1665">
        <v>35</v>
      </c>
      <c r="D1665">
        <v>73</v>
      </c>
      <c r="E1665" t="s">
        <v>128</v>
      </c>
      <c r="F1665" s="12">
        <v>45608</v>
      </c>
      <c r="G1665" t="s">
        <v>133</v>
      </c>
      <c r="H1665" s="12">
        <v>45608</v>
      </c>
      <c r="I1665" t="s">
        <v>1110</v>
      </c>
      <c r="J1665" t="s">
        <v>458</v>
      </c>
      <c r="K1665">
        <v>2</v>
      </c>
      <c r="L1665">
        <v>32.200000000000003</v>
      </c>
      <c r="P1665" t="s">
        <v>106</v>
      </c>
      <c r="Q1665" t="s">
        <v>106</v>
      </c>
      <c r="R1665" t="s">
        <v>106</v>
      </c>
      <c r="S1665" t="s">
        <v>106</v>
      </c>
      <c r="T1665" t="s">
        <v>1006</v>
      </c>
      <c r="U1665" t="s">
        <v>1468</v>
      </c>
      <c r="V1665" t="s">
        <v>106</v>
      </c>
      <c r="W1665" t="s">
        <v>557</v>
      </c>
      <c r="X1665" t="s">
        <v>106</v>
      </c>
      <c r="Y1665" t="s">
        <v>108</v>
      </c>
      <c r="Z1665" t="s">
        <v>108</v>
      </c>
      <c r="AA1665" t="s">
        <v>1464</v>
      </c>
      <c r="AB1665" t="s">
        <v>2506</v>
      </c>
    </row>
    <row r="1666" spans="1:28" x14ac:dyDescent="0.3">
      <c r="A1666" t="s">
        <v>1462</v>
      </c>
      <c r="B1666">
        <v>3</v>
      </c>
      <c r="C1666">
        <v>35</v>
      </c>
      <c r="D1666">
        <v>81</v>
      </c>
      <c r="E1666" t="s">
        <v>128</v>
      </c>
      <c r="F1666" s="12">
        <v>45608</v>
      </c>
      <c r="G1666" t="s">
        <v>1437</v>
      </c>
      <c r="H1666" s="12">
        <v>45608</v>
      </c>
      <c r="I1666" t="s">
        <v>137</v>
      </c>
      <c r="J1666" t="s">
        <v>458</v>
      </c>
      <c r="K1666">
        <v>2</v>
      </c>
      <c r="L1666">
        <v>31.7</v>
      </c>
      <c r="P1666" t="s">
        <v>106</v>
      </c>
      <c r="Q1666" t="s">
        <v>106</v>
      </c>
      <c r="R1666" t="s">
        <v>106</v>
      </c>
      <c r="S1666" t="s">
        <v>106</v>
      </c>
      <c r="T1666" t="s">
        <v>668</v>
      </c>
      <c r="U1666" t="s">
        <v>1596</v>
      </c>
      <c r="V1666" t="s">
        <v>106</v>
      </c>
      <c r="W1666" t="s">
        <v>476</v>
      </c>
      <c r="X1666" t="s">
        <v>106</v>
      </c>
      <c r="Y1666" t="s">
        <v>108</v>
      </c>
      <c r="Z1666" t="s">
        <v>108</v>
      </c>
      <c r="AA1666" t="s">
        <v>106</v>
      </c>
      <c r="AB1666" t="s">
        <v>106</v>
      </c>
    </row>
    <row r="1667" spans="1:28" x14ac:dyDescent="0.3">
      <c r="A1667" t="s">
        <v>1462</v>
      </c>
      <c r="B1667">
        <v>3</v>
      </c>
      <c r="C1667">
        <v>35</v>
      </c>
      <c r="D1667">
        <v>82</v>
      </c>
      <c r="E1667" t="s">
        <v>128</v>
      </c>
      <c r="F1667" s="12">
        <v>45608</v>
      </c>
      <c r="G1667" t="s">
        <v>1437</v>
      </c>
      <c r="H1667" s="12">
        <v>45608</v>
      </c>
      <c r="I1667" t="s">
        <v>137</v>
      </c>
      <c r="J1667" t="s">
        <v>458</v>
      </c>
      <c r="K1667">
        <v>2</v>
      </c>
      <c r="L1667">
        <v>31.8</v>
      </c>
      <c r="P1667" t="s">
        <v>106</v>
      </c>
      <c r="Q1667" t="s">
        <v>106</v>
      </c>
      <c r="R1667" t="s">
        <v>106</v>
      </c>
      <c r="S1667" t="s">
        <v>106</v>
      </c>
      <c r="T1667" t="s">
        <v>640</v>
      </c>
      <c r="U1667" t="s">
        <v>1590</v>
      </c>
      <c r="V1667" t="s">
        <v>106</v>
      </c>
      <c r="W1667" t="s">
        <v>476</v>
      </c>
      <c r="X1667" t="s">
        <v>106</v>
      </c>
      <c r="Y1667" t="s">
        <v>108</v>
      </c>
      <c r="Z1667" t="s">
        <v>108</v>
      </c>
      <c r="AA1667" t="s">
        <v>106</v>
      </c>
      <c r="AB1667" t="s">
        <v>106</v>
      </c>
    </row>
    <row r="1668" spans="1:28" x14ac:dyDescent="0.3">
      <c r="A1668" t="s">
        <v>1462</v>
      </c>
      <c r="B1668">
        <v>3</v>
      </c>
      <c r="C1668">
        <v>35</v>
      </c>
      <c r="D1668">
        <v>77</v>
      </c>
      <c r="E1668" t="s">
        <v>128</v>
      </c>
      <c r="F1668" s="12">
        <v>45608</v>
      </c>
      <c r="G1668" t="s">
        <v>2195</v>
      </c>
      <c r="H1668" s="12">
        <v>45608</v>
      </c>
      <c r="I1668" t="s">
        <v>1110</v>
      </c>
      <c r="J1668" t="s">
        <v>458</v>
      </c>
      <c r="K1668">
        <v>2</v>
      </c>
      <c r="L1668">
        <v>31.4</v>
      </c>
      <c r="P1668" t="s">
        <v>106</v>
      </c>
      <c r="Q1668" t="s">
        <v>106</v>
      </c>
      <c r="R1668" t="s">
        <v>106</v>
      </c>
      <c r="S1668" t="s">
        <v>106</v>
      </c>
      <c r="T1668" t="s">
        <v>925</v>
      </c>
      <c r="U1668" t="s">
        <v>1415</v>
      </c>
      <c r="V1668" t="s">
        <v>106</v>
      </c>
      <c r="W1668" t="s">
        <v>557</v>
      </c>
      <c r="X1668" t="s">
        <v>106</v>
      </c>
      <c r="Y1668" t="s">
        <v>108</v>
      </c>
      <c r="Z1668" t="s">
        <v>108</v>
      </c>
      <c r="AA1668" t="s">
        <v>1464</v>
      </c>
      <c r="AB1668" t="s">
        <v>106</v>
      </c>
    </row>
    <row r="1669" spans="1:28" x14ac:dyDescent="0.3">
      <c r="A1669" t="s">
        <v>1462</v>
      </c>
      <c r="B1669">
        <v>3</v>
      </c>
      <c r="C1669">
        <v>35</v>
      </c>
      <c r="D1669">
        <v>56</v>
      </c>
      <c r="E1669" t="s">
        <v>128</v>
      </c>
      <c r="F1669" s="12">
        <v>45608</v>
      </c>
      <c r="G1669" t="s">
        <v>1642</v>
      </c>
      <c r="H1669" s="12">
        <v>45608</v>
      </c>
      <c r="I1669" t="s">
        <v>445</v>
      </c>
      <c r="J1669" t="s">
        <v>1363</v>
      </c>
      <c r="L1669">
        <v>31.5</v>
      </c>
      <c r="P1669" t="s">
        <v>106</v>
      </c>
      <c r="Q1669" t="s">
        <v>106</v>
      </c>
      <c r="R1669" t="s">
        <v>106</v>
      </c>
      <c r="S1669" t="s">
        <v>2392</v>
      </c>
      <c r="T1669" t="s">
        <v>1431</v>
      </c>
      <c r="U1669" t="s">
        <v>427</v>
      </c>
      <c r="V1669" t="s">
        <v>106</v>
      </c>
      <c r="W1669" t="s">
        <v>557</v>
      </c>
      <c r="X1669" t="s">
        <v>106</v>
      </c>
      <c r="Y1669" t="s">
        <v>108</v>
      </c>
      <c r="Z1669" t="s">
        <v>108</v>
      </c>
      <c r="AA1669" t="s">
        <v>1464</v>
      </c>
      <c r="AB1669" t="s">
        <v>106</v>
      </c>
    </row>
    <row r="1670" spans="1:28" x14ac:dyDescent="0.3">
      <c r="A1670" t="s">
        <v>1462</v>
      </c>
      <c r="B1670">
        <v>3</v>
      </c>
      <c r="C1670">
        <v>35</v>
      </c>
      <c r="D1670">
        <v>57</v>
      </c>
      <c r="E1670" t="s">
        <v>128</v>
      </c>
      <c r="F1670" s="12">
        <v>45608</v>
      </c>
      <c r="G1670" t="s">
        <v>378</v>
      </c>
      <c r="H1670" s="12">
        <v>45608</v>
      </c>
      <c r="I1670" t="s">
        <v>445</v>
      </c>
      <c r="J1670" t="s">
        <v>1363</v>
      </c>
      <c r="L1670">
        <v>32.299999999999997</v>
      </c>
      <c r="P1670" t="s">
        <v>106</v>
      </c>
      <c r="Q1670" t="s">
        <v>106</v>
      </c>
      <c r="R1670" t="s">
        <v>106</v>
      </c>
      <c r="S1670" t="s">
        <v>1649</v>
      </c>
      <c r="T1670" t="s">
        <v>1074</v>
      </c>
      <c r="U1670" t="s">
        <v>1477</v>
      </c>
      <c r="V1670" t="s">
        <v>106</v>
      </c>
      <c r="W1670" t="s">
        <v>557</v>
      </c>
      <c r="X1670" t="s">
        <v>106</v>
      </c>
      <c r="Y1670" t="s">
        <v>108</v>
      </c>
      <c r="Z1670" t="s">
        <v>108</v>
      </c>
      <c r="AA1670" t="s">
        <v>1464</v>
      </c>
      <c r="AB1670" t="s">
        <v>106</v>
      </c>
    </row>
    <row r="1671" spans="1:28" x14ac:dyDescent="0.3">
      <c r="A1671" t="s">
        <v>1462</v>
      </c>
      <c r="B1671">
        <v>3</v>
      </c>
      <c r="C1671">
        <v>35</v>
      </c>
      <c r="D1671">
        <v>66</v>
      </c>
      <c r="E1671" t="s">
        <v>128</v>
      </c>
      <c r="F1671" s="12">
        <v>45608</v>
      </c>
      <c r="G1671" t="s">
        <v>2371</v>
      </c>
      <c r="H1671" s="12">
        <v>45608</v>
      </c>
      <c r="I1671" t="s">
        <v>1474</v>
      </c>
      <c r="J1671" t="s">
        <v>1363</v>
      </c>
      <c r="K1671">
        <v>1</v>
      </c>
      <c r="L1671">
        <v>31.5</v>
      </c>
      <c r="P1671" t="s">
        <v>106</v>
      </c>
      <c r="Q1671" t="s">
        <v>106</v>
      </c>
      <c r="R1671" t="s">
        <v>106</v>
      </c>
      <c r="S1671" t="s">
        <v>106</v>
      </c>
      <c r="T1671" t="s">
        <v>1409</v>
      </c>
      <c r="U1671" t="s">
        <v>147</v>
      </c>
      <c r="V1671" t="s">
        <v>106</v>
      </c>
      <c r="W1671" t="s">
        <v>557</v>
      </c>
      <c r="X1671" t="s">
        <v>106</v>
      </c>
      <c r="Y1671" t="s">
        <v>108</v>
      </c>
      <c r="Z1671" t="s">
        <v>108</v>
      </c>
      <c r="AA1671" t="s">
        <v>1464</v>
      </c>
      <c r="AB1671" t="s">
        <v>106</v>
      </c>
    </row>
    <row r="1672" spans="1:28" x14ac:dyDescent="0.3">
      <c r="A1672" t="s">
        <v>1462</v>
      </c>
      <c r="B1672">
        <v>3</v>
      </c>
      <c r="C1672">
        <v>35</v>
      </c>
      <c r="D1672">
        <v>76</v>
      </c>
      <c r="E1672" t="s">
        <v>128</v>
      </c>
      <c r="F1672" s="12">
        <v>45608</v>
      </c>
      <c r="G1672" t="s">
        <v>2195</v>
      </c>
      <c r="H1672" s="12">
        <v>45608</v>
      </c>
      <c r="I1672" t="s">
        <v>1110</v>
      </c>
      <c r="J1672" t="s">
        <v>458</v>
      </c>
      <c r="K1672">
        <v>2</v>
      </c>
      <c r="L1672">
        <v>29.8</v>
      </c>
      <c r="P1672" t="s">
        <v>106</v>
      </c>
      <c r="Q1672" t="s">
        <v>106</v>
      </c>
      <c r="R1672" t="s">
        <v>106</v>
      </c>
      <c r="S1672" t="s">
        <v>106</v>
      </c>
      <c r="T1672" t="s">
        <v>1120</v>
      </c>
      <c r="U1672" t="s">
        <v>1415</v>
      </c>
      <c r="V1672" t="s">
        <v>106</v>
      </c>
      <c r="W1672" t="s">
        <v>557</v>
      </c>
      <c r="X1672" t="s">
        <v>106</v>
      </c>
      <c r="Y1672" t="s">
        <v>108</v>
      </c>
      <c r="Z1672" t="s">
        <v>108</v>
      </c>
      <c r="AA1672" t="s">
        <v>1464</v>
      </c>
      <c r="AB1672" t="s">
        <v>106</v>
      </c>
    </row>
    <row r="1673" spans="1:28" x14ac:dyDescent="0.3">
      <c r="A1673" t="s">
        <v>1462</v>
      </c>
      <c r="B1673">
        <v>3</v>
      </c>
      <c r="C1673">
        <v>35</v>
      </c>
      <c r="D1673">
        <v>78</v>
      </c>
      <c r="E1673" t="s">
        <v>128</v>
      </c>
      <c r="F1673" s="12">
        <v>45608</v>
      </c>
      <c r="G1673" t="s">
        <v>2195</v>
      </c>
      <c r="H1673" s="12">
        <v>45608</v>
      </c>
      <c r="I1673" t="s">
        <v>1110</v>
      </c>
      <c r="J1673" t="s">
        <v>458</v>
      </c>
      <c r="K1673">
        <v>2</v>
      </c>
      <c r="L1673">
        <v>31.3</v>
      </c>
      <c r="P1673" t="s">
        <v>106</v>
      </c>
      <c r="Q1673" t="s">
        <v>106</v>
      </c>
      <c r="R1673" t="s">
        <v>106</v>
      </c>
      <c r="S1673" t="s">
        <v>106</v>
      </c>
      <c r="T1673" t="s">
        <v>977</v>
      </c>
      <c r="U1673" t="s">
        <v>1382</v>
      </c>
      <c r="V1673" t="s">
        <v>106</v>
      </c>
      <c r="W1673" t="s">
        <v>557</v>
      </c>
      <c r="X1673" t="s">
        <v>106</v>
      </c>
      <c r="Y1673" t="s">
        <v>108</v>
      </c>
      <c r="Z1673" t="s">
        <v>108</v>
      </c>
      <c r="AA1673" t="s">
        <v>1464</v>
      </c>
      <c r="AB1673" t="s">
        <v>106</v>
      </c>
    </row>
    <row r="1674" spans="1:28" x14ac:dyDescent="0.3">
      <c r="A1674" t="s">
        <v>1462</v>
      </c>
      <c r="B1674">
        <v>3</v>
      </c>
      <c r="C1674">
        <v>35</v>
      </c>
      <c r="D1674">
        <v>75</v>
      </c>
      <c r="E1674" t="s">
        <v>128</v>
      </c>
      <c r="F1674" s="12">
        <v>45608</v>
      </c>
      <c r="G1674" t="s">
        <v>1927</v>
      </c>
      <c r="H1674" s="12">
        <v>45608</v>
      </c>
      <c r="I1674" t="s">
        <v>1110</v>
      </c>
      <c r="J1674" t="s">
        <v>458</v>
      </c>
      <c r="K1674">
        <v>2</v>
      </c>
      <c r="L1674">
        <v>33.1</v>
      </c>
      <c r="P1674" t="s">
        <v>106</v>
      </c>
      <c r="Q1674" t="s">
        <v>106</v>
      </c>
      <c r="R1674" t="s">
        <v>106</v>
      </c>
      <c r="S1674" t="s">
        <v>106</v>
      </c>
      <c r="T1674" t="s">
        <v>1463</v>
      </c>
      <c r="U1674" t="s">
        <v>1968</v>
      </c>
      <c r="V1674" t="s">
        <v>106</v>
      </c>
      <c r="W1674" t="s">
        <v>557</v>
      </c>
      <c r="X1674" t="s">
        <v>106</v>
      </c>
      <c r="Y1674" t="s">
        <v>108</v>
      </c>
      <c r="Z1674" t="s">
        <v>108</v>
      </c>
      <c r="AA1674" t="s">
        <v>1464</v>
      </c>
      <c r="AB1674" t="s">
        <v>106</v>
      </c>
    </row>
    <row r="1675" spans="1:28" x14ac:dyDescent="0.3">
      <c r="A1675" t="s">
        <v>1462</v>
      </c>
      <c r="B1675">
        <v>4</v>
      </c>
      <c r="C1675">
        <v>60</v>
      </c>
      <c r="D1675">
        <v>62</v>
      </c>
      <c r="E1675" t="s">
        <v>128</v>
      </c>
      <c r="F1675" s="12">
        <v>45608</v>
      </c>
      <c r="G1675" t="s">
        <v>689</v>
      </c>
      <c r="H1675" s="12">
        <v>45608</v>
      </c>
      <c r="I1675" t="s">
        <v>445</v>
      </c>
      <c r="J1675" t="s">
        <v>1363</v>
      </c>
      <c r="L1675">
        <v>53.2</v>
      </c>
      <c r="P1675" t="s">
        <v>106</v>
      </c>
      <c r="Q1675" t="s">
        <v>106</v>
      </c>
      <c r="R1675" t="s">
        <v>106</v>
      </c>
      <c r="S1675" t="s">
        <v>106</v>
      </c>
      <c r="T1675" t="s">
        <v>1158</v>
      </c>
      <c r="U1675" t="s">
        <v>427</v>
      </c>
      <c r="V1675" t="s">
        <v>106</v>
      </c>
      <c r="W1675" t="s">
        <v>557</v>
      </c>
      <c r="X1675" t="s">
        <v>106</v>
      </c>
      <c r="Y1675" t="s">
        <v>108</v>
      </c>
      <c r="Z1675" t="s">
        <v>104</v>
      </c>
      <c r="AA1675" t="s">
        <v>1464</v>
      </c>
      <c r="AB1675" t="s">
        <v>106</v>
      </c>
    </row>
    <row r="1676" spans="1:28" x14ac:dyDescent="0.3">
      <c r="A1676" t="s">
        <v>1462</v>
      </c>
      <c r="B1676">
        <v>4</v>
      </c>
      <c r="C1676">
        <v>60</v>
      </c>
      <c r="D1676">
        <v>63</v>
      </c>
      <c r="E1676" t="s">
        <v>128</v>
      </c>
      <c r="F1676" s="12">
        <v>45608</v>
      </c>
      <c r="G1676" t="s">
        <v>533</v>
      </c>
      <c r="H1676" s="12">
        <v>45608</v>
      </c>
      <c r="I1676" t="s">
        <v>445</v>
      </c>
      <c r="J1676" t="s">
        <v>1363</v>
      </c>
      <c r="L1676">
        <v>52.6</v>
      </c>
      <c r="P1676" t="s">
        <v>106</v>
      </c>
      <c r="Q1676" t="s">
        <v>106</v>
      </c>
      <c r="R1676" t="s">
        <v>106</v>
      </c>
      <c r="S1676" t="s">
        <v>106</v>
      </c>
      <c r="T1676" t="s">
        <v>1804</v>
      </c>
      <c r="U1676" t="s">
        <v>430</v>
      </c>
      <c r="V1676" t="s">
        <v>106</v>
      </c>
      <c r="W1676" t="s">
        <v>557</v>
      </c>
      <c r="X1676" t="s">
        <v>106</v>
      </c>
      <c r="Y1676" t="s">
        <v>108</v>
      </c>
      <c r="Z1676" t="s">
        <v>104</v>
      </c>
      <c r="AA1676" t="s">
        <v>1464</v>
      </c>
      <c r="AB1676" t="s">
        <v>106</v>
      </c>
    </row>
    <row r="1677" spans="1:28" x14ac:dyDescent="0.3">
      <c r="A1677" t="s">
        <v>1462</v>
      </c>
      <c r="B1677">
        <v>4</v>
      </c>
      <c r="C1677">
        <v>60</v>
      </c>
      <c r="D1677">
        <v>67</v>
      </c>
      <c r="E1677" t="s">
        <v>128</v>
      </c>
      <c r="F1677" s="12">
        <v>45608</v>
      </c>
      <c r="G1677" t="s">
        <v>2040</v>
      </c>
      <c r="H1677" s="12">
        <v>45608</v>
      </c>
      <c r="I1677" t="s">
        <v>1474</v>
      </c>
      <c r="J1677" t="s">
        <v>1363</v>
      </c>
      <c r="K1677">
        <v>1</v>
      </c>
      <c r="L1677">
        <v>54.5</v>
      </c>
      <c r="P1677" t="s">
        <v>106</v>
      </c>
      <c r="Q1677" t="s">
        <v>106</v>
      </c>
      <c r="R1677" t="s">
        <v>106</v>
      </c>
      <c r="S1677" t="s">
        <v>106</v>
      </c>
      <c r="T1677" t="s">
        <v>1004</v>
      </c>
      <c r="U1677" t="s">
        <v>1477</v>
      </c>
      <c r="V1677" t="s">
        <v>106</v>
      </c>
      <c r="W1677" t="s">
        <v>557</v>
      </c>
      <c r="X1677" t="s">
        <v>106</v>
      </c>
      <c r="Y1677" t="s">
        <v>108</v>
      </c>
      <c r="Z1677" t="s">
        <v>104</v>
      </c>
      <c r="AA1677" t="s">
        <v>1464</v>
      </c>
      <c r="AB1677" t="s">
        <v>106</v>
      </c>
    </row>
    <row r="1678" spans="1:28" x14ac:dyDescent="0.3">
      <c r="A1678" t="s">
        <v>1462</v>
      </c>
      <c r="B1678">
        <v>4</v>
      </c>
      <c r="C1678">
        <v>60</v>
      </c>
      <c r="D1678">
        <v>68</v>
      </c>
      <c r="E1678" t="s">
        <v>128</v>
      </c>
      <c r="F1678" s="12">
        <v>45608</v>
      </c>
      <c r="G1678" t="s">
        <v>364</v>
      </c>
      <c r="H1678" s="12">
        <v>45608</v>
      </c>
      <c r="I1678" t="s">
        <v>1474</v>
      </c>
      <c r="J1678" t="s">
        <v>1363</v>
      </c>
      <c r="K1678">
        <v>1</v>
      </c>
      <c r="L1678">
        <v>52.5</v>
      </c>
      <c r="P1678" t="s">
        <v>106</v>
      </c>
      <c r="Q1678" t="s">
        <v>106</v>
      </c>
      <c r="R1678" t="s">
        <v>106</v>
      </c>
      <c r="S1678" t="s">
        <v>106</v>
      </c>
      <c r="T1678" t="s">
        <v>1808</v>
      </c>
      <c r="U1678" t="s">
        <v>429</v>
      </c>
      <c r="V1678" t="s">
        <v>106</v>
      </c>
      <c r="W1678" t="s">
        <v>557</v>
      </c>
      <c r="X1678" t="s">
        <v>106</v>
      </c>
      <c r="Y1678" t="s">
        <v>108</v>
      </c>
      <c r="Z1678" t="s">
        <v>104</v>
      </c>
      <c r="AA1678" t="s">
        <v>1464</v>
      </c>
      <c r="AB1678" t="s">
        <v>106</v>
      </c>
    </row>
    <row r="1679" spans="1:28" x14ac:dyDescent="0.3">
      <c r="A1679" t="s">
        <v>1462</v>
      </c>
      <c r="B1679">
        <v>4</v>
      </c>
      <c r="C1679">
        <v>60</v>
      </c>
      <c r="D1679">
        <v>85</v>
      </c>
      <c r="E1679" t="s">
        <v>128</v>
      </c>
      <c r="F1679" s="12">
        <v>45608</v>
      </c>
      <c r="G1679" t="s">
        <v>773</v>
      </c>
      <c r="H1679" s="12">
        <v>45608</v>
      </c>
      <c r="I1679" t="s">
        <v>137</v>
      </c>
      <c r="J1679" t="s">
        <v>458</v>
      </c>
      <c r="K1679">
        <v>2</v>
      </c>
      <c r="L1679">
        <v>56.3</v>
      </c>
      <c r="P1679" t="s">
        <v>106</v>
      </c>
      <c r="Q1679" t="s">
        <v>106</v>
      </c>
      <c r="R1679" t="s">
        <v>106</v>
      </c>
      <c r="S1679" t="s">
        <v>106</v>
      </c>
      <c r="T1679" t="s">
        <v>1529</v>
      </c>
      <c r="U1679" t="s">
        <v>1359</v>
      </c>
      <c r="V1679" t="s">
        <v>106</v>
      </c>
      <c r="W1679" t="s">
        <v>476</v>
      </c>
      <c r="X1679" t="s">
        <v>106</v>
      </c>
      <c r="Y1679" t="s">
        <v>108</v>
      </c>
      <c r="Z1679" t="s">
        <v>104</v>
      </c>
      <c r="AA1679" t="s">
        <v>106</v>
      </c>
      <c r="AB1679" t="s">
        <v>106</v>
      </c>
    </row>
    <row r="1680" spans="1:28" x14ac:dyDescent="0.3">
      <c r="A1680" t="s">
        <v>1462</v>
      </c>
      <c r="B1680">
        <v>4</v>
      </c>
      <c r="C1680">
        <v>60</v>
      </c>
      <c r="D1680">
        <v>86</v>
      </c>
      <c r="E1680" t="s">
        <v>128</v>
      </c>
      <c r="F1680" s="12">
        <v>45608</v>
      </c>
      <c r="G1680" t="s">
        <v>773</v>
      </c>
      <c r="H1680" s="12">
        <v>45608</v>
      </c>
      <c r="I1680" t="s">
        <v>137</v>
      </c>
      <c r="J1680" t="s">
        <v>458</v>
      </c>
      <c r="K1680">
        <v>2</v>
      </c>
      <c r="L1680">
        <v>58.5</v>
      </c>
      <c r="P1680" t="s">
        <v>106</v>
      </c>
      <c r="Q1680" t="s">
        <v>106</v>
      </c>
      <c r="R1680" t="s">
        <v>106</v>
      </c>
      <c r="S1680" t="s">
        <v>106</v>
      </c>
      <c r="T1680" t="s">
        <v>1016</v>
      </c>
      <c r="U1680" t="s">
        <v>1539</v>
      </c>
      <c r="V1680" t="s">
        <v>106</v>
      </c>
      <c r="W1680" t="s">
        <v>476</v>
      </c>
      <c r="X1680" t="s">
        <v>106</v>
      </c>
      <c r="Y1680" t="s">
        <v>108</v>
      </c>
      <c r="Z1680" t="s">
        <v>104</v>
      </c>
      <c r="AA1680" t="s">
        <v>106</v>
      </c>
      <c r="AB1680" t="s">
        <v>106</v>
      </c>
    </row>
    <row r="1681" spans="1:28" x14ac:dyDescent="0.3">
      <c r="A1681" t="s">
        <v>1462</v>
      </c>
      <c r="B1681">
        <v>4</v>
      </c>
      <c r="C1681">
        <v>60</v>
      </c>
      <c r="D1681">
        <v>47</v>
      </c>
      <c r="E1681" t="s">
        <v>308</v>
      </c>
      <c r="F1681" s="12">
        <v>45608</v>
      </c>
      <c r="G1681" t="s">
        <v>1389</v>
      </c>
      <c r="H1681" s="12">
        <v>45608</v>
      </c>
      <c r="I1681" t="s">
        <v>1187</v>
      </c>
      <c r="J1681" t="s">
        <v>1363</v>
      </c>
      <c r="L1681">
        <v>56</v>
      </c>
      <c r="P1681" t="s">
        <v>106</v>
      </c>
      <c r="Q1681" t="s">
        <v>106</v>
      </c>
      <c r="R1681" t="s">
        <v>106</v>
      </c>
      <c r="S1681" t="s">
        <v>106</v>
      </c>
      <c r="T1681" t="s">
        <v>1016</v>
      </c>
      <c r="U1681" t="s">
        <v>106</v>
      </c>
      <c r="V1681" t="s">
        <v>106</v>
      </c>
      <c r="W1681" t="s">
        <v>557</v>
      </c>
      <c r="X1681" t="s">
        <v>106</v>
      </c>
      <c r="Y1681" t="s">
        <v>108</v>
      </c>
      <c r="Z1681" t="s">
        <v>104</v>
      </c>
      <c r="AA1681" t="s">
        <v>1464</v>
      </c>
      <c r="AB1681" t="s">
        <v>106</v>
      </c>
    </row>
    <row r="1682" spans="1:28" x14ac:dyDescent="0.3">
      <c r="A1682" t="s">
        <v>1462</v>
      </c>
      <c r="B1682">
        <v>4</v>
      </c>
      <c r="C1682">
        <v>60</v>
      </c>
      <c r="D1682">
        <v>52</v>
      </c>
      <c r="E1682" t="s">
        <v>128</v>
      </c>
      <c r="F1682" s="12">
        <v>45608</v>
      </c>
      <c r="G1682" t="s">
        <v>422</v>
      </c>
      <c r="H1682" s="12">
        <v>45608</v>
      </c>
      <c r="I1682" t="s">
        <v>1187</v>
      </c>
      <c r="J1682" t="s">
        <v>1363</v>
      </c>
      <c r="L1682">
        <v>55.6</v>
      </c>
      <c r="P1682" t="s">
        <v>106</v>
      </c>
      <c r="Q1682" t="s">
        <v>106</v>
      </c>
      <c r="R1682" t="s">
        <v>106</v>
      </c>
      <c r="S1682" t="s">
        <v>106</v>
      </c>
      <c r="T1682" t="s">
        <v>1459</v>
      </c>
      <c r="U1682" t="s">
        <v>1345</v>
      </c>
      <c r="V1682" t="s">
        <v>106</v>
      </c>
      <c r="W1682" t="s">
        <v>557</v>
      </c>
      <c r="X1682" t="s">
        <v>106</v>
      </c>
      <c r="Y1682" t="s">
        <v>108</v>
      </c>
      <c r="Z1682" t="s">
        <v>104</v>
      </c>
      <c r="AA1682" t="s">
        <v>1464</v>
      </c>
      <c r="AB1682" t="s">
        <v>106</v>
      </c>
    </row>
    <row r="1683" spans="1:28" x14ac:dyDescent="0.3">
      <c r="A1683" t="s">
        <v>1462</v>
      </c>
      <c r="B1683">
        <v>4</v>
      </c>
      <c r="C1683">
        <v>60</v>
      </c>
      <c r="D1683">
        <v>53</v>
      </c>
      <c r="E1683" t="s">
        <v>128</v>
      </c>
      <c r="F1683" s="12">
        <v>45608</v>
      </c>
      <c r="G1683" t="s">
        <v>142</v>
      </c>
      <c r="H1683" s="12">
        <v>45608</v>
      </c>
      <c r="I1683" t="s">
        <v>1187</v>
      </c>
      <c r="J1683" t="s">
        <v>1363</v>
      </c>
      <c r="L1683">
        <v>55.6</v>
      </c>
      <c r="P1683" t="s">
        <v>106</v>
      </c>
      <c r="Q1683" t="s">
        <v>106</v>
      </c>
      <c r="R1683" t="s">
        <v>106</v>
      </c>
      <c r="S1683" t="s">
        <v>106</v>
      </c>
      <c r="T1683" t="s">
        <v>1529</v>
      </c>
      <c r="U1683" t="s">
        <v>703</v>
      </c>
      <c r="V1683" t="s">
        <v>106</v>
      </c>
      <c r="W1683" t="s">
        <v>557</v>
      </c>
      <c r="X1683" t="s">
        <v>106</v>
      </c>
      <c r="Y1683" t="s">
        <v>108</v>
      </c>
      <c r="Z1683" t="s">
        <v>104</v>
      </c>
      <c r="AA1683" t="s">
        <v>1464</v>
      </c>
      <c r="AB1683" t="s">
        <v>106</v>
      </c>
    </row>
    <row r="1684" spans="1:28" x14ac:dyDescent="0.3">
      <c r="A1684" t="s">
        <v>1462</v>
      </c>
      <c r="B1684">
        <v>1</v>
      </c>
      <c r="C1684">
        <v>0</v>
      </c>
      <c r="D1684">
        <v>112</v>
      </c>
      <c r="E1684" t="s">
        <v>128</v>
      </c>
      <c r="F1684" s="12">
        <v>45609</v>
      </c>
      <c r="G1684" t="s">
        <v>1480</v>
      </c>
      <c r="H1684" s="12">
        <v>45609</v>
      </c>
      <c r="I1684" t="s">
        <v>363</v>
      </c>
      <c r="J1684" t="s">
        <v>1363</v>
      </c>
      <c r="L1684">
        <v>0</v>
      </c>
      <c r="P1684" t="s">
        <v>106</v>
      </c>
      <c r="Q1684" t="s">
        <v>106</v>
      </c>
      <c r="R1684" t="s">
        <v>106</v>
      </c>
      <c r="S1684" t="s">
        <v>106</v>
      </c>
      <c r="T1684" t="s">
        <v>1481</v>
      </c>
      <c r="U1684" t="s">
        <v>430</v>
      </c>
      <c r="V1684" t="s">
        <v>106</v>
      </c>
      <c r="W1684" t="s">
        <v>557</v>
      </c>
      <c r="X1684" t="s">
        <v>106</v>
      </c>
      <c r="Y1684" t="s">
        <v>108</v>
      </c>
      <c r="Z1684" t="s">
        <v>105</v>
      </c>
      <c r="AA1684" t="s">
        <v>1464</v>
      </c>
      <c r="AB1684" t="s">
        <v>106</v>
      </c>
    </row>
    <row r="1685" spans="1:28" x14ac:dyDescent="0.3">
      <c r="A1685" t="s">
        <v>1462</v>
      </c>
      <c r="B1685">
        <v>1</v>
      </c>
      <c r="C1685">
        <v>0</v>
      </c>
      <c r="D1685">
        <v>97</v>
      </c>
      <c r="E1685" t="s">
        <v>128</v>
      </c>
      <c r="F1685" s="12">
        <v>45609</v>
      </c>
      <c r="G1685" t="s">
        <v>1189</v>
      </c>
      <c r="H1685" s="12">
        <v>45608</v>
      </c>
      <c r="I1685" t="s">
        <v>510</v>
      </c>
      <c r="J1685" t="s">
        <v>459</v>
      </c>
      <c r="L1685">
        <v>0</v>
      </c>
      <c r="P1685" t="s">
        <v>106</v>
      </c>
      <c r="Q1685" t="s">
        <v>106</v>
      </c>
      <c r="R1685" t="s">
        <v>106</v>
      </c>
      <c r="S1685" t="s">
        <v>106</v>
      </c>
      <c r="T1685" t="s">
        <v>1368</v>
      </c>
      <c r="U1685" t="s">
        <v>1482</v>
      </c>
      <c r="V1685" t="s">
        <v>106</v>
      </c>
      <c r="W1685" t="s">
        <v>557</v>
      </c>
      <c r="X1685" t="s">
        <v>106</v>
      </c>
      <c r="Y1685" t="s">
        <v>108</v>
      </c>
      <c r="Z1685" t="s">
        <v>105</v>
      </c>
      <c r="AA1685" t="s">
        <v>1464</v>
      </c>
      <c r="AB1685" t="s">
        <v>106</v>
      </c>
    </row>
    <row r="1686" spans="1:28" x14ac:dyDescent="0.3">
      <c r="A1686" t="s">
        <v>1462</v>
      </c>
      <c r="B1686">
        <v>1</v>
      </c>
      <c r="C1686">
        <v>0</v>
      </c>
      <c r="D1686">
        <v>98</v>
      </c>
      <c r="E1686" t="s">
        <v>128</v>
      </c>
      <c r="F1686" s="12">
        <v>45609</v>
      </c>
      <c r="G1686" t="s">
        <v>470</v>
      </c>
      <c r="H1686" s="12">
        <v>45608</v>
      </c>
      <c r="I1686" t="s">
        <v>510</v>
      </c>
      <c r="J1686" t="s">
        <v>459</v>
      </c>
      <c r="L1686">
        <v>0</v>
      </c>
      <c r="P1686" t="s">
        <v>106</v>
      </c>
      <c r="Q1686" t="s">
        <v>106</v>
      </c>
      <c r="R1686" t="s">
        <v>106</v>
      </c>
      <c r="S1686" t="s">
        <v>106</v>
      </c>
      <c r="T1686" t="s">
        <v>641</v>
      </c>
      <c r="U1686" t="s">
        <v>1483</v>
      </c>
      <c r="V1686" t="s">
        <v>106</v>
      </c>
      <c r="W1686" t="s">
        <v>557</v>
      </c>
      <c r="X1686" t="s">
        <v>106</v>
      </c>
      <c r="Y1686" t="s">
        <v>108</v>
      </c>
      <c r="Z1686" t="s">
        <v>105</v>
      </c>
      <c r="AA1686" t="s">
        <v>1464</v>
      </c>
      <c r="AB1686" t="s">
        <v>106</v>
      </c>
    </row>
    <row r="1687" spans="1:28" x14ac:dyDescent="0.3">
      <c r="A1687" t="s">
        <v>1462</v>
      </c>
      <c r="B1687">
        <v>1</v>
      </c>
      <c r="C1687">
        <v>0</v>
      </c>
      <c r="D1687">
        <v>111</v>
      </c>
      <c r="E1687" t="s">
        <v>128</v>
      </c>
      <c r="F1687" s="12">
        <v>45609</v>
      </c>
      <c r="G1687" t="s">
        <v>491</v>
      </c>
      <c r="H1687" s="12">
        <v>45609</v>
      </c>
      <c r="I1687" t="s">
        <v>363</v>
      </c>
      <c r="J1687" t="s">
        <v>1363</v>
      </c>
      <c r="L1687">
        <v>0</v>
      </c>
      <c r="P1687" t="s">
        <v>106</v>
      </c>
      <c r="Q1687" t="s">
        <v>106</v>
      </c>
      <c r="R1687" t="s">
        <v>106</v>
      </c>
      <c r="S1687" t="s">
        <v>1484</v>
      </c>
      <c r="T1687" t="s">
        <v>872</v>
      </c>
      <c r="U1687" t="s">
        <v>1347</v>
      </c>
      <c r="V1687" t="s">
        <v>106</v>
      </c>
      <c r="W1687" t="s">
        <v>557</v>
      </c>
      <c r="X1687" t="s">
        <v>106</v>
      </c>
      <c r="Y1687" t="s">
        <v>108</v>
      </c>
      <c r="Z1687" t="s">
        <v>105</v>
      </c>
      <c r="AA1687" t="s">
        <v>1464</v>
      </c>
      <c r="AB1687" t="s">
        <v>106</v>
      </c>
    </row>
    <row r="1688" spans="1:28" x14ac:dyDescent="0.3">
      <c r="A1688" t="s">
        <v>1462</v>
      </c>
      <c r="B1688">
        <v>1</v>
      </c>
      <c r="C1688">
        <v>0</v>
      </c>
      <c r="D1688">
        <v>87</v>
      </c>
      <c r="E1688" t="s">
        <v>308</v>
      </c>
      <c r="F1688" s="12">
        <v>45609</v>
      </c>
      <c r="G1688" t="s">
        <v>556</v>
      </c>
      <c r="H1688" s="12">
        <v>45608</v>
      </c>
      <c r="I1688" t="s">
        <v>510</v>
      </c>
      <c r="J1688" t="s">
        <v>459</v>
      </c>
      <c r="L1688">
        <v>0</v>
      </c>
      <c r="P1688" t="s">
        <v>106</v>
      </c>
      <c r="Q1688" t="s">
        <v>106</v>
      </c>
      <c r="R1688" t="s">
        <v>106</v>
      </c>
      <c r="S1688" t="s">
        <v>106</v>
      </c>
      <c r="T1688" t="s">
        <v>1485</v>
      </c>
      <c r="U1688" t="s">
        <v>106</v>
      </c>
      <c r="V1688" t="s">
        <v>106</v>
      </c>
      <c r="W1688" t="s">
        <v>557</v>
      </c>
      <c r="X1688" t="s">
        <v>106</v>
      </c>
      <c r="Y1688" t="s">
        <v>108</v>
      </c>
      <c r="Z1688" t="s">
        <v>105</v>
      </c>
      <c r="AA1688" t="s">
        <v>1464</v>
      </c>
      <c r="AB1688" t="s">
        <v>106</v>
      </c>
    </row>
    <row r="1689" spans="1:28" x14ac:dyDescent="0.3">
      <c r="A1689" t="s">
        <v>1462</v>
      </c>
      <c r="B1689">
        <v>2</v>
      </c>
      <c r="C1689">
        <v>15</v>
      </c>
      <c r="D1689">
        <v>88</v>
      </c>
      <c r="E1689" t="s">
        <v>308</v>
      </c>
      <c r="F1689" s="12">
        <v>45609</v>
      </c>
      <c r="G1689" t="s">
        <v>1695</v>
      </c>
      <c r="H1689" s="12">
        <v>45608</v>
      </c>
      <c r="I1689" t="s">
        <v>510</v>
      </c>
      <c r="J1689" t="s">
        <v>459</v>
      </c>
      <c r="L1689">
        <v>14.6</v>
      </c>
      <c r="P1689" t="s">
        <v>106</v>
      </c>
      <c r="Q1689" t="s">
        <v>106</v>
      </c>
      <c r="R1689" t="s">
        <v>106</v>
      </c>
      <c r="S1689" t="s">
        <v>106</v>
      </c>
      <c r="T1689" t="s">
        <v>981</v>
      </c>
      <c r="U1689" t="s">
        <v>106</v>
      </c>
      <c r="V1689" t="s">
        <v>106</v>
      </c>
      <c r="W1689" t="s">
        <v>557</v>
      </c>
      <c r="X1689" t="s">
        <v>106</v>
      </c>
      <c r="Y1689" t="s">
        <v>108</v>
      </c>
      <c r="Z1689" t="s">
        <v>109</v>
      </c>
      <c r="AA1689" t="s">
        <v>1464</v>
      </c>
      <c r="AB1689" t="s">
        <v>106</v>
      </c>
    </row>
    <row r="1690" spans="1:28" x14ac:dyDescent="0.3">
      <c r="A1690" t="s">
        <v>1462</v>
      </c>
      <c r="B1690">
        <v>2</v>
      </c>
      <c r="C1690">
        <v>15</v>
      </c>
      <c r="D1690">
        <v>93</v>
      </c>
      <c r="E1690" t="s">
        <v>128</v>
      </c>
      <c r="F1690" s="12">
        <v>45609</v>
      </c>
      <c r="G1690" t="s">
        <v>1038</v>
      </c>
      <c r="H1690" s="12">
        <v>45608</v>
      </c>
      <c r="I1690" t="s">
        <v>510</v>
      </c>
      <c r="J1690" t="s">
        <v>459</v>
      </c>
      <c r="L1690">
        <v>13.9</v>
      </c>
      <c r="P1690" t="s">
        <v>106</v>
      </c>
      <c r="Q1690" t="s">
        <v>106</v>
      </c>
      <c r="R1690" t="s">
        <v>106</v>
      </c>
      <c r="S1690" t="s">
        <v>106</v>
      </c>
      <c r="T1690" t="s">
        <v>428</v>
      </c>
      <c r="U1690" t="s">
        <v>1590</v>
      </c>
      <c r="V1690" t="s">
        <v>106</v>
      </c>
      <c r="W1690" t="s">
        <v>557</v>
      </c>
      <c r="X1690" t="s">
        <v>106</v>
      </c>
      <c r="Y1690" t="s">
        <v>108</v>
      </c>
      <c r="Z1690" t="s">
        <v>109</v>
      </c>
      <c r="AA1690" t="s">
        <v>1464</v>
      </c>
      <c r="AB1690" t="s">
        <v>106</v>
      </c>
    </row>
    <row r="1691" spans="1:28" x14ac:dyDescent="0.3">
      <c r="A1691" t="s">
        <v>1462</v>
      </c>
      <c r="B1691">
        <v>2</v>
      </c>
      <c r="C1691">
        <v>15</v>
      </c>
      <c r="D1691">
        <v>94</v>
      </c>
      <c r="E1691" t="s">
        <v>128</v>
      </c>
      <c r="F1691" s="12">
        <v>45609</v>
      </c>
      <c r="G1691" t="s">
        <v>1797</v>
      </c>
      <c r="H1691" s="12">
        <v>45608</v>
      </c>
      <c r="I1691" t="s">
        <v>510</v>
      </c>
      <c r="J1691" t="s">
        <v>459</v>
      </c>
      <c r="L1691">
        <v>14.4</v>
      </c>
      <c r="P1691" t="s">
        <v>106</v>
      </c>
      <c r="Q1691" t="s">
        <v>106</v>
      </c>
      <c r="R1691" t="s">
        <v>106</v>
      </c>
      <c r="S1691" t="s">
        <v>1866</v>
      </c>
      <c r="T1691" t="s">
        <v>2063</v>
      </c>
      <c r="U1691" t="s">
        <v>1356</v>
      </c>
      <c r="V1691" t="s">
        <v>106</v>
      </c>
      <c r="W1691" t="s">
        <v>557</v>
      </c>
      <c r="X1691" t="s">
        <v>106</v>
      </c>
      <c r="Y1691" t="s">
        <v>108</v>
      </c>
      <c r="Z1691" t="s">
        <v>109</v>
      </c>
      <c r="AA1691" t="s">
        <v>1464</v>
      </c>
      <c r="AB1691" t="s">
        <v>106</v>
      </c>
    </row>
    <row r="1692" spans="1:28" x14ac:dyDescent="0.3">
      <c r="A1692" t="s">
        <v>1462</v>
      </c>
      <c r="B1692">
        <v>2</v>
      </c>
      <c r="C1692">
        <v>15</v>
      </c>
      <c r="D1692">
        <v>101</v>
      </c>
      <c r="E1692" t="s">
        <v>128</v>
      </c>
      <c r="F1692" s="12">
        <v>45609</v>
      </c>
      <c r="G1692" t="s">
        <v>2107</v>
      </c>
      <c r="H1692" s="12">
        <v>45608</v>
      </c>
      <c r="I1692" t="s">
        <v>1601</v>
      </c>
      <c r="J1692" t="s">
        <v>458</v>
      </c>
      <c r="L1692">
        <v>14.8</v>
      </c>
      <c r="P1692" t="s">
        <v>106</v>
      </c>
      <c r="Q1692" t="s">
        <v>106</v>
      </c>
      <c r="R1692" t="s">
        <v>106</v>
      </c>
      <c r="S1692" t="s">
        <v>1667</v>
      </c>
      <c r="T1692" t="s">
        <v>940</v>
      </c>
      <c r="U1692" t="s">
        <v>1353</v>
      </c>
      <c r="V1692" t="s">
        <v>106</v>
      </c>
      <c r="W1692" t="s">
        <v>557</v>
      </c>
      <c r="X1692" t="s">
        <v>106</v>
      </c>
      <c r="Y1692" t="s">
        <v>108</v>
      </c>
      <c r="Z1692" t="s">
        <v>109</v>
      </c>
      <c r="AA1692" t="s">
        <v>1464</v>
      </c>
      <c r="AB1692" t="s">
        <v>106</v>
      </c>
    </row>
    <row r="1693" spans="1:28" x14ac:dyDescent="0.3">
      <c r="A1693" t="s">
        <v>1462</v>
      </c>
      <c r="B1693">
        <v>2</v>
      </c>
      <c r="C1693">
        <v>15</v>
      </c>
      <c r="D1693">
        <v>102</v>
      </c>
      <c r="E1693" t="s">
        <v>128</v>
      </c>
      <c r="F1693" s="12">
        <v>45609</v>
      </c>
      <c r="G1693" t="s">
        <v>2107</v>
      </c>
      <c r="H1693" s="12">
        <v>45608</v>
      </c>
      <c r="I1693" t="s">
        <v>1601</v>
      </c>
      <c r="J1693" t="s">
        <v>458</v>
      </c>
      <c r="L1693">
        <v>14.3</v>
      </c>
      <c r="P1693" t="s">
        <v>106</v>
      </c>
      <c r="Q1693" t="s">
        <v>106</v>
      </c>
      <c r="R1693" t="s">
        <v>106</v>
      </c>
      <c r="S1693" t="s">
        <v>2108</v>
      </c>
      <c r="T1693" t="s">
        <v>1485</v>
      </c>
      <c r="U1693" t="s">
        <v>1968</v>
      </c>
      <c r="V1693" t="s">
        <v>106</v>
      </c>
      <c r="W1693" t="s">
        <v>557</v>
      </c>
      <c r="X1693" t="s">
        <v>106</v>
      </c>
      <c r="Y1693" t="s">
        <v>108</v>
      </c>
      <c r="Z1693" t="s">
        <v>109</v>
      </c>
      <c r="AA1693" t="s">
        <v>1464</v>
      </c>
      <c r="AB1693" t="s">
        <v>106</v>
      </c>
    </row>
    <row r="1694" spans="1:28" x14ac:dyDescent="0.3">
      <c r="A1694" t="s">
        <v>1462</v>
      </c>
      <c r="B1694">
        <v>2</v>
      </c>
      <c r="C1694">
        <v>15</v>
      </c>
      <c r="D1694">
        <v>106</v>
      </c>
      <c r="E1694" t="s">
        <v>128</v>
      </c>
      <c r="F1694" s="12">
        <v>45609</v>
      </c>
      <c r="G1694" t="s">
        <v>414</v>
      </c>
      <c r="H1694" s="12">
        <v>45609</v>
      </c>
      <c r="I1694" t="s">
        <v>363</v>
      </c>
      <c r="J1694" t="s">
        <v>1363</v>
      </c>
      <c r="L1694">
        <v>12.6</v>
      </c>
      <c r="P1694" t="s">
        <v>106</v>
      </c>
      <c r="Q1694" t="s">
        <v>106</v>
      </c>
      <c r="R1694" t="s">
        <v>106</v>
      </c>
      <c r="S1694" t="s">
        <v>106</v>
      </c>
      <c r="T1694" t="s">
        <v>644</v>
      </c>
      <c r="U1694" t="s">
        <v>1615</v>
      </c>
      <c r="V1694" t="s">
        <v>106</v>
      </c>
      <c r="W1694" t="s">
        <v>557</v>
      </c>
      <c r="X1694" t="s">
        <v>106</v>
      </c>
      <c r="Y1694" t="s">
        <v>108</v>
      </c>
      <c r="Z1694" t="s">
        <v>109</v>
      </c>
      <c r="AA1694" t="s">
        <v>1464</v>
      </c>
      <c r="AB1694" t="s">
        <v>106</v>
      </c>
    </row>
    <row r="1695" spans="1:28" x14ac:dyDescent="0.3">
      <c r="A1695" t="s">
        <v>1462</v>
      </c>
      <c r="B1695">
        <v>2</v>
      </c>
      <c r="C1695">
        <v>15</v>
      </c>
      <c r="D1695">
        <v>107</v>
      </c>
      <c r="E1695" t="s">
        <v>128</v>
      </c>
      <c r="F1695" s="12">
        <v>45609</v>
      </c>
      <c r="G1695" t="s">
        <v>415</v>
      </c>
      <c r="H1695" s="12">
        <v>45609</v>
      </c>
      <c r="I1695" t="s">
        <v>363</v>
      </c>
      <c r="J1695" t="s">
        <v>1363</v>
      </c>
      <c r="L1695">
        <v>14.5</v>
      </c>
      <c r="P1695" t="s">
        <v>106</v>
      </c>
      <c r="Q1695" t="s">
        <v>106</v>
      </c>
      <c r="R1695" t="s">
        <v>106</v>
      </c>
      <c r="S1695" t="s">
        <v>1484</v>
      </c>
      <c r="T1695" t="s">
        <v>940</v>
      </c>
      <c r="U1695" t="s">
        <v>1615</v>
      </c>
      <c r="V1695" t="s">
        <v>106</v>
      </c>
      <c r="W1695" t="s">
        <v>557</v>
      </c>
      <c r="X1695" t="s">
        <v>106</v>
      </c>
      <c r="Y1695" t="s">
        <v>108</v>
      </c>
      <c r="Z1695" t="s">
        <v>109</v>
      </c>
      <c r="AA1695" t="s">
        <v>1464</v>
      </c>
      <c r="AB1695" t="s">
        <v>106</v>
      </c>
    </row>
    <row r="1696" spans="1:28" x14ac:dyDescent="0.3">
      <c r="A1696" t="s">
        <v>1462</v>
      </c>
      <c r="B1696">
        <v>3</v>
      </c>
      <c r="C1696">
        <v>35</v>
      </c>
      <c r="D1696">
        <v>110</v>
      </c>
      <c r="E1696" t="s">
        <v>128</v>
      </c>
      <c r="F1696" s="12">
        <v>45609</v>
      </c>
      <c r="G1696" t="s">
        <v>2496</v>
      </c>
      <c r="H1696" s="12">
        <v>45609</v>
      </c>
      <c r="I1696" t="s">
        <v>363</v>
      </c>
      <c r="J1696" t="s">
        <v>1363</v>
      </c>
      <c r="L1696">
        <v>35</v>
      </c>
      <c r="P1696" t="s">
        <v>106</v>
      </c>
      <c r="Q1696" t="s">
        <v>106</v>
      </c>
      <c r="R1696" t="s">
        <v>106</v>
      </c>
      <c r="S1696" t="s">
        <v>992</v>
      </c>
      <c r="T1696" t="s">
        <v>1825</v>
      </c>
      <c r="U1696" t="s">
        <v>430</v>
      </c>
      <c r="V1696" t="s">
        <v>106</v>
      </c>
      <c r="W1696" t="s">
        <v>557</v>
      </c>
      <c r="X1696" t="s">
        <v>106</v>
      </c>
      <c r="Y1696" t="s">
        <v>108</v>
      </c>
      <c r="Z1696" t="s">
        <v>108</v>
      </c>
      <c r="AA1696" t="s">
        <v>1464</v>
      </c>
      <c r="AB1696" t="s">
        <v>106</v>
      </c>
    </row>
    <row r="1697" spans="1:28" x14ac:dyDescent="0.3">
      <c r="A1697" t="s">
        <v>1462</v>
      </c>
      <c r="B1697">
        <v>3</v>
      </c>
      <c r="C1697">
        <v>35</v>
      </c>
      <c r="D1697">
        <v>105</v>
      </c>
      <c r="E1697" t="s">
        <v>128</v>
      </c>
      <c r="F1697" s="12">
        <v>45609</v>
      </c>
      <c r="G1697" t="s">
        <v>520</v>
      </c>
      <c r="H1697" s="12">
        <v>45609</v>
      </c>
      <c r="I1697" t="s">
        <v>363</v>
      </c>
      <c r="J1697" t="s">
        <v>1363</v>
      </c>
      <c r="L1697">
        <v>33.200000000000003</v>
      </c>
      <c r="P1697" t="s">
        <v>106</v>
      </c>
      <c r="Q1697" t="s">
        <v>106</v>
      </c>
      <c r="R1697" t="s">
        <v>106</v>
      </c>
      <c r="S1697" t="s">
        <v>106</v>
      </c>
      <c r="T1697" t="s">
        <v>984</v>
      </c>
      <c r="U1697" t="s">
        <v>1382</v>
      </c>
      <c r="V1697" t="s">
        <v>106</v>
      </c>
      <c r="W1697" t="s">
        <v>557</v>
      </c>
      <c r="X1697" t="s">
        <v>106</v>
      </c>
      <c r="Y1697" t="s">
        <v>108</v>
      </c>
      <c r="Z1697" t="s">
        <v>108</v>
      </c>
      <c r="AA1697" t="s">
        <v>1464</v>
      </c>
      <c r="AB1697" t="s">
        <v>106</v>
      </c>
    </row>
    <row r="1698" spans="1:28" x14ac:dyDescent="0.3">
      <c r="A1698" t="s">
        <v>1462</v>
      </c>
      <c r="B1698">
        <v>3</v>
      </c>
      <c r="C1698">
        <v>35</v>
      </c>
      <c r="D1698">
        <v>89</v>
      </c>
      <c r="E1698" t="s">
        <v>308</v>
      </c>
      <c r="F1698" s="12">
        <v>45609</v>
      </c>
      <c r="G1698" t="s">
        <v>1531</v>
      </c>
      <c r="H1698" s="12">
        <v>45608</v>
      </c>
      <c r="I1698" t="s">
        <v>510</v>
      </c>
      <c r="J1698" t="s">
        <v>459</v>
      </c>
      <c r="L1698">
        <v>32.200000000000003</v>
      </c>
      <c r="P1698" t="s">
        <v>106</v>
      </c>
      <c r="Q1698" t="s">
        <v>106</v>
      </c>
      <c r="R1698" t="s">
        <v>106</v>
      </c>
      <c r="S1698" t="s">
        <v>106</v>
      </c>
      <c r="T1698" t="s">
        <v>984</v>
      </c>
      <c r="U1698" t="s">
        <v>106</v>
      </c>
      <c r="V1698" t="s">
        <v>106</v>
      </c>
      <c r="W1698" t="s">
        <v>557</v>
      </c>
      <c r="X1698" t="s">
        <v>106</v>
      </c>
      <c r="Y1698" t="s">
        <v>108</v>
      </c>
      <c r="Z1698" t="s">
        <v>108</v>
      </c>
      <c r="AA1698" t="s">
        <v>1464</v>
      </c>
      <c r="AB1698" t="s">
        <v>106</v>
      </c>
    </row>
    <row r="1699" spans="1:28" x14ac:dyDescent="0.3">
      <c r="A1699" t="s">
        <v>1462</v>
      </c>
      <c r="B1699">
        <v>3</v>
      </c>
      <c r="C1699">
        <v>35</v>
      </c>
      <c r="D1699">
        <v>100</v>
      </c>
      <c r="E1699" t="s">
        <v>128</v>
      </c>
      <c r="F1699" s="12">
        <v>45609</v>
      </c>
      <c r="G1699" t="s">
        <v>497</v>
      </c>
      <c r="H1699" s="12">
        <v>45608</v>
      </c>
      <c r="I1699" t="s">
        <v>1601</v>
      </c>
      <c r="J1699" t="s">
        <v>458</v>
      </c>
      <c r="L1699">
        <v>34.1</v>
      </c>
      <c r="P1699" t="s">
        <v>106</v>
      </c>
      <c r="Q1699" t="s">
        <v>106</v>
      </c>
      <c r="R1699" t="s">
        <v>106</v>
      </c>
      <c r="S1699" t="s">
        <v>1427</v>
      </c>
      <c r="T1699" t="s">
        <v>971</v>
      </c>
      <c r="U1699" t="s">
        <v>1483</v>
      </c>
      <c r="V1699" t="s">
        <v>106</v>
      </c>
      <c r="W1699" t="s">
        <v>557</v>
      </c>
      <c r="X1699" t="s">
        <v>106</v>
      </c>
      <c r="Y1699" t="s">
        <v>108</v>
      </c>
      <c r="Z1699" t="s">
        <v>108</v>
      </c>
      <c r="AA1699" t="s">
        <v>1464</v>
      </c>
      <c r="AB1699" t="s">
        <v>106</v>
      </c>
    </row>
    <row r="1700" spans="1:28" x14ac:dyDescent="0.3">
      <c r="A1700" t="s">
        <v>1462</v>
      </c>
      <c r="B1700">
        <v>3</v>
      </c>
      <c r="C1700">
        <v>35</v>
      </c>
      <c r="D1700">
        <v>99</v>
      </c>
      <c r="E1700" t="s">
        <v>128</v>
      </c>
      <c r="F1700" s="12">
        <v>45609</v>
      </c>
      <c r="G1700" t="s">
        <v>704</v>
      </c>
      <c r="H1700" s="12">
        <v>45608</v>
      </c>
      <c r="I1700" t="s">
        <v>1601</v>
      </c>
      <c r="J1700" t="s">
        <v>458</v>
      </c>
      <c r="L1700">
        <v>34.299999999999997</v>
      </c>
      <c r="P1700" t="s">
        <v>106</v>
      </c>
      <c r="Q1700" t="s">
        <v>106</v>
      </c>
      <c r="R1700" t="s">
        <v>106</v>
      </c>
      <c r="S1700" t="s">
        <v>1563</v>
      </c>
      <c r="T1700" t="s">
        <v>641</v>
      </c>
      <c r="U1700" t="s">
        <v>1353</v>
      </c>
      <c r="V1700" t="s">
        <v>106</v>
      </c>
      <c r="W1700" t="s">
        <v>557</v>
      </c>
      <c r="X1700" t="s">
        <v>106</v>
      </c>
      <c r="Y1700" t="s">
        <v>108</v>
      </c>
      <c r="Z1700" t="s">
        <v>108</v>
      </c>
      <c r="AA1700" t="s">
        <v>1464</v>
      </c>
      <c r="AB1700" t="s">
        <v>106</v>
      </c>
    </row>
    <row r="1701" spans="1:28" x14ac:dyDescent="0.3">
      <c r="A1701" t="s">
        <v>1462</v>
      </c>
      <c r="B1701">
        <v>3</v>
      </c>
      <c r="C1701">
        <v>35</v>
      </c>
      <c r="D1701">
        <v>91</v>
      </c>
      <c r="E1701" t="s">
        <v>128</v>
      </c>
      <c r="F1701" s="12">
        <v>45609</v>
      </c>
      <c r="G1701" t="s">
        <v>1031</v>
      </c>
      <c r="H1701" s="12">
        <v>45608</v>
      </c>
      <c r="I1701" t="s">
        <v>510</v>
      </c>
      <c r="J1701" t="s">
        <v>459</v>
      </c>
      <c r="L1701">
        <v>34.799999999999997</v>
      </c>
      <c r="P1701" t="s">
        <v>106</v>
      </c>
      <c r="Q1701" t="s">
        <v>106</v>
      </c>
      <c r="R1701" t="s">
        <v>106</v>
      </c>
      <c r="S1701" t="s">
        <v>106</v>
      </c>
      <c r="T1701" t="s">
        <v>1074</v>
      </c>
      <c r="U1701" t="s">
        <v>1483</v>
      </c>
      <c r="V1701" t="s">
        <v>106</v>
      </c>
      <c r="W1701" t="s">
        <v>557</v>
      </c>
      <c r="X1701" t="s">
        <v>106</v>
      </c>
      <c r="Y1701" t="s">
        <v>108</v>
      </c>
      <c r="Z1701" t="s">
        <v>108</v>
      </c>
      <c r="AA1701" t="s">
        <v>1464</v>
      </c>
      <c r="AB1701" t="s">
        <v>106</v>
      </c>
    </row>
    <row r="1702" spans="1:28" x14ac:dyDescent="0.3">
      <c r="A1702" t="s">
        <v>1462</v>
      </c>
      <c r="B1702">
        <v>3</v>
      </c>
      <c r="C1702">
        <v>35</v>
      </c>
      <c r="D1702">
        <v>92</v>
      </c>
      <c r="E1702" t="s">
        <v>128</v>
      </c>
      <c r="F1702" s="12">
        <v>45609</v>
      </c>
      <c r="G1702" t="s">
        <v>1722</v>
      </c>
      <c r="H1702" s="12">
        <v>45608</v>
      </c>
      <c r="I1702" t="s">
        <v>510</v>
      </c>
      <c r="J1702" t="s">
        <v>459</v>
      </c>
      <c r="L1702">
        <v>34.5</v>
      </c>
      <c r="P1702" t="s">
        <v>106</v>
      </c>
      <c r="Q1702" t="s">
        <v>106</v>
      </c>
      <c r="R1702" t="s">
        <v>106</v>
      </c>
      <c r="S1702" t="s">
        <v>106</v>
      </c>
      <c r="T1702" t="s">
        <v>1935</v>
      </c>
      <c r="U1702" t="s">
        <v>1590</v>
      </c>
      <c r="V1702" t="s">
        <v>106</v>
      </c>
      <c r="W1702" t="s">
        <v>557</v>
      </c>
      <c r="X1702" t="s">
        <v>106</v>
      </c>
      <c r="Y1702" t="s">
        <v>108</v>
      </c>
      <c r="Z1702" t="s">
        <v>108</v>
      </c>
      <c r="AA1702" t="s">
        <v>1464</v>
      </c>
      <c r="AB1702" t="s">
        <v>106</v>
      </c>
    </row>
    <row r="1703" spans="1:28" x14ac:dyDescent="0.3">
      <c r="A1703" t="s">
        <v>1462</v>
      </c>
      <c r="B1703">
        <v>4</v>
      </c>
      <c r="C1703">
        <v>60</v>
      </c>
      <c r="D1703">
        <v>109</v>
      </c>
      <c r="E1703" t="s">
        <v>128</v>
      </c>
      <c r="F1703" s="12">
        <v>45609</v>
      </c>
      <c r="G1703" t="s">
        <v>577</v>
      </c>
      <c r="H1703" s="12">
        <v>45609</v>
      </c>
      <c r="I1703" t="s">
        <v>363</v>
      </c>
      <c r="J1703" t="s">
        <v>1363</v>
      </c>
      <c r="L1703">
        <v>56.1</v>
      </c>
      <c r="P1703" t="s">
        <v>106</v>
      </c>
      <c r="Q1703" t="s">
        <v>106</v>
      </c>
      <c r="R1703" t="s">
        <v>106</v>
      </c>
      <c r="S1703" t="s">
        <v>106</v>
      </c>
      <c r="T1703" t="s">
        <v>886</v>
      </c>
      <c r="U1703" t="s">
        <v>427</v>
      </c>
      <c r="V1703" t="s">
        <v>106</v>
      </c>
      <c r="W1703" t="s">
        <v>557</v>
      </c>
      <c r="X1703" t="s">
        <v>106</v>
      </c>
      <c r="Y1703" t="s">
        <v>108</v>
      </c>
      <c r="Z1703" t="s">
        <v>104</v>
      </c>
      <c r="AA1703" t="s">
        <v>1464</v>
      </c>
      <c r="AB1703" t="s">
        <v>106</v>
      </c>
    </row>
    <row r="1704" spans="1:28" x14ac:dyDescent="0.3">
      <c r="A1704" t="s">
        <v>1462</v>
      </c>
      <c r="B1704">
        <v>4</v>
      </c>
      <c r="C1704">
        <v>60</v>
      </c>
      <c r="D1704">
        <v>108</v>
      </c>
      <c r="E1704" t="s">
        <v>128</v>
      </c>
      <c r="F1704" s="12">
        <v>45609</v>
      </c>
      <c r="G1704" t="s">
        <v>575</v>
      </c>
      <c r="H1704" s="12">
        <v>45609</v>
      </c>
      <c r="I1704" t="s">
        <v>363</v>
      </c>
      <c r="J1704" t="s">
        <v>1363</v>
      </c>
      <c r="L1704">
        <v>56.6</v>
      </c>
      <c r="P1704" t="s">
        <v>106</v>
      </c>
      <c r="Q1704" t="s">
        <v>106</v>
      </c>
      <c r="R1704" t="s">
        <v>106</v>
      </c>
      <c r="S1704" t="s">
        <v>1096</v>
      </c>
      <c r="T1704" t="s">
        <v>1791</v>
      </c>
      <c r="U1704" t="s">
        <v>430</v>
      </c>
      <c r="V1704" t="s">
        <v>106</v>
      </c>
      <c r="W1704" t="s">
        <v>557</v>
      </c>
      <c r="X1704" t="s">
        <v>106</v>
      </c>
      <c r="Y1704" t="s">
        <v>108</v>
      </c>
      <c r="Z1704" t="s">
        <v>104</v>
      </c>
      <c r="AA1704" t="s">
        <v>1464</v>
      </c>
      <c r="AB1704" t="s">
        <v>106</v>
      </c>
    </row>
    <row r="1705" spans="1:28" x14ac:dyDescent="0.3">
      <c r="A1705" t="s">
        <v>1462</v>
      </c>
      <c r="B1705">
        <v>4</v>
      </c>
      <c r="C1705">
        <v>60</v>
      </c>
      <c r="D1705">
        <v>104</v>
      </c>
      <c r="E1705" t="s">
        <v>128</v>
      </c>
      <c r="F1705" s="12">
        <v>45609</v>
      </c>
      <c r="G1705" t="s">
        <v>878</v>
      </c>
      <c r="H1705" s="12">
        <v>45608</v>
      </c>
      <c r="I1705" t="s">
        <v>1601</v>
      </c>
      <c r="J1705" t="s">
        <v>458</v>
      </c>
      <c r="L1705">
        <v>56.7</v>
      </c>
      <c r="P1705" t="s">
        <v>106</v>
      </c>
      <c r="Q1705" t="s">
        <v>106</v>
      </c>
      <c r="R1705" t="s">
        <v>106</v>
      </c>
      <c r="S1705" t="s">
        <v>1383</v>
      </c>
      <c r="T1705" t="s">
        <v>971</v>
      </c>
      <c r="U1705" t="s">
        <v>1353</v>
      </c>
      <c r="V1705" t="s">
        <v>106</v>
      </c>
      <c r="W1705" t="s">
        <v>557</v>
      </c>
      <c r="X1705" t="s">
        <v>106</v>
      </c>
      <c r="Y1705" t="s">
        <v>108</v>
      </c>
      <c r="Z1705" t="s">
        <v>104</v>
      </c>
      <c r="AA1705" t="s">
        <v>1464</v>
      </c>
      <c r="AB1705" t="s">
        <v>106</v>
      </c>
    </row>
    <row r="1706" spans="1:28" x14ac:dyDescent="0.3">
      <c r="A1706" t="s">
        <v>1462</v>
      </c>
      <c r="B1706">
        <v>4</v>
      </c>
      <c r="C1706">
        <v>60</v>
      </c>
      <c r="D1706">
        <v>103</v>
      </c>
      <c r="E1706" t="s">
        <v>128</v>
      </c>
      <c r="F1706" s="12">
        <v>45609</v>
      </c>
      <c r="G1706" t="s">
        <v>409</v>
      </c>
      <c r="H1706" s="12">
        <v>45608</v>
      </c>
      <c r="I1706" t="s">
        <v>1601</v>
      </c>
      <c r="J1706" t="s">
        <v>458</v>
      </c>
      <c r="L1706">
        <v>57.9</v>
      </c>
      <c r="P1706" t="s">
        <v>106</v>
      </c>
      <c r="Q1706" t="s">
        <v>106</v>
      </c>
      <c r="R1706" t="s">
        <v>106</v>
      </c>
      <c r="S1706" t="s">
        <v>1570</v>
      </c>
      <c r="T1706" t="s">
        <v>1074</v>
      </c>
      <c r="U1706" t="s">
        <v>1736</v>
      </c>
      <c r="V1706" t="s">
        <v>106</v>
      </c>
      <c r="W1706" t="s">
        <v>557</v>
      </c>
      <c r="X1706" t="s">
        <v>106</v>
      </c>
      <c r="Y1706" t="s">
        <v>108</v>
      </c>
      <c r="Z1706" t="s">
        <v>104</v>
      </c>
      <c r="AA1706" t="s">
        <v>1464</v>
      </c>
      <c r="AB1706" t="s">
        <v>106</v>
      </c>
    </row>
    <row r="1707" spans="1:28" x14ac:dyDescent="0.3">
      <c r="A1707" t="s">
        <v>1462</v>
      </c>
      <c r="B1707">
        <v>4</v>
      </c>
      <c r="C1707">
        <v>60</v>
      </c>
      <c r="D1707">
        <v>96</v>
      </c>
      <c r="E1707" t="s">
        <v>128</v>
      </c>
      <c r="F1707" s="12">
        <v>45609</v>
      </c>
      <c r="G1707" t="s">
        <v>2145</v>
      </c>
      <c r="H1707" s="12">
        <v>45608</v>
      </c>
      <c r="I1707" t="s">
        <v>510</v>
      </c>
      <c r="J1707" t="s">
        <v>459</v>
      </c>
      <c r="L1707">
        <v>56.4</v>
      </c>
      <c r="P1707" t="s">
        <v>106</v>
      </c>
      <c r="Q1707" t="s">
        <v>106</v>
      </c>
      <c r="R1707" t="s">
        <v>106</v>
      </c>
      <c r="S1707" t="s">
        <v>1408</v>
      </c>
      <c r="T1707" t="s">
        <v>2721</v>
      </c>
      <c r="U1707" t="s">
        <v>1483</v>
      </c>
      <c r="V1707" t="s">
        <v>106</v>
      </c>
      <c r="W1707" t="s">
        <v>557</v>
      </c>
      <c r="X1707" t="s">
        <v>106</v>
      </c>
      <c r="Y1707" t="s">
        <v>108</v>
      </c>
      <c r="Z1707" t="s">
        <v>104</v>
      </c>
      <c r="AA1707" t="s">
        <v>1464</v>
      </c>
      <c r="AB1707" t="s">
        <v>106</v>
      </c>
    </row>
    <row r="1708" spans="1:28" x14ac:dyDescent="0.3">
      <c r="A1708" t="s">
        <v>1462</v>
      </c>
      <c r="B1708">
        <v>4</v>
      </c>
      <c r="C1708">
        <v>60</v>
      </c>
      <c r="D1708">
        <v>90</v>
      </c>
      <c r="E1708" t="s">
        <v>308</v>
      </c>
      <c r="F1708" s="12">
        <v>45609</v>
      </c>
      <c r="G1708" t="s">
        <v>2182</v>
      </c>
      <c r="H1708" s="12">
        <v>45608</v>
      </c>
      <c r="I1708" t="s">
        <v>510</v>
      </c>
      <c r="J1708" t="s">
        <v>459</v>
      </c>
      <c r="L1708">
        <v>57.2</v>
      </c>
      <c r="P1708" t="s">
        <v>106</v>
      </c>
      <c r="Q1708" t="s">
        <v>106</v>
      </c>
      <c r="R1708" t="s">
        <v>106</v>
      </c>
      <c r="S1708" t="s">
        <v>106</v>
      </c>
      <c r="T1708" t="s">
        <v>1242</v>
      </c>
      <c r="U1708" t="s">
        <v>106</v>
      </c>
      <c r="V1708" t="s">
        <v>106</v>
      </c>
      <c r="W1708" t="s">
        <v>557</v>
      </c>
      <c r="X1708" t="s">
        <v>106</v>
      </c>
      <c r="Y1708" t="s">
        <v>108</v>
      </c>
      <c r="Z1708" t="s">
        <v>104</v>
      </c>
      <c r="AA1708" t="s">
        <v>1464</v>
      </c>
      <c r="AB1708" t="s">
        <v>106</v>
      </c>
    </row>
    <row r="1709" spans="1:28" x14ac:dyDescent="0.3">
      <c r="A1709" t="s">
        <v>1462</v>
      </c>
      <c r="B1709">
        <v>4</v>
      </c>
      <c r="C1709">
        <v>60</v>
      </c>
      <c r="D1709">
        <v>95</v>
      </c>
      <c r="E1709" t="s">
        <v>128</v>
      </c>
      <c r="F1709" s="12">
        <v>45609</v>
      </c>
      <c r="G1709" t="s">
        <v>2578</v>
      </c>
      <c r="H1709" s="12">
        <v>45608</v>
      </c>
      <c r="I1709" t="s">
        <v>510</v>
      </c>
      <c r="J1709" t="s">
        <v>459</v>
      </c>
      <c r="L1709">
        <v>57.1</v>
      </c>
      <c r="P1709" t="s">
        <v>106</v>
      </c>
      <c r="Q1709" t="s">
        <v>106</v>
      </c>
      <c r="R1709" t="s">
        <v>106</v>
      </c>
      <c r="S1709" t="s">
        <v>1843</v>
      </c>
      <c r="T1709" t="s">
        <v>843</v>
      </c>
      <c r="U1709" t="s">
        <v>1738</v>
      </c>
      <c r="V1709" t="s">
        <v>106</v>
      </c>
      <c r="W1709" t="s">
        <v>557</v>
      </c>
      <c r="X1709" t="s">
        <v>106</v>
      </c>
      <c r="Y1709" t="s">
        <v>108</v>
      </c>
      <c r="Z1709" t="s">
        <v>104</v>
      </c>
      <c r="AA1709" t="s">
        <v>1464</v>
      </c>
      <c r="AB1709" t="s">
        <v>106</v>
      </c>
    </row>
    <row r="1710" spans="1:28" x14ac:dyDescent="0.3">
      <c r="A1710" t="s">
        <v>1486</v>
      </c>
      <c r="B1710">
        <v>2</v>
      </c>
      <c r="C1710">
        <v>15</v>
      </c>
      <c r="D1710">
        <v>13</v>
      </c>
      <c r="E1710" t="s">
        <v>110</v>
      </c>
      <c r="F1710" s="12">
        <v>45638</v>
      </c>
      <c r="G1710" t="s">
        <v>1525</v>
      </c>
      <c r="H1710" s="12">
        <v>45638</v>
      </c>
      <c r="I1710" t="s">
        <v>689</v>
      </c>
      <c r="J1710" t="s">
        <v>425</v>
      </c>
      <c r="L1710">
        <v>18.8</v>
      </c>
      <c r="P1710" t="s">
        <v>106</v>
      </c>
      <c r="Q1710" t="s">
        <v>106</v>
      </c>
      <c r="R1710" t="s">
        <v>106</v>
      </c>
      <c r="S1710" t="s">
        <v>1925</v>
      </c>
      <c r="T1710" t="s">
        <v>977</v>
      </c>
      <c r="U1710" t="s">
        <v>106</v>
      </c>
      <c r="V1710" t="s">
        <v>106</v>
      </c>
      <c r="W1710" t="s">
        <v>476</v>
      </c>
      <c r="X1710" t="s">
        <v>106</v>
      </c>
      <c r="Y1710" t="s">
        <v>108</v>
      </c>
      <c r="Z1710" t="s">
        <v>109</v>
      </c>
      <c r="AA1710" t="s">
        <v>106</v>
      </c>
      <c r="AB1710" t="s">
        <v>106</v>
      </c>
    </row>
    <row r="1711" spans="1:28" x14ac:dyDescent="0.3">
      <c r="A1711" t="s">
        <v>1486</v>
      </c>
      <c r="B1711">
        <v>2</v>
      </c>
      <c r="C1711">
        <v>15</v>
      </c>
      <c r="D1711">
        <v>9</v>
      </c>
      <c r="E1711" t="s">
        <v>308</v>
      </c>
      <c r="F1711" s="12">
        <v>45638</v>
      </c>
      <c r="G1711" t="s">
        <v>1708</v>
      </c>
      <c r="H1711" s="12">
        <v>45638</v>
      </c>
      <c r="I1711" t="s">
        <v>689</v>
      </c>
      <c r="J1711" t="s">
        <v>425</v>
      </c>
      <c r="L1711">
        <v>14.9</v>
      </c>
      <c r="P1711" t="s">
        <v>106</v>
      </c>
      <c r="Q1711" t="s">
        <v>106</v>
      </c>
      <c r="R1711" t="s">
        <v>106</v>
      </c>
      <c r="S1711" t="s">
        <v>106</v>
      </c>
      <c r="T1711" t="s">
        <v>1959</v>
      </c>
      <c r="U1711" t="s">
        <v>106</v>
      </c>
      <c r="V1711" t="s">
        <v>106</v>
      </c>
      <c r="W1711" t="s">
        <v>476</v>
      </c>
      <c r="X1711" t="s">
        <v>106</v>
      </c>
      <c r="Y1711" t="s">
        <v>108</v>
      </c>
      <c r="Z1711" t="s">
        <v>109</v>
      </c>
      <c r="AA1711" t="s">
        <v>106</v>
      </c>
      <c r="AB1711" t="s">
        <v>106</v>
      </c>
    </row>
    <row r="1712" spans="1:28" x14ac:dyDescent="0.3">
      <c r="A1712" t="s">
        <v>1486</v>
      </c>
      <c r="B1712">
        <v>2</v>
      </c>
      <c r="C1712">
        <v>15</v>
      </c>
      <c r="D1712">
        <v>11</v>
      </c>
      <c r="E1712" t="s">
        <v>308</v>
      </c>
      <c r="F1712" s="12">
        <v>45638</v>
      </c>
      <c r="G1712" t="s">
        <v>1708</v>
      </c>
      <c r="H1712" s="12">
        <v>45638</v>
      </c>
      <c r="I1712" t="s">
        <v>689</v>
      </c>
      <c r="J1712" t="s">
        <v>425</v>
      </c>
      <c r="L1712">
        <v>15.9</v>
      </c>
      <c r="P1712" t="s">
        <v>106</v>
      </c>
      <c r="Q1712" t="s">
        <v>106</v>
      </c>
      <c r="R1712" t="s">
        <v>106</v>
      </c>
      <c r="S1712" t="s">
        <v>1925</v>
      </c>
      <c r="T1712" t="s">
        <v>977</v>
      </c>
      <c r="U1712" t="s">
        <v>106</v>
      </c>
      <c r="V1712" t="s">
        <v>106</v>
      </c>
      <c r="W1712" t="s">
        <v>476</v>
      </c>
      <c r="X1712" t="s">
        <v>106</v>
      </c>
      <c r="Y1712" t="s">
        <v>108</v>
      </c>
      <c r="Z1712" t="s">
        <v>109</v>
      </c>
      <c r="AA1712" t="s">
        <v>106</v>
      </c>
      <c r="AB1712" t="s">
        <v>106</v>
      </c>
    </row>
    <row r="1713" spans="1:28" x14ac:dyDescent="0.3">
      <c r="A1713" t="s">
        <v>1486</v>
      </c>
      <c r="B1713">
        <v>2</v>
      </c>
      <c r="C1713">
        <v>15</v>
      </c>
      <c r="D1713">
        <v>12</v>
      </c>
      <c r="E1713" t="s">
        <v>110</v>
      </c>
      <c r="F1713" s="12">
        <v>45638</v>
      </c>
      <c r="G1713" t="s">
        <v>1708</v>
      </c>
      <c r="H1713" s="12">
        <v>45638</v>
      </c>
      <c r="I1713" t="s">
        <v>689</v>
      </c>
      <c r="J1713" t="s">
        <v>425</v>
      </c>
      <c r="L1713">
        <v>18.8</v>
      </c>
      <c r="P1713" t="s">
        <v>106</v>
      </c>
      <c r="Q1713" t="s">
        <v>106</v>
      </c>
      <c r="R1713" t="s">
        <v>106</v>
      </c>
      <c r="S1713" t="s">
        <v>106</v>
      </c>
      <c r="T1713" t="s">
        <v>106</v>
      </c>
      <c r="U1713" t="s">
        <v>106</v>
      </c>
      <c r="V1713" t="s">
        <v>106</v>
      </c>
      <c r="W1713" t="s">
        <v>476</v>
      </c>
      <c r="X1713" t="s">
        <v>106</v>
      </c>
      <c r="Y1713" t="s">
        <v>108</v>
      </c>
      <c r="Z1713" t="s">
        <v>109</v>
      </c>
      <c r="AA1713" t="s">
        <v>106</v>
      </c>
      <c r="AB1713" t="s">
        <v>106</v>
      </c>
    </row>
    <row r="1714" spans="1:28" x14ac:dyDescent="0.3">
      <c r="A1714" t="s">
        <v>1486</v>
      </c>
      <c r="B1714">
        <v>2</v>
      </c>
      <c r="C1714">
        <v>15</v>
      </c>
      <c r="D1714">
        <v>14</v>
      </c>
      <c r="E1714" t="s">
        <v>110</v>
      </c>
      <c r="F1714" s="12">
        <v>45638</v>
      </c>
      <c r="G1714" t="s">
        <v>1525</v>
      </c>
      <c r="H1714" s="12">
        <v>45638</v>
      </c>
      <c r="I1714" t="s">
        <v>689</v>
      </c>
      <c r="J1714" t="s">
        <v>425</v>
      </c>
      <c r="L1714">
        <v>18.8</v>
      </c>
      <c r="P1714" t="s">
        <v>106</v>
      </c>
      <c r="Q1714" t="s">
        <v>106</v>
      </c>
      <c r="R1714" t="s">
        <v>106</v>
      </c>
      <c r="S1714" t="s">
        <v>106</v>
      </c>
      <c r="T1714" t="s">
        <v>2087</v>
      </c>
      <c r="U1714" t="s">
        <v>106</v>
      </c>
      <c r="V1714" t="s">
        <v>106</v>
      </c>
      <c r="W1714" t="s">
        <v>476</v>
      </c>
      <c r="X1714" t="s">
        <v>106</v>
      </c>
      <c r="Y1714" t="s">
        <v>108</v>
      </c>
      <c r="Z1714" t="s">
        <v>109</v>
      </c>
      <c r="AA1714" t="s">
        <v>106</v>
      </c>
      <c r="AB1714" t="s">
        <v>106</v>
      </c>
    </row>
    <row r="1715" spans="1:28" x14ac:dyDescent="0.3">
      <c r="A1715" t="s">
        <v>1486</v>
      </c>
      <c r="B1715">
        <v>3</v>
      </c>
      <c r="C1715">
        <v>35</v>
      </c>
      <c r="D1715">
        <v>2</v>
      </c>
      <c r="E1715" t="s">
        <v>110</v>
      </c>
      <c r="F1715" s="12">
        <v>45638</v>
      </c>
      <c r="G1715" t="s">
        <v>1838</v>
      </c>
      <c r="H1715" s="12">
        <v>45638</v>
      </c>
      <c r="I1715" t="s">
        <v>689</v>
      </c>
      <c r="J1715" t="s">
        <v>425</v>
      </c>
      <c r="L1715">
        <v>38.700000000000003</v>
      </c>
      <c r="P1715" t="s">
        <v>106</v>
      </c>
      <c r="Q1715" t="s">
        <v>106</v>
      </c>
      <c r="R1715" t="s">
        <v>106</v>
      </c>
      <c r="S1715" t="s">
        <v>106</v>
      </c>
      <c r="T1715" t="s">
        <v>1796</v>
      </c>
      <c r="U1715" t="s">
        <v>106</v>
      </c>
      <c r="V1715" t="s">
        <v>106</v>
      </c>
      <c r="W1715" t="s">
        <v>476</v>
      </c>
      <c r="X1715" t="s">
        <v>106</v>
      </c>
      <c r="Y1715" t="s">
        <v>108</v>
      </c>
      <c r="Z1715" t="s">
        <v>108</v>
      </c>
      <c r="AA1715" t="s">
        <v>106</v>
      </c>
      <c r="AB1715" t="s">
        <v>106</v>
      </c>
    </row>
    <row r="1716" spans="1:28" x14ac:dyDescent="0.3">
      <c r="A1716" t="s">
        <v>1486</v>
      </c>
      <c r="B1716">
        <v>3</v>
      </c>
      <c r="C1716">
        <v>35</v>
      </c>
      <c r="D1716">
        <v>16</v>
      </c>
      <c r="E1716" t="s">
        <v>110</v>
      </c>
      <c r="F1716" s="12">
        <v>45638</v>
      </c>
      <c r="G1716" t="s">
        <v>1773</v>
      </c>
      <c r="H1716" s="12">
        <v>45638</v>
      </c>
      <c r="I1716" t="s">
        <v>689</v>
      </c>
      <c r="J1716" t="s">
        <v>425</v>
      </c>
      <c r="L1716">
        <v>40.5</v>
      </c>
      <c r="P1716" t="s">
        <v>106</v>
      </c>
      <c r="Q1716" t="s">
        <v>106</v>
      </c>
      <c r="R1716" t="s">
        <v>106</v>
      </c>
      <c r="S1716" t="s">
        <v>106</v>
      </c>
      <c r="T1716" t="s">
        <v>1381</v>
      </c>
      <c r="U1716" t="s">
        <v>141</v>
      </c>
      <c r="V1716" t="s">
        <v>106</v>
      </c>
      <c r="W1716" t="s">
        <v>476</v>
      </c>
      <c r="X1716" t="s">
        <v>106</v>
      </c>
      <c r="Y1716" t="s">
        <v>108</v>
      </c>
      <c r="Z1716" t="s">
        <v>108</v>
      </c>
      <c r="AA1716" t="s">
        <v>106</v>
      </c>
      <c r="AB1716" t="s">
        <v>106</v>
      </c>
    </row>
    <row r="1717" spans="1:28" x14ac:dyDescent="0.3">
      <c r="A1717" t="s">
        <v>1486</v>
      </c>
      <c r="B1717">
        <v>3</v>
      </c>
      <c r="C1717">
        <v>35</v>
      </c>
      <c r="D1717">
        <v>20</v>
      </c>
      <c r="E1717" t="s">
        <v>110</v>
      </c>
      <c r="F1717" s="12">
        <v>45638</v>
      </c>
      <c r="G1717" t="s">
        <v>371</v>
      </c>
      <c r="H1717" s="12">
        <v>45638</v>
      </c>
      <c r="I1717" t="s">
        <v>689</v>
      </c>
      <c r="J1717" t="s">
        <v>425</v>
      </c>
      <c r="L1717">
        <v>42.9</v>
      </c>
      <c r="P1717" t="s">
        <v>106</v>
      </c>
      <c r="Q1717" t="s">
        <v>106</v>
      </c>
      <c r="R1717" t="s">
        <v>106</v>
      </c>
      <c r="S1717" t="s">
        <v>106</v>
      </c>
      <c r="T1717" t="s">
        <v>1097</v>
      </c>
      <c r="U1717" t="s">
        <v>1716</v>
      </c>
      <c r="V1717" t="s">
        <v>106</v>
      </c>
      <c r="W1717" t="s">
        <v>476</v>
      </c>
      <c r="X1717" t="s">
        <v>106</v>
      </c>
      <c r="Y1717" t="s">
        <v>108</v>
      </c>
      <c r="Z1717" t="s">
        <v>108</v>
      </c>
      <c r="AA1717" t="s">
        <v>106</v>
      </c>
      <c r="AB1717" t="s">
        <v>106</v>
      </c>
    </row>
    <row r="1718" spans="1:28" x14ac:dyDescent="0.3">
      <c r="A1718" t="s">
        <v>1486</v>
      </c>
      <c r="B1718">
        <v>3</v>
      </c>
      <c r="C1718">
        <v>35</v>
      </c>
      <c r="D1718">
        <v>27</v>
      </c>
      <c r="E1718" t="s">
        <v>110</v>
      </c>
      <c r="F1718" s="12">
        <v>45638</v>
      </c>
      <c r="G1718" t="s">
        <v>475</v>
      </c>
      <c r="H1718" s="12">
        <v>45638</v>
      </c>
      <c r="I1718" t="s">
        <v>689</v>
      </c>
      <c r="J1718" t="s">
        <v>425</v>
      </c>
      <c r="L1718">
        <v>30</v>
      </c>
      <c r="P1718" t="s">
        <v>106</v>
      </c>
      <c r="Q1718" t="s">
        <v>106</v>
      </c>
      <c r="R1718" t="s">
        <v>106</v>
      </c>
      <c r="S1718" t="s">
        <v>106</v>
      </c>
      <c r="T1718" t="s">
        <v>106</v>
      </c>
      <c r="U1718" t="s">
        <v>625</v>
      </c>
      <c r="V1718" t="s">
        <v>106</v>
      </c>
      <c r="W1718" t="s">
        <v>476</v>
      </c>
      <c r="X1718" t="s">
        <v>106</v>
      </c>
      <c r="Y1718" t="s">
        <v>108</v>
      </c>
      <c r="Z1718" t="s">
        <v>108</v>
      </c>
      <c r="AA1718" t="s">
        <v>106</v>
      </c>
      <c r="AB1718" t="s">
        <v>106</v>
      </c>
    </row>
    <row r="1719" spans="1:28" x14ac:dyDescent="0.3">
      <c r="A1719" t="s">
        <v>1486</v>
      </c>
      <c r="B1719">
        <v>3</v>
      </c>
      <c r="C1719">
        <v>35</v>
      </c>
      <c r="D1719">
        <v>4</v>
      </c>
      <c r="E1719" t="s">
        <v>308</v>
      </c>
      <c r="F1719" s="12">
        <v>45638</v>
      </c>
      <c r="G1719" t="s">
        <v>403</v>
      </c>
      <c r="H1719" s="12">
        <v>45638</v>
      </c>
      <c r="I1719" t="s">
        <v>689</v>
      </c>
      <c r="J1719" t="s">
        <v>425</v>
      </c>
      <c r="L1719">
        <v>34.5</v>
      </c>
      <c r="P1719" t="s">
        <v>106</v>
      </c>
      <c r="Q1719" t="s">
        <v>106</v>
      </c>
      <c r="R1719" t="s">
        <v>106</v>
      </c>
      <c r="S1719" t="s">
        <v>2507</v>
      </c>
      <c r="T1719" t="s">
        <v>1101</v>
      </c>
      <c r="U1719" t="s">
        <v>106</v>
      </c>
      <c r="V1719" t="s">
        <v>106</v>
      </c>
      <c r="W1719" t="s">
        <v>476</v>
      </c>
      <c r="X1719" t="s">
        <v>106</v>
      </c>
      <c r="Y1719" t="s">
        <v>108</v>
      </c>
      <c r="Z1719" t="s">
        <v>108</v>
      </c>
      <c r="AA1719" t="s">
        <v>106</v>
      </c>
      <c r="AB1719" t="s">
        <v>106</v>
      </c>
    </row>
    <row r="1720" spans="1:28" x14ac:dyDescent="0.3">
      <c r="A1720" t="s">
        <v>1486</v>
      </c>
      <c r="B1720">
        <v>3</v>
      </c>
      <c r="C1720">
        <v>35</v>
      </c>
      <c r="D1720">
        <v>1</v>
      </c>
      <c r="E1720" t="s">
        <v>110</v>
      </c>
      <c r="F1720" s="12">
        <v>45638</v>
      </c>
      <c r="G1720" t="s">
        <v>770</v>
      </c>
      <c r="H1720" s="12">
        <v>45638</v>
      </c>
      <c r="I1720" t="s">
        <v>689</v>
      </c>
      <c r="J1720" t="s">
        <v>425</v>
      </c>
      <c r="L1720">
        <v>38.4</v>
      </c>
      <c r="P1720" t="s">
        <v>106</v>
      </c>
      <c r="Q1720" t="s">
        <v>106</v>
      </c>
      <c r="R1720" t="s">
        <v>106</v>
      </c>
      <c r="S1720" t="s">
        <v>106</v>
      </c>
      <c r="T1720" t="s">
        <v>1016</v>
      </c>
      <c r="U1720" t="s">
        <v>106</v>
      </c>
      <c r="V1720" t="s">
        <v>106</v>
      </c>
      <c r="W1720" t="s">
        <v>476</v>
      </c>
      <c r="X1720" t="s">
        <v>106</v>
      </c>
      <c r="Y1720" t="s">
        <v>108</v>
      </c>
      <c r="Z1720" t="s">
        <v>108</v>
      </c>
      <c r="AA1720" t="s">
        <v>106</v>
      </c>
      <c r="AB1720" t="s">
        <v>106</v>
      </c>
    </row>
    <row r="1721" spans="1:28" x14ac:dyDescent="0.3">
      <c r="A1721" t="s">
        <v>1486</v>
      </c>
      <c r="B1721">
        <v>3</v>
      </c>
      <c r="C1721">
        <v>35</v>
      </c>
      <c r="D1721">
        <v>3</v>
      </c>
      <c r="E1721" t="s">
        <v>308</v>
      </c>
      <c r="F1721" s="12">
        <v>45638</v>
      </c>
      <c r="G1721" t="s">
        <v>1838</v>
      </c>
      <c r="H1721" s="12">
        <v>45638</v>
      </c>
      <c r="I1721" t="s">
        <v>689</v>
      </c>
      <c r="J1721" t="s">
        <v>425</v>
      </c>
      <c r="L1721">
        <v>34.799999999999997</v>
      </c>
      <c r="P1721" t="s">
        <v>106</v>
      </c>
      <c r="Q1721" t="s">
        <v>106</v>
      </c>
      <c r="R1721" t="s">
        <v>106</v>
      </c>
      <c r="S1721" t="s">
        <v>106</v>
      </c>
      <c r="T1721" t="s">
        <v>1074</v>
      </c>
      <c r="U1721" t="s">
        <v>106</v>
      </c>
      <c r="V1721" t="s">
        <v>106</v>
      </c>
      <c r="W1721" t="s">
        <v>476</v>
      </c>
      <c r="X1721" t="s">
        <v>106</v>
      </c>
      <c r="Y1721" t="s">
        <v>108</v>
      </c>
      <c r="Z1721" t="s">
        <v>108</v>
      </c>
      <c r="AA1721" t="s">
        <v>106</v>
      </c>
      <c r="AB1721" t="s">
        <v>106</v>
      </c>
    </row>
    <row r="1722" spans="1:28" x14ac:dyDescent="0.3">
      <c r="A1722" t="s">
        <v>1486</v>
      </c>
      <c r="B1722">
        <v>3</v>
      </c>
      <c r="C1722">
        <v>35</v>
      </c>
      <c r="D1722">
        <v>15</v>
      </c>
      <c r="E1722" t="s">
        <v>110</v>
      </c>
      <c r="F1722" s="12">
        <v>45638</v>
      </c>
      <c r="G1722" t="s">
        <v>449</v>
      </c>
      <c r="H1722" s="12">
        <v>45638</v>
      </c>
      <c r="I1722" t="s">
        <v>689</v>
      </c>
      <c r="J1722" t="s">
        <v>425</v>
      </c>
      <c r="L1722">
        <v>40.9</v>
      </c>
      <c r="P1722" t="s">
        <v>106</v>
      </c>
      <c r="Q1722" t="s">
        <v>106</v>
      </c>
      <c r="R1722" t="s">
        <v>106</v>
      </c>
      <c r="S1722" t="s">
        <v>106</v>
      </c>
      <c r="T1722" t="s">
        <v>1951</v>
      </c>
      <c r="U1722" t="s">
        <v>147</v>
      </c>
      <c r="V1722" t="s">
        <v>106</v>
      </c>
      <c r="W1722" t="s">
        <v>476</v>
      </c>
      <c r="X1722" t="s">
        <v>106</v>
      </c>
      <c r="Y1722" t="s">
        <v>108</v>
      </c>
      <c r="Z1722" t="s">
        <v>108</v>
      </c>
      <c r="AA1722" t="s">
        <v>106</v>
      </c>
      <c r="AB1722" t="s">
        <v>106</v>
      </c>
    </row>
    <row r="1723" spans="1:28" x14ac:dyDescent="0.3">
      <c r="A1723" t="s">
        <v>1486</v>
      </c>
      <c r="B1723">
        <v>3</v>
      </c>
      <c r="C1723">
        <v>35</v>
      </c>
      <c r="D1723">
        <v>21</v>
      </c>
      <c r="E1723" t="s">
        <v>110</v>
      </c>
      <c r="F1723" s="12">
        <v>45638</v>
      </c>
      <c r="G1723" t="s">
        <v>406</v>
      </c>
      <c r="H1723" s="12">
        <v>45638</v>
      </c>
      <c r="I1723" t="s">
        <v>689</v>
      </c>
      <c r="J1723" t="s">
        <v>425</v>
      </c>
      <c r="L1723">
        <v>40.299999999999997</v>
      </c>
      <c r="P1723" t="s">
        <v>106</v>
      </c>
      <c r="Q1723" t="s">
        <v>106</v>
      </c>
      <c r="R1723" t="s">
        <v>106</v>
      </c>
      <c r="S1723" t="s">
        <v>106</v>
      </c>
      <c r="T1723" t="s">
        <v>1372</v>
      </c>
      <c r="U1723" t="s">
        <v>646</v>
      </c>
      <c r="V1723" t="s">
        <v>106</v>
      </c>
      <c r="W1723" t="s">
        <v>476</v>
      </c>
      <c r="X1723" t="s">
        <v>106</v>
      </c>
      <c r="Y1723" t="s">
        <v>108</v>
      </c>
      <c r="Z1723" t="s">
        <v>108</v>
      </c>
      <c r="AA1723" t="s">
        <v>106</v>
      </c>
      <c r="AB1723" t="s">
        <v>106</v>
      </c>
    </row>
    <row r="1724" spans="1:28" x14ac:dyDescent="0.3">
      <c r="A1724" t="s">
        <v>1486</v>
      </c>
      <c r="B1724">
        <v>3</v>
      </c>
      <c r="C1724">
        <v>35</v>
      </c>
      <c r="D1724">
        <v>19</v>
      </c>
      <c r="E1724" t="s">
        <v>110</v>
      </c>
      <c r="F1724" s="12">
        <v>45638</v>
      </c>
      <c r="G1724" t="s">
        <v>1258</v>
      </c>
      <c r="H1724" s="12">
        <v>45638</v>
      </c>
      <c r="I1724" t="s">
        <v>689</v>
      </c>
      <c r="J1724" t="s">
        <v>425</v>
      </c>
      <c r="L1724">
        <v>41.3</v>
      </c>
      <c r="P1724" t="s">
        <v>106</v>
      </c>
      <c r="Q1724" t="s">
        <v>106</v>
      </c>
      <c r="R1724" t="s">
        <v>106</v>
      </c>
      <c r="S1724" t="s">
        <v>106</v>
      </c>
      <c r="T1724" t="s">
        <v>2290</v>
      </c>
      <c r="U1724" t="s">
        <v>701</v>
      </c>
      <c r="V1724" t="s">
        <v>106</v>
      </c>
      <c r="W1724" t="s">
        <v>476</v>
      </c>
      <c r="X1724" t="s">
        <v>106</v>
      </c>
      <c r="Y1724" t="s">
        <v>108</v>
      </c>
      <c r="Z1724" t="s">
        <v>108</v>
      </c>
      <c r="AA1724" t="s">
        <v>106</v>
      </c>
      <c r="AB1724" t="s">
        <v>106</v>
      </c>
    </row>
    <row r="1725" spans="1:28" x14ac:dyDescent="0.3">
      <c r="A1725" t="s">
        <v>1486</v>
      </c>
      <c r="B1725">
        <v>3</v>
      </c>
      <c r="C1725">
        <v>35</v>
      </c>
      <c r="D1725">
        <v>17</v>
      </c>
      <c r="E1725" t="s">
        <v>110</v>
      </c>
      <c r="F1725" s="12">
        <v>45638</v>
      </c>
      <c r="G1725" t="s">
        <v>319</v>
      </c>
      <c r="H1725" s="12">
        <v>45638</v>
      </c>
      <c r="I1725" t="s">
        <v>689</v>
      </c>
      <c r="J1725" t="s">
        <v>425</v>
      </c>
      <c r="L1725">
        <v>41</v>
      </c>
      <c r="P1725" t="s">
        <v>106</v>
      </c>
      <c r="Q1725" t="s">
        <v>106</v>
      </c>
      <c r="R1725" t="s">
        <v>106</v>
      </c>
      <c r="S1725" t="s">
        <v>106</v>
      </c>
      <c r="T1725" t="s">
        <v>2508</v>
      </c>
      <c r="U1725" t="s">
        <v>1353</v>
      </c>
      <c r="V1725" t="s">
        <v>106</v>
      </c>
      <c r="W1725" t="s">
        <v>476</v>
      </c>
      <c r="X1725" t="s">
        <v>106</v>
      </c>
      <c r="Y1725" t="s">
        <v>108</v>
      </c>
      <c r="Z1725" t="s">
        <v>108</v>
      </c>
      <c r="AA1725" t="s">
        <v>106</v>
      </c>
      <c r="AB1725" t="s">
        <v>106</v>
      </c>
    </row>
    <row r="1726" spans="1:28" x14ac:dyDescent="0.3">
      <c r="A1726" t="s">
        <v>1486</v>
      </c>
      <c r="B1726">
        <v>3</v>
      </c>
      <c r="C1726">
        <v>35</v>
      </c>
      <c r="D1726">
        <v>5</v>
      </c>
      <c r="E1726" t="s">
        <v>110</v>
      </c>
      <c r="F1726" s="12">
        <v>45638</v>
      </c>
      <c r="G1726" t="s">
        <v>2430</v>
      </c>
      <c r="H1726" s="12">
        <v>45638</v>
      </c>
      <c r="I1726" t="s">
        <v>689</v>
      </c>
      <c r="J1726" t="s">
        <v>425</v>
      </c>
      <c r="L1726">
        <v>38.9</v>
      </c>
      <c r="P1726" t="s">
        <v>106</v>
      </c>
      <c r="Q1726" t="s">
        <v>106</v>
      </c>
      <c r="R1726" t="s">
        <v>106</v>
      </c>
      <c r="S1726" t="s">
        <v>2509</v>
      </c>
      <c r="T1726" t="s">
        <v>1899</v>
      </c>
      <c r="U1726" t="s">
        <v>106</v>
      </c>
      <c r="V1726" t="s">
        <v>106</v>
      </c>
      <c r="W1726" t="s">
        <v>476</v>
      </c>
      <c r="X1726" t="s">
        <v>106</v>
      </c>
      <c r="Y1726" t="s">
        <v>108</v>
      </c>
      <c r="Z1726" t="s">
        <v>108</v>
      </c>
      <c r="AA1726" t="s">
        <v>106</v>
      </c>
      <c r="AB1726" t="s">
        <v>106</v>
      </c>
    </row>
    <row r="1727" spans="1:28" x14ac:dyDescent="0.3">
      <c r="A1727" t="s">
        <v>1486</v>
      </c>
      <c r="B1727">
        <v>3</v>
      </c>
      <c r="C1727">
        <v>35</v>
      </c>
      <c r="D1727">
        <v>22</v>
      </c>
      <c r="E1727" t="s">
        <v>110</v>
      </c>
      <c r="F1727" s="12">
        <v>45638</v>
      </c>
      <c r="G1727" t="s">
        <v>537</v>
      </c>
      <c r="H1727" s="12">
        <v>45638</v>
      </c>
      <c r="I1727" t="s">
        <v>689</v>
      </c>
      <c r="J1727" t="s">
        <v>425</v>
      </c>
      <c r="L1727">
        <v>39.200000000000003</v>
      </c>
      <c r="P1727" t="s">
        <v>106</v>
      </c>
      <c r="Q1727" t="s">
        <v>106</v>
      </c>
      <c r="R1727" t="s">
        <v>106</v>
      </c>
      <c r="S1727" t="s">
        <v>106</v>
      </c>
      <c r="T1727" t="s">
        <v>1791</v>
      </c>
      <c r="U1727" t="s">
        <v>516</v>
      </c>
      <c r="V1727" t="s">
        <v>106</v>
      </c>
      <c r="W1727" t="s">
        <v>476</v>
      </c>
      <c r="X1727" t="s">
        <v>106</v>
      </c>
      <c r="Y1727" t="s">
        <v>108</v>
      </c>
      <c r="Z1727" t="s">
        <v>108</v>
      </c>
      <c r="AA1727" t="s">
        <v>106</v>
      </c>
      <c r="AB1727" t="s">
        <v>106</v>
      </c>
    </row>
    <row r="1728" spans="1:28" x14ac:dyDescent="0.3">
      <c r="A1728" t="s">
        <v>1486</v>
      </c>
      <c r="B1728">
        <v>3</v>
      </c>
      <c r="C1728">
        <v>35</v>
      </c>
      <c r="D1728">
        <v>18</v>
      </c>
      <c r="E1728" t="s">
        <v>110</v>
      </c>
      <c r="F1728" s="12">
        <v>45638</v>
      </c>
      <c r="G1728" t="s">
        <v>1258</v>
      </c>
      <c r="H1728" s="12">
        <v>45638</v>
      </c>
      <c r="I1728" t="s">
        <v>689</v>
      </c>
      <c r="J1728" t="s">
        <v>425</v>
      </c>
      <c r="L1728">
        <v>44.5</v>
      </c>
      <c r="P1728" t="s">
        <v>106</v>
      </c>
      <c r="Q1728" t="s">
        <v>106</v>
      </c>
      <c r="R1728" t="s">
        <v>106</v>
      </c>
      <c r="S1728" t="s">
        <v>106</v>
      </c>
      <c r="T1728" t="s">
        <v>1467</v>
      </c>
      <c r="U1728" t="s">
        <v>701</v>
      </c>
      <c r="V1728" t="s">
        <v>106</v>
      </c>
      <c r="W1728" t="s">
        <v>476</v>
      </c>
      <c r="X1728" t="s">
        <v>106</v>
      </c>
      <c r="Y1728" t="s">
        <v>108</v>
      </c>
      <c r="Z1728" t="s">
        <v>108</v>
      </c>
      <c r="AA1728" t="s">
        <v>106</v>
      </c>
      <c r="AB1728" t="s">
        <v>106</v>
      </c>
    </row>
    <row r="1729" spans="1:28" x14ac:dyDescent="0.3">
      <c r="A1729" t="s">
        <v>1486</v>
      </c>
      <c r="B1729">
        <v>3</v>
      </c>
      <c r="C1729">
        <v>35</v>
      </c>
      <c r="D1729">
        <v>24</v>
      </c>
      <c r="E1729" t="s">
        <v>308</v>
      </c>
      <c r="F1729" s="12">
        <v>45638</v>
      </c>
      <c r="G1729" t="s">
        <v>131</v>
      </c>
      <c r="H1729" s="12">
        <v>45638</v>
      </c>
      <c r="I1729" t="s">
        <v>689</v>
      </c>
      <c r="J1729" t="s">
        <v>425</v>
      </c>
      <c r="L1729">
        <v>35.1</v>
      </c>
      <c r="P1729" t="s">
        <v>106</v>
      </c>
      <c r="Q1729" t="s">
        <v>106</v>
      </c>
      <c r="R1729" t="s">
        <v>106</v>
      </c>
      <c r="S1729" t="s">
        <v>106</v>
      </c>
      <c r="T1729" t="s">
        <v>106</v>
      </c>
      <c r="U1729" t="s">
        <v>106</v>
      </c>
      <c r="V1729" t="s">
        <v>106</v>
      </c>
      <c r="W1729" t="s">
        <v>476</v>
      </c>
      <c r="X1729" t="s">
        <v>106</v>
      </c>
      <c r="Y1729" t="s">
        <v>108</v>
      </c>
      <c r="Z1729" t="s">
        <v>108</v>
      </c>
      <c r="AA1729" t="s">
        <v>106</v>
      </c>
      <c r="AB1729" t="s">
        <v>106</v>
      </c>
    </row>
    <row r="1730" spans="1:28" x14ac:dyDescent="0.3">
      <c r="A1730" t="s">
        <v>1486</v>
      </c>
      <c r="B1730">
        <v>3</v>
      </c>
      <c r="C1730">
        <v>35</v>
      </c>
      <c r="D1730">
        <v>10</v>
      </c>
      <c r="E1730" t="s">
        <v>110</v>
      </c>
      <c r="F1730" s="12">
        <v>45638</v>
      </c>
      <c r="G1730" t="s">
        <v>1708</v>
      </c>
      <c r="H1730" s="12">
        <v>45638</v>
      </c>
      <c r="I1730" t="s">
        <v>689</v>
      </c>
      <c r="J1730" t="s">
        <v>425</v>
      </c>
      <c r="L1730">
        <v>38.6</v>
      </c>
      <c r="P1730" t="s">
        <v>106</v>
      </c>
      <c r="Q1730" t="s">
        <v>106</v>
      </c>
      <c r="R1730" t="s">
        <v>106</v>
      </c>
      <c r="S1730" t="s">
        <v>106</v>
      </c>
      <c r="T1730" t="s">
        <v>1977</v>
      </c>
      <c r="U1730" t="s">
        <v>106</v>
      </c>
      <c r="V1730" t="s">
        <v>106</v>
      </c>
      <c r="W1730" t="s">
        <v>476</v>
      </c>
      <c r="X1730" t="s">
        <v>106</v>
      </c>
      <c r="Y1730" t="s">
        <v>108</v>
      </c>
      <c r="Z1730" t="s">
        <v>109</v>
      </c>
      <c r="AA1730" t="s">
        <v>106</v>
      </c>
      <c r="AB1730" t="s">
        <v>106</v>
      </c>
    </row>
    <row r="1731" spans="1:28" x14ac:dyDescent="0.3">
      <c r="A1731" t="s">
        <v>1486</v>
      </c>
      <c r="B1731">
        <v>3</v>
      </c>
      <c r="C1731">
        <v>35</v>
      </c>
      <c r="D1731">
        <v>23</v>
      </c>
      <c r="E1731" t="s">
        <v>110</v>
      </c>
      <c r="F1731" s="12">
        <v>45638</v>
      </c>
      <c r="G1731" t="s">
        <v>593</v>
      </c>
      <c r="H1731" s="12">
        <v>45638</v>
      </c>
      <c r="I1731" t="s">
        <v>689</v>
      </c>
      <c r="J1731" t="s">
        <v>425</v>
      </c>
      <c r="L1731">
        <v>39</v>
      </c>
      <c r="P1731" t="s">
        <v>106</v>
      </c>
      <c r="Q1731" t="s">
        <v>106</v>
      </c>
      <c r="R1731" t="s">
        <v>106</v>
      </c>
      <c r="S1731" t="s">
        <v>106</v>
      </c>
      <c r="T1731" t="s">
        <v>106</v>
      </c>
      <c r="U1731" t="s">
        <v>332</v>
      </c>
      <c r="V1731" t="s">
        <v>106</v>
      </c>
      <c r="W1731" t="s">
        <v>476</v>
      </c>
      <c r="X1731" t="s">
        <v>106</v>
      </c>
      <c r="Y1731" t="s">
        <v>108</v>
      </c>
      <c r="Z1731" t="s">
        <v>108</v>
      </c>
      <c r="AA1731" t="s">
        <v>106</v>
      </c>
      <c r="AB1731" t="s">
        <v>106</v>
      </c>
    </row>
    <row r="1732" spans="1:28" x14ac:dyDescent="0.3">
      <c r="A1732" t="s">
        <v>1486</v>
      </c>
      <c r="B1732">
        <v>3</v>
      </c>
      <c r="C1732">
        <v>35</v>
      </c>
      <c r="D1732">
        <v>25</v>
      </c>
      <c r="E1732" t="s">
        <v>110</v>
      </c>
      <c r="F1732" s="12">
        <v>45638</v>
      </c>
      <c r="G1732" t="s">
        <v>375</v>
      </c>
      <c r="H1732" s="12">
        <v>45638</v>
      </c>
      <c r="I1732" t="s">
        <v>689</v>
      </c>
      <c r="J1732" t="s">
        <v>425</v>
      </c>
      <c r="L1732">
        <v>38</v>
      </c>
      <c r="P1732" t="s">
        <v>106</v>
      </c>
      <c r="Q1732" t="s">
        <v>106</v>
      </c>
      <c r="R1732" t="s">
        <v>106</v>
      </c>
      <c r="S1732" t="s">
        <v>106</v>
      </c>
      <c r="T1732" t="s">
        <v>1791</v>
      </c>
      <c r="U1732" t="s">
        <v>613</v>
      </c>
      <c r="V1732" t="s">
        <v>106</v>
      </c>
      <c r="W1732" t="s">
        <v>476</v>
      </c>
      <c r="X1732" t="s">
        <v>106</v>
      </c>
      <c r="Y1732" t="s">
        <v>108</v>
      </c>
      <c r="Z1732" t="s">
        <v>108</v>
      </c>
      <c r="AA1732" t="s">
        <v>106</v>
      </c>
      <c r="AB1732" t="s">
        <v>106</v>
      </c>
    </row>
    <row r="1733" spans="1:28" x14ac:dyDescent="0.3">
      <c r="A1733" t="s">
        <v>1486</v>
      </c>
      <c r="B1733">
        <v>3</v>
      </c>
      <c r="C1733">
        <v>35</v>
      </c>
      <c r="D1733">
        <v>26</v>
      </c>
      <c r="E1733" t="s">
        <v>110</v>
      </c>
      <c r="F1733" s="12">
        <v>45638</v>
      </c>
      <c r="G1733" t="s">
        <v>475</v>
      </c>
      <c r="H1733" s="12">
        <v>45638</v>
      </c>
      <c r="I1733" t="s">
        <v>689</v>
      </c>
      <c r="J1733" t="s">
        <v>425</v>
      </c>
      <c r="L1733">
        <v>35.5</v>
      </c>
      <c r="P1733" t="s">
        <v>106</v>
      </c>
      <c r="Q1733" t="s">
        <v>106</v>
      </c>
      <c r="R1733" t="s">
        <v>106</v>
      </c>
      <c r="S1733" t="s">
        <v>106</v>
      </c>
      <c r="T1733" t="s">
        <v>106</v>
      </c>
      <c r="U1733" t="s">
        <v>625</v>
      </c>
      <c r="V1733" t="s">
        <v>106</v>
      </c>
      <c r="W1733" t="s">
        <v>476</v>
      </c>
      <c r="X1733" t="s">
        <v>106</v>
      </c>
      <c r="Y1733" t="s">
        <v>108</v>
      </c>
      <c r="Z1733" t="s">
        <v>108</v>
      </c>
      <c r="AA1733" t="s">
        <v>106</v>
      </c>
      <c r="AB1733" t="s">
        <v>106</v>
      </c>
    </row>
    <row r="1734" spans="1:28" x14ac:dyDescent="0.3">
      <c r="A1734" t="s">
        <v>1486</v>
      </c>
      <c r="B1734">
        <v>4</v>
      </c>
      <c r="C1734">
        <v>60</v>
      </c>
      <c r="D1734">
        <v>6</v>
      </c>
      <c r="E1734" t="s">
        <v>308</v>
      </c>
      <c r="F1734" s="12">
        <v>45638</v>
      </c>
      <c r="G1734" t="s">
        <v>2537</v>
      </c>
      <c r="H1734" s="12">
        <v>45638</v>
      </c>
      <c r="I1734" t="s">
        <v>689</v>
      </c>
      <c r="J1734" t="s">
        <v>425</v>
      </c>
      <c r="L1734">
        <v>58.4</v>
      </c>
      <c r="P1734" t="s">
        <v>106</v>
      </c>
      <c r="Q1734" t="s">
        <v>106</v>
      </c>
      <c r="R1734" t="s">
        <v>106</v>
      </c>
      <c r="S1734" t="s">
        <v>106</v>
      </c>
      <c r="T1734" t="s">
        <v>2722</v>
      </c>
      <c r="U1734" t="s">
        <v>106</v>
      </c>
      <c r="V1734" t="s">
        <v>106</v>
      </c>
      <c r="W1734" t="s">
        <v>476</v>
      </c>
      <c r="X1734" t="s">
        <v>106</v>
      </c>
      <c r="Y1734" t="s">
        <v>108</v>
      </c>
      <c r="Z1734" t="s">
        <v>104</v>
      </c>
      <c r="AA1734" t="s">
        <v>106</v>
      </c>
      <c r="AB1734" t="s">
        <v>106</v>
      </c>
    </row>
    <row r="1735" spans="1:28" x14ac:dyDescent="0.3">
      <c r="A1735" t="s">
        <v>1486</v>
      </c>
      <c r="B1735">
        <v>4</v>
      </c>
      <c r="C1735">
        <v>60</v>
      </c>
      <c r="D1735">
        <v>7</v>
      </c>
      <c r="E1735" t="s">
        <v>110</v>
      </c>
      <c r="F1735" s="12">
        <v>45638</v>
      </c>
      <c r="G1735" t="s">
        <v>794</v>
      </c>
      <c r="H1735" s="12">
        <v>45638</v>
      </c>
      <c r="I1735" t="s">
        <v>689</v>
      </c>
      <c r="J1735" t="s">
        <v>425</v>
      </c>
      <c r="L1735">
        <v>63.3</v>
      </c>
      <c r="P1735" t="s">
        <v>106</v>
      </c>
      <c r="Q1735" t="s">
        <v>106</v>
      </c>
      <c r="R1735" t="s">
        <v>106</v>
      </c>
      <c r="S1735" t="s">
        <v>2723</v>
      </c>
      <c r="T1735" t="s">
        <v>1509</v>
      </c>
      <c r="U1735" t="s">
        <v>106</v>
      </c>
      <c r="V1735" t="s">
        <v>106</v>
      </c>
      <c r="W1735" t="s">
        <v>476</v>
      </c>
      <c r="X1735" t="s">
        <v>106</v>
      </c>
      <c r="Y1735" t="s">
        <v>108</v>
      </c>
      <c r="Z1735" t="s">
        <v>104</v>
      </c>
      <c r="AA1735" t="s">
        <v>106</v>
      </c>
      <c r="AB1735" t="s">
        <v>106</v>
      </c>
    </row>
    <row r="1736" spans="1:28" x14ac:dyDescent="0.3">
      <c r="A1736" t="s">
        <v>1486</v>
      </c>
      <c r="B1736">
        <v>4</v>
      </c>
      <c r="C1736">
        <v>60</v>
      </c>
      <c r="D1736">
        <v>8</v>
      </c>
      <c r="E1736" t="s">
        <v>110</v>
      </c>
      <c r="F1736" s="12">
        <v>45638</v>
      </c>
      <c r="G1736" t="s">
        <v>794</v>
      </c>
      <c r="H1736" s="12">
        <v>45638</v>
      </c>
      <c r="I1736" t="s">
        <v>689</v>
      </c>
      <c r="J1736" t="s">
        <v>425</v>
      </c>
      <c r="L1736">
        <v>63.5</v>
      </c>
      <c r="P1736" t="s">
        <v>106</v>
      </c>
      <c r="Q1736" t="s">
        <v>106</v>
      </c>
      <c r="R1736" t="s">
        <v>106</v>
      </c>
      <c r="S1736" t="s">
        <v>2724</v>
      </c>
      <c r="T1736" t="s">
        <v>1959</v>
      </c>
      <c r="U1736" t="s">
        <v>106</v>
      </c>
      <c r="V1736" t="s">
        <v>106</v>
      </c>
      <c r="W1736" t="s">
        <v>476</v>
      </c>
      <c r="X1736" t="s">
        <v>106</v>
      </c>
      <c r="Y1736" t="s">
        <v>108</v>
      </c>
      <c r="Z1736" t="s">
        <v>104</v>
      </c>
      <c r="AA1736" t="s">
        <v>106</v>
      </c>
      <c r="AB1736" t="s">
        <v>106</v>
      </c>
    </row>
    <row r="1737" spans="1:28" x14ac:dyDescent="0.3">
      <c r="A1737" t="s">
        <v>1486</v>
      </c>
      <c r="B1737">
        <v>1</v>
      </c>
      <c r="C1737">
        <v>0</v>
      </c>
      <c r="D1737">
        <v>52</v>
      </c>
      <c r="E1737" t="s">
        <v>1487</v>
      </c>
      <c r="F1737" s="12">
        <v>45639</v>
      </c>
      <c r="G1737" t="s">
        <v>622</v>
      </c>
      <c r="H1737" s="12">
        <v>45639</v>
      </c>
      <c r="I1737" t="s">
        <v>381</v>
      </c>
      <c r="J1737" t="s">
        <v>550</v>
      </c>
      <c r="L1737">
        <v>0</v>
      </c>
      <c r="M1737">
        <v>0</v>
      </c>
      <c r="P1737" t="s">
        <v>106</v>
      </c>
      <c r="Q1737" t="s">
        <v>106</v>
      </c>
      <c r="R1737" t="s">
        <v>106</v>
      </c>
      <c r="S1737" t="s">
        <v>1488</v>
      </c>
      <c r="T1737" t="s">
        <v>977</v>
      </c>
      <c r="U1737" t="s">
        <v>369</v>
      </c>
      <c r="V1737" t="s">
        <v>106</v>
      </c>
      <c r="W1737" t="s">
        <v>476</v>
      </c>
      <c r="X1737" t="s">
        <v>106</v>
      </c>
      <c r="Y1737" t="s">
        <v>108</v>
      </c>
      <c r="Z1737" t="s">
        <v>105</v>
      </c>
      <c r="AA1737" t="s">
        <v>106</v>
      </c>
      <c r="AB1737" t="s">
        <v>106</v>
      </c>
    </row>
    <row r="1738" spans="1:28" x14ac:dyDescent="0.3">
      <c r="A1738" t="s">
        <v>1486</v>
      </c>
      <c r="B1738">
        <v>2</v>
      </c>
      <c r="C1738">
        <v>15</v>
      </c>
      <c r="D1738">
        <v>48</v>
      </c>
      <c r="E1738" t="s">
        <v>110</v>
      </c>
      <c r="F1738" s="12">
        <v>45639</v>
      </c>
      <c r="G1738" t="s">
        <v>676</v>
      </c>
      <c r="H1738" s="12">
        <v>45639</v>
      </c>
      <c r="I1738" t="s">
        <v>1029</v>
      </c>
      <c r="J1738" t="s">
        <v>550</v>
      </c>
      <c r="L1738">
        <v>16.899999999999999</v>
      </c>
      <c r="M1738">
        <v>17.3</v>
      </c>
      <c r="P1738" t="s">
        <v>106</v>
      </c>
      <c r="Q1738" t="s">
        <v>106</v>
      </c>
      <c r="R1738" t="s">
        <v>106</v>
      </c>
      <c r="S1738" t="s">
        <v>1355</v>
      </c>
      <c r="T1738" t="s">
        <v>977</v>
      </c>
      <c r="U1738" t="s">
        <v>369</v>
      </c>
      <c r="V1738" t="s">
        <v>106</v>
      </c>
      <c r="W1738" t="s">
        <v>476</v>
      </c>
      <c r="X1738" t="s">
        <v>106</v>
      </c>
      <c r="Y1738" t="s">
        <v>108</v>
      </c>
      <c r="Z1738" t="s">
        <v>109</v>
      </c>
      <c r="AA1738" t="s">
        <v>106</v>
      </c>
      <c r="AB1738" t="s">
        <v>106</v>
      </c>
    </row>
    <row r="1739" spans="1:28" x14ac:dyDescent="0.3">
      <c r="A1739" t="s">
        <v>1486</v>
      </c>
      <c r="B1739">
        <v>2</v>
      </c>
      <c r="C1739">
        <v>15</v>
      </c>
      <c r="D1739">
        <v>47</v>
      </c>
      <c r="E1739" t="s">
        <v>110</v>
      </c>
      <c r="F1739" s="12">
        <v>45639</v>
      </c>
      <c r="G1739" t="s">
        <v>676</v>
      </c>
      <c r="H1739" s="12">
        <v>45639</v>
      </c>
      <c r="I1739" t="s">
        <v>1029</v>
      </c>
      <c r="J1739" t="s">
        <v>550</v>
      </c>
      <c r="L1739">
        <v>16.2</v>
      </c>
      <c r="M1739">
        <v>16.3</v>
      </c>
      <c r="P1739" t="s">
        <v>106</v>
      </c>
      <c r="Q1739" t="s">
        <v>106</v>
      </c>
      <c r="R1739" t="s">
        <v>106</v>
      </c>
      <c r="S1739" t="s">
        <v>1656</v>
      </c>
      <c r="T1739" t="s">
        <v>1951</v>
      </c>
      <c r="U1739" t="s">
        <v>145</v>
      </c>
      <c r="V1739" t="s">
        <v>106</v>
      </c>
      <c r="W1739" t="s">
        <v>476</v>
      </c>
      <c r="X1739" t="s">
        <v>106</v>
      </c>
      <c r="Y1739" t="s">
        <v>108</v>
      </c>
      <c r="Z1739" t="s">
        <v>109</v>
      </c>
      <c r="AA1739" t="s">
        <v>106</v>
      </c>
      <c r="AB1739" t="s">
        <v>106</v>
      </c>
    </row>
    <row r="1740" spans="1:28" x14ac:dyDescent="0.3">
      <c r="A1740" t="s">
        <v>1486</v>
      </c>
      <c r="B1740">
        <v>2</v>
      </c>
      <c r="C1740">
        <v>15</v>
      </c>
      <c r="D1740">
        <v>46</v>
      </c>
      <c r="E1740" t="s">
        <v>110</v>
      </c>
      <c r="F1740" s="12">
        <v>45639</v>
      </c>
      <c r="G1740" t="s">
        <v>676</v>
      </c>
      <c r="H1740" s="12">
        <v>45639</v>
      </c>
      <c r="I1740" t="s">
        <v>1029</v>
      </c>
      <c r="J1740" t="s">
        <v>550</v>
      </c>
      <c r="L1740">
        <v>16.5</v>
      </c>
      <c r="M1740">
        <v>16.600000000000001</v>
      </c>
      <c r="P1740" t="s">
        <v>106</v>
      </c>
      <c r="Q1740" t="s">
        <v>106</v>
      </c>
      <c r="R1740" t="s">
        <v>106</v>
      </c>
      <c r="S1740" t="s">
        <v>2109</v>
      </c>
      <c r="T1740" t="s">
        <v>1864</v>
      </c>
      <c r="U1740" t="s">
        <v>825</v>
      </c>
      <c r="V1740" t="s">
        <v>106</v>
      </c>
      <c r="W1740" t="s">
        <v>476</v>
      </c>
      <c r="X1740" t="s">
        <v>106</v>
      </c>
      <c r="Y1740" t="s">
        <v>108</v>
      </c>
      <c r="Z1740" t="s">
        <v>109</v>
      </c>
      <c r="AA1740" t="s">
        <v>106</v>
      </c>
      <c r="AB1740" t="s">
        <v>2110</v>
      </c>
    </row>
    <row r="1741" spans="1:28" x14ac:dyDescent="0.3">
      <c r="A1741" t="s">
        <v>1486</v>
      </c>
      <c r="B1741">
        <v>3</v>
      </c>
      <c r="C1741">
        <v>35</v>
      </c>
      <c r="D1741">
        <v>30</v>
      </c>
      <c r="E1741" t="s">
        <v>110</v>
      </c>
      <c r="F1741" s="12">
        <v>45639</v>
      </c>
      <c r="G1741" t="s">
        <v>142</v>
      </c>
      <c r="H1741" s="12">
        <v>45639</v>
      </c>
      <c r="I1741" t="s">
        <v>1029</v>
      </c>
      <c r="J1741" t="s">
        <v>550</v>
      </c>
      <c r="L1741">
        <v>39.6</v>
      </c>
      <c r="M1741">
        <v>39.9</v>
      </c>
      <c r="P1741" t="s">
        <v>106</v>
      </c>
      <c r="Q1741" t="s">
        <v>106</v>
      </c>
      <c r="R1741" t="s">
        <v>106</v>
      </c>
      <c r="S1741" t="s">
        <v>2510</v>
      </c>
      <c r="T1741" t="s">
        <v>1791</v>
      </c>
      <c r="U1741" t="s">
        <v>1591</v>
      </c>
      <c r="V1741" t="s">
        <v>106</v>
      </c>
      <c r="W1741" t="s">
        <v>476</v>
      </c>
      <c r="X1741" t="s">
        <v>106</v>
      </c>
      <c r="Y1741" t="s">
        <v>108</v>
      </c>
      <c r="Z1741" t="s">
        <v>108</v>
      </c>
      <c r="AA1741" t="s">
        <v>106</v>
      </c>
      <c r="AB1741" t="s">
        <v>2511</v>
      </c>
    </row>
    <row r="1742" spans="1:28" x14ac:dyDescent="0.3">
      <c r="A1742" t="s">
        <v>1486</v>
      </c>
      <c r="B1742">
        <v>3</v>
      </c>
      <c r="C1742">
        <v>35</v>
      </c>
      <c r="D1742">
        <v>38</v>
      </c>
      <c r="E1742" t="s">
        <v>605</v>
      </c>
      <c r="F1742" s="12">
        <v>45639</v>
      </c>
      <c r="G1742" t="s">
        <v>2103</v>
      </c>
      <c r="H1742" s="12">
        <v>45639</v>
      </c>
      <c r="I1742" t="s">
        <v>1029</v>
      </c>
      <c r="J1742" t="s">
        <v>550</v>
      </c>
      <c r="L1742">
        <v>33.6</v>
      </c>
      <c r="M1742">
        <v>33.6</v>
      </c>
      <c r="P1742" t="s">
        <v>106</v>
      </c>
      <c r="Q1742" t="s">
        <v>106</v>
      </c>
      <c r="R1742" t="s">
        <v>106</v>
      </c>
      <c r="S1742" t="s">
        <v>106</v>
      </c>
      <c r="T1742" t="s">
        <v>1840</v>
      </c>
      <c r="U1742" t="s">
        <v>106</v>
      </c>
      <c r="V1742" t="s">
        <v>106</v>
      </c>
      <c r="W1742" t="s">
        <v>476</v>
      </c>
      <c r="X1742" t="s">
        <v>106</v>
      </c>
      <c r="Y1742" t="s">
        <v>108</v>
      </c>
      <c r="Z1742" t="s">
        <v>108</v>
      </c>
      <c r="AA1742" t="s">
        <v>106</v>
      </c>
      <c r="AB1742" t="s">
        <v>2512</v>
      </c>
    </row>
    <row r="1743" spans="1:28" x14ac:dyDescent="0.3">
      <c r="A1743" t="s">
        <v>1486</v>
      </c>
      <c r="B1743">
        <v>3</v>
      </c>
      <c r="C1743">
        <v>35</v>
      </c>
      <c r="D1743">
        <v>43</v>
      </c>
      <c r="E1743" t="s">
        <v>110</v>
      </c>
      <c r="F1743" s="12">
        <v>45639</v>
      </c>
      <c r="G1743" t="s">
        <v>789</v>
      </c>
      <c r="H1743" s="12">
        <v>45639</v>
      </c>
      <c r="I1743" t="s">
        <v>1029</v>
      </c>
      <c r="J1743" t="s">
        <v>550</v>
      </c>
      <c r="L1743">
        <v>36.799999999999997</v>
      </c>
      <c r="M1743">
        <v>36.9</v>
      </c>
      <c r="P1743" t="s">
        <v>106</v>
      </c>
      <c r="Q1743" t="s">
        <v>106</v>
      </c>
      <c r="R1743" t="s">
        <v>106</v>
      </c>
      <c r="S1743" t="s">
        <v>1196</v>
      </c>
      <c r="T1743" t="s">
        <v>1839</v>
      </c>
      <c r="U1743" t="s">
        <v>825</v>
      </c>
      <c r="V1743" t="s">
        <v>106</v>
      </c>
      <c r="W1743" t="s">
        <v>476</v>
      </c>
      <c r="X1743" t="s">
        <v>106</v>
      </c>
      <c r="Y1743" t="s">
        <v>108</v>
      </c>
      <c r="Z1743" t="s">
        <v>108</v>
      </c>
      <c r="AA1743" t="s">
        <v>106</v>
      </c>
      <c r="AB1743" t="s">
        <v>106</v>
      </c>
    </row>
    <row r="1744" spans="1:28" x14ac:dyDescent="0.3">
      <c r="A1744" t="s">
        <v>1486</v>
      </c>
      <c r="B1744">
        <v>3</v>
      </c>
      <c r="C1744">
        <v>35</v>
      </c>
      <c r="D1744">
        <v>42</v>
      </c>
      <c r="E1744" t="s">
        <v>308</v>
      </c>
      <c r="F1744" s="12">
        <v>45639</v>
      </c>
      <c r="G1744" t="s">
        <v>392</v>
      </c>
      <c r="H1744" s="12">
        <v>45639</v>
      </c>
      <c r="I1744" t="s">
        <v>1029</v>
      </c>
      <c r="J1744" t="s">
        <v>550</v>
      </c>
      <c r="L1744">
        <v>35.9</v>
      </c>
      <c r="M1744">
        <v>36.700000000000003</v>
      </c>
      <c r="P1744" t="s">
        <v>106</v>
      </c>
      <c r="Q1744" t="s">
        <v>106</v>
      </c>
      <c r="R1744" t="s">
        <v>106</v>
      </c>
      <c r="S1744" t="s">
        <v>106</v>
      </c>
      <c r="T1744" t="s">
        <v>1022</v>
      </c>
      <c r="U1744" t="s">
        <v>106</v>
      </c>
      <c r="V1744" t="s">
        <v>106</v>
      </c>
      <c r="W1744" t="s">
        <v>476</v>
      </c>
      <c r="X1744" t="s">
        <v>106</v>
      </c>
      <c r="Y1744" t="s">
        <v>108</v>
      </c>
      <c r="Z1744" t="s">
        <v>108</v>
      </c>
      <c r="AA1744" t="s">
        <v>106</v>
      </c>
      <c r="AB1744" t="s">
        <v>2513</v>
      </c>
    </row>
    <row r="1745" spans="1:28" x14ac:dyDescent="0.3">
      <c r="A1745" t="s">
        <v>1486</v>
      </c>
      <c r="B1745">
        <v>3</v>
      </c>
      <c r="C1745">
        <v>35</v>
      </c>
      <c r="D1745">
        <v>41</v>
      </c>
      <c r="E1745" t="s">
        <v>308</v>
      </c>
      <c r="F1745" s="12">
        <v>45639</v>
      </c>
      <c r="G1745" t="s">
        <v>386</v>
      </c>
      <c r="H1745" s="12">
        <v>45639</v>
      </c>
      <c r="I1745" t="s">
        <v>1029</v>
      </c>
      <c r="J1745" t="s">
        <v>550</v>
      </c>
      <c r="L1745">
        <v>35.9</v>
      </c>
      <c r="M1745">
        <v>36.200000000000003</v>
      </c>
      <c r="P1745" t="s">
        <v>106</v>
      </c>
      <c r="Q1745" t="s">
        <v>106</v>
      </c>
      <c r="R1745" t="s">
        <v>106</v>
      </c>
      <c r="S1745" t="s">
        <v>106</v>
      </c>
      <c r="T1745" t="s">
        <v>2514</v>
      </c>
      <c r="U1745" t="s">
        <v>106</v>
      </c>
      <c r="V1745" t="s">
        <v>106</v>
      </c>
      <c r="W1745" t="s">
        <v>476</v>
      </c>
      <c r="X1745" t="s">
        <v>106</v>
      </c>
      <c r="Y1745" t="s">
        <v>108</v>
      </c>
      <c r="Z1745" t="s">
        <v>108</v>
      </c>
      <c r="AA1745" t="s">
        <v>106</v>
      </c>
      <c r="AB1745" t="s">
        <v>2513</v>
      </c>
    </row>
    <row r="1746" spans="1:28" x14ac:dyDescent="0.3">
      <c r="A1746" t="s">
        <v>1486</v>
      </c>
      <c r="B1746">
        <v>3</v>
      </c>
      <c r="C1746">
        <v>35</v>
      </c>
      <c r="D1746">
        <v>40</v>
      </c>
      <c r="E1746" t="s">
        <v>605</v>
      </c>
      <c r="F1746" s="12">
        <v>45639</v>
      </c>
      <c r="G1746" t="s">
        <v>314</v>
      </c>
      <c r="H1746" s="12">
        <v>45639</v>
      </c>
      <c r="I1746" t="s">
        <v>1029</v>
      </c>
      <c r="J1746" t="s">
        <v>550</v>
      </c>
      <c r="L1746">
        <v>33.6</v>
      </c>
      <c r="M1746">
        <v>33.6</v>
      </c>
      <c r="P1746" t="s">
        <v>106</v>
      </c>
      <c r="Q1746" t="s">
        <v>106</v>
      </c>
      <c r="R1746" t="s">
        <v>106</v>
      </c>
      <c r="S1746" t="s">
        <v>106</v>
      </c>
      <c r="T1746" t="s">
        <v>722</v>
      </c>
      <c r="U1746" t="s">
        <v>106</v>
      </c>
      <c r="V1746" t="s">
        <v>106</v>
      </c>
      <c r="W1746" t="s">
        <v>476</v>
      </c>
      <c r="X1746" t="s">
        <v>106</v>
      </c>
      <c r="Y1746" t="s">
        <v>108</v>
      </c>
      <c r="Z1746" t="s">
        <v>108</v>
      </c>
      <c r="AA1746" t="s">
        <v>106</v>
      </c>
      <c r="AB1746" t="s">
        <v>2512</v>
      </c>
    </row>
    <row r="1747" spans="1:28" x14ac:dyDescent="0.3">
      <c r="A1747" t="s">
        <v>1486</v>
      </c>
      <c r="B1747">
        <v>3</v>
      </c>
      <c r="C1747">
        <v>35</v>
      </c>
      <c r="D1747">
        <v>37</v>
      </c>
      <c r="E1747" t="s">
        <v>596</v>
      </c>
      <c r="F1747" s="12">
        <v>45639</v>
      </c>
      <c r="G1747" t="s">
        <v>2103</v>
      </c>
      <c r="H1747" s="12">
        <v>45639</v>
      </c>
      <c r="I1747" t="s">
        <v>1029</v>
      </c>
      <c r="J1747" t="s">
        <v>550</v>
      </c>
      <c r="L1747">
        <v>22</v>
      </c>
      <c r="M1747">
        <v>22</v>
      </c>
      <c r="P1747" t="s">
        <v>106</v>
      </c>
      <c r="Q1747" t="s">
        <v>106</v>
      </c>
      <c r="R1747" t="s">
        <v>106</v>
      </c>
      <c r="S1747" t="s">
        <v>106</v>
      </c>
      <c r="T1747" t="s">
        <v>2095</v>
      </c>
      <c r="U1747" t="s">
        <v>106</v>
      </c>
      <c r="V1747" t="s">
        <v>106</v>
      </c>
      <c r="W1747" t="s">
        <v>476</v>
      </c>
      <c r="X1747" t="s">
        <v>106</v>
      </c>
      <c r="Y1747" t="s">
        <v>108</v>
      </c>
      <c r="Z1747" t="s">
        <v>108</v>
      </c>
      <c r="AA1747" t="s">
        <v>106</v>
      </c>
      <c r="AB1747" t="s">
        <v>2515</v>
      </c>
    </row>
    <row r="1748" spans="1:28" x14ac:dyDescent="0.3">
      <c r="A1748" t="s">
        <v>1486</v>
      </c>
      <c r="B1748">
        <v>3</v>
      </c>
      <c r="C1748">
        <v>35</v>
      </c>
      <c r="D1748">
        <v>44</v>
      </c>
      <c r="E1748" t="s">
        <v>110</v>
      </c>
      <c r="F1748" s="12">
        <v>45639</v>
      </c>
      <c r="G1748" t="s">
        <v>789</v>
      </c>
      <c r="H1748" s="12">
        <v>45639</v>
      </c>
      <c r="I1748" t="s">
        <v>1029</v>
      </c>
      <c r="J1748" t="s">
        <v>550</v>
      </c>
      <c r="L1748">
        <v>38.6</v>
      </c>
      <c r="M1748">
        <v>38.799999999999997</v>
      </c>
      <c r="P1748" t="s">
        <v>106</v>
      </c>
      <c r="Q1748" t="s">
        <v>106</v>
      </c>
      <c r="R1748" t="s">
        <v>106</v>
      </c>
      <c r="S1748" t="s">
        <v>2388</v>
      </c>
      <c r="T1748" t="s">
        <v>1804</v>
      </c>
      <c r="U1748" t="s">
        <v>369</v>
      </c>
      <c r="V1748" t="s">
        <v>106</v>
      </c>
      <c r="W1748" t="s">
        <v>476</v>
      </c>
      <c r="X1748" t="s">
        <v>106</v>
      </c>
      <c r="Y1748" t="s">
        <v>108</v>
      </c>
      <c r="Z1748" t="s">
        <v>108</v>
      </c>
      <c r="AA1748" t="s">
        <v>106</v>
      </c>
      <c r="AB1748" t="s">
        <v>106</v>
      </c>
    </row>
    <row r="1749" spans="1:28" x14ac:dyDescent="0.3">
      <c r="A1749" t="s">
        <v>1486</v>
      </c>
      <c r="B1749">
        <v>3</v>
      </c>
      <c r="C1749">
        <v>35</v>
      </c>
      <c r="D1749">
        <v>39</v>
      </c>
      <c r="E1749" t="s">
        <v>605</v>
      </c>
      <c r="F1749" s="12">
        <v>45639</v>
      </c>
      <c r="G1749" t="s">
        <v>314</v>
      </c>
      <c r="H1749" s="12">
        <v>45639</v>
      </c>
      <c r="I1749" t="s">
        <v>1029</v>
      </c>
      <c r="J1749" t="s">
        <v>550</v>
      </c>
      <c r="L1749">
        <v>35.4</v>
      </c>
      <c r="M1749">
        <v>35.4</v>
      </c>
      <c r="P1749" t="s">
        <v>106</v>
      </c>
      <c r="Q1749" t="s">
        <v>106</v>
      </c>
      <c r="R1749" t="s">
        <v>106</v>
      </c>
      <c r="S1749" t="s">
        <v>106</v>
      </c>
      <c r="T1749" t="s">
        <v>722</v>
      </c>
      <c r="U1749" t="s">
        <v>106</v>
      </c>
      <c r="V1749" t="s">
        <v>106</v>
      </c>
      <c r="W1749" t="s">
        <v>476</v>
      </c>
      <c r="X1749" t="s">
        <v>106</v>
      </c>
      <c r="Y1749" t="s">
        <v>108</v>
      </c>
      <c r="Z1749" t="s">
        <v>108</v>
      </c>
      <c r="AA1749" t="s">
        <v>106</v>
      </c>
      <c r="AB1749" t="s">
        <v>2512</v>
      </c>
    </row>
    <row r="1750" spans="1:28" x14ac:dyDescent="0.3">
      <c r="A1750" t="s">
        <v>1486</v>
      </c>
      <c r="B1750">
        <v>3</v>
      </c>
      <c r="C1750">
        <v>35</v>
      </c>
      <c r="D1750">
        <v>36</v>
      </c>
      <c r="E1750" t="s">
        <v>596</v>
      </c>
      <c r="F1750" s="12">
        <v>45639</v>
      </c>
      <c r="G1750" t="s">
        <v>2516</v>
      </c>
      <c r="H1750" s="12">
        <v>45639</v>
      </c>
      <c r="I1750" t="s">
        <v>1029</v>
      </c>
      <c r="J1750" t="s">
        <v>550</v>
      </c>
      <c r="L1750">
        <v>22.9</v>
      </c>
      <c r="M1750">
        <v>22.6</v>
      </c>
      <c r="P1750" t="s">
        <v>106</v>
      </c>
      <c r="Q1750" t="s">
        <v>106</v>
      </c>
      <c r="R1750" t="s">
        <v>106</v>
      </c>
      <c r="S1750" t="s">
        <v>106</v>
      </c>
      <c r="T1750" t="s">
        <v>1839</v>
      </c>
      <c r="U1750" t="s">
        <v>106</v>
      </c>
      <c r="V1750" t="s">
        <v>106</v>
      </c>
      <c r="W1750" t="s">
        <v>476</v>
      </c>
      <c r="X1750" t="s">
        <v>106</v>
      </c>
      <c r="Y1750" t="s">
        <v>108</v>
      </c>
      <c r="Z1750" t="s">
        <v>108</v>
      </c>
      <c r="AA1750" t="s">
        <v>106</v>
      </c>
      <c r="AB1750" t="s">
        <v>2515</v>
      </c>
    </row>
    <row r="1751" spans="1:28" x14ac:dyDescent="0.3">
      <c r="A1751" t="s">
        <v>1486</v>
      </c>
      <c r="B1751">
        <v>3</v>
      </c>
      <c r="C1751">
        <v>35</v>
      </c>
      <c r="D1751">
        <v>31</v>
      </c>
      <c r="E1751" t="s">
        <v>110</v>
      </c>
      <c r="F1751" s="12">
        <v>45639</v>
      </c>
      <c r="G1751" t="s">
        <v>142</v>
      </c>
      <c r="H1751" s="12">
        <v>45639</v>
      </c>
      <c r="I1751" t="s">
        <v>1029</v>
      </c>
      <c r="J1751" t="s">
        <v>550</v>
      </c>
      <c r="L1751">
        <v>40.1</v>
      </c>
      <c r="M1751">
        <v>40.1</v>
      </c>
      <c r="P1751" t="s">
        <v>106</v>
      </c>
      <c r="Q1751" t="s">
        <v>106</v>
      </c>
      <c r="R1751" t="s">
        <v>106</v>
      </c>
      <c r="S1751" t="s">
        <v>1320</v>
      </c>
      <c r="T1751" t="s">
        <v>760</v>
      </c>
      <c r="U1751" t="s">
        <v>1410</v>
      </c>
      <c r="V1751" t="s">
        <v>106</v>
      </c>
      <c r="W1751" t="s">
        <v>476</v>
      </c>
      <c r="X1751" t="s">
        <v>106</v>
      </c>
      <c r="Y1751" t="s">
        <v>108</v>
      </c>
      <c r="Z1751" t="s">
        <v>108</v>
      </c>
      <c r="AA1751" t="s">
        <v>106</v>
      </c>
      <c r="AB1751" t="s">
        <v>2517</v>
      </c>
    </row>
    <row r="1752" spans="1:28" x14ac:dyDescent="0.3">
      <c r="A1752" t="s">
        <v>1486</v>
      </c>
      <c r="B1752">
        <v>3</v>
      </c>
      <c r="C1752">
        <v>35</v>
      </c>
      <c r="D1752">
        <v>35</v>
      </c>
      <c r="E1752" t="s">
        <v>311</v>
      </c>
      <c r="F1752" s="12">
        <v>45639</v>
      </c>
      <c r="G1752" t="s">
        <v>2086</v>
      </c>
      <c r="H1752" s="12">
        <v>45639</v>
      </c>
      <c r="I1752" t="s">
        <v>1029</v>
      </c>
      <c r="J1752" t="s">
        <v>550</v>
      </c>
      <c r="L1752">
        <v>30.1</v>
      </c>
      <c r="M1752">
        <v>31.1</v>
      </c>
      <c r="P1752" t="s">
        <v>106</v>
      </c>
      <c r="Q1752" t="s">
        <v>106</v>
      </c>
      <c r="R1752" t="s">
        <v>106</v>
      </c>
      <c r="S1752" t="s">
        <v>106</v>
      </c>
      <c r="T1752" t="s">
        <v>1074</v>
      </c>
      <c r="U1752" t="s">
        <v>106</v>
      </c>
      <c r="V1752" t="s">
        <v>106</v>
      </c>
      <c r="W1752" t="s">
        <v>476</v>
      </c>
      <c r="X1752" t="s">
        <v>106</v>
      </c>
      <c r="Y1752" t="s">
        <v>108</v>
      </c>
      <c r="Z1752" t="s">
        <v>108</v>
      </c>
      <c r="AA1752" t="s">
        <v>106</v>
      </c>
      <c r="AB1752" t="s">
        <v>2515</v>
      </c>
    </row>
    <row r="1753" spans="1:28" x14ac:dyDescent="0.3">
      <c r="A1753" t="s">
        <v>1486</v>
      </c>
      <c r="B1753">
        <v>3</v>
      </c>
      <c r="C1753">
        <v>35</v>
      </c>
      <c r="D1753">
        <v>28</v>
      </c>
      <c r="E1753" t="s">
        <v>110</v>
      </c>
      <c r="F1753" s="12">
        <v>45639</v>
      </c>
      <c r="G1753" t="s">
        <v>390</v>
      </c>
      <c r="H1753" s="12">
        <v>45639</v>
      </c>
      <c r="I1753" t="s">
        <v>1029</v>
      </c>
      <c r="J1753" t="s">
        <v>550</v>
      </c>
      <c r="L1753">
        <v>39.200000000000003</v>
      </c>
      <c r="M1753">
        <v>39.299999999999997</v>
      </c>
      <c r="P1753" t="s">
        <v>106</v>
      </c>
      <c r="Q1753" t="s">
        <v>106</v>
      </c>
      <c r="R1753" t="s">
        <v>106</v>
      </c>
      <c r="S1753" t="s">
        <v>2130</v>
      </c>
      <c r="T1753" t="s">
        <v>1947</v>
      </c>
      <c r="U1753" t="s">
        <v>1410</v>
      </c>
      <c r="V1753" t="s">
        <v>106</v>
      </c>
      <c r="W1753" t="s">
        <v>476</v>
      </c>
      <c r="X1753" t="s">
        <v>106</v>
      </c>
      <c r="Y1753" t="s">
        <v>108</v>
      </c>
      <c r="Z1753" t="s">
        <v>108</v>
      </c>
      <c r="AA1753" t="s">
        <v>106</v>
      </c>
      <c r="AB1753" t="s">
        <v>2518</v>
      </c>
    </row>
    <row r="1754" spans="1:28" x14ac:dyDescent="0.3">
      <c r="A1754" t="s">
        <v>1486</v>
      </c>
      <c r="B1754">
        <v>3</v>
      </c>
      <c r="C1754">
        <v>35</v>
      </c>
      <c r="D1754">
        <v>34</v>
      </c>
      <c r="E1754" t="s">
        <v>311</v>
      </c>
      <c r="F1754" s="12">
        <v>45639</v>
      </c>
      <c r="G1754" t="s">
        <v>740</v>
      </c>
      <c r="H1754" s="12">
        <v>45639</v>
      </c>
      <c r="I1754" t="s">
        <v>1029</v>
      </c>
      <c r="J1754" t="s">
        <v>550</v>
      </c>
      <c r="L1754">
        <v>30.1</v>
      </c>
      <c r="M1754">
        <v>31.1</v>
      </c>
      <c r="P1754" t="s">
        <v>106</v>
      </c>
      <c r="Q1754" t="s">
        <v>106</v>
      </c>
      <c r="R1754" t="s">
        <v>106</v>
      </c>
      <c r="S1754" t="s">
        <v>106</v>
      </c>
      <c r="T1754" t="s">
        <v>1074</v>
      </c>
      <c r="U1754" t="s">
        <v>106</v>
      </c>
      <c r="V1754" t="s">
        <v>106</v>
      </c>
      <c r="W1754" t="s">
        <v>476</v>
      </c>
      <c r="X1754" t="s">
        <v>106</v>
      </c>
      <c r="Y1754" t="s">
        <v>108</v>
      </c>
      <c r="Z1754" t="s">
        <v>108</v>
      </c>
      <c r="AA1754" t="s">
        <v>106</v>
      </c>
      <c r="AB1754" t="s">
        <v>2519</v>
      </c>
    </row>
    <row r="1755" spans="1:28" x14ac:dyDescent="0.3">
      <c r="A1755" t="s">
        <v>1486</v>
      </c>
      <c r="B1755">
        <v>3</v>
      </c>
      <c r="C1755">
        <v>35</v>
      </c>
      <c r="D1755">
        <v>33</v>
      </c>
      <c r="E1755" t="s">
        <v>311</v>
      </c>
      <c r="F1755" s="12">
        <v>45639</v>
      </c>
      <c r="G1755" t="s">
        <v>313</v>
      </c>
      <c r="H1755" s="12">
        <v>45639</v>
      </c>
      <c r="I1755" t="s">
        <v>1029</v>
      </c>
      <c r="J1755" t="s">
        <v>550</v>
      </c>
      <c r="L1755">
        <v>30.8</v>
      </c>
      <c r="M1755">
        <v>30.8</v>
      </c>
      <c r="P1755" t="s">
        <v>106</v>
      </c>
      <c r="Q1755" t="s">
        <v>106</v>
      </c>
      <c r="R1755" t="s">
        <v>106</v>
      </c>
      <c r="S1755" t="s">
        <v>106</v>
      </c>
      <c r="T1755" t="s">
        <v>1839</v>
      </c>
      <c r="U1755" t="s">
        <v>2106</v>
      </c>
      <c r="V1755" t="s">
        <v>106</v>
      </c>
      <c r="W1755" t="s">
        <v>476</v>
      </c>
      <c r="X1755" t="s">
        <v>106</v>
      </c>
      <c r="Y1755" t="s">
        <v>108</v>
      </c>
      <c r="Z1755" t="s">
        <v>108</v>
      </c>
      <c r="AA1755" t="s">
        <v>106</v>
      </c>
      <c r="AB1755" t="s">
        <v>106</v>
      </c>
    </row>
    <row r="1756" spans="1:28" x14ac:dyDescent="0.3">
      <c r="A1756" t="s">
        <v>1486</v>
      </c>
      <c r="B1756">
        <v>3</v>
      </c>
      <c r="C1756">
        <v>35</v>
      </c>
      <c r="D1756">
        <v>29</v>
      </c>
      <c r="E1756" t="s">
        <v>110</v>
      </c>
      <c r="F1756" s="12">
        <v>45639</v>
      </c>
      <c r="G1756" t="s">
        <v>422</v>
      </c>
      <c r="H1756" s="12">
        <v>45639</v>
      </c>
      <c r="I1756" t="s">
        <v>1029</v>
      </c>
      <c r="J1756" t="s">
        <v>550</v>
      </c>
      <c r="L1756">
        <v>38.700000000000003</v>
      </c>
      <c r="M1756">
        <v>38.700000000000003</v>
      </c>
      <c r="P1756" t="s">
        <v>106</v>
      </c>
      <c r="Q1756" t="s">
        <v>106</v>
      </c>
      <c r="R1756" t="s">
        <v>106</v>
      </c>
      <c r="S1756" t="s">
        <v>2243</v>
      </c>
      <c r="T1756" t="s">
        <v>1793</v>
      </c>
      <c r="U1756" t="s">
        <v>1780</v>
      </c>
      <c r="V1756" t="s">
        <v>106</v>
      </c>
      <c r="W1756" t="s">
        <v>476</v>
      </c>
      <c r="X1756" t="s">
        <v>106</v>
      </c>
      <c r="Y1756" t="s">
        <v>108</v>
      </c>
      <c r="Z1756" t="s">
        <v>108</v>
      </c>
      <c r="AA1756" t="s">
        <v>106</v>
      </c>
      <c r="AB1756" t="s">
        <v>2520</v>
      </c>
    </row>
    <row r="1757" spans="1:28" x14ac:dyDescent="0.3">
      <c r="A1757" t="s">
        <v>1486</v>
      </c>
      <c r="B1757">
        <v>3</v>
      </c>
      <c r="C1757">
        <v>35</v>
      </c>
      <c r="D1757">
        <v>32</v>
      </c>
      <c r="E1757" t="s">
        <v>110</v>
      </c>
      <c r="F1757" s="12">
        <v>45639</v>
      </c>
      <c r="G1757" t="s">
        <v>1071</v>
      </c>
      <c r="H1757" s="12">
        <v>45639</v>
      </c>
      <c r="I1757" t="s">
        <v>1029</v>
      </c>
      <c r="J1757" t="s">
        <v>550</v>
      </c>
      <c r="L1757">
        <v>40.799999999999997</v>
      </c>
      <c r="M1757">
        <v>41.1</v>
      </c>
      <c r="P1757" t="s">
        <v>106</v>
      </c>
      <c r="Q1757" t="s">
        <v>106</v>
      </c>
      <c r="R1757" t="s">
        <v>106</v>
      </c>
      <c r="S1757" t="s">
        <v>1506</v>
      </c>
      <c r="T1757" t="s">
        <v>1935</v>
      </c>
      <c r="U1757" t="s">
        <v>708</v>
      </c>
      <c r="V1757" t="s">
        <v>106</v>
      </c>
      <c r="W1757" t="s">
        <v>476</v>
      </c>
      <c r="X1757" t="s">
        <v>106</v>
      </c>
      <c r="Y1757" t="s">
        <v>108</v>
      </c>
      <c r="Z1757" t="s">
        <v>108</v>
      </c>
      <c r="AA1757" t="s">
        <v>106</v>
      </c>
      <c r="AB1757" t="s">
        <v>2521</v>
      </c>
    </row>
    <row r="1758" spans="1:28" x14ac:dyDescent="0.3">
      <c r="A1758" t="s">
        <v>1486</v>
      </c>
      <c r="B1758">
        <v>3</v>
      </c>
      <c r="C1758">
        <v>35</v>
      </c>
      <c r="D1758">
        <v>45</v>
      </c>
      <c r="E1758" t="s">
        <v>110</v>
      </c>
      <c r="F1758" s="12">
        <v>45639</v>
      </c>
      <c r="G1758" t="s">
        <v>139</v>
      </c>
      <c r="H1758" s="12">
        <v>45639</v>
      </c>
      <c r="I1758" t="s">
        <v>1029</v>
      </c>
      <c r="J1758" t="s">
        <v>550</v>
      </c>
      <c r="L1758">
        <v>36.700000000000003</v>
      </c>
      <c r="M1758">
        <v>37.200000000000003</v>
      </c>
      <c r="P1758" t="s">
        <v>106</v>
      </c>
      <c r="Q1758" t="s">
        <v>106</v>
      </c>
      <c r="R1758" t="s">
        <v>106</v>
      </c>
      <c r="S1758" t="s">
        <v>1783</v>
      </c>
      <c r="T1758" t="s">
        <v>1478</v>
      </c>
      <c r="U1758" t="s">
        <v>825</v>
      </c>
      <c r="V1758" t="s">
        <v>106</v>
      </c>
      <c r="W1758" t="s">
        <v>476</v>
      </c>
      <c r="X1758" t="s">
        <v>106</v>
      </c>
      <c r="Y1758" t="s">
        <v>108</v>
      </c>
      <c r="Z1758" t="s">
        <v>108</v>
      </c>
      <c r="AA1758" t="s">
        <v>106</v>
      </c>
      <c r="AB1758" t="s">
        <v>106</v>
      </c>
    </row>
    <row r="1759" spans="1:28" x14ac:dyDescent="0.3">
      <c r="A1759" t="s">
        <v>1486</v>
      </c>
      <c r="B1759">
        <v>4</v>
      </c>
      <c r="C1759">
        <v>60</v>
      </c>
      <c r="D1759">
        <v>49</v>
      </c>
      <c r="E1759" t="s">
        <v>110</v>
      </c>
      <c r="F1759" s="12">
        <v>45639</v>
      </c>
      <c r="G1759" t="s">
        <v>675</v>
      </c>
      <c r="H1759" s="12">
        <v>45639</v>
      </c>
      <c r="I1759" t="s">
        <v>381</v>
      </c>
      <c r="J1759" t="s">
        <v>550</v>
      </c>
      <c r="L1759">
        <v>64</v>
      </c>
      <c r="M1759">
        <v>64.2</v>
      </c>
      <c r="P1759" t="s">
        <v>106</v>
      </c>
      <c r="Q1759" t="s">
        <v>106</v>
      </c>
      <c r="R1759" t="s">
        <v>106</v>
      </c>
      <c r="S1759" t="s">
        <v>1717</v>
      </c>
      <c r="T1759" t="s">
        <v>2063</v>
      </c>
      <c r="U1759" t="s">
        <v>630</v>
      </c>
      <c r="V1759" t="s">
        <v>106</v>
      </c>
      <c r="W1759" t="s">
        <v>476</v>
      </c>
      <c r="X1759" t="s">
        <v>106</v>
      </c>
      <c r="Y1759" t="s">
        <v>108</v>
      </c>
      <c r="Z1759" t="s">
        <v>104</v>
      </c>
      <c r="AA1759" t="s">
        <v>106</v>
      </c>
      <c r="AB1759" t="s">
        <v>2110</v>
      </c>
    </row>
    <row r="1760" spans="1:28" x14ac:dyDescent="0.3">
      <c r="A1760" t="s">
        <v>1486</v>
      </c>
      <c r="B1760">
        <v>4</v>
      </c>
      <c r="C1760">
        <v>60</v>
      </c>
      <c r="D1760">
        <v>50</v>
      </c>
      <c r="E1760" t="s">
        <v>110</v>
      </c>
      <c r="F1760" s="12">
        <v>45639</v>
      </c>
      <c r="G1760" t="s">
        <v>823</v>
      </c>
      <c r="H1760" s="12">
        <v>45639</v>
      </c>
      <c r="I1760" t="s">
        <v>381</v>
      </c>
      <c r="J1760" t="s">
        <v>550</v>
      </c>
      <c r="L1760">
        <v>64.8</v>
      </c>
      <c r="M1760">
        <v>65.099999999999994</v>
      </c>
      <c r="P1760" t="s">
        <v>106</v>
      </c>
      <c r="Q1760" t="s">
        <v>106</v>
      </c>
      <c r="R1760" t="s">
        <v>106</v>
      </c>
      <c r="S1760" t="s">
        <v>1777</v>
      </c>
      <c r="T1760" t="s">
        <v>975</v>
      </c>
      <c r="U1760" t="s">
        <v>825</v>
      </c>
      <c r="V1760" t="s">
        <v>106</v>
      </c>
      <c r="W1760" t="s">
        <v>476</v>
      </c>
      <c r="X1760" t="s">
        <v>106</v>
      </c>
      <c r="Y1760" t="s">
        <v>108</v>
      </c>
      <c r="Z1760" t="s">
        <v>104</v>
      </c>
      <c r="AA1760" t="s">
        <v>106</v>
      </c>
      <c r="AB1760" t="s">
        <v>106</v>
      </c>
    </row>
    <row r="1761" spans="1:28" x14ac:dyDescent="0.3">
      <c r="A1761" t="s">
        <v>1486</v>
      </c>
      <c r="B1761">
        <v>4</v>
      </c>
      <c r="C1761">
        <v>60</v>
      </c>
      <c r="D1761">
        <v>51</v>
      </c>
      <c r="E1761" t="s">
        <v>110</v>
      </c>
      <c r="F1761" s="12">
        <v>45639</v>
      </c>
      <c r="G1761" t="s">
        <v>823</v>
      </c>
      <c r="H1761" s="12">
        <v>45639</v>
      </c>
      <c r="I1761" t="s">
        <v>381</v>
      </c>
      <c r="J1761" t="s">
        <v>550</v>
      </c>
      <c r="L1761">
        <v>64</v>
      </c>
      <c r="M1761">
        <v>64.599999999999994</v>
      </c>
      <c r="P1761" t="s">
        <v>106</v>
      </c>
      <c r="Q1761" t="s">
        <v>106</v>
      </c>
      <c r="R1761" t="s">
        <v>106</v>
      </c>
      <c r="S1761" t="s">
        <v>2118</v>
      </c>
      <c r="T1761" t="s">
        <v>977</v>
      </c>
      <c r="U1761" t="s">
        <v>369</v>
      </c>
      <c r="V1761" t="s">
        <v>106</v>
      </c>
      <c r="W1761" t="s">
        <v>476</v>
      </c>
      <c r="X1761" t="s">
        <v>106</v>
      </c>
      <c r="Y1761" t="s">
        <v>108</v>
      </c>
      <c r="Z1761" t="s">
        <v>104</v>
      </c>
      <c r="AA1761" t="s">
        <v>106</v>
      </c>
      <c r="AB1761" t="s">
        <v>106</v>
      </c>
    </row>
    <row r="1762" spans="1:28" x14ac:dyDescent="0.3">
      <c r="A1762" t="s">
        <v>1486</v>
      </c>
      <c r="B1762">
        <v>1</v>
      </c>
      <c r="C1762">
        <v>0</v>
      </c>
      <c r="D1762">
        <v>83</v>
      </c>
      <c r="E1762" t="s">
        <v>1487</v>
      </c>
      <c r="F1762" s="12">
        <v>45642</v>
      </c>
      <c r="G1762" t="s">
        <v>1413</v>
      </c>
      <c r="H1762" s="12">
        <v>45642</v>
      </c>
      <c r="I1762" t="s">
        <v>1489</v>
      </c>
      <c r="J1762" t="s">
        <v>458</v>
      </c>
      <c r="K1762">
        <v>2</v>
      </c>
      <c r="L1762">
        <v>0</v>
      </c>
      <c r="M1762">
        <v>0</v>
      </c>
      <c r="P1762" t="s">
        <v>106</v>
      </c>
      <c r="Q1762" t="s">
        <v>106</v>
      </c>
      <c r="R1762" t="s">
        <v>106</v>
      </c>
      <c r="S1762" t="s">
        <v>1490</v>
      </c>
      <c r="T1762" t="s">
        <v>1379</v>
      </c>
      <c r="U1762" t="s">
        <v>106</v>
      </c>
      <c r="V1762" t="s">
        <v>106</v>
      </c>
      <c r="W1762" t="s">
        <v>476</v>
      </c>
      <c r="X1762" t="s">
        <v>106</v>
      </c>
      <c r="Y1762" t="s">
        <v>108</v>
      </c>
      <c r="Z1762" t="s">
        <v>105</v>
      </c>
      <c r="AA1762" t="s">
        <v>106</v>
      </c>
      <c r="AB1762" t="s">
        <v>106</v>
      </c>
    </row>
    <row r="1763" spans="1:28" x14ac:dyDescent="0.3">
      <c r="A1763" t="s">
        <v>1486</v>
      </c>
      <c r="B1763">
        <v>1</v>
      </c>
      <c r="C1763">
        <v>0</v>
      </c>
      <c r="D1763">
        <v>97</v>
      </c>
      <c r="E1763" t="s">
        <v>1487</v>
      </c>
      <c r="F1763" s="12">
        <v>45642</v>
      </c>
      <c r="G1763" t="s">
        <v>1491</v>
      </c>
      <c r="H1763" s="12">
        <v>45642</v>
      </c>
      <c r="I1763" t="s">
        <v>1492</v>
      </c>
      <c r="J1763" t="s">
        <v>471</v>
      </c>
      <c r="K1763">
        <v>2</v>
      </c>
      <c r="L1763">
        <v>0</v>
      </c>
      <c r="M1763">
        <v>0</v>
      </c>
      <c r="P1763" t="s">
        <v>106</v>
      </c>
      <c r="Q1763" t="s">
        <v>106</v>
      </c>
      <c r="R1763" t="s">
        <v>106</v>
      </c>
      <c r="S1763" t="s">
        <v>106</v>
      </c>
      <c r="T1763" t="s">
        <v>1242</v>
      </c>
      <c r="U1763" t="s">
        <v>825</v>
      </c>
      <c r="V1763" t="s">
        <v>106</v>
      </c>
      <c r="W1763" t="s">
        <v>954</v>
      </c>
      <c r="X1763" t="s">
        <v>106</v>
      </c>
      <c r="Y1763" t="s">
        <v>108</v>
      </c>
      <c r="Z1763" t="s">
        <v>105</v>
      </c>
      <c r="AA1763" t="s">
        <v>106</v>
      </c>
      <c r="AB1763" t="s">
        <v>106</v>
      </c>
    </row>
    <row r="1764" spans="1:28" x14ac:dyDescent="0.3">
      <c r="A1764" t="s">
        <v>1486</v>
      </c>
      <c r="B1764">
        <v>1</v>
      </c>
      <c r="C1764">
        <v>0</v>
      </c>
      <c r="D1764">
        <v>104</v>
      </c>
      <c r="E1764" t="s">
        <v>128</v>
      </c>
      <c r="F1764" s="12">
        <v>45642</v>
      </c>
      <c r="G1764" t="s">
        <v>998</v>
      </c>
      <c r="H1764" s="12">
        <v>45642</v>
      </c>
      <c r="I1764" t="s">
        <v>1493</v>
      </c>
      <c r="J1764" t="s">
        <v>471</v>
      </c>
      <c r="K1764">
        <v>2</v>
      </c>
      <c r="L1764">
        <v>0</v>
      </c>
      <c r="M1764">
        <v>0</v>
      </c>
      <c r="P1764" t="s">
        <v>106</v>
      </c>
      <c r="Q1764" t="s">
        <v>106</v>
      </c>
      <c r="R1764" t="s">
        <v>106</v>
      </c>
      <c r="S1764" t="s">
        <v>1494</v>
      </c>
      <c r="T1764" t="s">
        <v>1495</v>
      </c>
      <c r="U1764" t="s">
        <v>677</v>
      </c>
      <c r="V1764" t="s">
        <v>106</v>
      </c>
      <c r="W1764" t="s">
        <v>954</v>
      </c>
      <c r="X1764" t="s">
        <v>106</v>
      </c>
      <c r="Y1764" t="s">
        <v>108</v>
      </c>
      <c r="Z1764" t="s">
        <v>105</v>
      </c>
      <c r="AA1764" t="s">
        <v>106</v>
      </c>
      <c r="AB1764" t="s">
        <v>1496</v>
      </c>
    </row>
    <row r="1765" spans="1:28" x14ac:dyDescent="0.3">
      <c r="A1765" t="s">
        <v>1486</v>
      </c>
      <c r="B1765">
        <v>1</v>
      </c>
      <c r="C1765">
        <v>0</v>
      </c>
      <c r="D1765">
        <v>105</v>
      </c>
      <c r="E1765" t="s">
        <v>128</v>
      </c>
      <c r="F1765" s="12">
        <v>45642</v>
      </c>
      <c r="G1765" t="s">
        <v>998</v>
      </c>
      <c r="H1765" s="12">
        <v>45642</v>
      </c>
      <c r="I1765" t="s">
        <v>1493</v>
      </c>
      <c r="J1765" t="s">
        <v>471</v>
      </c>
      <c r="K1765">
        <v>2</v>
      </c>
      <c r="L1765">
        <v>0</v>
      </c>
      <c r="M1765">
        <v>0</v>
      </c>
      <c r="P1765" t="s">
        <v>106</v>
      </c>
      <c r="Q1765" t="s">
        <v>106</v>
      </c>
      <c r="R1765" t="s">
        <v>106</v>
      </c>
      <c r="S1765" t="s">
        <v>1335</v>
      </c>
      <c r="T1765" t="s">
        <v>1393</v>
      </c>
      <c r="U1765" t="s">
        <v>825</v>
      </c>
      <c r="V1765" t="s">
        <v>106</v>
      </c>
      <c r="W1765" t="s">
        <v>954</v>
      </c>
      <c r="X1765" t="s">
        <v>106</v>
      </c>
      <c r="Y1765" t="s">
        <v>108</v>
      </c>
      <c r="Z1765" t="s">
        <v>105</v>
      </c>
      <c r="AA1765" t="s">
        <v>106</v>
      </c>
      <c r="AB1765" t="s">
        <v>1496</v>
      </c>
    </row>
    <row r="1766" spans="1:28" x14ac:dyDescent="0.3">
      <c r="A1766" t="s">
        <v>1486</v>
      </c>
      <c r="B1766">
        <v>2</v>
      </c>
      <c r="C1766">
        <v>15</v>
      </c>
      <c r="D1766">
        <v>71</v>
      </c>
      <c r="E1766" t="s">
        <v>128</v>
      </c>
      <c r="F1766" s="12">
        <v>45642</v>
      </c>
      <c r="G1766" t="s">
        <v>394</v>
      </c>
      <c r="H1766" s="12">
        <v>45642</v>
      </c>
      <c r="I1766" t="s">
        <v>553</v>
      </c>
      <c r="J1766" t="s">
        <v>458</v>
      </c>
      <c r="K1766">
        <v>2</v>
      </c>
      <c r="L1766">
        <v>13.9</v>
      </c>
      <c r="M1766">
        <v>13.9</v>
      </c>
      <c r="P1766" t="s">
        <v>106</v>
      </c>
      <c r="Q1766" t="s">
        <v>106</v>
      </c>
      <c r="R1766" t="s">
        <v>106</v>
      </c>
      <c r="S1766" t="s">
        <v>1809</v>
      </c>
      <c r="T1766" t="s">
        <v>1379</v>
      </c>
      <c r="U1766" t="s">
        <v>106</v>
      </c>
      <c r="V1766" t="s">
        <v>106</v>
      </c>
      <c r="W1766" t="s">
        <v>476</v>
      </c>
      <c r="X1766" t="s">
        <v>106</v>
      </c>
      <c r="Y1766" t="s">
        <v>108</v>
      </c>
      <c r="Z1766" t="s">
        <v>109</v>
      </c>
      <c r="AA1766" t="s">
        <v>106</v>
      </c>
      <c r="AB1766" t="s">
        <v>106</v>
      </c>
    </row>
    <row r="1767" spans="1:28" x14ac:dyDescent="0.3">
      <c r="A1767" t="s">
        <v>1486</v>
      </c>
      <c r="B1767">
        <v>2</v>
      </c>
      <c r="C1767">
        <v>15</v>
      </c>
      <c r="D1767">
        <v>63</v>
      </c>
      <c r="E1767" t="s">
        <v>128</v>
      </c>
      <c r="F1767" s="12">
        <v>45642</v>
      </c>
      <c r="G1767" t="s">
        <v>1559</v>
      </c>
      <c r="H1767" s="12">
        <v>45642</v>
      </c>
      <c r="I1767" t="s">
        <v>2111</v>
      </c>
      <c r="J1767" t="s">
        <v>458</v>
      </c>
      <c r="K1767">
        <v>2</v>
      </c>
      <c r="L1767">
        <v>15.8</v>
      </c>
      <c r="M1767">
        <v>15.7</v>
      </c>
      <c r="P1767" t="s">
        <v>106</v>
      </c>
      <c r="Q1767" t="s">
        <v>106</v>
      </c>
      <c r="R1767" t="s">
        <v>106</v>
      </c>
      <c r="S1767" t="s">
        <v>106</v>
      </c>
      <c r="T1767" t="s">
        <v>1850</v>
      </c>
      <c r="U1767" t="s">
        <v>335</v>
      </c>
      <c r="V1767" t="s">
        <v>106</v>
      </c>
      <c r="W1767" t="s">
        <v>476</v>
      </c>
      <c r="X1767" t="s">
        <v>106</v>
      </c>
      <c r="Y1767" t="s">
        <v>108</v>
      </c>
      <c r="Z1767" t="s">
        <v>109</v>
      </c>
      <c r="AA1767" t="s">
        <v>106</v>
      </c>
      <c r="AB1767" t="s">
        <v>106</v>
      </c>
    </row>
    <row r="1768" spans="1:28" x14ac:dyDescent="0.3">
      <c r="A1768" t="s">
        <v>1486</v>
      </c>
      <c r="B1768">
        <v>2</v>
      </c>
      <c r="C1768">
        <v>15</v>
      </c>
      <c r="D1768">
        <v>70</v>
      </c>
      <c r="E1768" t="s">
        <v>128</v>
      </c>
      <c r="F1768" s="12">
        <v>45642</v>
      </c>
      <c r="G1768" t="s">
        <v>549</v>
      </c>
      <c r="H1768" s="12">
        <v>45642</v>
      </c>
      <c r="I1768" t="s">
        <v>553</v>
      </c>
      <c r="J1768" t="s">
        <v>458</v>
      </c>
      <c r="K1768">
        <v>2</v>
      </c>
      <c r="L1768">
        <v>13.4</v>
      </c>
      <c r="M1768">
        <v>13.4</v>
      </c>
      <c r="P1768" t="s">
        <v>106</v>
      </c>
      <c r="Q1768" t="s">
        <v>106</v>
      </c>
      <c r="R1768" t="s">
        <v>106</v>
      </c>
      <c r="S1768" t="s">
        <v>1349</v>
      </c>
      <c r="T1768" t="s">
        <v>1478</v>
      </c>
      <c r="U1768" t="s">
        <v>335</v>
      </c>
      <c r="V1768" t="s">
        <v>106</v>
      </c>
      <c r="W1768" t="s">
        <v>476</v>
      </c>
      <c r="X1768" t="s">
        <v>106</v>
      </c>
      <c r="Y1768" t="s">
        <v>108</v>
      </c>
      <c r="Z1768" t="s">
        <v>109</v>
      </c>
      <c r="AA1768" t="s">
        <v>106</v>
      </c>
      <c r="AB1768" t="s">
        <v>106</v>
      </c>
    </row>
    <row r="1769" spans="1:28" x14ac:dyDescent="0.3">
      <c r="A1769" t="s">
        <v>1486</v>
      </c>
      <c r="B1769">
        <v>2</v>
      </c>
      <c r="C1769">
        <v>15</v>
      </c>
      <c r="D1769">
        <v>94</v>
      </c>
      <c r="E1769" t="s">
        <v>128</v>
      </c>
      <c r="F1769" s="12">
        <v>45642</v>
      </c>
      <c r="G1769" t="s">
        <v>1787</v>
      </c>
      <c r="H1769" s="12">
        <v>45642</v>
      </c>
      <c r="I1769" t="s">
        <v>1492</v>
      </c>
      <c r="J1769" t="s">
        <v>471</v>
      </c>
      <c r="K1769">
        <v>2</v>
      </c>
      <c r="L1769">
        <v>15</v>
      </c>
      <c r="M1769">
        <v>15</v>
      </c>
      <c r="P1769" t="s">
        <v>106</v>
      </c>
      <c r="Q1769" t="s">
        <v>106</v>
      </c>
      <c r="R1769" t="s">
        <v>106</v>
      </c>
      <c r="S1769" t="s">
        <v>106</v>
      </c>
      <c r="T1769" t="s">
        <v>1701</v>
      </c>
      <c r="U1769" t="s">
        <v>825</v>
      </c>
      <c r="V1769" t="s">
        <v>106</v>
      </c>
      <c r="W1769" t="s">
        <v>954</v>
      </c>
      <c r="X1769" t="s">
        <v>106</v>
      </c>
      <c r="Y1769" t="s">
        <v>108</v>
      </c>
      <c r="Z1769" t="s">
        <v>109</v>
      </c>
      <c r="AA1769" t="s">
        <v>106</v>
      </c>
      <c r="AB1769" t="s">
        <v>106</v>
      </c>
    </row>
    <row r="1770" spans="1:28" x14ac:dyDescent="0.3">
      <c r="A1770" t="s">
        <v>1486</v>
      </c>
      <c r="B1770">
        <v>2</v>
      </c>
      <c r="C1770">
        <v>15</v>
      </c>
      <c r="D1770">
        <v>62</v>
      </c>
      <c r="E1770" t="s">
        <v>128</v>
      </c>
      <c r="F1770" s="12">
        <v>45642</v>
      </c>
      <c r="G1770" t="s">
        <v>2112</v>
      </c>
      <c r="H1770" s="12">
        <v>45642</v>
      </c>
      <c r="I1770" t="s">
        <v>2111</v>
      </c>
      <c r="J1770" t="s">
        <v>458</v>
      </c>
      <c r="K1770">
        <v>2</v>
      </c>
      <c r="L1770">
        <v>15.5</v>
      </c>
      <c r="M1770">
        <v>15.7</v>
      </c>
      <c r="P1770" t="s">
        <v>106</v>
      </c>
      <c r="Q1770" t="s">
        <v>106</v>
      </c>
      <c r="R1770" t="s">
        <v>106</v>
      </c>
      <c r="S1770" t="s">
        <v>106</v>
      </c>
      <c r="T1770" t="s">
        <v>722</v>
      </c>
      <c r="U1770" t="s">
        <v>618</v>
      </c>
      <c r="V1770" t="s">
        <v>106</v>
      </c>
      <c r="W1770" t="s">
        <v>476</v>
      </c>
      <c r="X1770" t="s">
        <v>106</v>
      </c>
      <c r="Y1770" t="s">
        <v>108</v>
      </c>
      <c r="Z1770" t="s">
        <v>109</v>
      </c>
      <c r="AA1770" t="s">
        <v>106</v>
      </c>
      <c r="AB1770" t="s">
        <v>106</v>
      </c>
    </row>
    <row r="1771" spans="1:28" x14ac:dyDescent="0.3">
      <c r="A1771" t="s">
        <v>1486</v>
      </c>
      <c r="B1771">
        <v>2</v>
      </c>
      <c r="C1771">
        <v>15</v>
      </c>
      <c r="D1771">
        <v>93</v>
      </c>
      <c r="E1771" t="s">
        <v>128</v>
      </c>
      <c r="F1771" s="12">
        <v>45642</v>
      </c>
      <c r="G1771" t="s">
        <v>573</v>
      </c>
      <c r="H1771" s="12">
        <v>45642</v>
      </c>
      <c r="I1771" t="s">
        <v>1492</v>
      </c>
      <c r="J1771" t="s">
        <v>471</v>
      </c>
      <c r="K1771">
        <v>2</v>
      </c>
      <c r="L1771">
        <v>15.5</v>
      </c>
      <c r="M1771">
        <v>15.5</v>
      </c>
      <c r="P1771" t="s">
        <v>106</v>
      </c>
      <c r="Q1771" t="s">
        <v>106</v>
      </c>
      <c r="R1771" t="s">
        <v>106</v>
      </c>
      <c r="S1771" t="s">
        <v>106</v>
      </c>
      <c r="T1771" t="s">
        <v>1386</v>
      </c>
      <c r="U1771" t="s">
        <v>532</v>
      </c>
      <c r="V1771" t="s">
        <v>106</v>
      </c>
      <c r="W1771" t="s">
        <v>954</v>
      </c>
      <c r="X1771" t="s">
        <v>106</v>
      </c>
      <c r="Y1771" t="s">
        <v>108</v>
      </c>
      <c r="Z1771" t="s">
        <v>109</v>
      </c>
      <c r="AA1771" t="s">
        <v>106</v>
      </c>
      <c r="AB1771" t="s">
        <v>106</v>
      </c>
    </row>
    <row r="1772" spans="1:28" x14ac:dyDescent="0.3">
      <c r="A1772" t="s">
        <v>1486</v>
      </c>
      <c r="B1772">
        <v>2</v>
      </c>
      <c r="C1772">
        <v>15</v>
      </c>
      <c r="D1772">
        <v>79</v>
      </c>
      <c r="E1772" t="s">
        <v>128</v>
      </c>
      <c r="F1772" s="12">
        <v>45642</v>
      </c>
      <c r="G1772" t="s">
        <v>656</v>
      </c>
      <c r="H1772" s="12">
        <v>45642</v>
      </c>
      <c r="I1772" t="s">
        <v>1489</v>
      </c>
      <c r="J1772" t="s">
        <v>458</v>
      </c>
      <c r="K1772">
        <v>2</v>
      </c>
      <c r="L1772">
        <v>14.6</v>
      </c>
      <c r="M1772">
        <v>14.8</v>
      </c>
      <c r="P1772" t="s">
        <v>106</v>
      </c>
      <c r="Q1772" t="s">
        <v>106</v>
      </c>
      <c r="R1772" t="s">
        <v>106</v>
      </c>
      <c r="S1772" t="s">
        <v>1792</v>
      </c>
      <c r="T1772" t="s">
        <v>1400</v>
      </c>
      <c r="U1772" t="s">
        <v>369</v>
      </c>
      <c r="V1772" t="s">
        <v>106</v>
      </c>
      <c r="W1772" t="s">
        <v>476</v>
      </c>
      <c r="X1772" t="s">
        <v>106</v>
      </c>
      <c r="Y1772" t="s">
        <v>108</v>
      </c>
      <c r="Z1772" t="s">
        <v>108</v>
      </c>
      <c r="AA1772" t="s">
        <v>106</v>
      </c>
      <c r="AB1772" t="s">
        <v>106</v>
      </c>
    </row>
    <row r="1773" spans="1:28" x14ac:dyDescent="0.3">
      <c r="A1773" t="s">
        <v>1486</v>
      </c>
      <c r="B1773">
        <v>2</v>
      </c>
      <c r="C1773">
        <v>15</v>
      </c>
      <c r="D1773">
        <v>80</v>
      </c>
      <c r="E1773" t="s">
        <v>128</v>
      </c>
      <c r="F1773" s="12">
        <v>45642</v>
      </c>
      <c r="G1773" t="s">
        <v>656</v>
      </c>
      <c r="H1773" s="12">
        <v>45642</v>
      </c>
      <c r="I1773" t="s">
        <v>1489</v>
      </c>
      <c r="J1773" t="s">
        <v>458</v>
      </c>
      <c r="K1773">
        <v>2</v>
      </c>
      <c r="L1773">
        <v>15.3</v>
      </c>
      <c r="M1773">
        <v>15.3</v>
      </c>
      <c r="P1773" t="s">
        <v>106</v>
      </c>
      <c r="Q1773" t="s">
        <v>106</v>
      </c>
      <c r="R1773" t="s">
        <v>106</v>
      </c>
      <c r="S1773" t="s">
        <v>979</v>
      </c>
      <c r="T1773" t="s">
        <v>1701</v>
      </c>
      <c r="U1773" t="s">
        <v>630</v>
      </c>
      <c r="V1773" t="s">
        <v>106</v>
      </c>
      <c r="W1773" t="s">
        <v>476</v>
      </c>
      <c r="X1773" t="s">
        <v>106</v>
      </c>
      <c r="Y1773" t="s">
        <v>108</v>
      </c>
      <c r="Z1773" t="s">
        <v>108</v>
      </c>
      <c r="AA1773" t="s">
        <v>106</v>
      </c>
      <c r="AB1773" t="s">
        <v>106</v>
      </c>
    </row>
    <row r="1774" spans="1:28" x14ac:dyDescent="0.3">
      <c r="A1774" t="s">
        <v>1486</v>
      </c>
      <c r="B1774">
        <v>2</v>
      </c>
      <c r="C1774">
        <v>15</v>
      </c>
      <c r="D1774">
        <v>74</v>
      </c>
      <c r="E1774" t="s">
        <v>128</v>
      </c>
      <c r="F1774" s="12">
        <v>45642</v>
      </c>
      <c r="G1774" t="s">
        <v>313</v>
      </c>
      <c r="H1774" s="12">
        <v>45642</v>
      </c>
      <c r="I1774" t="s">
        <v>142</v>
      </c>
      <c r="J1774" t="s">
        <v>458</v>
      </c>
      <c r="K1774">
        <v>2</v>
      </c>
      <c r="L1774">
        <v>13.4</v>
      </c>
      <c r="M1774">
        <v>13.4</v>
      </c>
      <c r="P1774" t="s">
        <v>106</v>
      </c>
      <c r="Q1774" t="s">
        <v>106</v>
      </c>
      <c r="R1774" t="s">
        <v>106</v>
      </c>
      <c r="S1774" t="s">
        <v>106</v>
      </c>
      <c r="T1774" t="s">
        <v>1478</v>
      </c>
      <c r="U1774" t="s">
        <v>146</v>
      </c>
      <c r="V1774" t="s">
        <v>106</v>
      </c>
      <c r="W1774" t="s">
        <v>476</v>
      </c>
      <c r="X1774" t="s">
        <v>106</v>
      </c>
      <c r="Y1774" t="s">
        <v>108</v>
      </c>
      <c r="Z1774" t="s">
        <v>109</v>
      </c>
      <c r="AA1774" t="s">
        <v>106</v>
      </c>
      <c r="AB1774" t="s">
        <v>2113</v>
      </c>
    </row>
    <row r="1775" spans="1:28" x14ac:dyDescent="0.3">
      <c r="A1775" t="s">
        <v>1486</v>
      </c>
      <c r="B1775">
        <v>2</v>
      </c>
      <c r="C1775">
        <v>15</v>
      </c>
      <c r="D1775">
        <v>100</v>
      </c>
      <c r="E1775" t="s">
        <v>128</v>
      </c>
      <c r="F1775" s="12">
        <v>45642</v>
      </c>
      <c r="G1775" t="s">
        <v>672</v>
      </c>
      <c r="H1775" s="12">
        <v>45642</v>
      </c>
      <c r="I1775" t="s">
        <v>1493</v>
      </c>
      <c r="J1775" t="s">
        <v>471</v>
      </c>
      <c r="K1775">
        <v>2</v>
      </c>
      <c r="L1775">
        <v>14.5</v>
      </c>
      <c r="M1775">
        <v>14.6</v>
      </c>
      <c r="P1775" t="s">
        <v>106</v>
      </c>
      <c r="Q1775" t="s">
        <v>106</v>
      </c>
      <c r="R1775" t="s">
        <v>106</v>
      </c>
      <c r="S1775" t="s">
        <v>1563</v>
      </c>
      <c r="T1775" t="s">
        <v>1747</v>
      </c>
      <c r="U1775" t="s">
        <v>145</v>
      </c>
      <c r="V1775" t="s">
        <v>106</v>
      </c>
      <c r="W1775" t="s">
        <v>954</v>
      </c>
      <c r="X1775" t="s">
        <v>106</v>
      </c>
      <c r="Y1775" t="s">
        <v>108</v>
      </c>
      <c r="Z1775" t="s">
        <v>109</v>
      </c>
      <c r="AA1775" t="s">
        <v>106</v>
      </c>
      <c r="AB1775" t="s">
        <v>106</v>
      </c>
    </row>
    <row r="1776" spans="1:28" x14ac:dyDescent="0.3">
      <c r="A1776" t="s">
        <v>1486</v>
      </c>
      <c r="B1776">
        <v>2</v>
      </c>
      <c r="C1776">
        <v>15</v>
      </c>
      <c r="D1776">
        <v>55</v>
      </c>
      <c r="E1776" t="s">
        <v>128</v>
      </c>
      <c r="F1776" s="12">
        <v>45642</v>
      </c>
      <c r="G1776" t="s">
        <v>1457</v>
      </c>
      <c r="H1776" s="12">
        <v>45642</v>
      </c>
      <c r="I1776" t="s">
        <v>2114</v>
      </c>
      <c r="J1776" t="s">
        <v>458</v>
      </c>
      <c r="K1776">
        <v>2</v>
      </c>
      <c r="L1776">
        <v>16.3</v>
      </c>
      <c r="M1776">
        <v>16.2</v>
      </c>
      <c r="P1776" t="s">
        <v>106</v>
      </c>
      <c r="Q1776" t="s">
        <v>106</v>
      </c>
      <c r="R1776" t="s">
        <v>106</v>
      </c>
      <c r="S1776" t="s">
        <v>1196</v>
      </c>
      <c r="T1776" t="s">
        <v>2115</v>
      </c>
      <c r="U1776" t="s">
        <v>145</v>
      </c>
      <c r="V1776" t="s">
        <v>106</v>
      </c>
      <c r="W1776" t="s">
        <v>476</v>
      </c>
      <c r="X1776" t="s">
        <v>106</v>
      </c>
      <c r="Y1776" t="s">
        <v>108</v>
      </c>
      <c r="Z1776" t="s">
        <v>109</v>
      </c>
      <c r="AA1776" t="s">
        <v>106</v>
      </c>
      <c r="AB1776" t="s">
        <v>106</v>
      </c>
    </row>
    <row r="1777" spans="1:28" x14ac:dyDescent="0.3">
      <c r="A1777" t="s">
        <v>1486</v>
      </c>
      <c r="B1777">
        <v>2</v>
      </c>
      <c r="C1777">
        <v>15</v>
      </c>
      <c r="D1777">
        <v>86</v>
      </c>
      <c r="E1777" t="s">
        <v>128</v>
      </c>
      <c r="F1777" s="12">
        <v>45642</v>
      </c>
      <c r="G1777" t="s">
        <v>2116</v>
      </c>
      <c r="H1777" s="12">
        <v>45642</v>
      </c>
      <c r="I1777" t="s">
        <v>2117</v>
      </c>
      <c r="J1777" t="s">
        <v>471</v>
      </c>
      <c r="K1777">
        <v>2</v>
      </c>
      <c r="L1777">
        <v>13.8</v>
      </c>
      <c r="M1777">
        <v>13.9</v>
      </c>
      <c r="P1777" t="s">
        <v>106</v>
      </c>
      <c r="Q1777" t="s">
        <v>106</v>
      </c>
      <c r="R1777" t="s">
        <v>106</v>
      </c>
      <c r="S1777" t="s">
        <v>1488</v>
      </c>
      <c r="T1777" t="s">
        <v>1381</v>
      </c>
      <c r="U1777" t="s">
        <v>620</v>
      </c>
      <c r="V1777" t="s">
        <v>106</v>
      </c>
      <c r="W1777" t="s">
        <v>954</v>
      </c>
      <c r="X1777" t="s">
        <v>106</v>
      </c>
      <c r="Y1777" t="s">
        <v>108</v>
      </c>
      <c r="Z1777" t="s">
        <v>109</v>
      </c>
      <c r="AA1777" t="s">
        <v>106</v>
      </c>
      <c r="AB1777" t="s">
        <v>106</v>
      </c>
    </row>
    <row r="1778" spans="1:28" x14ac:dyDescent="0.3">
      <c r="A1778" t="s">
        <v>1486</v>
      </c>
      <c r="B1778">
        <v>2</v>
      </c>
      <c r="C1778">
        <v>15</v>
      </c>
      <c r="D1778">
        <v>101</v>
      </c>
      <c r="E1778" t="s">
        <v>128</v>
      </c>
      <c r="F1778" s="12">
        <v>45642</v>
      </c>
      <c r="G1778" t="s">
        <v>672</v>
      </c>
      <c r="H1778" s="12">
        <v>45642</v>
      </c>
      <c r="I1778" t="s">
        <v>1493</v>
      </c>
      <c r="J1778" t="s">
        <v>471</v>
      </c>
      <c r="K1778">
        <v>2</v>
      </c>
      <c r="L1778">
        <v>15.4</v>
      </c>
      <c r="M1778">
        <v>15.4</v>
      </c>
      <c r="P1778" t="s">
        <v>106</v>
      </c>
      <c r="Q1778" t="s">
        <v>106</v>
      </c>
      <c r="R1778" t="s">
        <v>106</v>
      </c>
      <c r="S1778" t="s">
        <v>2118</v>
      </c>
      <c r="T1778" t="s">
        <v>1393</v>
      </c>
      <c r="U1778" t="s">
        <v>630</v>
      </c>
      <c r="V1778" t="s">
        <v>106</v>
      </c>
      <c r="W1778" t="s">
        <v>954</v>
      </c>
      <c r="X1778" t="s">
        <v>106</v>
      </c>
      <c r="Y1778" t="s">
        <v>108</v>
      </c>
      <c r="Z1778" t="s">
        <v>109</v>
      </c>
      <c r="AA1778" t="s">
        <v>106</v>
      </c>
      <c r="AB1778" t="s">
        <v>106</v>
      </c>
    </row>
    <row r="1779" spans="1:28" x14ac:dyDescent="0.3">
      <c r="A1779" t="s">
        <v>1486</v>
      </c>
      <c r="B1779">
        <v>2</v>
      </c>
      <c r="C1779">
        <v>15</v>
      </c>
      <c r="D1779">
        <v>56</v>
      </c>
      <c r="E1779" t="s">
        <v>128</v>
      </c>
      <c r="F1779" s="12">
        <v>45642</v>
      </c>
      <c r="G1779" t="s">
        <v>2052</v>
      </c>
      <c r="H1779" s="12">
        <v>45642</v>
      </c>
      <c r="I1779" t="s">
        <v>2114</v>
      </c>
      <c r="J1779" t="s">
        <v>458</v>
      </c>
      <c r="K1779">
        <v>2</v>
      </c>
      <c r="L1779">
        <v>16.899999999999999</v>
      </c>
      <c r="M1779">
        <v>17</v>
      </c>
      <c r="P1779" t="s">
        <v>106</v>
      </c>
      <c r="Q1779" t="s">
        <v>106</v>
      </c>
      <c r="R1779" t="s">
        <v>106</v>
      </c>
      <c r="S1779" t="s">
        <v>960</v>
      </c>
      <c r="T1779" t="s">
        <v>1947</v>
      </c>
      <c r="U1779" t="s">
        <v>825</v>
      </c>
      <c r="V1779" t="s">
        <v>106</v>
      </c>
      <c r="W1779" t="s">
        <v>476</v>
      </c>
      <c r="X1779" t="s">
        <v>106</v>
      </c>
      <c r="Y1779" t="s">
        <v>108</v>
      </c>
      <c r="Z1779" t="s">
        <v>109</v>
      </c>
      <c r="AA1779" t="s">
        <v>106</v>
      </c>
      <c r="AB1779" t="s">
        <v>106</v>
      </c>
    </row>
    <row r="1780" spans="1:28" x14ac:dyDescent="0.3">
      <c r="A1780" t="s">
        <v>1486</v>
      </c>
      <c r="B1780">
        <v>2</v>
      </c>
      <c r="C1780">
        <v>15</v>
      </c>
      <c r="D1780">
        <v>87</v>
      </c>
      <c r="E1780" t="s">
        <v>128</v>
      </c>
      <c r="F1780" s="12">
        <v>45642</v>
      </c>
      <c r="G1780" t="s">
        <v>2116</v>
      </c>
      <c r="H1780" s="12">
        <v>45642</v>
      </c>
      <c r="I1780" t="s">
        <v>2117</v>
      </c>
      <c r="J1780" t="s">
        <v>471</v>
      </c>
      <c r="K1780">
        <v>2</v>
      </c>
      <c r="L1780">
        <v>14.8</v>
      </c>
      <c r="M1780">
        <v>14.8</v>
      </c>
      <c r="P1780" t="s">
        <v>106</v>
      </c>
      <c r="Q1780" t="s">
        <v>106</v>
      </c>
      <c r="R1780" t="s">
        <v>106</v>
      </c>
      <c r="S1780" t="s">
        <v>1964</v>
      </c>
      <c r="T1780" t="s">
        <v>1747</v>
      </c>
      <c r="U1780" t="s">
        <v>2119</v>
      </c>
      <c r="V1780" t="s">
        <v>106</v>
      </c>
      <c r="W1780" t="s">
        <v>954</v>
      </c>
      <c r="X1780" t="s">
        <v>106</v>
      </c>
      <c r="Y1780" t="s">
        <v>108</v>
      </c>
      <c r="Z1780" t="s">
        <v>109</v>
      </c>
      <c r="AA1780" t="s">
        <v>106</v>
      </c>
      <c r="AB1780" t="s">
        <v>106</v>
      </c>
    </row>
    <row r="1781" spans="1:28" x14ac:dyDescent="0.3">
      <c r="A1781" t="s">
        <v>1486</v>
      </c>
      <c r="B1781">
        <v>3</v>
      </c>
      <c r="C1781">
        <v>35</v>
      </c>
      <c r="D1781">
        <v>54</v>
      </c>
      <c r="E1781" t="s">
        <v>128</v>
      </c>
      <c r="F1781" s="12">
        <v>45642</v>
      </c>
      <c r="G1781" t="s">
        <v>1865</v>
      </c>
      <c r="H1781" s="12">
        <v>45642</v>
      </c>
      <c r="I1781" t="s">
        <v>2114</v>
      </c>
      <c r="J1781" t="s">
        <v>458</v>
      </c>
      <c r="K1781">
        <v>2</v>
      </c>
      <c r="L1781">
        <v>38.5</v>
      </c>
      <c r="M1781">
        <v>38.5</v>
      </c>
      <c r="P1781" t="s">
        <v>106</v>
      </c>
      <c r="Q1781" t="s">
        <v>106</v>
      </c>
      <c r="R1781" t="s">
        <v>106</v>
      </c>
      <c r="S1781" t="s">
        <v>106</v>
      </c>
      <c r="T1781" t="s">
        <v>1478</v>
      </c>
      <c r="U1781" t="s">
        <v>106</v>
      </c>
      <c r="V1781" t="s">
        <v>106</v>
      </c>
      <c r="W1781" t="s">
        <v>476</v>
      </c>
      <c r="X1781" t="s">
        <v>106</v>
      </c>
      <c r="Y1781" t="s">
        <v>108</v>
      </c>
      <c r="Z1781" t="s">
        <v>108</v>
      </c>
      <c r="AA1781" t="s">
        <v>106</v>
      </c>
      <c r="AB1781" t="s">
        <v>106</v>
      </c>
    </row>
    <row r="1782" spans="1:28" x14ac:dyDescent="0.3">
      <c r="A1782" t="s">
        <v>1486</v>
      </c>
      <c r="B1782">
        <v>3</v>
      </c>
      <c r="C1782">
        <v>35</v>
      </c>
      <c r="D1782">
        <v>53</v>
      </c>
      <c r="E1782" t="s">
        <v>128</v>
      </c>
      <c r="F1782" s="12">
        <v>45642</v>
      </c>
      <c r="G1782" t="s">
        <v>2522</v>
      </c>
      <c r="H1782" s="12">
        <v>45642</v>
      </c>
      <c r="I1782" t="s">
        <v>2114</v>
      </c>
      <c r="J1782" t="s">
        <v>458</v>
      </c>
      <c r="K1782">
        <v>2</v>
      </c>
      <c r="L1782">
        <v>38.6</v>
      </c>
      <c r="M1782">
        <v>38.6</v>
      </c>
      <c r="P1782" t="s">
        <v>106</v>
      </c>
      <c r="Q1782" t="s">
        <v>106</v>
      </c>
      <c r="R1782" t="s">
        <v>106</v>
      </c>
      <c r="S1782" t="s">
        <v>106</v>
      </c>
      <c r="T1782" t="s">
        <v>1400</v>
      </c>
      <c r="U1782" t="s">
        <v>444</v>
      </c>
      <c r="V1782" t="s">
        <v>106</v>
      </c>
      <c r="W1782" t="s">
        <v>476</v>
      </c>
      <c r="X1782" t="s">
        <v>106</v>
      </c>
      <c r="Y1782" t="s">
        <v>108</v>
      </c>
      <c r="Z1782" t="s">
        <v>108</v>
      </c>
      <c r="AA1782" t="s">
        <v>106</v>
      </c>
      <c r="AB1782" t="s">
        <v>106</v>
      </c>
    </row>
    <row r="1783" spans="1:28" x14ac:dyDescent="0.3">
      <c r="A1783" t="s">
        <v>1486</v>
      </c>
      <c r="B1783">
        <v>3</v>
      </c>
      <c r="C1783">
        <v>35</v>
      </c>
      <c r="D1783">
        <v>60</v>
      </c>
      <c r="E1783" t="s">
        <v>128</v>
      </c>
      <c r="F1783" s="12">
        <v>45642</v>
      </c>
      <c r="G1783" t="s">
        <v>1881</v>
      </c>
      <c r="H1783" s="12">
        <v>45642</v>
      </c>
      <c r="I1783" t="s">
        <v>2114</v>
      </c>
      <c r="J1783" t="s">
        <v>458</v>
      </c>
      <c r="K1783">
        <v>2</v>
      </c>
      <c r="L1783">
        <v>34.4</v>
      </c>
      <c r="M1783">
        <v>34.4</v>
      </c>
      <c r="P1783" t="s">
        <v>106</v>
      </c>
      <c r="Q1783" t="s">
        <v>106</v>
      </c>
      <c r="R1783" t="s">
        <v>106</v>
      </c>
      <c r="S1783" t="s">
        <v>2388</v>
      </c>
      <c r="T1783" t="s">
        <v>1409</v>
      </c>
      <c r="U1783" t="s">
        <v>106</v>
      </c>
      <c r="V1783" t="s">
        <v>106</v>
      </c>
      <c r="W1783" t="s">
        <v>476</v>
      </c>
      <c r="X1783" t="s">
        <v>106</v>
      </c>
      <c r="Y1783" t="s">
        <v>108</v>
      </c>
      <c r="Z1783" t="s">
        <v>104</v>
      </c>
      <c r="AA1783" t="s">
        <v>106</v>
      </c>
      <c r="AB1783" t="s">
        <v>106</v>
      </c>
    </row>
    <row r="1784" spans="1:28" x14ac:dyDescent="0.3">
      <c r="A1784" t="s">
        <v>1486</v>
      </c>
      <c r="B1784">
        <v>3</v>
      </c>
      <c r="C1784">
        <v>35</v>
      </c>
      <c r="D1784">
        <v>59</v>
      </c>
      <c r="E1784" t="s">
        <v>128</v>
      </c>
      <c r="F1784" s="12">
        <v>45642</v>
      </c>
      <c r="G1784" t="s">
        <v>1881</v>
      </c>
      <c r="H1784" s="12">
        <v>45642</v>
      </c>
      <c r="I1784" t="s">
        <v>2114</v>
      </c>
      <c r="J1784" t="s">
        <v>458</v>
      </c>
      <c r="K1784">
        <v>2</v>
      </c>
      <c r="L1784">
        <v>38.700000000000003</v>
      </c>
      <c r="M1784">
        <v>39</v>
      </c>
      <c r="P1784" t="s">
        <v>106</v>
      </c>
      <c r="Q1784" t="s">
        <v>106</v>
      </c>
      <c r="R1784" t="s">
        <v>106</v>
      </c>
      <c r="S1784" t="s">
        <v>2523</v>
      </c>
      <c r="T1784" t="s">
        <v>1822</v>
      </c>
      <c r="U1784" t="s">
        <v>106</v>
      </c>
      <c r="V1784" t="s">
        <v>106</v>
      </c>
      <c r="W1784" t="s">
        <v>476</v>
      </c>
      <c r="X1784" t="s">
        <v>106</v>
      </c>
      <c r="Y1784" t="s">
        <v>108</v>
      </c>
      <c r="Z1784" t="s">
        <v>104</v>
      </c>
      <c r="AA1784" t="s">
        <v>106</v>
      </c>
      <c r="AB1784" t="s">
        <v>106</v>
      </c>
    </row>
    <row r="1785" spans="1:28" x14ac:dyDescent="0.3">
      <c r="A1785" t="s">
        <v>1486</v>
      </c>
      <c r="B1785">
        <v>3</v>
      </c>
      <c r="C1785">
        <v>35</v>
      </c>
      <c r="D1785">
        <v>77</v>
      </c>
      <c r="E1785" t="s">
        <v>128</v>
      </c>
      <c r="F1785" s="12">
        <v>45642</v>
      </c>
      <c r="G1785" t="s">
        <v>2524</v>
      </c>
      <c r="H1785" s="12">
        <v>45642</v>
      </c>
      <c r="I1785" t="s">
        <v>1489</v>
      </c>
      <c r="J1785" t="s">
        <v>458</v>
      </c>
      <c r="K1785">
        <v>2</v>
      </c>
      <c r="L1785">
        <v>37.200000000000003</v>
      </c>
      <c r="M1785">
        <v>37.299999999999997</v>
      </c>
      <c r="P1785" t="s">
        <v>106</v>
      </c>
      <c r="Q1785" t="s">
        <v>106</v>
      </c>
      <c r="R1785" t="s">
        <v>106</v>
      </c>
      <c r="S1785" t="s">
        <v>1196</v>
      </c>
      <c r="T1785" t="s">
        <v>1701</v>
      </c>
      <c r="U1785" t="s">
        <v>785</v>
      </c>
      <c r="V1785" t="s">
        <v>106</v>
      </c>
      <c r="W1785" t="s">
        <v>476</v>
      </c>
      <c r="X1785" t="s">
        <v>106</v>
      </c>
      <c r="Y1785" t="s">
        <v>108</v>
      </c>
      <c r="Z1785" t="s">
        <v>108</v>
      </c>
      <c r="AA1785" t="s">
        <v>106</v>
      </c>
      <c r="AB1785" t="s">
        <v>106</v>
      </c>
    </row>
    <row r="1786" spans="1:28" x14ac:dyDescent="0.3">
      <c r="A1786" t="s">
        <v>1486</v>
      </c>
      <c r="B1786">
        <v>3</v>
      </c>
      <c r="C1786">
        <v>35</v>
      </c>
      <c r="D1786">
        <v>84</v>
      </c>
      <c r="E1786" t="s">
        <v>128</v>
      </c>
      <c r="F1786" s="12">
        <v>45642</v>
      </c>
      <c r="G1786" t="s">
        <v>2193</v>
      </c>
      <c r="H1786" s="12">
        <v>45642</v>
      </c>
      <c r="I1786" t="s">
        <v>2117</v>
      </c>
      <c r="J1786" t="s">
        <v>471</v>
      </c>
      <c r="K1786">
        <v>2</v>
      </c>
      <c r="L1786">
        <v>33.200000000000003</v>
      </c>
      <c r="M1786">
        <v>33.299999999999997</v>
      </c>
      <c r="P1786" t="s">
        <v>106</v>
      </c>
      <c r="Q1786" t="s">
        <v>106</v>
      </c>
      <c r="R1786" t="s">
        <v>106</v>
      </c>
      <c r="S1786" t="s">
        <v>1873</v>
      </c>
      <c r="T1786" t="s">
        <v>1393</v>
      </c>
      <c r="U1786" t="s">
        <v>143</v>
      </c>
      <c r="V1786" t="s">
        <v>106</v>
      </c>
      <c r="W1786" t="s">
        <v>954</v>
      </c>
      <c r="X1786" t="s">
        <v>106</v>
      </c>
      <c r="Y1786" t="s">
        <v>108</v>
      </c>
      <c r="Z1786" t="s">
        <v>108</v>
      </c>
      <c r="AA1786" t="s">
        <v>106</v>
      </c>
      <c r="AB1786" t="s">
        <v>2525</v>
      </c>
    </row>
    <row r="1787" spans="1:28" x14ac:dyDescent="0.3">
      <c r="A1787" t="s">
        <v>1486</v>
      </c>
      <c r="B1787">
        <v>3</v>
      </c>
      <c r="C1787">
        <v>35</v>
      </c>
      <c r="D1787">
        <v>61</v>
      </c>
      <c r="E1787" t="s">
        <v>128</v>
      </c>
      <c r="F1787" s="12">
        <v>45642</v>
      </c>
      <c r="G1787" t="s">
        <v>2382</v>
      </c>
      <c r="H1787" s="12">
        <v>45642</v>
      </c>
      <c r="I1787" t="s">
        <v>2114</v>
      </c>
      <c r="J1787" t="s">
        <v>458</v>
      </c>
      <c r="K1787">
        <v>2</v>
      </c>
      <c r="L1787">
        <v>33.9</v>
      </c>
      <c r="M1787">
        <v>33.9</v>
      </c>
      <c r="P1787" t="s">
        <v>106</v>
      </c>
      <c r="Q1787" t="s">
        <v>106</v>
      </c>
      <c r="R1787" t="s">
        <v>106</v>
      </c>
      <c r="S1787" t="s">
        <v>1703</v>
      </c>
      <c r="T1787" t="s">
        <v>1885</v>
      </c>
      <c r="U1787" t="s">
        <v>106</v>
      </c>
      <c r="V1787" t="s">
        <v>106</v>
      </c>
      <c r="W1787" t="s">
        <v>476</v>
      </c>
      <c r="X1787" t="s">
        <v>106</v>
      </c>
      <c r="Y1787" t="s">
        <v>108</v>
      </c>
      <c r="Z1787" t="s">
        <v>104</v>
      </c>
      <c r="AA1787" t="s">
        <v>106</v>
      </c>
      <c r="AB1787" t="s">
        <v>106</v>
      </c>
    </row>
    <row r="1788" spans="1:28" x14ac:dyDescent="0.3">
      <c r="A1788" t="s">
        <v>1486</v>
      </c>
      <c r="B1788">
        <v>3</v>
      </c>
      <c r="C1788">
        <v>35</v>
      </c>
      <c r="D1788">
        <v>78</v>
      </c>
      <c r="E1788" t="s">
        <v>128</v>
      </c>
      <c r="F1788" s="12">
        <v>45642</v>
      </c>
      <c r="G1788" t="s">
        <v>2524</v>
      </c>
      <c r="H1788" s="12">
        <v>45642</v>
      </c>
      <c r="I1788" t="s">
        <v>1489</v>
      </c>
      <c r="J1788" t="s">
        <v>458</v>
      </c>
      <c r="K1788">
        <v>2</v>
      </c>
      <c r="L1788">
        <v>34.4</v>
      </c>
      <c r="M1788">
        <v>34.6</v>
      </c>
      <c r="P1788" t="s">
        <v>106</v>
      </c>
      <c r="Q1788" t="s">
        <v>106</v>
      </c>
      <c r="R1788" t="s">
        <v>106</v>
      </c>
      <c r="S1788" t="s">
        <v>1135</v>
      </c>
      <c r="T1788" t="s">
        <v>722</v>
      </c>
      <c r="U1788" t="s">
        <v>825</v>
      </c>
      <c r="V1788" t="s">
        <v>106</v>
      </c>
      <c r="W1788" t="s">
        <v>476</v>
      </c>
      <c r="X1788" t="s">
        <v>106</v>
      </c>
      <c r="Y1788" t="s">
        <v>108</v>
      </c>
      <c r="Z1788" t="s">
        <v>108</v>
      </c>
      <c r="AA1788" t="s">
        <v>106</v>
      </c>
      <c r="AB1788" t="s">
        <v>106</v>
      </c>
    </row>
    <row r="1789" spans="1:28" x14ac:dyDescent="0.3">
      <c r="A1789" t="s">
        <v>1486</v>
      </c>
      <c r="B1789">
        <v>3</v>
      </c>
      <c r="C1789">
        <v>35</v>
      </c>
      <c r="D1789">
        <v>91</v>
      </c>
      <c r="E1789" t="s">
        <v>128</v>
      </c>
      <c r="F1789" s="12">
        <v>45642</v>
      </c>
      <c r="G1789" t="s">
        <v>1831</v>
      </c>
      <c r="H1789" s="12">
        <v>45642</v>
      </c>
      <c r="I1789" t="s">
        <v>1492</v>
      </c>
      <c r="J1789" t="s">
        <v>471</v>
      </c>
      <c r="K1789">
        <v>2</v>
      </c>
      <c r="L1789">
        <v>32.799999999999997</v>
      </c>
      <c r="M1789">
        <v>33</v>
      </c>
      <c r="P1789" t="s">
        <v>106</v>
      </c>
      <c r="Q1789" t="s">
        <v>106</v>
      </c>
      <c r="R1789" t="s">
        <v>106</v>
      </c>
      <c r="S1789" t="s">
        <v>106</v>
      </c>
      <c r="T1789" t="s">
        <v>1810</v>
      </c>
      <c r="U1789" t="s">
        <v>145</v>
      </c>
      <c r="V1789" t="s">
        <v>106</v>
      </c>
      <c r="W1789" t="s">
        <v>954</v>
      </c>
      <c r="X1789" t="s">
        <v>106</v>
      </c>
      <c r="Y1789" t="s">
        <v>108</v>
      </c>
      <c r="Z1789" t="s">
        <v>108</v>
      </c>
      <c r="AA1789" t="s">
        <v>106</v>
      </c>
      <c r="AB1789" t="s">
        <v>106</v>
      </c>
    </row>
    <row r="1790" spans="1:28" x14ac:dyDescent="0.3">
      <c r="A1790" t="s">
        <v>1486</v>
      </c>
      <c r="B1790">
        <v>3</v>
      </c>
      <c r="C1790">
        <v>35</v>
      </c>
      <c r="D1790">
        <v>75</v>
      </c>
      <c r="E1790" t="s">
        <v>128</v>
      </c>
      <c r="F1790" s="12">
        <v>45642</v>
      </c>
      <c r="G1790" t="s">
        <v>740</v>
      </c>
      <c r="H1790" s="12">
        <v>45642</v>
      </c>
      <c r="I1790" t="s">
        <v>142</v>
      </c>
      <c r="J1790" t="s">
        <v>458</v>
      </c>
      <c r="K1790">
        <v>2</v>
      </c>
      <c r="L1790">
        <v>35</v>
      </c>
      <c r="M1790">
        <v>35.200000000000003</v>
      </c>
      <c r="P1790" t="s">
        <v>106</v>
      </c>
      <c r="Q1790" t="s">
        <v>106</v>
      </c>
      <c r="R1790" t="s">
        <v>106</v>
      </c>
      <c r="S1790" t="s">
        <v>106</v>
      </c>
      <c r="T1790" t="s">
        <v>106</v>
      </c>
      <c r="U1790" t="s">
        <v>146</v>
      </c>
      <c r="V1790" t="s">
        <v>106</v>
      </c>
      <c r="W1790" t="s">
        <v>476</v>
      </c>
      <c r="X1790" t="s">
        <v>106</v>
      </c>
      <c r="Y1790" t="s">
        <v>108</v>
      </c>
      <c r="Z1790" t="s">
        <v>108</v>
      </c>
      <c r="AA1790" t="s">
        <v>106</v>
      </c>
      <c r="AB1790" t="s">
        <v>2113</v>
      </c>
    </row>
    <row r="1791" spans="1:28" x14ac:dyDescent="0.3">
      <c r="A1791" t="s">
        <v>1486</v>
      </c>
      <c r="B1791">
        <v>3</v>
      </c>
      <c r="C1791">
        <v>35</v>
      </c>
      <c r="D1791">
        <v>92</v>
      </c>
      <c r="E1791" t="s">
        <v>128</v>
      </c>
      <c r="F1791" s="12">
        <v>45642</v>
      </c>
      <c r="G1791" t="s">
        <v>2123</v>
      </c>
      <c r="H1791" s="12">
        <v>45642</v>
      </c>
      <c r="I1791" t="s">
        <v>1492</v>
      </c>
      <c r="J1791" t="s">
        <v>471</v>
      </c>
      <c r="K1791">
        <v>2</v>
      </c>
      <c r="L1791">
        <v>36.200000000000003</v>
      </c>
      <c r="M1791">
        <v>36.4</v>
      </c>
      <c r="P1791" t="s">
        <v>106</v>
      </c>
      <c r="Q1791" t="s">
        <v>106</v>
      </c>
      <c r="R1791" t="s">
        <v>106</v>
      </c>
      <c r="S1791" t="s">
        <v>106</v>
      </c>
      <c r="T1791" t="s">
        <v>1810</v>
      </c>
      <c r="U1791" t="s">
        <v>2276</v>
      </c>
      <c r="V1791" t="s">
        <v>106</v>
      </c>
      <c r="W1791" t="s">
        <v>954</v>
      </c>
      <c r="X1791" t="s">
        <v>106</v>
      </c>
      <c r="Y1791" t="s">
        <v>108</v>
      </c>
      <c r="Z1791" t="s">
        <v>108</v>
      </c>
      <c r="AA1791" t="s">
        <v>106</v>
      </c>
      <c r="AB1791" t="s">
        <v>106</v>
      </c>
    </row>
    <row r="1792" spans="1:28" x14ac:dyDescent="0.3">
      <c r="A1792" t="s">
        <v>1486</v>
      </c>
      <c r="B1792">
        <v>3</v>
      </c>
      <c r="C1792">
        <v>35</v>
      </c>
      <c r="D1792">
        <v>98</v>
      </c>
      <c r="E1792" t="s">
        <v>128</v>
      </c>
      <c r="F1792" s="12">
        <v>45642</v>
      </c>
      <c r="G1792" t="s">
        <v>1755</v>
      </c>
      <c r="H1792" s="12">
        <v>45642</v>
      </c>
      <c r="I1792" t="s">
        <v>1493</v>
      </c>
      <c r="J1792" t="s">
        <v>471</v>
      </c>
      <c r="K1792">
        <v>2</v>
      </c>
      <c r="L1792">
        <v>33.200000000000003</v>
      </c>
      <c r="M1792">
        <v>33.299999999999997</v>
      </c>
      <c r="P1792" t="s">
        <v>106</v>
      </c>
      <c r="Q1792" t="s">
        <v>106</v>
      </c>
      <c r="R1792" t="s">
        <v>106</v>
      </c>
      <c r="S1792" t="s">
        <v>1388</v>
      </c>
      <c r="T1792" t="s">
        <v>1386</v>
      </c>
      <c r="U1792" t="s">
        <v>145</v>
      </c>
      <c r="V1792" t="s">
        <v>106</v>
      </c>
      <c r="W1792" t="s">
        <v>954</v>
      </c>
      <c r="X1792" t="s">
        <v>106</v>
      </c>
      <c r="Y1792" t="s">
        <v>108</v>
      </c>
      <c r="Z1792" t="s">
        <v>108</v>
      </c>
      <c r="AA1792" t="s">
        <v>106</v>
      </c>
      <c r="AB1792" t="s">
        <v>106</v>
      </c>
    </row>
    <row r="1793" spans="1:28" x14ac:dyDescent="0.3">
      <c r="A1793" t="s">
        <v>1486</v>
      </c>
      <c r="B1793">
        <v>3</v>
      </c>
      <c r="C1793">
        <v>35</v>
      </c>
      <c r="D1793">
        <v>99</v>
      </c>
      <c r="E1793" t="s">
        <v>128</v>
      </c>
      <c r="F1793" s="12">
        <v>45642</v>
      </c>
      <c r="G1793" t="s">
        <v>2150</v>
      </c>
      <c r="H1793" s="12">
        <v>45642</v>
      </c>
      <c r="I1793" t="s">
        <v>1493</v>
      </c>
      <c r="J1793" t="s">
        <v>471</v>
      </c>
      <c r="K1793">
        <v>2</v>
      </c>
      <c r="L1793">
        <v>35.200000000000003</v>
      </c>
      <c r="M1793">
        <v>35.4</v>
      </c>
      <c r="P1793" t="s">
        <v>106</v>
      </c>
      <c r="Q1793" t="s">
        <v>106</v>
      </c>
      <c r="R1793" t="s">
        <v>106</v>
      </c>
      <c r="S1793" t="s">
        <v>1654</v>
      </c>
      <c r="T1793" t="s">
        <v>1810</v>
      </c>
      <c r="U1793" t="s">
        <v>785</v>
      </c>
      <c r="V1793" t="s">
        <v>106</v>
      </c>
      <c r="W1793" t="s">
        <v>954</v>
      </c>
      <c r="X1793" t="s">
        <v>106</v>
      </c>
      <c r="Y1793" t="s">
        <v>108</v>
      </c>
      <c r="Z1793" t="s">
        <v>108</v>
      </c>
      <c r="AA1793" t="s">
        <v>106</v>
      </c>
      <c r="AB1793" t="s">
        <v>106</v>
      </c>
    </row>
    <row r="1794" spans="1:28" x14ac:dyDescent="0.3">
      <c r="A1794" t="s">
        <v>1486</v>
      </c>
      <c r="B1794">
        <v>3</v>
      </c>
      <c r="C1794">
        <v>35</v>
      </c>
      <c r="D1794">
        <v>85</v>
      </c>
      <c r="E1794" t="s">
        <v>128</v>
      </c>
      <c r="F1794" s="12">
        <v>45642</v>
      </c>
      <c r="G1794" t="s">
        <v>2190</v>
      </c>
      <c r="H1794" s="12">
        <v>45642</v>
      </c>
      <c r="I1794" t="s">
        <v>2117</v>
      </c>
      <c r="J1794" t="s">
        <v>471</v>
      </c>
      <c r="K1794">
        <v>2</v>
      </c>
      <c r="L1794">
        <v>34.4</v>
      </c>
      <c r="M1794">
        <v>34.299999999999997</v>
      </c>
      <c r="P1794" t="s">
        <v>106</v>
      </c>
      <c r="Q1794" t="s">
        <v>106</v>
      </c>
      <c r="R1794" t="s">
        <v>106</v>
      </c>
      <c r="S1794" t="s">
        <v>1335</v>
      </c>
      <c r="T1794" t="s">
        <v>1804</v>
      </c>
      <c r="U1794" t="s">
        <v>2276</v>
      </c>
      <c r="V1794" t="s">
        <v>106</v>
      </c>
      <c r="W1794" t="s">
        <v>954</v>
      </c>
      <c r="X1794" t="s">
        <v>106</v>
      </c>
      <c r="Y1794" t="s">
        <v>108</v>
      </c>
      <c r="Z1794" t="s">
        <v>108</v>
      </c>
      <c r="AA1794" t="s">
        <v>106</v>
      </c>
      <c r="AB1794" t="s">
        <v>106</v>
      </c>
    </row>
    <row r="1795" spans="1:28" x14ac:dyDescent="0.3">
      <c r="A1795" t="s">
        <v>1486</v>
      </c>
      <c r="B1795">
        <v>3</v>
      </c>
      <c r="C1795">
        <v>35</v>
      </c>
      <c r="D1795">
        <v>69</v>
      </c>
      <c r="E1795" t="s">
        <v>128</v>
      </c>
      <c r="F1795" s="12">
        <v>45642</v>
      </c>
      <c r="G1795" t="s">
        <v>549</v>
      </c>
      <c r="H1795" s="12">
        <v>45642</v>
      </c>
      <c r="I1795" t="s">
        <v>553</v>
      </c>
      <c r="J1795" t="s">
        <v>458</v>
      </c>
      <c r="K1795">
        <v>2</v>
      </c>
      <c r="L1795">
        <v>34.9</v>
      </c>
      <c r="M1795">
        <v>34.200000000000003</v>
      </c>
      <c r="P1795" t="s">
        <v>106</v>
      </c>
      <c r="Q1795" t="s">
        <v>106</v>
      </c>
      <c r="R1795" t="s">
        <v>106</v>
      </c>
      <c r="S1795" t="s">
        <v>1399</v>
      </c>
      <c r="T1795" t="s">
        <v>1495</v>
      </c>
      <c r="U1795" t="s">
        <v>618</v>
      </c>
      <c r="V1795" t="s">
        <v>106</v>
      </c>
      <c r="W1795" t="s">
        <v>476</v>
      </c>
      <c r="X1795" t="s">
        <v>106</v>
      </c>
      <c r="Y1795" t="s">
        <v>108</v>
      </c>
      <c r="Z1795" t="s">
        <v>108</v>
      </c>
      <c r="AA1795" t="s">
        <v>106</v>
      </c>
      <c r="AB1795" t="s">
        <v>106</v>
      </c>
    </row>
    <row r="1796" spans="1:28" x14ac:dyDescent="0.3">
      <c r="A1796" t="s">
        <v>1486</v>
      </c>
      <c r="B1796">
        <v>3</v>
      </c>
      <c r="C1796">
        <v>35</v>
      </c>
      <c r="D1796">
        <v>68</v>
      </c>
      <c r="E1796" t="s">
        <v>128</v>
      </c>
      <c r="F1796" s="12">
        <v>45642</v>
      </c>
      <c r="G1796" t="s">
        <v>405</v>
      </c>
      <c r="H1796" s="12">
        <v>45642</v>
      </c>
      <c r="I1796" t="s">
        <v>553</v>
      </c>
      <c r="J1796" t="s">
        <v>458</v>
      </c>
      <c r="K1796">
        <v>2</v>
      </c>
      <c r="L1796">
        <v>32</v>
      </c>
      <c r="M1796">
        <v>32</v>
      </c>
      <c r="P1796" t="s">
        <v>106</v>
      </c>
      <c r="Q1796" t="s">
        <v>106</v>
      </c>
      <c r="R1796" t="s">
        <v>106</v>
      </c>
      <c r="S1796" t="s">
        <v>1367</v>
      </c>
      <c r="T1796" t="s">
        <v>1409</v>
      </c>
      <c r="U1796" t="s">
        <v>545</v>
      </c>
      <c r="V1796" t="s">
        <v>106</v>
      </c>
      <c r="W1796" t="s">
        <v>476</v>
      </c>
      <c r="X1796" t="s">
        <v>106</v>
      </c>
      <c r="Y1796" t="s">
        <v>108</v>
      </c>
      <c r="Z1796" t="s">
        <v>108</v>
      </c>
      <c r="AA1796" t="s">
        <v>106</v>
      </c>
      <c r="AB1796" t="s">
        <v>106</v>
      </c>
    </row>
    <row r="1797" spans="1:28" x14ac:dyDescent="0.3">
      <c r="A1797" t="s">
        <v>1486</v>
      </c>
      <c r="B1797">
        <v>3</v>
      </c>
      <c r="C1797">
        <v>35</v>
      </c>
      <c r="D1797">
        <v>65</v>
      </c>
      <c r="E1797" t="s">
        <v>128</v>
      </c>
      <c r="F1797" s="12">
        <v>45642</v>
      </c>
      <c r="G1797" t="s">
        <v>1559</v>
      </c>
      <c r="H1797" s="12">
        <v>45642</v>
      </c>
      <c r="I1797" t="s">
        <v>2111</v>
      </c>
      <c r="J1797" t="s">
        <v>458</v>
      </c>
      <c r="K1797">
        <v>2</v>
      </c>
      <c r="L1797">
        <v>35.700000000000003</v>
      </c>
      <c r="M1797">
        <v>36</v>
      </c>
      <c r="P1797" t="s">
        <v>106</v>
      </c>
      <c r="Q1797" t="s">
        <v>106</v>
      </c>
      <c r="R1797" t="s">
        <v>106</v>
      </c>
      <c r="S1797" t="s">
        <v>106</v>
      </c>
      <c r="T1797" t="s">
        <v>1864</v>
      </c>
      <c r="U1797" t="s">
        <v>785</v>
      </c>
      <c r="V1797" t="s">
        <v>106</v>
      </c>
      <c r="W1797" t="s">
        <v>476</v>
      </c>
      <c r="X1797" t="s">
        <v>106</v>
      </c>
      <c r="Y1797" t="s">
        <v>108</v>
      </c>
      <c r="Z1797" t="s">
        <v>108</v>
      </c>
      <c r="AA1797" t="s">
        <v>106</v>
      </c>
      <c r="AB1797" t="s">
        <v>106</v>
      </c>
    </row>
    <row r="1798" spans="1:28" x14ac:dyDescent="0.3">
      <c r="A1798" t="s">
        <v>1486</v>
      </c>
      <c r="B1798">
        <v>3</v>
      </c>
      <c r="C1798">
        <v>35</v>
      </c>
      <c r="D1798">
        <v>64</v>
      </c>
      <c r="E1798" t="s">
        <v>128</v>
      </c>
      <c r="F1798" s="12">
        <v>45642</v>
      </c>
      <c r="G1798" t="s">
        <v>1559</v>
      </c>
      <c r="H1798" s="12">
        <v>45642</v>
      </c>
      <c r="I1798" t="s">
        <v>2111</v>
      </c>
      <c r="J1798" t="s">
        <v>458</v>
      </c>
      <c r="K1798">
        <v>2</v>
      </c>
      <c r="L1798">
        <v>37.799999999999997</v>
      </c>
      <c r="M1798">
        <v>38</v>
      </c>
      <c r="P1798" t="s">
        <v>106</v>
      </c>
      <c r="Q1798" t="s">
        <v>106</v>
      </c>
      <c r="R1798" t="s">
        <v>106</v>
      </c>
      <c r="S1798" t="s">
        <v>106</v>
      </c>
      <c r="T1798" t="s">
        <v>1822</v>
      </c>
      <c r="U1798" t="s">
        <v>532</v>
      </c>
      <c r="V1798" t="s">
        <v>106</v>
      </c>
      <c r="W1798" t="s">
        <v>476</v>
      </c>
      <c r="X1798" t="s">
        <v>106</v>
      </c>
      <c r="Y1798" t="s">
        <v>108</v>
      </c>
      <c r="Z1798" t="s">
        <v>108</v>
      </c>
      <c r="AA1798" t="s">
        <v>106</v>
      </c>
      <c r="AB1798" t="s">
        <v>106</v>
      </c>
    </row>
    <row r="1799" spans="1:28" x14ac:dyDescent="0.3">
      <c r="A1799" t="s">
        <v>1486</v>
      </c>
      <c r="B1799">
        <v>4</v>
      </c>
      <c r="C1799">
        <v>60</v>
      </c>
      <c r="D1799">
        <v>96</v>
      </c>
      <c r="E1799" t="s">
        <v>128</v>
      </c>
      <c r="F1799" s="12">
        <v>45642</v>
      </c>
      <c r="G1799" t="s">
        <v>2557</v>
      </c>
      <c r="H1799" s="12">
        <v>45642</v>
      </c>
      <c r="I1799" t="s">
        <v>1492</v>
      </c>
      <c r="J1799" t="s">
        <v>471</v>
      </c>
      <c r="K1799">
        <v>2</v>
      </c>
      <c r="L1799">
        <v>56.8</v>
      </c>
      <c r="M1799">
        <v>57.2</v>
      </c>
      <c r="P1799" t="s">
        <v>106</v>
      </c>
      <c r="Q1799" t="s">
        <v>106</v>
      </c>
      <c r="R1799" t="s">
        <v>106</v>
      </c>
      <c r="S1799" t="s">
        <v>106</v>
      </c>
      <c r="T1799" t="s">
        <v>1947</v>
      </c>
      <c r="U1799" t="s">
        <v>532</v>
      </c>
      <c r="V1799" t="s">
        <v>106</v>
      </c>
      <c r="W1799" t="s">
        <v>954</v>
      </c>
      <c r="X1799" t="s">
        <v>106</v>
      </c>
      <c r="Y1799" t="s">
        <v>108</v>
      </c>
      <c r="Z1799" t="s">
        <v>104</v>
      </c>
      <c r="AA1799" t="s">
        <v>106</v>
      </c>
      <c r="AB1799" t="s">
        <v>106</v>
      </c>
    </row>
    <row r="1800" spans="1:28" x14ac:dyDescent="0.3">
      <c r="A1800" t="s">
        <v>1486</v>
      </c>
      <c r="B1800">
        <v>4</v>
      </c>
      <c r="C1800">
        <v>60</v>
      </c>
      <c r="D1800">
        <v>102</v>
      </c>
      <c r="E1800" t="s">
        <v>128</v>
      </c>
      <c r="F1800" s="12">
        <v>45642</v>
      </c>
      <c r="G1800" t="s">
        <v>669</v>
      </c>
      <c r="H1800" s="12">
        <v>45642</v>
      </c>
      <c r="I1800" t="s">
        <v>1493</v>
      </c>
      <c r="J1800" t="s">
        <v>471</v>
      </c>
      <c r="K1800">
        <v>2</v>
      </c>
      <c r="L1800">
        <v>55.7</v>
      </c>
      <c r="M1800">
        <v>55.7</v>
      </c>
      <c r="P1800" t="s">
        <v>106</v>
      </c>
      <c r="Q1800" t="s">
        <v>106</v>
      </c>
      <c r="R1800" t="s">
        <v>106</v>
      </c>
      <c r="S1800" t="s">
        <v>1427</v>
      </c>
      <c r="T1800" t="s">
        <v>1400</v>
      </c>
      <c r="U1800" t="s">
        <v>785</v>
      </c>
      <c r="V1800" t="s">
        <v>106</v>
      </c>
      <c r="W1800" t="s">
        <v>954</v>
      </c>
      <c r="X1800" t="s">
        <v>106</v>
      </c>
      <c r="Y1800" t="s">
        <v>108</v>
      </c>
      <c r="Z1800" t="s">
        <v>104</v>
      </c>
      <c r="AA1800" t="s">
        <v>106</v>
      </c>
      <c r="AB1800" t="s">
        <v>106</v>
      </c>
    </row>
    <row r="1801" spans="1:28" x14ac:dyDescent="0.3">
      <c r="A1801" t="s">
        <v>1486</v>
      </c>
      <c r="B1801">
        <v>4</v>
      </c>
      <c r="C1801">
        <v>60</v>
      </c>
      <c r="D1801">
        <v>66</v>
      </c>
      <c r="E1801" t="s">
        <v>128</v>
      </c>
      <c r="F1801" s="12">
        <v>45642</v>
      </c>
      <c r="G1801" t="s">
        <v>717</v>
      </c>
      <c r="H1801" s="12">
        <v>45642</v>
      </c>
      <c r="I1801" t="s">
        <v>2111</v>
      </c>
      <c r="J1801" t="s">
        <v>458</v>
      </c>
      <c r="K1801">
        <v>2</v>
      </c>
      <c r="L1801">
        <v>56.2</v>
      </c>
      <c r="M1801">
        <v>56.8</v>
      </c>
      <c r="P1801" t="s">
        <v>106</v>
      </c>
      <c r="Q1801" t="s">
        <v>106</v>
      </c>
      <c r="R1801" t="s">
        <v>106</v>
      </c>
      <c r="S1801" t="s">
        <v>106</v>
      </c>
      <c r="T1801" t="s">
        <v>1049</v>
      </c>
      <c r="U1801" t="s">
        <v>769</v>
      </c>
      <c r="V1801" t="s">
        <v>106</v>
      </c>
      <c r="W1801" t="s">
        <v>476</v>
      </c>
      <c r="X1801" t="s">
        <v>106</v>
      </c>
      <c r="Y1801" t="s">
        <v>108</v>
      </c>
      <c r="Z1801" t="s">
        <v>104</v>
      </c>
      <c r="AA1801" t="s">
        <v>106</v>
      </c>
      <c r="AB1801" t="s">
        <v>106</v>
      </c>
    </row>
    <row r="1802" spans="1:28" x14ac:dyDescent="0.3">
      <c r="A1802" t="s">
        <v>1486</v>
      </c>
      <c r="B1802">
        <v>4</v>
      </c>
      <c r="C1802">
        <v>60</v>
      </c>
      <c r="D1802">
        <v>90</v>
      </c>
      <c r="E1802" t="s">
        <v>128</v>
      </c>
      <c r="F1802" s="12">
        <v>45642</v>
      </c>
      <c r="G1802" t="s">
        <v>2725</v>
      </c>
      <c r="H1802" s="12">
        <v>45642</v>
      </c>
      <c r="I1802" t="s">
        <v>2117</v>
      </c>
      <c r="J1802" t="s">
        <v>471</v>
      </c>
      <c r="K1802">
        <v>2</v>
      </c>
      <c r="L1802">
        <v>56.7</v>
      </c>
      <c r="M1802">
        <v>56.1</v>
      </c>
      <c r="P1802" t="s">
        <v>106</v>
      </c>
      <c r="Q1802" t="s">
        <v>106</v>
      </c>
      <c r="R1802" t="s">
        <v>106</v>
      </c>
      <c r="S1802" t="s">
        <v>1570</v>
      </c>
      <c r="T1802" t="s">
        <v>1850</v>
      </c>
      <c r="U1802" t="s">
        <v>369</v>
      </c>
      <c r="V1802" t="s">
        <v>106</v>
      </c>
      <c r="W1802" t="s">
        <v>954</v>
      </c>
      <c r="X1802" t="s">
        <v>106</v>
      </c>
      <c r="Y1802" t="s">
        <v>108</v>
      </c>
      <c r="Z1802" t="s">
        <v>104</v>
      </c>
      <c r="AA1802" t="s">
        <v>106</v>
      </c>
      <c r="AB1802" t="s">
        <v>106</v>
      </c>
    </row>
    <row r="1803" spans="1:28" x14ac:dyDescent="0.3">
      <c r="A1803" t="s">
        <v>1486</v>
      </c>
      <c r="B1803">
        <v>4</v>
      </c>
      <c r="C1803">
        <v>60</v>
      </c>
      <c r="D1803">
        <v>89</v>
      </c>
      <c r="E1803" t="s">
        <v>128</v>
      </c>
      <c r="F1803" s="12">
        <v>45642</v>
      </c>
      <c r="G1803" t="s">
        <v>2554</v>
      </c>
      <c r="H1803" s="12">
        <v>45642</v>
      </c>
      <c r="I1803" t="s">
        <v>2117</v>
      </c>
      <c r="J1803" t="s">
        <v>471</v>
      </c>
      <c r="K1803">
        <v>2</v>
      </c>
      <c r="L1803">
        <v>59.9</v>
      </c>
      <c r="M1803">
        <v>59.4</v>
      </c>
      <c r="P1803" t="s">
        <v>106</v>
      </c>
      <c r="Q1803" t="s">
        <v>106</v>
      </c>
      <c r="R1803" t="s">
        <v>106</v>
      </c>
      <c r="S1803" t="s">
        <v>2162</v>
      </c>
      <c r="T1803" t="s">
        <v>1459</v>
      </c>
      <c r="U1803" t="s">
        <v>785</v>
      </c>
      <c r="V1803" t="s">
        <v>106</v>
      </c>
      <c r="W1803" t="s">
        <v>954</v>
      </c>
      <c r="X1803" t="s">
        <v>106</v>
      </c>
      <c r="Y1803" t="s">
        <v>108</v>
      </c>
      <c r="Z1803" t="s">
        <v>104</v>
      </c>
      <c r="AA1803" t="s">
        <v>106</v>
      </c>
      <c r="AB1803" t="s">
        <v>106</v>
      </c>
    </row>
    <row r="1804" spans="1:28" x14ac:dyDescent="0.3">
      <c r="A1804" t="s">
        <v>1486</v>
      </c>
      <c r="B1804">
        <v>4</v>
      </c>
      <c r="C1804">
        <v>60</v>
      </c>
      <c r="D1804">
        <v>88</v>
      </c>
      <c r="E1804" t="s">
        <v>128</v>
      </c>
      <c r="F1804" s="12">
        <v>45642</v>
      </c>
      <c r="G1804" t="s">
        <v>2027</v>
      </c>
      <c r="H1804" s="12">
        <v>45642</v>
      </c>
      <c r="I1804" t="s">
        <v>2117</v>
      </c>
      <c r="J1804" t="s">
        <v>471</v>
      </c>
      <c r="K1804">
        <v>2</v>
      </c>
      <c r="L1804">
        <v>52.9</v>
      </c>
      <c r="M1804">
        <v>52.6</v>
      </c>
      <c r="P1804" t="s">
        <v>106</v>
      </c>
      <c r="Q1804" t="s">
        <v>106</v>
      </c>
      <c r="R1804" t="s">
        <v>106</v>
      </c>
      <c r="S1804" t="s">
        <v>2201</v>
      </c>
      <c r="T1804" t="s">
        <v>881</v>
      </c>
      <c r="U1804" t="s">
        <v>769</v>
      </c>
      <c r="V1804" t="s">
        <v>106</v>
      </c>
      <c r="W1804" t="s">
        <v>954</v>
      </c>
      <c r="X1804" t="s">
        <v>106</v>
      </c>
      <c r="Y1804" t="s">
        <v>108</v>
      </c>
      <c r="Z1804" t="s">
        <v>104</v>
      </c>
      <c r="AA1804" t="s">
        <v>106</v>
      </c>
      <c r="AB1804" t="s">
        <v>106</v>
      </c>
    </row>
    <row r="1805" spans="1:28" x14ac:dyDescent="0.3">
      <c r="A1805" t="s">
        <v>1486</v>
      </c>
      <c r="B1805">
        <v>4</v>
      </c>
      <c r="C1805">
        <v>60</v>
      </c>
      <c r="D1805">
        <v>82</v>
      </c>
      <c r="E1805" t="s">
        <v>128</v>
      </c>
      <c r="F1805" s="12">
        <v>45642</v>
      </c>
      <c r="G1805" t="s">
        <v>608</v>
      </c>
      <c r="H1805" s="12">
        <v>45642</v>
      </c>
      <c r="I1805" t="s">
        <v>1489</v>
      </c>
      <c r="J1805" t="s">
        <v>458</v>
      </c>
      <c r="K1805">
        <v>2</v>
      </c>
      <c r="L1805">
        <v>55.2</v>
      </c>
      <c r="M1805">
        <v>54.9</v>
      </c>
      <c r="P1805" t="s">
        <v>106</v>
      </c>
      <c r="Q1805" t="s">
        <v>106</v>
      </c>
      <c r="R1805" t="s">
        <v>106</v>
      </c>
      <c r="S1805" t="s">
        <v>1388</v>
      </c>
      <c r="T1805" t="s">
        <v>984</v>
      </c>
      <c r="U1805" t="s">
        <v>106</v>
      </c>
      <c r="V1805" t="s">
        <v>106</v>
      </c>
      <c r="W1805" t="s">
        <v>476</v>
      </c>
      <c r="X1805" t="s">
        <v>106</v>
      </c>
      <c r="Y1805" t="s">
        <v>108</v>
      </c>
      <c r="Z1805" t="s">
        <v>108</v>
      </c>
      <c r="AA1805" t="s">
        <v>106</v>
      </c>
      <c r="AB1805" t="s">
        <v>106</v>
      </c>
    </row>
    <row r="1806" spans="1:28" x14ac:dyDescent="0.3">
      <c r="A1806" t="s">
        <v>1486</v>
      </c>
      <c r="B1806">
        <v>4</v>
      </c>
      <c r="C1806">
        <v>60</v>
      </c>
      <c r="D1806">
        <v>81</v>
      </c>
      <c r="E1806" t="s">
        <v>128</v>
      </c>
      <c r="F1806" s="12">
        <v>45642</v>
      </c>
      <c r="G1806" t="s">
        <v>608</v>
      </c>
      <c r="H1806" s="12">
        <v>45642</v>
      </c>
      <c r="I1806" t="s">
        <v>1489</v>
      </c>
      <c r="J1806" t="s">
        <v>458</v>
      </c>
      <c r="K1806">
        <v>2</v>
      </c>
      <c r="L1806">
        <v>56</v>
      </c>
      <c r="M1806">
        <v>55.9</v>
      </c>
      <c r="P1806" t="s">
        <v>106</v>
      </c>
      <c r="Q1806" t="s">
        <v>106</v>
      </c>
      <c r="R1806" t="s">
        <v>106</v>
      </c>
      <c r="S1806" t="s">
        <v>1717</v>
      </c>
      <c r="T1806" t="s">
        <v>1810</v>
      </c>
      <c r="U1806" t="s">
        <v>106</v>
      </c>
      <c r="V1806" t="s">
        <v>106</v>
      </c>
      <c r="W1806" t="s">
        <v>476</v>
      </c>
      <c r="X1806" t="s">
        <v>106</v>
      </c>
      <c r="Y1806" t="s">
        <v>108</v>
      </c>
      <c r="Z1806" t="s">
        <v>108</v>
      </c>
      <c r="AA1806" t="s">
        <v>106</v>
      </c>
      <c r="AB1806" t="s">
        <v>106</v>
      </c>
    </row>
    <row r="1807" spans="1:28" x14ac:dyDescent="0.3">
      <c r="A1807" t="s">
        <v>1486</v>
      </c>
      <c r="B1807">
        <v>4</v>
      </c>
      <c r="C1807">
        <v>60</v>
      </c>
      <c r="D1807">
        <v>103</v>
      </c>
      <c r="E1807" t="s">
        <v>128</v>
      </c>
      <c r="F1807" s="12">
        <v>45642</v>
      </c>
      <c r="G1807" t="s">
        <v>985</v>
      </c>
      <c r="H1807" s="12">
        <v>45642</v>
      </c>
      <c r="I1807" t="s">
        <v>1493</v>
      </c>
      <c r="J1807" t="s">
        <v>471</v>
      </c>
      <c r="K1807">
        <v>2</v>
      </c>
      <c r="L1807">
        <v>58.8</v>
      </c>
      <c r="M1807">
        <v>57.1</v>
      </c>
      <c r="P1807" t="s">
        <v>106</v>
      </c>
      <c r="Q1807" t="s">
        <v>106</v>
      </c>
      <c r="R1807" t="s">
        <v>106</v>
      </c>
      <c r="S1807" t="s">
        <v>1792</v>
      </c>
      <c r="T1807" t="s">
        <v>1381</v>
      </c>
      <c r="U1807" t="s">
        <v>630</v>
      </c>
      <c r="V1807" t="s">
        <v>106</v>
      </c>
      <c r="W1807" t="s">
        <v>954</v>
      </c>
      <c r="X1807" t="s">
        <v>106</v>
      </c>
      <c r="Y1807" t="s">
        <v>108</v>
      </c>
      <c r="Z1807" t="s">
        <v>104</v>
      </c>
      <c r="AA1807" t="s">
        <v>106</v>
      </c>
      <c r="AB1807" t="s">
        <v>106</v>
      </c>
    </row>
    <row r="1808" spans="1:28" x14ac:dyDescent="0.3">
      <c r="A1808" t="s">
        <v>1486</v>
      </c>
      <c r="B1808">
        <v>4</v>
      </c>
      <c r="C1808">
        <v>60</v>
      </c>
      <c r="D1808">
        <v>76</v>
      </c>
      <c r="E1808" t="s">
        <v>128</v>
      </c>
      <c r="F1808" s="12">
        <v>45642</v>
      </c>
      <c r="G1808" t="s">
        <v>742</v>
      </c>
      <c r="H1808" s="12">
        <v>45642</v>
      </c>
      <c r="I1808" t="s">
        <v>142</v>
      </c>
      <c r="J1808" t="s">
        <v>458</v>
      </c>
      <c r="K1808">
        <v>2</v>
      </c>
      <c r="L1808">
        <v>60.9</v>
      </c>
      <c r="M1808">
        <v>60.1</v>
      </c>
      <c r="P1808" t="s">
        <v>106</v>
      </c>
      <c r="Q1808" t="s">
        <v>106</v>
      </c>
      <c r="R1808" t="s">
        <v>106</v>
      </c>
      <c r="S1808" t="s">
        <v>106</v>
      </c>
      <c r="T1808" t="s">
        <v>106</v>
      </c>
      <c r="U1808" t="s">
        <v>143</v>
      </c>
      <c r="V1808" t="s">
        <v>106</v>
      </c>
      <c r="W1808" t="s">
        <v>476</v>
      </c>
      <c r="X1808" t="s">
        <v>106</v>
      </c>
      <c r="Y1808" t="s">
        <v>108</v>
      </c>
      <c r="Z1808" t="s">
        <v>104</v>
      </c>
      <c r="AA1808" t="s">
        <v>106</v>
      </c>
      <c r="AB1808" t="s">
        <v>106</v>
      </c>
    </row>
    <row r="1809" spans="1:28" x14ac:dyDescent="0.3">
      <c r="A1809" t="s">
        <v>1486</v>
      </c>
      <c r="B1809">
        <v>4</v>
      </c>
      <c r="C1809">
        <v>60</v>
      </c>
      <c r="D1809">
        <v>73</v>
      </c>
      <c r="E1809" t="s">
        <v>128</v>
      </c>
      <c r="F1809" s="12">
        <v>45642</v>
      </c>
      <c r="G1809" t="s">
        <v>1389</v>
      </c>
      <c r="H1809" s="12">
        <v>45642</v>
      </c>
      <c r="I1809" t="s">
        <v>553</v>
      </c>
      <c r="J1809" t="s">
        <v>458</v>
      </c>
      <c r="K1809">
        <v>2</v>
      </c>
      <c r="L1809">
        <v>56.1</v>
      </c>
      <c r="M1809">
        <v>55.8</v>
      </c>
      <c r="P1809" t="s">
        <v>106</v>
      </c>
      <c r="Q1809" t="s">
        <v>106</v>
      </c>
      <c r="R1809" t="s">
        <v>106</v>
      </c>
      <c r="S1809" t="s">
        <v>1494</v>
      </c>
      <c r="T1809" t="s">
        <v>754</v>
      </c>
      <c r="U1809" t="s">
        <v>2276</v>
      </c>
      <c r="V1809" t="s">
        <v>106</v>
      </c>
      <c r="W1809" t="s">
        <v>476</v>
      </c>
      <c r="X1809" t="s">
        <v>106</v>
      </c>
      <c r="Y1809" t="s">
        <v>108</v>
      </c>
      <c r="Z1809" t="s">
        <v>104</v>
      </c>
      <c r="AA1809" t="s">
        <v>106</v>
      </c>
      <c r="AB1809" t="s">
        <v>106</v>
      </c>
    </row>
    <row r="1810" spans="1:28" x14ac:dyDescent="0.3">
      <c r="A1810" t="s">
        <v>1486</v>
      </c>
      <c r="B1810">
        <v>4</v>
      </c>
      <c r="C1810">
        <v>60</v>
      </c>
      <c r="D1810">
        <v>72</v>
      </c>
      <c r="E1810" t="s">
        <v>128</v>
      </c>
      <c r="F1810" s="12">
        <v>45642</v>
      </c>
      <c r="G1810" t="s">
        <v>873</v>
      </c>
      <c r="H1810" s="12">
        <v>45642</v>
      </c>
      <c r="I1810" t="s">
        <v>553</v>
      </c>
      <c r="J1810" t="s">
        <v>458</v>
      </c>
      <c r="K1810">
        <v>2</v>
      </c>
      <c r="L1810">
        <v>55.3</v>
      </c>
      <c r="M1810">
        <v>55.3</v>
      </c>
      <c r="P1810" t="s">
        <v>106</v>
      </c>
      <c r="Q1810" t="s">
        <v>106</v>
      </c>
      <c r="R1810" t="s">
        <v>106</v>
      </c>
      <c r="S1810" t="s">
        <v>1563</v>
      </c>
      <c r="T1810" t="s">
        <v>1022</v>
      </c>
      <c r="U1810" t="s">
        <v>2119</v>
      </c>
      <c r="V1810" t="s">
        <v>106</v>
      </c>
      <c r="W1810" t="s">
        <v>476</v>
      </c>
      <c r="X1810" t="s">
        <v>106</v>
      </c>
      <c r="Y1810" t="s">
        <v>108</v>
      </c>
      <c r="Z1810" t="s">
        <v>104</v>
      </c>
      <c r="AA1810" t="s">
        <v>106</v>
      </c>
      <c r="AB1810" t="s">
        <v>106</v>
      </c>
    </row>
    <row r="1811" spans="1:28" x14ac:dyDescent="0.3">
      <c r="A1811" t="s">
        <v>1486</v>
      </c>
      <c r="B1811">
        <v>4</v>
      </c>
      <c r="C1811">
        <v>60</v>
      </c>
      <c r="D1811">
        <v>57</v>
      </c>
      <c r="E1811" t="s">
        <v>128</v>
      </c>
      <c r="F1811" s="12">
        <v>45642</v>
      </c>
      <c r="G1811" t="s">
        <v>2212</v>
      </c>
      <c r="H1811" s="12">
        <v>45642</v>
      </c>
      <c r="I1811" t="s">
        <v>2114</v>
      </c>
      <c r="J1811" t="s">
        <v>458</v>
      </c>
      <c r="K1811">
        <v>2</v>
      </c>
      <c r="L1811">
        <v>56.8</v>
      </c>
      <c r="M1811">
        <v>56.7</v>
      </c>
      <c r="P1811" t="s">
        <v>106</v>
      </c>
      <c r="Q1811" t="s">
        <v>106</v>
      </c>
      <c r="R1811" t="s">
        <v>106</v>
      </c>
      <c r="S1811" t="s">
        <v>106</v>
      </c>
      <c r="T1811" t="s">
        <v>881</v>
      </c>
      <c r="U1811" t="s">
        <v>106</v>
      </c>
      <c r="V1811" t="s">
        <v>106</v>
      </c>
      <c r="W1811" t="s">
        <v>476</v>
      </c>
      <c r="X1811" t="s">
        <v>106</v>
      </c>
      <c r="Y1811" t="s">
        <v>108</v>
      </c>
      <c r="Z1811" t="s">
        <v>104</v>
      </c>
      <c r="AA1811" t="s">
        <v>106</v>
      </c>
      <c r="AB1811" t="s">
        <v>106</v>
      </c>
    </row>
    <row r="1812" spans="1:28" x14ac:dyDescent="0.3">
      <c r="A1812" t="s">
        <v>1486</v>
      </c>
      <c r="B1812">
        <v>4</v>
      </c>
      <c r="C1812">
        <v>60</v>
      </c>
      <c r="D1812">
        <v>58</v>
      </c>
      <c r="E1812" t="s">
        <v>128</v>
      </c>
      <c r="F1812" s="12">
        <v>45642</v>
      </c>
      <c r="G1812" t="s">
        <v>2212</v>
      </c>
      <c r="H1812" s="12">
        <v>45642</v>
      </c>
      <c r="I1812" t="s">
        <v>2114</v>
      </c>
      <c r="J1812" t="s">
        <v>458</v>
      </c>
      <c r="K1812">
        <v>2</v>
      </c>
      <c r="L1812">
        <v>59.8</v>
      </c>
      <c r="M1812">
        <v>59.7</v>
      </c>
      <c r="P1812" t="s">
        <v>106</v>
      </c>
      <c r="Q1812" t="s">
        <v>106</v>
      </c>
      <c r="R1812" t="s">
        <v>106</v>
      </c>
      <c r="S1812" t="s">
        <v>106</v>
      </c>
      <c r="T1812" t="s">
        <v>1822</v>
      </c>
      <c r="U1812" t="s">
        <v>444</v>
      </c>
      <c r="V1812" t="s">
        <v>106</v>
      </c>
      <c r="W1812" t="s">
        <v>476</v>
      </c>
      <c r="X1812" t="s">
        <v>106</v>
      </c>
      <c r="Y1812" t="s">
        <v>108</v>
      </c>
      <c r="Z1812" t="s">
        <v>104</v>
      </c>
      <c r="AA1812" t="s">
        <v>106</v>
      </c>
      <c r="AB1812" t="s">
        <v>106</v>
      </c>
    </row>
    <row r="1813" spans="1:28" x14ac:dyDescent="0.3">
      <c r="A1813" t="s">
        <v>1486</v>
      </c>
      <c r="B1813">
        <v>4</v>
      </c>
      <c r="C1813">
        <v>60</v>
      </c>
      <c r="D1813">
        <v>67</v>
      </c>
      <c r="E1813" t="s">
        <v>128</v>
      </c>
      <c r="F1813" s="12">
        <v>45642</v>
      </c>
      <c r="G1813" t="s">
        <v>717</v>
      </c>
      <c r="H1813" s="12">
        <v>45642</v>
      </c>
      <c r="I1813" t="s">
        <v>2111</v>
      </c>
      <c r="J1813" t="s">
        <v>458</v>
      </c>
      <c r="K1813">
        <v>2</v>
      </c>
      <c r="L1813">
        <v>55.2</v>
      </c>
      <c r="M1813">
        <v>55.3</v>
      </c>
      <c r="P1813" t="s">
        <v>106</v>
      </c>
      <c r="Q1813" t="s">
        <v>106</v>
      </c>
      <c r="R1813" t="s">
        <v>106</v>
      </c>
      <c r="S1813" t="s">
        <v>106</v>
      </c>
      <c r="T1813" t="s">
        <v>1090</v>
      </c>
      <c r="U1813" t="s">
        <v>630</v>
      </c>
      <c r="V1813" t="s">
        <v>106</v>
      </c>
      <c r="W1813" t="s">
        <v>476</v>
      </c>
      <c r="X1813" t="s">
        <v>106</v>
      </c>
      <c r="Y1813" t="s">
        <v>108</v>
      </c>
      <c r="Z1813" t="s">
        <v>104</v>
      </c>
      <c r="AA1813" t="s">
        <v>106</v>
      </c>
      <c r="AB1813" t="s">
        <v>106</v>
      </c>
    </row>
    <row r="1814" spans="1:28" x14ac:dyDescent="0.3">
      <c r="A1814" t="s">
        <v>1486</v>
      </c>
      <c r="B1814">
        <v>4</v>
      </c>
      <c r="C1814">
        <v>60</v>
      </c>
      <c r="D1814">
        <v>95</v>
      </c>
      <c r="E1814" t="s">
        <v>128</v>
      </c>
      <c r="F1814" s="12">
        <v>45642</v>
      </c>
      <c r="G1814" t="s">
        <v>2557</v>
      </c>
      <c r="H1814" s="12">
        <v>45642</v>
      </c>
      <c r="I1814" t="s">
        <v>1492</v>
      </c>
      <c r="J1814" t="s">
        <v>471</v>
      </c>
      <c r="K1814">
        <v>2</v>
      </c>
      <c r="L1814">
        <v>57.8</v>
      </c>
      <c r="M1814">
        <v>57.5</v>
      </c>
      <c r="P1814" t="s">
        <v>106</v>
      </c>
      <c r="Q1814" t="s">
        <v>106</v>
      </c>
      <c r="R1814" t="s">
        <v>106</v>
      </c>
      <c r="S1814" t="s">
        <v>106</v>
      </c>
      <c r="T1814" t="s">
        <v>1947</v>
      </c>
      <c r="U1814" t="s">
        <v>785</v>
      </c>
      <c r="V1814" t="s">
        <v>106</v>
      </c>
      <c r="W1814" t="s">
        <v>954</v>
      </c>
      <c r="X1814" t="s">
        <v>106</v>
      </c>
      <c r="Y1814" t="s">
        <v>108</v>
      </c>
      <c r="Z1814" t="s">
        <v>104</v>
      </c>
      <c r="AA1814" t="s">
        <v>106</v>
      </c>
      <c r="AB1814" t="s">
        <v>106</v>
      </c>
    </row>
    <row r="1815" spans="1:28" x14ac:dyDescent="0.3">
      <c r="A1815" t="s">
        <v>1486</v>
      </c>
      <c r="B1815">
        <v>1</v>
      </c>
      <c r="C1815">
        <v>0</v>
      </c>
      <c r="D1815">
        <v>155</v>
      </c>
      <c r="E1815" t="s">
        <v>1487</v>
      </c>
      <c r="F1815" s="12">
        <v>45643</v>
      </c>
      <c r="G1815" t="s">
        <v>1497</v>
      </c>
      <c r="H1815" s="12">
        <v>45643</v>
      </c>
      <c r="I1815" t="s">
        <v>1498</v>
      </c>
      <c r="J1815" t="s">
        <v>471</v>
      </c>
      <c r="K1815">
        <v>2</v>
      </c>
      <c r="L1815">
        <v>0</v>
      </c>
      <c r="M1815">
        <v>0</v>
      </c>
      <c r="P1815" t="s">
        <v>106</v>
      </c>
      <c r="Q1815" t="s">
        <v>106</v>
      </c>
      <c r="R1815" t="s">
        <v>106</v>
      </c>
      <c r="S1815" t="s">
        <v>106</v>
      </c>
      <c r="T1815" t="s">
        <v>881</v>
      </c>
      <c r="U1815" t="s">
        <v>369</v>
      </c>
      <c r="V1815" t="s">
        <v>106</v>
      </c>
      <c r="W1815" t="s">
        <v>954</v>
      </c>
      <c r="X1815" t="s">
        <v>106</v>
      </c>
      <c r="Y1815" t="s">
        <v>108</v>
      </c>
      <c r="Z1815" t="s">
        <v>105</v>
      </c>
      <c r="AA1815" t="s">
        <v>106</v>
      </c>
      <c r="AB1815" t="s">
        <v>1499</v>
      </c>
    </row>
    <row r="1816" spans="1:28" x14ac:dyDescent="0.3">
      <c r="A1816" t="s">
        <v>1486</v>
      </c>
      <c r="B1816">
        <v>1</v>
      </c>
      <c r="C1816">
        <v>0</v>
      </c>
      <c r="D1816">
        <v>154</v>
      </c>
      <c r="E1816" t="s">
        <v>128</v>
      </c>
      <c r="F1816" s="12">
        <v>45643</v>
      </c>
      <c r="G1816" t="s">
        <v>1500</v>
      </c>
      <c r="H1816" s="12">
        <v>45643</v>
      </c>
      <c r="I1816" t="s">
        <v>1498</v>
      </c>
      <c r="J1816" t="s">
        <v>471</v>
      </c>
      <c r="K1816">
        <v>2</v>
      </c>
      <c r="L1816">
        <v>0</v>
      </c>
      <c r="M1816">
        <v>0</v>
      </c>
      <c r="P1816" t="s">
        <v>106</v>
      </c>
      <c r="Q1816" t="s">
        <v>106</v>
      </c>
      <c r="R1816" t="s">
        <v>106</v>
      </c>
      <c r="S1816" t="s">
        <v>106</v>
      </c>
      <c r="T1816" t="s">
        <v>1400</v>
      </c>
      <c r="U1816" t="s">
        <v>369</v>
      </c>
      <c r="V1816" t="s">
        <v>106</v>
      </c>
      <c r="W1816" t="s">
        <v>954</v>
      </c>
      <c r="X1816" t="s">
        <v>106</v>
      </c>
      <c r="Y1816" t="s">
        <v>108</v>
      </c>
      <c r="Z1816" t="s">
        <v>105</v>
      </c>
      <c r="AA1816" t="s">
        <v>106</v>
      </c>
      <c r="AB1816" t="s">
        <v>1501</v>
      </c>
    </row>
    <row r="1817" spans="1:28" x14ac:dyDescent="0.3">
      <c r="A1817" t="s">
        <v>1486</v>
      </c>
      <c r="B1817">
        <v>2</v>
      </c>
      <c r="C1817">
        <v>15</v>
      </c>
      <c r="D1817">
        <v>121</v>
      </c>
      <c r="E1817" t="s">
        <v>128</v>
      </c>
      <c r="F1817" s="12">
        <v>45643</v>
      </c>
      <c r="G1817" t="s">
        <v>676</v>
      </c>
      <c r="H1817" s="12">
        <v>45643</v>
      </c>
      <c r="I1817" t="s">
        <v>404</v>
      </c>
      <c r="J1817" t="s">
        <v>458</v>
      </c>
      <c r="K1817">
        <v>2</v>
      </c>
      <c r="L1817">
        <v>14.9</v>
      </c>
      <c r="M1817">
        <v>14.9</v>
      </c>
      <c r="P1817" t="s">
        <v>106</v>
      </c>
      <c r="Q1817" t="s">
        <v>106</v>
      </c>
      <c r="R1817" t="s">
        <v>106</v>
      </c>
      <c r="S1817" t="s">
        <v>1490</v>
      </c>
      <c r="T1817" t="s">
        <v>2095</v>
      </c>
      <c r="U1817" t="s">
        <v>630</v>
      </c>
      <c r="V1817" t="s">
        <v>106</v>
      </c>
      <c r="W1817" t="s">
        <v>476</v>
      </c>
      <c r="X1817" t="s">
        <v>106</v>
      </c>
      <c r="Y1817" t="s">
        <v>108</v>
      </c>
      <c r="Z1817" t="s">
        <v>109</v>
      </c>
      <c r="AA1817" t="s">
        <v>106</v>
      </c>
      <c r="AB1817" t="s">
        <v>106</v>
      </c>
    </row>
    <row r="1818" spans="1:28" x14ac:dyDescent="0.3">
      <c r="A1818" t="s">
        <v>1486</v>
      </c>
      <c r="B1818">
        <v>2</v>
      </c>
      <c r="C1818">
        <v>15</v>
      </c>
      <c r="D1818">
        <v>120</v>
      </c>
      <c r="E1818" t="s">
        <v>128</v>
      </c>
      <c r="F1818" s="12">
        <v>45643</v>
      </c>
      <c r="G1818" t="s">
        <v>676</v>
      </c>
      <c r="H1818" s="12">
        <v>45643</v>
      </c>
      <c r="I1818" t="s">
        <v>404</v>
      </c>
      <c r="J1818" t="s">
        <v>458</v>
      </c>
      <c r="K1818">
        <v>2</v>
      </c>
      <c r="L1818">
        <v>14.9</v>
      </c>
      <c r="M1818">
        <v>15</v>
      </c>
      <c r="P1818" t="s">
        <v>106</v>
      </c>
      <c r="Q1818" t="s">
        <v>106</v>
      </c>
      <c r="R1818" t="s">
        <v>106</v>
      </c>
      <c r="S1818" t="s">
        <v>106</v>
      </c>
      <c r="T1818" t="s">
        <v>961</v>
      </c>
      <c r="U1818" t="s">
        <v>106</v>
      </c>
      <c r="V1818" t="s">
        <v>106</v>
      </c>
      <c r="W1818" t="s">
        <v>476</v>
      </c>
      <c r="X1818" t="s">
        <v>106</v>
      </c>
      <c r="Y1818" t="s">
        <v>108</v>
      </c>
      <c r="Z1818" t="s">
        <v>109</v>
      </c>
      <c r="AA1818" t="s">
        <v>106</v>
      </c>
      <c r="AB1818" t="s">
        <v>106</v>
      </c>
    </row>
    <row r="1819" spans="1:28" x14ac:dyDescent="0.3">
      <c r="A1819" t="s">
        <v>1486</v>
      </c>
      <c r="B1819">
        <v>2</v>
      </c>
      <c r="C1819">
        <v>15</v>
      </c>
      <c r="D1819">
        <v>129</v>
      </c>
      <c r="E1819" t="s">
        <v>128</v>
      </c>
      <c r="F1819" s="12">
        <v>45643</v>
      </c>
      <c r="G1819" t="s">
        <v>850</v>
      </c>
      <c r="H1819" s="12">
        <v>45643</v>
      </c>
      <c r="I1819" t="s">
        <v>839</v>
      </c>
      <c r="J1819" t="s">
        <v>458</v>
      </c>
      <c r="K1819">
        <v>2</v>
      </c>
      <c r="L1819">
        <v>15.4</v>
      </c>
      <c r="M1819">
        <v>15.3</v>
      </c>
      <c r="P1819" t="s">
        <v>106</v>
      </c>
      <c r="Q1819" t="s">
        <v>106</v>
      </c>
      <c r="R1819" t="s">
        <v>106</v>
      </c>
      <c r="S1819" t="s">
        <v>106</v>
      </c>
      <c r="T1819" t="s">
        <v>1381</v>
      </c>
      <c r="U1819" t="s">
        <v>106</v>
      </c>
      <c r="V1819" t="s">
        <v>106</v>
      </c>
      <c r="W1819" t="s">
        <v>476</v>
      </c>
      <c r="X1819" t="s">
        <v>106</v>
      </c>
      <c r="Y1819" t="s">
        <v>108</v>
      </c>
      <c r="Z1819" t="s">
        <v>109</v>
      </c>
      <c r="AA1819" t="s">
        <v>106</v>
      </c>
      <c r="AB1819" t="s">
        <v>106</v>
      </c>
    </row>
    <row r="1820" spans="1:28" x14ac:dyDescent="0.3">
      <c r="A1820" t="s">
        <v>1486</v>
      </c>
      <c r="B1820">
        <v>2</v>
      </c>
      <c r="C1820">
        <v>15</v>
      </c>
      <c r="D1820">
        <v>117</v>
      </c>
      <c r="E1820" t="s">
        <v>128</v>
      </c>
      <c r="F1820" s="12">
        <v>45643</v>
      </c>
      <c r="G1820" t="s">
        <v>1956</v>
      </c>
      <c r="H1820" s="12">
        <v>45643</v>
      </c>
      <c r="I1820" t="s">
        <v>1028</v>
      </c>
      <c r="J1820" t="s">
        <v>458</v>
      </c>
      <c r="K1820">
        <v>2</v>
      </c>
      <c r="L1820">
        <v>15.8</v>
      </c>
      <c r="M1820">
        <v>16</v>
      </c>
      <c r="P1820" t="s">
        <v>106</v>
      </c>
      <c r="Q1820" t="s">
        <v>106</v>
      </c>
      <c r="R1820" t="s">
        <v>106</v>
      </c>
      <c r="S1820" t="s">
        <v>2120</v>
      </c>
      <c r="T1820" t="s">
        <v>1850</v>
      </c>
      <c r="U1820" t="s">
        <v>532</v>
      </c>
      <c r="V1820" t="s">
        <v>106</v>
      </c>
      <c r="W1820" t="s">
        <v>476</v>
      </c>
      <c r="X1820" t="s">
        <v>106</v>
      </c>
      <c r="Y1820" t="s">
        <v>108</v>
      </c>
      <c r="Z1820" t="s">
        <v>109</v>
      </c>
      <c r="AA1820" t="s">
        <v>106</v>
      </c>
      <c r="AB1820" t="s">
        <v>106</v>
      </c>
    </row>
    <row r="1821" spans="1:28" x14ac:dyDescent="0.3">
      <c r="A1821" t="s">
        <v>1486</v>
      </c>
      <c r="B1821">
        <v>2</v>
      </c>
      <c r="C1821">
        <v>15</v>
      </c>
      <c r="D1821">
        <v>132</v>
      </c>
      <c r="E1821" t="s">
        <v>128</v>
      </c>
      <c r="F1821" s="12">
        <v>45643</v>
      </c>
      <c r="G1821" t="s">
        <v>537</v>
      </c>
      <c r="H1821" s="12">
        <v>45643</v>
      </c>
      <c r="I1821" t="s">
        <v>570</v>
      </c>
      <c r="J1821" t="s">
        <v>471</v>
      </c>
      <c r="K1821">
        <v>2</v>
      </c>
      <c r="L1821">
        <v>14.9</v>
      </c>
      <c r="M1821">
        <v>14.9</v>
      </c>
      <c r="P1821" t="s">
        <v>106</v>
      </c>
      <c r="Q1821" t="s">
        <v>106</v>
      </c>
      <c r="R1821" t="s">
        <v>106</v>
      </c>
      <c r="S1821" t="s">
        <v>2121</v>
      </c>
      <c r="T1821" t="s">
        <v>1796</v>
      </c>
      <c r="U1821" t="s">
        <v>620</v>
      </c>
      <c r="V1821" t="s">
        <v>106</v>
      </c>
      <c r="W1821" t="s">
        <v>954</v>
      </c>
      <c r="X1821" t="s">
        <v>106</v>
      </c>
      <c r="Y1821" t="s">
        <v>108</v>
      </c>
      <c r="Z1821" t="s">
        <v>109</v>
      </c>
      <c r="AA1821" t="s">
        <v>106</v>
      </c>
      <c r="AB1821" t="s">
        <v>106</v>
      </c>
    </row>
    <row r="1822" spans="1:28" x14ac:dyDescent="0.3">
      <c r="A1822" t="s">
        <v>1486</v>
      </c>
      <c r="B1822">
        <v>2</v>
      </c>
      <c r="C1822">
        <v>15</v>
      </c>
      <c r="D1822">
        <v>151</v>
      </c>
      <c r="E1822" t="s">
        <v>128</v>
      </c>
      <c r="F1822" s="12">
        <v>45643</v>
      </c>
      <c r="G1822" t="s">
        <v>2122</v>
      </c>
      <c r="H1822" s="12">
        <v>45643</v>
      </c>
      <c r="I1822" t="s">
        <v>1498</v>
      </c>
      <c r="J1822" t="s">
        <v>471</v>
      </c>
      <c r="K1822">
        <v>2</v>
      </c>
      <c r="L1822">
        <v>15</v>
      </c>
      <c r="M1822">
        <v>15</v>
      </c>
      <c r="P1822" t="s">
        <v>106</v>
      </c>
      <c r="Q1822" t="s">
        <v>106</v>
      </c>
      <c r="R1822" t="s">
        <v>106</v>
      </c>
      <c r="S1822" t="s">
        <v>106</v>
      </c>
      <c r="T1822" t="s">
        <v>2075</v>
      </c>
      <c r="U1822" t="s">
        <v>630</v>
      </c>
      <c r="V1822" t="s">
        <v>106</v>
      </c>
      <c r="W1822" t="s">
        <v>954</v>
      </c>
      <c r="X1822" t="s">
        <v>106</v>
      </c>
      <c r="Y1822" t="s">
        <v>108</v>
      </c>
      <c r="Z1822" t="s">
        <v>109</v>
      </c>
      <c r="AA1822" t="s">
        <v>106</v>
      </c>
      <c r="AB1822" t="s">
        <v>106</v>
      </c>
    </row>
    <row r="1823" spans="1:28" x14ac:dyDescent="0.3">
      <c r="A1823" t="s">
        <v>1486</v>
      </c>
      <c r="B1823">
        <v>2</v>
      </c>
      <c r="C1823">
        <v>15</v>
      </c>
      <c r="D1823">
        <v>150</v>
      </c>
      <c r="E1823" t="s">
        <v>128</v>
      </c>
      <c r="F1823" s="12">
        <v>45643</v>
      </c>
      <c r="G1823" t="s">
        <v>2122</v>
      </c>
      <c r="H1823" s="12">
        <v>45643</v>
      </c>
      <c r="I1823" t="s">
        <v>1498</v>
      </c>
      <c r="J1823" t="s">
        <v>471</v>
      </c>
      <c r="K1823">
        <v>2</v>
      </c>
      <c r="L1823">
        <v>14.7</v>
      </c>
      <c r="M1823">
        <v>14.8</v>
      </c>
      <c r="P1823" t="s">
        <v>106</v>
      </c>
      <c r="Q1823" t="s">
        <v>106</v>
      </c>
      <c r="R1823" t="s">
        <v>106</v>
      </c>
      <c r="S1823" t="s">
        <v>106</v>
      </c>
      <c r="T1823" t="s">
        <v>1291</v>
      </c>
      <c r="U1823" t="s">
        <v>825</v>
      </c>
      <c r="V1823" t="s">
        <v>106</v>
      </c>
      <c r="W1823" t="s">
        <v>954</v>
      </c>
      <c r="X1823" t="s">
        <v>106</v>
      </c>
      <c r="Y1823" t="s">
        <v>108</v>
      </c>
      <c r="Z1823" t="s">
        <v>109</v>
      </c>
      <c r="AA1823" t="s">
        <v>106</v>
      </c>
      <c r="AB1823" t="s">
        <v>106</v>
      </c>
    </row>
    <row r="1824" spans="1:28" x14ac:dyDescent="0.3">
      <c r="A1824" t="s">
        <v>1486</v>
      </c>
      <c r="B1824">
        <v>2</v>
      </c>
      <c r="C1824">
        <v>15</v>
      </c>
      <c r="D1824">
        <v>147</v>
      </c>
      <c r="E1824" t="s">
        <v>308</v>
      </c>
      <c r="F1824" s="12">
        <v>45643</v>
      </c>
      <c r="G1824" t="s">
        <v>2123</v>
      </c>
      <c r="H1824" s="12">
        <v>45643</v>
      </c>
      <c r="I1824" t="s">
        <v>2124</v>
      </c>
      <c r="J1824" t="s">
        <v>471</v>
      </c>
      <c r="K1824">
        <v>2</v>
      </c>
      <c r="L1824">
        <v>14.2</v>
      </c>
      <c r="M1824">
        <v>14.2</v>
      </c>
      <c r="P1824" t="s">
        <v>106</v>
      </c>
      <c r="Q1824" t="s">
        <v>106</v>
      </c>
      <c r="R1824" t="s">
        <v>106</v>
      </c>
      <c r="S1824" t="s">
        <v>106</v>
      </c>
      <c r="T1824" t="s">
        <v>1585</v>
      </c>
      <c r="U1824" t="s">
        <v>700</v>
      </c>
      <c r="V1824" t="s">
        <v>106</v>
      </c>
      <c r="W1824" t="s">
        <v>954</v>
      </c>
      <c r="X1824" t="s">
        <v>106</v>
      </c>
      <c r="Y1824" t="s">
        <v>108</v>
      </c>
      <c r="Z1824" t="s">
        <v>109</v>
      </c>
      <c r="AA1824" t="s">
        <v>106</v>
      </c>
      <c r="AB1824" t="s">
        <v>2125</v>
      </c>
    </row>
    <row r="1825" spans="1:28" x14ac:dyDescent="0.3">
      <c r="A1825" t="s">
        <v>1486</v>
      </c>
      <c r="B1825">
        <v>2</v>
      </c>
      <c r="C1825">
        <v>15</v>
      </c>
      <c r="D1825">
        <v>144</v>
      </c>
      <c r="E1825" t="s">
        <v>128</v>
      </c>
      <c r="F1825" s="12">
        <v>45643</v>
      </c>
      <c r="G1825" t="s">
        <v>1740</v>
      </c>
      <c r="H1825" s="12">
        <v>45643</v>
      </c>
      <c r="I1825" t="s">
        <v>2124</v>
      </c>
      <c r="J1825" t="s">
        <v>471</v>
      </c>
      <c r="K1825">
        <v>2</v>
      </c>
      <c r="L1825">
        <v>16.399999999999999</v>
      </c>
      <c r="M1825">
        <v>16.3</v>
      </c>
      <c r="P1825" t="s">
        <v>106</v>
      </c>
      <c r="Q1825" t="s">
        <v>106</v>
      </c>
      <c r="R1825" t="s">
        <v>106</v>
      </c>
      <c r="S1825" t="s">
        <v>106</v>
      </c>
      <c r="T1825" t="s">
        <v>1810</v>
      </c>
      <c r="U1825" t="s">
        <v>335</v>
      </c>
      <c r="V1825" t="s">
        <v>106</v>
      </c>
      <c r="W1825" t="s">
        <v>954</v>
      </c>
      <c r="X1825" t="s">
        <v>106</v>
      </c>
      <c r="Y1825" t="s">
        <v>108</v>
      </c>
      <c r="Z1825" t="s">
        <v>109</v>
      </c>
      <c r="AA1825" t="s">
        <v>106</v>
      </c>
      <c r="AB1825" t="s">
        <v>106</v>
      </c>
    </row>
    <row r="1826" spans="1:28" x14ac:dyDescent="0.3">
      <c r="A1826" t="s">
        <v>1486</v>
      </c>
      <c r="B1826">
        <v>2</v>
      </c>
      <c r="C1826">
        <v>15</v>
      </c>
      <c r="D1826">
        <v>143</v>
      </c>
      <c r="E1826" t="s">
        <v>128</v>
      </c>
      <c r="F1826" s="12">
        <v>45643</v>
      </c>
      <c r="G1826" t="s">
        <v>1183</v>
      </c>
      <c r="H1826" s="12">
        <v>45643</v>
      </c>
      <c r="I1826" t="s">
        <v>2124</v>
      </c>
      <c r="J1826" t="s">
        <v>471</v>
      </c>
      <c r="K1826">
        <v>2</v>
      </c>
      <c r="L1826">
        <v>14.5</v>
      </c>
      <c r="M1826">
        <v>14.4</v>
      </c>
      <c r="P1826" t="s">
        <v>106</v>
      </c>
      <c r="Q1826" t="s">
        <v>106</v>
      </c>
      <c r="R1826" t="s">
        <v>106</v>
      </c>
      <c r="S1826" t="s">
        <v>106</v>
      </c>
      <c r="T1826" t="s">
        <v>1291</v>
      </c>
      <c r="U1826" t="s">
        <v>145</v>
      </c>
      <c r="V1826" t="s">
        <v>106</v>
      </c>
      <c r="W1826" t="s">
        <v>954</v>
      </c>
      <c r="X1826" t="s">
        <v>106</v>
      </c>
      <c r="Y1826" t="s">
        <v>108</v>
      </c>
      <c r="Z1826" t="s">
        <v>109</v>
      </c>
      <c r="AA1826" t="s">
        <v>106</v>
      </c>
      <c r="AB1826" t="s">
        <v>106</v>
      </c>
    </row>
    <row r="1827" spans="1:28" x14ac:dyDescent="0.3">
      <c r="A1827" t="s">
        <v>1486</v>
      </c>
      <c r="B1827">
        <v>2</v>
      </c>
      <c r="C1827">
        <v>15</v>
      </c>
      <c r="D1827">
        <v>116</v>
      </c>
      <c r="E1827" t="s">
        <v>128</v>
      </c>
      <c r="F1827" s="12">
        <v>45643</v>
      </c>
      <c r="G1827" t="s">
        <v>1702</v>
      </c>
      <c r="H1827" s="12">
        <v>45643</v>
      </c>
      <c r="I1827" t="s">
        <v>1028</v>
      </c>
      <c r="J1827" t="s">
        <v>458</v>
      </c>
      <c r="K1827">
        <v>2</v>
      </c>
      <c r="L1827">
        <v>14.4</v>
      </c>
      <c r="M1827">
        <v>14.8</v>
      </c>
      <c r="P1827" t="s">
        <v>106</v>
      </c>
      <c r="Q1827" t="s">
        <v>106</v>
      </c>
      <c r="R1827" t="s">
        <v>106</v>
      </c>
      <c r="S1827" t="s">
        <v>1388</v>
      </c>
      <c r="T1827" t="s">
        <v>881</v>
      </c>
      <c r="U1827" t="s">
        <v>2119</v>
      </c>
      <c r="V1827" t="s">
        <v>106</v>
      </c>
      <c r="W1827" t="s">
        <v>476</v>
      </c>
      <c r="X1827" t="s">
        <v>106</v>
      </c>
      <c r="Y1827" t="s">
        <v>108</v>
      </c>
      <c r="Z1827" t="s">
        <v>109</v>
      </c>
      <c r="AA1827" t="s">
        <v>106</v>
      </c>
      <c r="AB1827" t="s">
        <v>2126</v>
      </c>
    </row>
    <row r="1828" spans="1:28" x14ac:dyDescent="0.3">
      <c r="A1828" t="s">
        <v>1486</v>
      </c>
      <c r="B1828">
        <v>2</v>
      </c>
      <c r="C1828">
        <v>15</v>
      </c>
      <c r="D1828">
        <v>133</v>
      </c>
      <c r="E1828" t="s">
        <v>128</v>
      </c>
      <c r="F1828" s="12">
        <v>45643</v>
      </c>
      <c r="G1828" t="s">
        <v>2127</v>
      </c>
      <c r="H1828" s="12">
        <v>45643</v>
      </c>
      <c r="I1828" t="s">
        <v>570</v>
      </c>
      <c r="J1828" t="s">
        <v>471</v>
      </c>
      <c r="K1828">
        <v>2</v>
      </c>
      <c r="L1828">
        <v>15.6</v>
      </c>
      <c r="M1828">
        <v>15.9</v>
      </c>
      <c r="P1828" t="s">
        <v>106</v>
      </c>
      <c r="Q1828" t="s">
        <v>106</v>
      </c>
      <c r="R1828" t="s">
        <v>106</v>
      </c>
      <c r="S1828" t="s">
        <v>1656</v>
      </c>
      <c r="T1828" t="s">
        <v>1400</v>
      </c>
      <c r="U1828" t="s">
        <v>620</v>
      </c>
      <c r="V1828" t="s">
        <v>106</v>
      </c>
      <c r="W1828" t="s">
        <v>954</v>
      </c>
      <c r="X1828" t="s">
        <v>106</v>
      </c>
      <c r="Y1828" t="s">
        <v>108</v>
      </c>
      <c r="Z1828" t="s">
        <v>109</v>
      </c>
      <c r="AA1828" t="s">
        <v>106</v>
      </c>
      <c r="AB1828" t="s">
        <v>106</v>
      </c>
    </row>
    <row r="1829" spans="1:28" x14ac:dyDescent="0.3">
      <c r="A1829" t="s">
        <v>1486</v>
      </c>
      <c r="B1829">
        <v>2</v>
      </c>
      <c r="C1829">
        <v>15</v>
      </c>
      <c r="D1829">
        <v>106</v>
      </c>
      <c r="E1829" t="s">
        <v>128</v>
      </c>
      <c r="F1829" s="12">
        <v>45643</v>
      </c>
      <c r="G1829" t="s">
        <v>2128</v>
      </c>
      <c r="H1829" s="12">
        <v>45643</v>
      </c>
      <c r="I1829" t="s">
        <v>2114</v>
      </c>
      <c r="J1829" t="s">
        <v>458</v>
      </c>
      <c r="K1829">
        <v>2</v>
      </c>
      <c r="L1829">
        <v>16.600000000000001</v>
      </c>
      <c r="M1829">
        <v>16.5</v>
      </c>
      <c r="P1829" t="s">
        <v>106</v>
      </c>
      <c r="Q1829" t="s">
        <v>106</v>
      </c>
      <c r="R1829" t="s">
        <v>106</v>
      </c>
      <c r="S1829" t="s">
        <v>1494</v>
      </c>
      <c r="T1829" t="s">
        <v>1386</v>
      </c>
      <c r="U1829" t="s">
        <v>145</v>
      </c>
      <c r="V1829" t="s">
        <v>106</v>
      </c>
      <c r="W1829" t="s">
        <v>476</v>
      </c>
      <c r="X1829" t="s">
        <v>106</v>
      </c>
      <c r="Y1829" t="s">
        <v>108</v>
      </c>
      <c r="Z1829" t="s">
        <v>109</v>
      </c>
      <c r="AA1829" t="s">
        <v>106</v>
      </c>
      <c r="AB1829" t="s">
        <v>106</v>
      </c>
    </row>
    <row r="1830" spans="1:28" x14ac:dyDescent="0.3">
      <c r="A1830" t="s">
        <v>1486</v>
      </c>
      <c r="B1830">
        <v>2</v>
      </c>
      <c r="C1830">
        <v>15</v>
      </c>
      <c r="D1830">
        <v>107</v>
      </c>
      <c r="E1830" t="s">
        <v>128</v>
      </c>
      <c r="F1830" s="12">
        <v>45643</v>
      </c>
      <c r="G1830" t="s">
        <v>2128</v>
      </c>
      <c r="H1830" s="12">
        <v>45643</v>
      </c>
      <c r="I1830" t="s">
        <v>2114</v>
      </c>
      <c r="J1830" t="s">
        <v>458</v>
      </c>
      <c r="K1830">
        <v>2</v>
      </c>
      <c r="L1830">
        <v>14.9</v>
      </c>
      <c r="M1830">
        <v>15</v>
      </c>
      <c r="P1830" t="s">
        <v>106</v>
      </c>
      <c r="Q1830" t="s">
        <v>106</v>
      </c>
      <c r="R1830" t="s">
        <v>106</v>
      </c>
      <c r="S1830" t="s">
        <v>1514</v>
      </c>
      <c r="T1830" t="s">
        <v>1701</v>
      </c>
      <c r="U1830" t="s">
        <v>620</v>
      </c>
      <c r="V1830" t="s">
        <v>106</v>
      </c>
      <c r="W1830" t="s">
        <v>476</v>
      </c>
      <c r="X1830" t="s">
        <v>106</v>
      </c>
      <c r="Y1830" t="s">
        <v>108</v>
      </c>
      <c r="Z1830" t="s">
        <v>109</v>
      </c>
      <c r="AA1830" t="s">
        <v>106</v>
      </c>
      <c r="AB1830" t="s">
        <v>106</v>
      </c>
    </row>
    <row r="1831" spans="1:28" x14ac:dyDescent="0.3">
      <c r="A1831" t="s">
        <v>1486</v>
      </c>
      <c r="B1831">
        <v>3</v>
      </c>
      <c r="C1831">
        <v>35</v>
      </c>
      <c r="D1831">
        <v>113</v>
      </c>
      <c r="E1831" t="s">
        <v>128</v>
      </c>
      <c r="F1831" s="12">
        <v>45643</v>
      </c>
      <c r="G1831" t="s">
        <v>2357</v>
      </c>
      <c r="H1831" s="12">
        <v>45643</v>
      </c>
      <c r="I1831" t="s">
        <v>1028</v>
      </c>
      <c r="J1831" t="s">
        <v>458</v>
      </c>
      <c r="K1831">
        <v>2</v>
      </c>
      <c r="L1831">
        <v>34.700000000000003</v>
      </c>
      <c r="M1831">
        <v>35</v>
      </c>
      <c r="P1831" t="s">
        <v>106</v>
      </c>
      <c r="Q1831" t="s">
        <v>106</v>
      </c>
      <c r="R1831" t="s">
        <v>106</v>
      </c>
      <c r="S1831" t="s">
        <v>1798</v>
      </c>
      <c r="T1831" t="s">
        <v>1747</v>
      </c>
      <c r="U1831" t="s">
        <v>382</v>
      </c>
      <c r="V1831" t="s">
        <v>106</v>
      </c>
      <c r="W1831" t="s">
        <v>476</v>
      </c>
      <c r="X1831" t="s">
        <v>106</v>
      </c>
      <c r="Y1831" t="s">
        <v>108</v>
      </c>
      <c r="Z1831" t="s">
        <v>108</v>
      </c>
      <c r="AA1831" t="s">
        <v>106</v>
      </c>
      <c r="AB1831" t="s">
        <v>106</v>
      </c>
    </row>
    <row r="1832" spans="1:28" x14ac:dyDescent="0.3">
      <c r="A1832" t="s">
        <v>1486</v>
      </c>
      <c r="B1832">
        <v>3</v>
      </c>
      <c r="C1832">
        <v>35</v>
      </c>
      <c r="D1832">
        <v>131</v>
      </c>
      <c r="E1832" t="s">
        <v>128</v>
      </c>
      <c r="F1832" s="12">
        <v>45643</v>
      </c>
      <c r="G1832" t="s">
        <v>628</v>
      </c>
      <c r="H1832" s="12">
        <v>45643</v>
      </c>
      <c r="I1832" t="s">
        <v>570</v>
      </c>
      <c r="J1832" t="s">
        <v>471</v>
      </c>
      <c r="K1832">
        <v>2</v>
      </c>
      <c r="L1832">
        <v>35</v>
      </c>
      <c r="M1832">
        <v>35.1</v>
      </c>
      <c r="P1832" t="s">
        <v>106</v>
      </c>
      <c r="Q1832" t="s">
        <v>106</v>
      </c>
      <c r="R1832" t="s">
        <v>106</v>
      </c>
      <c r="S1832" t="s">
        <v>1933</v>
      </c>
      <c r="T1832" t="s">
        <v>1810</v>
      </c>
      <c r="U1832" t="s">
        <v>532</v>
      </c>
      <c r="V1832" t="s">
        <v>106</v>
      </c>
      <c r="W1832" t="s">
        <v>954</v>
      </c>
      <c r="X1832" t="s">
        <v>106</v>
      </c>
      <c r="Y1832" t="s">
        <v>108</v>
      </c>
      <c r="Z1832" t="s">
        <v>108</v>
      </c>
      <c r="AA1832" t="s">
        <v>106</v>
      </c>
      <c r="AB1832" t="s">
        <v>106</v>
      </c>
    </row>
    <row r="1833" spans="1:28" x14ac:dyDescent="0.3">
      <c r="A1833" t="s">
        <v>1486</v>
      </c>
      <c r="B1833">
        <v>3</v>
      </c>
      <c r="C1833">
        <v>35</v>
      </c>
      <c r="D1833">
        <v>112</v>
      </c>
      <c r="E1833" t="s">
        <v>128</v>
      </c>
      <c r="F1833" s="12">
        <v>45643</v>
      </c>
      <c r="G1833" t="s">
        <v>2107</v>
      </c>
      <c r="H1833" s="12">
        <v>45643</v>
      </c>
      <c r="I1833" t="s">
        <v>1028</v>
      </c>
      <c r="J1833" t="s">
        <v>458</v>
      </c>
      <c r="K1833">
        <v>2</v>
      </c>
      <c r="L1833">
        <v>37.6</v>
      </c>
      <c r="M1833">
        <v>37.700000000000003</v>
      </c>
      <c r="P1833" t="s">
        <v>106</v>
      </c>
      <c r="Q1833" t="s">
        <v>106</v>
      </c>
      <c r="R1833" t="s">
        <v>106</v>
      </c>
      <c r="S1833" t="s">
        <v>1794</v>
      </c>
      <c r="T1833" t="s">
        <v>1495</v>
      </c>
      <c r="U1833" t="s">
        <v>143</v>
      </c>
      <c r="V1833" t="s">
        <v>106</v>
      </c>
      <c r="W1833" t="s">
        <v>476</v>
      </c>
      <c r="X1833" t="s">
        <v>106</v>
      </c>
      <c r="Y1833" t="s">
        <v>108</v>
      </c>
      <c r="Z1833" t="s">
        <v>108</v>
      </c>
      <c r="AA1833" t="s">
        <v>106</v>
      </c>
      <c r="AB1833" t="s">
        <v>106</v>
      </c>
    </row>
    <row r="1834" spans="1:28" x14ac:dyDescent="0.3">
      <c r="A1834" t="s">
        <v>1486</v>
      </c>
      <c r="B1834">
        <v>3</v>
      </c>
      <c r="C1834">
        <v>35</v>
      </c>
      <c r="D1834">
        <v>127</v>
      </c>
      <c r="E1834" t="s">
        <v>128</v>
      </c>
      <c r="F1834" s="12">
        <v>45643</v>
      </c>
      <c r="G1834" t="s">
        <v>848</v>
      </c>
      <c r="H1834" s="12">
        <v>45643</v>
      </c>
      <c r="I1834" t="s">
        <v>839</v>
      </c>
      <c r="J1834" t="s">
        <v>458</v>
      </c>
      <c r="K1834">
        <v>2</v>
      </c>
      <c r="L1834">
        <v>35</v>
      </c>
      <c r="M1834">
        <v>35</v>
      </c>
      <c r="P1834" t="s">
        <v>106</v>
      </c>
      <c r="Q1834" t="s">
        <v>106</v>
      </c>
      <c r="R1834" t="s">
        <v>106</v>
      </c>
      <c r="S1834" t="s">
        <v>106</v>
      </c>
      <c r="T1834" t="s">
        <v>2063</v>
      </c>
      <c r="U1834" t="s">
        <v>106</v>
      </c>
      <c r="V1834" t="s">
        <v>106</v>
      </c>
      <c r="W1834" t="s">
        <v>476</v>
      </c>
      <c r="X1834" t="s">
        <v>106</v>
      </c>
      <c r="Y1834" t="s">
        <v>108</v>
      </c>
      <c r="Z1834" t="s">
        <v>108</v>
      </c>
      <c r="AA1834" t="s">
        <v>106</v>
      </c>
      <c r="AB1834" t="s">
        <v>106</v>
      </c>
    </row>
    <row r="1835" spans="1:28" x14ac:dyDescent="0.3">
      <c r="A1835" t="s">
        <v>1486</v>
      </c>
      <c r="B1835">
        <v>3</v>
      </c>
      <c r="C1835">
        <v>35</v>
      </c>
      <c r="D1835">
        <v>128</v>
      </c>
      <c r="E1835" t="s">
        <v>128</v>
      </c>
      <c r="F1835" s="12">
        <v>45643</v>
      </c>
      <c r="G1835" t="s">
        <v>848</v>
      </c>
      <c r="H1835" s="12">
        <v>45643</v>
      </c>
      <c r="I1835" t="s">
        <v>839</v>
      </c>
      <c r="J1835" t="s">
        <v>458</v>
      </c>
      <c r="K1835">
        <v>2</v>
      </c>
      <c r="L1835">
        <v>35.4</v>
      </c>
      <c r="M1835">
        <v>35.200000000000003</v>
      </c>
      <c r="P1835" t="s">
        <v>106</v>
      </c>
      <c r="Q1835" t="s">
        <v>106</v>
      </c>
      <c r="R1835" t="s">
        <v>106</v>
      </c>
      <c r="S1835" t="s">
        <v>106</v>
      </c>
      <c r="T1835" t="s">
        <v>1701</v>
      </c>
      <c r="U1835" t="s">
        <v>106</v>
      </c>
      <c r="V1835" t="s">
        <v>106</v>
      </c>
      <c r="W1835" t="s">
        <v>476</v>
      </c>
      <c r="X1835" t="s">
        <v>106</v>
      </c>
      <c r="Y1835" t="s">
        <v>108</v>
      </c>
      <c r="Z1835" t="s">
        <v>108</v>
      </c>
      <c r="AA1835" t="s">
        <v>106</v>
      </c>
      <c r="AB1835" t="s">
        <v>106</v>
      </c>
    </row>
    <row r="1836" spans="1:28" x14ac:dyDescent="0.3">
      <c r="A1836" t="s">
        <v>1486</v>
      </c>
      <c r="B1836">
        <v>3</v>
      </c>
      <c r="C1836">
        <v>35</v>
      </c>
      <c r="D1836">
        <v>130</v>
      </c>
      <c r="E1836" t="s">
        <v>128</v>
      </c>
      <c r="F1836" s="12">
        <v>45643</v>
      </c>
      <c r="G1836" t="s">
        <v>2081</v>
      </c>
      <c r="H1836" s="12">
        <v>45643</v>
      </c>
      <c r="I1836" t="s">
        <v>570</v>
      </c>
      <c r="J1836" t="s">
        <v>471</v>
      </c>
      <c r="K1836">
        <v>2</v>
      </c>
      <c r="L1836">
        <v>33.1</v>
      </c>
      <c r="M1836">
        <v>33.1</v>
      </c>
      <c r="P1836" t="s">
        <v>106</v>
      </c>
      <c r="Q1836" t="s">
        <v>106</v>
      </c>
      <c r="R1836" t="s">
        <v>106</v>
      </c>
      <c r="S1836" t="s">
        <v>2526</v>
      </c>
      <c r="T1836" t="s">
        <v>1101</v>
      </c>
      <c r="U1836" t="s">
        <v>335</v>
      </c>
      <c r="V1836" t="s">
        <v>106</v>
      </c>
      <c r="W1836" t="s">
        <v>954</v>
      </c>
      <c r="X1836" t="s">
        <v>1727</v>
      </c>
      <c r="Y1836" t="s">
        <v>108</v>
      </c>
      <c r="Z1836" t="s">
        <v>108</v>
      </c>
      <c r="AA1836" t="s">
        <v>106</v>
      </c>
      <c r="AB1836" t="s">
        <v>106</v>
      </c>
    </row>
    <row r="1837" spans="1:28" x14ac:dyDescent="0.3">
      <c r="A1837" t="s">
        <v>1486</v>
      </c>
      <c r="B1837">
        <v>3</v>
      </c>
      <c r="C1837">
        <v>35</v>
      </c>
      <c r="D1837">
        <v>118</v>
      </c>
      <c r="E1837" t="s">
        <v>128</v>
      </c>
      <c r="F1837" s="12">
        <v>45643</v>
      </c>
      <c r="G1837" t="s">
        <v>592</v>
      </c>
      <c r="H1837" s="12">
        <v>45643</v>
      </c>
      <c r="I1837" t="s">
        <v>404</v>
      </c>
      <c r="J1837" t="s">
        <v>458</v>
      </c>
      <c r="K1837">
        <v>2</v>
      </c>
      <c r="L1837">
        <v>35.200000000000003</v>
      </c>
      <c r="M1837">
        <v>35</v>
      </c>
      <c r="P1837" t="s">
        <v>106</v>
      </c>
      <c r="Q1837" t="s">
        <v>106</v>
      </c>
      <c r="R1837" t="s">
        <v>106</v>
      </c>
      <c r="S1837" t="s">
        <v>106</v>
      </c>
      <c r="T1837" t="s">
        <v>1291</v>
      </c>
      <c r="U1837" t="s">
        <v>106</v>
      </c>
      <c r="V1837" t="s">
        <v>106</v>
      </c>
      <c r="W1837" t="s">
        <v>476</v>
      </c>
      <c r="X1837" t="s">
        <v>106</v>
      </c>
      <c r="Y1837" t="s">
        <v>108</v>
      </c>
      <c r="Z1837" t="s">
        <v>108</v>
      </c>
      <c r="AA1837" t="s">
        <v>106</v>
      </c>
      <c r="AB1837" t="s">
        <v>106</v>
      </c>
    </row>
    <row r="1838" spans="1:28" x14ac:dyDescent="0.3">
      <c r="A1838" t="s">
        <v>1486</v>
      </c>
      <c r="B1838">
        <v>3</v>
      </c>
      <c r="C1838">
        <v>35</v>
      </c>
      <c r="D1838">
        <v>119</v>
      </c>
      <c r="E1838" t="s">
        <v>128</v>
      </c>
      <c r="F1838" s="12">
        <v>45643</v>
      </c>
      <c r="G1838" t="s">
        <v>676</v>
      </c>
      <c r="H1838" s="12">
        <v>45643</v>
      </c>
      <c r="I1838" t="s">
        <v>404</v>
      </c>
      <c r="J1838" t="s">
        <v>458</v>
      </c>
      <c r="K1838">
        <v>2</v>
      </c>
      <c r="L1838">
        <v>35.200000000000003</v>
      </c>
      <c r="M1838">
        <v>35.299999999999997</v>
      </c>
      <c r="P1838" t="s">
        <v>106</v>
      </c>
      <c r="Q1838" t="s">
        <v>106</v>
      </c>
      <c r="R1838" t="s">
        <v>106</v>
      </c>
      <c r="S1838" t="s">
        <v>1383</v>
      </c>
      <c r="T1838" t="s">
        <v>1386</v>
      </c>
      <c r="U1838" t="s">
        <v>106</v>
      </c>
      <c r="V1838" t="s">
        <v>106</v>
      </c>
      <c r="W1838" t="s">
        <v>476</v>
      </c>
      <c r="X1838" t="s">
        <v>106</v>
      </c>
      <c r="Y1838" t="s">
        <v>108</v>
      </c>
      <c r="Z1838" t="s">
        <v>108</v>
      </c>
      <c r="AA1838" t="s">
        <v>106</v>
      </c>
      <c r="AB1838" t="s">
        <v>106</v>
      </c>
    </row>
    <row r="1839" spans="1:28" x14ac:dyDescent="0.3">
      <c r="A1839" t="s">
        <v>1486</v>
      </c>
      <c r="B1839">
        <v>3</v>
      </c>
      <c r="C1839">
        <v>35</v>
      </c>
      <c r="D1839">
        <v>137</v>
      </c>
      <c r="E1839" t="s">
        <v>128</v>
      </c>
      <c r="F1839" s="12">
        <v>45643</v>
      </c>
      <c r="G1839" t="s">
        <v>1551</v>
      </c>
      <c r="H1839" s="12">
        <v>45643</v>
      </c>
      <c r="I1839" t="s">
        <v>2527</v>
      </c>
      <c r="J1839" t="s">
        <v>471</v>
      </c>
      <c r="K1839">
        <v>2</v>
      </c>
      <c r="L1839">
        <v>32.4</v>
      </c>
      <c r="M1839">
        <v>32.4</v>
      </c>
      <c r="P1839" t="s">
        <v>106</v>
      </c>
      <c r="Q1839" t="s">
        <v>106</v>
      </c>
      <c r="R1839" t="s">
        <v>106</v>
      </c>
      <c r="S1839" t="s">
        <v>106</v>
      </c>
      <c r="T1839" t="s">
        <v>1405</v>
      </c>
      <c r="U1839" t="s">
        <v>646</v>
      </c>
      <c r="V1839" t="s">
        <v>106</v>
      </c>
      <c r="W1839" t="s">
        <v>954</v>
      </c>
      <c r="X1839" t="s">
        <v>106</v>
      </c>
      <c r="Y1839" t="s">
        <v>108</v>
      </c>
      <c r="Z1839" t="s">
        <v>108</v>
      </c>
      <c r="AA1839" t="s">
        <v>106</v>
      </c>
      <c r="AB1839" t="s">
        <v>106</v>
      </c>
    </row>
    <row r="1840" spans="1:28" x14ac:dyDescent="0.3">
      <c r="A1840" t="s">
        <v>1486</v>
      </c>
      <c r="B1840">
        <v>3</v>
      </c>
      <c r="C1840">
        <v>35</v>
      </c>
      <c r="D1840">
        <v>109</v>
      </c>
      <c r="E1840" t="s">
        <v>128</v>
      </c>
      <c r="F1840" s="12">
        <v>45643</v>
      </c>
      <c r="G1840" t="s">
        <v>1870</v>
      </c>
      <c r="H1840" s="12">
        <v>45643</v>
      </c>
      <c r="I1840" t="s">
        <v>2114</v>
      </c>
      <c r="J1840" t="s">
        <v>458</v>
      </c>
      <c r="K1840">
        <v>2</v>
      </c>
      <c r="L1840">
        <v>35.299999999999997</v>
      </c>
      <c r="M1840">
        <v>35.6</v>
      </c>
      <c r="P1840" t="s">
        <v>106</v>
      </c>
      <c r="Q1840" t="s">
        <v>106</v>
      </c>
      <c r="R1840" t="s">
        <v>106</v>
      </c>
      <c r="S1840" t="s">
        <v>1792</v>
      </c>
      <c r="T1840" t="s">
        <v>2095</v>
      </c>
      <c r="U1840" t="s">
        <v>2119</v>
      </c>
      <c r="V1840" t="s">
        <v>106</v>
      </c>
      <c r="W1840" t="s">
        <v>476</v>
      </c>
      <c r="X1840" t="s">
        <v>106</v>
      </c>
      <c r="Y1840" t="s">
        <v>108</v>
      </c>
      <c r="Z1840" t="s">
        <v>108</v>
      </c>
      <c r="AA1840" t="s">
        <v>106</v>
      </c>
      <c r="AB1840" t="s">
        <v>106</v>
      </c>
    </row>
    <row r="1841" spans="1:28" x14ac:dyDescent="0.3">
      <c r="A1841" t="s">
        <v>1486</v>
      </c>
      <c r="B1841">
        <v>3</v>
      </c>
      <c r="C1841">
        <v>35</v>
      </c>
      <c r="D1841">
        <v>136</v>
      </c>
      <c r="E1841" t="s">
        <v>128</v>
      </c>
      <c r="F1841" s="12">
        <v>45643</v>
      </c>
      <c r="G1841" t="s">
        <v>1391</v>
      </c>
      <c r="H1841" s="12">
        <v>45643</v>
      </c>
      <c r="I1841" t="s">
        <v>2527</v>
      </c>
      <c r="J1841" t="s">
        <v>471</v>
      </c>
      <c r="K1841">
        <v>2</v>
      </c>
      <c r="L1841">
        <v>34.200000000000003</v>
      </c>
      <c r="M1841">
        <v>34.5</v>
      </c>
      <c r="P1841" t="s">
        <v>106</v>
      </c>
      <c r="Q1841" t="s">
        <v>106</v>
      </c>
      <c r="R1841" t="s">
        <v>106</v>
      </c>
      <c r="S1841" t="s">
        <v>106</v>
      </c>
      <c r="T1841" t="s">
        <v>1381</v>
      </c>
      <c r="U1841" t="s">
        <v>825</v>
      </c>
      <c r="V1841" t="s">
        <v>106</v>
      </c>
      <c r="W1841" t="s">
        <v>954</v>
      </c>
      <c r="X1841" t="s">
        <v>106</v>
      </c>
      <c r="Y1841" t="s">
        <v>108</v>
      </c>
      <c r="Z1841" t="s">
        <v>108</v>
      </c>
      <c r="AA1841" t="s">
        <v>106</v>
      </c>
      <c r="AB1841" t="s">
        <v>106</v>
      </c>
    </row>
    <row r="1842" spans="1:28" x14ac:dyDescent="0.3">
      <c r="A1842" t="s">
        <v>1486</v>
      </c>
      <c r="B1842">
        <v>3</v>
      </c>
      <c r="C1842">
        <v>35</v>
      </c>
      <c r="D1842">
        <v>149</v>
      </c>
      <c r="E1842" t="s">
        <v>128</v>
      </c>
      <c r="F1842" s="12">
        <v>45643</v>
      </c>
      <c r="G1842" t="s">
        <v>2528</v>
      </c>
      <c r="H1842" s="12">
        <v>45643</v>
      </c>
      <c r="I1842" t="s">
        <v>1498</v>
      </c>
      <c r="J1842" t="s">
        <v>471</v>
      </c>
      <c r="K1842">
        <v>2</v>
      </c>
      <c r="L1842">
        <v>36.4</v>
      </c>
      <c r="M1842">
        <v>36.4</v>
      </c>
      <c r="P1842" t="s">
        <v>106</v>
      </c>
      <c r="Q1842" t="s">
        <v>106</v>
      </c>
      <c r="R1842" t="s">
        <v>106</v>
      </c>
      <c r="S1842" t="s">
        <v>106</v>
      </c>
      <c r="T1842" t="s">
        <v>1832</v>
      </c>
      <c r="U1842" t="s">
        <v>369</v>
      </c>
      <c r="V1842" t="s">
        <v>106</v>
      </c>
      <c r="W1842" t="s">
        <v>954</v>
      </c>
      <c r="X1842" t="s">
        <v>106</v>
      </c>
      <c r="Y1842" t="s">
        <v>108</v>
      </c>
      <c r="Z1842" t="s">
        <v>108</v>
      </c>
      <c r="AA1842" t="s">
        <v>106</v>
      </c>
      <c r="AB1842" t="s">
        <v>106</v>
      </c>
    </row>
    <row r="1843" spans="1:28" x14ac:dyDescent="0.3">
      <c r="A1843" t="s">
        <v>1486</v>
      </c>
      <c r="B1843">
        <v>3</v>
      </c>
      <c r="C1843">
        <v>35</v>
      </c>
      <c r="D1843">
        <v>141</v>
      </c>
      <c r="E1843" t="s">
        <v>128</v>
      </c>
      <c r="F1843" s="12">
        <v>45643</v>
      </c>
      <c r="G1843" t="s">
        <v>1503</v>
      </c>
      <c r="H1843" s="12">
        <v>45643</v>
      </c>
      <c r="I1843" t="s">
        <v>2124</v>
      </c>
      <c r="J1843" t="s">
        <v>471</v>
      </c>
      <c r="K1843">
        <v>2</v>
      </c>
      <c r="L1843">
        <v>33.6</v>
      </c>
      <c r="M1843">
        <v>33.5</v>
      </c>
      <c r="P1843" t="s">
        <v>106</v>
      </c>
      <c r="Q1843" t="s">
        <v>106</v>
      </c>
      <c r="R1843" t="s">
        <v>106</v>
      </c>
      <c r="S1843" t="s">
        <v>106</v>
      </c>
      <c r="T1843" t="s">
        <v>1291</v>
      </c>
      <c r="U1843" t="s">
        <v>785</v>
      </c>
      <c r="V1843" t="s">
        <v>106</v>
      </c>
      <c r="W1843" t="s">
        <v>954</v>
      </c>
      <c r="X1843" t="s">
        <v>106</v>
      </c>
      <c r="Y1843" t="s">
        <v>108</v>
      </c>
      <c r="Z1843" t="s">
        <v>108</v>
      </c>
      <c r="AA1843" t="s">
        <v>106</v>
      </c>
      <c r="AB1843" t="s">
        <v>106</v>
      </c>
    </row>
    <row r="1844" spans="1:28" x14ac:dyDescent="0.3">
      <c r="A1844" t="s">
        <v>1486</v>
      </c>
      <c r="B1844">
        <v>3</v>
      </c>
      <c r="C1844">
        <v>35</v>
      </c>
      <c r="D1844">
        <v>142</v>
      </c>
      <c r="E1844" t="s">
        <v>128</v>
      </c>
      <c r="F1844" s="12">
        <v>45643</v>
      </c>
      <c r="G1844" t="s">
        <v>1183</v>
      </c>
      <c r="H1844" s="12">
        <v>45643</v>
      </c>
      <c r="I1844" t="s">
        <v>2124</v>
      </c>
      <c r="J1844" t="s">
        <v>471</v>
      </c>
      <c r="K1844">
        <v>2</v>
      </c>
      <c r="L1844">
        <v>36.5</v>
      </c>
      <c r="M1844">
        <v>36.5</v>
      </c>
      <c r="P1844" t="s">
        <v>106</v>
      </c>
      <c r="Q1844" t="s">
        <v>106</v>
      </c>
      <c r="R1844" t="s">
        <v>106</v>
      </c>
      <c r="S1844" t="s">
        <v>106</v>
      </c>
      <c r="T1844" t="s">
        <v>1381</v>
      </c>
      <c r="U1844" t="s">
        <v>145</v>
      </c>
      <c r="V1844" t="s">
        <v>106</v>
      </c>
      <c r="W1844" t="s">
        <v>954</v>
      </c>
      <c r="X1844" t="s">
        <v>106</v>
      </c>
      <c r="Y1844" t="s">
        <v>108</v>
      </c>
      <c r="Z1844" t="s">
        <v>108</v>
      </c>
      <c r="AA1844" t="s">
        <v>106</v>
      </c>
      <c r="AB1844" t="s">
        <v>106</v>
      </c>
    </row>
    <row r="1845" spans="1:28" x14ac:dyDescent="0.3">
      <c r="A1845" t="s">
        <v>1486</v>
      </c>
      <c r="B1845">
        <v>3</v>
      </c>
      <c r="C1845">
        <v>35</v>
      </c>
      <c r="D1845">
        <v>108</v>
      </c>
      <c r="E1845" t="s">
        <v>128</v>
      </c>
      <c r="F1845" s="12">
        <v>45643</v>
      </c>
      <c r="G1845" t="s">
        <v>1870</v>
      </c>
      <c r="H1845" s="12">
        <v>45643</v>
      </c>
      <c r="I1845" t="s">
        <v>2114</v>
      </c>
      <c r="J1845" t="s">
        <v>458</v>
      </c>
      <c r="K1845">
        <v>2</v>
      </c>
      <c r="L1845">
        <v>36.1</v>
      </c>
      <c r="M1845">
        <v>36.1</v>
      </c>
      <c r="P1845" t="s">
        <v>106</v>
      </c>
      <c r="Q1845" t="s">
        <v>106</v>
      </c>
      <c r="R1845" t="s">
        <v>106</v>
      </c>
      <c r="S1845" t="s">
        <v>2120</v>
      </c>
      <c r="T1845" t="s">
        <v>1947</v>
      </c>
      <c r="U1845" t="s">
        <v>2276</v>
      </c>
      <c r="V1845" t="s">
        <v>106</v>
      </c>
      <c r="W1845" t="s">
        <v>476</v>
      </c>
      <c r="X1845" t="s">
        <v>106</v>
      </c>
      <c r="Y1845" t="s">
        <v>108</v>
      </c>
      <c r="Z1845" t="s">
        <v>108</v>
      </c>
      <c r="AA1845" t="s">
        <v>106</v>
      </c>
      <c r="AB1845" t="s">
        <v>106</v>
      </c>
    </row>
    <row r="1846" spans="1:28" x14ac:dyDescent="0.3">
      <c r="A1846" t="s">
        <v>1486</v>
      </c>
      <c r="B1846">
        <v>3</v>
      </c>
      <c r="C1846">
        <v>35</v>
      </c>
      <c r="D1846">
        <v>148</v>
      </c>
      <c r="E1846" t="s">
        <v>128</v>
      </c>
      <c r="F1846" s="12">
        <v>45643</v>
      </c>
      <c r="G1846" t="s">
        <v>2528</v>
      </c>
      <c r="H1846" s="12">
        <v>45643</v>
      </c>
      <c r="I1846" t="s">
        <v>1498</v>
      </c>
      <c r="J1846" t="s">
        <v>471</v>
      </c>
      <c r="K1846">
        <v>2</v>
      </c>
      <c r="L1846">
        <v>33.700000000000003</v>
      </c>
      <c r="M1846">
        <v>33.799999999999997</v>
      </c>
      <c r="P1846" t="s">
        <v>106</v>
      </c>
      <c r="Q1846" t="s">
        <v>106</v>
      </c>
      <c r="R1846" t="s">
        <v>106</v>
      </c>
      <c r="S1846" t="s">
        <v>106</v>
      </c>
      <c r="T1846" t="s">
        <v>1747</v>
      </c>
      <c r="U1846" t="s">
        <v>825</v>
      </c>
      <c r="V1846" t="s">
        <v>106</v>
      </c>
      <c r="W1846" t="s">
        <v>954</v>
      </c>
      <c r="X1846" t="s">
        <v>106</v>
      </c>
      <c r="Y1846" t="s">
        <v>108</v>
      </c>
      <c r="Z1846" t="s">
        <v>108</v>
      </c>
      <c r="AA1846" t="s">
        <v>106</v>
      </c>
      <c r="AB1846" t="s">
        <v>106</v>
      </c>
    </row>
    <row r="1847" spans="1:28" x14ac:dyDescent="0.3">
      <c r="A1847" t="s">
        <v>1486</v>
      </c>
      <c r="B1847">
        <v>4</v>
      </c>
      <c r="C1847">
        <v>60</v>
      </c>
      <c r="D1847">
        <v>124</v>
      </c>
      <c r="E1847" t="s">
        <v>128</v>
      </c>
      <c r="F1847" s="12">
        <v>45643</v>
      </c>
      <c r="G1847" t="s">
        <v>316</v>
      </c>
      <c r="H1847" s="12">
        <v>45643</v>
      </c>
      <c r="I1847" t="s">
        <v>404</v>
      </c>
      <c r="J1847" t="s">
        <v>458</v>
      </c>
      <c r="K1847">
        <v>2</v>
      </c>
      <c r="L1847">
        <v>55.3</v>
      </c>
      <c r="M1847">
        <v>55.4</v>
      </c>
      <c r="P1847" t="s">
        <v>106</v>
      </c>
      <c r="Q1847" t="s">
        <v>106</v>
      </c>
      <c r="R1847" t="s">
        <v>106</v>
      </c>
      <c r="S1847" t="s">
        <v>106</v>
      </c>
      <c r="T1847" t="s">
        <v>1090</v>
      </c>
      <c r="U1847" t="s">
        <v>646</v>
      </c>
      <c r="V1847" t="s">
        <v>106</v>
      </c>
      <c r="W1847" t="s">
        <v>476</v>
      </c>
      <c r="X1847" t="s">
        <v>106</v>
      </c>
      <c r="Y1847" t="s">
        <v>108</v>
      </c>
      <c r="Z1847" t="s">
        <v>104</v>
      </c>
      <c r="AA1847" t="s">
        <v>106</v>
      </c>
      <c r="AB1847" t="s">
        <v>106</v>
      </c>
    </row>
    <row r="1848" spans="1:28" x14ac:dyDescent="0.3">
      <c r="A1848" t="s">
        <v>1486</v>
      </c>
      <c r="B1848">
        <v>4</v>
      </c>
      <c r="C1848">
        <v>60</v>
      </c>
      <c r="D1848">
        <v>139</v>
      </c>
      <c r="E1848" t="s">
        <v>128</v>
      </c>
      <c r="F1848" s="12">
        <v>45643</v>
      </c>
      <c r="G1848" t="s">
        <v>2038</v>
      </c>
      <c r="H1848" s="12">
        <v>45643</v>
      </c>
      <c r="I1848" t="s">
        <v>2527</v>
      </c>
      <c r="J1848" t="s">
        <v>471</v>
      </c>
      <c r="K1848">
        <v>2</v>
      </c>
      <c r="L1848">
        <v>59.9</v>
      </c>
      <c r="M1848">
        <v>59.6</v>
      </c>
      <c r="P1848" t="s">
        <v>106</v>
      </c>
      <c r="Q1848" t="s">
        <v>106</v>
      </c>
      <c r="R1848" t="s">
        <v>106</v>
      </c>
      <c r="S1848" t="s">
        <v>106</v>
      </c>
      <c r="T1848" t="s">
        <v>1701</v>
      </c>
      <c r="U1848" t="s">
        <v>369</v>
      </c>
      <c r="V1848" t="s">
        <v>106</v>
      </c>
      <c r="W1848" t="s">
        <v>954</v>
      </c>
      <c r="X1848" t="s">
        <v>106</v>
      </c>
      <c r="Y1848" t="s">
        <v>108</v>
      </c>
      <c r="Z1848" t="s">
        <v>104</v>
      </c>
      <c r="AA1848" t="s">
        <v>106</v>
      </c>
      <c r="AB1848" t="s">
        <v>106</v>
      </c>
    </row>
    <row r="1849" spans="1:28" x14ac:dyDescent="0.3">
      <c r="A1849" t="s">
        <v>1486</v>
      </c>
      <c r="B1849">
        <v>4</v>
      </c>
      <c r="C1849">
        <v>60</v>
      </c>
      <c r="D1849">
        <v>114</v>
      </c>
      <c r="E1849" t="s">
        <v>128</v>
      </c>
      <c r="F1849" s="12">
        <v>45643</v>
      </c>
      <c r="G1849" t="s">
        <v>878</v>
      </c>
      <c r="H1849" s="12">
        <v>45643</v>
      </c>
      <c r="I1849" t="s">
        <v>1028</v>
      </c>
      <c r="J1849" t="s">
        <v>458</v>
      </c>
      <c r="K1849">
        <v>2</v>
      </c>
      <c r="L1849">
        <v>60.4</v>
      </c>
      <c r="M1849">
        <v>60.6</v>
      </c>
      <c r="P1849" t="s">
        <v>106</v>
      </c>
      <c r="Q1849" t="s">
        <v>106</v>
      </c>
      <c r="R1849" t="s">
        <v>106</v>
      </c>
      <c r="S1849" t="s">
        <v>1490</v>
      </c>
      <c r="T1849" t="s">
        <v>1458</v>
      </c>
      <c r="U1849" t="s">
        <v>630</v>
      </c>
      <c r="V1849" t="s">
        <v>106</v>
      </c>
      <c r="W1849" t="s">
        <v>476</v>
      </c>
      <c r="X1849" t="s">
        <v>106</v>
      </c>
      <c r="Y1849" t="s">
        <v>108</v>
      </c>
      <c r="Z1849" t="s">
        <v>104</v>
      </c>
      <c r="AA1849" t="s">
        <v>106</v>
      </c>
      <c r="AB1849" t="s">
        <v>106</v>
      </c>
    </row>
    <row r="1850" spans="1:28" x14ac:dyDescent="0.3">
      <c r="A1850" t="s">
        <v>1486</v>
      </c>
      <c r="B1850">
        <v>4</v>
      </c>
      <c r="C1850">
        <v>60</v>
      </c>
      <c r="D1850">
        <v>123</v>
      </c>
      <c r="E1850" t="s">
        <v>128</v>
      </c>
      <c r="F1850" s="12">
        <v>45643</v>
      </c>
      <c r="G1850" t="s">
        <v>675</v>
      </c>
      <c r="H1850" s="12">
        <v>45643</v>
      </c>
      <c r="I1850" t="s">
        <v>404</v>
      </c>
      <c r="J1850" t="s">
        <v>458</v>
      </c>
      <c r="K1850">
        <v>2</v>
      </c>
      <c r="L1850">
        <v>55.1</v>
      </c>
      <c r="M1850">
        <v>55.6</v>
      </c>
      <c r="P1850" t="s">
        <v>106</v>
      </c>
      <c r="Q1850" t="s">
        <v>106</v>
      </c>
      <c r="R1850" t="s">
        <v>106</v>
      </c>
      <c r="S1850" t="s">
        <v>106</v>
      </c>
      <c r="T1850" t="s">
        <v>1822</v>
      </c>
      <c r="U1850" t="s">
        <v>630</v>
      </c>
      <c r="V1850" t="s">
        <v>106</v>
      </c>
      <c r="W1850" t="s">
        <v>476</v>
      </c>
      <c r="X1850" t="s">
        <v>106</v>
      </c>
      <c r="Y1850" t="s">
        <v>108</v>
      </c>
      <c r="Z1850" t="s">
        <v>104</v>
      </c>
      <c r="AA1850" t="s">
        <v>106</v>
      </c>
      <c r="AB1850" t="s">
        <v>106</v>
      </c>
    </row>
    <row r="1851" spans="1:28" x14ac:dyDescent="0.3">
      <c r="A1851" t="s">
        <v>1486</v>
      </c>
      <c r="B1851">
        <v>4</v>
      </c>
      <c r="C1851">
        <v>60</v>
      </c>
      <c r="D1851">
        <v>125</v>
      </c>
      <c r="E1851" t="s">
        <v>128</v>
      </c>
      <c r="F1851" s="12">
        <v>45643</v>
      </c>
      <c r="G1851" t="s">
        <v>713</v>
      </c>
      <c r="H1851" s="12">
        <v>45643</v>
      </c>
      <c r="I1851" t="s">
        <v>106</v>
      </c>
      <c r="J1851" t="s">
        <v>458</v>
      </c>
      <c r="K1851">
        <v>2</v>
      </c>
      <c r="L1851">
        <v>59.6</v>
      </c>
      <c r="M1851">
        <v>58.6</v>
      </c>
      <c r="P1851" t="s">
        <v>106</v>
      </c>
      <c r="Q1851" t="s">
        <v>106</v>
      </c>
      <c r="R1851" t="s">
        <v>106</v>
      </c>
      <c r="S1851" t="s">
        <v>106</v>
      </c>
      <c r="T1851" t="s">
        <v>1793</v>
      </c>
      <c r="U1851" t="s">
        <v>106</v>
      </c>
      <c r="V1851" t="s">
        <v>106</v>
      </c>
      <c r="W1851" t="s">
        <v>476</v>
      </c>
      <c r="X1851" t="s">
        <v>106</v>
      </c>
      <c r="Y1851" t="s">
        <v>108</v>
      </c>
      <c r="Z1851" t="s">
        <v>104</v>
      </c>
      <c r="AA1851" t="s">
        <v>106</v>
      </c>
      <c r="AB1851" t="s">
        <v>106</v>
      </c>
    </row>
    <row r="1852" spans="1:28" x14ac:dyDescent="0.3">
      <c r="A1852" t="s">
        <v>1486</v>
      </c>
      <c r="B1852">
        <v>4</v>
      </c>
      <c r="C1852">
        <v>60</v>
      </c>
      <c r="D1852">
        <v>126</v>
      </c>
      <c r="E1852" t="s">
        <v>128</v>
      </c>
      <c r="F1852" s="12">
        <v>45643</v>
      </c>
      <c r="G1852" t="s">
        <v>608</v>
      </c>
      <c r="H1852" s="12">
        <v>45643</v>
      </c>
      <c r="I1852" t="s">
        <v>106</v>
      </c>
      <c r="J1852" t="s">
        <v>458</v>
      </c>
      <c r="K1852">
        <v>2</v>
      </c>
      <c r="L1852">
        <v>56.1</v>
      </c>
      <c r="M1852">
        <v>57.9</v>
      </c>
      <c r="P1852" t="s">
        <v>106</v>
      </c>
      <c r="Q1852" t="s">
        <v>106</v>
      </c>
      <c r="R1852" t="s">
        <v>106</v>
      </c>
      <c r="S1852" t="s">
        <v>106</v>
      </c>
      <c r="T1852" t="s">
        <v>1793</v>
      </c>
      <c r="U1852" t="s">
        <v>106</v>
      </c>
      <c r="V1852" t="s">
        <v>106</v>
      </c>
      <c r="W1852" t="s">
        <v>476</v>
      </c>
      <c r="X1852" t="s">
        <v>106</v>
      </c>
      <c r="Y1852" t="s">
        <v>108</v>
      </c>
      <c r="Z1852" t="s">
        <v>104</v>
      </c>
      <c r="AA1852" t="s">
        <v>106</v>
      </c>
      <c r="AB1852" t="s">
        <v>106</v>
      </c>
    </row>
    <row r="1853" spans="1:28" x14ac:dyDescent="0.3">
      <c r="A1853" t="s">
        <v>1486</v>
      </c>
      <c r="B1853">
        <v>4</v>
      </c>
      <c r="C1853">
        <v>60</v>
      </c>
      <c r="D1853">
        <v>134</v>
      </c>
      <c r="E1853" t="s">
        <v>128</v>
      </c>
      <c r="F1853" s="12">
        <v>45643</v>
      </c>
      <c r="G1853" t="s">
        <v>2104</v>
      </c>
      <c r="H1853" s="12">
        <v>45643</v>
      </c>
      <c r="I1853" t="s">
        <v>570</v>
      </c>
      <c r="J1853" t="s">
        <v>471</v>
      </c>
      <c r="K1853">
        <v>2</v>
      </c>
      <c r="L1853">
        <v>56.3</v>
      </c>
      <c r="M1853">
        <v>55.6</v>
      </c>
      <c r="P1853" t="s">
        <v>106</v>
      </c>
      <c r="Q1853" t="s">
        <v>106</v>
      </c>
      <c r="R1853" t="s">
        <v>106</v>
      </c>
      <c r="S1853" t="s">
        <v>2152</v>
      </c>
      <c r="T1853" t="s">
        <v>1850</v>
      </c>
      <c r="U1853" t="s">
        <v>2276</v>
      </c>
      <c r="V1853" t="s">
        <v>106</v>
      </c>
      <c r="W1853" t="s">
        <v>954</v>
      </c>
      <c r="X1853" t="s">
        <v>106</v>
      </c>
      <c r="Y1853" t="s">
        <v>108</v>
      </c>
      <c r="Z1853" t="s">
        <v>104</v>
      </c>
      <c r="AA1853" t="s">
        <v>106</v>
      </c>
      <c r="AB1853" t="s">
        <v>106</v>
      </c>
    </row>
    <row r="1854" spans="1:28" x14ac:dyDescent="0.3">
      <c r="A1854" t="s">
        <v>1486</v>
      </c>
      <c r="B1854">
        <v>4</v>
      </c>
      <c r="C1854">
        <v>60</v>
      </c>
      <c r="D1854">
        <v>135</v>
      </c>
      <c r="E1854" t="s">
        <v>128</v>
      </c>
      <c r="F1854" s="12">
        <v>45643</v>
      </c>
      <c r="G1854" t="s">
        <v>413</v>
      </c>
      <c r="H1854" s="12">
        <v>45643</v>
      </c>
      <c r="I1854" t="s">
        <v>570</v>
      </c>
      <c r="J1854" t="s">
        <v>471</v>
      </c>
      <c r="K1854">
        <v>2</v>
      </c>
      <c r="L1854">
        <v>57.2</v>
      </c>
      <c r="M1854">
        <v>56.1</v>
      </c>
      <c r="P1854" t="s">
        <v>106</v>
      </c>
      <c r="Q1854" t="s">
        <v>106</v>
      </c>
      <c r="R1854" t="s">
        <v>106</v>
      </c>
      <c r="S1854" t="s">
        <v>1658</v>
      </c>
      <c r="T1854" t="s">
        <v>1747</v>
      </c>
      <c r="U1854" t="s">
        <v>646</v>
      </c>
      <c r="V1854" t="s">
        <v>106</v>
      </c>
      <c r="W1854" t="s">
        <v>954</v>
      </c>
      <c r="X1854" t="s">
        <v>106</v>
      </c>
      <c r="Y1854" t="s">
        <v>108</v>
      </c>
      <c r="Z1854" t="s">
        <v>104</v>
      </c>
      <c r="AA1854" t="s">
        <v>106</v>
      </c>
      <c r="AB1854" t="s">
        <v>106</v>
      </c>
    </row>
    <row r="1855" spans="1:28" x14ac:dyDescent="0.3">
      <c r="A1855" t="s">
        <v>1486</v>
      </c>
      <c r="B1855">
        <v>4</v>
      </c>
      <c r="C1855">
        <v>60</v>
      </c>
      <c r="D1855">
        <v>115</v>
      </c>
      <c r="E1855" t="s">
        <v>128</v>
      </c>
      <c r="F1855" s="12">
        <v>45643</v>
      </c>
      <c r="G1855" t="s">
        <v>1697</v>
      </c>
      <c r="H1855" s="12">
        <v>45643</v>
      </c>
      <c r="I1855" t="s">
        <v>1028</v>
      </c>
      <c r="J1855" t="s">
        <v>458</v>
      </c>
      <c r="K1855">
        <v>2</v>
      </c>
      <c r="L1855">
        <v>54.4</v>
      </c>
      <c r="M1855">
        <v>55.5</v>
      </c>
      <c r="P1855" t="s">
        <v>106</v>
      </c>
      <c r="Q1855" t="s">
        <v>106</v>
      </c>
      <c r="R1855" t="s">
        <v>106</v>
      </c>
      <c r="S1855" t="s">
        <v>1388</v>
      </c>
      <c r="T1855" t="s">
        <v>1793</v>
      </c>
      <c r="U1855" t="s">
        <v>825</v>
      </c>
      <c r="V1855" t="s">
        <v>106</v>
      </c>
      <c r="W1855" t="s">
        <v>476</v>
      </c>
      <c r="X1855" t="s">
        <v>106</v>
      </c>
      <c r="Y1855" t="s">
        <v>108</v>
      </c>
      <c r="Z1855" t="s">
        <v>104</v>
      </c>
      <c r="AA1855" t="s">
        <v>106</v>
      </c>
      <c r="AB1855" t="s">
        <v>106</v>
      </c>
    </row>
    <row r="1856" spans="1:28" x14ac:dyDescent="0.3">
      <c r="A1856" t="s">
        <v>1486</v>
      </c>
      <c r="B1856">
        <v>4</v>
      </c>
      <c r="C1856">
        <v>60</v>
      </c>
      <c r="D1856">
        <v>138</v>
      </c>
      <c r="E1856" t="s">
        <v>128</v>
      </c>
      <c r="F1856" s="12">
        <v>45643</v>
      </c>
      <c r="G1856" t="s">
        <v>1790</v>
      </c>
      <c r="H1856" s="12">
        <v>45643</v>
      </c>
      <c r="I1856" t="s">
        <v>2527</v>
      </c>
      <c r="J1856" t="s">
        <v>471</v>
      </c>
      <c r="K1856">
        <v>2</v>
      </c>
      <c r="L1856">
        <v>57</v>
      </c>
      <c r="M1856">
        <v>56.2</v>
      </c>
      <c r="P1856" t="s">
        <v>106</v>
      </c>
      <c r="Q1856" t="s">
        <v>106</v>
      </c>
      <c r="R1856" t="s">
        <v>106</v>
      </c>
      <c r="S1856" t="s">
        <v>106</v>
      </c>
      <c r="T1856" t="s">
        <v>1394</v>
      </c>
      <c r="U1856" t="s">
        <v>677</v>
      </c>
      <c r="V1856" t="s">
        <v>106</v>
      </c>
      <c r="W1856" t="s">
        <v>954</v>
      </c>
      <c r="X1856" t="s">
        <v>106</v>
      </c>
      <c r="Y1856" t="s">
        <v>108</v>
      </c>
      <c r="Z1856" t="s">
        <v>104</v>
      </c>
      <c r="AA1856" t="s">
        <v>106</v>
      </c>
      <c r="AB1856" t="s">
        <v>106</v>
      </c>
    </row>
    <row r="1857" spans="1:28" x14ac:dyDescent="0.3">
      <c r="A1857" t="s">
        <v>1486</v>
      </c>
      <c r="B1857">
        <v>4</v>
      </c>
      <c r="C1857">
        <v>60</v>
      </c>
      <c r="D1857">
        <v>122</v>
      </c>
      <c r="E1857" t="s">
        <v>128</v>
      </c>
      <c r="F1857" s="12">
        <v>45643</v>
      </c>
      <c r="G1857" t="s">
        <v>675</v>
      </c>
      <c r="H1857" s="12">
        <v>45643</v>
      </c>
      <c r="I1857" t="s">
        <v>404</v>
      </c>
      <c r="J1857" t="s">
        <v>458</v>
      </c>
      <c r="K1857">
        <v>2</v>
      </c>
      <c r="L1857">
        <v>51.4</v>
      </c>
      <c r="M1857">
        <v>51.6</v>
      </c>
      <c r="P1857" t="s">
        <v>106</v>
      </c>
      <c r="Q1857" t="s">
        <v>106</v>
      </c>
      <c r="R1857" t="s">
        <v>106</v>
      </c>
      <c r="S1857" t="s">
        <v>106</v>
      </c>
      <c r="T1857" t="s">
        <v>1747</v>
      </c>
      <c r="U1857" t="s">
        <v>630</v>
      </c>
      <c r="V1857" t="s">
        <v>106</v>
      </c>
      <c r="W1857" t="s">
        <v>476</v>
      </c>
      <c r="X1857" t="s">
        <v>106</v>
      </c>
      <c r="Y1857" t="s">
        <v>108</v>
      </c>
      <c r="Z1857" t="s">
        <v>104</v>
      </c>
      <c r="AA1857" t="s">
        <v>106</v>
      </c>
      <c r="AB1857" t="s">
        <v>106</v>
      </c>
    </row>
    <row r="1858" spans="1:28" x14ac:dyDescent="0.3">
      <c r="A1858" t="s">
        <v>1486</v>
      </c>
      <c r="B1858">
        <v>4</v>
      </c>
      <c r="C1858">
        <v>60</v>
      </c>
      <c r="D1858">
        <v>153</v>
      </c>
      <c r="E1858" t="s">
        <v>128</v>
      </c>
      <c r="F1858" s="12">
        <v>45643</v>
      </c>
      <c r="G1858" t="s">
        <v>2097</v>
      </c>
      <c r="H1858" s="12">
        <v>45643</v>
      </c>
      <c r="I1858" t="s">
        <v>1498</v>
      </c>
      <c r="J1858" t="s">
        <v>471</v>
      </c>
      <c r="K1858">
        <v>2</v>
      </c>
      <c r="L1858">
        <v>59.1</v>
      </c>
      <c r="M1858">
        <v>59.4</v>
      </c>
      <c r="P1858" t="s">
        <v>106</v>
      </c>
      <c r="Q1858" t="s">
        <v>106</v>
      </c>
      <c r="R1858" t="s">
        <v>106</v>
      </c>
      <c r="S1858" t="s">
        <v>106</v>
      </c>
      <c r="T1858" t="s">
        <v>881</v>
      </c>
      <c r="U1858" t="s">
        <v>382</v>
      </c>
      <c r="V1858" t="s">
        <v>106</v>
      </c>
      <c r="W1858" t="s">
        <v>954</v>
      </c>
      <c r="X1858" t="s">
        <v>106</v>
      </c>
      <c r="Y1858" t="s">
        <v>108</v>
      </c>
      <c r="Z1858" t="s">
        <v>104</v>
      </c>
      <c r="AA1858" t="s">
        <v>106</v>
      </c>
      <c r="AB1858" t="s">
        <v>106</v>
      </c>
    </row>
    <row r="1859" spans="1:28" x14ac:dyDescent="0.3">
      <c r="A1859" t="s">
        <v>1486</v>
      </c>
      <c r="B1859">
        <v>4</v>
      </c>
      <c r="C1859">
        <v>60</v>
      </c>
      <c r="D1859">
        <v>140</v>
      </c>
      <c r="E1859" t="s">
        <v>128</v>
      </c>
      <c r="F1859" s="12">
        <v>45643</v>
      </c>
      <c r="G1859" t="s">
        <v>1883</v>
      </c>
      <c r="H1859" s="12">
        <v>45643</v>
      </c>
      <c r="I1859" t="s">
        <v>2527</v>
      </c>
      <c r="J1859" t="s">
        <v>471</v>
      </c>
      <c r="K1859">
        <v>2</v>
      </c>
      <c r="L1859">
        <v>58.8</v>
      </c>
      <c r="M1859">
        <v>58.6</v>
      </c>
      <c r="P1859" t="s">
        <v>106</v>
      </c>
      <c r="Q1859" t="s">
        <v>106</v>
      </c>
      <c r="R1859" t="s">
        <v>106</v>
      </c>
      <c r="S1859" t="s">
        <v>106</v>
      </c>
      <c r="T1859" t="s">
        <v>1476</v>
      </c>
      <c r="U1859" t="s">
        <v>825</v>
      </c>
      <c r="V1859" t="s">
        <v>106</v>
      </c>
      <c r="W1859" t="s">
        <v>954</v>
      </c>
      <c r="X1859" t="s">
        <v>106</v>
      </c>
      <c r="Y1859" t="s">
        <v>108</v>
      </c>
      <c r="Z1859" t="s">
        <v>104</v>
      </c>
      <c r="AA1859" t="s">
        <v>106</v>
      </c>
      <c r="AB1859" t="s">
        <v>106</v>
      </c>
    </row>
    <row r="1860" spans="1:28" x14ac:dyDescent="0.3">
      <c r="A1860" t="s">
        <v>1486</v>
      </c>
      <c r="B1860">
        <v>4</v>
      </c>
      <c r="C1860">
        <v>60</v>
      </c>
      <c r="D1860">
        <v>145</v>
      </c>
      <c r="E1860" t="s">
        <v>128</v>
      </c>
      <c r="F1860" s="12">
        <v>45643</v>
      </c>
      <c r="G1860" t="s">
        <v>1829</v>
      </c>
      <c r="H1860" s="12">
        <v>45643</v>
      </c>
      <c r="I1860" t="s">
        <v>2124</v>
      </c>
      <c r="J1860" t="s">
        <v>471</v>
      </c>
      <c r="K1860">
        <v>2</v>
      </c>
      <c r="L1860">
        <v>55.4</v>
      </c>
      <c r="M1860">
        <v>55.1</v>
      </c>
      <c r="P1860" t="s">
        <v>106</v>
      </c>
      <c r="Q1860" t="s">
        <v>106</v>
      </c>
      <c r="R1860" t="s">
        <v>106</v>
      </c>
      <c r="S1860" t="s">
        <v>106</v>
      </c>
      <c r="T1860" t="s">
        <v>722</v>
      </c>
      <c r="U1860" t="s">
        <v>825</v>
      </c>
      <c r="V1860" t="s">
        <v>106</v>
      </c>
      <c r="W1860" t="s">
        <v>954</v>
      </c>
      <c r="X1860" t="s">
        <v>106</v>
      </c>
      <c r="Y1860" t="s">
        <v>108</v>
      </c>
      <c r="Z1860" t="s">
        <v>104</v>
      </c>
      <c r="AA1860" t="s">
        <v>106</v>
      </c>
      <c r="AB1860" t="s">
        <v>106</v>
      </c>
    </row>
    <row r="1861" spans="1:28" x14ac:dyDescent="0.3">
      <c r="A1861" t="s">
        <v>1486</v>
      </c>
      <c r="B1861">
        <v>4</v>
      </c>
      <c r="C1861">
        <v>60</v>
      </c>
      <c r="D1861">
        <v>146</v>
      </c>
      <c r="E1861" t="s">
        <v>128</v>
      </c>
      <c r="F1861" s="12">
        <v>45643</v>
      </c>
      <c r="G1861" t="s">
        <v>1831</v>
      </c>
      <c r="H1861" s="12">
        <v>45643</v>
      </c>
      <c r="I1861" t="s">
        <v>2124</v>
      </c>
      <c r="J1861" t="s">
        <v>471</v>
      </c>
      <c r="K1861">
        <v>2</v>
      </c>
      <c r="L1861">
        <v>57.7</v>
      </c>
      <c r="M1861">
        <v>57.3</v>
      </c>
      <c r="P1861" t="s">
        <v>106</v>
      </c>
      <c r="Q1861" t="s">
        <v>106</v>
      </c>
      <c r="R1861" t="s">
        <v>106</v>
      </c>
      <c r="S1861" t="s">
        <v>106</v>
      </c>
      <c r="T1861" t="s">
        <v>1393</v>
      </c>
      <c r="U1861" t="s">
        <v>630</v>
      </c>
      <c r="V1861" t="s">
        <v>106</v>
      </c>
      <c r="W1861" t="s">
        <v>954</v>
      </c>
      <c r="X1861" t="s">
        <v>106</v>
      </c>
      <c r="Y1861" t="s">
        <v>108</v>
      </c>
      <c r="Z1861" t="s">
        <v>104</v>
      </c>
      <c r="AA1861" t="s">
        <v>106</v>
      </c>
      <c r="AB1861" t="s">
        <v>106</v>
      </c>
    </row>
    <row r="1862" spans="1:28" x14ac:dyDescent="0.3">
      <c r="A1862" t="s">
        <v>1486</v>
      </c>
      <c r="B1862">
        <v>4</v>
      </c>
      <c r="C1862">
        <v>60</v>
      </c>
      <c r="D1862">
        <v>111</v>
      </c>
      <c r="E1862" t="s">
        <v>128</v>
      </c>
      <c r="F1862" s="12">
        <v>45643</v>
      </c>
      <c r="G1862" t="s">
        <v>2235</v>
      </c>
      <c r="H1862" s="12">
        <v>45643</v>
      </c>
      <c r="I1862" t="s">
        <v>2114</v>
      </c>
      <c r="J1862" t="s">
        <v>458</v>
      </c>
      <c r="K1862">
        <v>2</v>
      </c>
      <c r="L1862">
        <v>59.3</v>
      </c>
      <c r="M1862">
        <v>59.8</v>
      </c>
      <c r="P1862" t="s">
        <v>106</v>
      </c>
      <c r="Q1862" t="s">
        <v>106</v>
      </c>
      <c r="R1862" t="s">
        <v>106</v>
      </c>
      <c r="S1862" t="s">
        <v>2403</v>
      </c>
      <c r="T1862" t="s">
        <v>1701</v>
      </c>
      <c r="U1862" t="s">
        <v>532</v>
      </c>
      <c r="V1862" t="s">
        <v>106</v>
      </c>
      <c r="W1862" t="s">
        <v>476</v>
      </c>
      <c r="X1862" t="s">
        <v>106</v>
      </c>
      <c r="Y1862" t="s">
        <v>108</v>
      </c>
      <c r="Z1862" t="s">
        <v>104</v>
      </c>
      <c r="AA1862" t="s">
        <v>106</v>
      </c>
      <c r="AB1862" t="s">
        <v>106</v>
      </c>
    </row>
    <row r="1863" spans="1:28" x14ac:dyDescent="0.3">
      <c r="A1863" t="s">
        <v>1486</v>
      </c>
      <c r="B1863">
        <v>4</v>
      </c>
      <c r="C1863">
        <v>60</v>
      </c>
      <c r="D1863">
        <v>110</v>
      </c>
      <c r="E1863" t="s">
        <v>128</v>
      </c>
      <c r="F1863" s="12">
        <v>45643</v>
      </c>
      <c r="G1863" t="s">
        <v>1870</v>
      </c>
      <c r="H1863" s="12">
        <v>45643</v>
      </c>
      <c r="I1863" t="s">
        <v>2114</v>
      </c>
      <c r="J1863" t="s">
        <v>458</v>
      </c>
      <c r="K1863">
        <v>2</v>
      </c>
      <c r="L1863">
        <v>57.6</v>
      </c>
      <c r="M1863">
        <v>57.7</v>
      </c>
      <c r="P1863" t="s">
        <v>106</v>
      </c>
      <c r="Q1863" t="s">
        <v>106</v>
      </c>
      <c r="R1863" t="s">
        <v>106</v>
      </c>
      <c r="S1863" t="s">
        <v>2137</v>
      </c>
      <c r="T1863" t="s">
        <v>1839</v>
      </c>
      <c r="U1863" t="s">
        <v>369</v>
      </c>
      <c r="V1863" t="s">
        <v>106</v>
      </c>
      <c r="W1863" t="s">
        <v>476</v>
      </c>
      <c r="X1863" t="s">
        <v>106</v>
      </c>
      <c r="Y1863" t="s">
        <v>108</v>
      </c>
      <c r="Z1863" t="s">
        <v>104</v>
      </c>
      <c r="AA1863" t="s">
        <v>106</v>
      </c>
      <c r="AB1863" t="s">
        <v>106</v>
      </c>
    </row>
    <row r="1864" spans="1:28" x14ac:dyDescent="0.3">
      <c r="A1864" t="s">
        <v>1486</v>
      </c>
      <c r="B1864">
        <v>4</v>
      </c>
      <c r="C1864">
        <v>60</v>
      </c>
      <c r="D1864">
        <v>152</v>
      </c>
      <c r="E1864" t="s">
        <v>128</v>
      </c>
      <c r="F1864" s="12">
        <v>45643</v>
      </c>
      <c r="G1864" t="s">
        <v>2097</v>
      </c>
      <c r="H1864" s="12">
        <v>45643</v>
      </c>
      <c r="I1864" t="s">
        <v>1498</v>
      </c>
      <c r="J1864" t="s">
        <v>471</v>
      </c>
      <c r="K1864">
        <v>2</v>
      </c>
      <c r="L1864">
        <v>56.2</v>
      </c>
      <c r="M1864">
        <v>56.4</v>
      </c>
      <c r="P1864" t="s">
        <v>106</v>
      </c>
      <c r="Q1864" t="s">
        <v>106</v>
      </c>
      <c r="R1864" t="s">
        <v>106</v>
      </c>
      <c r="S1864" t="s">
        <v>106</v>
      </c>
      <c r="T1864" t="s">
        <v>1463</v>
      </c>
      <c r="U1864" t="s">
        <v>369</v>
      </c>
      <c r="V1864" t="s">
        <v>106</v>
      </c>
      <c r="W1864" t="s">
        <v>954</v>
      </c>
      <c r="X1864" t="s">
        <v>106</v>
      </c>
      <c r="Y1864" t="s">
        <v>108</v>
      </c>
      <c r="Z1864" t="s">
        <v>104</v>
      </c>
      <c r="AA1864" t="s">
        <v>106</v>
      </c>
      <c r="AB1864" t="s">
        <v>106</v>
      </c>
    </row>
    <row r="1865" spans="1:28" x14ac:dyDescent="0.3">
      <c r="A1865" t="s">
        <v>1486</v>
      </c>
      <c r="B1865">
        <v>1</v>
      </c>
      <c r="C1865">
        <v>0</v>
      </c>
      <c r="D1865">
        <v>188</v>
      </c>
      <c r="E1865" t="s">
        <v>128</v>
      </c>
      <c r="F1865" s="12">
        <v>45644</v>
      </c>
      <c r="G1865" t="s">
        <v>1502</v>
      </c>
      <c r="H1865" s="12">
        <v>45644</v>
      </c>
      <c r="I1865" t="s">
        <v>1503</v>
      </c>
      <c r="J1865" t="s">
        <v>1363</v>
      </c>
      <c r="K1865">
        <v>2</v>
      </c>
      <c r="L1865">
        <v>0</v>
      </c>
      <c r="M1865">
        <v>0</v>
      </c>
      <c r="P1865" t="s">
        <v>106</v>
      </c>
      <c r="Q1865" t="s">
        <v>106</v>
      </c>
      <c r="R1865" t="s">
        <v>106</v>
      </c>
      <c r="S1865" t="s">
        <v>106</v>
      </c>
      <c r="T1865" t="s">
        <v>1504</v>
      </c>
      <c r="U1865" t="s">
        <v>867</v>
      </c>
      <c r="V1865" t="s">
        <v>106</v>
      </c>
      <c r="W1865" t="s">
        <v>476</v>
      </c>
      <c r="X1865" t="s">
        <v>106</v>
      </c>
      <c r="Y1865" t="s">
        <v>108</v>
      </c>
      <c r="Z1865" t="s">
        <v>105</v>
      </c>
      <c r="AA1865" t="s">
        <v>106</v>
      </c>
      <c r="AB1865" t="s">
        <v>106</v>
      </c>
    </row>
    <row r="1866" spans="1:28" x14ac:dyDescent="0.3">
      <c r="A1866" t="s">
        <v>1486</v>
      </c>
      <c r="B1866">
        <v>1</v>
      </c>
      <c r="C1866">
        <v>0</v>
      </c>
      <c r="D1866">
        <v>189</v>
      </c>
      <c r="E1866" t="s">
        <v>128</v>
      </c>
      <c r="F1866" s="12">
        <v>45644</v>
      </c>
      <c r="G1866" t="s">
        <v>1502</v>
      </c>
      <c r="H1866" s="12">
        <v>45644</v>
      </c>
      <c r="I1866" t="s">
        <v>1503</v>
      </c>
      <c r="J1866" t="s">
        <v>1363</v>
      </c>
      <c r="K1866">
        <v>2</v>
      </c>
      <c r="L1866">
        <v>0</v>
      </c>
      <c r="M1866">
        <v>0</v>
      </c>
      <c r="P1866" t="s">
        <v>106</v>
      </c>
      <c r="Q1866" t="s">
        <v>106</v>
      </c>
      <c r="R1866" t="s">
        <v>106</v>
      </c>
      <c r="S1866" t="s">
        <v>106</v>
      </c>
      <c r="T1866" t="s">
        <v>802</v>
      </c>
      <c r="U1866" t="s">
        <v>106</v>
      </c>
      <c r="V1866" t="s">
        <v>106</v>
      </c>
      <c r="W1866" t="s">
        <v>476</v>
      </c>
      <c r="X1866" t="s">
        <v>106</v>
      </c>
      <c r="Y1866" t="s">
        <v>108</v>
      </c>
      <c r="Z1866" t="s">
        <v>105</v>
      </c>
      <c r="AA1866" t="s">
        <v>106</v>
      </c>
      <c r="AB1866" t="s">
        <v>106</v>
      </c>
    </row>
    <row r="1867" spans="1:28" x14ac:dyDescent="0.3">
      <c r="A1867" t="s">
        <v>1486</v>
      </c>
      <c r="B1867">
        <v>2</v>
      </c>
      <c r="C1867">
        <v>15</v>
      </c>
      <c r="D1867">
        <v>165</v>
      </c>
      <c r="E1867" t="s">
        <v>128</v>
      </c>
      <c r="F1867" s="12">
        <v>45644</v>
      </c>
      <c r="G1867" t="s">
        <v>1648</v>
      </c>
      <c r="H1867" s="12">
        <v>45644</v>
      </c>
      <c r="I1867" t="s">
        <v>313</v>
      </c>
      <c r="J1867" t="s">
        <v>477</v>
      </c>
      <c r="K1867">
        <v>2</v>
      </c>
      <c r="L1867">
        <v>14.9</v>
      </c>
      <c r="M1867">
        <v>14.8</v>
      </c>
      <c r="P1867" t="s">
        <v>106</v>
      </c>
      <c r="Q1867" t="s">
        <v>106</v>
      </c>
      <c r="R1867" t="s">
        <v>106</v>
      </c>
      <c r="S1867" t="s">
        <v>1567</v>
      </c>
      <c r="T1867" t="s">
        <v>1947</v>
      </c>
      <c r="U1867" t="s">
        <v>2119</v>
      </c>
      <c r="V1867" t="s">
        <v>106</v>
      </c>
      <c r="W1867" t="s">
        <v>954</v>
      </c>
      <c r="X1867" t="s">
        <v>106</v>
      </c>
      <c r="Y1867" t="s">
        <v>108</v>
      </c>
      <c r="Z1867" t="s">
        <v>109</v>
      </c>
      <c r="AA1867" t="s">
        <v>106</v>
      </c>
      <c r="AB1867" t="s">
        <v>106</v>
      </c>
    </row>
    <row r="1868" spans="1:28" x14ac:dyDescent="0.3">
      <c r="A1868" t="s">
        <v>1486</v>
      </c>
      <c r="B1868">
        <v>2</v>
      </c>
      <c r="C1868">
        <v>15</v>
      </c>
      <c r="D1868">
        <v>164</v>
      </c>
      <c r="E1868" t="s">
        <v>128</v>
      </c>
      <c r="F1868" s="12">
        <v>45644</v>
      </c>
      <c r="G1868" t="s">
        <v>1648</v>
      </c>
      <c r="H1868" s="12">
        <v>45644</v>
      </c>
      <c r="I1868" t="s">
        <v>313</v>
      </c>
      <c r="J1868" t="s">
        <v>477</v>
      </c>
      <c r="K1868">
        <v>2</v>
      </c>
      <c r="L1868">
        <v>14.1</v>
      </c>
      <c r="M1868">
        <v>14</v>
      </c>
      <c r="P1868" t="s">
        <v>106</v>
      </c>
      <c r="Q1868" t="s">
        <v>106</v>
      </c>
      <c r="R1868" t="s">
        <v>106</v>
      </c>
      <c r="S1868" t="s">
        <v>106</v>
      </c>
      <c r="T1868" t="s">
        <v>1947</v>
      </c>
      <c r="U1868" t="s">
        <v>145</v>
      </c>
      <c r="V1868" t="s">
        <v>106</v>
      </c>
      <c r="W1868" t="s">
        <v>954</v>
      </c>
      <c r="X1868" t="s">
        <v>106</v>
      </c>
      <c r="Y1868" t="s">
        <v>108</v>
      </c>
      <c r="Z1868" t="s">
        <v>109</v>
      </c>
      <c r="AA1868" t="s">
        <v>106</v>
      </c>
      <c r="AB1868" t="s">
        <v>106</v>
      </c>
    </row>
    <row r="1869" spans="1:28" x14ac:dyDescent="0.3">
      <c r="A1869" t="s">
        <v>1486</v>
      </c>
      <c r="B1869">
        <v>2</v>
      </c>
      <c r="C1869">
        <v>15</v>
      </c>
      <c r="D1869">
        <v>183</v>
      </c>
      <c r="E1869" t="s">
        <v>128</v>
      </c>
      <c r="F1869" s="12">
        <v>45644</v>
      </c>
      <c r="G1869" t="s">
        <v>1627</v>
      </c>
      <c r="H1869" s="12">
        <v>45644</v>
      </c>
      <c r="I1869" t="s">
        <v>2129</v>
      </c>
      <c r="J1869" t="s">
        <v>1363</v>
      </c>
      <c r="K1869">
        <v>2</v>
      </c>
      <c r="L1869">
        <v>15</v>
      </c>
      <c r="M1869">
        <v>15</v>
      </c>
      <c r="P1869" t="s">
        <v>106</v>
      </c>
      <c r="Q1869" t="s">
        <v>106</v>
      </c>
      <c r="R1869" t="s">
        <v>106</v>
      </c>
      <c r="S1869" t="s">
        <v>1744</v>
      </c>
      <c r="T1869" t="s">
        <v>1796</v>
      </c>
      <c r="U1869" t="s">
        <v>444</v>
      </c>
      <c r="V1869" t="s">
        <v>106</v>
      </c>
      <c r="W1869" t="s">
        <v>476</v>
      </c>
      <c r="X1869" t="s">
        <v>106</v>
      </c>
      <c r="Y1869" t="s">
        <v>108</v>
      </c>
      <c r="Z1869" t="s">
        <v>108</v>
      </c>
      <c r="AA1869" t="s">
        <v>106</v>
      </c>
      <c r="AB1869" t="s">
        <v>106</v>
      </c>
    </row>
    <row r="1870" spans="1:28" x14ac:dyDescent="0.3">
      <c r="A1870" t="s">
        <v>1486</v>
      </c>
      <c r="B1870">
        <v>2</v>
      </c>
      <c r="C1870">
        <v>15</v>
      </c>
      <c r="D1870">
        <v>182</v>
      </c>
      <c r="E1870" t="s">
        <v>128</v>
      </c>
      <c r="F1870" s="12">
        <v>45644</v>
      </c>
      <c r="G1870" t="s">
        <v>1627</v>
      </c>
      <c r="H1870" s="12">
        <v>45644</v>
      </c>
      <c r="I1870" t="s">
        <v>2129</v>
      </c>
      <c r="J1870" t="s">
        <v>1363</v>
      </c>
      <c r="K1870">
        <v>2</v>
      </c>
      <c r="L1870">
        <v>15.1</v>
      </c>
      <c r="M1870">
        <v>15</v>
      </c>
      <c r="P1870" t="s">
        <v>106</v>
      </c>
      <c r="Q1870" t="s">
        <v>106</v>
      </c>
      <c r="R1870" t="s">
        <v>106</v>
      </c>
      <c r="S1870" t="s">
        <v>2130</v>
      </c>
      <c r="T1870" t="s">
        <v>1822</v>
      </c>
      <c r="U1870" t="s">
        <v>144</v>
      </c>
      <c r="V1870" t="s">
        <v>106</v>
      </c>
      <c r="W1870" t="s">
        <v>476</v>
      </c>
      <c r="X1870" t="s">
        <v>106</v>
      </c>
      <c r="Y1870" t="s">
        <v>108</v>
      </c>
      <c r="Z1870" t="s">
        <v>108</v>
      </c>
      <c r="AA1870" t="s">
        <v>106</v>
      </c>
      <c r="AB1870" t="s">
        <v>106</v>
      </c>
    </row>
    <row r="1871" spans="1:28" x14ac:dyDescent="0.3">
      <c r="A1871" t="s">
        <v>1486</v>
      </c>
      <c r="B1871">
        <v>2</v>
      </c>
      <c r="C1871">
        <v>15</v>
      </c>
      <c r="D1871">
        <v>190</v>
      </c>
      <c r="E1871" t="s">
        <v>128</v>
      </c>
      <c r="F1871" s="12">
        <v>45644</v>
      </c>
      <c r="G1871" t="s">
        <v>2071</v>
      </c>
      <c r="H1871" s="12">
        <v>45644</v>
      </c>
      <c r="I1871" t="s">
        <v>1503</v>
      </c>
      <c r="J1871" t="s">
        <v>1363</v>
      </c>
      <c r="K1871">
        <v>2</v>
      </c>
      <c r="L1871">
        <v>13.8</v>
      </c>
      <c r="M1871">
        <v>13.6</v>
      </c>
      <c r="P1871" t="s">
        <v>106</v>
      </c>
      <c r="Q1871" t="s">
        <v>106</v>
      </c>
      <c r="R1871" t="s">
        <v>106</v>
      </c>
      <c r="S1871" t="s">
        <v>106</v>
      </c>
      <c r="T1871" t="s">
        <v>1864</v>
      </c>
      <c r="U1871" t="s">
        <v>146</v>
      </c>
      <c r="V1871" t="s">
        <v>106</v>
      </c>
      <c r="W1871" t="s">
        <v>476</v>
      </c>
      <c r="X1871" t="s">
        <v>106</v>
      </c>
      <c r="Y1871" t="s">
        <v>108</v>
      </c>
      <c r="Z1871" t="s">
        <v>109</v>
      </c>
      <c r="AA1871" t="s">
        <v>106</v>
      </c>
      <c r="AB1871" t="s">
        <v>106</v>
      </c>
    </row>
    <row r="1872" spans="1:28" x14ac:dyDescent="0.3">
      <c r="A1872" t="s">
        <v>1486</v>
      </c>
      <c r="B1872">
        <v>2</v>
      </c>
      <c r="C1872">
        <v>15</v>
      </c>
      <c r="D1872">
        <v>158</v>
      </c>
      <c r="E1872" t="s">
        <v>128</v>
      </c>
      <c r="F1872" s="12">
        <v>45644</v>
      </c>
      <c r="G1872" t="s">
        <v>1017</v>
      </c>
      <c r="H1872" s="12">
        <v>45644</v>
      </c>
      <c r="I1872" t="s">
        <v>1689</v>
      </c>
      <c r="J1872" t="s">
        <v>477</v>
      </c>
      <c r="K1872">
        <v>2</v>
      </c>
      <c r="L1872">
        <v>14.2</v>
      </c>
      <c r="M1872">
        <v>14.2</v>
      </c>
      <c r="P1872" t="s">
        <v>106</v>
      </c>
      <c r="Q1872" t="s">
        <v>106</v>
      </c>
      <c r="R1872" t="s">
        <v>106</v>
      </c>
      <c r="S1872" t="s">
        <v>1514</v>
      </c>
      <c r="T1872" t="s">
        <v>1394</v>
      </c>
      <c r="U1872" t="s">
        <v>2119</v>
      </c>
      <c r="V1872" t="s">
        <v>106</v>
      </c>
      <c r="W1872" t="s">
        <v>954</v>
      </c>
      <c r="X1872" t="s">
        <v>106</v>
      </c>
      <c r="Y1872" t="s">
        <v>108</v>
      </c>
      <c r="Z1872" t="s">
        <v>109</v>
      </c>
      <c r="AA1872" t="s">
        <v>106</v>
      </c>
      <c r="AB1872" t="s">
        <v>106</v>
      </c>
    </row>
    <row r="1873" spans="1:28" x14ac:dyDescent="0.3">
      <c r="A1873" t="s">
        <v>1486</v>
      </c>
      <c r="B1873">
        <v>2</v>
      </c>
      <c r="C1873">
        <v>15</v>
      </c>
      <c r="D1873">
        <v>177</v>
      </c>
      <c r="E1873" t="s">
        <v>128</v>
      </c>
      <c r="F1873" s="12">
        <v>45644</v>
      </c>
      <c r="G1873" t="s">
        <v>833</v>
      </c>
      <c r="H1873" s="12">
        <v>45644</v>
      </c>
      <c r="I1873" t="s">
        <v>880</v>
      </c>
      <c r="J1873" t="s">
        <v>1363</v>
      </c>
      <c r="K1873">
        <v>2</v>
      </c>
      <c r="L1873">
        <v>16.3</v>
      </c>
      <c r="M1873">
        <v>16.2</v>
      </c>
      <c r="P1873" t="s">
        <v>106</v>
      </c>
      <c r="Q1873" t="s">
        <v>106</v>
      </c>
      <c r="R1873" t="s">
        <v>106</v>
      </c>
      <c r="S1873" t="s">
        <v>106</v>
      </c>
      <c r="T1873" t="s">
        <v>1864</v>
      </c>
      <c r="U1873" t="s">
        <v>369</v>
      </c>
      <c r="V1873" t="s">
        <v>106</v>
      </c>
      <c r="W1873" t="s">
        <v>476</v>
      </c>
      <c r="X1873" t="s">
        <v>106</v>
      </c>
      <c r="Y1873" t="s">
        <v>108</v>
      </c>
      <c r="Z1873" t="s">
        <v>109</v>
      </c>
      <c r="AA1873" t="s">
        <v>106</v>
      </c>
      <c r="AB1873" t="s">
        <v>106</v>
      </c>
    </row>
    <row r="1874" spans="1:28" x14ac:dyDescent="0.3">
      <c r="A1874" t="s">
        <v>1486</v>
      </c>
      <c r="B1874">
        <v>2</v>
      </c>
      <c r="C1874">
        <v>15</v>
      </c>
      <c r="D1874">
        <v>191</v>
      </c>
      <c r="E1874" t="s">
        <v>128</v>
      </c>
      <c r="F1874" s="12">
        <v>45644</v>
      </c>
      <c r="G1874" t="s">
        <v>2071</v>
      </c>
      <c r="H1874" s="12">
        <v>45644</v>
      </c>
      <c r="I1874" t="s">
        <v>1503</v>
      </c>
      <c r="J1874" t="s">
        <v>1363</v>
      </c>
      <c r="K1874">
        <v>2</v>
      </c>
      <c r="L1874">
        <v>17.5</v>
      </c>
      <c r="M1874">
        <v>17.5</v>
      </c>
      <c r="P1874" t="s">
        <v>106</v>
      </c>
      <c r="Q1874" t="s">
        <v>106</v>
      </c>
      <c r="R1874" t="s">
        <v>106</v>
      </c>
      <c r="S1874" t="s">
        <v>106</v>
      </c>
      <c r="T1874" t="s">
        <v>1385</v>
      </c>
      <c r="U1874" t="s">
        <v>441</v>
      </c>
      <c r="V1874" t="s">
        <v>106</v>
      </c>
      <c r="W1874" t="s">
        <v>476</v>
      </c>
      <c r="X1874" t="s">
        <v>106</v>
      </c>
      <c r="Y1874" t="s">
        <v>108</v>
      </c>
      <c r="Z1874" t="s">
        <v>109</v>
      </c>
      <c r="AA1874" t="s">
        <v>106</v>
      </c>
      <c r="AB1874" t="s">
        <v>106</v>
      </c>
    </row>
    <row r="1875" spans="1:28" x14ac:dyDescent="0.3">
      <c r="A1875" t="s">
        <v>1486</v>
      </c>
      <c r="B1875">
        <v>2</v>
      </c>
      <c r="C1875">
        <v>15</v>
      </c>
      <c r="D1875">
        <v>171</v>
      </c>
      <c r="E1875" t="s">
        <v>128</v>
      </c>
      <c r="F1875" s="12">
        <v>45644</v>
      </c>
      <c r="G1875" t="s">
        <v>1237</v>
      </c>
      <c r="H1875" s="12">
        <v>45644</v>
      </c>
      <c r="I1875" t="s">
        <v>608</v>
      </c>
      <c r="J1875" t="s">
        <v>458</v>
      </c>
      <c r="L1875">
        <v>15.1</v>
      </c>
      <c r="M1875">
        <v>15.2</v>
      </c>
      <c r="P1875" t="s">
        <v>106</v>
      </c>
      <c r="Q1875" t="s">
        <v>106</v>
      </c>
      <c r="R1875" t="s">
        <v>106</v>
      </c>
      <c r="S1875" t="s">
        <v>1703</v>
      </c>
      <c r="T1875" t="s">
        <v>2095</v>
      </c>
      <c r="U1875" t="s">
        <v>143</v>
      </c>
      <c r="V1875" t="s">
        <v>106</v>
      </c>
      <c r="W1875" t="s">
        <v>954</v>
      </c>
      <c r="X1875" t="s">
        <v>106</v>
      </c>
      <c r="Y1875" t="s">
        <v>108</v>
      </c>
      <c r="Z1875" t="s">
        <v>109</v>
      </c>
      <c r="AA1875" t="s">
        <v>106</v>
      </c>
      <c r="AB1875" t="s">
        <v>106</v>
      </c>
    </row>
    <row r="1876" spans="1:28" x14ac:dyDescent="0.3">
      <c r="A1876" t="s">
        <v>1486</v>
      </c>
      <c r="B1876">
        <v>2</v>
      </c>
      <c r="C1876">
        <v>15</v>
      </c>
      <c r="D1876">
        <v>159</v>
      </c>
      <c r="E1876" t="s">
        <v>128</v>
      </c>
      <c r="F1876" s="12">
        <v>45644</v>
      </c>
      <c r="G1876" t="s">
        <v>1017</v>
      </c>
      <c r="H1876" s="12">
        <v>45644</v>
      </c>
      <c r="I1876" t="s">
        <v>1689</v>
      </c>
      <c r="J1876" t="s">
        <v>477</v>
      </c>
      <c r="K1876">
        <v>2</v>
      </c>
      <c r="L1876">
        <v>15.3</v>
      </c>
      <c r="M1876">
        <v>15.3</v>
      </c>
      <c r="P1876" t="s">
        <v>106</v>
      </c>
      <c r="Q1876" t="s">
        <v>106</v>
      </c>
      <c r="R1876" t="s">
        <v>106</v>
      </c>
      <c r="S1876" t="s">
        <v>1547</v>
      </c>
      <c r="T1876" t="s">
        <v>1841</v>
      </c>
      <c r="U1876" t="s">
        <v>334</v>
      </c>
      <c r="V1876" t="s">
        <v>106</v>
      </c>
      <c r="W1876" t="s">
        <v>954</v>
      </c>
      <c r="X1876" t="s">
        <v>106</v>
      </c>
      <c r="Y1876" t="s">
        <v>108</v>
      </c>
      <c r="Z1876" t="s">
        <v>109</v>
      </c>
      <c r="AA1876" t="s">
        <v>106</v>
      </c>
      <c r="AB1876" t="s">
        <v>106</v>
      </c>
    </row>
    <row r="1877" spans="1:28" x14ac:dyDescent="0.3">
      <c r="A1877" t="s">
        <v>1486</v>
      </c>
      <c r="B1877">
        <v>2</v>
      </c>
      <c r="C1877">
        <v>15</v>
      </c>
      <c r="D1877">
        <v>170</v>
      </c>
      <c r="E1877" t="s">
        <v>128</v>
      </c>
      <c r="F1877" s="12">
        <v>45644</v>
      </c>
      <c r="G1877" t="s">
        <v>1237</v>
      </c>
      <c r="H1877" s="12">
        <v>45644</v>
      </c>
      <c r="I1877" t="s">
        <v>608</v>
      </c>
      <c r="J1877" t="s">
        <v>458</v>
      </c>
      <c r="L1877">
        <v>13.6</v>
      </c>
      <c r="M1877">
        <v>13.6</v>
      </c>
      <c r="P1877" t="s">
        <v>106</v>
      </c>
      <c r="Q1877" t="s">
        <v>106</v>
      </c>
      <c r="R1877" t="s">
        <v>106</v>
      </c>
      <c r="S1877" t="s">
        <v>106</v>
      </c>
      <c r="T1877" t="s">
        <v>1476</v>
      </c>
      <c r="U1877" t="s">
        <v>433</v>
      </c>
      <c r="V1877" t="s">
        <v>106</v>
      </c>
      <c r="W1877" t="s">
        <v>954</v>
      </c>
      <c r="X1877" t="s">
        <v>106</v>
      </c>
      <c r="Y1877" t="s">
        <v>108</v>
      </c>
      <c r="Z1877" t="s">
        <v>109</v>
      </c>
      <c r="AA1877" t="s">
        <v>106</v>
      </c>
      <c r="AB1877" t="s">
        <v>106</v>
      </c>
    </row>
    <row r="1878" spans="1:28" x14ac:dyDescent="0.3">
      <c r="A1878" t="s">
        <v>1486</v>
      </c>
      <c r="B1878">
        <v>2</v>
      </c>
      <c r="C1878">
        <v>15</v>
      </c>
      <c r="D1878">
        <v>198</v>
      </c>
      <c r="E1878" t="s">
        <v>128</v>
      </c>
      <c r="F1878" s="12">
        <v>45644</v>
      </c>
      <c r="G1878" t="s">
        <v>2131</v>
      </c>
      <c r="H1878" s="12">
        <v>45644</v>
      </c>
      <c r="I1878" t="s">
        <v>2132</v>
      </c>
      <c r="J1878" t="s">
        <v>1363</v>
      </c>
      <c r="K1878">
        <v>2</v>
      </c>
      <c r="L1878">
        <v>15</v>
      </c>
      <c r="M1878">
        <v>14.9</v>
      </c>
      <c r="P1878" t="s">
        <v>2133</v>
      </c>
      <c r="Q1878" t="s">
        <v>106</v>
      </c>
      <c r="R1878" t="s">
        <v>106</v>
      </c>
      <c r="S1878" t="s">
        <v>106</v>
      </c>
      <c r="T1878" t="s">
        <v>1796</v>
      </c>
      <c r="U1878" t="s">
        <v>433</v>
      </c>
      <c r="V1878" t="s">
        <v>106</v>
      </c>
      <c r="W1878" t="s">
        <v>476</v>
      </c>
      <c r="X1878" t="s">
        <v>106</v>
      </c>
      <c r="Y1878" t="s">
        <v>108</v>
      </c>
      <c r="Z1878" t="s">
        <v>108</v>
      </c>
      <c r="AA1878" t="s">
        <v>106</v>
      </c>
      <c r="AB1878" t="s">
        <v>106</v>
      </c>
    </row>
    <row r="1879" spans="1:28" x14ac:dyDescent="0.3">
      <c r="A1879" t="s">
        <v>1486</v>
      </c>
      <c r="B1879">
        <v>2</v>
      </c>
      <c r="C1879">
        <v>15</v>
      </c>
      <c r="D1879">
        <v>199</v>
      </c>
      <c r="E1879" t="s">
        <v>128</v>
      </c>
      <c r="F1879" s="12">
        <v>45644</v>
      </c>
      <c r="G1879" t="s">
        <v>2131</v>
      </c>
      <c r="H1879" s="12">
        <v>45644</v>
      </c>
      <c r="I1879" t="s">
        <v>2132</v>
      </c>
      <c r="J1879" t="s">
        <v>1363</v>
      </c>
      <c r="K1879">
        <v>2</v>
      </c>
      <c r="L1879">
        <v>15.5</v>
      </c>
      <c r="M1879">
        <v>15.4</v>
      </c>
      <c r="P1879" t="s">
        <v>2134</v>
      </c>
      <c r="Q1879" t="s">
        <v>106</v>
      </c>
      <c r="R1879" t="s">
        <v>106</v>
      </c>
      <c r="S1879" t="s">
        <v>106</v>
      </c>
      <c r="T1879" t="s">
        <v>1747</v>
      </c>
      <c r="U1879" t="s">
        <v>147</v>
      </c>
      <c r="V1879" t="s">
        <v>106</v>
      </c>
      <c r="W1879" t="s">
        <v>476</v>
      </c>
      <c r="X1879" t="s">
        <v>106</v>
      </c>
      <c r="Y1879" t="s">
        <v>108</v>
      </c>
      <c r="Z1879" t="s">
        <v>108</v>
      </c>
      <c r="AA1879" t="s">
        <v>106</v>
      </c>
      <c r="AB1879" t="s">
        <v>106</v>
      </c>
    </row>
    <row r="1880" spans="1:28" x14ac:dyDescent="0.3">
      <c r="A1880" t="s">
        <v>1486</v>
      </c>
      <c r="B1880">
        <v>2</v>
      </c>
      <c r="C1880">
        <v>15</v>
      </c>
      <c r="D1880">
        <v>176</v>
      </c>
      <c r="E1880" t="s">
        <v>128</v>
      </c>
      <c r="F1880" s="12">
        <v>45644</v>
      </c>
      <c r="G1880" t="s">
        <v>681</v>
      </c>
      <c r="H1880" s="12">
        <v>45644</v>
      </c>
      <c r="I1880" t="s">
        <v>880</v>
      </c>
      <c r="J1880" t="s">
        <v>1363</v>
      </c>
      <c r="K1880">
        <v>2</v>
      </c>
      <c r="L1880">
        <v>15.4</v>
      </c>
      <c r="M1880">
        <v>15.4</v>
      </c>
      <c r="P1880" t="s">
        <v>106</v>
      </c>
      <c r="Q1880" t="s">
        <v>106</v>
      </c>
      <c r="R1880" t="s">
        <v>106</v>
      </c>
      <c r="S1880" t="s">
        <v>1567</v>
      </c>
      <c r="T1880" t="s">
        <v>1386</v>
      </c>
      <c r="U1880" t="s">
        <v>2119</v>
      </c>
      <c r="V1880" t="s">
        <v>106</v>
      </c>
      <c r="W1880" t="s">
        <v>476</v>
      </c>
      <c r="X1880" t="s">
        <v>106</v>
      </c>
      <c r="Y1880" t="s">
        <v>108</v>
      </c>
      <c r="Z1880" t="s">
        <v>109</v>
      </c>
      <c r="AA1880" t="s">
        <v>106</v>
      </c>
      <c r="AB1880" t="s">
        <v>106</v>
      </c>
    </row>
    <row r="1881" spans="1:28" x14ac:dyDescent="0.3">
      <c r="A1881" t="s">
        <v>1486</v>
      </c>
      <c r="B1881">
        <v>3</v>
      </c>
      <c r="C1881">
        <v>35</v>
      </c>
      <c r="D1881">
        <v>156</v>
      </c>
      <c r="E1881" t="s">
        <v>128</v>
      </c>
      <c r="F1881" s="12">
        <v>45644</v>
      </c>
      <c r="G1881" t="s">
        <v>1007</v>
      </c>
      <c r="H1881" s="12">
        <v>45644</v>
      </c>
      <c r="I1881" t="s">
        <v>1689</v>
      </c>
      <c r="J1881" t="s">
        <v>477</v>
      </c>
      <c r="K1881">
        <v>2</v>
      </c>
      <c r="L1881">
        <v>34.6</v>
      </c>
      <c r="M1881">
        <v>34.6</v>
      </c>
      <c r="P1881" t="s">
        <v>106</v>
      </c>
      <c r="Q1881" t="s">
        <v>106</v>
      </c>
      <c r="R1881" t="s">
        <v>106</v>
      </c>
      <c r="S1881" t="s">
        <v>2152</v>
      </c>
      <c r="T1881" t="s">
        <v>1935</v>
      </c>
      <c r="U1881" t="s">
        <v>630</v>
      </c>
      <c r="V1881" t="s">
        <v>106</v>
      </c>
      <c r="W1881" t="s">
        <v>954</v>
      </c>
      <c r="X1881" t="s">
        <v>106</v>
      </c>
      <c r="Y1881" t="s">
        <v>108</v>
      </c>
      <c r="Z1881" t="s">
        <v>108</v>
      </c>
      <c r="AA1881" t="s">
        <v>106</v>
      </c>
      <c r="AB1881" t="s">
        <v>106</v>
      </c>
    </row>
    <row r="1882" spans="1:28" x14ac:dyDescent="0.3">
      <c r="A1882" t="s">
        <v>1486</v>
      </c>
      <c r="B1882">
        <v>3</v>
      </c>
      <c r="C1882">
        <v>35</v>
      </c>
      <c r="D1882">
        <v>187</v>
      </c>
      <c r="E1882" t="s">
        <v>128</v>
      </c>
      <c r="F1882" s="12">
        <v>45644</v>
      </c>
      <c r="G1882" t="s">
        <v>1502</v>
      </c>
      <c r="H1882" s="12">
        <v>45644</v>
      </c>
      <c r="I1882" t="s">
        <v>1503</v>
      </c>
      <c r="J1882" t="s">
        <v>1363</v>
      </c>
      <c r="K1882">
        <v>2</v>
      </c>
      <c r="L1882">
        <v>37</v>
      </c>
      <c r="M1882">
        <v>36.9</v>
      </c>
      <c r="P1882" t="s">
        <v>106</v>
      </c>
      <c r="Q1882" t="s">
        <v>106</v>
      </c>
      <c r="R1882" t="s">
        <v>106</v>
      </c>
      <c r="S1882" t="s">
        <v>106</v>
      </c>
      <c r="T1882" t="s">
        <v>977</v>
      </c>
      <c r="U1882" t="s">
        <v>136</v>
      </c>
      <c r="V1882" t="s">
        <v>106</v>
      </c>
      <c r="W1882" t="s">
        <v>476</v>
      </c>
      <c r="X1882" t="s">
        <v>106</v>
      </c>
      <c r="Y1882" t="s">
        <v>108</v>
      </c>
      <c r="Z1882" t="s">
        <v>108</v>
      </c>
      <c r="AA1882" t="s">
        <v>106</v>
      </c>
      <c r="AB1882" t="s">
        <v>106</v>
      </c>
    </row>
    <row r="1883" spans="1:28" x14ac:dyDescent="0.3">
      <c r="A1883" t="s">
        <v>1486</v>
      </c>
      <c r="B1883">
        <v>3</v>
      </c>
      <c r="C1883">
        <v>35</v>
      </c>
      <c r="D1883">
        <v>186</v>
      </c>
      <c r="E1883" t="s">
        <v>128</v>
      </c>
      <c r="F1883" s="12">
        <v>45644</v>
      </c>
      <c r="G1883" t="s">
        <v>1502</v>
      </c>
      <c r="H1883" s="12">
        <v>45644</v>
      </c>
      <c r="I1883" t="s">
        <v>1503</v>
      </c>
      <c r="J1883" t="s">
        <v>1363</v>
      </c>
      <c r="K1883">
        <v>2</v>
      </c>
      <c r="L1883">
        <v>36.700000000000003</v>
      </c>
      <c r="M1883">
        <v>37.1</v>
      </c>
      <c r="P1883" t="s">
        <v>106</v>
      </c>
      <c r="Q1883" t="s">
        <v>106</v>
      </c>
      <c r="R1883" t="s">
        <v>106</v>
      </c>
      <c r="S1883" t="s">
        <v>2121</v>
      </c>
      <c r="T1883" t="s">
        <v>1409</v>
      </c>
      <c r="U1883" t="s">
        <v>143</v>
      </c>
      <c r="V1883" t="s">
        <v>106</v>
      </c>
      <c r="W1883" t="s">
        <v>476</v>
      </c>
      <c r="X1883" t="s">
        <v>106</v>
      </c>
      <c r="Y1883" t="s">
        <v>108</v>
      </c>
      <c r="Z1883" t="s">
        <v>108</v>
      </c>
      <c r="AA1883" t="s">
        <v>106</v>
      </c>
      <c r="AB1883" t="s">
        <v>106</v>
      </c>
    </row>
    <row r="1884" spans="1:28" x14ac:dyDescent="0.3">
      <c r="A1884" t="s">
        <v>1486</v>
      </c>
      <c r="B1884">
        <v>3</v>
      </c>
      <c r="C1884">
        <v>35</v>
      </c>
      <c r="D1884">
        <v>168</v>
      </c>
      <c r="E1884" t="s">
        <v>128</v>
      </c>
      <c r="F1884" s="12">
        <v>45644</v>
      </c>
      <c r="G1884" t="s">
        <v>1233</v>
      </c>
      <c r="H1884" s="12">
        <v>45644</v>
      </c>
      <c r="I1884" t="s">
        <v>608</v>
      </c>
      <c r="J1884" t="s">
        <v>458</v>
      </c>
      <c r="L1884">
        <v>33.9</v>
      </c>
      <c r="M1884">
        <v>33.799999999999997</v>
      </c>
      <c r="P1884" t="s">
        <v>106</v>
      </c>
      <c r="Q1884" t="s">
        <v>106</v>
      </c>
      <c r="R1884" t="s">
        <v>106</v>
      </c>
      <c r="S1884" t="s">
        <v>106</v>
      </c>
      <c r="T1884" t="s">
        <v>884</v>
      </c>
      <c r="U1884" t="s">
        <v>677</v>
      </c>
      <c r="V1884" t="s">
        <v>106</v>
      </c>
      <c r="W1884" t="s">
        <v>954</v>
      </c>
      <c r="X1884" t="s">
        <v>106</v>
      </c>
      <c r="Y1884" t="s">
        <v>108</v>
      </c>
      <c r="Z1884" t="s">
        <v>108</v>
      </c>
      <c r="AA1884" t="s">
        <v>106</v>
      </c>
      <c r="AB1884" t="s">
        <v>106</v>
      </c>
    </row>
    <row r="1885" spans="1:28" x14ac:dyDescent="0.3">
      <c r="A1885" t="s">
        <v>1486</v>
      </c>
      <c r="B1885">
        <v>3</v>
      </c>
      <c r="C1885">
        <v>35</v>
      </c>
      <c r="D1885">
        <v>181</v>
      </c>
      <c r="E1885" t="s">
        <v>128</v>
      </c>
      <c r="F1885" s="12">
        <v>45644</v>
      </c>
      <c r="G1885" t="s">
        <v>1627</v>
      </c>
      <c r="H1885" s="12">
        <v>45644</v>
      </c>
      <c r="I1885" t="s">
        <v>2129</v>
      </c>
      <c r="J1885" t="s">
        <v>1363</v>
      </c>
      <c r="K1885">
        <v>2</v>
      </c>
      <c r="L1885">
        <v>35.1</v>
      </c>
      <c r="M1885">
        <v>35.200000000000003</v>
      </c>
      <c r="P1885" t="s">
        <v>106</v>
      </c>
      <c r="Q1885" t="s">
        <v>106</v>
      </c>
      <c r="R1885" t="s">
        <v>106</v>
      </c>
      <c r="S1885" t="s">
        <v>2118</v>
      </c>
      <c r="T1885" t="s">
        <v>1458</v>
      </c>
      <c r="U1885" t="s">
        <v>444</v>
      </c>
      <c r="V1885" t="s">
        <v>106</v>
      </c>
      <c r="W1885" t="s">
        <v>476</v>
      </c>
      <c r="X1885" t="s">
        <v>106</v>
      </c>
      <c r="Y1885" t="s">
        <v>108</v>
      </c>
      <c r="Z1885" t="s">
        <v>108</v>
      </c>
      <c r="AA1885" t="s">
        <v>106</v>
      </c>
      <c r="AB1885" t="s">
        <v>106</v>
      </c>
    </row>
    <row r="1886" spans="1:28" x14ac:dyDescent="0.3">
      <c r="A1886" t="s">
        <v>1486</v>
      </c>
      <c r="B1886">
        <v>3</v>
      </c>
      <c r="C1886">
        <v>35</v>
      </c>
      <c r="D1886">
        <v>169</v>
      </c>
      <c r="E1886" t="s">
        <v>128</v>
      </c>
      <c r="F1886" s="12">
        <v>45644</v>
      </c>
      <c r="G1886" t="s">
        <v>1327</v>
      </c>
      <c r="H1886" s="12">
        <v>45644</v>
      </c>
      <c r="I1886" t="s">
        <v>608</v>
      </c>
      <c r="J1886" t="s">
        <v>458</v>
      </c>
      <c r="L1886">
        <v>31.6</v>
      </c>
      <c r="M1886">
        <v>32</v>
      </c>
      <c r="P1886" t="s">
        <v>106</v>
      </c>
      <c r="Q1886" t="s">
        <v>106</v>
      </c>
      <c r="R1886" t="s">
        <v>106</v>
      </c>
      <c r="S1886" t="s">
        <v>2166</v>
      </c>
      <c r="T1886" t="s">
        <v>2529</v>
      </c>
      <c r="U1886" t="s">
        <v>444</v>
      </c>
      <c r="V1886" t="s">
        <v>106</v>
      </c>
      <c r="W1886" t="s">
        <v>954</v>
      </c>
      <c r="X1886" t="s">
        <v>106</v>
      </c>
      <c r="Y1886" t="s">
        <v>108</v>
      </c>
      <c r="Z1886" t="s">
        <v>108</v>
      </c>
      <c r="AA1886" t="s">
        <v>106</v>
      </c>
      <c r="AB1886" t="s">
        <v>106</v>
      </c>
    </row>
    <row r="1887" spans="1:28" x14ac:dyDescent="0.3">
      <c r="A1887" t="s">
        <v>1486</v>
      </c>
      <c r="B1887">
        <v>3</v>
      </c>
      <c r="C1887">
        <v>35</v>
      </c>
      <c r="D1887">
        <v>180</v>
      </c>
      <c r="E1887" t="s">
        <v>128</v>
      </c>
      <c r="F1887" s="12">
        <v>45644</v>
      </c>
      <c r="G1887" t="s">
        <v>2530</v>
      </c>
      <c r="H1887" s="12">
        <v>45644</v>
      </c>
      <c r="I1887" t="s">
        <v>2129</v>
      </c>
      <c r="J1887" t="s">
        <v>1363</v>
      </c>
      <c r="K1887">
        <v>2</v>
      </c>
      <c r="L1887">
        <v>35.6</v>
      </c>
      <c r="M1887">
        <v>35.1</v>
      </c>
      <c r="P1887" t="s">
        <v>106</v>
      </c>
      <c r="Q1887" t="s">
        <v>106</v>
      </c>
      <c r="R1887" t="s">
        <v>106</v>
      </c>
      <c r="S1887" t="s">
        <v>1494</v>
      </c>
      <c r="T1887" t="s">
        <v>1959</v>
      </c>
      <c r="U1887" t="s">
        <v>146</v>
      </c>
      <c r="V1887" t="s">
        <v>106</v>
      </c>
      <c r="W1887" t="s">
        <v>476</v>
      </c>
      <c r="X1887" t="s">
        <v>106</v>
      </c>
      <c r="Y1887" t="s">
        <v>108</v>
      </c>
      <c r="Z1887" t="s">
        <v>108</v>
      </c>
      <c r="AA1887" t="s">
        <v>106</v>
      </c>
      <c r="AB1887" t="s">
        <v>106</v>
      </c>
    </row>
    <row r="1888" spans="1:28" x14ac:dyDescent="0.3">
      <c r="A1888" t="s">
        <v>1486</v>
      </c>
      <c r="B1888">
        <v>3</v>
      </c>
      <c r="C1888">
        <v>35</v>
      </c>
      <c r="D1888">
        <v>174</v>
      </c>
      <c r="E1888" t="s">
        <v>128</v>
      </c>
      <c r="F1888" s="12">
        <v>45644</v>
      </c>
      <c r="G1888" t="s">
        <v>340</v>
      </c>
      <c r="H1888" s="12">
        <v>45644</v>
      </c>
      <c r="I1888" t="s">
        <v>880</v>
      </c>
      <c r="J1888" t="s">
        <v>1363</v>
      </c>
      <c r="K1888">
        <v>2</v>
      </c>
      <c r="L1888">
        <v>35.9</v>
      </c>
      <c r="M1888">
        <v>35.799999999999997</v>
      </c>
      <c r="P1888" t="s">
        <v>106</v>
      </c>
      <c r="Q1888" t="s">
        <v>106</v>
      </c>
      <c r="R1888" t="s">
        <v>106</v>
      </c>
      <c r="S1888" t="s">
        <v>106</v>
      </c>
      <c r="T1888" t="s">
        <v>1951</v>
      </c>
      <c r="U1888" t="s">
        <v>369</v>
      </c>
      <c r="V1888" t="s">
        <v>106</v>
      </c>
      <c r="W1888" t="s">
        <v>476</v>
      </c>
      <c r="X1888" t="s">
        <v>106</v>
      </c>
      <c r="Y1888" t="s">
        <v>108</v>
      </c>
      <c r="Z1888" t="s">
        <v>108</v>
      </c>
      <c r="AA1888" t="s">
        <v>106</v>
      </c>
      <c r="AB1888" t="s">
        <v>106</v>
      </c>
    </row>
    <row r="1889" spans="1:28" x14ac:dyDescent="0.3">
      <c r="A1889" t="s">
        <v>1486</v>
      </c>
      <c r="B1889">
        <v>3</v>
      </c>
      <c r="C1889">
        <v>35</v>
      </c>
      <c r="D1889">
        <v>163</v>
      </c>
      <c r="E1889" t="s">
        <v>128</v>
      </c>
      <c r="F1889" s="12">
        <v>45644</v>
      </c>
      <c r="G1889" t="s">
        <v>387</v>
      </c>
      <c r="H1889" s="12">
        <v>45644</v>
      </c>
      <c r="I1889" t="s">
        <v>313</v>
      </c>
      <c r="J1889" t="s">
        <v>477</v>
      </c>
      <c r="K1889">
        <v>2</v>
      </c>
      <c r="L1889">
        <v>32.4</v>
      </c>
      <c r="M1889">
        <v>32.4</v>
      </c>
      <c r="P1889" t="s">
        <v>106</v>
      </c>
      <c r="Q1889" t="s">
        <v>106</v>
      </c>
      <c r="R1889" t="s">
        <v>106</v>
      </c>
      <c r="S1889" t="s">
        <v>2243</v>
      </c>
      <c r="T1889" t="s">
        <v>2075</v>
      </c>
      <c r="U1889" t="s">
        <v>532</v>
      </c>
      <c r="V1889" t="s">
        <v>106</v>
      </c>
      <c r="W1889" t="s">
        <v>954</v>
      </c>
      <c r="X1889" t="s">
        <v>106</v>
      </c>
      <c r="Y1889" t="s">
        <v>108</v>
      </c>
      <c r="Z1889" t="s">
        <v>108</v>
      </c>
      <c r="AA1889" t="s">
        <v>106</v>
      </c>
      <c r="AB1889" t="s">
        <v>106</v>
      </c>
    </row>
    <row r="1890" spans="1:28" x14ac:dyDescent="0.3">
      <c r="A1890" t="s">
        <v>1486</v>
      </c>
      <c r="B1890">
        <v>3</v>
      </c>
      <c r="C1890">
        <v>35</v>
      </c>
      <c r="D1890">
        <v>175</v>
      </c>
      <c r="E1890" t="s">
        <v>128</v>
      </c>
      <c r="F1890" s="12">
        <v>45644</v>
      </c>
      <c r="G1890" t="s">
        <v>340</v>
      </c>
      <c r="H1890" s="12">
        <v>45644</v>
      </c>
      <c r="I1890" t="s">
        <v>880</v>
      </c>
      <c r="J1890" t="s">
        <v>1363</v>
      </c>
      <c r="K1890">
        <v>2</v>
      </c>
      <c r="L1890">
        <v>36.1</v>
      </c>
      <c r="M1890">
        <v>35.799999999999997</v>
      </c>
      <c r="P1890" t="s">
        <v>106</v>
      </c>
      <c r="Q1890" t="s">
        <v>106</v>
      </c>
      <c r="R1890" t="s">
        <v>106</v>
      </c>
      <c r="S1890" t="s">
        <v>1654</v>
      </c>
      <c r="T1890" t="s">
        <v>1947</v>
      </c>
      <c r="U1890" t="s">
        <v>825</v>
      </c>
      <c r="V1890" t="s">
        <v>106</v>
      </c>
      <c r="W1890" t="s">
        <v>476</v>
      </c>
      <c r="X1890" t="s">
        <v>106</v>
      </c>
      <c r="Y1890" t="s">
        <v>108</v>
      </c>
      <c r="Z1890" t="s">
        <v>108</v>
      </c>
      <c r="AA1890" t="s">
        <v>106</v>
      </c>
      <c r="AB1890" t="s">
        <v>106</v>
      </c>
    </row>
    <row r="1891" spans="1:28" x14ac:dyDescent="0.3">
      <c r="A1891" t="s">
        <v>1486</v>
      </c>
      <c r="B1891">
        <v>3</v>
      </c>
      <c r="C1891">
        <v>35</v>
      </c>
      <c r="D1891">
        <v>162</v>
      </c>
      <c r="E1891" t="s">
        <v>128</v>
      </c>
      <c r="F1891" s="12">
        <v>45644</v>
      </c>
      <c r="G1891" t="s">
        <v>388</v>
      </c>
      <c r="H1891" s="12">
        <v>45644</v>
      </c>
      <c r="I1891" t="s">
        <v>313</v>
      </c>
      <c r="J1891" t="s">
        <v>477</v>
      </c>
      <c r="K1891">
        <v>2</v>
      </c>
      <c r="L1891">
        <v>33.9</v>
      </c>
      <c r="M1891">
        <v>33.9</v>
      </c>
      <c r="P1891" t="s">
        <v>106</v>
      </c>
      <c r="Q1891" t="s">
        <v>106</v>
      </c>
      <c r="R1891" t="s">
        <v>106</v>
      </c>
      <c r="S1891" t="s">
        <v>106</v>
      </c>
      <c r="T1891" t="s">
        <v>1158</v>
      </c>
      <c r="U1891" t="s">
        <v>450</v>
      </c>
      <c r="V1891" t="s">
        <v>106</v>
      </c>
      <c r="W1891" t="s">
        <v>954</v>
      </c>
      <c r="X1891" t="s">
        <v>106</v>
      </c>
      <c r="Y1891" t="s">
        <v>108</v>
      </c>
      <c r="Z1891" t="s">
        <v>108</v>
      </c>
      <c r="AA1891" t="s">
        <v>106</v>
      </c>
      <c r="AB1891" t="s">
        <v>106</v>
      </c>
    </row>
    <row r="1892" spans="1:28" x14ac:dyDescent="0.3">
      <c r="A1892" t="s">
        <v>1486</v>
      </c>
      <c r="B1892">
        <v>3</v>
      </c>
      <c r="C1892">
        <v>35</v>
      </c>
      <c r="D1892">
        <v>197</v>
      </c>
      <c r="E1892" t="s">
        <v>128</v>
      </c>
      <c r="F1892" s="12">
        <v>45644</v>
      </c>
      <c r="G1892" t="s">
        <v>2131</v>
      </c>
      <c r="H1892" s="12">
        <v>45644</v>
      </c>
      <c r="I1892" t="s">
        <v>2132</v>
      </c>
      <c r="J1892" t="s">
        <v>1363</v>
      </c>
      <c r="K1892">
        <v>2</v>
      </c>
      <c r="L1892">
        <v>35.200000000000003</v>
      </c>
      <c r="M1892">
        <v>35</v>
      </c>
      <c r="P1892" t="s">
        <v>106</v>
      </c>
      <c r="Q1892" t="s">
        <v>106</v>
      </c>
      <c r="R1892" t="s">
        <v>106</v>
      </c>
      <c r="S1892" t="s">
        <v>106</v>
      </c>
      <c r="T1892" t="s">
        <v>1458</v>
      </c>
      <c r="U1892" t="s">
        <v>719</v>
      </c>
      <c r="V1892" t="s">
        <v>106</v>
      </c>
      <c r="W1892" t="s">
        <v>476</v>
      </c>
      <c r="X1892" t="s">
        <v>106</v>
      </c>
      <c r="Y1892" t="s">
        <v>108</v>
      </c>
      <c r="Z1892" t="s">
        <v>108</v>
      </c>
      <c r="AA1892" t="s">
        <v>106</v>
      </c>
      <c r="AB1892" t="s">
        <v>106</v>
      </c>
    </row>
    <row r="1893" spans="1:28" x14ac:dyDescent="0.3">
      <c r="A1893" t="s">
        <v>1486</v>
      </c>
      <c r="B1893">
        <v>3</v>
      </c>
      <c r="C1893">
        <v>35</v>
      </c>
      <c r="D1893">
        <v>157</v>
      </c>
      <c r="E1893" t="s">
        <v>128</v>
      </c>
      <c r="F1893" s="12">
        <v>45644</v>
      </c>
      <c r="G1893" t="s">
        <v>1010</v>
      </c>
      <c r="H1893" s="12">
        <v>45644</v>
      </c>
      <c r="I1893" t="s">
        <v>1689</v>
      </c>
      <c r="J1893" t="s">
        <v>477</v>
      </c>
      <c r="K1893">
        <v>2</v>
      </c>
      <c r="L1893">
        <v>35.1</v>
      </c>
      <c r="M1893">
        <v>35.200000000000003</v>
      </c>
      <c r="P1893" t="s">
        <v>106</v>
      </c>
      <c r="Q1893" t="s">
        <v>106</v>
      </c>
      <c r="R1893" t="s">
        <v>106</v>
      </c>
      <c r="S1893" t="s">
        <v>1488</v>
      </c>
      <c r="T1893" t="s">
        <v>1804</v>
      </c>
      <c r="U1893" t="s">
        <v>630</v>
      </c>
      <c r="V1893" t="s">
        <v>106</v>
      </c>
      <c r="W1893" t="s">
        <v>954</v>
      </c>
      <c r="X1893" t="s">
        <v>106</v>
      </c>
      <c r="Y1893" t="s">
        <v>108</v>
      </c>
      <c r="Z1893" t="s">
        <v>108</v>
      </c>
      <c r="AA1893" t="s">
        <v>106</v>
      </c>
      <c r="AB1893" t="s">
        <v>106</v>
      </c>
    </row>
    <row r="1894" spans="1:28" x14ac:dyDescent="0.3">
      <c r="A1894" t="s">
        <v>1486</v>
      </c>
      <c r="B1894">
        <v>3</v>
      </c>
      <c r="C1894">
        <v>35</v>
      </c>
      <c r="D1894">
        <v>196</v>
      </c>
      <c r="E1894" t="s">
        <v>128</v>
      </c>
      <c r="F1894" s="12">
        <v>45644</v>
      </c>
      <c r="G1894" t="s">
        <v>2122</v>
      </c>
      <c r="H1894" s="12">
        <v>45644</v>
      </c>
      <c r="I1894" t="s">
        <v>2132</v>
      </c>
      <c r="J1894" t="s">
        <v>1363</v>
      </c>
      <c r="K1894">
        <v>2</v>
      </c>
      <c r="L1894">
        <v>34.5</v>
      </c>
      <c r="M1894">
        <v>34.6</v>
      </c>
      <c r="P1894" t="s">
        <v>106</v>
      </c>
      <c r="Q1894" t="s">
        <v>106</v>
      </c>
      <c r="R1894" t="s">
        <v>106</v>
      </c>
      <c r="S1894" t="s">
        <v>106</v>
      </c>
      <c r="T1894" t="s">
        <v>1850</v>
      </c>
      <c r="U1894" t="s">
        <v>143</v>
      </c>
      <c r="V1894" t="s">
        <v>106</v>
      </c>
      <c r="W1894" t="s">
        <v>476</v>
      </c>
      <c r="X1894" t="s">
        <v>106</v>
      </c>
      <c r="Y1894" t="s">
        <v>108</v>
      </c>
      <c r="Z1894" t="s">
        <v>108</v>
      </c>
      <c r="AA1894" t="s">
        <v>106</v>
      </c>
      <c r="AB1894" t="s">
        <v>106</v>
      </c>
    </row>
    <row r="1895" spans="1:28" x14ac:dyDescent="0.3">
      <c r="A1895" t="s">
        <v>1486</v>
      </c>
      <c r="B1895">
        <v>4</v>
      </c>
      <c r="C1895">
        <v>60</v>
      </c>
      <c r="D1895">
        <v>195</v>
      </c>
      <c r="E1895" t="s">
        <v>128</v>
      </c>
      <c r="F1895" s="12">
        <v>45644</v>
      </c>
      <c r="G1895" t="s">
        <v>2131</v>
      </c>
      <c r="H1895" s="12">
        <v>45644</v>
      </c>
      <c r="I1895" t="s">
        <v>2132</v>
      </c>
      <c r="J1895" t="s">
        <v>1363</v>
      </c>
      <c r="K1895">
        <v>2</v>
      </c>
      <c r="L1895">
        <v>59.9</v>
      </c>
      <c r="M1895">
        <v>61.3</v>
      </c>
      <c r="P1895" t="s">
        <v>106</v>
      </c>
      <c r="Q1895" t="s">
        <v>106</v>
      </c>
      <c r="R1895" t="s">
        <v>106</v>
      </c>
      <c r="S1895" t="s">
        <v>106</v>
      </c>
      <c r="T1895" t="s">
        <v>1049</v>
      </c>
      <c r="U1895" t="s">
        <v>382</v>
      </c>
      <c r="V1895" t="s">
        <v>106</v>
      </c>
      <c r="W1895" t="s">
        <v>476</v>
      </c>
      <c r="X1895" t="s">
        <v>106</v>
      </c>
      <c r="Y1895" t="s">
        <v>108</v>
      </c>
      <c r="Z1895" t="s">
        <v>104</v>
      </c>
      <c r="AA1895" t="s">
        <v>106</v>
      </c>
      <c r="AB1895" t="s">
        <v>106</v>
      </c>
    </row>
    <row r="1896" spans="1:28" x14ac:dyDescent="0.3">
      <c r="A1896" t="s">
        <v>1486</v>
      </c>
      <c r="B1896">
        <v>4</v>
      </c>
      <c r="C1896">
        <v>60</v>
      </c>
      <c r="D1896">
        <v>193</v>
      </c>
      <c r="E1896" t="s">
        <v>128</v>
      </c>
      <c r="F1896" s="12">
        <v>45644</v>
      </c>
      <c r="G1896" t="s">
        <v>2018</v>
      </c>
      <c r="H1896" s="12">
        <v>45644</v>
      </c>
      <c r="I1896" t="s">
        <v>1503</v>
      </c>
      <c r="J1896" t="s">
        <v>1363</v>
      </c>
      <c r="K1896">
        <v>2</v>
      </c>
      <c r="L1896">
        <v>55.6</v>
      </c>
      <c r="M1896">
        <v>55.5</v>
      </c>
      <c r="P1896" t="s">
        <v>106</v>
      </c>
      <c r="Q1896" t="s">
        <v>106</v>
      </c>
      <c r="R1896" t="s">
        <v>106</v>
      </c>
      <c r="S1896" t="s">
        <v>106</v>
      </c>
      <c r="T1896" t="s">
        <v>1049</v>
      </c>
      <c r="U1896" t="s">
        <v>106</v>
      </c>
      <c r="V1896" t="s">
        <v>106</v>
      </c>
      <c r="W1896" t="s">
        <v>476</v>
      </c>
      <c r="X1896" t="s">
        <v>106</v>
      </c>
      <c r="Y1896" t="s">
        <v>108</v>
      </c>
      <c r="Z1896" t="s">
        <v>104</v>
      </c>
      <c r="AA1896" t="s">
        <v>106</v>
      </c>
      <c r="AB1896" t="s">
        <v>106</v>
      </c>
    </row>
    <row r="1897" spans="1:28" x14ac:dyDescent="0.3">
      <c r="A1897" t="s">
        <v>1486</v>
      </c>
      <c r="B1897">
        <v>4</v>
      </c>
      <c r="C1897">
        <v>60</v>
      </c>
      <c r="D1897">
        <v>185</v>
      </c>
      <c r="E1897" t="s">
        <v>128</v>
      </c>
      <c r="F1897" s="12">
        <v>45644</v>
      </c>
      <c r="G1897" t="s">
        <v>1627</v>
      </c>
      <c r="H1897" s="12">
        <v>45644</v>
      </c>
      <c r="I1897" t="s">
        <v>2129</v>
      </c>
      <c r="J1897" t="s">
        <v>1363</v>
      </c>
      <c r="K1897">
        <v>2</v>
      </c>
      <c r="L1897">
        <v>57.3</v>
      </c>
      <c r="M1897">
        <v>59.2</v>
      </c>
      <c r="P1897" t="s">
        <v>106</v>
      </c>
      <c r="Q1897" t="s">
        <v>106</v>
      </c>
      <c r="R1897" t="s">
        <v>106</v>
      </c>
      <c r="S1897" t="s">
        <v>1678</v>
      </c>
      <c r="T1897" t="s">
        <v>1074</v>
      </c>
      <c r="U1897" t="s">
        <v>369</v>
      </c>
      <c r="V1897" t="s">
        <v>106</v>
      </c>
      <c r="W1897" t="s">
        <v>476</v>
      </c>
      <c r="X1897" t="s">
        <v>106</v>
      </c>
      <c r="Y1897" t="s">
        <v>108</v>
      </c>
      <c r="Z1897" t="s">
        <v>108</v>
      </c>
      <c r="AA1897" t="s">
        <v>106</v>
      </c>
      <c r="AB1897" t="s">
        <v>106</v>
      </c>
    </row>
    <row r="1898" spans="1:28" x14ac:dyDescent="0.3">
      <c r="A1898" t="s">
        <v>1486</v>
      </c>
      <c r="B1898">
        <v>4</v>
      </c>
      <c r="C1898">
        <v>60</v>
      </c>
      <c r="D1898">
        <v>184</v>
      </c>
      <c r="E1898" t="s">
        <v>128</v>
      </c>
      <c r="F1898" s="12">
        <v>45644</v>
      </c>
      <c r="G1898" t="s">
        <v>1627</v>
      </c>
      <c r="H1898" s="12">
        <v>45644</v>
      </c>
      <c r="I1898" t="s">
        <v>2129</v>
      </c>
      <c r="J1898" t="s">
        <v>1363</v>
      </c>
      <c r="K1898">
        <v>2</v>
      </c>
      <c r="L1898">
        <v>58.1</v>
      </c>
      <c r="M1898">
        <v>57.8</v>
      </c>
      <c r="P1898" t="s">
        <v>106</v>
      </c>
      <c r="Q1898" t="s">
        <v>106</v>
      </c>
      <c r="R1898" t="s">
        <v>106</v>
      </c>
      <c r="S1898" t="s">
        <v>1567</v>
      </c>
      <c r="T1898" t="s">
        <v>881</v>
      </c>
      <c r="U1898" t="s">
        <v>143</v>
      </c>
      <c r="V1898" t="s">
        <v>106</v>
      </c>
      <c r="W1898" t="s">
        <v>476</v>
      </c>
      <c r="X1898" t="s">
        <v>106</v>
      </c>
      <c r="Y1898" t="s">
        <v>108</v>
      </c>
      <c r="Z1898" t="s">
        <v>108</v>
      </c>
      <c r="AA1898" t="s">
        <v>106</v>
      </c>
      <c r="AB1898" t="s">
        <v>106</v>
      </c>
    </row>
    <row r="1899" spans="1:28" x14ac:dyDescent="0.3">
      <c r="A1899" t="s">
        <v>1486</v>
      </c>
      <c r="B1899">
        <v>4</v>
      </c>
      <c r="C1899">
        <v>60</v>
      </c>
      <c r="D1899">
        <v>179</v>
      </c>
      <c r="E1899" t="s">
        <v>128</v>
      </c>
      <c r="F1899" s="12">
        <v>45644</v>
      </c>
      <c r="G1899" t="s">
        <v>1139</v>
      </c>
      <c r="H1899" s="12">
        <v>45644</v>
      </c>
      <c r="I1899" t="s">
        <v>880</v>
      </c>
      <c r="J1899" t="s">
        <v>1363</v>
      </c>
      <c r="K1899">
        <v>2</v>
      </c>
      <c r="L1899">
        <v>55.1</v>
      </c>
      <c r="M1899">
        <v>55.1</v>
      </c>
      <c r="P1899" t="s">
        <v>106</v>
      </c>
      <c r="Q1899" t="s">
        <v>106</v>
      </c>
      <c r="R1899" t="s">
        <v>106</v>
      </c>
      <c r="S1899" t="s">
        <v>106</v>
      </c>
      <c r="T1899" t="s">
        <v>1409</v>
      </c>
      <c r="U1899" t="s">
        <v>825</v>
      </c>
      <c r="V1899" t="s">
        <v>106</v>
      </c>
      <c r="W1899" t="s">
        <v>476</v>
      </c>
      <c r="X1899" t="s">
        <v>106</v>
      </c>
      <c r="Y1899" t="s">
        <v>108</v>
      </c>
      <c r="Z1899" t="s">
        <v>104</v>
      </c>
      <c r="AA1899" t="s">
        <v>106</v>
      </c>
      <c r="AB1899" t="s">
        <v>106</v>
      </c>
    </row>
    <row r="1900" spans="1:28" x14ac:dyDescent="0.3">
      <c r="A1900" t="s">
        <v>1486</v>
      </c>
      <c r="B1900">
        <v>4</v>
      </c>
      <c r="C1900">
        <v>60</v>
      </c>
      <c r="D1900">
        <v>178</v>
      </c>
      <c r="E1900" t="s">
        <v>128</v>
      </c>
      <c r="F1900" s="12">
        <v>45644</v>
      </c>
      <c r="G1900" t="s">
        <v>832</v>
      </c>
      <c r="H1900" s="12">
        <v>45644</v>
      </c>
      <c r="I1900" t="s">
        <v>880</v>
      </c>
      <c r="J1900" t="s">
        <v>1363</v>
      </c>
      <c r="K1900">
        <v>2</v>
      </c>
      <c r="L1900">
        <v>55.4</v>
      </c>
      <c r="M1900">
        <v>55.8</v>
      </c>
      <c r="P1900" t="s">
        <v>106</v>
      </c>
      <c r="Q1900" t="s">
        <v>106</v>
      </c>
      <c r="R1900" t="s">
        <v>106</v>
      </c>
      <c r="S1900" t="s">
        <v>2121</v>
      </c>
      <c r="T1900" t="s">
        <v>1951</v>
      </c>
      <c r="U1900" t="s">
        <v>369</v>
      </c>
      <c r="V1900" t="s">
        <v>106</v>
      </c>
      <c r="W1900" t="s">
        <v>476</v>
      </c>
      <c r="X1900" t="s">
        <v>106</v>
      </c>
      <c r="Y1900" t="s">
        <v>108</v>
      </c>
      <c r="Z1900" t="s">
        <v>104</v>
      </c>
      <c r="AA1900" t="s">
        <v>106</v>
      </c>
      <c r="AB1900" t="s">
        <v>106</v>
      </c>
    </row>
    <row r="1901" spans="1:28" x14ac:dyDescent="0.3">
      <c r="A1901" t="s">
        <v>1486</v>
      </c>
      <c r="B1901">
        <v>4</v>
      </c>
      <c r="C1901">
        <v>60</v>
      </c>
      <c r="D1901">
        <v>194</v>
      </c>
      <c r="E1901" t="s">
        <v>128</v>
      </c>
      <c r="F1901" s="12">
        <v>45644</v>
      </c>
      <c r="G1901" t="s">
        <v>2131</v>
      </c>
      <c r="H1901" s="12">
        <v>45644</v>
      </c>
      <c r="I1901" t="s">
        <v>2132</v>
      </c>
      <c r="J1901" t="s">
        <v>1363</v>
      </c>
      <c r="K1901">
        <v>2</v>
      </c>
      <c r="L1901">
        <v>60.2</v>
      </c>
      <c r="M1901">
        <v>60.3</v>
      </c>
      <c r="P1901" t="s">
        <v>1514</v>
      </c>
      <c r="Q1901" t="s">
        <v>106</v>
      </c>
      <c r="R1901" t="s">
        <v>106</v>
      </c>
      <c r="S1901" t="s">
        <v>106</v>
      </c>
      <c r="T1901" t="s">
        <v>1793</v>
      </c>
      <c r="U1901" t="s">
        <v>143</v>
      </c>
      <c r="V1901" t="s">
        <v>106</v>
      </c>
      <c r="W1901" t="s">
        <v>476</v>
      </c>
      <c r="X1901" t="s">
        <v>106</v>
      </c>
      <c r="Y1901" t="s">
        <v>108</v>
      </c>
      <c r="Z1901" t="s">
        <v>104</v>
      </c>
      <c r="AA1901" t="s">
        <v>106</v>
      </c>
      <c r="AB1901" t="s">
        <v>106</v>
      </c>
    </row>
    <row r="1902" spans="1:28" x14ac:dyDescent="0.3">
      <c r="A1902" t="s">
        <v>1486</v>
      </c>
      <c r="B1902">
        <v>4</v>
      </c>
      <c r="C1902">
        <v>60</v>
      </c>
      <c r="D1902">
        <v>192</v>
      </c>
      <c r="E1902" t="s">
        <v>128</v>
      </c>
      <c r="F1902" s="12">
        <v>45644</v>
      </c>
      <c r="G1902" t="s">
        <v>2071</v>
      </c>
      <c r="H1902" s="12">
        <v>45644</v>
      </c>
      <c r="I1902" t="s">
        <v>1503</v>
      </c>
      <c r="J1902" t="s">
        <v>1363</v>
      </c>
      <c r="K1902">
        <v>2</v>
      </c>
      <c r="L1902">
        <v>56.1</v>
      </c>
      <c r="M1902">
        <v>56.1</v>
      </c>
      <c r="P1902" t="s">
        <v>106</v>
      </c>
      <c r="Q1902" t="s">
        <v>106</v>
      </c>
      <c r="R1902" t="s">
        <v>106</v>
      </c>
      <c r="S1902" t="s">
        <v>106</v>
      </c>
      <c r="T1902" t="s">
        <v>1825</v>
      </c>
      <c r="U1902" t="s">
        <v>725</v>
      </c>
      <c r="V1902" t="s">
        <v>106</v>
      </c>
      <c r="W1902" t="s">
        <v>476</v>
      </c>
      <c r="X1902" t="s">
        <v>106</v>
      </c>
      <c r="Y1902" t="s">
        <v>108</v>
      </c>
      <c r="Z1902" t="s">
        <v>104</v>
      </c>
      <c r="AA1902" t="s">
        <v>106</v>
      </c>
      <c r="AB1902" t="s">
        <v>106</v>
      </c>
    </row>
    <row r="1903" spans="1:28" x14ac:dyDescent="0.3">
      <c r="A1903" t="s">
        <v>1486</v>
      </c>
      <c r="B1903">
        <v>4</v>
      </c>
      <c r="C1903">
        <v>60</v>
      </c>
      <c r="D1903">
        <v>160</v>
      </c>
      <c r="E1903" t="s">
        <v>128</v>
      </c>
      <c r="F1903" s="12">
        <v>45644</v>
      </c>
      <c r="G1903" t="s">
        <v>2246</v>
      </c>
      <c r="H1903" s="12">
        <v>45644</v>
      </c>
      <c r="I1903" t="s">
        <v>1689</v>
      </c>
      <c r="J1903" t="s">
        <v>477</v>
      </c>
      <c r="K1903">
        <v>2</v>
      </c>
      <c r="L1903">
        <v>55.6</v>
      </c>
      <c r="M1903">
        <v>55.3</v>
      </c>
      <c r="P1903" t="s">
        <v>106</v>
      </c>
      <c r="Q1903" t="s">
        <v>106</v>
      </c>
      <c r="R1903" t="s">
        <v>106</v>
      </c>
      <c r="S1903" t="s">
        <v>2120</v>
      </c>
      <c r="T1903" t="s">
        <v>1381</v>
      </c>
      <c r="U1903" t="s">
        <v>145</v>
      </c>
      <c r="V1903" t="s">
        <v>106</v>
      </c>
      <c r="W1903" t="s">
        <v>954</v>
      </c>
      <c r="X1903" t="s">
        <v>106</v>
      </c>
      <c r="Y1903" t="s">
        <v>108</v>
      </c>
      <c r="Z1903" t="s">
        <v>104</v>
      </c>
      <c r="AA1903" t="s">
        <v>106</v>
      </c>
      <c r="AB1903" t="s">
        <v>106</v>
      </c>
    </row>
    <row r="1904" spans="1:28" x14ac:dyDescent="0.3">
      <c r="A1904" t="s">
        <v>1486</v>
      </c>
      <c r="B1904">
        <v>4</v>
      </c>
      <c r="C1904">
        <v>60</v>
      </c>
      <c r="D1904">
        <v>173</v>
      </c>
      <c r="E1904" t="s">
        <v>128</v>
      </c>
      <c r="F1904" s="12">
        <v>45644</v>
      </c>
      <c r="G1904" t="s">
        <v>770</v>
      </c>
      <c r="H1904" s="12">
        <v>45644</v>
      </c>
      <c r="I1904" t="s">
        <v>608</v>
      </c>
      <c r="J1904" t="s">
        <v>458</v>
      </c>
      <c r="L1904">
        <v>56.2</v>
      </c>
      <c r="M1904">
        <v>56.2</v>
      </c>
      <c r="P1904" t="s">
        <v>106</v>
      </c>
      <c r="Q1904" t="s">
        <v>106</v>
      </c>
      <c r="R1904" t="s">
        <v>106</v>
      </c>
      <c r="S1904" t="s">
        <v>1795</v>
      </c>
      <c r="T1904" t="s">
        <v>1885</v>
      </c>
      <c r="U1904" t="s">
        <v>825</v>
      </c>
      <c r="V1904" t="s">
        <v>106</v>
      </c>
      <c r="W1904" t="s">
        <v>954</v>
      </c>
      <c r="X1904" t="s">
        <v>106</v>
      </c>
      <c r="Y1904" t="s">
        <v>108</v>
      </c>
      <c r="Z1904" t="s">
        <v>104</v>
      </c>
      <c r="AA1904" t="s">
        <v>106</v>
      </c>
      <c r="AB1904" t="s">
        <v>106</v>
      </c>
    </row>
    <row r="1905" spans="1:28" x14ac:dyDescent="0.3">
      <c r="A1905" t="s">
        <v>1486</v>
      </c>
      <c r="B1905">
        <v>4</v>
      </c>
      <c r="C1905">
        <v>60</v>
      </c>
      <c r="D1905">
        <v>161</v>
      </c>
      <c r="E1905" t="s">
        <v>128</v>
      </c>
      <c r="F1905" s="12">
        <v>45644</v>
      </c>
      <c r="G1905" t="s">
        <v>1945</v>
      </c>
      <c r="H1905" s="12">
        <v>45644</v>
      </c>
      <c r="I1905" t="s">
        <v>1689</v>
      </c>
      <c r="J1905" t="s">
        <v>477</v>
      </c>
      <c r="K1905">
        <v>2</v>
      </c>
      <c r="L1905">
        <v>55.4</v>
      </c>
      <c r="M1905">
        <v>55.8</v>
      </c>
      <c r="P1905" t="s">
        <v>106</v>
      </c>
      <c r="Q1905" t="s">
        <v>106</v>
      </c>
      <c r="R1905" t="s">
        <v>106</v>
      </c>
      <c r="S1905" t="s">
        <v>1494</v>
      </c>
      <c r="T1905" t="s">
        <v>1951</v>
      </c>
      <c r="U1905" t="s">
        <v>769</v>
      </c>
      <c r="V1905" t="s">
        <v>106</v>
      </c>
      <c r="W1905" t="s">
        <v>954</v>
      </c>
      <c r="X1905" t="s">
        <v>106</v>
      </c>
      <c r="Y1905" t="s">
        <v>108</v>
      </c>
      <c r="Z1905" t="s">
        <v>104</v>
      </c>
      <c r="AA1905" t="s">
        <v>106</v>
      </c>
      <c r="AB1905" t="s">
        <v>106</v>
      </c>
    </row>
    <row r="1906" spans="1:28" x14ac:dyDescent="0.3">
      <c r="A1906" t="s">
        <v>1486</v>
      </c>
      <c r="B1906">
        <v>4</v>
      </c>
      <c r="C1906">
        <v>60</v>
      </c>
      <c r="D1906">
        <v>167</v>
      </c>
      <c r="E1906" t="s">
        <v>128</v>
      </c>
      <c r="F1906" s="12">
        <v>45644</v>
      </c>
      <c r="G1906" t="s">
        <v>329</v>
      </c>
      <c r="H1906" s="12">
        <v>45644</v>
      </c>
      <c r="I1906" t="s">
        <v>313</v>
      </c>
      <c r="J1906" t="s">
        <v>477</v>
      </c>
      <c r="K1906">
        <v>2</v>
      </c>
      <c r="L1906">
        <v>56.5</v>
      </c>
      <c r="M1906">
        <v>56.6</v>
      </c>
      <c r="P1906" t="s">
        <v>106</v>
      </c>
      <c r="Q1906" t="s">
        <v>106</v>
      </c>
      <c r="R1906" t="s">
        <v>106</v>
      </c>
      <c r="S1906" t="s">
        <v>2121</v>
      </c>
      <c r="T1906" t="s">
        <v>1458</v>
      </c>
      <c r="U1906" t="s">
        <v>369</v>
      </c>
      <c r="V1906" t="s">
        <v>106</v>
      </c>
      <c r="W1906" t="s">
        <v>954</v>
      </c>
      <c r="X1906" t="s">
        <v>106</v>
      </c>
      <c r="Y1906" t="s">
        <v>108</v>
      </c>
      <c r="Z1906" t="s">
        <v>104</v>
      </c>
      <c r="AA1906" t="s">
        <v>106</v>
      </c>
      <c r="AB1906" t="s">
        <v>106</v>
      </c>
    </row>
    <row r="1907" spans="1:28" x14ac:dyDescent="0.3">
      <c r="A1907" t="s">
        <v>1486</v>
      </c>
      <c r="B1907">
        <v>4</v>
      </c>
      <c r="C1907">
        <v>60</v>
      </c>
      <c r="D1907">
        <v>172</v>
      </c>
      <c r="E1907" t="s">
        <v>128</v>
      </c>
      <c r="F1907" s="12">
        <v>45644</v>
      </c>
      <c r="G1907" t="s">
        <v>583</v>
      </c>
      <c r="H1907" s="12">
        <v>45644</v>
      </c>
      <c r="I1907" t="s">
        <v>608</v>
      </c>
      <c r="J1907" t="s">
        <v>458</v>
      </c>
      <c r="L1907">
        <v>59.3</v>
      </c>
      <c r="M1907">
        <v>57.9</v>
      </c>
      <c r="P1907" t="s">
        <v>106</v>
      </c>
      <c r="Q1907" t="s">
        <v>106</v>
      </c>
      <c r="R1907" t="s">
        <v>106</v>
      </c>
      <c r="S1907" t="s">
        <v>106</v>
      </c>
      <c r="T1907" t="s">
        <v>2095</v>
      </c>
      <c r="U1907" t="s">
        <v>382</v>
      </c>
      <c r="V1907" t="s">
        <v>106</v>
      </c>
      <c r="W1907" t="s">
        <v>954</v>
      </c>
      <c r="X1907" t="s">
        <v>106</v>
      </c>
      <c r="Y1907" t="s">
        <v>108</v>
      </c>
      <c r="Z1907" t="s">
        <v>104</v>
      </c>
      <c r="AA1907" t="s">
        <v>106</v>
      </c>
      <c r="AB1907" t="s">
        <v>106</v>
      </c>
    </row>
    <row r="1908" spans="1:28" x14ac:dyDescent="0.3">
      <c r="A1908" t="s">
        <v>1486</v>
      </c>
      <c r="B1908">
        <v>4</v>
      </c>
      <c r="C1908">
        <v>60</v>
      </c>
      <c r="D1908">
        <v>166</v>
      </c>
      <c r="E1908" t="s">
        <v>128</v>
      </c>
      <c r="F1908" s="12">
        <v>45644</v>
      </c>
      <c r="G1908" t="s">
        <v>329</v>
      </c>
      <c r="H1908" s="12">
        <v>45644</v>
      </c>
      <c r="I1908" t="s">
        <v>313</v>
      </c>
      <c r="J1908" t="s">
        <v>477</v>
      </c>
      <c r="K1908">
        <v>2</v>
      </c>
      <c r="L1908">
        <v>55.1</v>
      </c>
      <c r="M1908">
        <v>55.3</v>
      </c>
      <c r="P1908" t="s">
        <v>106</v>
      </c>
      <c r="Q1908" t="s">
        <v>106</v>
      </c>
      <c r="R1908" t="s">
        <v>106</v>
      </c>
      <c r="S1908" t="s">
        <v>106</v>
      </c>
      <c r="T1908" t="s">
        <v>1049</v>
      </c>
      <c r="U1908" t="s">
        <v>450</v>
      </c>
      <c r="V1908" t="s">
        <v>106</v>
      </c>
      <c r="W1908" t="s">
        <v>954</v>
      </c>
      <c r="X1908" t="s">
        <v>106</v>
      </c>
      <c r="Y1908" t="s">
        <v>108</v>
      </c>
      <c r="Z1908" t="s">
        <v>104</v>
      </c>
      <c r="AA1908" t="s">
        <v>106</v>
      </c>
      <c r="AB1908" t="s">
        <v>106</v>
      </c>
    </row>
    <row r="1909" spans="1:28" x14ac:dyDescent="0.3">
      <c r="A1909" t="s">
        <v>1486</v>
      </c>
      <c r="B1909">
        <v>1</v>
      </c>
      <c r="C1909">
        <v>0</v>
      </c>
      <c r="D1909">
        <v>213</v>
      </c>
      <c r="E1909" t="s">
        <v>128</v>
      </c>
      <c r="F1909" s="12">
        <v>45645</v>
      </c>
      <c r="G1909" t="s">
        <v>503</v>
      </c>
      <c r="H1909" s="12">
        <v>45645</v>
      </c>
      <c r="I1909" t="s">
        <v>1505</v>
      </c>
      <c r="J1909" t="s">
        <v>1363</v>
      </c>
      <c r="L1909">
        <v>0</v>
      </c>
      <c r="M1909">
        <v>0</v>
      </c>
      <c r="P1909" t="s">
        <v>106</v>
      </c>
      <c r="Q1909" t="s">
        <v>106</v>
      </c>
      <c r="R1909" t="s">
        <v>106</v>
      </c>
      <c r="S1909" t="s">
        <v>1506</v>
      </c>
      <c r="T1909" t="s">
        <v>609</v>
      </c>
      <c r="U1909" t="s">
        <v>382</v>
      </c>
      <c r="V1909" t="s">
        <v>106</v>
      </c>
      <c r="W1909" t="s">
        <v>557</v>
      </c>
      <c r="X1909" t="s">
        <v>106</v>
      </c>
      <c r="Y1909" t="s">
        <v>108</v>
      </c>
      <c r="Z1909" t="s">
        <v>105</v>
      </c>
      <c r="AA1909" t="s">
        <v>106</v>
      </c>
      <c r="AB1909" t="s">
        <v>106</v>
      </c>
    </row>
    <row r="1910" spans="1:28" x14ac:dyDescent="0.3">
      <c r="A1910" t="s">
        <v>1486</v>
      </c>
      <c r="B1910">
        <v>1</v>
      </c>
      <c r="C1910">
        <v>0</v>
      </c>
      <c r="D1910">
        <v>219</v>
      </c>
      <c r="E1910" t="s">
        <v>128</v>
      </c>
      <c r="F1910" s="12">
        <v>45645</v>
      </c>
      <c r="G1910" t="s">
        <v>575</v>
      </c>
      <c r="H1910" s="12">
        <v>45645</v>
      </c>
      <c r="I1910" t="s">
        <v>383</v>
      </c>
      <c r="J1910" t="s">
        <v>1363</v>
      </c>
      <c r="L1910">
        <v>0</v>
      </c>
      <c r="M1910">
        <v>0.2</v>
      </c>
      <c r="P1910" t="s">
        <v>106</v>
      </c>
      <c r="Q1910" t="s">
        <v>106</v>
      </c>
      <c r="R1910" t="s">
        <v>106</v>
      </c>
      <c r="S1910" t="s">
        <v>1507</v>
      </c>
      <c r="T1910" t="s">
        <v>1508</v>
      </c>
      <c r="U1910" t="s">
        <v>141</v>
      </c>
      <c r="V1910" t="s">
        <v>106</v>
      </c>
      <c r="W1910" t="s">
        <v>557</v>
      </c>
      <c r="X1910" t="s">
        <v>106</v>
      </c>
      <c r="Y1910" t="s">
        <v>108</v>
      </c>
      <c r="Z1910" t="s">
        <v>105</v>
      </c>
      <c r="AA1910" t="s">
        <v>106</v>
      </c>
      <c r="AB1910" t="s">
        <v>106</v>
      </c>
    </row>
    <row r="1911" spans="1:28" x14ac:dyDescent="0.3">
      <c r="A1911" t="s">
        <v>1486</v>
      </c>
      <c r="B1911">
        <v>1</v>
      </c>
      <c r="C1911">
        <v>0</v>
      </c>
      <c r="D1911">
        <v>234</v>
      </c>
      <c r="E1911" t="s">
        <v>128</v>
      </c>
      <c r="F1911" s="12">
        <v>45645</v>
      </c>
      <c r="G1911" t="s">
        <v>494</v>
      </c>
      <c r="H1911" s="12">
        <v>45645</v>
      </c>
      <c r="I1911" t="s">
        <v>370</v>
      </c>
      <c r="J1911" t="s">
        <v>477</v>
      </c>
      <c r="K1911">
        <v>1</v>
      </c>
      <c r="L1911">
        <v>0</v>
      </c>
      <c r="M1911">
        <v>0</v>
      </c>
      <c r="P1911" t="s">
        <v>106</v>
      </c>
      <c r="Q1911" t="s">
        <v>106</v>
      </c>
      <c r="R1911" t="s">
        <v>106</v>
      </c>
      <c r="S1911" t="s">
        <v>106</v>
      </c>
      <c r="T1911" t="s">
        <v>1509</v>
      </c>
      <c r="U1911" t="s">
        <v>143</v>
      </c>
      <c r="V1911" t="s">
        <v>106</v>
      </c>
      <c r="W1911" t="s">
        <v>954</v>
      </c>
      <c r="X1911" t="s">
        <v>106</v>
      </c>
      <c r="Y1911" t="s">
        <v>108</v>
      </c>
      <c r="Z1911" t="s">
        <v>105</v>
      </c>
      <c r="AA1911" t="s">
        <v>106</v>
      </c>
      <c r="AB1911" t="s">
        <v>106</v>
      </c>
    </row>
    <row r="1912" spans="1:28" x14ac:dyDescent="0.3">
      <c r="A1912" t="s">
        <v>1486</v>
      </c>
      <c r="B1912">
        <v>1</v>
      </c>
      <c r="C1912">
        <v>0</v>
      </c>
      <c r="D1912">
        <v>233</v>
      </c>
      <c r="E1912" t="s">
        <v>128</v>
      </c>
      <c r="F1912" s="12">
        <v>45645</v>
      </c>
      <c r="G1912" t="s">
        <v>582</v>
      </c>
      <c r="H1912" s="12">
        <v>45645</v>
      </c>
      <c r="I1912" t="s">
        <v>370</v>
      </c>
      <c r="J1912" t="s">
        <v>477</v>
      </c>
      <c r="K1912">
        <v>1</v>
      </c>
      <c r="L1912">
        <v>0</v>
      </c>
      <c r="M1912">
        <v>0</v>
      </c>
      <c r="P1912" t="s">
        <v>106</v>
      </c>
      <c r="Q1912" t="s">
        <v>106</v>
      </c>
      <c r="R1912" t="s">
        <v>106</v>
      </c>
      <c r="S1912" t="s">
        <v>106</v>
      </c>
      <c r="T1912" t="s">
        <v>1510</v>
      </c>
      <c r="U1912" t="s">
        <v>369</v>
      </c>
      <c r="V1912" t="s">
        <v>106</v>
      </c>
      <c r="W1912" t="s">
        <v>954</v>
      </c>
      <c r="X1912" t="s">
        <v>106</v>
      </c>
      <c r="Y1912" t="s">
        <v>108</v>
      </c>
      <c r="Z1912" t="s">
        <v>105</v>
      </c>
      <c r="AA1912" t="s">
        <v>106</v>
      </c>
      <c r="AB1912" t="s">
        <v>106</v>
      </c>
    </row>
    <row r="1913" spans="1:28" x14ac:dyDescent="0.3">
      <c r="A1913" t="s">
        <v>1486</v>
      </c>
      <c r="B1913">
        <v>1</v>
      </c>
      <c r="C1913">
        <v>0</v>
      </c>
      <c r="D1913">
        <v>212</v>
      </c>
      <c r="E1913" t="s">
        <v>128</v>
      </c>
      <c r="F1913" s="12">
        <v>45645</v>
      </c>
      <c r="G1913" t="s">
        <v>503</v>
      </c>
      <c r="H1913" s="12">
        <v>45645</v>
      </c>
      <c r="I1913" t="s">
        <v>1505</v>
      </c>
      <c r="J1913" t="s">
        <v>1363</v>
      </c>
      <c r="L1913">
        <v>0</v>
      </c>
      <c r="M1913">
        <v>0</v>
      </c>
      <c r="P1913" t="s">
        <v>106</v>
      </c>
      <c r="Q1913" t="s">
        <v>106</v>
      </c>
      <c r="R1913" t="s">
        <v>106</v>
      </c>
      <c r="S1913" t="s">
        <v>1511</v>
      </c>
      <c r="T1913" t="s">
        <v>609</v>
      </c>
      <c r="U1913" t="s">
        <v>144</v>
      </c>
      <c r="V1913" t="s">
        <v>106</v>
      </c>
      <c r="W1913" t="s">
        <v>557</v>
      </c>
      <c r="X1913" t="s">
        <v>106</v>
      </c>
      <c r="Y1913" t="s">
        <v>108</v>
      </c>
      <c r="Z1913" t="s">
        <v>105</v>
      </c>
      <c r="AA1913" t="s">
        <v>106</v>
      </c>
      <c r="AB1913" t="s">
        <v>106</v>
      </c>
    </row>
    <row r="1914" spans="1:28" x14ac:dyDescent="0.3">
      <c r="A1914" t="s">
        <v>1486</v>
      </c>
      <c r="B1914">
        <v>2</v>
      </c>
      <c r="C1914">
        <v>15</v>
      </c>
      <c r="D1914">
        <v>252</v>
      </c>
      <c r="E1914" t="s">
        <v>128</v>
      </c>
      <c r="F1914" s="12">
        <v>45645</v>
      </c>
      <c r="G1914" t="s">
        <v>562</v>
      </c>
      <c r="H1914" s="12">
        <v>45645</v>
      </c>
      <c r="I1914" t="s">
        <v>1833</v>
      </c>
      <c r="J1914" t="s">
        <v>458</v>
      </c>
      <c r="K1914">
        <v>2</v>
      </c>
      <c r="L1914">
        <v>15</v>
      </c>
      <c r="M1914">
        <v>14.9</v>
      </c>
      <c r="P1914" t="s">
        <v>106</v>
      </c>
      <c r="Q1914" t="s">
        <v>106</v>
      </c>
      <c r="R1914" t="s">
        <v>106</v>
      </c>
      <c r="S1914" t="s">
        <v>106</v>
      </c>
      <c r="T1914" t="s">
        <v>1458</v>
      </c>
      <c r="U1914" t="s">
        <v>769</v>
      </c>
      <c r="V1914" t="s">
        <v>106</v>
      </c>
      <c r="W1914" t="s">
        <v>476</v>
      </c>
      <c r="X1914" t="s">
        <v>106</v>
      </c>
      <c r="Y1914" t="s">
        <v>108</v>
      </c>
      <c r="Z1914" t="s">
        <v>109</v>
      </c>
      <c r="AA1914" t="s">
        <v>106</v>
      </c>
      <c r="AB1914" t="s">
        <v>106</v>
      </c>
    </row>
    <row r="1915" spans="1:28" x14ac:dyDescent="0.3">
      <c r="A1915" t="s">
        <v>1486</v>
      </c>
      <c r="B1915">
        <v>2</v>
      </c>
      <c r="C1915">
        <v>15</v>
      </c>
      <c r="D1915">
        <v>218</v>
      </c>
      <c r="E1915" t="s">
        <v>128</v>
      </c>
      <c r="F1915" s="12">
        <v>45645</v>
      </c>
      <c r="G1915" t="s">
        <v>378</v>
      </c>
      <c r="H1915" s="12">
        <v>45645</v>
      </c>
      <c r="I1915" t="s">
        <v>383</v>
      </c>
      <c r="J1915" t="s">
        <v>1363</v>
      </c>
      <c r="L1915">
        <v>14.4</v>
      </c>
      <c r="M1915">
        <v>14.5</v>
      </c>
      <c r="P1915" t="s">
        <v>106</v>
      </c>
      <c r="Q1915" t="s">
        <v>106</v>
      </c>
      <c r="R1915" t="s">
        <v>106</v>
      </c>
      <c r="S1915" t="s">
        <v>1792</v>
      </c>
      <c r="T1915" t="s">
        <v>1458</v>
      </c>
      <c r="U1915" t="s">
        <v>825</v>
      </c>
      <c r="V1915" t="s">
        <v>106</v>
      </c>
      <c r="W1915" t="s">
        <v>557</v>
      </c>
      <c r="X1915" t="s">
        <v>106</v>
      </c>
      <c r="Y1915" t="s">
        <v>108</v>
      </c>
      <c r="Z1915" t="s">
        <v>109</v>
      </c>
      <c r="AA1915" t="s">
        <v>106</v>
      </c>
      <c r="AB1915" t="s">
        <v>106</v>
      </c>
    </row>
    <row r="1916" spans="1:28" x14ac:dyDescent="0.3">
      <c r="A1916" t="s">
        <v>1486</v>
      </c>
      <c r="B1916">
        <v>2</v>
      </c>
      <c r="C1916">
        <v>15</v>
      </c>
      <c r="D1916">
        <v>251</v>
      </c>
      <c r="E1916" t="s">
        <v>128</v>
      </c>
      <c r="F1916" s="12">
        <v>45645</v>
      </c>
      <c r="G1916" t="s">
        <v>562</v>
      </c>
      <c r="H1916" s="12">
        <v>45645</v>
      </c>
      <c r="I1916" t="s">
        <v>1833</v>
      </c>
      <c r="J1916" t="s">
        <v>458</v>
      </c>
      <c r="K1916">
        <v>2</v>
      </c>
      <c r="L1916">
        <v>15</v>
      </c>
      <c r="M1916">
        <v>14.9</v>
      </c>
      <c r="P1916" t="s">
        <v>106</v>
      </c>
      <c r="Q1916" t="s">
        <v>106</v>
      </c>
      <c r="R1916" t="s">
        <v>106</v>
      </c>
      <c r="S1916" t="s">
        <v>106</v>
      </c>
      <c r="T1916" t="s">
        <v>1381</v>
      </c>
      <c r="U1916" t="s">
        <v>532</v>
      </c>
      <c r="V1916" t="s">
        <v>106</v>
      </c>
      <c r="W1916" t="s">
        <v>476</v>
      </c>
      <c r="X1916" t="s">
        <v>106</v>
      </c>
      <c r="Y1916" t="s">
        <v>108</v>
      </c>
      <c r="Z1916" t="s">
        <v>109</v>
      </c>
      <c r="AA1916" t="s">
        <v>106</v>
      </c>
      <c r="AB1916" t="s">
        <v>106</v>
      </c>
    </row>
    <row r="1917" spans="1:28" x14ac:dyDescent="0.3">
      <c r="A1917" t="s">
        <v>1486</v>
      </c>
      <c r="B1917">
        <v>2</v>
      </c>
      <c r="C1917">
        <v>15</v>
      </c>
      <c r="D1917">
        <v>220</v>
      </c>
      <c r="E1917" t="s">
        <v>128</v>
      </c>
      <c r="F1917" s="12">
        <v>45645</v>
      </c>
      <c r="G1917" t="s">
        <v>1086</v>
      </c>
      <c r="H1917" s="12">
        <v>45645</v>
      </c>
      <c r="I1917" t="s">
        <v>383</v>
      </c>
      <c r="J1917" t="s">
        <v>1363</v>
      </c>
      <c r="L1917">
        <v>15.5</v>
      </c>
      <c r="M1917">
        <v>15.6</v>
      </c>
      <c r="P1917" t="s">
        <v>106</v>
      </c>
      <c r="Q1917" t="s">
        <v>106</v>
      </c>
      <c r="R1917" t="s">
        <v>106</v>
      </c>
      <c r="S1917" t="s">
        <v>106</v>
      </c>
      <c r="T1917" t="s">
        <v>2063</v>
      </c>
      <c r="U1917" t="s">
        <v>785</v>
      </c>
      <c r="V1917" t="s">
        <v>106</v>
      </c>
      <c r="W1917" t="s">
        <v>557</v>
      </c>
      <c r="X1917" t="s">
        <v>106</v>
      </c>
      <c r="Y1917" t="s">
        <v>108</v>
      </c>
      <c r="Z1917" t="s">
        <v>109</v>
      </c>
      <c r="AA1917" t="s">
        <v>106</v>
      </c>
      <c r="AB1917" t="s">
        <v>106</v>
      </c>
    </row>
    <row r="1918" spans="1:28" x14ac:dyDescent="0.3">
      <c r="A1918" t="s">
        <v>1486</v>
      </c>
      <c r="B1918">
        <v>2</v>
      </c>
      <c r="C1918">
        <v>15</v>
      </c>
      <c r="D1918">
        <v>237</v>
      </c>
      <c r="E1918" t="s">
        <v>128</v>
      </c>
      <c r="F1918" s="12">
        <v>45645</v>
      </c>
      <c r="G1918" t="s">
        <v>2135</v>
      </c>
      <c r="H1918" s="12">
        <v>45645</v>
      </c>
      <c r="I1918" t="s">
        <v>2104</v>
      </c>
      <c r="J1918" t="s">
        <v>458</v>
      </c>
      <c r="K1918">
        <v>2</v>
      </c>
      <c r="L1918">
        <v>15.1</v>
      </c>
      <c r="M1918">
        <v>15.2</v>
      </c>
      <c r="P1918" t="s">
        <v>106</v>
      </c>
      <c r="Q1918" t="s">
        <v>106</v>
      </c>
      <c r="R1918" t="s">
        <v>106</v>
      </c>
      <c r="S1918" t="s">
        <v>106</v>
      </c>
      <c r="T1918" t="s">
        <v>1459</v>
      </c>
      <c r="U1918" t="s">
        <v>106</v>
      </c>
      <c r="V1918" t="s">
        <v>106</v>
      </c>
      <c r="W1918" t="s">
        <v>476</v>
      </c>
      <c r="X1918" t="s">
        <v>106</v>
      </c>
      <c r="Y1918" t="s">
        <v>108</v>
      </c>
      <c r="Z1918" t="s">
        <v>109</v>
      </c>
      <c r="AA1918" t="s">
        <v>106</v>
      </c>
      <c r="AB1918" t="s">
        <v>106</v>
      </c>
    </row>
    <row r="1919" spans="1:28" x14ac:dyDescent="0.3">
      <c r="A1919" t="s">
        <v>1486</v>
      </c>
      <c r="B1919">
        <v>2</v>
      </c>
      <c r="C1919">
        <v>15</v>
      </c>
      <c r="D1919">
        <v>222</v>
      </c>
      <c r="E1919" t="s">
        <v>128</v>
      </c>
      <c r="F1919" s="12">
        <v>45645</v>
      </c>
      <c r="G1919" t="s">
        <v>533</v>
      </c>
      <c r="H1919" s="12">
        <v>45645</v>
      </c>
      <c r="I1919" t="s">
        <v>527</v>
      </c>
      <c r="J1919" t="s">
        <v>1363</v>
      </c>
      <c r="L1919">
        <v>13.9</v>
      </c>
      <c r="M1919">
        <v>13.9</v>
      </c>
      <c r="P1919" t="s">
        <v>106</v>
      </c>
      <c r="Q1919" t="s">
        <v>106</v>
      </c>
      <c r="R1919" t="s">
        <v>106</v>
      </c>
      <c r="S1919" t="s">
        <v>1873</v>
      </c>
      <c r="T1919" t="s">
        <v>1951</v>
      </c>
      <c r="U1919" t="s">
        <v>532</v>
      </c>
      <c r="V1919" t="s">
        <v>106</v>
      </c>
      <c r="W1919" t="s">
        <v>557</v>
      </c>
      <c r="X1919" t="s">
        <v>106</v>
      </c>
      <c r="Y1919" t="s">
        <v>108</v>
      </c>
      <c r="Z1919" t="s">
        <v>109</v>
      </c>
      <c r="AA1919" t="s">
        <v>106</v>
      </c>
      <c r="AB1919" t="s">
        <v>106</v>
      </c>
    </row>
    <row r="1920" spans="1:28" x14ac:dyDescent="0.3">
      <c r="A1920" t="s">
        <v>1486</v>
      </c>
      <c r="B1920">
        <v>2</v>
      </c>
      <c r="C1920">
        <v>15</v>
      </c>
      <c r="D1920">
        <v>202</v>
      </c>
      <c r="E1920" t="s">
        <v>128</v>
      </c>
      <c r="F1920" s="12">
        <v>45645</v>
      </c>
      <c r="G1920" t="s">
        <v>2136</v>
      </c>
      <c r="H1920" s="12">
        <v>45645</v>
      </c>
      <c r="I1920" t="s">
        <v>1892</v>
      </c>
      <c r="J1920" t="s">
        <v>471</v>
      </c>
      <c r="K1920">
        <v>2</v>
      </c>
      <c r="L1920">
        <v>14.7</v>
      </c>
      <c r="M1920">
        <v>14.8</v>
      </c>
      <c r="P1920" t="s">
        <v>106</v>
      </c>
      <c r="Q1920" t="s">
        <v>106</v>
      </c>
      <c r="R1920" t="s">
        <v>106</v>
      </c>
      <c r="S1920" t="s">
        <v>2137</v>
      </c>
      <c r="T1920" t="s">
        <v>1701</v>
      </c>
      <c r="U1920" t="s">
        <v>433</v>
      </c>
      <c r="V1920" t="s">
        <v>106</v>
      </c>
      <c r="W1920" t="s">
        <v>954</v>
      </c>
      <c r="X1920" t="s">
        <v>106</v>
      </c>
      <c r="Y1920" t="s">
        <v>108</v>
      </c>
      <c r="Z1920" t="s">
        <v>109</v>
      </c>
      <c r="AA1920" t="s">
        <v>106</v>
      </c>
      <c r="AB1920" t="s">
        <v>106</v>
      </c>
    </row>
    <row r="1921" spans="1:28" x14ac:dyDescent="0.3">
      <c r="A1921" t="s">
        <v>1486</v>
      </c>
      <c r="B1921">
        <v>2</v>
      </c>
      <c r="C1921">
        <v>15</v>
      </c>
      <c r="D1921">
        <v>228</v>
      </c>
      <c r="E1921" t="s">
        <v>128</v>
      </c>
      <c r="F1921" s="12">
        <v>45645</v>
      </c>
      <c r="G1921" t="s">
        <v>1903</v>
      </c>
      <c r="H1921" s="12">
        <v>45645</v>
      </c>
      <c r="I1921" t="s">
        <v>370</v>
      </c>
      <c r="J1921" t="s">
        <v>477</v>
      </c>
      <c r="K1921">
        <v>1</v>
      </c>
      <c r="L1921">
        <v>14.6</v>
      </c>
      <c r="M1921">
        <v>14.2</v>
      </c>
      <c r="P1921" t="s">
        <v>106</v>
      </c>
      <c r="Q1921" t="s">
        <v>106</v>
      </c>
      <c r="R1921" t="s">
        <v>106</v>
      </c>
      <c r="S1921" t="s">
        <v>1388</v>
      </c>
      <c r="T1921" t="s">
        <v>2024</v>
      </c>
      <c r="U1921" t="s">
        <v>382</v>
      </c>
      <c r="V1921" t="s">
        <v>106</v>
      </c>
      <c r="W1921" t="s">
        <v>954</v>
      </c>
      <c r="X1921" t="s">
        <v>106</v>
      </c>
      <c r="Y1921" t="s">
        <v>108</v>
      </c>
      <c r="Z1921" t="s">
        <v>109</v>
      </c>
      <c r="AA1921" t="s">
        <v>106</v>
      </c>
      <c r="AB1921" t="s">
        <v>106</v>
      </c>
    </row>
    <row r="1922" spans="1:28" x14ac:dyDescent="0.3">
      <c r="A1922" t="s">
        <v>1486</v>
      </c>
      <c r="B1922">
        <v>2</v>
      </c>
      <c r="C1922">
        <v>15</v>
      </c>
      <c r="D1922">
        <v>227</v>
      </c>
      <c r="E1922" t="s">
        <v>128</v>
      </c>
      <c r="F1922" s="12">
        <v>45645</v>
      </c>
      <c r="G1922" t="s">
        <v>1903</v>
      </c>
      <c r="H1922" s="12">
        <v>45645</v>
      </c>
      <c r="I1922" t="s">
        <v>370</v>
      </c>
      <c r="J1922" t="s">
        <v>477</v>
      </c>
      <c r="K1922">
        <v>1</v>
      </c>
      <c r="L1922">
        <v>13.9</v>
      </c>
      <c r="M1922">
        <v>13.7</v>
      </c>
      <c r="P1922" t="s">
        <v>106</v>
      </c>
      <c r="Q1922" t="s">
        <v>106</v>
      </c>
      <c r="R1922" t="s">
        <v>106</v>
      </c>
      <c r="S1922" t="s">
        <v>106</v>
      </c>
      <c r="T1922" t="s">
        <v>1090</v>
      </c>
      <c r="U1922" t="s">
        <v>785</v>
      </c>
      <c r="V1922" t="s">
        <v>106</v>
      </c>
      <c r="W1922" t="s">
        <v>954</v>
      </c>
      <c r="X1922" t="s">
        <v>106</v>
      </c>
      <c r="Y1922" t="s">
        <v>108</v>
      </c>
      <c r="Z1922" t="s">
        <v>109</v>
      </c>
      <c r="AA1922" t="s">
        <v>106</v>
      </c>
      <c r="AB1922" t="s">
        <v>106</v>
      </c>
    </row>
    <row r="1923" spans="1:28" x14ac:dyDescent="0.3">
      <c r="A1923" t="s">
        <v>1486</v>
      </c>
      <c r="B1923">
        <v>2</v>
      </c>
      <c r="C1923">
        <v>15</v>
      </c>
      <c r="D1923">
        <v>241</v>
      </c>
      <c r="E1923" t="s">
        <v>128</v>
      </c>
      <c r="F1923" s="12">
        <v>45645</v>
      </c>
      <c r="G1923" t="s">
        <v>2138</v>
      </c>
      <c r="H1923" s="12">
        <v>45645</v>
      </c>
      <c r="I1923" t="s">
        <v>2104</v>
      </c>
      <c r="J1923" t="s">
        <v>458</v>
      </c>
      <c r="K1923">
        <v>2</v>
      </c>
      <c r="L1923">
        <v>15.7</v>
      </c>
      <c r="M1923">
        <v>15.6</v>
      </c>
      <c r="P1923" t="s">
        <v>106</v>
      </c>
      <c r="Q1923" t="s">
        <v>106</v>
      </c>
      <c r="R1923" t="s">
        <v>106</v>
      </c>
      <c r="S1923" t="s">
        <v>106</v>
      </c>
      <c r="T1923" t="s">
        <v>1796</v>
      </c>
      <c r="U1923" t="s">
        <v>106</v>
      </c>
      <c r="V1923" t="s">
        <v>106</v>
      </c>
      <c r="W1923" t="s">
        <v>476</v>
      </c>
      <c r="X1923" t="s">
        <v>106</v>
      </c>
      <c r="Y1923" t="s">
        <v>108</v>
      </c>
      <c r="Z1923" t="s">
        <v>109</v>
      </c>
      <c r="AA1923" t="s">
        <v>106</v>
      </c>
      <c r="AB1923" t="s">
        <v>106</v>
      </c>
    </row>
    <row r="1924" spans="1:28" x14ac:dyDescent="0.3">
      <c r="A1924" t="s">
        <v>1486</v>
      </c>
      <c r="B1924">
        <v>2</v>
      </c>
      <c r="C1924">
        <v>15</v>
      </c>
      <c r="D1924">
        <v>221</v>
      </c>
      <c r="E1924" t="s">
        <v>128</v>
      </c>
      <c r="F1924" s="12">
        <v>45645</v>
      </c>
      <c r="G1924" t="s">
        <v>689</v>
      </c>
      <c r="H1924" s="12">
        <v>45645</v>
      </c>
      <c r="I1924" t="s">
        <v>527</v>
      </c>
      <c r="J1924" t="s">
        <v>1363</v>
      </c>
      <c r="L1924">
        <v>14.2</v>
      </c>
      <c r="M1924">
        <v>14.3</v>
      </c>
      <c r="P1924" t="s">
        <v>106</v>
      </c>
      <c r="Q1924" t="s">
        <v>106</v>
      </c>
      <c r="R1924" t="s">
        <v>106</v>
      </c>
      <c r="S1924" t="s">
        <v>106</v>
      </c>
      <c r="T1924" t="s">
        <v>1431</v>
      </c>
      <c r="U1924" t="s">
        <v>416</v>
      </c>
      <c r="V1924" t="s">
        <v>106</v>
      </c>
      <c r="W1924" t="s">
        <v>557</v>
      </c>
      <c r="X1924" t="s">
        <v>106</v>
      </c>
      <c r="Y1924" t="s">
        <v>108</v>
      </c>
      <c r="Z1924" t="s">
        <v>109</v>
      </c>
      <c r="AA1924" t="s">
        <v>106</v>
      </c>
      <c r="AB1924" t="s">
        <v>106</v>
      </c>
    </row>
    <row r="1925" spans="1:28" x14ac:dyDescent="0.3">
      <c r="A1925" t="s">
        <v>1486</v>
      </c>
      <c r="B1925">
        <v>2</v>
      </c>
      <c r="C1925">
        <v>15</v>
      </c>
      <c r="D1925">
        <v>206</v>
      </c>
      <c r="E1925" t="s">
        <v>128</v>
      </c>
      <c r="F1925" s="12">
        <v>45645</v>
      </c>
      <c r="G1925" t="s">
        <v>404</v>
      </c>
      <c r="H1925" s="12">
        <v>45645</v>
      </c>
      <c r="I1925" t="s">
        <v>1505</v>
      </c>
      <c r="J1925" t="s">
        <v>1363</v>
      </c>
      <c r="L1925">
        <v>14.1</v>
      </c>
      <c r="M1925">
        <v>14</v>
      </c>
      <c r="P1925" t="s">
        <v>106</v>
      </c>
      <c r="Q1925" t="s">
        <v>106</v>
      </c>
      <c r="R1925" t="s">
        <v>106</v>
      </c>
      <c r="S1925" t="s">
        <v>2139</v>
      </c>
      <c r="T1925" t="s">
        <v>2063</v>
      </c>
      <c r="U1925" t="s">
        <v>144</v>
      </c>
      <c r="V1925" t="s">
        <v>106</v>
      </c>
      <c r="W1925" t="s">
        <v>557</v>
      </c>
      <c r="X1925" t="s">
        <v>106</v>
      </c>
      <c r="Y1925" t="s">
        <v>108</v>
      </c>
      <c r="Z1925" t="s">
        <v>109</v>
      </c>
      <c r="AA1925" t="s">
        <v>106</v>
      </c>
      <c r="AB1925" t="s">
        <v>106</v>
      </c>
    </row>
    <row r="1926" spans="1:28" x14ac:dyDescent="0.3">
      <c r="A1926" t="s">
        <v>1486</v>
      </c>
      <c r="B1926">
        <v>2</v>
      </c>
      <c r="C1926">
        <v>15</v>
      </c>
      <c r="D1926">
        <v>203</v>
      </c>
      <c r="E1926" t="s">
        <v>128</v>
      </c>
      <c r="F1926" s="12">
        <v>45645</v>
      </c>
      <c r="G1926" t="s">
        <v>2136</v>
      </c>
      <c r="H1926" s="12">
        <v>45645</v>
      </c>
      <c r="I1926" t="s">
        <v>1892</v>
      </c>
      <c r="J1926" t="s">
        <v>471</v>
      </c>
      <c r="K1926">
        <v>2</v>
      </c>
      <c r="L1926">
        <v>15.7</v>
      </c>
      <c r="M1926">
        <v>15.8</v>
      </c>
      <c r="P1926" t="s">
        <v>106</v>
      </c>
      <c r="Q1926" t="s">
        <v>106</v>
      </c>
      <c r="R1926" t="s">
        <v>106</v>
      </c>
      <c r="S1926" t="s">
        <v>1408</v>
      </c>
      <c r="T1926" t="s">
        <v>1381</v>
      </c>
      <c r="U1926" t="s">
        <v>630</v>
      </c>
      <c r="V1926" t="s">
        <v>106</v>
      </c>
      <c r="W1926" t="s">
        <v>954</v>
      </c>
      <c r="X1926" t="s">
        <v>106</v>
      </c>
      <c r="Y1926" t="s">
        <v>108</v>
      </c>
      <c r="Z1926" t="s">
        <v>109</v>
      </c>
      <c r="AA1926" t="s">
        <v>106</v>
      </c>
      <c r="AB1926" t="s">
        <v>106</v>
      </c>
    </row>
    <row r="1927" spans="1:28" x14ac:dyDescent="0.3">
      <c r="A1927" t="s">
        <v>1486</v>
      </c>
      <c r="B1927">
        <v>2</v>
      </c>
      <c r="C1927">
        <v>15</v>
      </c>
      <c r="D1927">
        <v>207</v>
      </c>
      <c r="E1927" t="s">
        <v>128</v>
      </c>
      <c r="F1927" s="12">
        <v>45645</v>
      </c>
      <c r="G1927" t="s">
        <v>405</v>
      </c>
      <c r="H1927" s="12">
        <v>45645</v>
      </c>
      <c r="I1927" t="s">
        <v>1505</v>
      </c>
      <c r="J1927" t="s">
        <v>1363</v>
      </c>
      <c r="L1927">
        <v>15.1</v>
      </c>
      <c r="M1927">
        <v>14.9</v>
      </c>
      <c r="P1927" t="s">
        <v>106</v>
      </c>
      <c r="Q1927" t="s">
        <v>106</v>
      </c>
      <c r="R1927" t="s">
        <v>106</v>
      </c>
      <c r="S1927" t="s">
        <v>106</v>
      </c>
      <c r="T1927" t="s">
        <v>1409</v>
      </c>
      <c r="U1927" t="s">
        <v>360</v>
      </c>
      <c r="V1927" t="s">
        <v>106</v>
      </c>
      <c r="W1927" t="s">
        <v>557</v>
      </c>
      <c r="X1927" t="s">
        <v>106</v>
      </c>
      <c r="Y1927" t="s">
        <v>108</v>
      </c>
      <c r="Z1927" t="s">
        <v>109</v>
      </c>
      <c r="AA1927" t="s">
        <v>106</v>
      </c>
      <c r="AB1927" t="s">
        <v>106</v>
      </c>
    </row>
    <row r="1928" spans="1:28" x14ac:dyDescent="0.3">
      <c r="A1928" t="s">
        <v>1486</v>
      </c>
      <c r="B1928">
        <v>2</v>
      </c>
      <c r="C1928">
        <v>15</v>
      </c>
      <c r="D1928">
        <v>242</v>
      </c>
      <c r="E1928" t="s">
        <v>128</v>
      </c>
      <c r="F1928" s="12">
        <v>45645</v>
      </c>
      <c r="G1928" t="s">
        <v>2138</v>
      </c>
      <c r="H1928" s="12">
        <v>45645</v>
      </c>
      <c r="I1928" t="s">
        <v>2104</v>
      </c>
      <c r="J1928" t="s">
        <v>458</v>
      </c>
      <c r="K1928">
        <v>2</v>
      </c>
      <c r="L1928">
        <v>15.8</v>
      </c>
      <c r="M1928">
        <v>15.8</v>
      </c>
      <c r="P1928" t="s">
        <v>106</v>
      </c>
      <c r="Q1928" t="s">
        <v>106</v>
      </c>
      <c r="R1928" t="s">
        <v>106</v>
      </c>
      <c r="S1928" t="s">
        <v>106</v>
      </c>
      <c r="T1928" t="s">
        <v>1808</v>
      </c>
      <c r="U1928" t="s">
        <v>106</v>
      </c>
      <c r="V1928" t="s">
        <v>106</v>
      </c>
      <c r="W1928" t="s">
        <v>476</v>
      </c>
      <c r="X1928" t="s">
        <v>106</v>
      </c>
      <c r="Y1928" t="s">
        <v>108</v>
      </c>
      <c r="Z1928" t="s">
        <v>109</v>
      </c>
      <c r="AA1928" t="s">
        <v>106</v>
      </c>
      <c r="AB1928" t="s">
        <v>106</v>
      </c>
    </row>
    <row r="1929" spans="1:28" x14ac:dyDescent="0.3">
      <c r="A1929" t="s">
        <v>1486</v>
      </c>
      <c r="B1929">
        <v>2</v>
      </c>
      <c r="C1929">
        <v>15</v>
      </c>
      <c r="D1929">
        <v>238</v>
      </c>
      <c r="E1929" t="s">
        <v>128</v>
      </c>
      <c r="F1929" s="12">
        <v>45645</v>
      </c>
      <c r="G1929" t="s">
        <v>2062</v>
      </c>
      <c r="H1929" s="12">
        <v>45645</v>
      </c>
      <c r="I1929" t="s">
        <v>2104</v>
      </c>
      <c r="J1929" t="s">
        <v>458</v>
      </c>
      <c r="K1929">
        <v>2</v>
      </c>
      <c r="L1929">
        <v>15.4</v>
      </c>
      <c r="M1929">
        <v>15.6</v>
      </c>
      <c r="P1929" t="s">
        <v>106</v>
      </c>
      <c r="Q1929" t="s">
        <v>106</v>
      </c>
      <c r="R1929" t="s">
        <v>106</v>
      </c>
      <c r="S1929" t="s">
        <v>106</v>
      </c>
      <c r="T1929" t="s">
        <v>1400</v>
      </c>
      <c r="U1929" t="s">
        <v>106</v>
      </c>
      <c r="V1929" t="s">
        <v>106</v>
      </c>
      <c r="W1929" t="s">
        <v>476</v>
      </c>
      <c r="X1929" t="s">
        <v>106</v>
      </c>
      <c r="Y1929" t="s">
        <v>108</v>
      </c>
      <c r="Z1929" t="s">
        <v>109</v>
      </c>
      <c r="AA1929" t="s">
        <v>106</v>
      </c>
      <c r="AB1929" t="s">
        <v>106</v>
      </c>
    </row>
    <row r="1930" spans="1:28" x14ac:dyDescent="0.3">
      <c r="A1930" t="s">
        <v>1486</v>
      </c>
      <c r="B1930">
        <v>3</v>
      </c>
      <c r="C1930">
        <v>35</v>
      </c>
      <c r="D1930">
        <v>248</v>
      </c>
      <c r="E1930" t="s">
        <v>128</v>
      </c>
      <c r="F1930" s="12">
        <v>45645</v>
      </c>
      <c r="G1930" t="s">
        <v>670</v>
      </c>
      <c r="H1930" s="12">
        <v>45645</v>
      </c>
      <c r="I1930" t="s">
        <v>1833</v>
      </c>
      <c r="J1930" t="s">
        <v>458</v>
      </c>
      <c r="K1930">
        <v>2</v>
      </c>
      <c r="L1930">
        <v>38.1</v>
      </c>
      <c r="M1930">
        <v>38.1</v>
      </c>
      <c r="P1930" t="s">
        <v>106</v>
      </c>
      <c r="Q1930" t="s">
        <v>106</v>
      </c>
      <c r="R1930" t="s">
        <v>106</v>
      </c>
      <c r="S1930" t="s">
        <v>106</v>
      </c>
      <c r="T1930" t="s">
        <v>1459</v>
      </c>
      <c r="U1930" t="s">
        <v>825</v>
      </c>
      <c r="V1930" t="s">
        <v>106</v>
      </c>
      <c r="W1930" t="s">
        <v>476</v>
      </c>
      <c r="X1930" t="s">
        <v>106</v>
      </c>
      <c r="Y1930" t="s">
        <v>108</v>
      </c>
      <c r="Z1930" t="s">
        <v>108</v>
      </c>
      <c r="AA1930" t="s">
        <v>106</v>
      </c>
      <c r="AB1930" t="s">
        <v>106</v>
      </c>
    </row>
    <row r="1931" spans="1:28" x14ac:dyDescent="0.3">
      <c r="A1931" t="s">
        <v>1486</v>
      </c>
      <c r="B1931">
        <v>3</v>
      </c>
      <c r="C1931">
        <v>35</v>
      </c>
      <c r="D1931">
        <v>247</v>
      </c>
      <c r="E1931" t="s">
        <v>128</v>
      </c>
      <c r="F1931" s="12">
        <v>45645</v>
      </c>
      <c r="G1931" t="s">
        <v>985</v>
      </c>
      <c r="H1931" s="12">
        <v>45645</v>
      </c>
      <c r="I1931" t="s">
        <v>1833</v>
      </c>
      <c r="J1931" t="s">
        <v>458</v>
      </c>
      <c r="K1931">
        <v>2</v>
      </c>
      <c r="L1931">
        <v>38.1</v>
      </c>
      <c r="M1931">
        <v>38</v>
      </c>
      <c r="P1931" t="s">
        <v>106</v>
      </c>
      <c r="Q1931" t="s">
        <v>106</v>
      </c>
      <c r="R1931" t="s">
        <v>106</v>
      </c>
      <c r="S1931" t="s">
        <v>106</v>
      </c>
      <c r="T1931" t="s">
        <v>2531</v>
      </c>
      <c r="U1931" t="s">
        <v>106</v>
      </c>
      <c r="V1931" t="s">
        <v>106</v>
      </c>
      <c r="W1931" t="s">
        <v>476</v>
      </c>
      <c r="X1931" t="s">
        <v>106</v>
      </c>
      <c r="Y1931" t="s">
        <v>108</v>
      </c>
      <c r="Z1931" t="s">
        <v>108</v>
      </c>
      <c r="AA1931" t="s">
        <v>106</v>
      </c>
      <c r="AB1931" t="s">
        <v>106</v>
      </c>
    </row>
    <row r="1932" spans="1:28" x14ac:dyDescent="0.3">
      <c r="A1932" t="s">
        <v>1486</v>
      </c>
      <c r="B1932">
        <v>3</v>
      </c>
      <c r="C1932">
        <v>35</v>
      </c>
      <c r="D1932">
        <v>244</v>
      </c>
      <c r="E1932" t="s">
        <v>128</v>
      </c>
      <c r="F1932" s="12">
        <v>45645</v>
      </c>
      <c r="G1932" t="s">
        <v>1594</v>
      </c>
      <c r="H1932" s="12">
        <v>45645</v>
      </c>
      <c r="I1932" t="s">
        <v>2104</v>
      </c>
      <c r="J1932" t="s">
        <v>458</v>
      </c>
      <c r="K1932">
        <v>2</v>
      </c>
      <c r="L1932">
        <v>38</v>
      </c>
      <c r="M1932">
        <v>38.1</v>
      </c>
      <c r="P1932" t="s">
        <v>106</v>
      </c>
      <c r="Q1932" t="s">
        <v>106</v>
      </c>
      <c r="R1932" t="s">
        <v>106</v>
      </c>
      <c r="S1932" t="s">
        <v>106</v>
      </c>
      <c r="T1932" t="s">
        <v>105</v>
      </c>
      <c r="U1932" t="s">
        <v>106</v>
      </c>
      <c r="V1932" t="s">
        <v>106</v>
      </c>
      <c r="W1932" t="s">
        <v>476</v>
      </c>
      <c r="X1932" t="s">
        <v>106</v>
      </c>
      <c r="Y1932" t="s">
        <v>108</v>
      </c>
      <c r="Z1932" t="s">
        <v>108</v>
      </c>
      <c r="AA1932" t="s">
        <v>106</v>
      </c>
      <c r="AB1932" t="s">
        <v>106</v>
      </c>
    </row>
    <row r="1933" spans="1:28" x14ac:dyDescent="0.3">
      <c r="A1933" t="s">
        <v>1486</v>
      </c>
      <c r="B1933">
        <v>3</v>
      </c>
      <c r="C1933">
        <v>35</v>
      </c>
      <c r="D1933">
        <v>243</v>
      </c>
      <c r="E1933" t="s">
        <v>128</v>
      </c>
      <c r="F1933" s="12">
        <v>45645</v>
      </c>
      <c r="G1933" t="s">
        <v>1594</v>
      </c>
      <c r="H1933" s="12">
        <v>45645</v>
      </c>
      <c r="I1933" t="s">
        <v>2104</v>
      </c>
      <c r="J1933" t="s">
        <v>458</v>
      </c>
      <c r="K1933">
        <v>2</v>
      </c>
      <c r="L1933">
        <v>37.9</v>
      </c>
      <c r="M1933">
        <v>37.799999999999997</v>
      </c>
      <c r="P1933" t="s">
        <v>106</v>
      </c>
      <c r="Q1933" t="s">
        <v>106</v>
      </c>
      <c r="R1933" t="s">
        <v>106</v>
      </c>
      <c r="S1933" t="s">
        <v>106</v>
      </c>
      <c r="T1933" t="s">
        <v>1257</v>
      </c>
      <c r="U1933" t="s">
        <v>106</v>
      </c>
      <c r="V1933" t="s">
        <v>106</v>
      </c>
      <c r="W1933" t="s">
        <v>476</v>
      </c>
      <c r="X1933" t="s">
        <v>106</v>
      </c>
      <c r="Y1933" t="s">
        <v>108</v>
      </c>
      <c r="Z1933" t="s">
        <v>108</v>
      </c>
      <c r="AA1933" t="s">
        <v>106</v>
      </c>
      <c r="AB1933" t="s">
        <v>106</v>
      </c>
    </row>
    <row r="1934" spans="1:28" x14ac:dyDescent="0.3">
      <c r="A1934" t="s">
        <v>1486</v>
      </c>
      <c r="B1934">
        <v>3</v>
      </c>
      <c r="C1934">
        <v>35</v>
      </c>
      <c r="D1934">
        <v>235</v>
      </c>
      <c r="E1934" t="s">
        <v>128</v>
      </c>
      <c r="F1934" s="12">
        <v>45645</v>
      </c>
      <c r="G1934" t="s">
        <v>2462</v>
      </c>
      <c r="H1934" s="12">
        <v>45645</v>
      </c>
      <c r="I1934" t="s">
        <v>2104</v>
      </c>
      <c r="J1934" t="s">
        <v>458</v>
      </c>
      <c r="K1934">
        <v>2</v>
      </c>
      <c r="L1934">
        <v>33.1</v>
      </c>
      <c r="M1934">
        <v>33.299999999999997</v>
      </c>
      <c r="P1934" t="s">
        <v>106</v>
      </c>
      <c r="Q1934" t="s">
        <v>106</v>
      </c>
      <c r="R1934" t="s">
        <v>106</v>
      </c>
      <c r="S1934" t="s">
        <v>106</v>
      </c>
      <c r="T1934" t="s">
        <v>1145</v>
      </c>
      <c r="U1934" t="s">
        <v>106</v>
      </c>
      <c r="V1934" t="s">
        <v>106</v>
      </c>
      <c r="W1934" t="s">
        <v>476</v>
      </c>
      <c r="X1934" t="s">
        <v>106</v>
      </c>
      <c r="Y1934" t="s">
        <v>108</v>
      </c>
      <c r="Z1934" t="s">
        <v>108</v>
      </c>
      <c r="AA1934" t="s">
        <v>106</v>
      </c>
      <c r="AB1934" t="s">
        <v>106</v>
      </c>
    </row>
    <row r="1935" spans="1:28" x14ac:dyDescent="0.3">
      <c r="A1935" t="s">
        <v>1486</v>
      </c>
      <c r="B1935">
        <v>3</v>
      </c>
      <c r="C1935">
        <v>35</v>
      </c>
      <c r="D1935">
        <v>230</v>
      </c>
      <c r="E1935" t="s">
        <v>128</v>
      </c>
      <c r="F1935" s="12">
        <v>45645</v>
      </c>
      <c r="G1935" t="s">
        <v>1773</v>
      </c>
      <c r="H1935" s="12">
        <v>45645</v>
      </c>
      <c r="I1935" t="s">
        <v>370</v>
      </c>
      <c r="J1935" t="s">
        <v>477</v>
      </c>
      <c r="K1935">
        <v>1</v>
      </c>
      <c r="L1935">
        <v>33.299999999999997</v>
      </c>
      <c r="M1935">
        <v>33.4</v>
      </c>
      <c r="P1935" t="s">
        <v>106</v>
      </c>
      <c r="Q1935" t="s">
        <v>106</v>
      </c>
      <c r="R1935" t="s">
        <v>106</v>
      </c>
      <c r="S1935" t="s">
        <v>1404</v>
      </c>
      <c r="T1935" t="s">
        <v>1214</v>
      </c>
      <c r="U1935" t="s">
        <v>369</v>
      </c>
      <c r="V1935" t="s">
        <v>106</v>
      </c>
      <c r="W1935" t="s">
        <v>954</v>
      </c>
      <c r="X1935" t="s">
        <v>106</v>
      </c>
      <c r="Y1935" t="s">
        <v>108</v>
      </c>
      <c r="Z1935" t="s">
        <v>108</v>
      </c>
      <c r="AA1935" t="s">
        <v>106</v>
      </c>
      <c r="AB1935" t="s">
        <v>106</v>
      </c>
    </row>
    <row r="1936" spans="1:28" x14ac:dyDescent="0.3">
      <c r="A1936" t="s">
        <v>1486</v>
      </c>
      <c r="B1936">
        <v>3</v>
      </c>
      <c r="C1936">
        <v>35</v>
      </c>
      <c r="D1936">
        <v>236</v>
      </c>
      <c r="E1936" t="s">
        <v>128</v>
      </c>
      <c r="F1936" s="12">
        <v>45645</v>
      </c>
      <c r="G1936" t="s">
        <v>2492</v>
      </c>
      <c r="H1936" s="12">
        <v>45645</v>
      </c>
      <c r="I1936" t="s">
        <v>2104</v>
      </c>
      <c r="J1936" t="s">
        <v>458</v>
      </c>
      <c r="K1936">
        <v>2</v>
      </c>
      <c r="L1936">
        <v>34.700000000000003</v>
      </c>
      <c r="M1936">
        <v>35</v>
      </c>
      <c r="P1936" t="s">
        <v>106</v>
      </c>
      <c r="Q1936" t="s">
        <v>106</v>
      </c>
      <c r="R1936" t="s">
        <v>106</v>
      </c>
      <c r="S1936" t="s">
        <v>106</v>
      </c>
      <c r="T1936" t="s">
        <v>1478</v>
      </c>
      <c r="U1936" t="s">
        <v>106</v>
      </c>
      <c r="V1936" t="s">
        <v>106</v>
      </c>
      <c r="W1936" t="s">
        <v>476</v>
      </c>
      <c r="X1936" t="s">
        <v>106</v>
      </c>
      <c r="Y1936" t="s">
        <v>108</v>
      </c>
      <c r="Z1936" t="s">
        <v>108</v>
      </c>
      <c r="AA1936" t="s">
        <v>106</v>
      </c>
      <c r="AB1936" t="s">
        <v>106</v>
      </c>
    </row>
    <row r="1937" spans="1:28" x14ac:dyDescent="0.3">
      <c r="A1937" t="s">
        <v>1486</v>
      </c>
      <c r="B1937">
        <v>3</v>
      </c>
      <c r="C1937">
        <v>35</v>
      </c>
      <c r="D1937">
        <v>224</v>
      </c>
      <c r="E1937" t="s">
        <v>128</v>
      </c>
      <c r="F1937" s="12">
        <v>45645</v>
      </c>
      <c r="G1937" t="s">
        <v>462</v>
      </c>
      <c r="H1937" s="12">
        <v>45645</v>
      </c>
      <c r="I1937" t="s">
        <v>527</v>
      </c>
      <c r="J1937" t="s">
        <v>1363</v>
      </c>
      <c r="L1937">
        <v>32.1</v>
      </c>
      <c r="M1937">
        <v>32.299999999999997</v>
      </c>
      <c r="P1937" t="s">
        <v>106</v>
      </c>
      <c r="Q1937" t="s">
        <v>106</v>
      </c>
      <c r="R1937" t="s">
        <v>106</v>
      </c>
      <c r="S1937" t="s">
        <v>2532</v>
      </c>
      <c r="T1937" t="s">
        <v>975</v>
      </c>
      <c r="U1937" t="s">
        <v>695</v>
      </c>
      <c r="V1937" t="s">
        <v>106</v>
      </c>
      <c r="W1937" t="s">
        <v>557</v>
      </c>
      <c r="X1937" t="s">
        <v>106</v>
      </c>
      <c r="Y1937" t="s">
        <v>108</v>
      </c>
      <c r="Z1937" t="s">
        <v>108</v>
      </c>
      <c r="AA1937" t="s">
        <v>106</v>
      </c>
      <c r="AB1937" t="s">
        <v>106</v>
      </c>
    </row>
    <row r="1938" spans="1:28" x14ac:dyDescent="0.3">
      <c r="A1938" t="s">
        <v>1486</v>
      </c>
      <c r="B1938">
        <v>3</v>
      </c>
      <c r="C1938">
        <v>35</v>
      </c>
      <c r="D1938">
        <v>223</v>
      </c>
      <c r="E1938" t="s">
        <v>128</v>
      </c>
      <c r="F1938" s="12">
        <v>45645</v>
      </c>
      <c r="G1938" t="s">
        <v>531</v>
      </c>
      <c r="H1938" s="12">
        <v>45645</v>
      </c>
      <c r="I1938" t="s">
        <v>527</v>
      </c>
      <c r="J1938" t="s">
        <v>1363</v>
      </c>
      <c r="L1938">
        <v>33.799999999999997</v>
      </c>
      <c r="M1938">
        <v>34</v>
      </c>
      <c r="P1938" t="s">
        <v>106</v>
      </c>
      <c r="Q1938" t="s">
        <v>106</v>
      </c>
      <c r="R1938" t="s">
        <v>106</v>
      </c>
      <c r="S1938" t="s">
        <v>106</v>
      </c>
      <c r="T1938" t="s">
        <v>1796</v>
      </c>
      <c r="U1938" t="s">
        <v>532</v>
      </c>
      <c r="V1938" t="s">
        <v>106</v>
      </c>
      <c r="W1938" t="s">
        <v>557</v>
      </c>
      <c r="X1938" t="s">
        <v>106</v>
      </c>
      <c r="Y1938" t="s">
        <v>108</v>
      </c>
      <c r="Z1938" t="s">
        <v>108</v>
      </c>
      <c r="AA1938" t="s">
        <v>106</v>
      </c>
      <c r="AB1938" t="s">
        <v>106</v>
      </c>
    </row>
    <row r="1939" spans="1:28" x14ac:dyDescent="0.3">
      <c r="A1939" t="s">
        <v>1486</v>
      </c>
      <c r="B1939">
        <v>3</v>
      </c>
      <c r="C1939">
        <v>35</v>
      </c>
      <c r="D1939">
        <v>215</v>
      </c>
      <c r="E1939" t="s">
        <v>128</v>
      </c>
      <c r="F1939" s="12">
        <v>45645</v>
      </c>
      <c r="G1939" t="s">
        <v>622</v>
      </c>
      <c r="H1939" s="12">
        <v>45645</v>
      </c>
      <c r="I1939" t="s">
        <v>383</v>
      </c>
      <c r="J1939" t="s">
        <v>1363</v>
      </c>
      <c r="L1939">
        <v>34</v>
      </c>
      <c r="M1939">
        <v>34.6</v>
      </c>
      <c r="P1939" t="s">
        <v>106</v>
      </c>
      <c r="Q1939" t="s">
        <v>106</v>
      </c>
      <c r="R1939" t="s">
        <v>106</v>
      </c>
      <c r="S1939" t="s">
        <v>1717</v>
      </c>
      <c r="T1939" t="s">
        <v>760</v>
      </c>
      <c r="U1939" t="s">
        <v>433</v>
      </c>
      <c r="V1939" t="s">
        <v>106</v>
      </c>
      <c r="W1939" t="s">
        <v>557</v>
      </c>
      <c r="X1939" t="s">
        <v>106</v>
      </c>
      <c r="Y1939" t="s">
        <v>108</v>
      </c>
      <c r="Z1939" t="s">
        <v>108</v>
      </c>
      <c r="AA1939" t="s">
        <v>106</v>
      </c>
      <c r="AB1939" t="s">
        <v>106</v>
      </c>
    </row>
    <row r="1940" spans="1:28" x14ac:dyDescent="0.3">
      <c r="A1940" t="s">
        <v>1486</v>
      </c>
      <c r="B1940">
        <v>3</v>
      </c>
      <c r="C1940">
        <v>35</v>
      </c>
      <c r="D1940">
        <v>214</v>
      </c>
      <c r="E1940" t="s">
        <v>128</v>
      </c>
      <c r="F1940" s="12">
        <v>45645</v>
      </c>
      <c r="G1940" t="s">
        <v>309</v>
      </c>
      <c r="H1940" s="12">
        <v>45645</v>
      </c>
      <c r="I1940" t="s">
        <v>383</v>
      </c>
      <c r="J1940" t="s">
        <v>1363</v>
      </c>
      <c r="L1940">
        <v>33.6</v>
      </c>
      <c r="M1940">
        <v>33.6</v>
      </c>
      <c r="P1940" t="s">
        <v>106</v>
      </c>
      <c r="Q1940" t="s">
        <v>106</v>
      </c>
      <c r="R1940" t="s">
        <v>106</v>
      </c>
      <c r="S1940" t="s">
        <v>106</v>
      </c>
      <c r="T1940" t="s">
        <v>1585</v>
      </c>
      <c r="U1940" t="s">
        <v>144</v>
      </c>
      <c r="V1940" t="s">
        <v>106</v>
      </c>
      <c r="W1940" t="s">
        <v>557</v>
      </c>
      <c r="X1940" t="s">
        <v>106</v>
      </c>
      <c r="Y1940" t="s">
        <v>108</v>
      </c>
      <c r="Z1940" t="s">
        <v>108</v>
      </c>
      <c r="AA1940" t="s">
        <v>106</v>
      </c>
      <c r="AB1940" t="s">
        <v>106</v>
      </c>
    </row>
    <row r="1941" spans="1:28" x14ac:dyDescent="0.3">
      <c r="A1941" t="s">
        <v>1486</v>
      </c>
      <c r="B1941">
        <v>3</v>
      </c>
      <c r="C1941">
        <v>35</v>
      </c>
      <c r="D1941">
        <v>209</v>
      </c>
      <c r="E1941" t="s">
        <v>128</v>
      </c>
      <c r="F1941" s="12">
        <v>45645</v>
      </c>
      <c r="G1941" t="s">
        <v>2533</v>
      </c>
      <c r="H1941" s="12">
        <v>45645</v>
      </c>
      <c r="I1941" t="s">
        <v>1505</v>
      </c>
      <c r="J1941" t="s">
        <v>1363</v>
      </c>
      <c r="L1941">
        <v>34.9</v>
      </c>
      <c r="M1941">
        <v>34.9</v>
      </c>
      <c r="P1941" t="s">
        <v>106</v>
      </c>
      <c r="Q1941" t="s">
        <v>106</v>
      </c>
      <c r="R1941" t="s">
        <v>106</v>
      </c>
      <c r="S1941" t="s">
        <v>106</v>
      </c>
      <c r="T1941" t="s">
        <v>2063</v>
      </c>
      <c r="U1941" t="s">
        <v>360</v>
      </c>
      <c r="V1941" t="s">
        <v>106</v>
      </c>
      <c r="W1941" t="s">
        <v>557</v>
      </c>
      <c r="X1941" t="s">
        <v>106</v>
      </c>
      <c r="Y1941" t="s">
        <v>108</v>
      </c>
      <c r="Z1941" t="s">
        <v>108</v>
      </c>
      <c r="AA1941" t="s">
        <v>106</v>
      </c>
      <c r="AB1941" t="s">
        <v>106</v>
      </c>
    </row>
    <row r="1942" spans="1:28" x14ac:dyDescent="0.3">
      <c r="A1942" t="s">
        <v>1486</v>
      </c>
      <c r="B1942">
        <v>3</v>
      </c>
      <c r="C1942">
        <v>35</v>
      </c>
      <c r="D1942">
        <v>201</v>
      </c>
      <c r="E1942" t="s">
        <v>128</v>
      </c>
      <c r="F1942" s="12">
        <v>45645</v>
      </c>
      <c r="G1942" t="s">
        <v>1870</v>
      </c>
      <c r="H1942" s="12">
        <v>45645</v>
      </c>
      <c r="I1942" t="s">
        <v>1892</v>
      </c>
      <c r="J1942" t="s">
        <v>471</v>
      </c>
      <c r="K1942">
        <v>2</v>
      </c>
      <c r="L1942">
        <v>35.700000000000003</v>
      </c>
      <c r="M1942">
        <v>35.5</v>
      </c>
      <c r="P1942" t="s">
        <v>106</v>
      </c>
      <c r="Q1942" t="s">
        <v>106</v>
      </c>
      <c r="R1942" t="s">
        <v>106</v>
      </c>
      <c r="S1942" t="s">
        <v>1906</v>
      </c>
      <c r="T1942" t="s">
        <v>1393</v>
      </c>
      <c r="U1942" t="s">
        <v>144</v>
      </c>
      <c r="V1942" t="s">
        <v>106</v>
      </c>
      <c r="W1942" t="s">
        <v>954</v>
      </c>
      <c r="X1942" t="s">
        <v>106</v>
      </c>
      <c r="Y1942" t="s">
        <v>108</v>
      </c>
      <c r="Z1942" t="s">
        <v>108</v>
      </c>
      <c r="AA1942" t="s">
        <v>106</v>
      </c>
      <c r="AB1942" t="s">
        <v>106</v>
      </c>
    </row>
    <row r="1943" spans="1:28" x14ac:dyDescent="0.3">
      <c r="A1943" t="s">
        <v>1486</v>
      </c>
      <c r="B1943">
        <v>3</v>
      </c>
      <c r="C1943">
        <v>35</v>
      </c>
      <c r="D1943">
        <v>200</v>
      </c>
      <c r="E1943" t="s">
        <v>128</v>
      </c>
      <c r="F1943" s="12">
        <v>45645</v>
      </c>
      <c r="G1943" t="s">
        <v>1870</v>
      </c>
      <c r="H1943" s="12">
        <v>45645</v>
      </c>
      <c r="I1943" t="s">
        <v>1892</v>
      </c>
      <c r="J1943" t="s">
        <v>471</v>
      </c>
      <c r="K1943">
        <v>2</v>
      </c>
      <c r="L1943">
        <v>32.200000000000003</v>
      </c>
      <c r="M1943">
        <v>32.299999999999997</v>
      </c>
      <c r="P1943" t="s">
        <v>106</v>
      </c>
      <c r="Q1943" t="s">
        <v>106</v>
      </c>
      <c r="R1943" t="s">
        <v>106</v>
      </c>
      <c r="S1943" t="s">
        <v>2534</v>
      </c>
      <c r="T1943" t="s">
        <v>722</v>
      </c>
      <c r="U1943" t="s">
        <v>382</v>
      </c>
      <c r="V1943" t="s">
        <v>106</v>
      </c>
      <c r="W1943" t="s">
        <v>954</v>
      </c>
      <c r="X1943" t="s">
        <v>106</v>
      </c>
      <c r="Y1943" t="s">
        <v>108</v>
      </c>
      <c r="Z1943" t="s">
        <v>108</v>
      </c>
      <c r="AA1943" t="s">
        <v>106</v>
      </c>
      <c r="AB1943" t="s">
        <v>106</v>
      </c>
    </row>
    <row r="1944" spans="1:28" x14ac:dyDescent="0.3">
      <c r="A1944" t="s">
        <v>1486</v>
      </c>
      <c r="B1944">
        <v>3</v>
      </c>
      <c r="C1944">
        <v>35</v>
      </c>
      <c r="D1944">
        <v>229</v>
      </c>
      <c r="E1944" t="s">
        <v>128</v>
      </c>
      <c r="F1944" s="12">
        <v>45645</v>
      </c>
      <c r="G1944" t="s">
        <v>449</v>
      </c>
      <c r="H1944" s="12">
        <v>45645</v>
      </c>
      <c r="I1944" t="s">
        <v>370</v>
      </c>
      <c r="J1944" t="s">
        <v>477</v>
      </c>
      <c r="K1944">
        <v>1</v>
      </c>
      <c r="L1944">
        <v>33.1</v>
      </c>
      <c r="M1944">
        <v>33.1</v>
      </c>
      <c r="P1944" t="s">
        <v>106</v>
      </c>
      <c r="Q1944" t="s">
        <v>106</v>
      </c>
      <c r="R1944" t="s">
        <v>106</v>
      </c>
      <c r="S1944" t="s">
        <v>106</v>
      </c>
      <c r="T1944" t="s">
        <v>989</v>
      </c>
      <c r="U1944" t="s">
        <v>825</v>
      </c>
      <c r="V1944" t="s">
        <v>106</v>
      </c>
      <c r="W1944" t="s">
        <v>954</v>
      </c>
      <c r="X1944" t="s">
        <v>106</v>
      </c>
      <c r="Y1944" t="s">
        <v>108</v>
      </c>
      <c r="Z1944" t="s">
        <v>108</v>
      </c>
      <c r="AA1944" t="s">
        <v>106</v>
      </c>
      <c r="AB1944" t="s">
        <v>106</v>
      </c>
    </row>
    <row r="1945" spans="1:28" x14ac:dyDescent="0.3">
      <c r="A1945" t="s">
        <v>1486</v>
      </c>
      <c r="B1945">
        <v>3</v>
      </c>
      <c r="C1945">
        <v>35</v>
      </c>
      <c r="D1945">
        <v>208</v>
      </c>
      <c r="E1945" t="s">
        <v>128</v>
      </c>
      <c r="F1945" s="12">
        <v>45645</v>
      </c>
      <c r="G1945" t="s">
        <v>394</v>
      </c>
      <c r="H1945" s="12">
        <v>45645</v>
      </c>
      <c r="I1945" t="s">
        <v>1505</v>
      </c>
      <c r="J1945" t="s">
        <v>1363</v>
      </c>
      <c r="L1945">
        <v>31.6</v>
      </c>
      <c r="M1945">
        <v>31.8</v>
      </c>
      <c r="P1945" t="s">
        <v>106</v>
      </c>
      <c r="Q1945" t="s">
        <v>106</v>
      </c>
      <c r="R1945" t="s">
        <v>106</v>
      </c>
      <c r="S1945" t="s">
        <v>2381</v>
      </c>
      <c r="T1945" t="s">
        <v>2095</v>
      </c>
      <c r="U1945" t="s">
        <v>360</v>
      </c>
      <c r="V1945" t="s">
        <v>106</v>
      </c>
      <c r="W1945" t="s">
        <v>557</v>
      </c>
      <c r="X1945" t="s">
        <v>106</v>
      </c>
      <c r="Y1945" t="s">
        <v>108</v>
      </c>
      <c r="Z1945" t="s">
        <v>108</v>
      </c>
      <c r="AA1945" t="s">
        <v>106</v>
      </c>
      <c r="AB1945" t="s">
        <v>106</v>
      </c>
    </row>
    <row r="1946" spans="1:28" x14ac:dyDescent="0.3">
      <c r="A1946" t="s">
        <v>1486</v>
      </c>
      <c r="B1946">
        <v>4</v>
      </c>
      <c r="C1946">
        <v>60</v>
      </c>
      <c r="D1946">
        <v>226</v>
      </c>
      <c r="E1946" t="s">
        <v>128</v>
      </c>
      <c r="F1946" s="12">
        <v>45645</v>
      </c>
      <c r="G1946" t="s">
        <v>834</v>
      </c>
      <c r="H1946" s="12">
        <v>45645</v>
      </c>
      <c r="I1946" t="s">
        <v>527</v>
      </c>
      <c r="J1946" t="s">
        <v>1363</v>
      </c>
      <c r="L1946">
        <v>56.4</v>
      </c>
      <c r="M1946">
        <v>56.5</v>
      </c>
      <c r="P1946" t="s">
        <v>106</v>
      </c>
      <c r="Q1946" t="s">
        <v>106</v>
      </c>
      <c r="R1946" t="s">
        <v>106</v>
      </c>
      <c r="S1946" t="s">
        <v>2388</v>
      </c>
      <c r="T1946" t="s">
        <v>2063</v>
      </c>
      <c r="U1946" t="s">
        <v>369</v>
      </c>
      <c r="V1946" t="s">
        <v>106</v>
      </c>
      <c r="W1946" t="s">
        <v>557</v>
      </c>
      <c r="X1946" t="s">
        <v>106</v>
      </c>
      <c r="Y1946" t="s">
        <v>108</v>
      </c>
      <c r="Z1946" t="s">
        <v>104</v>
      </c>
      <c r="AA1946" t="s">
        <v>106</v>
      </c>
      <c r="AB1946" t="s">
        <v>106</v>
      </c>
    </row>
    <row r="1947" spans="1:28" x14ac:dyDescent="0.3">
      <c r="A1947" t="s">
        <v>1486</v>
      </c>
      <c r="B1947">
        <v>4</v>
      </c>
      <c r="C1947">
        <v>60</v>
      </c>
      <c r="D1947">
        <v>245</v>
      </c>
      <c r="E1947" t="s">
        <v>128</v>
      </c>
      <c r="F1947" s="12">
        <v>45645</v>
      </c>
      <c r="G1947" t="s">
        <v>1632</v>
      </c>
      <c r="H1947" s="12">
        <v>45645</v>
      </c>
      <c r="I1947" t="s">
        <v>2104</v>
      </c>
      <c r="J1947" t="s">
        <v>458</v>
      </c>
      <c r="K1947">
        <v>2</v>
      </c>
      <c r="L1947">
        <v>63.6</v>
      </c>
      <c r="M1947">
        <v>63.7</v>
      </c>
      <c r="P1947" t="s">
        <v>106</v>
      </c>
      <c r="Q1947" t="s">
        <v>106</v>
      </c>
      <c r="R1947" t="s">
        <v>106</v>
      </c>
      <c r="S1947" t="s">
        <v>106</v>
      </c>
      <c r="T1947" t="s">
        <v>1793</v>
      </c>
      <c r="U1947" t="s">
        <v>106</v>
      </c>
      <c r="V1947" t="s">
        <v>106</v>
      </c>
      <c r="W1947" t="s">
        <v>476</v>
      </c>
      <c r="X1947" t="s">
        <v>106</v>
      </c>
      <c r="Y1947" t="s">
        <v>108</v>
      </c>
      <c r="Z1947" t="s">
        <v>104</v>
      </c>
      <c r="AA1947" t="s">
        <v>106</v>
      </c>
      <c r="AB1947" t="s">
        <v>106</v>
      </c>
    </row>
    <row r="1948" spans="1:28" x14ac:dyDescent="0.3">
      <c r="A1948" t="s">
        <v>1486</v>
      </c>
      <c r="B1948">
        <v>4</v>
      </c>
      <c r="C1948">
        <v>60</v>
      </c>
      <c r="D1948">
        <v>246</v>
      </c>
      <c r="E1948" t="s">
        <v>128</v>
      </c>
      <c r="F1948" s="12">
        <v>45645</v>
      </c>
      <c r="G1948" t="s">
        <v>1632</v>
      </c>
      <c r="H1948" s="12">
        <v>45645</v>
      </c>
      <c r="I1948" t="s">
        <v>2104</v>
      </c>
      <c r="J1948" t="s">
        <v>458</v>
      </c>
      <c r="K1948">
        <v>2</v>
      </c>
      <c r="L1948">
        <v>61.9</v>
      </c>
      <c r="M1948">
        <v>61.9</v>
      </c>
      <c r="P1948" t="s">
        <v>106</v>
      </c>
      <c r="Q1948" t="s">
        <v>106</v>
      </c>
      <c r="R1948" t="s">
        <v>106</v>
      </c>
      <c r="S1948" t="s">
        <v>106</v>
      </c>
      <c r="T1948" t="s">
        <v>1449</v>
      </c>
      <c r="U1948" t="s">
        <v>106</v>
      </c>
      <c r="V1948" t="s">
        <v>106</v>
      </c>
      <c r="W1948" t="s">
        <v>476</v>
      </c>
      <c r="X1948" t="s">
        <v>106</v>
      </c>
      <c r="Y1948" t="s">
        <v>108</v>
      </c>
      <c r="Z1948" t="s">
        <v>104</v>
      </c>
      <c r="AA1948" t="s">
        <v>106</v>
      </c>
      <c r="AB1948" t="s">
        <v>106</v>
      </c>
    </row>
    <row r="1949" spans="1:28" x14ac:dyDescent="0.3">
      <c r="A1949" t="s">
        <v>1486</v>
      </c>
      <c r="B1949">
        <v>4</v>
      </c>
      <c r="C1949">
        <v>60</v>
      </c>
      <c r="D1949">
        <v>249</v>
      </c>
      <c r="E1949" t="s">
        <v>128</v>
      </c>
      <c r="F1949" s="12">
        <v>45645</v>
      </c>
      <c r="G1949" t="s">
        <v>670</v>
      </c>
      <c r="H1949" s="12">
        <v>45645</v>
      </c>
      <c r="I1949" t="s">
        <v>1833</v>
      </c>
      <c r="J1949" t="s">
        <v>458</v>
      </c>
      <c r="K1949">
        <v>2</v>
      </c>
      <c r="L1949">
        <v>55.4</v>
      </c>
      <c r="M1949">
        <v>55.4</v>
      </c>
      <c r="P1949" t="s">
        <v>106</v>
      </c>
      <c r="Q1949" t="s">
        <v>106</v>
      </c>
      <c r="R1949" t="s">
        <v>106</v>
      </c>
      <c r="S1949" t="s">
        <v>106</v>
      </c>
      <c r="T1949" t="s">
        <v>1846</v>
      </c>
      <c r="U1949" t="s">
        <v>630</v>
      </c>
      <c r="V1949" t="s">
        <v>106</v>
      </c>
      <c r="W1949" t="s">
        <v>476</v>
      </c>
      <c r="X1949" t="s">
        <v>106</v>
      </c>
      <c r="Y1949" t="s">
        <v>108</v>
      </c>
      <c r="Z1949" t="s">
        <v>104</v>
      </c>
      <c r="AA1949" t="s">
        <v>106</v>
      </c>
      <c r="AB1949" t="s">
        <v>106</v>
      </c>
    </row>
    <row r="1950" spans="1:28" x14ac:dyDescent="0.3">
      <c r="A1950" t="s">
        <v>1486</v>
      </c>
      <c r="B1950">
        <v>4</v>
      </c>
      <c r="C1950">
        <v>60</v>
      </c>
      <c r="D1950">
        <v>240</v>
      </c>
      <c r="E1950" t="s">
        <v>128</v>
      </c>
      <c r="F1950" s="12">
        <v>45645</v>
      </c>
      <c r="G1950" t="s">
        <v>2603</v>
      </c>
      <c r="H1950" s="12">
        <v>45645</v>
      </c>
      <c r="I1950" t="s">
        <v>2104</v>
      </c>
      <c r="J1950" t="s">
        <v>458</v>
      </c>
      <c r="K1950">
        <v>2</v>
      </c>
      <c r="L1950">
        <v>58.7</v>
      </c>
      <c r="M1950">
        <v>58.6</v>
      </c>
      <c r="P1950" t="s">
        <v>106</v>
      </c>
      <c r="Q1950" t="s">
        <v>106</v>
      </c>
      <c r="R1950" t="s">
        <v>106</v>
      </c>
      <c r="S1950" t="s">
        <v>106</v>
      </c>
      <c r="T1950" t="s">
        <v>989</v>
      </c>
      <c r="U1950" t="s">
        <v>106</v>
      </c>
      <c r="V1950" t="s">
        <v>106</v>
      </c>
      <c r="W1950" t="s">
        <v>476</v>
      </c>
      <c r="X1950" t="s">
        <v>106</v>
      </c>
      <c r="Y1950" t="s">
        <v>108</v>
      </c>
      <c r="Z1950" t="s">
        <v>104</v>
      </c>
      <c r="AA1950" t="s">
        <v>106</v>
      </c>
      <c r="AB1950" t="s">
        <v>106</v>
      </c>
    </row>
    <row r="1951" spans="1:28" x14ac:dyDescent="0.3">
      <c r="A1951" t="s">
        <v>1486</v>
      </c>
      <c r="B1951">
        <v>4</v>
      </c>
      <c r="C1951">
        <v>60</v>
      </c>
      <c r="D1951">
        <v>225</v>
      </c>
      <c r="E1951" t="s">
        <v>128</v>
      </c>
      <c r="F1951" s="12">
        <v>45645</v>
      </c>
      <c r="G1951" t="s">
        <v>687</v>
      </c>
      <c r="H1951" s="12">
        <v>45645</v>
      </c>
      <c r="I1951" t="s">
        <v>527</v>
      </c>
      <c r="J1951" t="s">
        <v>1363</v>
      </c>
      <c r="L1951">
        <v>55.3</v>
      </c>
      <c r="M1951">
        <v>55.9</v>
      </c>
      <c r="P1951" t="s">
        <v>106</v>
      </c>
      <c r="Q1951" t="s">
        <v>106</v>
      </c>
      <c r="R1951" t="s">
        <v>106</v>
      </c>
      <c r="S1951" t="s">
        <v>106</v>
      </c>
      <c r="T1951" t="s">
        <v>1839</v>
      </c>
      <c r="U1951" t="s">
        <v>769</v>
      </c>
      <c r="V1951" t="s">
        <v>106</v>
      </c>
      <c r="W1951" t="s">
        <v>557</v>
      </c>
      <c r="X1951" t="s">
        <v>106</v>
      </c>
      <c r="Y1951" t="s">
        <v>108</v>
      </c>
      <c r="Z1951" t="s">
        <v>104</v>
      </c>
      <c r="AA1951" t="s">
        <v>106</v>
      </c>
      <c r="AB1951" t="s">
        <v>106</v>
      </c>
    </row>
    <row r="1952" spans="1:28" x14ac:dyDescent="0.3">
      <c r="A1952" t="s">
        <v>1486</v>
      </c>
      <c r="B1952">
        <v>4</v>
      </c>
      <c r="C1952">
        <v>60</v>
      </c>
      <c r="D1952">
        <v>217</v>
      </c>
      <c r="E1952" t="s">
        <v>128</v>
      </c>
      <c r="F1952" s="12">
        <v>45645</v>
      </c>
      <c r="G1952" t="s">
        <v>1642</v>
      </c>
      <c r="H1952" s="12">
        <v>45645</v>
      </c>
      <c r="I1952" t="s">
        <v>383</v>
      </c>
      <c r="J1952" t="s">
        <v>1363</v>
      </c>
      <c r="L1952">
        <v>55.4</v>
      </c>
      <c r="M1952">
        <v>55.6</v>
      </c>
      <c r="P1952" t="s">
        <v>106</v>
      </c>
      <c r="Q1952" t="s">
        <v>106</v>
      </c>
      <c r="R1952" t="s">
        <v>106</v>
      </c>
      <c r="S1952" t="s">
        <v>1335</v>
      </c>
      <c r="T1952" t="s">
        <v>1393</v>
      </c>
      <c r="U1952" t="s">
        <v>785</v>
      </c>
      <c r="V1952" t="s">
        <v>106</v>
      </c>
      <c r="W1952" t="s">
        <v>557</v>
      </c>
      <c r="X1952" t="s">
        <v>106</v>
      </c>
      <c r="Y1952" t="s">
        <v>108</v>
      </c>
      <c r="Z1952" t="s">
        <v>104</v>
      </c>
      <c r="AA1952" t="s">
        <v>106</v>
      </c>
      <c r="AB1952" t="s">
        <v>106</v>
      </c>
    </row>
    <row r="1953" spans="1:28" x14ac:dyDescent="0.3">
      <c r="A1953" t="s">
        <v>1486</v>
      </c>
      <c r="B1953">
        <v>4</v>
      </c>
      <c r="C1953">
        <v>60</v>
      </c>
      <c r="D1953">
        <v>216</v>
      </c>
      <c r="E1953" t="s">
        <v>128</v>
      </c>
      <c r="F1953" s="12">
        <v>45645</v>
      </c>
      <c r="G1953" t="s">
        <v>1648</v>
      </c>
      <c r="H1953" s="12">
        <v>45645</v>
      </c>
      <c r="I1953" t="s">
        <v>383</v>
      </c>
      <c r="J1953" t="s">
        <v>1363</v>
      </c>
      <c r="L1953">
        <v>56</v>
      </c>
      <c r="M1953">
        <v>56</v>
      </c>
      <c r="P1953" t="s">
        <v>106</v>
      </c>
      <c r="Q1953" t="s">
        <v>106</v>
      </c>
      <c r="R1953" t="s">
        <v>106</v>
      </c>
      <c r="S1953" t="s">
        <v>106</v>
      </c>
      <c r="T1953" t="s">
        <v>977</v>
      </c>
      <c r="U1953" t="s">
        <v>677</v>
      </c>
      <c r="V1953" t="s">
        <v>106</v>
      </c>
      <c r="W1953" t="s">
        <v>557</v>
      </c>
      <c r="X1953" t="s">
        <v>106</v>
      </c>
      <c r="Y1953" t="s">
        <v>108</v>
      </c>
      <c r="Z1953" t="s">
        <v>104</v>
      </c>
      <c r="AA1953" t="s">
        <v>106</v>
      </c>
      <c r="AB1953" t="s">
        <v>106</v>
      </c>
    </row>
    <row r="1954" spans="1:28" x14ac:dyDescent="0.3">
      <c r="A1954" t="s">
        <v>1486</v>
      </c>
      <c r="B1954">
        <v>4</v>
      </c>
      <c r="C1954">
        <v>60</v>
      </c>
      <c r="D1954">
        <v>211</v>
      </c>
      <c r="E1954" t="s">
        <v>128</v>
      </c>
      <c r="F1954" s="12">
        <v>45645</v>
      </c>
      <c r="G1954" t="s">
        <v>432</v>
      </c>
      <c r="H1954" s="12">
        <v>45645</v>
      </c>
      <c r="I1954" t="s">
        <v>1505</v>
      </c>
      <c r="J1954" t="s">
        <v>1363</v>
      </c>
      <c r="L1954">
        <v>55.5</v>
      </c>
      <c r="M1954">
        <v>55.5</v>
      </c>
      <c r="P1954" t="s">
        <v>106</v>
      </c>
      <c r="Q1954" t="s">
        <v>106</v>
      </c>
      <c r="R1954" t="s">
        <v>106</v>
      </c>
      <c r="S1954" t="s">
        <v>106</v>
      </c>
      <c r="T1954" t="s">
        <v>1495</v>
      </c>
      <c r="U1954" t="s">
        <v>360</v>
      </c>
      <c r="V1954" t="s">
        <v>106</v>
      </c>
      <c r="W1954" t="s">
        <v>557</v>
      </c>
      <c r="X1954" t="s">
        <v>106</v>
      </c>
      <c r="Y1954" t="s">
        <v>108</v>
      </c>
      <c r="Z1954" t="s">
        <v>104</v>
      </c>
      <c r="AA1954" t="s">
        <v>106</v>
      </c>
      <c r="AB1954" t="s">
        <v>106</v>
      </c>
    </row>
    <row r="1955" spans="1:28" x14ac:dyDescent="0.3">
      <c r="A1955" t="s">
        <v>1486</v>
      </c>
      <c r="B1955">
        <v>4</v>
      </c>
      <c r="C1955">
        <v>60</v>
      </c>
      <c r="D1955">
        <v>210</v>
      </c>
      <c r="E1955" t="s">
        <v>128</v>
      </c>
      <c r="F1955" s="12">
        <v>45645</v>
      </c>
      <c r="G1955" t="s">
        <v>432</v>
      </c>
      <c r="H1955" s="12">
        <v>45645</v>
      </c>
      <c r="I1955" t="s">
        <v>1505</v>
      </c>
      <c r="J1955" t="s">
        <v>1363</v>
      </c>
      <c r="L1955">
        <v>56.2</v>
      </c>
      <c r="M1955">
        <v>57</v>
      </c>
      <c r="P1955" t="s">
        <v>106</v>
      </c>
      <c r="Q1955" t="s">
        <v>106</v>
      </c>
      <c r="R1955" t="s">
        <v>106</v>
      </c>
      <c r="S1955" t="s">
        <v>1744</v>
      </c>
      <c r="T1955" t="s">
        <v>1839</v>
      </c>
      <c r="U1955" t="s">
        <v>825</v>
      </c>
      <c r="V1955" t="s">
        <v>106</v>
      </c>
      <c r="W1955" t="s">
        <v>557</v>
      </c>
      <c r="X1955" t="s">
        <v>106</v>
      </c>
      <c r="Y1955" t="s">
        <v>108</v>
      </c>
      <c r="Z1955" t="s">
        <v>104</v>
      </c>
      <c r="AA1955" t="s">
        <v>106</v>
      </c>
      <c r="AB1955" t="s">
        <v>106</v>
      </c>
    </row>
    <row r="1956" spans="1:28" x14ac:dyDescent="0.3">
      <c r="A1956" t="s">
        <v>1486</v>
      </c>
      <c r="B1956">
        <v>4</v>
      </c>
      <c r="C1956">
        <v>60</v>
      </c>
      <c r="D1956">
        <v>205</v>
      </c>
      <c r="E1956" t="s">
        <v>128</v>
      </c>
      <c r="F1956" s="12">
        <v>45645</v>
      </c>
      <c r="G1956" t="s">
        <v>1429</v>
      </c>
      <c r="H1956" s="12">
        <v>45645</v>
      </c>
      <c r="I1956" t="s">
        <v>1892</v>
      </c>
      <c r="J1956" t="s">
        <v>471</v>
      </c>
      <c r="K1956">
        <v>2</v>
      </c>
      <c r="L1956">
        <v>56.6</v>
      </c>
      <c r="M1956">
        <v>55.8</v>
      </c>
      <c r="P1956" t="s">
        <v>106</v>
      </c>
      <c r="Q1956" t="s">
        <v>106</v>
      </c>
      <c r="R1956" t="s">
        <v>106</v>
      </c>
      <c r="S1956" t="s">
        <v>1744</v>
      </c>
      <c r="T1956" t="s">
        <v>1747</v>
      </c>
      <c r="U1956" t="s">
        <v>433</v>
      </c>
      <c r="V1956" t="s">
        <v>106</v>
      </c>
      <c r="W1956" t="s">
        <v>954</v>
      </c>
      <c r="X1956" t="s">
        <v>106</v>
      </c>
      <c r="Y1956" t="s">
        <v>108</v>
      </c>
      <c r="Z1956" t="s">
        <v>104</v>
      </c>
      <c r="AA1956" t="s">
        <v>106</v>
      </c>
      <c r="AB1956" t="s">
        <v>106</v>
      </c>
    </row>
    <row r="1957" spans="1:28" x14ac:dyDescent="0.3">
      <c r="A1957" t="s">
        <v>1486</v>
      </c>
      <c r="B1957">
        <v>4</v>
      </c>
      <c r="C1957">
        <v>60</v>
      </c>
      <c r="D1957">
        <v>204</v>
      </c>
      <c r="E1957" t="s">
        <v>128</v>
      </c>
      <c r="F1957" s="12">
        <v>45645</v>
      </c>
      <c r="G1957" t="s">
        <v>2213</v>
      </c>
      <c r="H1957" s="12">
        <v>45645</v>
      </c>
      <c r="I1957" t="s">
        <v>1892</v>
      </c>
      <c r="J1957" t="s">
        <v>471</v>
      </c>
      <c r="K1957">
        <v>2</v>
      </c>
      <c r="L1957">
        <v>59</v>
      </c>
      <c r="M1957">
        <v>59.3</v>
      </c>
      <c r="P1957" t="s">
        <v>106</v>
      </c>
      <c r="Q1957" t="s">
        <v>106</v>
      </c>
      <c r="R1957" t="s">
        <v>106</v>
      </c>
      <c r="S1957" t="s">
        <v>1390</v>
      </c>
      <c r="T1957" t="s">
        <v>1804</v>
      </c>
      <c r="U1957" t="s">
        <v>532</v>
      </c>
      <c r="V1957" t="s">
        <v>106</v>
      </c>
      <c r="W1957" t="s">
        <v>954</v>
      </c>
      <c r="X1957" t="s">
        <v>106</v>
      </c>
      <c r="Y1957" t="s">
        <v>108</v>
      </c>
      <c r="Z1957" t="s">
        <v>104</v>
      </c>
      <c r="AA1957" t="s">
        <v>106</v>
      </c>
      <c r="AB1957" t="s">
        <v>106</v>
      </c>
    </row>
    <row r="1958" spans="1:28" x14ac:dyDescent="0.3">
      <c r="A1958" t="s">
        <v>1486</v>
      </c>
      <c r="B1958">
        <v>4</v>
      </c>
      <c r="C1958">
        <v>60</v>
      </c>
      <c r="D1958">
        <v>231</v>
      </c>
      <c r="E1958" t="s">
        <v>128</v>
      </c>
      <c r="F1958" s="12">
        <v>45645</v>
      </c>
      <c r="G1958" t="s">
        <v>683</v>
      </c>
      <c r="H1958" s="12">
        <v>45645</v>
      </c>
      <c r="I1958" t="s">
        <v>370</v>
      </c>
      <c r="J1958" t="s">
        <v>477</v>
      </c>
      <c r="K1958">
        <v>1</v>
      </c>
      <c r="L1958">
        <v>55.2</v>
      </c>
      <c r="M1958">
        <v>55.3</v>
      </c>
      <c r="P1958" t="s">
        <v>106</v>
      </c>
      <c r="Q1958" t="s">
        <v>106</v>
      </c>
      <c r="R1958" t="s">
        <v>106</v>
      </c>
      <c r="S1958" t="s">
        <v>106</v>
      </c>
      <c r="T1958" t="s">
        <v>1796</v>
      </c>
      <c r="U1958" t="s">
        <v>382</v>
      </c>
      <c r="V1958" t="s">
        <v>106</v>
      </c>
      <c r="W1958" t="s">
        <v>954</v>
      </c>
      <c r="X1958" t="s">
        <v>106</v>
      </c>
      <c r="Y1958" t="s">
        <v>108</v>
      </c>
      <c r="Z1958" t="s">
        <v>104</v>
      </c>
      <c r="AA1958" t="s">
        <v>106</v>
      </c>
      <c r="AB1958" t="s">
        <v>106</v>
      </c>
    </row>
    <row r="1959" spans="1:28" x14ac:dyDescent="0.3">
      <c r="A1959" t="s">
        <v>1486</v>
      </c>
      <c r="B1959">
        <v>4</v>
      </c>
      <c r="C1959">
        <v>60</v>
      </c>
      <c r="D1959">
        <v>250</v>
      </c>
      <c r="E1959" t="s">
        <v>128</v>
      </c>
      <c r="F1959" s="12">
        <v>45645</v>
      </c>
      <c r="G1959" t="s">
        <v>519</v>
      </c>
      <c r="H1959" s="12">
        <v>45645</v>
      </c>
      <c r="I1959" t="s">
        <v>1833</v>
      </c>
      <c r="J1959" t="s">
        <v>458</v>
      </c>
      <c r="K1959">
        <v>2</v>
      </c>
      <c r="L1959">
        <v>55.7</v>
      </c>
      <c r="M1959">
        <v>55.7</v>
      </c>
      <c r="P1959" t="s">
        <v>106</v>
      </c>
      <c r="Q1959" t="s">
        <v>106</v>
      </c>
      <c r="R1959" t="s">
        <v>106</v>
      </c>
      <c r="S1959" t="s">
        <v>106</v>
      </c>
      <c r="T1959" t="s">
        <v>1257</v>
      </c>
      <c r="U1959" t="s">
        <v>630</v>
      </c>
      <c r="V1959" t="s">
        <v>106</v>
      </c>
      <c r="W1959" t="s">
        <v>476</v>
      </c>
      <c r="X1959" t="s">
        <v>106</v>
      </c>
      <c r="Y1959" t="s">
        <v>108</v>
      </c>
      <c r="Z1959" t="s">
        <v>104</v>
      </c>
      <c r="AA1959" t="s">
        <v>106</v>
      </c>
      <c r="AB1959" t="s">
        <v>106</v>
      </c>
    </row>
    <row r="1960" spans="1:28" x14ac:dyDescent="0.3">
      <c r="A1960" t="s">
        <v>1486</v>
      </c>
      <c r="B1960">
        <v>4</v>
      </c>
      <c r="C1960">
        <v>60</v>
      </c>
      <c r="D1960">
        <v>232</v>
      </c>
      <c r="E1960" t="s">
        <v>128</v>
      </c>
      <c r="F1960" s="12">
        <v>45645</v>
      </c>
      <c r="G1960" t="s">
        <v>683</v>
      </c>
      <c r="H1960" s="12">
        <v>45645</v>
      </c>
      <c r="I1960" t="s">
        <v>370</v>
      </c>
      <c r="J1960" t="s">
        <v>477</v>
      </c>
      <c r="K1960">
        <v>1</v>
      </c>
      <c r="L1960">
        <v>57.4</v>
      </c>
      <c r="M1960">
        <v>56.2</v>
      </c>
      <c r="P1960" t="s">
        <v>106</v>
      </c>
      <c r="Q1960" t="s">
        <v>106</v>
      </c>
      <c r="R1960" t="s">
        <v>106</v>
      </c>
      <c r="S1960" t="s">
        <v>2381</v>
      </c>
      <c r="T1960" t="s">
        <v>1796</v>
      </c>
      <c r="U1960" t="s">
        <v>630</v>
      </c>
      <c r="V1960" t="s">
        <v>106</v>
      </c>
      <c r="W1960" t="s">
        <v>954</v>
      </c>
      <c r="X1960" t="s">
        <v>106</v>
      </c>
      <c r="Y1960" t="s">
        <v>108</v>
      </c>
      <c r="Z1960" t="s">
        <v>104</v>
      </c>
      <c r="AA1960" t="s">
        <v>106</v>
      </c>
      <c r="AB1960" t="s">
        <v>106</v>
      </c>
    </row>
    <row r="1961" spans="1:28" x14ac:dyDescent="0.3">
      <c r="A1961" t="s">
        <v>1486</v>
      </c>
      <c r="B1961">
        <v>4</v>
      </c>
      <c r="C1961">
        <v>60</v>
      </c>
      <c r="D1961">
        <v>239</v>
      </c>
      <c r="E1961" t="s">
        <v>128</v>
      </c>
      <c r="F1961" s="12">
        <v>45645</v>
      </c>
      <c r="G1961" t="s">
        <v>2204</v>
      </c>
      <c r="H1961" s="12">
        <v>45645</v>
      </c>
      <c r="I1961" t="s">
        <v>2104</v>
      </c>
      <c r="J1961" t="s">
        <v>458</v>
      </c>
      <c r="K1961">
        <v>2</v>
      </c>
      <c r="L1961">
        <v>55.5</v>
      </c>
      <c r="M1961">
        <v>55.8</v>
      </c>
      <c r="P1961" t="s">
        <v>106</v>
      </c>
      <c r="Q1961" t="s">
        <v>106</v>
      </c>
      <c r="R1961" t="s">
        <v>106</v>
      </c>
      <c r="S1961" t="s">
        <v>106</v>
      </c>
      <c r="T1961" t="s">
        <v>1793</v>
      </c>
      <c r="U1961" t="s">
        <v>106</v>
      </c>
      <c r="V1961" t="s">
        <v>106</v>
      </c>
      <c r="W1961" t="s">
        <v>476</v>
      </c>
      <c r="X1961" t="s">
        <v>106</v>
      </c>
      <c r="Y1961" t="s">
        <v>108</v>
      </c>
      <c r="Z1961" t="s">
        <v>104</v>
      </c>
      <c r="AA1961" t="s">
        <v>106</v>
      </c>
      <c r="AB1961" t="s">
        <v>106</v>
      </c>
    </row>
    <row r="1962" spans="1:28" x14ac:dyDescent="0.3">
      <c r="A1962" t="s">
        <v>1486</v>
      </c>
      <c r="B1962">
        <v>2</v>
      </c>
      <c r="C1962">
        <v>15</v>
      </c>
      <c r="D1962">
        <v>267</v>
      </c>
      <c r="E1962" t="s">
        <v>128</v>
      </c>
      <c r="F1962" s="12">
        <v>45646</v>
      </c>
      <c r="G1962" t="s">
        <v>2140</v>
      </c>
      <c r="H1962" s="12">
        <v>45646</v>
      </c>
      <c r="I1962" t="s">
        <v>323</v>
      </c>
      <c r="J1962" t="s">
        <v>458</v>
      </c>
      <c r="K1962">
        <v>2</v>
      </c>
      <c r="L1962">
        <v>14</v>
      </c>
      <c r="M1962">
        <v>13.8</v>
      </c>
      <c r="P1962" t="s">
        <v>106</v>
      </c>
      <c r="Q1962" t="s">
        <v>106</v>
      </c>
      <c r="R1962" t="s">
        <v>106</v>
      </c>
      <c r="S1962" t="s">
        <v>106</v>
      </c>
      <c r="T1962" t="s">
        <v>1463</v>
      </c>
      <c r="U1962" t="s">
        <v>532</v>
      </c>
      <c r="V1962" t="s">
        <v>106</v>
      </c>
      <c r="W1962" t="s">
        <v>476</v>
      </c>
      <c r="X1962" t="s">
        <v>106</v>
      </c>
      <c r="Y1962" t="s">
        <v>108</v>
      </c>
      <c r="Z1962" t="s">
        <v>109</v>
      </c>
      <c r="AA1962" t="s">
        <v>106</v>
      </c>
      <c r="AB1962" t="s">
        <v>106</v>
      </c>
    </row>
    <row r="1963" spans="1:28" x14ac:dyDescent="0.3">
      <c r="A1963" t="s">
        <v>1486</v>
      </c>
      <c r="B1963">
        <v>2</v>
      </c>
      <c r="C1963">
        <v>15</v>
      </c>
      <c r="D1963">
        <v>262</v>
      </c>
      <c r="E1963" t="s">
        <v>128</v>
      </c>
      <c r="F1963" s="12">
        <v>45646</v>
      </c>
      <c r="G1963" t="s">
        <v>1286</v>
      </c>
      <c r="H1963" s="12">
        <v>45646</v>
      </c>
      <c r="I1963" t="s">
        <v>2141</v>
      </c>
      <c r="J1963" t="s">
        <v>458</v>
      </c>
      <c r="K1963">
        <v>2</v>
      </c>
      <c r="L1963">
        <v>14.8</v>
      </c>
      <c r="M1963">
        <v>15</v>
      </c>
      <c r="P1963" t="s">
        <v>106</v>
      </c>
      <c r="Q1963" t="s">
        <v>106</v>
      </c>
      <c r="R1963" t="s">
        <v>106</v>
      </c>
      <c r="S1963" t="s">
        <v>106</v>
      </c>
      <c r="T1963" t="s">
        <v>1400</v>
      </c>
      <c r="U1963" t="s">
        <v>369</v>
      </c>
      <c r="V1963" t="s">
        <v>106</v>
      </c>
      <c r="W1963" t="s">
        <v>476</v>
      </c>
      <c r="X1963" t="s">
        <v>106</v>
      </c>
      <c r="Y1963" t="s">
        <v>108</v>
      </c>
      <c r="Z1963" t="s">
        <v>109</v>
      </c>
      <c r="AA1963" t="s">
        <v>106</v>
      </c>
      <c r="AB1963" t="s">
        <v>106</v>
      </c>
    </row>
    <row r="1964" spans="1:28" x14ac:dyDescent="0.3">
      <c r="A1964" t="s">
        <v>1486</v>
      </c>
      <c r="B1964">
        <v>2</v>
      </c>
      <c r="C1964">
        <v>15</v>
      </c>
      <c r="D1964">
        <v>261</v>
      </c>
      <c r="E1964" t="s">
        <v>128</v>
      </c>
      <c r="F1964" s="12">
        <v>45646</v>
      </c>
      <c r="G1964" t="s">
        <v>717</v>
      </c>
      <c r="H1964" s="12">
        <v>45646</v>
      </c>
      <c r="I1964" t="s">
        <v>2141</v>
      </c>
      <c r="J1964" t="s">
        <v>458</v>
      </c>
      <c r="K1964">
        <v>2</v>
      </c>
      <c r="L1964">
        <v>14.4</v>
      </c>
      <c r="M1964">
        <v>14.5</v>
      </c>
      <c r="P1964" t="s">
        <v>106</v>
      </c>
      <c r="Q1964" t="s">
        <v>106</v>
      </c>
      <c r="R1964" t="s">
        <v>106</v>
      </c>
      <c r="S1964" t="s">
        <v>106</v>
      </c>
      <c r="T1964" t="s">
        <v>1808</v>
      </c>
      <c r="U1964" t="s">
        <v>677</v>
      </c>
      <c r="V1964" t="s">
        <v>106</v>
      </c>
      <c r="W1964" t="s">
        <v>476</v>
      </c>
      <c r="X1964" t="s">
        <v>106</v>
      </c>
      <c r="Y1964" t="s">
        <v>108</v>
      </c>
      <c r="Z1964" t="s">
        <v>109</v>
      </c>
      <c r="AA1964" t="s">
        <v>106</v>
      </c>
      <c r="AB1964" t="s">
        <v>106</v>
      </c>
    </row>
    <row r="1965" spans="1:28" x14ac:dyDescent="0.3">
      <c r="A1965" t="s">
        <v>1486</v>
      </c>
      <c r="B1965">
        <v>2</v>
      </c>
      <c r="C1965">
        <v>15</v>
      </c>
      <c r="D1965">
        <v>268</v>
      </c>
      <c r="E1965" t="s">
        <v>128</v>
      </c>
      <c r="F1965" s="12">
        <v>45646</v>
      </c>
      <c r="G1965" t="s">
        <v>2142</v>
      </c>
      <c r="H1965" s="12">
        <v>45646</v>
      </c>
      <c r="I1965" t="s">
        <v>323</v>
      </c>
      <c r="J1965" t="s">
        <v>458</v>
      </c>
      <c r="K1965">
        <v>2</v>
      </c>
      <c r="L1965">
        <v>14.5</v>
      </c>
      <c r="M1965">
        <v>14.4</v>
      </c>
      <c r="P1965" t="s">
        <v>106</v>
      </c>
      <c r="Q1965" t="s">
        <v>106</v>
      </c>
      <c r="R1965" t="s">
        <v>106</v>
      </c>
      <c r="S1965" t="s">
        <v>106</v>
      </c>
      <c r="T1965" t="s">
        <v>1839</v>
      </c>
      <c r="U1965" t="s">
        <v>143</v>
      </c>
      <c r="V1965" t="s">
        <v>106</v>
      </c>
      <c r="W1965" t="s">
        <v>476</v>
      </c>
      <c r="X1965" t="s">
        <v>106</v>
      </c>
      <c r="Y1965" t="s">
        <v>108</v>
      </c>
      <c r="Z1965" t="s">
        <v>109</v>
      </c>
      <c r="AA1965" t="s">
        <v>106</v>
      </c>
      <c r="AB1965" t="s">
        <v>106</v>
      </c>
    </row>
    <row r="1966" spans="1:28" x14ac:dyDescent="0.3">
      <c r="A1966" t="s">
        <v>1486</v>
      </c>
      <c r="B1966">
        <v>2</v>
      </c>
      <c r="C1966">
        <v>15</v>
      </c>
      <c r="D1966">
        <v>255</v>
      </c>
      <c r="E1966" t="s">
        <v>128</v>
      </c>
      <c r="F1966" s="12">
        <v>45646</v>
      </c>
      <c r="G1966" t="s">
        <v>1865</v>
      </c>
      <c r="H1966" s="12">
        <v>45646</v>
      </c>
      <c r="I1966" t="s">
        <v>2143</v>
      </c>
      <c r="J1966" t="s">
        <v>458</v>
      </c>
      <c r="K1966">
        <v>2</v>
      </c>
      <c r="L1966">
        <v>13.4</v>
      </c>
      <c r="M1966">
        <v>13.4</v>
      </c>
      <c r="P1966" t="s">
        <v>106</v>
      </c>
      <c r="Q1966" t="s">
        <v>106</v>
      </c>
      <c r="R1966" t="s">
        <v>106</v>
      </c>
      <c r="S1966" t="s">
        <v>106</v>
      </c>
      <c r="T1966" t="s">
        <v>1808</v>
      </c>
      <c r="U1966" t="s">
        <v>630</v>
      </c>
      <c r="V1966" t="s">
        <v>106</v>
      </c>
      <c r="W1966" t="s">
        <v>476</v>
      </c>
      <c r="X1966" t="s">
        <v>106</v>
      </c>
      <c r="Y1966" t="s">
        <v>108</v>
      </c>
      <c r="Z1966" t="s">
        <v>109</v>
      </c>
      <c r="AA1966" t="s">
        <v>106</v>
      </c>
      <c r="AB1966" t="s">
        <v>106</v>
      </c>
    </row>
    <row r="1967" spans="1:28" x14ac:dyDescent="0.3">
      <c r="A1967" t="s">
        <v>1486</v>
      </c>
      <c r="B1967">
        <v>2</v>
      </c>
      <c r="C1967">
        <v>15</v>
      </c>
      <c r="D1967">
        <v>256</v>
      </c>
      <c r="E1967" t="s">
        <v>128</v>
      </c>
      <c r="F1967" s="12">
        <v>45646</v>
      </c>
      <c r="G1967" t="s">
        <v>517</v>
      </c>
      <c r="H1967" s="12">
        <v>45646</v>
      </c>
      <c r="I1967" t="s">
        <v>2143</v>
      </c>
      <c r="J1967" t="s">
        <v>458</v>
      </c>
      <c r="K1967">
        <v>2</v>
      </c>
      <c r="L1967">
        <v>14.5</v>
      </c>
      <c r="M1967">
        <v>14.6</v>
      </c>
      <c r="P1967" t="s">
        <v>106</v>
      </c>
      <c r="Q1967" t="s">
        <v>106</v>
      </c>
      <c r="R1967" t="s">
        <v>106</v>
      </c>
      <c r="S1967" t="s">
        <v>106</v>
      </c>
      <c r="T1967" t="s">
        <v>1959</v>
      </c>
      <c r="U1967" t="s">
        <v>620</v>
      </c>
      <c r="V1967" t="s">
        <v>106</v>
      </c>
      <c r="W1967" t="s">
        <v>476</v>
      </c>
      <c r="X1967" t="s">
        <v>106</v>
      </c>
      <c r="Y1967" t="s">
        <v>108</v>
      </c>
      <c r="Z1967" t="s">
        <v>109</v>
      </c>
      <c r="AA1967" t="s">
        <v>106</v>
      </c>
      <c r="AB1967" t="s">
        <v>106</v>
      </c>
    </row>
    <row r="1968" spans="1:28" x14ac:dyDescent="0.3">
      <c r="A1968" t="s">
        <v>1486</v>
      </c>
      <c r="B1968">
        <v>3</v>
      </c>
      <c r="C1968">
        <v>35</v>
      </c>
      <c r="D1968">
        <v>257</v>
      </c>
      <c r="E1968" t="s">
        <v>128</v>
      </c>
      <c r="F1968" s="12">
        <v>45646</v>
      </c>
      <c r="G1968" t="s">
        <v>2052</v>
      </c>
      <c r="H1968" s="12">
        <v>45646</v>
      </c>
      <c r="I1968" t="s">
        <v>2143</v>
      </c>
      <c r="J1968" t="s">
        <v>458</v>
      </c>
      <c r="K1968">
        <v>2</v>
      </c>
      <c r="L1968">
        <v>34.4</v>
      </c>
      <c r="M1968">
        <v>34.5</v>
      </c>
      <c r="P1968" t="s">
        <v>106</v>
      </c>
      <c r="Q1968" t="s">
        <v>106</v>
      </c>
      <c r="R1968" t="s">
        <v>106</v>
      </c>
      <c r="S1968" t="s">
        <v>106</v>
      </c>
      <c r="T1968" t="s">
        <v>1822</v>
      </c>
      <c r="U1968" t="s">
        <v>144</v>
      </c>
      <c r="V1968" t="s">
        <v>106</v>
      </c>
      <c r="W1968" t="s">
        <v>476</v>
      </c>
      <c r="X1968" t="s">
        <v>106</v>
      </c>
      <c r="Y1968" t="s">
        <v>108</v>
      </c>
      <c r="Z1968" t="s">
        <v>108</v>
      </c>
      <c r="AA1968" t="s">
        <v>106</v>
      </c>
      <c r="AB1968" t="s">
        <v>106</v>
      </c>
    </row>
    <row r="1969" spans="1:28" x14ac:dyDescent="0.3">
      <c r="A1969" t="s">
        <v>1486</v>
      </c>
      <c r="B1969">
        <v>3</v>
      </c>
      <c r="C1969">
        <v>35</v>
      </c>
      <c r="D1969">
        <v>258</v>
      </c>
      <c r="E1969" t="s">
        <v>128</v>
      </c>
      <c r="F1969" s="12">
        <v>45646</v>
      </c>
      <c r="G1969" t="s">
        <v>1406</v>
      </c>
      <c r="H1969" s="12">
        <v>45646</v>
      </c>
      <c r="I1969" t="s">
        <v>2143</v>
      </c>
      <c r="J1969" t="s">
        <v>458</v>
      </c>
      <c r="K1969">
        <v>2</v>
      </c>
      <c r="L1969">
        <v>37.9</v>
      </c>
      <c r="M1969">
        <v>37.799999999999997</v>
      </c>
      <c r="P1969" t="s">
        <v>106</v>
      </c>
      <c r="Q1969" t="s">
        <v>106</v>
      </c>
      <c r="R1969" t="s">
        <v>106</v>
      </c>
      <c r="S1969" t="s">
        <v>106</v>
      </c>
      <c r="T1969" t="s">
        <v>934</v>
      </c>
      <c r="U1969" t="s">
        <v>630</v>
      </c>
      <c r="V1969" t="s">
        <v>106</v>
      </c>
      <c r="W1969" t="s">
        <v>476</v>
      </c>
      <c r="X1969" t="s">
        <v>106</v>
      </c>
      <c r="Y1969" t="s">
        <v>108</v>
      </c>
      <c r="Z1969" t="s">
        <v>108</v>
      </c>
      <c r="AA1969" t="s">
        <v>106</v>
      </c>
      <c r="AB1969" t="s">
        <v>106</v>
      </c>
    </row>
    <row r="1970" spans="1:28" x14ac:dyDescent="0.3">
      <c r="A1970" t="s">
        <v>1486</v>
      </c>
      <c r="B1970">
        <v>3</v>
      </c>
      <c r="C1970">
        <v>35</v>
      </c>
      <c r="D1970">
        <v>263</v>
      </c>
      <c r="E1970" t="s">
        <v>128</v>
      </c>
      <c r="F1970" s="12">
        <v>45646</v>
      </c>
      <c r="G1970" t="s">
        <v>1028</v>
      </c>
      <c r="H1970" s="12">
        <v>45646</v>
      </c>
      <c r="I1970" t="s">
        <v>2141</v>
      </c>
      <c r="J1970" t="s">
        <v>458</v>
      </c>
      <c r="K1970">
        <v>2</v>
      </c>
      <c r="L1970">
        <v>33.9</v>
      </c>
      <c r="M1970">
        <v>33.9</v>
      </c>
      <c r="P1970" t="s">
        <v>106</v>
      </c>
      <c r="Q1970" t="s">
        <v>106</v>
      </c>
      <c r="R1970" t="s">
        <v>106</v>
      </c>
      <c r="S1970" t="s">
        <v>106</v>
      </c>
      <c r="T1970" t="s">
        <v>1386</v>
      </c>
      <c r="U1970" t="s">
        <v>450</v>
      </c>
      <c r="V1970" t="s">
        <v>106</v>
      </c>
      <c r="W1970" t="s">
        <v>476</v>
      </c>
      <c r="X1970" t="s">
        <v>106</v>
      </c>
      <c r="Y1970" t="s">
        <v>108</v>
      </c>
      <c r="Z1970" t="s">
        <v>108</v>
      </c>
      <c r="AA1970" t="s">
        <v>106</v>
      </c>
      <c r="AB1970" t="s">
        <v>106</v>
      </c>
    </row>
    <row r="1971" spans="1:28" x14ac:dyDescent="0.3">
      <c r="A1971" t="s">
        <v>1486</v>
      </c>
      <c r="B1971">
        <v>3</v>
      </c>
      <c r="C1971">
        <v>35</v>
      </c>
      <c r="D1971">
        <v>264</v>
      </c>
      <c r="E1971" t="s">
        <v>128</v>
      </c>
      <c r="F1971" s="12">
        <v>45646</v>
      </c>
      <c r="G1971" t="s">
        <v>1031</v>
      </c>
      <c r="H1971" s="12">
        <v>45646</v>
      </c>
      <c r="I1971" t="s">
        <v>2141</v>
      </c>
      <c r="J1971" t="s">
        <v>458</v>
      </c>
      <c r="K1971">
        <v>2</v>
      </c>
      <c r="L1971">
        <v>35.4</v>
      </c>
      <c r="M1971">
        <v>35.6</v>
      </c>
      <c r="P1971" t="s">
        <v>106</v>
      </c>
      <c r="Q1971" t="s">
        <v>106</v>
      </c>
      <c r="R1971" t="s">
        <v>106</v>
      </c>
      <c r="S1971" t="s">
        <v>106</v>
      </c>
      <c r="T1971" t="s">
        <v>1804</v>
      </c>
      <c r="U1971" t="s">
        <v>867</v>
      </c>
      <c r="V1971" t="s">
        <v>106</v>
      </c>
      <c r="W1971" t="s">
        <v>476</v>
      </c>
      <c r="X1971" t="s">
        <v>106</v>
      </c>
      <c r="Y1971" t="s">
        <v>108</v>
      </c>
      <c r="Z1971" t="s">
        <v>108</v>
      </c>
      <c r="AA1971" t="s">
        <v>106</v>
      </c>
      <c r="AB1971" t="s">
        <v>106</v>
      </c>
    </row>
    <row r="1972" spans="1:28" x14ac:dyDescent="0.3">
      <c r="A1972" t="s">
        <v>1486</v>
      </c>
      <c r="B1972">
        <v>3</v>
      </c>
      <c r="C1972">
        <v>35</v>
      </c>
      <c r="D1972">
        <v>265</v>
      </c>
      <c r="E1972" t="s">
        <v>128</v>
      </c>
      <c r="F1972" s="12">
        <v>45646</v>
      </c>
      <c r="G1972" t="s">
        <v>2535</v>
      </c>
      <c r="H1972" s="12">
        <v>45646</v>
      </c>
      <c r="I1972" t="s">
        <v>323</v>
      </c>
      <c r="J1972" t="s">
        <v>458</v>
      </c>
      <c r="K1972">
        <v>2</v>
      </c>
      <c r="L1972">
        <v>33.299999999999997</v>
      </c>
      <c r="M1972">
        <v>32.9</v>
      </c>
      <c r="P1972" t="s">
        <v>106</v>
      </c>
      <c r="Q1972" t="s">
        <v>106</v>
      </c>
      <c r="R1972" t="s">
        <v>106</v>
      </c>
      <c r="S1972" t="s">
        <v>106</v>
      </c>
      <c r="T1972" t="s">
        <v>1796</v>
      </c>
      <c r="U1972" t="s">
        <v>144</v>
      </c>
      <c r="V1972" t="s">
        <v>106</v>
      </c>
      <c r="W1972" t="s">
        <v>476</v>
      </c>
      <c r="X1972" t="s">
        <v>106</v>
      </c>
      <c r="Y1972" t="s">
        <v>108</v>
      </c>
      <c r="Z1972" t="s">
        <v>108</v>
      </c>
      <c r="AA1972" t="s">
        <v>106</v>
      </c>
      <c r="AB1972" t="s">
        <v>106</v>
      </c>
    </row>
    <row r="1973" spans="1:28" x14ac:dyDescent="0.3">
      <c r="A1973" t="s">
        <v>1486</v>
      </c>
      <c r="B1973">
        <v>3</v>
      </c>
      <c r="C1973">
        <v>35</v>
      </c>
      <c r="D1973">
        <v>266</v>
      </c>
      <c r="E1973" t="s">
        <v>128</v>
      </c>
      <c r="F1973" s="12">
        <v>45646</v>
      </c>
      <c r="G1973" t="s">
        <v>2140</v>
      </c>
      <c r="H1973" s="12">
        <v>45646</v>
      </c>
      <c r="I1973" t="s">
        <v>323</v>
      </c>
      <c r="J1973" t="s">
        <v>458</v>
      </c>
      <c r="K1973">
        <v>2</v>
      </c>
      <c r="L1973">
        <v>33</v>
      </c>
      <c r="M1973">
        <v>33.4</v>
      </c>
      <c r="P1973" t="s">
        <v>106</v>
      </c>
      <c r="Q1973" t="s">
        <v>106</v>
      </c>
      <c r="R1973" t="s">
        <v>106</v>
      </c>
      <c r="S1973" t="s">
        <v>106</v>
      </c>
      <c r="T1973" t="s">
        <v>1459</v>
      </c>
      <c r="U1973" t="s">
        <v>444</v>
      </c>
      <c r="V1973" t="s">
        <v>106</v>
      </c>
      <c r="W1973" t="s">
        <v>476</v>
      </c>
      <c r="X1973" t="s">
        <v>106</v>
      </c>
      <c r="Y1973" t="s">
        <v>108</v>
      </c>
      <c r="Z1973" t="s">
        <v>108</v>
      </c>
      <c r="AA1973" t="s">
        <v>106</v>
      </c>
      <c r="AB1973" t="s">
        <v>106</v>
      </c>
    </row>
    <row r="1974" spans="1:28" x14ac:dyDescent="0.3">
      <c r="A1974" t="s">
        <v>1486</v>
      </c>
      <c r="B1974">
        <v>4</v>
      </c>
      <c r="C1974">
        <v>60</v>
      </c>
      <c r="D1974">
        <v>270</v>
      </c>
      <c r="E1974" t="s">
        <v>128</v>
      </c>
      <c r="F1974" s="12">
        <v>45646</v>
      </c>
      <c r="G1974" t="s">
        <v>1199</v>
      </c>
      <c r="H1974" s="12">
        <v>45646</v>
      </c>
      <c r="I1974" t="s">
        <v>323</v>
      </c>
      <c r="J1974" t="s">
        <v>458</v>
      </c>
      <c r="K1974">
        <v>2</v>
      </c>
      <c r="L1974">
        <v>59.5</v>
      </c>
      <c r="M1974">
        <v>59.4</v>
      </c>
      <c r="P1974" t="s">
        <v>106</v>
      </c>
      <c r="Q1974" t="s">
        <v>106</v>
      </c>
      <c r="R1974" t="s">
        <v>106</v>
      </c>
      <c r="S1974" t="s">
        <v>106</v>
      </c>
      <c r="T1974" t="s">
        <v>1458</v>
      </c>
      <c r="U1974" t="s">
        <v>630</v>
      </c>
      <c r="V1974" t="s">
        <v>106</v>
      </c>
      <c r="W1974" t="s">
        <v>476</v>
      </c>
      <c r="X1974" t="s">
        <v>106</v>
      </c>
      <c r="Y1974" t="s">
        <v>108</v>
      </c>
      <c r="Z1974" t="s">
        <v>104</v>
      </c>
      <c r="AA1974" t="s">
        <v>106</v>
      </c>
      <c r="AB1974" t="s">
        <v>106</v>
      </c>
    </row>
    <row r="1975" spans="1:28" x14ac:dyDescent="0.3">
      <c r="A1975" t="s">
        <v>1486</v>
      </c>
      <c r="B1975">
        <v>4</v>
      </c>
      <c r="C1975">
        <v>60</v>
      </c>
      <c r="D1975">
        <v>260</v>
      </c>
      <c r="E1975" t="s">
        <v>128</v>
      </c>
      <c r="F1975" s="12">
        <v>45646</v>
      </c>
      <c r="G1975" t="s">
        <v>2112</v>
      </c>
      <c r="H1975" s="12">
        <v>45646</v>
      </c>
      <c r="I1975" t="s">
        <v>2141</v>
      </c>
      <c r="J1975" t="s">
        <v>458</v>
      </c>
      <c r="K1975">
        <v>2</v>
      </c>
      <c r="L1975">
        <v>56.1</v>
      </c>
      <c r="M1975">
        <v>56.1</v>
      </c>
      <c r="P1975" t="s">
        <v>106</v>
      </c>
      <c r="Q1975" t="s">
        <v>106</v>
      </c>
      <c r="R1975" t="s">
        <v>106</v>
      </c>
      <c r="S1975" t="s">
        <v>106</v>
      </c>
      <c r="T1975" t="s">
        <v>1393</v>
      </c>
      <c r="U1975" t="s">
        <v>145</v>
      </c>
      <c r="V1975" t="s">
        <v>106</v>
      </c>
      <c r="W1975" t="s">
        <v>476</v>
      </c>
      <c r="X1975" t="s">
        <v>106</v>
      </c>
      <c r="Y1975" t="s">
        <v>108</v>
      </c>
      <c r="Z1975" t="s">
        <v>104</v>
      </c>
      <c r="AA1975" t="s">
        <v>106</v>
      </c>
      <c r="AB1975" t="s">
        <v>106</v>
      </c>
    </row>
    <row r="1976" spans="1:28" x14ac:dyDescent="0.3">
      <c r="A1976" t="s">
        <v>1486</v>
      </c>
      <c r="B1976">
        <v>4</v>
      </c>
      <c r="C1976">
        <v>60</v>
      </c>
      <c r="D1976">
        <v>259</v>
      </c>
      <c r="E1976" t="s">
        <v>128</v>
      </c>
      <c r="F1976" s="12">
        <v>45646</v>
      </c>
      <c r="G1976" t="s">
        <v>1575</v>
      </c>
      <c r="H1976" s="12">
        <v>45646</v>
      </c>
      <c r="I1976" t="s">
        <v>2141</v>
      </c>
      <c r="J1976" t="s">
        <v>458</v>
      </c>
      <c r="K1976">
        <v>2</v>
      </c>
      <c r="L1976">
        <v>55.4</v>
      </c>
      <c r="M1976">
        <v>55.2</v>
      </c>
      <c r="P1976" t="s">
        <v>106</v>
      </c>
      <c r="Q1976" t="s">
        <v>106</v>
      </c>
      <c r="R1976" t="s">
        <v>106</v>
      </c>
      <c r="S1976" t="s">
        <v>106</v>
      </c>
      <c r="T1976" t="s">
        <v>1951</v>
      </c>
      <c r="U1976" t="s">
        <v>382</v>
      </c>
      <c r="V1976" t="s">
        <v>106</v>
      </c>
      <c r="W1976" t="s">
        <v>476</v>
      </c>
      <c r="X1976" t="s">
        <v>106</v>
      </c>
      <c r="Y1976" t="s">
        <v>108</v>
      </c>
      <c r="Z1976" t="s">
        <v>104</v>
      </c>
      <c r="AA1976" t="s">
        <v>106</v>
      </c>
      <c r="AB1976" t="s">
        <v>106</v>
      </c>
    </row>
    <row r="1977" spans="1:28" x14ac:dyDescent="0.3">
      <c r="A1977" t="s">
        <v>1486</v>
      </c>
      <c r="B1977">
        <v>4</v>
      </c>
      <c r="C1977">
        <v>60</v>
      </c>
      <c r="D1977">
        <v>254</v>
      </c>
      <c r="E1977" t="s">
        <v>128</v>
      </c>
      <c r="F1977" s="12">
        <v>45646</v>
      </c>
      <c r="G1977" t="s">
        <v>2522</v>
      </c>
      <c r="H1977" s="12">
        <v>45646</v>
      </c>
      <c r="I1977" t="s">
        <v>2143</v>
      </c>
      <c r="J1977" t="s">
        <v>458</v>
      </c>
      <c r="K1977">
        <v>2</v>
      </c>
      <c r="L1977">
        <v>55.2</v>
      </c>
      <c r="M1977">
        <v>54.8</v>
      </c>
      <c r="P1977" t="s">
        <v>106</v>
      </c>
      <c r="Q1977" t="s">
        <v>106</v>
      </c>
      <c r="R1977" t="s">
        <v>106</v>
      </c>
      <c r="S1977" t="s">
        <v>106</v>
      </c>
      <c r="T1977" t="s">
        <v>1403</v>
      </c>
      <c r="U1977" t="s">
        <v>532</v>
      </c>
      <c r="V1977" t="s">
        <v>106</v>
      </c>
      <c r="W1977" t="s">
        <v>476</v>
      </c>
      <c r="X1977" t="s">
        <v>106</v>
      </c>
      <c r="Y1977" t="s">
        <v>108</v>
      </c>
      <c r="Z1977" t="s">
        <v>104</v>
      </c>
      <c r="AA1977" t="s">
        <v>106</v>
      </c>
      <c r="AB1977" t="s">
        <v>106</v>
      </c>
    </row>
    <row r="1978" spans="1:28" x14ac:dyDescent="0.3">
      <c r="A1978" t="s">
        <v>1486</v>
      </c>
      <c r="B1978">
        <v>4</v>
      </c>
      <c r="C1978">
        <v>60</v>
      </c>
      <c r="D1978">
        <v>269</v>
      </c>
      <c r="E1978" t="s">
        <v>128</v>
      </c>
      <c r="F1978" s="12">
        <v>45646</v>
      </c>
      <c r="G1978" t="s">
        <v>2105</v>
      </c>
      <c r="H1978" s="12">
        <v>45646</v>
      </c>
      <c r="I1978" t="s">
        <v>323</v>
      </c>
      <c r="J1978" t="s">
        <v>458</v>
      </c>
      <c r="K1978">
        <v>2</v>
      </c>
      <c r="L1978">
        <v>56.2</v>
      </c>
      <c r="M1978">
        <v>56.3</v>
      </c>
      <c r="P1978" t="s">
        <v>106</v>
      </c>
      <c r="Q1978" t="s">
        <v>106</v>
      </c>
      <c r="R1978" t="s">
        <v>106</v>
      </c>
      <c r="S1978" t="s">
        <v>106</v>
      </c>
      <c r="T1978" t="s">
        <v>1400</v>
      </c>
      <c r="U1978" t="s">
        <v>630</v>
      </c>
      <c r="V1978" t="s">
        <v>106</v>
      </c>
      <c r="W1978" t="s">
        <v>476</v>
      </c>
      <c r="X1978" t="s">
        <v>106</v>
      </c>
      <c r="Y1978" t="s">
        <v>108</v>
      </c>
      <c r="Z1978" t="s">
        <v>104</v>
      </c>
      <c r="AA1978" t="s">
        <v>106</v>
      </c>
      <c r="AB1978" t="s">
        <v>106</v>
      </c>
    </row>
    <row r="1979" spans="1:28" x14ac:dyDescent="0.3">
      <c r="A1979" t="s">
        <v>1486</v>
      </c>
      <c r="B1979">
        <v>4</v>
      </c>
      <c r="C1979">
        <v>60</v>
      </c>
      <c r="D1979">
        <v>253</v>
      </c>
      <c r="E1979" t="s">
        <v>128</v>
      </c>
      <c r="F1979" s="12">
        <v>45646</v>
      </c>
      <c r="G1979" t="s">
        <v>2198</v>
      </c>
      <c r="H1979" s="12">
        <v>45646</v>
      </c>
      <c r="I1979" t="s">
        <v>2143</v>
      </c>
      <c r="J1979" t="s">
        <v>458</v>
      </c>
      <c r="K1979">
        <v>2</v>
      </c>
      <c r="L1979">
        <v>60.2</v>
      </c>
      <c r="M1979">
        <v>59.9</v>
      </c>
      <c r="P1979" t="s">
        <v>106</v>
      </c>
      <c r="Q1979" t="s">
        <v>106</v>
      </c>
      <c r="R1979" t="s">
        <v>106</v>
      </c>
      <c r="S1979" t="s">
        <v>106</v>
      </c>
      <c r="T1979" t="s">
        <v>1876</v>
      </c>
      <c r="U1979" t="s">
        <v>369</v>
      </c>
      <c r="V1979" t="s">
        <v>106</v>
      </c>
      <c r="W1979" t="s">
        <v>476</v>
      </c>
      <c r="X1979" t="s">
        <v>106</v>
      </c>
      <c r="Y1979" t="s">
        <v>108</v>
      </c>
      <c r="Z1979" t="s">
        <v>104</v>
      </c>
      <c r="AA1979" t="s">
        <v>106</v>
      </c>
      <c r="AB1979" t="s">
        <v>106</v>
      </c>
    </row>
    <row r="1980" spans="1:28" x14ac:dyDescent="0.3">
      <c r="A1980" t="s">
        <v>1512</v>
      </c>
      <c r="B1980">
        <v>1</v>
      </c>
      <c r="C1980">
        <v>0</v>
      </c>
      <c r="D1980">
        <v>12</v>
      </c>
      <c r="E1980" t="s">
        <v>110</v>
      </c>
      <c r="F1980" s="12">
        <v>45672</v>
      </c>
      <c r="G1980" t="s">
        <v>309</v>
      </c>
      <c r="H1980" s="12">
        <v>45672</v>
      </c>
      <c r="I1980" t="s">
        <v>1513</v>
      </c>
      <c r="J1980" t="s">
        <v>425</v>
      </c>
      <c r="L1980">
        <v>0</v>
      </c>
      <c r="P1980" t="s">
        <v>106</v>
      </c>
      <c r="Q1980" t="s">
        <v>106</v>
      </c>
      <c r="R1980" t="s">
        <v>106</v>
      </c>
      <c r="S1980" t="s">
        <v>1514</v>
      </c>
      <c r="T1980" t="s">
        <v>1515</v>
      </c>
      <c r="U1980" t="s">
        <v>106</v>
      </c>
      <c r="V1980" t="s">
        <v>106</v>
      </c>
      <c r="W1980" t="s">
        <v>557</v>
      </c>
      <c r="X1980" t="s">
        <v>106</v>
      </c>
      <c r="Y1980" t="s">
        <v>108</v>
      </c>
      <c r="Z1980" t="s">
        <v>105</v>
      </c>
      <c r="AA1980" t="s">
        <v>106</v>
      </c>
      <c r="AB1980" t="s">
        <v>106</v>
      </c>
    </row>
    <row r="1981" spans="1:28" x14ac:dyDescent="0.3">
      <c r="A1981" t="s">
        <v>1512</v>
      </c>
      <c r="B1981">
        <v>1</v>
      </c>
      <c r="C1981">
        <v>0</v>
      </c>
      <c r="D1981">
        <v>11</v>
      </c>
      <c r="E1981" t="s">
        <v>110</v>
      </c>
      <c r="F1981" s="12">
        <v>45672</v>
      </c>
      <c r="G1981" t="s">
        <v>437</v>
      </c>
      <c r="H1981" s="12">
        <v>45672</v>
      </c>
      <c r="I1981" t="s">
        <v>1513</v>
      </c>
      <c r="J1981" t="s">
        <v>425</v>
      </c>
      <c r="L1981">
        <v>0</v>
      </c>
      <c r="P1981" t="s">
        <v>106</v>
      </c>
      <c r="Q1981" t="s">
        <v>106</v>
      </c>
      <c r="R1981" t="s">
        <v>106</v>
      </c>
      <c r="S1981" t="s">
        <v>106</v>
      </c>
      <c r="T1981" t="s">
        <v>874</v>
      </c>
      <c r="U1981" t="s">
        <v>106</v>
      </c>
      <c r="V1981" t="s">
        <v>106</v>
      </c>
      <c r="W1981" t="s">
        <v>557</v>
      </c>
      <c r="X1981" t="s">
        <v>106</v>
      </c>
      <c r="Y1981" t="s">
        <v>108</v>
      </c>
      <c r="Z1981" t="s">
        <v>105</v>
      </c>
      <c r="AA1981" t="s">
        <v>106</v>
      </c>
      <c r="AB1981" t="s">
        <v>106</v>
      </c>
    </row>
    <row r="1982" spans="1:28" x14ac:dyDescent="0.3">
      <c r="A1982" t="s">
        <v>1512</v>
      </c>
      <c r="B1982">
        <v>1</v>
      </c>
      <c r="C1982">
        <v>0</v>
      </c>
      <c r="D1982">
        <v>4</v>
      </c>
      <c r="E1982" t="s">
        <v>308</v>
      </c>
      <c r="F1982" s="12">
        <v>45672</v>
      </c>
      <c r="G1982" t="s">
        <v>363</v>
      </c>
      <c r="H1982" s="12">
        <v>45672</v>
      </c>
      <c r="I1982" t="s">
        <v>1513</v>
      </c>
      <c r="J1982" t="s">
        <v>425</v>
      </c>
      <c r="L1982">
        <v>0</v>
      </c>
      <c r="P1982" t="s">
        <v>106</v>
      </c>
      <c r="Q1982" t="s">
        <v>106</v>
      </c>
      <c r="R1982" t="s">
        <v>106</v>
      </c>
      <c r="S1982" t="s">
        <v>106</v>
      </c>
      <c r="T1982" t="s">
        <v>1155</v>
      </c>
      <c r="U1982" t="s">
        <v>106</v>
      </c>
      <c r="V1982" t="s">
        <v>106</v>
      </c>
      <c r="W1982" t="s">
        <v>557</v>
      </c>
      <c r="X1982" t="s">
        <v>106</v>
      </c>
      <c r="Y1982" t="s">
        <v>108</v>
      </c>
      <c r="Z1982" t="s">
        <v>105</v>
      </c>
      <c r="AA1982" t="s">
        <v>106</v>
      </c>
      <c r="AB1982" t="s">
        <v>106</v>
      </c>
    </row>
    <row r="1983" spans="1:28" x14ac:dyDescent="0.3">
      <c r="A1983" t="s">
        <v>1512</v>
      </c>
      <c r="B1983">
        <v>2</v>
      </c>
      <c r="C1983">
        <v>15</v>
      </c>
      <c r="D1983">
        <v>5</v>
      </c>
      <c r="E1983" t="s">
        <v>110</v>
      </c>
      <c r="F1983" s="12">
        <v>45672</v>
      </c>
      <c r="G1983" t="s">
        <v>1655</v>
      </c>
      <c r="H1983" s="12">
        <v>45672</v>
      </c>
      <c r="I1983" t="s">
        <v>1513</v>
      </c>
      <c r="J1983" t="s">
        <v>425</v>
      </c>
      <c r="L1983">
        <v>16.899999999999999</v>
      </c>
      <c r="P1983" t="s">
        <v>106</v>
      </c>
      <c r="Q1983" t="s">
        <v>106</v>
      </c>
      <c r="R1983" t="s">
        <v>106</v>
      </c>
      <c r="S1983" t="s">
        <v>106</v>
      </c>
      <c r="T1983" t="s">
        <v>2048</v>
      </c>
      <c r="U1983" t="s">
        <v>106</v>
      </c>
      <c r="V1983" t="s">
        <v>106</v>
      </c>
      <c r="W1983" t="s">
        <v>557</v>
      </c>
      <c r="X1983" t="s">
        <v>106</v>
      </c>
      <c r="Y1983" t="s">
        <v>108</v>
      </c>
      <c r="Z1983" t="s">
        <v>109</v>
      </c>
      <c r="AA1983" t="s">
        <v>106</v>
      </c>
      <c r="AB1983" t="s">
        <v>106</v>
      </c>
    </row>
    <row r="1984" spans="1:28" x14ac:dyDescent="0.3">
      <c r="A1984" t="s">
        <v>1512</v>
      </c>
      <c r="B1984">
        <v>2</v>
      </c>
      <c r="C1984">
        <v>15</v>
      </c>
      <c r="D1984">
        <v>6</v>
      </c>
      <c r="E1984" t="s">
        <v>110</v>
      </c>
      <c r="F1984" s="12">
        <v>45672</v>
      </c>
      <c r="G1984" t="s">
        <v>386</v>
      </c>
      <c r="H1984" s="12">
        <v>45672</v>
      </c>
      <c r="I1984" t="s">
        <v>1513</v>
      </c>
      <c r="J1984" t="s">
        <v>425</v>
      </c>
      <c r="L1984">
        <v>17.600000000000001</v>
      </c>
      <c r="P1984" t="s">
        <v>106</v>
      </c>
      <c r="Q1984" t="s">
        <v>106</v>
      </c>
      <c r="R1984" t="s">
        <v>106</v>
      </c>
      <c r="S1984" t="s">
        <v>2144</v>
      </c>
      <c r="T1984" t="s">
        <v>659</v>
      </c>
      <c r="U1984" t="s">
        <v>106</v>
      </c>
      <c r="V1984" t="s">
        <v>106</v>
      </c>
      <c r="W1984" t="s">
        <v>557</v>
      </c>
      <c r="X1984" t="s">
        <v>106</v>
      </c>
      <c r="Y1984" t="s">
        <v>108</v>
      </c>
      <c r="Z1984" t="s">
        <v>109</v>
      </c>
      <c r="AA1984" t="s">
        <v>106</v>
      </c>
      <c r="AB1984" t="s">
        <v>106</v>
      </c>
    </row>
    <row r="1985" spans="1:28" x14ac:dyDescent="0.3">
      <c r="A1985" t="s">
        <v>1512</v>
      </c>
      <c r="B1985">
        <v>2</v>
      </c>
      <c r="C1985">
        <v>15</v>
      </c>
      <c r="D1985">
        <v>2</v>
      </c>
      <c r="E1985" t="s">
        <v>308</v>
      </c>
      <c r="F1985" s="12">
        <v>45672</v>
      </c>
      <c r="G1985" t="s">
        <v>1071</v>
      </c>
      <c r="H1985" s="12">
        <v>45672</v>
      </c>
      <c r="I1985" t="s">
        <v>1513</v>
      </c>
      <c r="J1985" t="s">
        <v>425</v>
      </c>
      <c r="L1985">
        <v>15.5</v>
      </c>
      <c r="P1985" t="s">
        <v>106</v>
      </c>
      <c r="Q1985" t="s">
        <v>106</v>
      </c>
      <c r="R1985" t="s">
        <v>106</v>
      </c>
      <c r="S1985" t="s">
        <v>106</v>
      </c>
      <c r="T1985" t="s">
        <v>1555</v>
      </c>
      <c r="U1985" t="s">
        <v>106</v>
      </c>
      <c r="V1985" t="s">
        <v>106</v>
      </c>
      <c r="W1985" t="s">
        <v>557</v>
      </c>
      <c r="X1985" t="s">
        <v>106</v>
      </c>
      <c r="Y1985" t="s">
        <v>108</v>
      </c>
      <c r="Z1985" t="s">
        <v>109</v>
      </c>
      <c r="AA1985" t="s">
        <v>106</v>
      </c>
      <c r="AB1985" t="s">
        <v>106</v>
      </c>
    </row>
    <row r="1986" spans="1:28" x14ac:dyDescent="0.3">
      <c r="A1986" t="s">
        <v>1512</v>
      </c>
      <c r="B1986">
        <v>3</v>
      </c>
      <c r="C1986">
        <v>35</v>
      </c>
      <c r="D1986">
        <v>8</v>
      </c>
      <c r="E1986" t="s">
        <v>110</v>
      </c>
      <c r="F1986" s="12">
        <v>45672</v>
      </c>
      <c r="G1986" t="s">
        <v>675</v>
      </c>
      <c r="H1986" s="12">
        <v>45672</v>
      </c>
      <c r="I1986" t="s">
        <v>1513</v>
      </c>
      <c r="J1986" t="s">
        <v>425</v>
      </c>
      <c r="L1986">
        <v>38.700000000000003</v>
      </c>
      <c r="P1986" t="s">
        <v>106</v>
      </c>
      <c r="Q1986" t="s">
        <v>106</v>
      </c>
      <c r="R1986" t="s">
        <v>106</v>
      </c>
      <c r="S1986" t="s">
        <v>2370</v>
      </c>
      <c r="T1986" t="s">
        <v>1372</v>
      </c>
      <c r="U1986" t="s">
        <v>106</v>
      </c>
      <c r="V1986" t="s">
        <v>106</v>
      </c>
      <c r="W1986" t="s">
        <v>557</v>
      </c>
      <c r="X1986" t="s">
        <v>106</v>
      </c>
      <c r="Y1986" t="s">
        <v>108</v>
      </c>
      <c r="Z1986" t="s">
        <v>108</v>
      </c>
      <c r="AA1986" t="s">
        <v>106</v>
      </c>
      <c r="AB1986" t="s">
        <v>106</v>
      </c>
    </row>
    <row r="1987" spans="1:28" x14ac:dyDescent="0.3">
      <c r="A1987" t="s">
        <v>1512</v>
      </c>
      <c r="B1987">
        <v>3</v>
      </c>
      <c r="C1987">
        <v>35</v>
      </c>
      <c r="D1987">
        <v>7</v>
      </c>
      <c r="E1987" t="s">
        <v>110</v>
      </c>
      <c r="F1987" s="12">
        <v>45672</v>
      </c>
      <c r="G1987" t="s">
        <v>393</v>
      </c>
      <c r="H1987" s="12">
        <v>45672</v>
      </c>
      <c r="I1987" t="s">
        <v>1513</v>
      </c>
      <c r="J1987" t="s">
        <v>425</v>
      </c>
      <c r="L1987">
        <v>38.200000000000003</v>
      </c>
      <c r="P1987" t="s">
        <v>106</v>
      </c>
      <c r="Q1987" t="s">
        <v>106</v>
      </c>
      <c r="R1987" t="s">
        <v>106</v>
      </c>
      <c r="S1987" t="s">
        <v>106</v>
      </c>
      <c r="T1987" t="s">
        <v>1000</v>
      </c>
      <c r="U1987" t="s">
        <v>106</v>
      </c>
      <c r="V1987" t="s">
        <v>106</v>
      </c>
      <c r="W1987" t="s">
        <v>557</v>
      </c>
      <c r="X1987" t="s">
        <v>106</v>
      </c>
      <c r="Y1987" t="s">
        <v>108</v>
      </c>
      <c r="Z1987" t="s">
        <v>108</v>
      </c>
      <c r="AA1987" t="s">
        <v>106</v>
      </c>
      <c r="AB1987" t="s">
        <v>106</v>
      </c>
    </row>
    <row r="1988" spans="1:28" x14ac:dyDescent="0.3">
      <c r="A1988" t="s">
        <v>1512</v>
      </c>
      <c r="B1988">
        <v>3</v>
      </c>
      <c r="C1988">
        <v>35</v>
      </c>
      <c r="D1988">
        <v>1</v>
      </c>
      <c r="E1988" t="s">
        <v>308</v>
      </c>
      <c r="F1988" s="12">
        <v>45672</v>
      </c>
      <c r="G1988" t="s">
        <v>142</v>
      </c>
      <c r="H1988" s="12">
        <v>45672</v>
      </c>
      <c r="I1988" t="s">
        <v>1513</v>
      </c>
      <c r="J1988" t="s">
        <v>425</v>
      </c>
      <c r="L1988">
        <v>34.799999999999997</v>
      </c>
      <c r="P1988" t="s">
        <v>106</v>
      </c>
      <c r="Q1988" t="s">
        <v>106</v>
      </c>
      <c r="R1988" t="s">
        <v>106</v>
      </c>
      <c r="S1988" t="s">
        <v>106</v>
      </c>
      <c r="T1988" t="s">
        <v>760</v>
      </c>
      <c r="U1988" t="s">
        <v>106</v>
      </c>
      <c r="V1988" t="s">
        <v>106</v>
      </c>
      <c r="W1988" t="s">
        <v>557</v>
      </c>
      <c r="X1988" t="s">
        <v>106</v>
      </c>
      <c r="Y1988" t="s">
        <v>108</v>
      </c>
      <c r="Z1988" t="s">
        <v>108</v>
      </c>
      <c r="AA1988" t="s">
        <v>106</v>
      </c>
      <c r="AB1988" t="s">
        <v>106</v>
      </c>
    </row>
    <row r="1989" spans="1:28" x14ac:dyDescent="0.3">
      <c r="A1989" t="s">
        <v>1512</v>
      </c>
      <c r="B1989">
        <v>4</v>
      </c>
      <c r="C1989">
        <v>60</v>
      </c>
      <c r="D1989">
        <v>3</v>
      </c>
      <c r="E1989" t="s">
        <v>308</v>
      </c>
      <c r="F1989" s="12">
        <v>45672</v>
      </c>
      <c r="G1989" t="s">
        <v>742</v>
      </c>
      <c r="H1989" s="12">
        <v>45672</v>
      </c>
      <c r="I1989" t="s">
        <v>1513</v>
      </c>
      <c r="J1989" t="s">
        <v>425</v>
      </c>
      <c r="L1989">
        <v>55.5</v>
      </c>
      <c r="P1989" t="s">
        <v>106</v>
      </c>
      <c r="Q1989" t="s">
        <v>106</v>
      </c>
      <c r="R1989" t="s">
        <v>106</v>
      </c>
      <c r="S1989" t="s">
        <v>106</v>
      </c>
      <c r="T1989" t="s">
        <v>1791</v>
      </c>
      <c r="U1989" t="s">
        <v>106</v>
      </c>
      <c r="V1989" t="s">
        <v>106</v>
      </c>
      <c r="W1989" t="s">
        <v>557</v>
      </c>
      <c r="X1989" t="s">
        <v>106</v>
      </c>
      <c r="Y1989" t="s">
        <v>108</v>
      </c>
      <c r="Z1989" t="s">
        <v>104</v>
      </c>
      <c r="AA1989" t="s">
        <v>106</v>
      </c>
      <c r="AB1989" t="s">
        <v>2726</v>
      </c>
    </row>
    <row r="1990" spans="1:28" x14ac:dyDescent="0.3">
      <c r="A1990" t="s">
        <v>1512</v>
      </c>
      <c r="B1990">
        <v>4</v>
      </c>
      <c r="C1990">
        <v>60</v>
      </c>
      <c r="D1990">
        <v>10</v>
      </c>
      <c r="E1990" t="s">
        <v>110</v>
      </c>
      <c r="F1990" s="12">
        <v>45672</v>
      </c>
      <c r="G1990" t="s">
        <v>326</v>
      </c>
      <c r="H1990" s="12">
        <v>45672</v>
      </c>
      <c r="I1990" t="s">
        <v>1513</v>
      </c>
      <c r="J1990" t="s">
        <v>425</v>
      </c>
      <c r="L1990">
        <v>64.3</v>
      </c>
      <c r="P1990" t="s">
        <v>106</v>
      </c>
      <c r="Q1990" t="s">
        <v>106</v>
      </c>
      <c r="R1990" t="s">
        <v>106</v>
      </c>
      <c r="S1990" t="s">
        <v>1814</v>
      </c>
      <c r="T1990" t="s">
        <v>523</v>
      </c>
      <c r="U1990" t="s">
        <v>106</v>
      </c>
      <c r="V1990" t="s">
        <v>106</v>
      </c>
      <c r="W1990" t="s">
        <v>557</v>
      </c>
      <c r="X1990" t="s">
        <v>106</v>
      </c>
      <c r="Y1990" t="s">
        <v>108</v>
      </c>
      <c r="Z1990" t="s">
        <v>104</v>
      </c>
      <c r="AA1990" t="s">
        <v>106</v>
      </c>
      <c r="AB1990" t="s">
        <v>106</v>
      </c>
    </row>
    <row r="1991" spans="1:28" x14ac:dyDescent="0.3">
      <c r="A1991" t="s">
        <v>1512</v>
      </c>
      <c r="B1991">
        <v>4</v>
      </c>
      <c r="C1991">
        <v>60</v>
      </c>
      <c r="D1991">
        <v>9</v>
      </c>
      <c r="E1991" t="s">
        <v>110</v>
      </c>
      <c r="F1991" s="12">
        <v>45672</v>
      </c>
      <c r="G1991" t="s">
        <v>431</v>
      </c>
      <c r="H1991" s="12">
        <v>45672</v>
      </c>
      <c r="I1991" t="s">
        <v>1513</v>
      </c>
      <c r="J1991" t="s">
        <v>425</v>
      </c>
      <c r="L1991">
        <v>63.4</v>
      </c>
      <c r="P1991" t="s">
        <v>106</v>
      </c>
      <c r="Q1991" t="s">
        <v>106</v>
      </c>
      <c r="R1991" t="s">
        <v>106</v>
      </c>
      <c r="S1991" t="s">
        <v>106</v>
      </c>
      <c r="T1991" t="s">
        <v>1403</v>
      </c>
      <c r="U1991" t="s">
        <v>106</v>
      </c>
      <c r="V1991" t="s">
        <v>106</v>
      </c>
      <c r="W1991" t="s">
        <v>557</v>
      </c>
      <c r="X1991" t="s">
        <v>106</v>
      </c>
      <c r="Y1991" t="s">
        <v>108</v>
      </c>
      <c r="Z1991" t="s">
        <v>104</v>
      </c>
      <c r="AA1991" t="s">
        <v>106</v>
      </c>
      <c r="AB1991" t="s">
        <v>106</v>
      </c>
    </row>
    <row r="1992" spans="1:28" x14ac:dyDescent="0.3">
      <c r="A1992" t="s">
        <v>1512</v>
      </c>
      <c r="B1992">
        <v>1</v>
      </c>
      <c r="C1992">
        <v>0</v>
      </c>
      <c r="D1992">
        <v>29</v>
      </c>
      <c r="E1992" t="s">
        <v>456</v>
      </c>
      <c r="F1992" s="12">
        <v>45674</v>
      </c>
      <c r="G1992" t="s">
        <v>384</v>
      </c>
      <c r="H1992" s="12">
        <v>45674</v>
      </c>
      <c r="I1992" t="s">
        <v>380</v>
      </c>
      <c r="J1992" t="s">
        <v>458</v>
      </c>
      <c r="L1992">
        <v>0</v>
      </c>
      <c r="P1992" t="s">
        <v>106</v>
      </c>
      <c r="Q1992" t="s">
        <v>106</v>
      </c>
      <c r="R1992" t="s">
        <v>106</v>
      </c>
      <c r="S1992" t="s">
        <v>106</v>
      </c>
      <c r="T1992" t="s">
        <v>1516</v>
      </c>
      <c r="U1992" t="s">
        <v>106</v>
      </c>
      <c r="V1992" t="s">
        <v>106</v>
      </c>
      <c r="W1992" t="s">
        <v>557</v>
      </c>
      <c r="X1992" t="s">
        <v>106</v>
      </c>
      <c r="Y1992" t="s">
        <v>108</v>
      </c>
      <c r="Z1992" t="s">
        <v>105</v>
      </c>
      <c r="AA1992" t="s">
        <v>106</v>
      </c>
      <c r="AB1992" t="s">
        <v>106</v>
      </c>
    </row>
    <row r="1993" spans="1:28" x14ac:dyDescent="0.3">
      <c r="A1993" t="s">
        <v>1512</v>
      </c>
      <c r="B1993">
        <v>1</v>
      </c>
      <c r="C1993">
        <v>0</v>
      </c>
      <c r="D1993">
        <v>30</v>
      </c>
      <c r="E1993" t="s">
        <v>456</v>
      </c>
      <c r="F1993" s="12">
        <v>45674</v>
      </c>
      <c r="G1993" t="s">
        <v>313</v>
      </c>
      <c r="H1993" s="12">
        <v>45674</v>
      </c>
      <c r="I1993" t="s">
        <v>380</v>
      </c>
      <c r="J1993" t="s">
        <v>458</v>
      </c>
      <c r="L1993">
        <v>0</v>
      </c>
      <c r="P1993" t="s">
        <v>106</v>
      </c>
      <c r="Q1993" t="s">
        <v>106</v>
      </c>
      <c r="R1993" t="s">
        <v>106</v>
      </c>
      <c r="S1993" t="s">
        <v>106</v>
      </c>
      <c r="T1993" t="s">
        <v>1517</v>
      </c>
      <c r="U1993" t="s">
        <v>106</v>
      </c>
      <c r="V1993" t="s">
        <v>106</v>
      </c>
      <c r="W1993" t="s">
        <v>557</v>
      </c>
      <c r="X1993" t="s">
        <v>106</v>
      </c>
      <c r="Y1993" t="s">
        <v>108</v>
      </c>
      <c r="Z1993" t="s">
        <v>105</v>
      </c>
      <c r="AA1993" t="s">
        <v>106</v>
      </c>
      <c r="AB1993" t="s">
        <v>106</v>
      </c>
    </row>
    <row r="1994" spans="1:28" x14ac:dyDescent="0.3">
      <c r="A1994" t="s">
        <v>1512</v>
      </c>
      <c r="B1994">
        <v>1</v>
      </c>
      <c r="C1994">
        <v>0</v>
      </c>
      <c r="D1994">
        <v>40</v>
      </c>
      <c r="E1994" t="s">
        <v>456</v>
      </c>
      <c r="F1994" s="12">
        <v>45674</v>
      </c>
      <c r="G1994" t="s">
        <v>1518</v>
      </c>
      <c r="H1994" s="12">
        <v>45674</v>
      </c>
      <c r="I1994" t="s">
        <v>491</v>
      </c>
      <c r="J1994" t="s">
        <v>458</v>
      </c>
      <c r="L1994">
        <v>0</v>
      </c>
      <c r="P1994" t="s">
        <v>106</v>
      </c>
      <c r="Q1994" t="s">
        <v>106</v>
      </c>
      <c r="R1994" t="s">
        <v>106</v>
      </c>
      <c r="S1994" t="s">
        <v>106</v>
      </c>
      <c r="T1994" t="s">
        <v>1519</v>
      </c>
      <c r="U1994" t="s">
        <v>1415</v>
      </c>
      <c r="V1994" t="s">
        <v>106</v>
      </c>
      <c r="W1994" t="s">
        <v>557</v>
      </c>
      <c r="X1994" t="s">
        <v>106</v>
      </c>
      <c r="Y1994" t="s">
        <v>108</v>
      </c>
      <c r="Z1994" t="s">
        <v>105</v>
      </c>
      <c r="AA1994" t="s">
        <v>106</v>
      </c>
      <c r="AB1994" t="s">
        <v>106</v>
      </c>
    </row>
    <row r="1995" spans="1:28" x14ac:dyDescent="0.3">
      <c r="A1995" t="s">
        <v>1512</v>
      </c>
      <c r="B1995">
        <v>1</v>
      </c>
      <c r="C1995">
        <v>0</v>
      </c>
      <c r="D1995">
        <v>41</v>
      </c>
      <c r="E1995" t="s">
        <v>456</v>
      </c>
      <c r="F1995" s="12">
        <v>45674</v>
      </c>
      <c r="G1995" t="s">
        <v>1520</v>
      </c>
      <c r="H1995" s="12">
        <v>45674</v>
      </c>
      <c r="I1995" t="s">
        <v>491</v>
      </c>
      <c r="J1995" t="s">
        <v>458</v>
      </c>
      <c r="L1995">
        <v>0</v>
      </c>
      <c r="P1995" t="s">
        <v>106</v>
      </c>
      <c r="Q1995" t="s">
        <v>106</v>
      </c>
      <c r="R1995" t="s">
        <v>106</v>
      </c>
      <c r="S1995" t="s">
        <v>1521</v>
      </c>
      <c r="T1995" t="s">
        <v>662</v>
      </c>
      <c r="U1995" t="s">
        <v>106</v>
      </c>
      <c r="V1995" t="s">
        <v>106</v>
      </c>
      <c r="W1995" t="s">
        <v>557</v>
      </c>
      <c r="X1995" t="s">
        <v>106</v>
      </c>
      <c r="Y1995" t="s">
        <v>108</v>
      </c>
      <c r="Z1995" t="s">
        <v>105</v>
      </c>
      <c r="AA1995" t="s">
        <v>106</v>
      </c>
      <c r="AB1995" t="s">
        <v>106</v>
      </c>
    </row>
    <row r="1996" spans="1:28" x14ac:dyDescent="0.3">
      <c r="A1996" t="s">
        <v>1512</v>
      </c>
      <c r="B1996">
        <v>1</v>
      </c>
      <c r="C1996">
        <v>0</v>
      </c>
      <c r="D1996">
        <v>48</v>
      </c>
      <c r="E1996" t="s">
        <v>456</v>
      </c>
      <c r="F1996" s="12">
        <v>45674</v>
      </c>
      <c r="G1996" t="s">
        <v>494</v>
      </c>
      <c r="H1996" s="12">
        <v>45674</v>
      </c>
      <c r="I1996" t="s">
        <v>385</v>
      </c>
      <c r="J1996" t="s">
        <v>1522</v>
      </c>
      <c r="L1996">
        <v>0</v>
      </c>
      <c r="P1996" t="s">
        <v>106</v>
      </c>
      <c r="Q1996" t="s">
        <v>106</v>
      </c>
      <c r="R1996" t="s">
        <v>106</v>
      </c>
      <c r="S1996" t="s">
        <v>106</v>
      </c>
      <c r="T1996" t="s">
        <v>1523</v>
      </c>
      <c r="U1996" t="s">
        <v>441</v>
      </c>
      <c r="V1996" t="s">
        <v>106</v>
      </c>
      <c r="W1996" t="s">
        <v>557</v>
      </c>
      <c r="X1996" t="s">
        <v>106</v>
      </c>
      <c r="Y1996" t="s">
        <v>108</v>
      </c>
      <c r="Z1996" t="s">
        <v>105</v>
      </c>
      <c r="AA1996" t="s">
        <v>106</v>
      </c>
      <c r="AB1996" t="s">
        <v>106</v>
      </c>
    </row>
    <row r="1997" spans="1:28" x14ac:dyDescent="0.3">
      <c r="A1997" t="s">
        <v>1512</v>
      </c>
      <c r="B1997">
        <v>1</v>
      </c>
      <c r="C1997">
        <v>0</v>
      </c>
      <c r="D1997">
        <v>49</v>
      </c>
      <c r="E1997" t="s">
        <v>456</v>
      </c>
      <c r="F1997" s="12">
        <v>45674</v>
      </c>
      <c r="G1997" t="s">
        <v>494</v>
      </c>
      <c r="H1997" s="12">
        <v>45674</v>
      </c>
      <c r="I1997" t="s">
        <v>385</v>
      </c>
      <c r="J1997" t="s">
        <v>1522</v>
      </c>
      <c r="L1997">
        <v>0</v>
      </c>
      <c r="P1997" t="s">
        <v>106</v>
      </c>
      <c r="Q1997" t="s">
        <v>106</v>
      </c>
      <c r="R1997" t="s">
        <v>106</v>
      </c>
      <c r="S1997" t="s">
        <v>1524</v>
      </c>
      <c r="T1997" t="s">
        <v>1046</v>
      </c>
      <c r="U1997" t="s">
        <v>106</v>
      </c>
      <c r="V1997" t="s">
        <v>106</v>
      </c>
      <c r="W1997" t="s">
        <v>557</v>
      </c>
      <c r="X1997" t="s">
        <v>106</v>
      </c>
      <c r="Y1997" t="s">
        <v>108</v>
      </c>
      <c r="Z1997" t="s">
        <v>105</v>
      </c>
      <c r="AA1997" t="s">
        <v>106</v>
      </c>
      <c r="AB1997" t="s">
        <v>106</v>
      </c>
    </row>
    <row r="1998" spans="1:28" x14ac:dyDescent="0.3">
      <c r="A1998" t="s">
        <v>1512</v>
      </c>
      <c r="B1998">
        <v>2</v>
      </c>
      <c r="C1998">
        <v>15</v>
      </c>
      <c r="D1998">
        <v>42</v>
      </c>
      <c r="E1998" t="s">
        <v>456</v>
      </c>
      <c r="F1998" s="12">
        <v>45674</v>
      </c>
      <c r="G1998" t="s">
        <v>319</v>
      </c>
      <c r="H1998" s="12">
        <v>45674</v>
      </c>
      <c r="I1998" t="s">
        <v>385</v>
      </c>
      <c r="J1998" t="s">
        <v>1522</v>
      </c>
      <c r="L1998">
        <v>15.5</v>
      </c>
      <c r="P1998" t="s">
        <v>106</v>
      </c>
      <c r="Q1998" t="s">
        <v>106</v>
      </c>
      <c r="R1998" t="s">
        <v>106</v>
      </c>
      <c r="S1998" t="s">
        <v>106</v>
      </c>
      <c r="T1998" t="s">
        <v>1385</v>
      </c>
      <c r="U1998" t="s">
        <v>1479</v>
      </c>
      <c r="V1998" t="s">
        <v>106</v>
      </c>
      <c r="W1998" t="s">
        <v>557</v>
      </c>
      <c r="X1998" t="s">
        <v>106</v>
      </c>
      <c r="Y1998" t="s">
        <v>108</v>
      </c>
      <c r="Z1998" t="s">
        <v>109</v>
      </c>
      <c r="AA1998" t="s">
        <v>106</v>
      </c>
      <c r="AB1998" t="s">
        <v>106</v>
      </c>
    </row>
    <row r="1999" spans="1:28" x14ac:dyDescent="0.3">
      <c r="A1999" t="s">
        <v>1512</v>
      </c>
      <c r="B1999">
        <v>2</v>
      </c>
      <c r="C1999">
        <v>15</v>
      </c>
      <c r="D1999">
        <v>19</v>
      </c>
      <c r="E1999" t="s">
        <v>308</v>
      </c>
      <c r="F1999" s="12">
        <v>45674</v>
      </c>
      <c r="G1999" t="s">
        <v>2145</v>
      </c>
      <c r="H1999" s="12">
        <v>45674</v>
      </c>
      <c r="I1999" t="s">
        <v>2146</v>
      </c>
      <c r="J1999" t="s">
        <v>458</v>
      </c>
      <c r="K1999">
        <v>2</v>
      </c>
      <c r="L1999">
        <v>15.4</v>
      </c>
      <c r="P1999" t="s">
        <v>106</v>
      </c>
      <c r="Q1999" t="s">
        <v>106</v>
      </c>
      <c r="R1999" t="s">
        <v>106</v>
      </c>
      <c r="S1999" t="s">
        <v>2147</v>
      </c>
      <c r="T1999" t="s">
        <v>1565</v>
      </c>
      <c r="U1999" t="s">
        <v>1468</v>
      </c>
      <c r="V1999" t="s">
        <v>106</v>
      </c>
      <c r="W1999" t="s">
        <v>557</v>
      </c>
      <c r="X1999" t="s">
        <v>106</v>
      </c>
      <c r="Y1999" t="s">
        <v>108</v>
      </c>
      <c r="Z1999" t="s">
        <v>109</v>
      </c>
      <c r="AA1999" t="s">
        <v>106</v>
      </c>
      <c r="AB1999" t="s">
        <v>106</v>
      </c>
    </row>
    <row r="2000" spans="1:28" x14ac:dyDescent="0.3">
      <c r="A2000" t="s">
        <v>1512</v>
      </c>
      <c r="B2000">
        <v>2</v>
      </c>
      <c r="C2000">
        <v>15</v>
      </c>
      <c r="D2000">
        <v>20</v>
      </c>
      <c r="E2000" t="s">
        <v>1027</v>
      </c>
      <c r="F2000" s="12">
        <v>45674</v>
      </c>
      <c r="G2000" t="s">
        <v>1186</v>
      </c>
      <c r="H2000" s="12">
        <v>45674</v>
      </c>
      <c r="I2000" t="s">
        <v>2146</v>
      </c>
      <c r="J2000" t="s">
        <v>458</v>
      </c>
      <c r="K2000">
        <v>2</v>
      </c>
      <c r="L2000">
        <v>15.5</v>
      </c>
      <c r="P2000" t="s">
        <v>106</v>
      </c>
      <c r="Q2000" t="s">
        <v>106</v>
      </c>
      <c r="R2000" t="s">
        <v>106</v>
      </c>
      <c r="S2000" t="s">
        <v>106</v>
      </c>
      <c r="T2000" t="s">
        <v>1154</v>
      </c>
      <c r="U2000" t="s">
        <v>106</v>
      </c>
      <c r="V2000" t="s">
        <v>106</v>
      </c>
      <c r="W2000" t="s">
        <v>557</v>
      </c>
      <c r="X2000" t="s">
        <v>106</v>
      </c>
      <c r="Y2000" t="s">
        <v>108</v>
      </c>
      <c r="Z2000" t="s">
        <v>109</v>
      </c>
      <c r="AA2000" t="s">
        <v>106</v>
      </c>
      <c r="AB2000" t="s">
        <v>106</v>
      </c>
    </row>
    <row r="2001" spans="1:28" x14ac:dyDescent="0.3">
      <c r="A2001" t="s">
        <v>1512</v>
      </c>
      <c r="B2001">
        <v>2</v>
      </c>
      <c r="C2001">
        <v>15</v>
      </c>
      <c r="D2001">
        <v>43</v>
      </c>
      <c r="E2001" t="s">
        <v>456</v>
      </c>
      <c r="F2001" s="12">
        <v>45674</v>
      </c>
      <c r="G2001" t="s">
        <v>327</v>
      </c>
      <c r="H2001" s="12">
        <v>45674</v>
      </c>
      <c r="I2001" t="s">
        <v>385</v>
      </c>
      <c r="J2001" t="s">
        <v>1522</v>
      </c>
      <c r="L2001">
        <v>14.8</v>
      </c>
      <c r="P2001" t="s">
        <v>106</v>
      </c>
      <c r="Q2001" t="s">
        <v>106</v>
      </c>
      <c r="R2001" t="s">
        <v>106</v>
      </c>
      <c r="S2001" t="s">
        <v>1349</v>
      </c>
      <c r="T2001" t="s">
        <v>478</v>
      </c>
      <c r="U2001" t="s">
        <v>708</v>
      </c>
      <c r="V2001" t="s">
        <v>106</v>
      </c>
      <c r="W2001" t="s">
        <v>557</v>
      </c>
      <c r="X2001" t="s">
        <v>106</v>
      </c>
      <c r="Y2001" t="s">
        <v>108</v>
      </c>
      <c r="Z2001" t="s">
        <v>109</v>
      </c>
      <c r="AA2001" t="s">
        <v>106</v>
      </c>
      <c r="AB2001" t="s">
        <v>106</v>
      </c>
    </row>
    <row r="2002" spans="1:28" x14ac:dyDescent="0.3">
      <c r="A2002" t="s">
        <v>1512</v>
      </c>
      <c r="B2002">
        <v>2</v>
      </c>
      <c r="C2002">
        <v>15</v>
      </c>
      <c r="D2002">
        <v>23</v>
      </c>
      <c r="E2002" t="s">
        <v>456</v>
      </c>
      <c r="F2002" s="12">
        <v>45674</v>
      </c>
      <c r="G2002" t="s">
        <v>873</v>
      </c>
      <c r="H2002" s="12">
        <v>45674</v>
      </c>
      <c r="I2002" t="s">
        <v>380</v>
      </c>
      <c r="J2002" t="s">
        <v>458</v>
      </c>
      <c r="K2002">
        <v>2</v>
      </c>
      <c r="L2002">
        <v>15.7</v>
      </c>
      <c r="P2002" t="s">
        <v>106</v>
      </c>
      <c r="Q2002" t="s">
        <v>106</v>
      </c>
      <c r="R2002" t="s">
        <v>106</v>
      </c>
      <c r="S2002" t="s">
        <v>106</v>
      </c>
      <c r="T2002" t="s">
        <v>981</v>
      </c>
      <c r="U2002" t="s">
        <v>1411</v>
      </c>
      <c r="V2002" t="s">
        <v>106</v>
      </c>
      <c r="W2002" t="s">
        <v>557</v>
      </c>
      <c r="X2002" t="s">
        <v>106</v>
      </c>
      <c r="Y2002" t="s">
        <v>108</v>
      </c>
      <c r="Z2002" t="s">
        <v>109</v>
      </c>
      <c r="AA2002" t="s">
        <v>106</v>
      </c>
      <c r="AB2002" t="s">
        <v>106</v>
      </c>
    </row>
    <row r="2003" spans="1:28" x14ac:dyDescent="0.3">
      <c r="A2003" t="s">
        <v>1512</v>
      </c>
      <c r="B2003">
        <v>2</v>
      </c>
      <c r="C2003">
        <v>15</v>
      </c>
      <c r="D2003">
        <v>35</v>
      </c>
      <c r="E2003" t="s">
        <v>456</v>
      </c>
      <c r="F2003" s="12">
        <v>45674</v>
      </c>
      <c r="G2003" t="s">
        <v>852</v>
      </c>
      <c r="H2003" s="12">
        <v>45674</v>
      </c>
      <c r="I2003" t="s">
        <v>491</v>
      </c>
      <c r="J2003" t="s">
        <v>458</v>
      </c>
      <c r="L2003">
        <v>16.7</v>
      </c>
      <c r="P2003" t="s">
        <v>106</v>
      </c>
      <c r="Q2003" t="s">
        <v>106</v>
      </c>
      <c r="R2003" t="s">
        <v>106</v>
      </c>
      <c r="S2003" t="s">
        <v>1884</v>
      </c>
      <c r="T2003" t="s">
        <v>1558</v>
      </c>
      <c r="U2003" t="s">
        <v>429</v>
      </c>
      <c r="V2003" t="s">
        <v>106</v>
      </c>
      <c r="W2003" t="s">
        <v>557</v>
      </c>
      <c r="X2003" t="s">
        <v>106</v>
      </c>
      <c r="Y2003" t="s">
        <v>108</v>
      </c>
      <c r="Z2003" t="s">
        <v>109</v>
      </c>
      <c r="AA2003" t="s">
        <v>106</v>
      </c>
      <c r="AB2003" t="s">
        <v>106</v>
      </c>
    </row>
    <row r="2004" spans="1:28" x14ac:dyDescent="0.3">
      <c r="A2004" t="s">
        <v>1512</v>
      </c>
      <c r="B2004">
        <v>2</v>
      </c>
      <c r="C2004">
        <v>15</v>
      </c>
      <c r="D2004">
        <v>22</v>
      </c>
      <c r="E2004" t="s">
        <v>1027</v>
      </c>
      <c r="F2004" s="12">
        <v>45674</v>
      </c>
      <c r="G2004" t="s">
        <v>380</v>
      </c>
      <c r="H2004" s="12">
        <v>45674</v>
      </c>
      <c r="I2004" t="s">
        <v>2146</v>
      </c>
      <c r="J2004" t="s">
        <v>458</v>
      </c>
      <c r="K2004">
        <v>2</v>
      </c>
      <c r="P2004" t="s">
        <v>106</v>
      </c>
      <c r="Q2004" t="s">
        <v>106</v>
      </c>
      <c r="R2004" t="s">
        <v>106</v>
      </c>
      <c r="S2004" t="s">
        <v>106</v>
      </c>
      <c r="T2004" t="s">
        <v>106</v>
      </c>
      <c r="U2004" t="s">
        <v>106</v>
      </c>
      <c r="V2004" t="s">
        <v>106</v>
      </c>
      <c r="W2004" t="s">
        <v>557</v>
      </c>
      <c r="X2004" t="s">
        <v>106</v>
      </c>
      <c r="Y2004" t="s">
        <v>108</v>
      </c>
      <c r="Z2004" t="s">
        <v>109</v>
      </c>
      <c r="AA2004" t="s">
        <v>106</v>
      </c>
      <c r="AB2004" t="s">
        <v>106</v>
      </c>
    </row>
    <row r="2005" spans="1:28" x14ac:dyDescent="0.3">
      <c r="A2005" t="s">
        <v>1512</v>
      </c>
      <c r="B2005">
        <v>2</v>
      </c>
      <c r="C2005">
        <v>15</v>
      </c>
      <c r="D2005">
        <v>24</v>
      </c>
      <c r="E2005" t="s">
        <v>456</v>
      </c>
      <c r="F2005" s="12">
        <v>45674</v>
      </c>
      <c r="G2005" t="s">
        <v>330</v>
      </c>
      <c r="H2005" s="12">
        <v>45674</v>
      </c>
      <c r="I2005" t="s">
        <v>380</v>
      </c>
      <c r="J2005" t="s">
        <v>458</v>
      </c>
      <c r="K2005">
        <v>2</v>
      </c>
      <c r="L2005">
        <v>15.8</v>
      </c>
      <c r="P2005" t="s">
        <v>106</v>
      </c>
      <c r="Q2005" t="s">
        <v>106</v>
      </c>
      <c r="R2005" t="s">
        <v>106</v>
      </c>
      <c r="S2005" t="s">
        <v>1933</v>
      </c>
      <c r="T2005" t="s">
        <v>756</v>
      </c>
      <c r="U2005" t="s">
        <v>1418</v>
      </c>
      <c r="V2005" t="s">
        <v>106</v>
      </c>
      <c r="W2005" t="s">
        <v>557</v>
      </c>
      <c r="X2005" t="s">
        <v>106</v>
      </c>
      <c r="Y2005" t="s">
        <v>108</v>
      </c>
      <c r="Z2005" t="s">
        <v>109</v>
      </c>
      <c r="AA2005" t="s">
        <v>106</v>
      </c>
      <c r="AB2005" t="s">
        <v>106</v>
      </c>
    </row>
    <row r="2006" spans="1:28" x14ac:dyDescent="0.3">
      <c r="A2006" t="s">
        <v>1512</v>
      </c>
      <c r="B2006">
        <v>2</v>
      </c>
      <c r="C2006">
        <v>15</v>
      </c>
      <c r="D2006">
        <v>34</v>
      </c>
      <c r="E2006" t="s">
        <v>456</v>
      </c>
      <c r="F2006" s="12">
        <v>45674</v>
      </c>
      <c r="G2006" t="s">
        <v>410</v>
      </c>
      <c r="H2006" s="12">
        <v>45674</v>
      </c>
      <c r="I2006" t="s">
        <v>491</v>
      </c>
      <c r="J2006" t="s">
        <v>458</v>
      </c>
      <c r="L2006">
        <v>17.7</v>
      </c>
      <c r="P2006" t="s">
        <v>106</v>
      </c>
      <c r="Q2006" t="s">
        <v>106</v>
      </c>
      <c r="R2006" t="s">
        <v>106</v>
      </c>
      <c r="S2006" t="s">
        <v>106</v>
      </c>
      <c r="T2006" t="s">
        <v>1101</v>
      </c>
      <c r="U2006" t="s">
        <v>106</v>
      </c>
      <c r="V2006" t="s">
        <v>106</v>
      </c>
      <c r="W2006" t="s">
        <v>557</v>
      </c>
      <c r="X2006" t="s">
        <v>106</v>
      </c>
      <c r="Y2006" t="s">
        <v>108</v>
      </c>
      <c r="Z2006" t="s">
        <v>109</v>
      </c>
      <c r="AA2006" t="s">
        <v>106</v>
      </c>
      <c r="AB2006" t="s">
        <v>106</v>
      </c>
    </row>
    <row r="2007" spans="1:28" x14ac:dyDescent="0.3">
      <c r="A2007" t="s">
        <v>1512</v>
      </c>
      <c r="B2007">
        <v>2</v>
      </c>
      <c r="C2007">
        <v>15</v>
      </c>
      <c r="D2007">
        <v>31</v>
      </c>
      <c r="E2007" t="s">
        <v>308</v>
      </c>
      <c r="F2007" s="12">
        <v>45674</v>
      </c>
      <c r="G2007" t="s">
        <v>313</v>
      </c>
      <c r="H2007" s="12">
        <v>45674</v>
      </c>
      <c r="I2007" t="s">
        <v>380</v>
      </c>
      <c r="J2007" t="s">
        <v>458</v>
      </c>
      <c r="L2007">
        <v>16.7</v>
      </c>
      <c r="P2007" t="s">
        <v>106</v>
      </c>
      <c r="Q2007" t="s">
        <v>106</v>
      </c>
      <c r="R2007" t="s">
        <v>106</v>
      </c>
      <c r="S2007" t="s">
        <v>106</v>
      </c>
      <c r="T2007" t="s">
        <v>1069</v>
      </c>
      <c r="U2007" t="s">
        <v>106</v>
      </c>
      <c r="V2007" t="s">
        <v>106</v>
      </c>
      <c r="W2007" t="s">
        <v>557</v>
      </c>
      <c r="X2007" t="s">
        <v>106</v>
      </c>
      <c r="Y2007" t="s">
        <v>108</v>
      </c>
      <c r="Z2007" t="s">
        <v>109</v>
      </c>
      <c r="AA2007" t="s">
        <v>106</v>
      </c>
      <c r="AB2007" t="s">
        <v>106</v>
      </c>
    </row>
    <row r="2008" spans="1:28" x14ac:dyDescent="0.3">
      <c r="A2008" t="s">
        <v>1512</v>
      </c>
      <c r="B2008">
        <v>2</v>
      </c>
      <c r="C2008">
        <v>15</v>
      </c>
      <c r="D2008">
        <v>21</v>
      </c>
      <c r="E2008" t="s">
        <v>1027</v>
      </c>
      <c r="F2008" s="12">
        <v>45674</v>
      </c>
      <c r="G2008" t="s">
        <v>1186</v>
      </c>
      <c r="H2008" s="12">
        <v>45674</v>
      </c>
      <c r="I2008" t="s">
        <v>2146</v>
      </c>
      <c r="J2008" t="s">
        <v>458</v>
      </c>
      <c r="K2008">
        <v>2</v>
      </c>
      <c r="L2008">
        <v>17.3</v>
      </c>
      <c r="P2008" t="s">
        <v>106</v>
      </c>
      <c r="Q2008" t="s">
        <v>106</v>
      </c>
      <c r="R2008" t="s">
        <v>106</v>
      </c>
      <c r="S2008" t="s">
        <v>1908</v>
      </c>
      <c r="T2008" t="s">
        <v>1510</v>
      </c>
      <c r="U2008" t="s">
        <v>106</v>
      </c>
      <c r="V2008" t="s">
        <v>106</v>
      </c>
      <c r="W2008" t="s">
        <v>557</v>
      </c>
      <c r="X2008" t="s">
        <v>106</v>
      </c>
      <c r="Y2008" t="s">
        <v>108</v>
      </c>
      <c r="Z2008" t="s">
        <v>109</v>
      </c>
      <c r="AA2008" t="s">
        <v>106</v>
      </c>
      <c r="AB2008" t="s">
        <v>106</v>
      </c>
    </row>
    <row r="2009" spans="1:28" x14ac:dyDescent="0.3">
      <c r="A2009" t="s">
        <v>1512</v>
      </c>
      <c r="B2009">
        <v>3</v>
      </c>
      <c r="C2009">
        <v>35</v>
      </c>
      <c r="D2009">
        <v>14</v>
      </c>
      <c r="E2009" t="s">
        <v>1027</v>
      </c>
      <c r="F2009" s="12">
        <v>45674</v>
      </c>
      <c r="G2009" t="s">
        <v>772</v>
      </c>
      <c r="H2009" s="12">
        <v>45674</v>
      </c>
      <c r="I2009" t="s">
        <v>2146</v>
      </c>
      <c r="J2009" t="s">
        <v>458</v>
      </c>
      <c r="K2009">
        <v>2</v>
      </c>
      <c r="L2009">
        <v>38.1</v>
      </c>
      <c r="P2009" t="s">
        <v>106</v>
      </c>
      <c r="Q2009" t="s">
        <v>106</v>
      </c>
      <c r="R2009" t="s">
        <v>106</v>
      </c>
      <c r="S2009" t="s">
        <v>1506</v>
      </c>
      <c r="T2009" t="s">
        <v>996</v>
      </c>
      <c r="U2009" t="s">
        <v>1539</v>
      </c>
      <c r="V2009" t="s">
        <v>106</v>
      </c>
      <c r="W2009" t="s">
        <v>557</v>
      </c>
      <c r="X2009" t="s">
        <v>106</v>
      </c>
      <c r="Y2009" t="s">
        <v>108</v>
      </c>
      <c r="Z2009" t="s">
        <v>108</v>
      </c>
      <c r="AA2009" t="s">
        <v>106</v>
      </c>
      <c r="AB2009" t="s">
        <v>106</v>
      </c>
    </row>
    <row r="2010" spans="1:28" x14ac:dyDescent="0.3">
      <c r="A2010" t="s">
        <v>1512</v>
      </c>
      <c r="B2010">
        <v>3</v>
      </c>
      <c r="C2010">
        <v>35</v>
      </c>
      <c r="D2010">
        <v>15</v>
      </c>
      <c r="E2010" t="s">
        <v>1027</v>
      </c>
      <c r="F2010" s="12">
        <v>45674</v>
      </c>
      <c r="G2010" t="s">
        <v>772</v>
      </c>
      <c r="H2010" s="12">
        <v>45674</v>
      </c>
      <c r="I2010" t="s">
        <v>2146</v>
      </c>
      <c r="J2010" t="s">
        <v>458</v>
      </c>
      <c r="K2010">
        <v>2</v>
      </c>
      <c r="L2010">
        <v>38.200000000000003</v>
      </c>
      <c r="P2010" t="s">
        <v>106</v>
      </c>
      <c r="Q2010" t="s">
        <v>106</v>
      </c>
      <c r="R2010" t="s">
        <v>106</v>
      </c>
      <c r="S2010" t="s">
        <v>106</v>
      </c>
      <c r="T2010" t="s">
        <v>1403</v>
      </c>
      <c r="U2010" t="s">
        <v>1780</v>
      </c>
      <c r="V2010" t="s">
        <v>106</v>
      </c>
      <c r="W2010" t="s">
        <v>557</v>
      </c>
      <c r="X2010" t="s">
        <v>106</v>
      </c>
      <c r="Y2010" t="s">
        <v>108</v>
      </c>
      <c r="Z2010" t="s">
        <v>108</v>
      </c>
      <c r="AA2010" t="s">
        <v>106</v>
      </c>
      <c r="AB2010" t="s">
        <v>106</v>
      </c>
    </row>
    <row r="2011" spans="1:28" x14ac:dyDescent="0.3">
      <c r="A2011" t="s">
        <v>1512</v>
      </c>
      <c r="B2011">
        <v>3</v>
      </c>
      <c r="C2011">
        <v>35</v>
      </c>
      <c r="D2011">
        <v>25</v>
      </c>
      <c r="E2011" t="s">
        <v>456</v>
      </c>
      <c r="F2011" s="12">
        <v>45674</v>
      </c>
      <c r="G2011" t="s">
        <v>748</v>
      </c>
      <c r="H2011" s="12">
        <v>45674</v>
      </c>
      <c r="I2011" t="s">
        <v>380</v>
      </c>
      <c r="J2011" t="s">
        <v>458</v>
      </c>
      <c r="K2011">
        <v>2</v>
      </c>
      <c r="L2011">
        <v>38.6</v>
      </c>
      <c r="P2011" t="s">
        <v>106</v>
      </c>
      <c r="Q2011" t="s">
        <v>106</v>
      </c>
      <c r="R2011" t="s">
        <v>106</v>
      </c>
      <c r="S2011" t="s">
        <v>1630</v>
      </c>
      <c r="T2011" t="s">
        <v>756</v>
      </c>
      <c r="U2011" t="s">
        <v>1604</v>
      </c>
      <c r="V2011" t="s">
        <v>106</v>
      </c>
      <c r="W2011" t="s">
        <v>557</v>
      </c>
      <c r="X2011" t="s">
        <v>106</v>
      </c>
      <c r="Y2011" t="s">
        <v>108</v>
      </c>
      <c r="Z2011" t="s">
        <v>108</v>
      </c>
      <c r="AA2011" t="s">
        <v>106</v>
      </c>
      <c r="AB2011" t="s">
        <v>106</v>
      </c>
    </row>
    <row r="2012" spans="1:28" x14ac:dyDescent="0.3">
      <c r="A2012" t="s">
        <v>1512</v>
      </c>
      <c r="B2012">
        <v>3</v>
      </c>
      <c r="C2012">
        <v>35</v>
      </c>
      <c r="D2012">
        <v>26</v>
      </c>
      <c r="E2012" t="s">
        <v>456</v>
      </c>
      <c r="F2012" s="12">
        <v>45674</v>
      </c>
      <c r="G2012" t="s">
        <v>790</v>
      </c>
      <c r="H2012" s="12">
        <v>45674</v>
      </c>
      <c r="I2012" t="s">
        <v>380</v>
      </c>
      <c r="J2012" t="s">
        <v>458</v>
      </c>
      <c r="K2012">
        <v>2</v>
      </c>
      <c r="L2012">
        <v>38.4</v>
      </c>
      <c r="P2012" t="s">
        <v>106</v>
      </c>
      <c r="Q2012" t="s">
        <v>106</v>
      </c>
      <c r="R2012" t="s">
        <v>106</v>
      </c>
      <c r="S2012" t="s">
        <v>106</v>
      </c>
      <c r="T2012" t="s">
        <v>1217</v>
      </c>
      <c r="U2012" t="s">
        <v>1604</v>
      </c>
      <c r="V2012" t="s">
        <v>106</v>
      </c>
      <c r="W2012" t="s">
        <v>557</v>
      </c>
      <c r="X2012" t="s">
        <v>106</v>
      </c>
      <c r="Y2012" t="s">
        <v>108</v>
      </c>
      <c r="Z2012" t="s">
        <v>108</v>
      </c>
      <c r="AA2012" t="s">
        <v>106</v>
      </c>
      <c r="AB2012" t="s">
        <v>106</v>
      </c>
    </row>
    <row r="2013" spans="1:28" x14ac:dyDescent="0.3">
      <c r="A2013" t="s">
        <v>1512</v>
      </c>
      <c r="B2013">
        <v>3</v>
      </c>
      <c r="C2013">
        <v>35</v>
      </c>
      <c r="D2013">
        <v>32</v>
      </c>
      <c r="E2013" t="s">
        <v>308</v>
      </c>
      <c r="F2013" s="12">
        <v>45674</v>
      </c>
      <c r="G2013" t="s">
        <v>740</v>
      </c>
      <c r="H2013" s="12">
        <v>45674</v>
      </c>
      <c r="I2013" t="s">
        <v>380</v>
      </c>
      <c r="J2013" t="s">
        <v>458</v>
      </c>
      <c r="L2013">
        <v>36.799999999999997</v>
      </c>
      <c r="P2013" t="s">
        <v>106</v>
      </c>
      <c r="Q2013" t="s">
        <v>106</v>
      </c>
      <c r="R2013" t="s">
        <v>106</v>
      </c>
      <c r="S2013" t="s">
        <v>106</v>
      </c>
      <c r="T2013" t="s">
        <v>1431</v>
      </c>
      <c r="U2013" t="s">
        <v>106</v>
      </c>
      <c r="V2013" t="s">
        <v>106</v>
      </c>
      <c r="W2013" t="s">
        <v>557</v>
      </c>
      <c r="X2013" t="s">
        <v>106</v>
      </c>
      <c r="Y2013" t="s">
        <v>108</v>
      </c>
      <c r="Z2013" t="s">
        <v>108</v>
      </c>
      <c r="AA2013" t="s">
        <v>106</v>
      </c>
      <c r="AB2013" t="s">
        <v>106</v>
      </c>
    </row>
    <row r="2014" spans="1:28" x14ac:dyDescent="0.3">
      <c r="A2014" t="s">
        <v>1512</v>
      </c>
      <c r="B2014">
        <v>3</v>
      </c>
      <c r="C2014">
        <v>35</v>
      </c>
      <c r="D2014">
        <v>36</v>
      </c>
      <c r="E2014" t="s">
        <v>456</v>
      </c>
      <c r="F2014" s="12">
        <v>45674</v>
      </c>
      <c r="G2014" t="s">
        <v>1562</v>
      </c>
      <c r="H2014" s="12">
        <v>45674</v>
      </c>
      <c r="I2014" t="s">
        <v>491</v>
      </c>
      <c r="J2014" t="s">
        <v>458</v>
      </c>
      <c r="L2014">
        <v>36.200000000000003</v>
      </c>
      <c r="P2014" t="s">
        <v>106</v>
      </c>
      <c r="Q2014" t="s">
        <v>106</v>
      </c>
      <c r="R2014" t="s">
        <v>106</v>
      </c>
      <c r="S2014" t="s">
        <v>106</v>
      </c>
      <c r="T2014" t="s">
        <v>1125</v>
      </c>
      <c r="U2014" t="s">
        <v>708</v>
      </c>
      <c r="V2014" t="s">
        <v>106</v>
      </c>
      <c r="W2014" t="s">
        <v>557</v>
      </c>
      <c r="X2014" t="s">
        <v>106</v>
      </c>
      <c r="Y2014" t="s">
        <v>108</v>
      </c>
      <c r="Z2014" t="s">
        <v>108</v>
      </c>
      <c r="AA2014" t="s">
        <v>106</v>
      </c>
      <c r="AB2014" t="s">
        <v>106</v>
      </c>
    </row>
    <row r="2015" spans="1:28" x14ac:dyDescent="0.3">
      <c r="A2015" t="s">
        <v>1512</v>
      </c>
      <c r="B2015">
        <v>3</v>
      </c>
      <c r="C2015">
        <v>35</v>
      </c>
      <c r="D2015">
        <v>44</v>
      </c>
      <c r="E2015" t="s">
        <v>456</v>
      </c>
      <c r="F2015" s="12">
        <v>45674</v>
      </c>
      <c r="G2015" t="s">
        <v>331</v>
      </c>
      <c r="H2015" s="12">
        <v>45674</v>
      </c>
      <c r="I2015" t="s">
        <v>385</v>
      </c>
      <c r="J2015" t="s">
        <v>1522</v>
      </c>
      <c r="L2015">
        <v>34.799999999999997</v>
      </c>
      <c r="P2015" t="s">
        <v>106</v>
      </c>
      <c r="Q2015" t="s">
        <v>106</v>
      </c>
      <c r="R2015" t="s">
        <v>106</v>
      </c>
      <c r="S2015" t="s">
        <v>106</v>
      </c>
      <c r="T2015" t="s">
        <v>1125</v>
      </c>
      <c r="U2015" t="s">
        <v>1780</v>
      </c>
      <c r="V2015" t="s">
        <v>106</v>
      </c>
      <c r="W2015" t="s">
        <v>557</v>
      </c>
      <c r="X2015" t="s">
        <v>106</v>
      </c>
      <c r="Y2015" t="s">
        <v>108</v>
      </c>
      <c r="Z2015" t="s">
        <v>108</v>
      </c>
      <c r="AA2015" t="s">
        <v>106</v>
      </c>
      <c r="AB2015" t="s">
        <v>106</v>
      </c>
    </row>
    <row r="2016" spans="1:28" x14ac:dyDescent="0.3">
      <c r="A2016" t="s">
        <v>1512</v>
      </c>
      <c r="B2016">
        <v>3</v>
      </c>
      <c r="C2016">
        <v>35</v>
      </c>
      <c r="D2016">
        <v>45</v>
      </c>
      <c r="E2016" t="s">
        <v>456</v>
      </c>
      <c r="F2016" s="12">
        <v>45674</v>
      </c>
      <c r="G2016" t="s">
        <v>331</v>
      </c>
      <c r="H2016" s="12">
        <v>45674</v>
      </c>
      <c r="I2016" t="s">
        <v>385</v>
      </c>
      <c r="J2016" t="s">
        <v>1522</v>
      </c>
      <c r="L2016">
        <v>35.799999999999997</v>
      </c>
      <c r="P2016" t="s">
        <v>106</v>
      </c>
      <c r="Q2016" t="s">
        <v>106</v>
      </c>
      <c r="R2016" t="s">
        <v>106</v>
      </c>
      <c r="S2016" t="s">
        <v>1373</v>
      </c>
      <c r="T2016" t="s">
        <v>1931</v>
      </c>
      <c r="U2016" t="s">
        <v>141</v>
      </c>
      <c r="V2016" t="s">
        <v>106</v>
      </c>
      <c r="W2016" t="s">
        <v>557</v>
      </c>
      <c r="X2016" t="s">
        <v>106</v>
      </c>
      <c r="Y2016" t="s">
        <v>108</v>
      </c>
      <c r="Z2016" t="s">
        <v>108</v>
      </c>
      <c r="AA2016" t="s">
        <v>106</v>
      </c>
      <c r="AB2016" t="s">
        <v>106</v>
      </c>
    </row>
    <row r="2017" spans="1:28" x14ac:dyDescent="0.3">
      <c r="A2017" t="s">
        <v>1512</v>
      </c>
      <c r="B2017">
        <v>3</v>
      </c>
      <c r="C2017">
        <v>35</v>
      </c>
      <c r="D2017">
        <v>13</v>
      </c>
      <c r="E2017" t="s">
        <v>308</v>
      </c>
      <c r="F2017" s="12">
        <v>45674</v>
      </c>
      <c r="G2017" t="s">
        <v>1986</v>
      </c>
      <c r="H2017" s="12">
        <v>45674</v>
      </c>
      <c r="I2017" t="s">
        <v>2146</v>
      </c>
      <c r="J2017" t="s">
        <v>458</v>
      </c>
      <c r="K2017">
        <v>2</v>
      </c>
      <c r="L2017">
        <v>37</v>
      </c>
      <c r="P2017" t="s">
        <v>106</v>
      </c>
      <c r="Q2017" t="s">
        <v>106</v>
      </c>
      <c r="R2017" t="s">
        <v>106</v>
      </c>
      <c r="S2017" t="s">
        <v>106</v>
      </c>
      <c r="T2017" t="s">
        <v>1558</v>
      </c>
      <c r="U2017" t="s">
        <v>1468</v>
      </c>
      <c r="V2017" t="s">
        <v>106</v>
      </c>
      <c r="W2017" t="s">
        <v>557</v>
      </c>
      <c r="X2017" t="s">
        <v>106</v>
      </c>
      <c r="Y2017" t="s">
        <v>108</v>
      </c>
      <c r="Z2017" t="s">
        <v>108</v>
      </c>
      <c r="AA2017" t="s">
        <v>106</v>
      </c>
      <c r="AB2017" t="s">
        <v>106</v>
      </c>
    </row>
    <row r="2018" spans="1:28" x14ac:dyDescent="0.3">
      <c r="A2018" t="s">
        <v>1512</v>
      </c>
      <c r="B2018">
        <v>3</v>
      </c>
      <c r="C2018">
        <v>35</v>
      </c>
      <c r="D2018">
        <v>37</v>
      </c>
      <c r="E2018" t="s">
        <v>456</v>
      </c>
      <c r="F2018" s="12">
        <v>45674</v>
      </c>
      <c r="G2018" t="s">
        <v>2536</v>
      </c>
      <c r="H2018" s="12">
        <v>45674</v>
      </c>
      <c r="I2018" t="s">
        <v>491</v>
      </c>
      <c r="J2018" t="s">
        <v>458</v>
      </c>
      <c r="L2018">
        <v>38.4</v>
      </c>
      <c r="P2018" t="s">
        <v>106</v>
      </c>
      <c r="Q2018" t="s">
        <v>106</v>
      </c>
      <c r="R2018" t="s">
        <v>106</v>
      </c>
      <c r="S2018" t="s">
        <v>1667</v>
      </c>
      <c r="T2018" t="s">
        <v>1589</v>
      </c>
      <c r="U2018" t="s">
        <v>440</v>
      </c>
      <c r="V2018" t="s">
        <v>106</v>
      </c>
      <c r="W2018" t="s">
        <v>557</v>
      </c>
      <c r="X2018" t="s">
        <v>106</v>
      </c>
      <c r="Y2018" t="s">
        <v>108</v>
      </c>
      <c r="Z2018" t="s">
        <v>108</v>
      </c>
      <c r="AA2018" t="s">
        <v>106</v>
      </c>
      <c r="AB2018" t="s">
        <v>106</v>
      </c>
    </row>
    <row r="2019" spans="1:28" x14ac:dyDescent="0.3">
      <c r="A2019" t="s">
        <v>1512</v>
      </c>
      <c r="B2019">
        <v>4</v>
      </c>
      <c r="C2019">
        <v>60</v>
      </c>
      <c r="D2019">
        <v>33</v>
      </c>
      <c r="E2019" t="s">
        <v>308</v>
      </c>
      <c r="F2019" s="12">
        <v>45674</v>
      </c>
      <c r="G2019" t="s">
        <v>740</v>
      </c>
      <c r="H2019" s="12">
        <v>45674</v>
      </c>
      <c r="I2019" t="s">
        <v>380</v>
      </c>
      <c r="J2019" t="s">
        <v>458</v>
      </c>
      <c r="L2019">
        <v>57.3</v>
      </c>
      <c r="P2019" t="s">
        <v>106</v>
      </c>
      <c r="Q2019" t="s">
        <v>106</v>
      </c>
      <c r="R2019" t="s">
        <v>106</v>
      </c>
      <c r="S2019" t="s">
        <v>106</v>
      </c>
      <c r="T2019" t="s">
        <v>1459</v>
      </c>
      <c r="U2019" t="s">
        <v>106</v>
      </c>
      <c r="V2019" t="s">
        <v>106</v>
      </c>
      <c r="W2019" t="s">
        <v>557</v>
      </c>
      <c r="X2019" t="s">
        <v>106</v>
      </c>
      <c r="Y2019" t="s">
        <v>108</v>
      </c>
      <c r="Z2019" t="s">
        <v>104</v>
      </c>
      <c r="AA2019" t="s">
        <v>106</v>
      </c>
      <c r="AB2019" t="s">
        <v>106</v>
      </c>
    </row>
    <row r="2020" spans="1:28" x14ac:dyDescent="0.3">
      <c r="A2020" t="s">
        <v>1512</v>
      </c>
      <c r="B2020">
        <v>4</v>
      </c>
      <c r="C2020">
        <v>60</v>
      </c>
      <c r="D2020">
        <v>16</v>
      </c>
      <c r="E2020" t="s">
        <v>308</v>
      </c>
      <c r="F2020" s="12">
        <v>45674</v>
      </c>
      <c r="G2020" t="s">
        <v>2578</v>
      </c>
      <c r="H2020" s="12">
        <v>45674</v>
      </c>
      <c r="I2020" t="s">
        <v>2146</v>
      </c>
      <c r="J2020" t="s">
        <v>458</v>
      </c>
      <c r="K2020">
        <v>2</v>
      </c>
      <c r="L2020">
        <v>64</v>
      </c>
      <c r="P2020" t="s">
        <v>106</v>
      </c>
      <c r="Q2020" t="s">
        <v>106</v>
      </c>
      <c r="R2020" t="s">
        <v>106</v>
      </c>
      <c r="S2020" t="s">
        <v>106</v>
      </c>
      <c r="T2020" t="s">
        <v>1235</v>
      </c>
      <c r="U2020" t="s">
        <v>1415</v>
      </c>
      <c r="V2020" t="s">
        <v>106</v>
      </c>
      <c r="W2020" t="s">
        <v>557</v>
      </c>
      <c r="X2020" t="s">
        <v>106</v>
      </c>
      <c r="Y2020" t="s">
        <v>108</v>
      </c>
      <c r="Z2020" t="s">
        <v>104</v>
      </c>
      <c r="AA2020" t="s">
        <v>106</v>
      </c>
      <c r="AB2020" t="s">
        <v>106</v>
      </c>
    </row>
    <row r="2021" spans="1:28" x14ac:dyDescent="0.3">
      <c r="A2021" t="s">
        <v>1512</v>
      </c>
      <c r="B2021">
        <v>4</v>
      </c>
      <c r="C2021">
        <v>60</v>
      </c>
      <c r="D2021">
        <v>46</v>
      </c>
      <c r="E2021" t="s">
        <v>456</v>
      </c>
      <c r="F2021" s="12">
        <v>45674</v>
      </c>
      <c r="G2021" t="s">
        <v>682</v>
      </c>
      <c r="H2021" s="12">
        <v>45674</v>
      </c>
      <c r="I2021" t="s">
        <v>385</v>
      </c>
      <c r="J2021" t="s">
        <v>1522</v>
      </c>
      <c r="L2021">
        <v>55.4</v>
      </c>
      <c r="P2021" t="s">
        <v>106</v>
      </c>
      <c r="Q2021" t="s">
        <v>106</v>
      </c>
      <c r="R2021" t="s">
        <v>106</v>
      </c>
      <c r="S2021" t="s">
        <v>106</v>
      </c>
      <c r="T2021" t="s">
        <v>981</v>
      </c>
      <c r="U2021" t="s">
        <v>440</v>
      </c>
      <c r="V2021" t="s">
        <v>106</v>
      </c>
      <c r="W2021" t="s">
        <v>557</v>
      </c>
      <c r="X2021" t="s">
        <v>106</v>
      </c>
      <c r="Y2021" t="s">
        <v>108</v>
      </c>
      <c r="Z2021" t="s">
        <v>104</v>
      </c>
      <c r="AA2021" t="s">
        <v>106</v>
      </c>
      <c r="AB2021" t="s">
        <v>106</v>
      </c>
    </row>
    <row r="2022" spans="1:28" x14ac:dyDescent="0.3">
      <c r="A2022" t="s">
        <v>1512</v>
      </c>
      <c r="B2022">
        <v>4</v>
      </c>
      <c r="C2022">
        <v>60</v>
      </c>
      <c r="D2022">
        <v>47</v>
      </c>
      <c r="E2022" t="s">
        <v>456</v>
      </c>
      <c r="F2022" s="12">
        <v>45674</v>
      </c>
      <c r="G2022" t="s">
        <v>706</v>
      </c>
      <c r="H2022" s="12">
        <v>45674</v>
      </c>
      <c r="I2022" t="s">
        <v>385</v>
      </c>
      <c r="J2022" t="s">
        <v>1522</v>
      </c>
      <c r="L2022">
        <v>59.7</v>
      </c>
      <c r="P2022" t="s">
        <v>106</v>
      </c>
      <c r="Q2022" t="s">
        <v>106</v>
      </c>
      <c r="R2022" t="s">
        <v>106</v>
      </c>
      <c r="S2022" t="s">
        <v>1813</v>
      </c>
      <c r="T2022" t="s">
        <v>1041</v>
      </c>
      <c r="U2022" t="s">
        <v>441</v>
      </c>
      <c r="V2022" t="s">
        <v>106</v>
      </c>
      <c r="W2022" t="s">
        <v>557</v>
      </c>
      <c r="X2022" t="s">
        <v>106</v>
      </c>
      <c r="Y2022" t="s">
        <v>108</v>
      </c>
      <c r="Z2022" t="s">
        <v>104</v>
      </c>
      <c r="AA2022" t="s">
        <v>106</v>
      </c>
      <c r="AB2022" t="s">
        <v>106</v>
      </c>
    </row>
    <row r="2023" spans="1:28" x14ac:dyDescent="0.3">
      <c r="A2023" t="s">
        <v>1512</v>
      </c>
      <c r="B2023">
        <v>4</v>
      </c>
      <c r="C2023">
        <v>60</v>
      </c>
      <c r="D2023">
        <v>28</v>
      </c>
      <c r="E2023" t="s">
        <v>456</v>
      </c>
      <c r="F2023" s="12">
        <v>45674</v>
      </c>
      <c r="G2023" t="s">
        <v>831</v>
      </c>
      <c r="H2023" s="12">
        <v>45674</v>
      </c>
      <c r="I2023" t="s">
        <v>380</v>
      </c>
      <c r="J2023" t="s">
        <v>458</v>
      </c>
      <c r="K2023">
        <v>2</v>
      </c>
      <c r="L2023">
        <v>60.1</v>
      </c>
      <c r="P2023" t="s">
        <v>106</v>
      </c>
      <c r="Q2023" t="s">
        <v>106</v>
      </c>
      <c r="R2023" t="s">
        <v>106</v>
      </c>
      <c r="S2023" t="s">
        <v>106</v>
      </c>
      <c r="T2023" t="s">
        <v>934</v>
      </c>
      <c r="U2023" t="s">
        <v>1615</v>
      </c>
      <c r="V2023" t="s">
        <v>106</v>
      </c>
      <c r="W2023" t="s">
        <v>557</v>
      </c>
      <c r="X2023" t="s">
        <v>106</v>
      </c>
      <c r="Y2023" t="s">
        <v>108</v>
      </c>
      <c r="Z2023" t="s">
        <v>104</v>
      </c>
      <c r="AA2023" t="s">
        <v>106</v>
      </c>
      <c r="AB2023" t="s">
        <v>106</v>
      </c>
    </row>
    <row r="2024" spans="1:28" x14ac:dyDescent="0.3">
      <c r="A2024" t="s">
        <v>1512</v>
      </c>
      <c r="B2024">
        <v>4</v>
      </c>
      <c r="C2024">
        <v>60</v>
      </c>
      <c r="D2024">
        <v>18</v>
      </c>
      <c r="E2024" t="s">
        <v>1027</v>
      </c>
      <c r="F2024" s="12">
        <v>45674</v>
      </c>
      <c r="G2024" t="s">
        <v>2578</v>
      </c>
      <c r="H2024" s="12">
        <v>45674</v>
      </c>
      <c r="I2024" t="s">
        <v>2146</v>
      </c>
      <c r="J2024" t="s">
        <v>458</v>
      </c>
      <c r="K2024">
        <v>2</v>
      </c>
      <c r="L2024">
        <v>60.5</v>
      </c>
      <c r="P2024" t="s">
        <v>106</v>
      </c>
      <c r="Q2024" t="s">
        <v>106</v>
      </c>
      <c r="R2024" t="s">
        <v>106</v>
      </c>
      <c r="S2024" t="s">
        <v>106</v>
      </c>
      <c r="T2024" t="s">
        <v>1558</v>
      </c>
      <c r="U2024" t="s">
        <v>1418</v>
      </c>
      <c r="V2024" t="s">
        <v>106</v>
      </c>
      <c r="W2024" t="s">
        <v>557</v>
      </c>
      <c r="X2024" t="s">
        <v>106</v>
      </c>
      <c r="Y2024" t="s">
        <v>108</v>
      </c>
      <c r="Z2024" t="s">
        <v>104</v>
      </c>
      <c r="AA2024" t="s">
        <v>106</v>
      </c>
      <c r="AB2024" t="s">
        <v>106</v>
      </c>
    </row>
    <row r="2025" spans="1:28" x14ac:dyDescent="0.3">
      <c r="A2025" t="s">
        <v>1512</v>
      </c>
      <c r="B2025">
        <v>4</v>
      </c>
      <c r="C2025">
        <v>60</v>
      </c>
      <c r="D2025">
        <v>27</v>
      </c>
      <c r="E2025" t="s">
        <v>456</v>
      </c>
      <c r="F2025" s="12">
        <v>45674</v>
      </c>
      <c r="G2025" t="s">
        <v>636</v>
      </c>
      <c r="H2025" s="12">
        <v>45674</v>
      </c>
      <c r="I2025" t="s">
        <v>380</v>
      </c>
      <c r="J2025" t="s">
        <v>458</v>
      </c>
      <c r="K2025">
        <v>2</v>
      </c>
      <c r="L2025">
        <v>61.9</v>
      </c>
      <c r="P2025" t="s">
        <v>106</v>
      </c>
      <c r="Q2025" t="s">
        <v>106</v>
      </c>
      <c r="R2025" t="s">
        <v>106</v>
      </c>
      <c r="S2025" t="s">
        <v>2727</v>
      </c>
      <c r="T2025" t="s">
        <v>1217</v>
      </c>
      <c r="U2025" t="s">
        <v>1410</v>
      </c>
      <c r="V2025" t="s">
        <v>106</v>
      </c>
      <c r="W2025" t="s">
        <v>557</v>
      </c>
      <c r="X2025" t="s">
        <v>106</v>
      </c>
      <c r="Y2025" t="s">
        <v>108</v>
      </c>
      <c r="Z2025" t="s">
        <v>104</v>
      </c>
      <c r="AA2025" t="s">
        <v>106</v>
      </c>
      <c r="AB2025" t="s">
        <v>106</v>
      </c>
    </row>
    <row r="2026" spans="1:28" x14ac:dyDescent="0.3">
      <c r="A2026" t="s">
        <v>1512</v>
      </c>
      <c r="B2026">
        <v>4</v>
      </c>
      <c r="C2026">
        <v>60</v>
      </c>
      <c r="D2026">
        <v>38</v>
      </c>
      <c r="E2026" t="s">
        <v>456</v>
      </c>
      <c r="F2026" s="12">
        <v>45674</v>
      </c>
      <c r="G2026" t="s">
        <v>2524</v>
      </c>
      <c r="H2026" s="12">
        <v>45674</v>
      </c>
      <c r="I2026" t="s">
        <v>491</v>
      </c>
      <c r="J2026" t="s">
        <v>458</v>
      </c>
      <c r="L2026">
        <v>60.8</v>
      </c>
      <c r="P2026" t="s">
        <v>106</v>
      </c>
      <c r="Q2026" t="s">
        <v>106</v>
      </c>
      <c r="R2026" t="s">
        <v>106</v>
      </c>
      <c r="S2026" t="s">
        <v>106</v>
      </c>
      <c r="T2026" t="s">
        <v>1523</v>
      </c>
      <c r="U2026" t="s">
        <v>430</v>
      </c>
      <c r="V2026" t="s">
        <v>106</v>
      </c>
      <c r="W2026" t="s">
        <v>557</v>
      </c>
      <c r="X2026" t="s">
        <v>106</v>
      </c>
      <c r="Y2026" t="s">
        <v>108</v>
      </c>
      <c r="Z2026" t="s">
        <v>104</v>
      </c>
      <c r="AA2026" t="s">
        <v>106</v>
      </c>
      <c r="AB2026" t="s">
        <v>106</v>
      </c>
    </row>
    <row r="2027" spans="1:28" x14ac:dyDescent="0.3">
      <c r="A2027" t="s">
        <v>1512</v>
      </c>
      <c r="B2027">
        <v>4</v>
      </c>
      <c r="C2027">
        <v>60</v>
      </c>
      <c r="D2027">
        <v>17</v>
      </c>
      <c r="E2027" t="s">
        <v>1027</v>
      </c>
      <c r="F2027" s="12">
        <v>45674</v>
      </c>
      <c r="G2027" t="s">
        <v>2578</v>
      </c>
      <c r="H2027" s="12">
        <v>45674</v>
      </c>
      <c r="I2027" t="s">
        <v>2146</v>
      </c>
      <c r="J2027" t="s">
        <v>458</v>
      </c>
      <c r="K2027">
        <v>2</v>
      </c>
      <c r="L2027">
        <v>63.1</v>
      </c>
      <c r="P2027" t="s">
        <v>106</v>
      </c>
      <c r="Q2027" t="s">
        <v>106</v>
      </c>
      <c r="R2027" t="s">
        <v>106</v>
      </c>
      <c r="S2027" t="s">
        <v>2247</v>
      </c>
      <c r="T2027" t="s">
        <v>1105</v>
      </c>
      <c r="U2027" t="s">
        <v>1418</v>
      </c>
      <c r="V2027" t="s">
        <v>106</v>
      </c>
      <c r="W2027" t="s">
        <v>557</v>
      </c>
      <c r="X2027" t="s">
        <v>106</v>
      </c>
      <c r="Y2027" t="s">
        <v>108</v>
      </c>
      <c r="Z2027" t="s">
        <v>104</v>
      </c>
      <c r="AA2027" t="s">
        <v>106</v>
      </c>
      <c r="AB2027" t="s">
        <v>106</v>
      </c>
    </row>
    <row r="2028" spans="1:28" x14ac:dyDescent="0.3">
      <c r="A2028" t="s">
        <v>1512</v>
      </c>
      <c r="B2028">
        <v>4</v>
      </c>
      <c r="C2028">
        <v>60</v>
      </c>
      <c r="D2028">
        <v>39</v>
      </c>
      <c r="E2028" t="s">
        <v>456</v>
      </c>
      <c r="F2028" s="12">
        <v>45674</v>
      </c>
      <c r="G2028" t="s">
        <v>2524</v>
      </c>
      <c r="H2028" s="12">
        <v>45674</v>
      </c>
      <c r="I2028" t="s">
        <v>491</v>
      </c>
      <c r="J2028" t="s">
        <v>458</v>
      </c>
      <c r="L2028">
        <v>62</v>
      </c>
      <c r="P2028" t="s">
        <v>106</v>
      </c>
      <c r="Q2028" t="s">
        <v>106</v>
      </c>
      <c r="R2028" t="s">
        <v>106</v>
      </c>
      <c r="S2028" t="s">
        <v>2137</v>
      </c>
      <c r="T2028" t="s">
        <v>1523</v>
      </c>
      <c r="U2028" t="s">
        <v>430</v>
      </c>
      <c r="V2028" t="s">
        <v>106</v>
      </c>
      <c r="W2028" t="s">
        <v>557</v>
      </c>
      <c r="X2028" t="s">
        <v>106</v>
      </c>
      <c r="Y2028" t="s">
        <v>108</v>
      </c>
      <c r="Z2028" t="s">
        <v>104</v>
      </c>
      <c r="AA2028" t="s">
        <v>106</v>
      </c>
      <c r="AB2028" t="s">
        <v>106</v>
      </c>
    </row>
    <row r="2029" spans="1:28" x14ac:dyDescent="0.3">
      <c r="A2029" t="s">
        <v>1512</v>
      </c>
      <c r="B2029">
        <v>1</v>
      </c>
      <c r="C2029">
        <v>0</v>
      </c>
      <c r="D2029">
        <v>73</v>
      </c>
      <c r="E2029" t="s">
        <v>456</v>
      </c>
      <c r="F2029" s="12">
        <v>45677</v>
      </c>
      <c r="G2029" t="s">
        <v>1525</v>
      </c>
      <c r="H2029" s="12">
        <v>45677</v>
      </c>
      <c r="I2029" t="s">
        <v>713</v>
      </c>
      <c r="J2029" t="s">
        <v>1522</v>
      </c>
      <c r="L2029">
        <v>0</v>
      </c>
      <c r="P2029" t="s">
        <v>106</v>
      </c>
      <c r="Q2029" t="s">
        <v>106</v>
      </c>
      <c r="R2029" t="s">
        <v>106</v>
      </c>
      <c r="S2029" t="s">
        <v>1526</v>
      </c>
      <c r="T2029" t="s">
        <v>1527</v>
      </c>
      <c r="U2029" t="s">
        <v>106</v>
      </c>
      <c r="V2029" t="s">
        <v>106</v>
      </c>
      <c r="W2029" t="s">
        <v>557</v>
      </c>
      <c r="X2029" t="s">
        <v>106</v>
      </c>
      <c r="Y2029" t="s">
        <v>108</v>
      </c>
      <c r="Z2029" t="s">
        <v>105</v>
      </c>
      <c r="AA2029" t="s">
        <v>106</v>
      </c>
      <c r="AB2029" t="s">
        <v>106</v>
      </c>
    </row>
    <row r="2030" spans="1:28" x14ac:dyDescent="0.3">
      <c r="A2030" t="s">
        <v>1512</v>
      </c>
      <c r="B2030">
        <v>1</v>
      </c>
      <c r="C2030">
        <v>0</v>
      </c>
      <c r="D2030">
        <v>64</v>
      </c>
      <c r="E2030" t="s">
        <v>456</v>
      </c>
      <c r="F2030" s="12">
        <v>45677</v>
      </c>
      <c r="G2030" t="s">
        <v>139</v>
      </c>
      <c r="H2030" s="12">
        <v>45677</v>
      </c>
      <c r="I2030" t="s">
        <v>341</v>
      </c>
      <c r="J2030" t="s">
        <v>1522</v>
      </c>
      <c r="L2030">
        <v>0</v>
      </c>
      <c r="P2030" t="s">
        <v>106</v>
      </c>
      <c r="Q2030" t="s">
        <v>106</v>
      </c>
      <c r="R2030" t="s">
        <v>106</v>
      </c>
      <c r="S2030" t="s">
        <v>106</v>
      </c>
      <c r="T2030" t="s">
        <v>835</v>
      </c>
      <c r="U2030" t="s">
        <v>106</v>
      </c>
      <c r="V2030" t="s">
        <v>106</v>
      </c>
      <c r="W2030" t="s">
        <v>557</v>
      </c>
      <c r="X2030" t="s">
        <v>106</v>
      </c>
      <c r="Y2030" t="s">
        <v>108</v>
      </c>
      <c r="Z2030" t="s">
        <v>105</v>
      </c>
      <c r="AA2030" t="s">
        <v>106</v>
      </c>
      <c r="AB2030" t="s">
        <v>106</v>
      </c>
    </row>
    <row r="2031" spans="1:28" x14ac:dyDescent="0.3">
      <c r="A2031" t="s">
        <v>1512</v>
      </c>
      <c r="B2031">
        <v>1</v>
      </c>
      <c r="C2031">
        <v>0</v>
      </c>
      <c r="D2031">
        <v>65</v>
      </c>
      <c r="E2031" t="s">
        <v>456</v>
      </c>
      <c r="F2031" s="12">
        <v>45677</v>
      </c>
      <c r="G2031" t="s">
        <v>592</v>
      </c>
      <c r="H2031" s="12">
        <v>45677</v>
      </c>
      <c r="I2031" t="s">
        <v>341</v>
      </c>
      <c r="J2031" t="s">
        <v>1522</v>
      </c>
      <c r="L2031">
        <v>0</v>
      </c>
      <c r="P2031" t="s">
        <v>106</v>
      </c>
      <c r="Q2031" t="s">
        <v>106</v>
      </c>
      <c r="R2031" t="s">
        <v>106</v>
      </c>
      <c r="S2031" t="s">
        <v>1490</v>
      </c>
      <c r="T2031" t="s">
        <v>851</v>
      </c>
      <c r="U2031" t="s">
        <v>106</v>
      </c>
      <c r="V2031" t="s">
        <v>106</v>
      </c>
      <c r="W2031" t="s">
        <v>557</v>
      </c>
      <c r="X2031" t="s">
        <v>106</v>
      </c>
      <c r="Y2031" t="s">
        <v>108</v>
      </c>
      <c r="Z2031" t="s">
        <v>105</v>
      </c>
      <c r="AA2031" t="s">
        <v>106</v>
      </c>
      <c r="AB2031" t="s">
        <v>106</v>
      </c>
    </row>
    <row r="2032" spans="1:28" x14ac:dyDescent="0.3">
      <c r="A2032" t="s">
        <v>1512</v>
      </c>
      <c r="B2032">
        <v>1</v>
      </c>
      <c r="C2032">
        <v>0</v>
      </c>
      <c r="D2032">
        <v>95</v>
      </c>
      <c r="E2032" t="s">
        <v>456</v>
      </c>
      <c r="F2032" s="12">
        <v>45677</v>
      </c>
      <c r="G2032" t="s">
        <v>669</v>
      </c>
      <c r="H2032" s="12">
        <v>45677</v>
      </c>
      <c r="I2032" t="s">
        <v>1528</v>
      </c>
      <c r="J2032" t="s">
        <v>458</v>
      </c>
      <c r="K2032">
        <v>2</v>
      </c>
      <c r="L2032">
        <v>0</v>
      </c>
      <c r="P2032" t="s">
        <v>106</v>
      </c>
      <c r="Q2032" t="s">
        <v>106</v>
      </c>
      <c r="R2032" t="s">
        <v>106</v>
      </c>
      <c r="S2032" t="s">
        <v>106</v>
      </c>
      <c r="T2032" t="s">
        <v>1274</v>
      </c>
      <c r="U2032" t="s">
        <v>106</v>
      </c>
      <c r="V2032" t="s">
        <v>106</v>
      </c>
      <c r="W2032" t="s">
        <v>443</v>
      </c>
      <c r="X2032" t="s">
        <v>106</v>
      </c>
      <c r="Y2032" t="s">
        <v>108</v>
      </c>
      <c r="Z2032" t="s">
        <v>105</v>
      </c>
      <c r="AA2032" t="s">
        <v>106</v>
      </c>
      <c r="AB2032" t="s">
        <v>106</v>
      </c>
    </row>
    <row r="2033" spans="1:28" x14ac:dyDescent="0.3">
      <c r="A2033" t="s">
        <v>1512</v>
      </c>
      <c r="B2033">
        <v>1</v>
      </c>
      <c r="C2033">
        <v>0</v>
      </c>
      <c r="D2033">
        <v>94</v>
      </c>
      <c r="E2033" t="s">
        <v>456</v>
      </c>
      <c r="F2033" s="12">
        <v>45677</v>
      </c>
      <c r="G2033" t="s">
        <v>667</v>
      </c>
      <c r="H2033" s="12">
        <v>45677</v>
      </c>
      <c r="I2033" t="s">
        <v>1528</v>
      </c>
      <c r="J2033" t="s">
        <v>458</v>
      </c>
      <c r="K2033">
        <v>2</v>
      </c>
      <c r="L2033">
        <v>0</v>
      </c>
      <c r="P2033" t="s">
        <v>106</v>
      </c>
      <c r="Q2033" t="s">
        <v>106</v>
      </c>
      <c r="R2033" t="s">
        <v>106</v>
      </c>
      <c r="S2033" t="s">
        <v>106</v>
      </c>
      <c r="T2033" t="s">
        <v>1529</v>
      </c>
      <c r="U2033" t="s">
        <v>106</v>
      </c>
      <c r="V2033" t="s">
        <v>106</v>
      </c>
      <c r="W2033" t="s">
        <v>443</v>
      </c>
      <c r="X2033" t="s">
        <v>106</v>
      </c>
      <c r="Y2033" t="s">
        <v>108</v>
      </c>
      <c r="Z2033" t="s">
        <v>105</v>
      </c>
      <c r="AA2033" t="s">
        <v>106</v>
      </c>
      <c r="AB2033" t="s">
        <v>106</v>
      </c>
    </row>
    <row r="2034" spans="1:28" x14ac:dyDescent="0.3">
      <c r="A2034" t="s">
        <v>1512</v>
      </c>
      <c r="B2034">
        <v>1</v>
      </c>
      <c r="C2034">
        <v>0</v>
      </c>
      <c r="D2034">
        <v>72</v>
      </c>
      <c r="E2034" t="s">
        <v>456</v>
      </c>
      <c r="F2034" s="12">
        <v>45677</v>
      </c>
      <c r="G2034" t="s">
        <v>1525</v>
      </c>
      <c r="H2034" s="12">
        <v>45677</v>
      </c>
      <c r="I2034" t="s">
        <v>713</v>
      </c>
      <c r="J2034" t="s">
        <v>1522</v>
      </c>
      <c r="L2034">
        <v>0</v>
      </c>
      <c r="P2034" t="s">
        <v>106</v>
      </c>
      <c r="Q2034" t="s">
        <v>106</v>
      </c>
      <c r="R2034" t="s">
        <v>106</v>
      </c>
      <c r="S2034" t="s">
        <v>106</v>
      </c>
      <c r="T2034" t="s">
        <v>1530</v>
      </c>
      <c r="U2034" t="s">
        <v>106</v>
      </c>
      <c r="V2034" t="s">
        <v>106</v>
      </c>
      <c r="W2034" t="s">
        <v>557</v>
      </c>
      <c r="X2034" t="s">
        <v>106</v>
      </c>
      <c r="Y2034" t="s">
        <v>108</v>
      </c>
      <c r="Z2034" t="s">
        <v>105</v>
      </c>
      <c r="AA2034" t="s">
        <v>106</v>
      </c>
      <c r="AB2034" t="s">
        <v>106</v>
      </c>
    </row>
    <row r="2035" spans="1:28" x14ac:dyDescent="0.3">
      <c r="A2035" t="s">
        <v>1512</v>
      </c>
      <c r="B2035">
        <v>2</v>
      </c>
      <c r="C2035">
        <v>15</v>
      </c>
      <c r="D2035">
        <v>50</v>
      </c>
      <c r="E2035" t="s">
        <v>456</v>
      </c>
      <c r="F2035" s="12">
        <v>45677</v>
      </c>
      <c r="G2035" t="s">
        <v>1636</v>
      </c>
      <c r="H2035" s="12">
        <v>45677</v>
      </c>
      <c r="I2035" t="s">
        <v>1663</v>
      </c>
      <c r="J2035" t="s">
        <v>1363</v>
      </c>
      <c r="L2035">
        <v>16</v>
      </c>
      <c r="P2035" t="s">
        <v>106</v>
      </c>
      <c r="Q2035" t="s">
        <v>106</v>
      </c>
      <c r="R2035" t="s">
        <v>106</v>
      </c>
      <c r="S2035" t="s">
        <v>1813</v>
      </c>
      <c r="T2035" t="s">
        <v>2148</v>
      </c>
      <c r="U2035" t="s">
        <v>1479</v>
      </c>
      <c r="V2035" t="s">
        <v>106</v>
      </c>
      <c r="W2035" t="s">
        <v>557</v>
      </c>
      <c r="X2035" t="s">
        <v>106</v>
      </c>
      <c r="Y2035" t="s">
        <v>108</v>
      </c>
      <c r="Z2035" t="s">
        <v>109</v>
      </c>
      <c r="AA2035" t="s">
        <v>106</v>
      </c>
      <c r="AB2035" t="s">
        <v>106</v>
      </c>
    </row>
    <row r="2036" spans="1:28" x14ac:dyDescent="0.3">
      <c r="A2036" t="s">
        <v>1512</v>
      </c>
      <c r="B2036">
        <v>2</v>
      </c>
      <c r="C2036">
        <v>15</v>
      </c>
      <c r="D2036">
        <v>66</v>
      </c>
      <c r="E2036" t="s">
        <v>456</v>
      </c>
      <c r="F2036" s="12">
        <v>45677</v>
      </c>
      <c r="G2036" t="s">
        <v>583</v>
      </c>
      <c r="H2036" s="12">
        <v>45677</v>
      </c>
      <c r="I2036" t="s">
        <v>713</v>
      </c>
      <c r="J2036" t="s">
        <v>1522</v>
      </c>
      <c r="L2036">
        <v>14.6</v>
      </c>
      <c r="P2036" t="s">
        <v>106</v>
      </c>
      <c r="Q2036" t="s">
        <v>106</v>
      </c>
      <c r="R2036" t="s">
        <v>106</v>
      </c>
      <c r="S2036" t="s">
        <v>106</v>
      </c>
      <c r="T2036" t="s">
        <v>1603</v>
      </c>
      <c r="U2036" t="s">
        <v>703</v>
      </c>
      <c r="V2036" t="s">
        <v>106</v>
      </c>
      <c r="W2036" t="s">
        <v>557</v>
      </c>
      <c r="X2036" t="s">
        <v>106</v>
      </c>
      <c r="Y2036" t="s">
        <v>108</v>
      </c>
      <c r="Z2036" t="s">
        <v>109</v>
      </c>
      <c r="AA2036" t="s">
        <v>106</v>
      </c>
      <c r="AB2036" t="s">
        <v>106</v>
      </c>
    </row>
    <row r="2037" spans="1:28" x14ac:dyDescent="0.3">
      <c r="A2037" t="s">
        <v>1512</v>
      </c>
      <c r="B2037">
        <v>2</v>
      </c>
      <c r="C2037">
        <v>15</v>
      </c>
      <c r="D2037">
        <v>67</v>
      </c>
      <c r="E2037" t="s">
        <v>456</v>
      </c>
      <c r="F2037" s="12">
        <v>45677</v>
      </c>
      <c r="G2037" t="s">
        <v>770</v>
      </c>
      <c r="H2037" s="12">
        <v>45677</v>
      </c>
      <c r="I2037" t="s">
        <v>713</v>
      </c>
      <c r="J2037" t="s">
        <v>1522</v>
      </c>
      <c r="L2037">
        <v>16.100000000000001</v>
      </c>
      <c r="P2037" t="s">
        <v>106</v>
      </c>
      <c r="Q2037" t="s">
        <v>106</v>
      </c>
      <c r="R2037" t="s">
        <v>106</v>
      </c>
      <c r="S2037" t="s">
        <v>1408</v>
      </c>
      <c r="T2037" t="s">
        <v>811</v>
      </c>
      <c r="U2037" t="s">
        <v>1411</v>
      </c>
      <c r="V2037" t="s">
        <v>106</v>
      </c>
      <c r="W2037" t="s">
        <v>557</v>
      </c>
      <c r="X2037" t="s">
        <v>106</v>
      </c>
      <c r="Y2037" t="s">
        <v>108</v>
      </c>
      <c r="Z2037" t="s">
        <v>109</v>
      </c>
      <c r="AA2037" t="s">
        <v>106</v>
      </c>
      <c r="AB2037" t="s">
        <v>106</v>
      </c>
    </row>
    <row r="2038" spans="1:28" x14ac:dyDescent="0.3">
      <c r="A2038" t="s">
        <v>1512</v>
      </c>
      <c r="B2038">
        <v>2</v>
      </c>
      <c r="C2038">
        <v>15</v>
      </c>
      <c r="D2038">
        <v>74</v>
      </c>
      <c r="E2038" t="s">
        <v>456</v>
      </c>
      <c r="F2038" s="12">
        <v>45677</v>
      </c>
      <c r="G2038" t="s">
        <v>865</v>
      </c>
      <c r="H2038" s="12">
        <v>45677</v>
      </c>
      <c r="I2038" t="s">
        <v>461</v>
      </c>
      <c r="J2038" t="s">
        <v>458</v>
      </c>
      <c r="K2038">
        <v>2</v>
      </c>
      <c r="L2038">
        <v>16</v>
      </c>
      <c r="P2038" t="s">
        <v>106</v>
      </c>
      <c r="Q2038" t="s">
        <v>106</v>
      </c>
      <c r="R2038" t="s">
        <v>106</v>
      </c>
      <c r="S2038" t="s">
        <v>106</v>
      </c>
      <c r="T2038" t="s">
        <v>780</v>
      </c>
      <c r="U2038" t="s">
        <v>136</v>
      </c>
      <c r="V2038" t="s">
        <v>106</v>
      </c>
      <c r="W2038" t="s">
        <v>443</v>
      </c>
      <c r="X2038" t="s">
        <v>106</v>
      </c>
      <c r="Y2038" t="s">
        <v>108</v>
      </c>
      <c r="Z2038" t="s">
        <v>109</v>
      </c>
      <c r="AA2038" t="s">
        <v>106</v>
      </c>
      <c r="AB2038" t="s">
        <v>106</v>
      </c>
    </row>
    <row r="2039" spans="1:28" x14ac:dyDescent="0.3">
      <c r="A2039" t="s">
        <v>1512</v>
      </c>
      <c r="B2039">
        <v>2</v>
      </c>
      <c r="C2039">
        <v>15</v>
      </c>
      <c r="D2039">
        <v>75</v>
      </c>
      <c r="E2039" t="s">
        <v>456</v>
      </c>
      <c r="F2039" s="12">
        <v>45677</v>
      </c>
      <c r="G2039" t="s">
        <v>865</v>
      </c>
      <c r="H2039" s="12">
        <v>45677</v>
      </c>
      <c r="I2039" t="s">
        <v>461</v>
      </c>
      <c r="J2039" t="s">
        <v>458</v>
      </c>
      <c r="K2039">
        <v>2</v>
      </c>
      <c r="L2039">
        <v>15.6</v>
      </c>
      <c r="P2039" t="s">
        <v>106</v>
      </c>
      <c r="Q2039" t="s">
        <v>106</v>
      </c>
      <c r="R2039" t="s">
        <v>106</v>
      </c>
      <c r="S2039" t="s">
        <v>106</v>
      </c>
      <c r="T2039" t="s">
        <v>1523</v>
      </c>
      <c r="U2039" t="s">
        <v>395</v>
      </c>
      <c r="V2039" t="s">
        <v>106</v>
      </c>
      <c r="W2039" t="s">
        <v>443</v>
      </c>
      <c r="X2039" t="s">
        <v>106</v>
      </c>
      <c r="Y2039" t="s">
        <v>108</v>
      </c>
      <c r="Z2039" t="s">
        <v>109</v>
      </c>
      <c r="AA2039" t="s">
        <v>106</v>
      </c>
      <c r="AB2039" t="s">
        <v>106</v>
      </c>
    </row>
    <row r="2040" spans="1:28" x14ac:dyDescent="0.3">
      <c r="A2040" t="s">
        <v>1512</v>
      </c>
      <c r="B2040">
        <v>2</v>
      </c>
      <c r="C2040">
        <v>15</v>
      </c>
      <c r="D2040">
        <v>80</v>
      </c>
      <c r="E2040" t="s">
        <v>456</v>
      </c>
      <c r="F2040" s="12">
        <v>45677</v>
      </c>
      <c r="G2040" t="s">
        <v>1173</v>
      </c>
      <c r="H2040" s="12">
        <v>45677</v>
      </c>
      <c r="I2040" t="s">
        <v>1883</v>
      </c>
      <c r="J2040" t="s">
        <v>458</v>
      </c>
      <c r="K2040">
        <v>2</v>
      </c>
      <c r="L2040">
        <v>15.7</v>
      </c>
      <c r="P2040" t="s">
        <v>106</v>
      </c>
      <c r="Q2040" t="s">
        <v>106</v>
      </c>
      <c r="R2040" t="s">
        <v>106</v>
      </c>
      <c r="S2040" t="s">
        <v>106</v>
      </c>
      <c r="T2040" t="s">
        <v>1105</v>
      </c>
      <c r="U2040" t="s">
        <v>106</v>
      </c>
      <c r="V2040" t="s">
        <v>106</v>
      </c>
      <c r="W2040" t="s">
        <v>443</v>
      </c>
      <c r="X2040" t="s">
        <v>106</v>
      </c>
      <c r="Y2040" t="s">
        <v>108</v>
      </c>
      <c r="Z2040" t="s">
        <v>109</v>
      </c>
      <c r="AA2040" t="s">
        <v>106</v>
      </c>
      <c r="AB2040" t="s">
        <v>106</v>
      </c>
    </row>
    <row r="2041" spans="1:28" x14ac:dyDescent="0.3">
      <c r="A2041" t="s">
        <v>1512</v>
      </c>
      <c r="B2041">
        <v>2</v>
      </c>
      <c r="C2041">
        <v>15</v>
      </c>
      <c r="D2041">
        <v>59</v>
      </c>
      <c r="E2041" t="s">
        <v>456</v>
      </c>
      <c r="F2041" s="12">
        <v>45677</v>
      </c>
      <c r="G2041" t="s">
        <v>869</v>
      </c>
      <c r="H2041" s="12">
        <v>45677</v>
      </c>
      <c r="I2041" t="s">
        <v>341</v>
      </c>
      <c r="J2041" t="s">
        <v>1522</v>
      </c>
      <c r="L2041">
        <v>14.9</v>
      </c>
      <c r="P2041" t="s">
        <v>106</v>
      </c>
      <c r="Q2041" t="s">
        <v>106</v>
      </c>
      <c r="R2041" t="s">
        <v>106</v>
      </c>
      <c r="S2041" t="s">
        <v>1863</v>
      </c>
      <c r="T2041" t="s">
        <v>1585</v>
      </c>
      <c r="U2041" t="s">
        <v>1591</v>
      </c>
      <c r="V2041" t="s">
        <v>106</v>
      </c>
      <c r="W2041" t="s">
        <v>557</v>
      </c>
      <c r="X2041" t="s">
        <v>106</v>
      </c>
      <c r="Y2041" t="s">
        <v>108</v>
      </c>
      <c r="Z2041" t="s">
        <v>109</v>
      </c>
      <c r="AA2041" t="s">
        <v>106</v>
      </c>
      <c r="AB2041" t="s">
        <v>106</v>
      </c>
    </row>
    <row r="2042" spans="1:28" x14ac:dyDescent="0.3">
      <c r="A2042" t="s">
        <v>1512</v>
      </c>
      <c r="B2042">
        <v>2</v>
      </c>
      <c r="C2042">
        <v>15</v>
      </c>
      <c r="D2042">
        <v>88</v>
      </c>
      <c r="E2042" t="s">
        <v>456</v>
      </c>
      <c r="F2042" s="12">
        <v>45677</v>
      </c>
      <c r="G2042" t="s">
        <v>1330</v>
      </c>
      <c r="H2042" s="12">
        <v>45677</v>
      </c>
      <c r="I2042" t="s">
        <v>1528</v>
      </c>
      <c r="J2042" t="s">
        <v>458</v>
      </c>
      <c r="K2042">
        <v>2</v>
      </c>
      <c r="L2042">
        <v>15</v>
      </c>
      <c r="P2042" t="s">
        <v>106</v>
      </c>
      <c r="Q2042" t="s">
        <v>106</v>
      </c>
      <c r="R2042" t="s">
        <v>106</v>
      </c>
      <c r="S2042" t="s">
        <v>106</v>
      </c>
      <c r="T2042" t="s">
        <v>1158</v>
      </c>
      <c r="U2042" t="s">
        <v>106</v>
      </c>
      <c r="V2042" t="s">
        <v>106</v>
      </c>
      <c r="W2042" t="s">
        <v>443</v>
      </c>
      <c r="X2042" t="s">
        <v>106</v>
      </c>
      <c r="Y2042" t="s">
        <v>108</v>
      </c>
      <c r="Z2042" t="s">
        <v>109</v>
      </c>
      <c r="AA2042" t="s">
        <v>106</v>
      </c>
      <c r="AB2042" t="s">
        <v>106</v>
      </c>
    </row>
    <row r="2043" spans="1:28" x14ac:dyDescent="0.3">
      <c r="A2043" t="s">
        <v>1512</v>
      </c>
      <c r="B2043">
        <v>2</v>
      </c>
      <c r="C2043">
        <v>15</v>
      </c>
      <c r="D2043">
        <v>81</v>
      </c>
      <c r="E2043" t="s">
        <v>456</v>
      </c>
      <c r="F2043" s="12">
        <v>45677</v>
      </c>
      <c r="G2043" t="s">
        <v>2149</v>
      </c>
      <c r="H2043" s="12">
        <v>45677</v>
      </c>
      <c r="I2043" t="s">
        <v>1883</v>
      </c>
      <c r="J2043" t="s">
        <v>458</v>
      </c>
      <c r="K2043">
        <v>2</v>
      </c>
      <c r="L2043">
        <v>15.6</v>
      </c>
      <c r="P2043" t="s">
        <v>106</v>
      </c>
      <c r="Q2043" t="s">
        <v>106</v>
      </c>
      <c r="R2043" t="s">
        <v>106</v>
      </c>
      <c r="S2043" t="s">
        <v>106</v>
      </c>
      <c r="T2043" t="s">
        <v>1931</v>
      </c>
      <c r="U2043" t="s">
        <v>106</v>
      </c>
      <c r="V2043" t="s">
        <v>106</v>
      </c>
      <c r="W2043" t="s">
        <v>443</v>
      </c>
      <c r="X2043" t="s">
        <v>106</v>
      </c>
      <c r="Y2043" t="s">
        <v>108</v>
      </c>
      <c r="Z2043" t="s">
        <v>109</v>
      </c>
      <c r="AA2043" t="s">
        <v>106</v>
      </c>
      <c r="AB2043" t="s">
        <v>106</v>
      </c>
    </row>
    <row r="2044" spans="1:28" x14ac:dyDescent="0.3">
      <c r="A2044" t="s">
        <v>1512</v>
      </c>
      <c r="B2044">
        <v>2</v>
      </c>
      <c r="C2044">
        <v>15</v>
      </c>
      <c r="D2044">
        <v>89</v>
      </c>
      <c r="E2044" t="s">
        <v>456</v>
      </c>
      <c r="F2044" s="12">
        <v>45677</v>
      </c>
      <c r="G2044" t="s">
        <v>2150</v>
      </c>
      <c r="H2044" s="12">
        <v>45677</v>
      </c>
      <c r="I2044" t="s">
        <v>1528</v>
      </c>
      <c r="J2044" t="s">
        <v>458</v>
      </c>
      <c r="K2044">
        <v>2</v>
      </c>
      <c r="L2044">
        <v>15.2</v>
      </c>
      <c r="P2044" t="s">
        <v>106</v>
      </c>
      <c r="Q2044" t="s">
        <v>106</v>
      </c>
      <c r="R2044" t="s">
        <v>106</v>
      </c>
      <c r="S2044" t="s">
        <v>106</v>
      </c>
      <c r="T2044" t="s">
        <v>105</v>
      </c>
      <c r="U2044" t="s">
        <v>106</v>
      </c>
      <c r="V2044" t="s">
        <v>106</v>
      </c>
      <c r="W2044" t="s">
        <v>443</v>
      </c>
      <c r="X2044" t="s">
        <v>106</v>
      </c>
      <c r="Y2044" t="s">
        <v>108</v>
      </c>
      <c r="Z2044" t="s">
        <v>109</v>
      </c>
      <c r="AA2044" t="s">
        <v>106</v>
      </c>
      <c r="AB2044" t="s">
        <v>106</v>
      </c>
    </row>
    <row r="2045" spans="1:28" x14ac:dyDescent="0.3">
      <c r="A2045" t="s">
        <v>1512</v>
      </c>
      <c r="B2045">
        <v>2</v>
      </c>
      <c r="C2045">
        <v>15</v>
      </c>
      <c r="D2045">
        <v>58</v>
      </c>
      <c r="E2045" t="s">
        <v>456</v>
      </c>
      <c r="F2045" s="12">
        <v>45677</v>
      </c>
      <c r="G2045" t="s">
        <v>869</v>
      </c>
      <c r="H2045" s="12">
        <v>45677</v>
      </c>
      <c r="I2045" t="s">
        <v>341</v>
      </c>
      <c r="J2045" t="s">
        <v>1522</v>
      </c>
      <c r="L2045">
        <v>14.9</v>
      </c>
      <c r="P2045" t="s">
        <v>106</v>
      </c>
      <c r="Q2045" t="s">
        <v>106</v>
      </c>
      <c r="R2045" t="s">
        <v>106</v>
      </c>
      <c r="S2045" t="s">
        <v>106</v>
      </c>
      <c r="T2045" t="s">
        <v>1280</v>
      </c>
      <c r="U2045" t="s">
        <v>1382</v>
      </c>
      <c r="V2045" t="s">
        <v>106</v>
      </c>
      <c r="W2045" t="s">
        <v>557</v>
      </c>
      <c r="X2045" t="s">
        <v>106</v>
      </c>
      <c r="Y2045" t="s">
        <v>108</v>
      </c>
      <c r="Z2045" t="s">
        <v>109</v>
      </c>
      <c r="AA2045" t="s">
        <v>106</v>
      </c>
      <c r="AB2045" t="s">
        <v>106</v>
      </c>
    </row>
    <row r="2046" spans="1:28" x14ac:dyDescent="0.3">
      <c r="A2046" t="s">
        <v>1512</v>
      </c>
      <c r="B2046">
        <v>2</v>
      </c>
      <c r="C2046">
        <v>15</v>
      </c>
      <c r="D2046">
        <v>51</v>
      </c>
      <c r="E2046" t="s">
        <v>456</v>
      </c>
      <c r="F2046" s="12">
        <v>45677</v>
      </c>
      <c r="G2046" t="s">
        <v>547</v>
      </c>
      <c r="H2046" s="12">
        <v>45677</v>
      </c>
      <c r="I2046" t="s">
        <v>1663</v>
      </c>
      <c r="J2046" t="s">
        <v>1363</v>
      </c>
      <c r="L2046">
        <v>15.9</v>
      </c>
      <c r="P2046" t="s">
        <v>106</v>
      </c>
      <c r="Q2046" t="s">
        <v>106</v>
      </c>
      <c r="R2046" t="s">
        <v>106</v>
      </c>
      <c r="S2046" t="s">
        <v>106</v>
      </c>
      <c r="T2046" t="s">
        <v>684</v>
      </c>
      <c r="U2046" t="s">
        <v>565</v>
      </c>
      <c r="V2046" t="s">
        <v>106</v>
      </c>
      <c r="W2046" t="s">
        <v>557</v>
      </c>
      <c r="X2046" t="s">
        <v>106</v>
      </c>
      <c r="Y2046" t="s">
        <v>108</v>
      </c>
      <c r="Z2046" t="s">
        <v>109</v>
      </c>
      <c r="AA2046" t="s">
        <v>106</v>
      </c>
      <c r="AB2046" t="s">
        <v>106</v>
      </c>
    </row>
    <row r="2047" spans="1:28" x14ac:dyDescent="0.3">
      <c r="A2047" t="s">
        <v>1512</v>
      </c>
      <c r="B2047">
        <v>3</v>
      </c>
      <c r="C2047">
        <v>35</v>
      </c>
      <c r="D2047">
        <v>76</v>
      </c>
      <c r="E2047" t="s">
        <v>456</v>
      </c>
      <c r="F2047" s="12">
        <v>45677</v>
      </c>
      <c r="G2047" t="s">
        <v>735</v>
      </c>
      <c r="H2047" s="12">
        <v>45677</v>
      </c>
      <c r="I2047" t="s">
        <v>461</v>
      </c>
      <c r="J2047" t="s">
        <v>458</v>
      </c>
      <c r="K2047">
        <v>2</v>
      </c>
      <c r="L2047">
        <v>38.700000000000003</v>
      </c>
      <c r="P2047" t="s">
        <v>106</v>
      </c>
      <c r="Q2047" t="s">
        <v>106</v>
      </c>
      <c r="R2047" t="s">
        <v>106</v>
      </c>
      <c r="S2047" t="s">
        <v>106</v>
      </c>
      <c r="T2047" t="s">
        <v>775</v>
      </c>
      <c r="U2047" t="s">
        <v>429</v>
      </c>
      <c r="V2047" t="s">
        <v>106</v>
      </c>
      <c r="W2047" t="s">
        <v>443</v>
      </c>
      <c r="X2047" t="s">
        <v>106</v>
      </c>
      <c r="Y2047" t="s">
        <v>108</v>
      </c>
      <c r="Z2047" t="s">
        <v>108</v>
      </c>
      <c r="AA2047" t="s">
        <v>106</v>
      </c>
      <c r="AB2047" t="s">
        <v>106</v>
      </c>
    </row>
    <row r="2048" spans="1:28" x14ac:dyDescent="0.3">
      <c r="A2048" t="s">
        <v>1512</v>
      </c>
      <c r="B2048">
        <v>3</v>
      </c>
      <c r="C2048">
        <v>35</v>
      </c>
      <c r="D2048">
        <v>91</v>
      </c>
      <c r="E2048" t="s">
        <v>456</v>
      </c>
      <c r="F2048" s="12">
        <v>45677</v>
      </c>
      <c r="G2048" t="s">
        <v>2150</v>
      </c>
      <c r="H2048" s="12">
        <v>45677</v>
      </c>
      <c r="I2048" t="s">
        <v>1528</v>
      </c>
      <c r="J2048" t="s">
        <v>458</v>
      </c>
      <c r="K2048">
        <v>2</v>
      </c>
      <c r="L2048">
        <v>37.9</v>
      </c>
      <c r="P2048" t="s">
        <v>106</v>
      </c>
      <c r="Q2048" t="s">
        <v>106</v>
      </c>
      <c r="R2048" t="s">
        <v>106</v>
      </c>
      <c r="S2048" t="s">
        <v>106</v>
      </c>
      <c r="T2048" t="s">
        <v>1235</v>
      </c>
      <c r="U2048" t="s">
        <v>106</v>
      </c>
      <c r="V2048" t="s">
        <v>106</v>
      </c>
      <c r="W2048" t="s">
        <v>443</v>
      </c>
      <c r="X2048" t="s">
        <v>106</v>
      </c>
      <c r="Y2048" t="s">
        <v>108</v>
      </c>
      <c r="Z2048" t="s">
        <v>108</v>
      </c>
      <c r="AA2048" t="s">
        <v>106</v>
      </c>
      <c r="AB2048" t="s">
        <v>106</v>
      </c>
    </row>
    <row r="2049" spans="1:28" x14ac:dyDescent="0.3">
      <c r="A2049" t="s">
        <v>1512</v>
      </c>
      <c r="B2049">
        <v>3</v>
      </c>
      <c r="C2049">
        <v>35</v>
      </c>
      <c r="D2049">
        <v>86</v>
      </c>
      <c r="E2049" t="s">
        <v>456</v>
      </c>
      <c r="F2049" s="12">
        <v>45677</v>
      </c>
      <c r="G2049" t="s">
        <v>2157</v>
      </c>
      <c r="H2049" s="12">
        <v>45677</v>
      </c>
      <c r="I2049" t="s">
        <v>815</v>
      </c>
      <c r="J2049" t="s">
        <v>458</v>
      </c>
      <c r="K2049">
        <v>2</v>
      </c>
      <c r="L2049">
        <v>37.799999999999997</v>
      </c>
      <c r="P2049" t="s">
        <v>106</v>
      </c>
      <c r="Q2049" t="s">
        <v>106</v>
      </c>
      <c r="R2049" t="s">
        <v>106</v>
      </c>
      <c r="S2049" t="s">
        <v>106</v>
      </c>
      <c r="T2049" t="s">
        <v>1004</v>
      </c>
      <c r="U2049" t="s">
        <v>106</v>
      </c>
      <c r="V2049" t="s">
        <v>106</v>
      </c>
      <c r="W2049" t="s">
        <v>443</v>
      </c>
      <c r="X2049" t="s">
        <v>106</v>
      </c>
      <c r="Y2049" t="s">
        <v>108</v>
      </c>
      <c r="Z2049" t="s">
        <v>108</v>
      </c>
      <c r="AA2049" t="s">
        <v>106</v>
      </c>
      <c r="AB2049" t="s">
        <v>106</v>
      </c>
    </row>
    <row r="2050" spans="1:28" x14ac:dyDescent="0.3">
      <c r="A2050" t="s">
        <v>1512</v>
      </c>
      <c r="B2050">
        <v>3</v>
      </c>
      <c r="C2050">
        <v>35</v>
      </c>
      <c r="D2050">
        <v>83</v>
      </c>
      <c r="E2050" t="s">
        <v>456</v>
      </c>
      <c r="F2050" s="12">
        <v>45677</v>
      </c>
      <c r="G2050" t="s">
        <v>2045</v>
      </c>
      <c r="H2050" s="12">
        <v>45677</v>
      </c>
      <c r="I2050" t="s">
        <v>1883</v>
      </c>
      <c r="J2050" t="s">
        <v>458</v>
      </c>
      <c r="K2050">
        <v>2</v>
      </c>
      <c r="L2050">
        <v>37.9</v>
      </c>
      <c r="P2050" t="s">
        <v>106</v>
      </c>
      <c r="Q2050" t="s">
        <v>106</v>
      </c>
      <c r="R2050" t="s">
        <v>106</v>
      </c>
      <c r="S2050" t="s">
        <v>106</v>
      </c>
      <c r="T2050" t="s">
        <v>1125</v>
      </c>
      <c r="U2050" t="s">
        <v>106</v>
      </c>
      <c r="V2050" t="s">
        <v>106</v>
      </c>
      <c r="W2050" t="s">
        <v>443</v>
      </c>
      <c r="X2050" t="s">
        <v>106</v>
      </c>
      <c r="Y2050" t="s">
        <v>108</v>
      </c>
      <c r="Z2050" t="s">
        <v>108</v>
      </c>
      <c r="AA2050" t="s">
        <v>106</v>
      </c>
      <c r="AB2050" t="s">
        <v>106</v>
      </c>
    </row>
    <row r="2051" spans="1:28" x14ac:dyDescent="0.3">
      <c r="A2051" t="s">
        <v>1512</v>
      </c>
      <c r="B2051">
        <v>3</v>
      </c>
      <c r="C2051">
        <v>35</v>
      </c>
      <c r="D2051">
        <v>82</v>
      </c>
      <c r="E2051" t="s">
        <v>456</v>
      </c>
      <c r="F2051" s="12">
        <v>45677</v>
      </c>
      <c r="G2051" t="s">
        <v>2045</v>
      </c>
      <c r="H2051" s="12">
        <v>45677</v>
      </c>
      <c r="I2051" t="s">
        <v>1883</v>
      </c>
      <c r="J2051" t="s">
        <v>458</v>
      </c>
      <c r="K2051">
        <v>2</v>
      </c>
      <c r="L2051">
        <v>38.5</v>
      </c>
      <c r="P2051" t="s">
        <v>106</v>
      </c>
      <c r="Q2051" t="s">
        <v>106</v>
      </c>
      <c r="R2051" t="s">
        <v>106</v>
      </c>
      <c r="S2051" t="s">
        <v>106</v>
      </c>
      <c r="T2051" t="s">
        <v>1041</v>
      </c>
      <c r="U2051" t="s">
        <v>106</v>
      </c>
      <c r="V2051" t="s">
        <v>106</v>
      </c>
      <c r="W2051" t="s">
        <v>443</v>
      </c>
      <c r="X2051" t="s">
        <v>106</v>
      </c>
      <c r="Y2051" t="s">
        <v>108</v>
      </c>
      <c r="Z2051" t="s">
        <v>108</v>
      </c>
      <c r="AA2051" t="s">
        <v>106</v>
      </c>
      <c r="AB2051" t="s">
        <v>106</v>
      </c>
    </row>
    <row r="2052" spans="1:28" x14ac:dyDescent="0.3">
      <c r="A2052" t="s">
        <v>1512</v>
      </c>
      <c r="B2052">
        <v>3</v>
      </c>
      <c r="C2052">
        <v>35</v>
      </c>
      <c r="D2052">
        <v>77</v>
      </c>
      <c r="E2052" t="s">
        <v>456</v>
      </c>
      <c r="F2052" s="12">
        <v>45677</v>
      </c>
      <c r="G2052" t="s">
        <v>735</v>
      </c>
      <c r="H2052" s="12">
        <v>45677</v>
      </c>
      <c r="I2052" t="s">
        <v>461</v>
      </c>
      <c r="J2052" t="s">
        <v>458</v>
      </c>
      <c r="K2052">
        <v>2</v>
      </c>
      <c r="L2052">
        <v>38.5</v>
      </c>
      <c r="P2052" t="s">
        <v>106</v>
      </c>
      <c r="Q2052" t="s">
        <v>106</v>
      </c>
      <c r="R2052" t="s">
        <v>106</v>
      </c>
      <c r="S2052" t="s">
        <v>106</v>
      </c>
      <c r="T2052" t="s">
        <v>690</v>
      </c>
      <c r="U2052" t="s">
        <v>1345</v>
      </c>
      <c r="V2052" t="s">
        <v>106</v>
      </c>
      <c r="W2052" t="s">
        <v>443</v>
      </c>
      <c r="X2052" t="s">
        <v>106</v>
      </c>
      <c r="Y2052" t="s">
        <v>108</v>
      </c>
      <c r="Z2052" t="s">
        <v>108</v>
      </c>
      <c r="AA2052" t="s">
        <v>106</v>
      </c>
      <c r="AB2052" t="s">
        <v>106</v>
      </c>
    </row>
    <row r="2053" spans="1:28" x14ac:dyDescent="0.3">
      <c r="A2053" t="s">
        <v>1512</v>
      </c>
      <c r="B2053">
        <v>3</v>
      </c>
      <c r="C2053">
        <v>35</v>
      </c>
      <c r="D2053">
        <v>68</v>
      </c>
      <c r="E2053" t="s">
        <v>456</v>
      </c>
      <c r="F2053" s="12">
        <v>45677</v>
      </c>
      <c r="G2053" t="s">
        <v>2537</v>
      </c>
      <c r="H2053" s="12">
        <v>45677</v>
      </c>
      <c r="I2053" t="s">
        <v>713</v>
      </c>
      <c r="J2053" t="s">
        <v>1522</v>
      </c>
      <c r="L2053">
        <v>35.4</v>
      </c>
      <c r="P2053" t="s">
        <v>106</v>
      </c>
      <c r="Q2053" t="s">
        <v>106</v>
      </c>
      <c r="R2053" t="s">
        <v>106</v>
      </c>
      <c r="S2053" t="s">
        <v>106</v>
      </c>
      <c r="T2053" t="s">
        <v>1145</v>
      </c>
      <c r="U2053" t="s">
        <v>361</v>
      </c>
      <c r="V2053" t="s">
        <v>106</v>
      </c>
      <c r="W2053" t="s">
        <v>557</v>
      </c>
      <c r="X2053" t="s">
        <v>106</v>
      </c>
      <c r="Y2053" t="s">
        <v>108</v>
      </c>
      <c r="Z2053" t="s">
        <v>108</v>
      </c>
      <c r="AA2053" t="s">
        <v>106</v>
      </c>
      <c r="AB2053" t="s">
        <v>106</v>
      </c>
    </row>
    <row r="2054" spans="1:28" x14ac:dyDescent="0.3">
      <c r="A2054" t="s">
        <v>1512</v>
      </c>
      <c r="B2054">
        <v>3</v>
      </c>
      <c r="C2054">
        <v>35</v>
      </c>
      <c r="D2054">
        <v>69</v>
      </c>
      <c r="E2054" t="s">
        <v>456</v>
      </c>
      <c r="F2054" s="12">
        <v>45677</v>
      </c>
      <c r="G2054" t="s">
        <v>794</v>
      </c>
      <c r="H2054" s="12">
        <v>45677</v>
      </c>
      <c r="I2054" t="s">
        <v>713</v>
      </c>
      <c r="J2054" t="s">
        <v>1522</v>
      </c>
      <c r="L2054">
        <v>35.200000000000003</v>
      </c>
      <c r="P2054" t="s">
        <v>106</v>
      </c>
      <c r="Q2054" t="s">
        <v>106</v>
      </c>
      <c r="R2054" t="s">
        <v>106</v>
      </c>
      <c r="S2054" t="s">
        <v>2538</v>
      </c>
      <c r="T2054" t="s">
        <v>996</v>
      </c>
      <c r="U2054" t="s">
        <v>1477</v>
      </c>
      <c r="V2054" t="s">
        <v>106</v>
      </c>
      <c r="W2054" t="s">
        <v>557</v>
      </c>
      <c r="X2054" t="s">
        <v>106</v>
      </c>
      <c r="Y2054" t="s">
        <v>108</v>
      </c>
      <c r="Z2054" t="s">
        <v>108</v>
      </c>
      <c r="AA2054" t="s">
        <v>106</v>
      </c>
      <c r="AB2054" t="s">
        <v>106</v>
      </c>
    </row>
    <row r="2055" spans="1:28" x14ac:dyDescent="0.3">
      <c r="A2055" t="s">
        <v>1512</v>
      </c>
      <c r="B2055">
        <v>3</v>
      </c>
      <c r="C2055">
        <v>35</v>
      </c>
      <c r="D2055">
        <v>90</v>
      </c>
      <c r="E2055" t="s">
        <v>456</v>
      </c>
      <c r="F2055" s="12">
        <v>45677</v>
      </c>
      <c r="G2055" t="s">
        <v>2150</v>
      </c>
      <c r="H2055" s="12">
        <v>45677</v>
      </c>
      <c r="I2055" t="s">
        <v>1528</v>
      </c>
      <c r="J2055" t="s">
        <v>458</v>
      </c>
      <c r="K2055">
        <v>2</v>
      </c>
      <c r="L2055">
        <v>38.299999999999997</v>
      </c>
      <c r="P2055" t="s">
        <v>106</v>
      </c>
      <c r="Q2055" t="s">
        <v>106</v>
      </c>
      <c r="R2055" t="s">
        <v>106</v>
      </c>
      <c r="S2055" t="s">
        <v>106</v>
      </c>
      <c r="T2055" t="s">
        <v>993</v>
      </c>
      <c r="U2055" t="s">
        <v>106</v>
      </c>
      <c r="V2055" t="s">
        <v>106</v>
      </c>
      <c r="W2055" t="s">
        <v>443</v>
      </c>
      <c r="X2055" t="s">
        <v>106</v>
      </c>
      <c r="Y2055" t="s">
        <v>108</v>
      </c>
      <c r="Z2055" t="s">
        <v>108</v>
      </c>
      <c r="AA2055" t="s">
        <v>106</v>
      </c>
      <c r="AB2055" t="s">
        <v>106</v>
      </c>
    </row>
    <row r="2056" spans="1:28" x14ac:dyDescent="0.3">
      <c r="A2056" t="s">
        <v>1512</v>
      </c>
      <c r="B2056">
        <v>3</v>
      </c>
      <c r="C2056">
        <v>35</v>
      </c>
      <c r="D2056">
        <v>61</v>
      </c>
      <c r="E2056" t="s">
        <v>456</v>
      </c>
      <c r="F2056" s="12">
        <v>45677</v>
      </c>
      <c r="G2056" t="s">
        <v>2516</v>
      </c>
      <c r="H2056" s="12">
        <v>45677</v>
      </c>
      <c r="I2056" t="s">
        <v>341</v>
      </c>
      <c r="J2056" t="s">
        <v>1522</v>
      </c>
      <c r="L2056">
        <v>37.5</v>
      </c>
      <c r="P2056" t="s">
        <v>106</v>
      </c>
      <c r="Q2056" t="s">
        <v>106</v>
      </c>
      <c r="R2056" t="s">
        <v>106</v>
      </c>
      <c r="S2056" t="s">
        <v>1373</v>
      </c>
      <c r="T2056" t="s">
        <v>806</v>
      </c>
      <c r="U2056" t="s">
        <v>1591</v>
      </c>
      <c r="V2056" t="s">
        <v>106</v>
      </c>
      <c r="W2056" t="s">
        <v>557</v>
      </c>
      <c r="X2056" t="s">
        <v>106</v>
      </c>
      <c r="Y2056" t="s">
        <v>108</v>
      </c>
      <c r="Z2056" t="s">
        <v>108</v>
      </c>
      <c r="AA2056" t="s">
        <v>106</v>
      </c>
      <c r="AB2056" t="s">
        <v>106</v>
      </c>
    </row>
    <row r="2057" spans="1:28" x14ac:dyDescent="0.3">
      <c r="A2057" t="s">
        <v>1512</v>
      </c>
      <c r="B2057">
        <v>3</v>
      </c>
      <c r="C2057">
        <v>35</v>
      </c>
      <c r="D2057">
        <v>60</v>
      </c>
      <c r="E2057" t="s">
        <v>456</v>
      </c>
      <c r="F2057" s="12">
        <v>45677</v>
      </c>
      <c r="G2057" t="s">
        <v>524</v>
      </c>
      <c r="H2057" s="12">
        <v>45677</v>
      </c>
      <c r="I2057" t="s">
        <v>341</v>
      </c>
      <c r="J2057" t="s">
        <v>1522</v>
      </c>
      <c r="L2057">
        <v>37.1</v>
      </c>
      <c r="P2057" t="s">
        <v>106</v>
      </c>
      <c r="Q2057" t="s">
        <v>106</v>
      </c>
      <c r="R2057" t="s">
        <v>106</v>
      </c>
      <c r="S2057" t="s">
        <v>106</v>
      </c>
      <c r="T2057" t="s">
        <v>1069</v>
      </c>
      <c r="U2057" t="s">
        <v>1604</v>
      </c>
      <c r="V2057" t="s">
        <v>106</v>
      </c>
      <c r="W2057" t="s">
        <v>557</v>
      </c>
      <c r="X2057" t="s">
        <v>106</v>
      </c>
      <c r="Y2057" t="s">
        <v>108</v>
      </c>
      <c r="Z2057" t="s">
        <v>108</v>
      </c>
      <c r="AA2057" t="s">
        <v>106</v>
      </c>
      <c r="AB2057" t="s">
        <v>106</v>
      </c>
    </row>
    <row r="2058" spans="1:28" x14ac:dyDescent="0.3">
      <c r="A2058" t="s">
        <v>1512</v>
      </c>
      <c r="B2058">
        <v>3</v>
      </c>
      <c r="C2058">
        <v>35</v>
      </c>
      <c r="D2058">
        <v>53</v>
      </c>
      <c r="E2058" t="s">
        <v>456</v>
      </c>
      <c r="F2058" s="12">
        <v>45677</v>
      </c>
      <c r="G2058" t="s">
        <v>2112</v>
      </c>
      <c r="H2058" s="12">
        <v>45677</v>
      </c>
      <c r="I2058" t="s">
        <v>1663</v>
      </c>
      <c r="J2058" t="s">
        <v>1363</v>
      </c>
      <c r="L2058">
        <v>38.1</v>
      </c>
      <c r="P2058" t="s">
        <v>106</v>
      </c>
      <c r="Q2058" t="s">
        <v>106</v>
      </c>
      <c r="R2058" t="s">
        <v>106</v>
      </c>
      <c r="S2058" t="s">
        <v>106</v>
      </c>
      <c r="T2058" t="s">
        <v>1555</v>
      </c>
      <c r="U2058" t="s">
        <v>708</v>
      </c>
      <c r="V2058" t="s">
        <v>106</v>
      </c>
      <c r="W2058" t="s">
        <v>557</v>
      </c>
      <c r="X2058" t="s">
        <v>106</v>
      </c>
      <c r="Y2058" t="s">
        <v>108</v>
      </c>
      <c r="Z2058" t="s">
        <v>108</v>
      </c>
      <c r="AA2058" t="s">
        <v>106</v>
      </c>
      <c r="AB2058" t="s">
        <v>106</v>
      </c>
    </row>
    <row r="2059" spans="1:28" x14ac:dyDescent="0.3">
      <c r="A2059" t="s">
        <v>1512</v>
      </c>
      <c r="B2059">
        <v>3</v>
      </c>
      <c r="C2059">
        <v>35</v>
      </c>
      <c r="D2059">
        <v>52</v>
      </c>
      <c r="E2059" t="s">
        <v>456</v>
      </c>
      <c r="F2059" s="12">
        <v>45677</v>
      </c>
      <c r="G2059" t="s">
        <v>1575</v>
      </c>
      <c r="H2059" s="12">
        <v>45677</v>
      </c>
      <c r="I2059" t="s">
        <v>1663</v>
      </c>
      <c r="J2059" t="s">
        <v>1363</v>
      </c>
      <c r="L2059">
        <v>38.5</v>
      </c>
      <c r="P2059" t="s">
        <v>106</v>
      </c>
      <c r="Q2059" t="s">
        <v>106</v>
      </c>
      <c r="R2059" t="s">
        <v>106</v>
      </c>
      <c r="S2059" t="s">
        <v>1598</v>
      </c>
      <c r="T2059" t="s">
        <v>1561</v>
      </c>
      <c r="U2059" t="s">
        <v>1415</v>
      </c>
      <c r="V2059" t="s">
        <v>106</v>
      </c>
      <c r="W2059" t="s">
        <v>557</v>
      </c>
      <c r="X2059" t="s">
        <v>106</v>
      </c>
      <c r="Y2059" t="s">
        <v>108</v>
      </c>
      <c r="Z2059" t="s">
        <v>108</v>
      </c>
      <c r="AA2059" t="s">
        <v>106</v>
      </c>
      <c r="AB2059" t="s">
        <v>106</v>
      </c>
    </row>
    <row r="2060" spans="1:28" x14ac:dyDescent="0.3">
      <c r="A2060" t="s">
        <v>1512</v>
      </c>
      <c r="B2060">
        <v>3</v>
      </c>
      <c r="C2060">
        <v>35</v>
      </c>
      <c r="D2060">
        <v>87</v>
      </c>
      <c r="E2060" t="s">
        <v>456</v>
      </c>
      <c r="F2060" s="12">
        <v>45677</v>
      </c>
      <c r="G2060" t="s">
        <v>2157</v>
      </c>
      <c r="H2060" s="12">
        <v>45677</v>
      </c>
      <c r="I2060" t="s">
        <v>815</v>
      </c>
      <c r="J2060" t="s">
        <v>458</v>
      </c>
      <c r="K2060">
        <v>2</v>
      </c>
      <c r="L2060">
        <v>36.200000000000003</v>
      </c>
      <c r="P2060" t="s">
        <v>106</v>
      </c>
      <c r="Q2060" t="s">
        <v>106</v>
      </c>
      <c r="R2060" t="s">
        <v>106</v>
      </c>
      <c r="S2060" t="s">
        <v>106</v>
      </c>
      <c r="T2060" t="s">
        <v>1385</v>
      </c>
      <c r="U2060" t="s">
        <v>106</v>
      </c>
      <c r="V2060" t="s">
        <v>106</v>
      </c>
      <c r="W2060" t="s">
        <v>443</v>
      </c>
      <c r="X2060" t="s">
        <v>106</v>
      </c>
      <c r="Y2060" t="s">
        <v>108</v>
      </c>
      <c r="Z2060" t="s">
        <v>108</v>
      </c>
      <c r="AA2060" t="s">
        <v>106</v>
      </c>
      <c r="AB2060" t="s">
        <v>106</v>
      </c>
    </row>
    <row r="2061" spans="1:28" x14ac:dyDescent="0.3">
      <c r="A2061" t="s">
        <v>1512</v>
      </c>
      <c r="B2061">
        <v>4</v>
      </c>
      <c r="C2061">
        <v>60</v>
      </c>
      <c r="D2061">
        <v>62</v>
      </c>
      <c r="E2061" t="s">
        <v>456</v>
      </c>
      <c r="F2061" s="12">
        <v>45677</v>
      </c>
      <c r="G2061" t="s">
        <v>392</v>
      </c>
      <c r="H2061" s="12">
        <v>45677</v>
      </c>
      <c r="I2061" t="s">
        <v>341</v>
      </c>
      <c r="J2061" t="s">
        <v>1522</v>
      </c>
      <c r="L2061">
        <v>58.7</v>
      </c>
      <c r="P2061" t="s">
        <v>106</v>
      </c>
      <c r="Q2061" t="s">
        <v>106</v>
      </c>
      <c r="R2061" t="s">
        <v>106</v>
      </c>
      <c r="S2061" t="s">
        <v>106</v>
      </c>
      <c r="T2061" t="s">
        <v>776</v>
      </c>
      <c r="U2061" t="s">
        <v>703</v>
      </c>
      <c r="V2061" t="s">
        <v>106</v>
      </c>
      <c r="W2061" t="s">
        <v>557</v>
      </c>
      <c r="X2061" t="s">
        <v>106</v>
      </c>
      <c r="Y2061" t="s">
        <v>108</v>
      </c>
      <c r="Z2061" t="s">
        <v>104</v>
      </c>
      <c r="AA2061" t="s">
        <v>106</v>
      </c>
      <c r="AB2061" t="s">
        <v>106</v>
      </c>
    </row>
    <row r="2062" spans="1:28" x14ac:dyDescent="0.3">
      <c r="A2062" t="s">
        <v>1512</v>
      </c>
      <c r="B2062">
        <v>4</v>
      </c>
      <c r="C2062">
        <v>60</v>
      </c>
      <c r="D2062">
        <v>63</v>
      </c>
      <c r="E2062" t="s">
        <v>456</v>
      </c>
      <c r="F2062" s="12">
        <v>45677</v>
      </c>
      <c r="G2062" t="s">
        <v>393</v>
      </c>
      <c r="H2062" s="12">
        <v>45677</v>
      </c>
      <c r="I2062" t="s">
        <v>341</v>
      </c>
      <c r="J2062" t="s">
        <v>1522</v>
      </c>
      <c r="L2062">
        <v>61</v>
      </c>
      <c r="P2062" t="s">
        <v>106</v>
      </c>
      <c r="Q2062" t="s">
        <v>106</v>
      </c>
      <c r="R2062" t="s">
        <v>106</v>
      </c>
      <c r="S2062" t="s">
        <v>1744</v>
      </c>
      <c r="T2062" t="s">
        <v>1125</v>
      </c>
      <c r="U2062" t="s">
        <v>1415</v>
      </c>
      <c r="V2062" t="s">
        <v>106</v>
      </c>
      <c r="W2062" t="s">
        <v>557</v>
      </c>
      <c r="X2062" t="s">
        <v>106</v>
      </c>
      <c r="Y2062" t="s">
        <v>108</v>
      </c>
      <c r="Z2062" t="s">
        <v>104</v>
      </c>
      <c r="AA2062" t="s">
        <v>106</v>
      </c>
      <c r="AB2062" t="s">
        <v>106</v>
      </c>
    </row>
    <row r="2063" spans="1:28" x14ac:dyDescent="0.3">
      <c r="A2063" t="s">
        <v>1512</v>
      </c>
      <c r="B2063">
        <v>4</v>
      </c>
      <c r="C2063">
        <v>60</v>
      </c>
      <c r="D2063">
        <v>70</v>
      </c>
      <c r="E2063" t="s">
        <v>456</v>
      </c>
      <c r="F2063" s="12">
        <v>45677</v>
      </c>
      <c r="G2063" t="s">
        <v>637</v>
      </c>
      <c r="H2063" s="12">
        <v>45677</v>
      </c>
      <c r="I2063" t="s">
        <v>713</v>
      </c>
      <c r="J2063" t="s">
        <v>1522</v>
      </c>
      <c r="L2063">
        <v>56.6</v>
      </c>
      <c r="P2063" t="s">
        <v>106</v>
      </c>
      <c r="Q2063" t="s">
        <v>106</v>
      </c>
      <c r="R2063" t="s">
        <v>106</v>
      </c>
      <c r="S2063" t="s">
        <v>106</v>
      </c>
      <c r="T2063" t="s">
        <v>1214</v>
      </c>
      <c r="U2063" t="s">
        <v>1479</v>
      </c>
      <c r="V2063" t="s">
        <v>106</v>
      </c>
      <c r="W2063" t="s">
        <v>557</v>
      </c>
      <c r="X2063" t="s">
        <v>106</v>
      </c>
      <c r="Y2063" t="s">
        <v>108</v>
      </c>
      <c r="Z2063" t="s">
        <v>104</v>
      </c>
      <c r="AA2063" t="s">
        <v>106</v>
      </c>
      <c r="AB2063" t="s">
        <v>106</v>
      </c>
    </row>
    <row r="2064" spans="1:28" x14ac:dyDescent="0.3">
      <c r="A2064" t="s">
        <v>1512</v>
      </c>
      <c r="B2064">
        <v>4</v>
      </c>
      <c r="C2064">
        <v>60</v>
      </c>
      <c r="D2064">
        <v>92</v>
      </c>
      <c r="E2064" t="s">
        <v>456</v>
      </c>
      <c r="F2064" s="12">
        <v>45677</v>
      </c>
      <c r="G2064" t="s">
        <v>667</v>
      </c>
      <c r="H2064" s="12">
        <v>45677</v>
      </c>
      <c r="I2064" t="s">
        <v>1528</v>
      </c>
      <c r="J2064" t="s">
        <v>458</v>
      </c>
      <c r="K2064">
        <v>2</v>
      </c>
      <c r="L2064">
        <v>60.5</v>
      </c>
      <c r="P2064" t="s">
        <v>106</v>
      </c>
      <c r="Q2064" t="s">
        <v>106</v>
      </c>
      <c r="R2064" t="s">
        <v>106</v>
      </c>
      <c r="S2064" t="s">
        <v>106</v>
      </c>
      <c r="T2064" t="s">
        <v>875</v>
      </c>
      <c r="U2064" t="s">
        <v>106</v>
      </c>
      <c r="V2064" t="s">
        <v>106</v>
      </c>
      <c r="W2064" t="s">
        <v>443</v>
      </c>
      <c r="X2064" t="s">
        <v>106</v>
      </c>
      <c r="Y2064" t="s">
        <v>108</v>
      </c>
      <c r="Z2064" t="s">
        <v>104</v>
      </c>
      <c r="AA2064" t="s">
        <v>106</v>
      </c>
      <c r="AB2064" t="s">
        <v>106</v>
      </c>
    </row>
    <row r="2065" spans="1:28" x14ac:dyDescent="0.3">
      <c r="A2065" t="s">
        <v>1512</v>
      </c>
      <c r="B2065">
        <v>4</v>
      </c>
      <c r="C2065">
        <v>60</v>
      </c>
      <c r="D2065">
        <v>93</v>
      </c>
      <c r="E2065" t="s">
        <v>456</v>
      </c>
      <c r="F2065" s="12">
        <v>45677</v>
      </c>
      <c r="G2065" t="s">
        <v>667</v>
      </c>
      <c r="H2065" s="12">
        <v>45677</v>
      </c>
      <c r="I2065" t="s">
        <v>1528</v>
      </c>
      <c r="J2065" t="s">
        <v>458</v>
      </c>
      <c r="K2065">
        <v>2</v>
      </c>
      <c r="L2065">
        <v>63.4</v>
      </c>
      <c r="P2065" t="s">
        <v>106</v>
      </c>
      <c r="Q2065" t="s">
        <v>106</v>
      </c>
      <c r="R2065" t="s">
        <v>106</v>
      </c>
      <c r="S2065" t="s">
        <v>106</v>
      </c>
      <c r="T2065" t="s">
        <v>1529</v>
      </c>
      <c r="U2065" t="s">
        <v>106</v>
      </c>
      <c r="V2065" t="s">
        <v>106</v>
      </c>
      <c r="W2065" t="s">
        <v>443</v>
      </c>
      <c r="X2065" t="s">
        <v>106</v>
      </c>
      <c r="Y2065" t="s">
        <v>108</v>
      </c>
      <c r="Z2065" t="s">
        <v>104</v>
      </c>
      <c r="AA2065" t="s">
        <v>106</v>
      </c>
      <c r="AB2065" t="s">
        <v>106</v>
      </c>
    </row>
    <row r="2066" spans="1:28" x14ac:dyDescent="0.3">
      <c r="A2066" t="s">
        <v>1512</v>
      </c>
      <c r="B2066">
        <v>4</v>
      </c>
      <c r="C2066">
        <v>60</v>
      </c>
      <c r="D2066">
        <v>71</v>
      </c>
      <c r="E2066" t="s">
        <v>456</v>
      </c>
      <c r="F2066" s="12">
        <v>45677</v>
      </c>
      <c r="G2066" t="s">
        <v>370</v>
      </c>
      <c r="H2066" s="12">
        <v>45677</v>
      </c>
      <c r="I2066" t="s">
        <v>713</v>
      </c>
      <c r="J2066" t="s">
        <v>1522</v>
      </c>
      <c r="L2066">
        <v>60.9</v>
      </c>
      <c r="P2066" t="s">
        <v>106</v>
      </c>
      <c r="Q2066" t="s">
        <v>106</v>
      </c>
      <c r="R2066" t="s">
        <v>106</v>
      </c>
      <c r="S2066" t="s">
        <v>2360</v>
      </c>
      <c r="T2066" t="s">
        <v>1931</v>
      </c>
      <c r="U2066" t="s">
        <v>1415</v>
      </c>
      <c r="V2066" t="s">
        <v>106</v>
      </c>
      <c r="W2066" t="s">
        <v>557</v>
      </c>
      <c r="X2066" t="s">
        <v>106</v>
      </c>
      <c r="Y2066" t="s">
        <v>108</v>
      </c>
      <c r="Z2066" t="s">
        <v>104</v>
      </c>
      <c r="AA2066" t="s">
        <v>106</v>
      </c>
      <c r="AB2066" t="s">
        <v>106</v>
      </c>
    </row>
    <row r="2067" spans="1:28" x14ac:dyDescent="0.3">
      <c r="A2067" t="s">
        <v>1512</v>
      </c>
      <c r="B2067">
        <v>4</v>
      </c>
      <c r="C2067">
        <v>60</v>
      </c>
      <c r="D2067">
        <v>78</v>
      </c>
      <c r="E2067" t="s">
        <v>456</v>
      </c>
      <c r="F2067" s="12">
        <v>45677</v>
      </c>
      <c r="G2067" t="s">
        <v>406</v>
      </c>
      <c r="H2067" s="12">
        <v>45677</v>
      </c>
      <c r="I2067" t="s">
        <v>461</v>
      </c>
      <c r="J2067" t="s">
        <v>458</v>
      </c>
      <c r="K2067">
        <v>2</v>
      </c>
      <c r="L2067">
        <v>60.1</v>
      </c>
      <c r="P2067" t="s">
        <v>106</v>
      </c>
      <c r="Q2067" t="s">
        <v>106</v>
      </c>
      <c r="R2067" t="s">
        <v>106</v>
      </c>
      <c r="S2067" t="s">
        <v>106</v>
      </c>
      <c r="T2067" t="s">
        <v>1425</v>
      </c>
      <c r="U2067" t="s">
        <v>141</v>
      </c>
      <c r="V2067" t="s">
        <v>106</v>
      </c>
      <c r="W2067" t="s">
        <v>443</v>
      </c>
      <c r="X2067" t="s">
        <v>106</v>
      </c>
      <c r="Y2067" t="s">
        <v>108</v>
      </c>
      <c r="Z2067" t="s">
        <v>104</v>
      </c>
      <c r="AA2067" t="s">
        <v>106</v>
      </c>
      <c r="AB2067" t="s">
        <v>106</v>
      </c>
    </row>
    <row r="2068" spans="1:28" x14ac:dyDescent="0.3">
      <c r="A2068" t="s">
        <v>1512</v>
      </c>
      <c r="B2068">
        <v>4</v>
      </c>
      <c r="C2068">
        <v>60</v>
      </c>
      <c r="D2068">
        <v>79</v>
      </c>
      <c r="E2068" t="s">
        <v>456</v>
      </c>
      <c r="F2068" s="12">
        <v>45677</v>
      </c>
      <c r="G2068" t="s">
        <v>1461</v>
      </c>
      <c r="H2068" s="12">
        <v>45677</v>
      </c>
      <c r="I2068" t="s">
        <v>461</v>
      </c>
      <c r="J2068" t="s">
        <v>458</v>
      </c>
      <c r="K2068">
        <v>2</v>
      </c>
      <c r="L2068">
        <v>58.5</v>
      </c>
      <c r="P2068" t="s">
        <v>106</v>
      </c>
      <c r="Q2068" t="s">
        <v>106</v>
      </c>
      <c r="R2068" t="s">
        <v>106</v>
      </c>
      <c r="S2068" t="s">
        <v>106</v>
      </c>
      <c r="T2068" t="s">
        <v>1606</v>
      </c>
      <c r="U2068" t="s">
        <v>841</v>
      </c>
      <c r="V2068" t="s">
        <v>106</v>
      </c>
      <c r="W2068" t="s">
        <v>443</v>
      </c>
      <c r="X2068" t="s">
        <v>106</v>
      </c>
      <c r="Y2068" t="s">
        <v>108</v>
      </c>
      <c r="Z2068" t="s">
        <v>104</v>
      </c>
      <c r="AA2068" t="s">
        <v>106</v>
      </c>
      <c r="AB2068" t="s">
        <v>106</v>
      </c>
    </row>
    <row r="2069" spans="1:28" x14ac:dyDescent="0.3">
      <c r="A2069" t="s">
        <v>1512</v>
      </c>
      <c r="B2069">
        <v>4</v>
      </c>
      <c r="C2069">
        <v>60</v>
      </c>
      <c r="D2069">
        <v>84</v>
      </c>
      <c r="E2069" t="s">
        <v>456</v>
      </c>
      <c r="F2069" s="12">
        <v>45677</v>
      </c>
      <c r="G2069" t="s">
        <v>2226</v>
      </c>
      <c r="H2069" s="12">
        <v>45677</v>
      </c>
      <c r="I2069" t="s">
        <v>1883</v>
      </c>
      <c r="J2069" t="s">
        <v>458</v>
      </c>
      <c r="K2069">
        <v>2</v>
      </c>
      <c r="L2069">
        <v>61.9</v>
      </c>
      <c r="P2069" t="s">
        <v>106</v>
      </c>
      <c r="Q2069" t="s">
        <v>106</v>
      </c>
      <c r="R2069" t="s">
        <v>106</v>
      </c>
      <c r="S2069" t="s">
        <v>106</v>
      </c>
      <c r="T2069" t="s">
        <v>1606</v>
      </c>
      <c r="U2069" t="s">
        <v>106</v>
      </c>
      <c r="V2069" t="s">
        <v>106</v>
      </c>
      <c r="W2069" t="s">
        <v>443</v>
      </c>
      <c r="X2069" t="s">
        <v>106</v>
      </c>
      <c r="Y2069" t="s">
        <v>108</v>
      </c>
      <c r="Z2069" t="s">
        <v>104</v>
      </c>
      <c r="AA2069" t="s">
        <v>106</v>
      </c>
      <c r="AB2069" t="s">
        <v>106</v>
      </c>
    </row>
    <row r="2070" spans="1:28" x14ac:dyDescent="0.3">
      <c r="A2070" t="s">
        <v>1512</v>
      </c>
      <c r="B2070">
        <v>4</v>
      </c>
      <c r="C2070">
        <v>60</v>
      </c>
      <c r="D2070">
        <v>85</v>
      </c>
      <c r="E2070" t="s">
        <v>456</v>
      </c>
      <c r="F2070" s="12">
        <v>45677</v>
      </c>
      <c r="G2070" t="s">
        <v>2224</v>
      </c>
      <c r="H2070" s="12">
        <v>45677</v>
      </c>
      <c r="I2070" t="s">
        <v>1883</v>
      </c>
      <c r="J2070" t="s">
        <v>458</v>
      </c>
      <c r="K2070">
        <v>2</v>
      </c>
      <c r="L2070">
        <v>62.1</v>
      </c>
      <c r="P2070" t="s">
        <v>106</v>
      </c>
      <c r="Q2070" t="s">
        <v>106</v>
      </c>
      <c r="R2070" t="s">
        <v>106</v>
      </c>
      <c r="S2070" t="s">
        <v>106</v>
      </c>
      <c r="T2070" t="s">
        <v>1606</v>
      </c>
      <c r="U2070" t="s">
        <v>106</v>
      </c>
      <c r="V2070" t="s">
        <v>106</v>
      </c>
      <c r="W2070" t="s">
        <v>443</v>
      </c>
      <c r="X2070" t="s">
        <v>106</v>
      </c>
      <c r="Y2070" t="s">
        <v>108</v>
      </c>
      <c r="Z2070" t="s">
        <v>104</v>
      </c>
      <c r="AA2070" t="s">
        <v>106</v>
      </c>
      <c r="AB2070" t="s">
        <v>106</v>
      </c>
    </row>
    <row r="2071" spans="1:28" x14ac:dyDescent="0.3">
      <c r="A2071" t="s">
        <v>1512</v>
      </c>
      <c r="B2071">
        <v>1</v>
      </c>
      <c r="C2071">
        <v>0</v>
      </c>
      <c r="D2071">
        <v>102</v>
      </c>
      <c r="E2071" t="s">
        <v>456</v>
      </c>
      <c r="F2071" s="12">
        <v>45678</v>
      </c>
      <c r="G2071" t="s">
        <v>546</v>
      </c>
      <c r="H2071" s="12">
        <v>45678</v>
      </c>
      <c r="I2071" t="s">
        <v>1531</v>
      </c>
      <c r="J2071" t="s">
        <v>1363</v>
      </c>
      <c r="L2071">
        <v>0</v>
      </c>
      <c r="P2071" t="s">
        <v>106</v>
      </c>
      <c r="Q2071" t="s">
        <v>106</v>
      </c>
      <c r="R2071" t="s">
        <v>106</v>
      </c>
      <c r="S2071" t="s">
        <v>1532</v>
      </c>
      <c r="T2071" t="s">
        <v>1533</v>
      </c>
      <c r="U2071" t="s">
        <v>106</v>
      </c>
      <c r="V2071" t="s">
        <v>106</v>
      </c>
      <c r="W2071" t="s">
        <v>954</v>
      </c>
      <c r="X2071" t="s">
        <v>106</v>
      </c>
      <c r="Y2071" t="s">
        <v>108</v>
      </c>
      <c r="Z2071" t="s">
        <v>105</v>
      </c>
      <c r="AA2071" t="s">
        <v>106</v>
      </c>
      <c r="AB2071" t="s">
        <v>106</v>
      </c>
    </row>
    <row r="2072" spans="1:28" x14ac:dyDescent="0.3">
      <c r="A2072" t="s">
        <v>1512</v>
      </c>
      <c r="B2072">
        <v>1</v>
      </c>
      <c r="C2072">
        <v>0</v>
      </c>
      <c r="D2072">
        <v>103</v>
      </c>
      <c r="E2072" t="s">
        <v>456</v>
      </c>
      <c r="F2072" s="12">
        <v>45678</v>
      </c>
      <c r="G2072" t="s">
        <v>1534</v>
      </c>
      <c r="H2072" s="12">
        <v>45678</v>
      </c>
      <c r="I2072" t="s">
        <v>1531</v>
      </c>
      <c r="J2072" t="s">
        <v>1363</v>
      </c>
      <c r="L2072">
        <v>0</v>
      </c>
      <c r="P2072" t="s">
        <v>106</v>
      </c>
      <c r="Q2072" t="s">
        <v>106</v>
      </c>
      <c r="R2072" t="s">
        <v>106</v>
      </c>
      <c r="S2072" t="s">
        <v>1535</v>
      </c>
      <c r="T2072" t="s">
        <v>1536</v>
      </c>
      <c r="U2072" t="s">
        <v>106</v>
      </c>
      <c r="V2072" t="s">
        <v>106</v>
      </c>
      <c r="W2072" t="s">
        <v>954</v>
      </c>
      <c r="X2072" t="s">
        <v>106</v>
      </c>
      <c r="Y2072" t="s">
        <v>108</v>
      </c>
      <c r="Z2072" t="s">
        <v>105</v>
      </c>
      <c r="AA2072" t="s">
        <v>106</v>
      </c>
      <c r="AB2072" t="s">
        <v>106</v>
      </c>
    </row>
    <row r="2073" spans="1:28" x14ac:dyDescent="0.3">
      <c r="A2073" t="s">
        <v>1512</v>
      </c>
      <c r="B2073">
        <v>1</v>
      </c>
      <c r="C2073">
        <v>0</v>
      </c>
      <c r="D2073">
        <v>134</v>
      </c>
      <c r="E2073" t="s">
        <v>456</v>
      </c>
      <c r="F2073" s="12">
        <v>45678</v>
      </c>
      <c r="G2073" t="s">
        <v>1537</v>
      </c>
      <c r="H2073" s="12">
        <v>45678</v>
      </c>
      <c r="I2073" t="s">
        <v>813</v>
      </c>
      <c r="J2073" t="s">
        <v>458</v>
      </c>
      <c r="K2073">
        <v>2</v>
      </c>
      <c r="L2073">
        <v>0</v>
      </c>
      <c r="P2073" t="s">
        <v>106</v>
      </c>
      <c r="Q2073" t="s">
        <v>106</v>
      </c>
      <c r="R2073" t="s">
        <v>106</v>
      </c>
      <c r="S2073" t="s">
        <v>106</v>
      </c>
      <c r="T2073" t="s">
        <v>1538</v>
      </c>
      <c r="U2073" t="s">
        <v>1539</v>
      </c>
      <c r="V2073" t="s">
        <v>106</v>
      </c>
      <c r="W2073" t="s">
        <v>443</v>
      </c>
      <c r="X2073" t="s">
        <v>106</v>
      </c>
      <c r="Y2073" t="s">
        <v>108</v>
      </c>
      <c r="Z2073" t="s">
        <v>105</v>
      </c>
      <c r="AA2073" t="s">
        <v>106</v>
      </c>
      <c r="AB2073" t="s">
        <v>106</v>
      </c>
    </row>
    <row r="2074" spans="1:28" x14ac:dyDescent="0.3">
      <c r="A2074" t="s">
        <v>1512</v>
      </c>
      <c r="B2074">
        <v>1</v>
      </c>
      <c r="C2074">
        <v>0</v>
      </c>
      <c r="D2074">
        <v>111</v>
      </c>
      <c r="E2074" t="s">
        <v>456</v>
      </c>
      <c r="F2074" s="12">
        <v>45678</v>
      </c>
      <c r="G2074" t="s">
        <v>383</v>
      </c>
      <c r="H2074" s="12">
        <v>45678</v>
      </c>
      <c r="I2074" t="s">
        <v>341</v>
      </c>
      <c r="J2074" t="s">
        <v>1522</v>
      </c>
      <c r="L2074">
        <v>0</v>
      </c>
      <c r="P2074" t="s">
        <v>106</v>
      </c>
      <c r="Q2074" t="s">
        <v>106</v>
      </c>
      <c r="R2074" t="s">
        <v>106</v>
      </c>
      <c r="S2074" t="s">
        <v>1540</v>
      </c>
      <c r="T2074" t="s">
        <v>684</v>
      </c>
      <c r="U2074" t="s">
        <v>106</v>
      </c>
      <c r="V2074" t="s">
        <v>106</v>
      </c>
      <c r="W2074" t="s">
        <v>954</v>
      </c>
      <c r="X2074" t="s">
        <v>106</v>
      </c>
      <c r="Y2074" t="s">
        <v>108</v>
      </c>
      <c r="Z2074" t="s">
        <v>105</v>
      </c>
      <c r="AA2074" t="s">
        <v>106</v>
      </c>
      <c r="AB2074" t="s">
        <v>106</v>
      </c>
    </row>
    <row r="2075" spans="1:28" x14ac:dyDescent="0.3">
      <c r="A2075" t="s">
        <v>1512</v>
      </c>
      <c r="B2075">
        <v>1</v>
      </c>
      <c r="C2075">
        <v>0</v>
      </c>
      <c r="D2075">
        <v>118</v>
      </c>
      <c r="E2075" t="s">
        <v>456</v>
      </c>
      <c r="F2075" s="12">
        <v>45678</v>
      </c>
      <c r="G2075" t="s">
        <v>1445</v>
      </c>
      <c r="H2075" s="12">
        <v>45678</v>
      </c>
      <c r="I2075" t="s">
        <v>542</v>
      </c>
      <c r="J2075" t="s">
        <v>458</v>
      </c>
      <c r="K2075">
        <v>2</v>
      </c>
      <c r="L2075">
        <v>0</v>
      </c>
      <c r="P2075" t="s">
        <v>106</v>
      </c>
      <c r="Q2075" t="s">
        <v>106</v>
      </c>
      <c r="R2075" t="s">
        <v>106</v>
      </c>
      <c r="S2075" t="s">
        <v>106</v>
      </c>
      <c r="T2075" t="s">
        <v>513</v>
      </c>
      <c r="U2075" t="s">
        <v>430</v>
      </c>
      <c r="V2075" t="s">
        <v>106</v>
      </c>
      <c r="W2075" t="s">
        <v>557</v>
      </c>
      <c r="X2075" t="s">
        <v>106</v>
      </c>
      <c r="Y2075" t="s">
        <v>108</v>
      </c>
      <c r="Z2075" t="s">
        <v>105</v>
      </c>
      <c r="AA2075" t="s">
        <v>106</v>
      </c>
      <c r="AB2075" t="s">
        <v>106</v>
      </c>
    </row>
    <row r="2076" spans="1:28" x14ac:dyDescent="0.3">
      <c r="A2076" t="s">
        <v>1512</v>
      </c>
      <c r="B2076">
        <v>1</v>
      </c>
      <c r="C2076">
        <v>0</v>
      </c>
      <c r="D2076">
        <v>119</v>
      </c>
      <c r="E2076" t="s">
        <v>456</v>
      </c>
      <c r="F2076" s="12">
        <v>45678</v>
      </c>
      <c r="G2076" t="s">
        <v>1445</v>
      </c>
      <c r="H2076" s="12">
        <v>45678</v>
      </c>
      <c r="I2076" t="s">
        <v>542</v>
      </c>
      <c r="J2076" t="s">
        <v>458</v>
      </c>
      <c r="K2076">
        <v>2</v>
      </c>
      <c r="L2076">
        <v>0</v>
      </c>
      <c r="P2076" t="s">
        <v>106</v>
      </c>
      <c r="Q2076" t="s">
        <v>106</v>
      </c>
      <c r="R2076" t="s">
        <v>106</v>
      </c>
      <c r="S2076" t="s">
        <v>1541</v>
      </c>
      <c r="T2076" t="s">
        <v>775</v>
      </c>
      <c r="U2076" t="s">
        <v>430</v>
      </c>
      <c r="V2076" t="s">
        <v>106</v>
      </c>
      <c r="W2076" t="s">
        <v>557</v>
      </c>
      <c r="X2076" t="s">
        <v>106</v>
      </c>
      <c r="Y2076" t="s">
        <v>108</v>
      </c>
      <c r="Z2076" t="s">
        <v>105</v>
      </c>
      <c r="AA2076" t="s">
        <v>106</v>
      </c>
      <c r="AB2076" t="s">
        <v>106</v>
      </c>
    </row>
    <row r="2077" spans="1:28" x14ac:dyDescent="0.3">
      <c r="A2077" t="s">
        <v>1512</v>
      </c>
      <c r="B2077">
        <v>1</v>
      </c>
      <c r="C2077">
        <v>0</v>
      </c>
      <c r="D2077">
        <v>120</v>
      </c>
      <c r="E2077" t="s">
        <v>456</v>
      </c>
      <c r="F2077" s="12">
        <v>45678</v>
      </c>
      <c r="G2077" t="s">
        <v>1542</v>
      </c>
      <c r="H2077" s="12">
        <v>45678</v>
      </c>
      <c r="I2077" t="s">
        <v>1392</v>
      </c>
      <c r="J2077" t="s">
        <v>458</v>
      </c>
      <c r="K2077">
        <v>2</v>
      </c>
      <c r="L2077">
        <v>0</v>
      </c>
      <c r="P2077" t="s">
        <v>106</v>
      </c>
      <c r="Q2077" t="s">
        <v>106</v>
      </c>
      <c r="R2077" t="s">
        <v>106</v>
      </c>
      <c r="S2077" t="s">
        <v>106</v>
      </c>
      <c r="T2077" t="s">
        <v>1543</v>
      </c>
      <c r="U2077" t="s">
        <v>106</v>
      </c>
      <c r="V2077" t="s">
        <v>106</v>
      </c>
      <c r="W2077" t="s">
        <v>443</v>
      </c>
      <c r="X2077" t="s">
        <v>106</v>
      </c>
      <c r="Y2077" t="s">
        <v>108</v>
      </c>
      <c r="Z2077" t="s">
        <v>105</v>
      </c>
      <c r="AA2077" t="s">
        <v>106</v>
      </c>
      <c r="AB2077" t="s">
        <v>106</v>
      </c>
    </row>
    <row r="2078" spans="1:28" x14ac:dyDescent="0.3">
      <c r="A2078" t="s">
        <v>1512</v>
      </c>
      <c r="B2078">
        <v>1</v>
      </c>
      <c r="C2078">
        <v>0</v>
      </c>
      <c r="D2078">
        <v>135</v>
      </c>
      <c r="E2078" t="s">
        <v>456</v>
      </c>
      <c r="F2078" s="12">
        <v>45678</v>
      </c>
      <c r="G2078" t="s">
        <v>1537</v>
      </c>
      <c r="H2078" s="12">
        <v>45678</v>
      </c>
      <c r="I2078" t="s">
        <v>813</v>
      </c>
      <c r="J2078" t="s">
        <v>458</v>
      </c>
      <c r="K2078">
        <v>2</v>
      </c>
      <c r="L2078">
        <v>0</v>
      </c>
      <c r="P2078" t="s">
        <v>106</v>
      </c>
      <c r="Q2078" t="s">
        <v>106</v>
      </c>
      <c r="R2078" t="s">
        <v>106</v>
      </c>
      <c r="S2078" t="s">
        <v>106</v>
      </c>
      <c r="T2078" t="s">
        <v>1544</v>
      </c>
      <c r="U2078" t="s">
        <v>106</v>
      </c>
      <c r="V2078" t="s">
        <v>106</v>
      </c>
      <c r="W2078" t="s">
        <v>443</v>
      </c>
      <c r="X2078" t="s">
        <v>106</v>
      </c>
      <c r="Y2078" t="s">
        <v>108</v>
      </c>
      <c r="Z2078" t="s">
        <v>105</v>
      </c>
      <c r="AA2078" t="s">
        <v>106</v>
      </c>
      <c r="AB2078" t="s">
        <v>106</v>
      </c>
    </row>
    <row r="2079" spans="1:28" x14ac:dyDescent="0.3">
      <c r="A2079" t="s">
        <v>1512</v>
      </c>
      <c r="B2079">
        <v>1</v>
      </c>
      <c r="C2079">
        <v>0</v>
      </c>
      <c r="D2079">
        <v>110</v>
      </c>
      <c r="E2079" t="s">
        <v>456</v>
      </c>
      <c r="F2079" s="12">
        <v>45678</v>
      </c>
      <c r="G2079" t="s">
        <v>386</v>
      </c>
      <c r="H2079" s="12">
        <v>45678</v>
      </c>
      <c r="I2079" t="s">
        <v>341</v>
      </c>
      <c r="J2079" t="s">
        <v>1522</v>
      </c>
      <c r="L2079">
        <v>0</v>
      </c>
      <c r="P2079" t="s">
        <v>106</v>
      </c>
      <c r="Q2079" t="s">
        <v>106</v>
      </c>
      <c r="R2079" t="s">
        <v>106</v>
      </c>
      <c r="S2079" t="s">
        <v>106</v>
      </c>
      <c r="T2079" t="s">
        <v>1545</v>
      </c>
      <c r="U2079" t="s">
        <v>106</v>
      </c>
      <c r="V2079" t="s">
        <v>106</v>
      </c>
      <c r="W2079" t="s">
        <v>954</v>
      </c>
      <c r="X2079" t="s">
        <v>106</v>
      </c>
      <c r="Y2079" t="s">
        <v>108</v>
      </c>
      <c r="Z2079" t="s">
        <v>105</v>
      </c>
      <c r="AA2079" t="s">
        <v>106</v>
      </c>
      <c r="AB2079" t="s">
        <v>106</v>
      </c>
    </row>
    <row r="2080" spans="1:28" x14ac:dyDescent="0.3">
      <c r="A2080" t="s">
        <v>1512</v>
      </c>
      <c r="B2080">
        <v>1</v>
      </c>
      <c r="C2080">
        <v>0</v>
      </c>
      <c r="D2080">
        <v>121</v>
      </c>
      <c r="E2080" t="s">
        <v>456</v>
      </c>
      <c r="F2080" s="12">
        <v>45678</v>
      </c>
      <c r="G2080" t="s">
        <v>1546</v>
      </c>
      <c r="H2080" s="12">
        <v>45678</v>
      </c>
      <c r="I2080" t="s">
        <v>1392</v>
      </c>
      <c r="J2080" t="s">
        <v>458</v>
      </c>
      <c r="K2080">
        <v>2</v>
      </c>
      <c r="L2080">
        <v>0</v>
      </c>
      <c r="P2080" t="s">
        <v>106</v>
      </c>
      <c r="Q2080" t="s">
        <v>106</v>
      </c>
      <c r="R2080" t="s">
        <v>106</v>
      </c>
      <c r="S2080" t="s">
        <v>106</v>
      </c>
      <c r="T2080" t="s">
        <v>1547</v>
      </c>
      <c r="U2080" t="s">
        <v>106</v>
      </c>
      <c r="V2080" t="s">
        <v>106</v>
      </c>
      <c r="W2080" t="s">
        <v>443</v>
      </c>
      <c r="X2080" t="s">
        <v>106</v>
      </c>
      <c r="Y2080" t="s">
        <v>108</v>
      </c>
      <c r="Z2080" t="s">
        <v>105</v>
      </c>
      <c r="AA2080" t="s">
        <v>106</v>
      </c>
      <c r="AB2080" t="s">
        <v>106</v>
      </c>
    </row>
    <row r="2081" spans="1:28" x14ac:dyDescent="0.3">
      <c r="A2081" t="s">
        <v>1548</v>
      </c>
      <c r="B2081">
        <v>1</v>
      </c>
      <c r="C2081">
        <v>0</v>
      </c>
      <c r="D2081">
        <v>8</v>
      </c>
      <c r="E2081" t="s">
        <v>110</v>
      </c>
      <c r="F2081" s="12">
        <v>45678</v>
      </c>
      <c r="G2081" t="s">
        <v>318</v>
      </c>
      <c r="H2081" s="12">
        <v>45678</v>
      </c>
      <c r="I2081" t="s">
        <v>370</v>
      </c>
      <c r="J2081" t="s">
        <v>425</v>
      </c>
      <c r="L2081">
        <v>0</v>
      </c>
      <c r="P2081" t="s">
        <v>106</v>
      </c>
      <c r="Q2081" t="s">
        <v>106</v>
      </c>
      <c r="R2081" t="s">
        <v>106</v>
      </c>
      <c r="S2081" t="s">
        <v>106</v>
      </c>
      <c r="T2081" t="s">
        <v>1549</v>
      </c>
      <c r="U2081" t="s">
        <v>106</v>
      </c>
      <c r="V2081" t="s">
        <v>106</v>
      </c>
      <c r="W2081" t="s">
        <v>557</v>
      </c>
      <c r="X2081" t="s">
        <v>106</v>
      </c>
      <c r="Y2081" t="s">
        <v>108</v>
      </c>
      <c r="Z2081" t="s">
        <v>105</v>
      </c>
      <c r="AA2081" t="s">
        <v>106</v>
      </c>
      <c r="AB2081" t="s">
        <v>106</v>
      </c>
    </row>
    <row r="2082" spans="1:28" x14ac:dyDescent="0.3">
      <c r="A2082" t="s">
        <v>1548</v>
      </c>
      <c r="B2082">
        <v>1</v>
      </c>
      <c r="C2082">
        <v>0</v>
      </c>
      <c r="D2082">
        <v>7</v>
      </c>
      <c r="E2082" t="s">
        <v>110</v>
      </c>
      <c r="F2082" s="12">
        <v>45678</v>
      </c>
      <c r="G2082" t="s">
        <v>318</v>
      </c>
      <c r="H2082" s="12">
        <v>45678</v>
      </c>
      <c r="I2082" t="s">
        <v>370</v>
      </c>
      <c r="J2082" t="s">
        <v>425</v>
      </c>
      <c r="L2082">
        <v>0</v>
      </c>
      <c r="P2082" t="s">
        <v>106</v>
      </c>
      <c r="Q2082" t="s">
        <v>106</v>
      </c>
      <c r="R2082" t="s">
        <v>106</v>
      </c>
      <c r="S2082" t="s">
        <v>1541</v>
      </c>
      <c r="T2082" t="s">
        <v>1550</v>
      </c>
      <c r="U2082" t="s">
        <v>106</v>
      </c>
      <c r="V2082" t="s">
        <v>106</v>
      </c>
      <c r="W2082" t="s">
        <v>557</v>
      </c>
      <c r="X2082" t="s">
        <v>106</v>
      </c>
      <c r="Y2082" t="s">
        <v>108</v>
      </c>
      <c r="Z2082" t="s">
        <v>105</v>
      </c>
      <c r="AA2082" t="s">
        <v>106</v>
      </c>
      <c r="AB2082" t="s">
        <v>106</v>
      </c>
    </row>
    <row r="2083" spans="1:28" x14ac:dyDescent="0.3">
      <c r="A2083" t="s">
        <v>1512</v>
      </c>
      <c r="B2083">
        <v>2</v>
      </c>
      <c r="C2083">
        <v>15</v>
      </c>
      <c r="D2083">
        <v>143</v>
      </c>
      <c r="E2083" t="s">
        <v>456</v>
      </c>
      <c r="F2083" s="12">
        <v>45678</v>
      </c>
      <c r="G2083" t="s">
        <v>2151</v>
      </c>
      <c r="H2083" s="12">
        <v>45678</v>
      </c>
      <c r="I2083" t="s">
        <v>1498</v>
      </c>
      <c r="J2083" t="s">
        <v>458</v>
      </c>
      <c r="K2083">
        <v>2</v>
      </c>
      <c r="L2083">
        <v>15.7</v>
      </c>
      <c r="P2083" t="s">
        <v>106</v>
      </c>
      <c r="Q2083" t="s">
        <v>106</v>
      </c>
      <c r="R2083" t="s">
        <v>106</v>
      </c>
      <c r="S2083" t="s">
        <v>2152</v>
      </c>
      <c r="T2083" t="s">
        <v>776</v>
      </c>
      <c r="U2083" t="s">
        <v>1345</v>
      </c>
      <c r="V2083" t="s">
        <v>106</v>
      </c>
      <c r="W2083" t="s">
        <v>443</v>
      </c>
      <c r="X2083" t="s">
        <v>106</v>
      </c>
      <c r="Y2083" t="s">
        <v>108</v>
      </c>
      <c r="Z2083" t="s">
        <v>109</v>
      </c>
      <c r="AA2083" t="s">
        <v>106</v>
      </c>
      <c r="AB2083" t="s">
        <v>106</v>
      </c>
    </row>
    <row r="2084" spans="1:28" x14ac:dyDescent="0.3">
      <c r="A2084" t="s">
        <v>1512</v>
      </c>
      <c r="B2084">
        <v>2</v>
      </c>
      <c r="C2084">
        <v>15</v>
      </c>
      <c r="D2084">
        <v>142</v>
      </c>
      <c r="E2084" t="s">
        <v>456</v>
      </c>
      <c r="F2084" s="12">
        <v>45678</v>
      </c>
      <c r="G2084" t="s">
        <v>2151</v>
      </c>
      <c r="H2084" s="12">
        <v>45678</v>
      </c>
      <c r="I2084" t="s">
        <v>1498</v>
      </c>
      <c r="J2084" t="s">
        <v>458</v>
      </c>
      <c r="K2084">
        <v>2</v>
      </c>
      <c r="L2084">
        <v>15.8</v>
      </c>
      <c r="P2084" t="s">
        <v>106</v>
      </c>
      <c r="Q2084" t="s">
        <v>106</v>
      </c>
      <c r="R2084" t="s">
        <v>106</v>
      </c>
      <c r="S2084" t="s">
        <v>106</v>
      </c>
      <c r="T2084" t="s">
        <v>875</v>
      </c>
      <c r="U2084" t="s">
        <v>429</v>
      </c>
      <c r="V2084" t="s">
        <v>106</v>
      </c>
      <c r="W2084" t="s">
        <v>443</v>
      </c>
      <c r="X2084" t="s">
        <v>106</v>
      </c>
      <c r="Y2084" t="s">
        <v>108</v>
      </c>
      <c r="Z2084" t="s">
        <v>109</v>
      </c>
      <c r="AA2084" t="s">
        <v>106</v>
      </c>
      <c r="AB2084" t="s">
        <v>106</v>
      </c>
    </row>
    <row r="2085" spans="1:28" x14ac:dyDescent="0.3">
      <c r="A2085" t="s">
        <v>1512</v>
      </c>
      <c r="B2085">
        <v>2</v>
      </c>
      <c r="C2085">
        <v>15</v>
      </c>
      <c r="D2085">
        <v>112</v>
      </c>
      <c r="E2085" t="s">
        <v>456</v>
      </c>
      <c r="F2085" s="12">
        <v>45678</v>
      </c>
      <c r="G2085" t="s">
        <v>706</v>
      </c>
      <c r="H2085" s="12">
        <v>45678</v>
      </c>
      <c r="I2085" t="s">
        <v>542</v>
      </c>
      <c r="J2085" t="s">
        <v>458</v>
      </c>
      <c r="K2085">
        <v>2</v>
      </c>
      <c r="L2085">
        <v>14.1</v>
      </c>
      <c r="P2085" t="s">
        <v>106</v>
      </c>
      <c r="Q2085" t="s">
        <v>106</v>
      </c>
      <c r="R2085" t="s">
        <v>106</v>
      </c>
      <c r="S2085" t="s">
        <v>106</v>
      </c>
      <c r="T2085" t="s">
        <v>684</v>
      </c>
      <c r="U2085" t="s">
        <v>106</v>
      </c>
      <c r="V2085" t="s">
        <v>106</v>
      </c>
      <c r="W2085" t="s">
        <v>557</v>
      </c>
      <c r="X2085" t="s">
        <v>106</v>
      </c>
      <c r="Y2085" t="s">
        <v>108</v>
      </c>
      <c r="Z2085" t="s">
        <v>109</v>
      </c>
      <c r="AA2085" t="s">
        <v>106</v>
      </c>
      <c r="AB2085" t="s">
        <v>106</v>
      </c>
    </row>
    <row r="2086" spans="1:28" x14ac:dyDescent="0.3">
      <c r="A2086" t="s">
        <v>1512</v>
      </c>
      <c r="B2086">
        <v>2</v>
      </c>
      <c r="C2086">
        <v>15</v>
      </c>
      <c r="D2086">
        <v>137</v>
      </c>
      <c r="E2086" t="s">
        <v>456</v>
      </c>
      <c r="F2086" s="12">
        <v>45678</v>
      </c>
      <c r="G2086" t="s">
        <v>2153</v>
      </c>
      <c r="H2086" s="12">
        <v>45678</v>
      </c>
      <c r="I2086" t="s">
        <v>2123</v>
      </c>
      <c r="J2086" t="s">
        <v>458</v>
      </c>
      <c r="K2086">
        <v>2</v>
      </c>
      <c r="L2086">
        <v>15.7</v>
      </c>
      <c r="P2086" t="s">
        <v>106</v>
      </c>
      <c r="Q2086" t="s">
        <v>106</v>
      </c>
      <c r="R2086" t="s">
        <v>106</v>
      </c>
      <c r="S2086" t="s">
        <v>106</v>
      </c>
      <c r="T2086" t="s">
        <v>1510</v>
      </c>
      <c r="U2086" t="s">
        <v>1411</v>
      </c>
      <c r="V2086" t="s">
        <v>106</v>
      </c>
      <c r="W2086" t="s">
        <v>443</v>
      </c>
      <c r="X2086" t="s">
        <v>106</v>
      </c>
      <c r="Y2086" t="s">
        <v>108</v>
      </c>
      <c r="Z2086" t="s">
        <v>109</v>
      </c>
      <c r="AA2086" t="s">
        <v>106</v>
      </c>
      <c r="AB2086" t="s">
        <v>106</v>
      </c>
    </row>
    <row r="2087" spans="1:28" x14ac:dyDescent="0.3">
      <c r="A2087" t="s">
        <v>1512</v>
      </c>
      <c r="B2087">
        <v>2</v>
      </c>
      <c r="C2087">
        <v>15</v>
      </c>
      <c r="D2087">
        <v>136</v>
      </c>
      <c r="E2087" t="s">
        <v>456</v>
      </c>
      <c r="F2087" s="12">
        <v>45678</v>
      </c>
      <c r="G2087" t="s">
        <v>2154</v>
      </c>
      <c r="H2087" s="12">
        <v>45678</v>
      </c>
      <c r="I2087" t="s">
        <v>2123</v>
      </c>
      <c r="J2087" t="s">
        <v>458</v>
      </c>
      <c r="K2087">
        <v>2</v>
      </c>
      <c r="L2087">
        <v>15</v>
      </c>
      <c r="P2087" t="s">
        <v>106</v>
      </c>
      <c r="Q2087" t="s">
        <v>106</v>
      </c>
      <c r="R2087" t="s">
        <v>106</v>
      </c>
      <c r="S2087" t="s">
        <v>2155</v>
      </c>
      <c r="T2087" t="s">
        <v>806</v>
      </c>
      <c r="U2087" t="s">
        <v>430</v>
      </c>
      <c r="V2087" t="s">
        <v>106</v>
      </c>
      <c r="W2087" t="s">
        <v>443</v>
      </c>
      <c r="X2087" t="s">
        <v>106</v>
      </c>
      <c r="Y2087" t="s">
        <v>108</v>
      </c>
      <c r="Z2087" t="s">
        <v>109</v>
      </c>
      <c r="AA2087" t="s">
        <v>106</v>
      </c>
      <c r="AB2087" t="s">
        <v>106</v>
      </c>
    </row>
    <row r="2088" spans="1:28" x14ac:dyDescent="0.3">
      <c r="A2088" t="s">
        <v>1548</v>
      </c>
      <c r="B2088">
        <v>2</v>
      </c>
      <c r="C2088">
        <v>15</v>
      </c>
      <c r="D2088">
        <v>1</v>
      </c>
      <c r="E2088" t="s">
        <v>110</v>
      </c>
      <c r="F2088" s="12">
        <v>45678</v>
      </c>
      <c r="G2088" t="s">
        <v>880</v>
      </c>
      <c r="H2088" s="12">
        <v>45678</v>
      </c>
      <c r="I2088" t="s">
        <v>370</v>
      </c>
      <c r="J2088" t="s">
        <v>425</v>
      </c>
      <c r="L2088">
        <v>16.7</v>
      </c>
      <c r="P2088" t="s">
        <v>106</v>
      </c>
      <c r="Q2088" t="s">
        <v>106</v>
      </c>
      <c r="R2088" t="s">
        <v>106</v>
      </c>
      <c r="S2088" t="s">
        <v>1744</v>
      </c>
      <c r="T2088" t="s">
        <v>981</v>
      </c>
      <c r="U2088" t="s">
        <v>106</v>
      </c>
      <c r="V2088" t="s">
        <v>106</v>
      </c>
      <c r="W2088" t="s">
        <v>557</v>
      </c>
      <c r="X2088" t="s">
        <v>106</v>
      </c>
      <c r="Y2088" t="s">
        <v>108</v>
      </c>
      <c r="Z2088" t="s">
        <v>109</v>
      </c>
      <c r="AA2088" t="s">
        <v>106</v>
      </c>
      <c r="AB2088" t="s">
        <v>106</v>
      </c>
    </row>
    <row r="2089" spans="1:28" x14ac:dyDescent="0.3">
      <c r="A2089" t="s">
        <v>1512</v>
      </c>
      <c r="B2089">
        <v>2</v>
      </c>
      <c r="C2089">
        <v>15</v>
      </c>
      <c r="D2089">
        <v>122</v>
      </c>
      <c r="E2089" t="s">
        <v>456</v>
      </c>
      <c r="F2089" s="12">
        <v>45678</v>
      </c>
      <c r="G2089" t="s">
        <v>1546</v>
      </c>
      <c r="H2089" s="12">
        <v>45678</v>
      </c>
      <c r="I2089" t="s">
        <v>1392</v>
      </c>
      <c r="J2089" t="s">
        <v>458</v>
      </c>
      <c r="K2089">
        <v>2</v>
      </c>
      <c r="L2089">
        <v>15.5</v>
      </c>
      <c r="P2089" t="s">
        <v>106</v>
      </c>
      <c r="Q2089" t="s">
        <v>106</v>
      </c>
      <c r="R2089" t="s">
        <v>106</v>
      </c>
      <c r="S2089" t="s">
        <v>1563</v>
      </c>
      <c r="T2089" t="s">
        <v>843</v>
      </c>
      <c r="U2089" t="s">
        <v>429</v>
      </c>
      <c r="V2089" t="s">
        <v>106</v>
      </c>
      <c r="W2089" t="s">
        <v>443</v>
      </c>
      <c r="X2089" t="s">
        <v>106</v>
      </c>
      <c r="Y2089" t="s">
        <v>108</v>
      </c>
      <c r="Z2089" t="s">
        <v>109</v>
      </c>
      <c r="AA2089" t="s">
        <v>106</v>
      </c>
      <c r="AB2089" t="s">
        <v>106</v>
      </c>
    </row>
    <row r="2090" spans="1:28" x14ac:dyDescent="0.3">
      <c r="A2090" t="s">
        <v>1512</v>
      </c>
      <c r="B2090">
        <v>2</v>
      </c>
      <c r="C2090">
        <v>15</v>
      </c>
      <c r="D2090">
        <v>105</v>
      </c>
      <c r="E2090" t="s">
        <v>456</v>
      </c>
      <c r="F2090" s="12">
        <v>45678</v>
      </c>
      <c r="G2090" t="s">
        <v>524</v>
      </c>
      <c r="H2090" s="12">
        <v>45678</v>
      </c>
      <c r="I2090" t="s">
        <v>341</v>
      </c>
      <c r="J2090" t="s">
        <v>1522</v>
      </c>
      <c r="L2090">
        <v>14.8</v>
      </c>
      <c r="P2090" t="s">
        <v>106</v>
      </c>
      <c r="Q2090" t="s">
        <v>106</v>
      </c>
      <c r="R2090" t="s">
        <v>106</v>
      </c>
      <c r="S2090" t="s">
        <v>106</v>
      </c>
      <c r="T2090" t="s">
        <v>1536</v>
      </c>
      <c r="U2090" t="s">
        <v>427</v>
      </c>
      <c r="V2090" t="s">
        <v>106</v>
      </c>
      <c r="W2090" t="s">
        <v>954</v>
      </c>
      <c r="X2090" t="s">
        <v>106</v>
      </c>
      <c r="Y2090" t="s">
        <v>108</v>
      </c>
      <c r="Z2090" t="s">
        <v>109</v>
      </c>
      <c r="AA2090" t="s">
        <v>106</v>
      </c>
      <c r="AB2090" t="s">
        <v>106</v>
      </c>
    </row>
    <row r="2091" spans="1:28" x14ac:dyDescent="0.3">
      <c r="A2091" t="s">
        <v>1512</v>
      </c>
      <c r="B2091">
        <v>2</v>
      </c>
      <c r="C2091">
        <v>15</v>
      </c>
      <c r="D2091">
        <v>104</v>
      </c>
      <c r="E2091" t="s">
        <v>456</v>
      </c>
      <c r="F2091" s="12">
        <v>45678</v>
      </c>
      <c r="G2091" t="s">
        <v>363</v>
      </c>
      <c r="H2091" s="12">
        <v>45678</v>
      </c>
      <c r="I2091" t="s">
        <v>341</v>
      </c>
      <c r="J2091" t="s">
        <v>1522</v>
      </c>
      <c r="L2091">
        <v>16.100000000000001</v>
      </c>
      <c r="P2091" t="s">
        <v>106</v>
      </c>
      <c r="Q2091" t="s">
        <v>106</v>
      </c>
      <c r="R2091" t="s">
        <v>106</v>
      </c>
      <c r="S2091" t="s">
        <v>1678</v>
      </c>
      <c r="T2091" t="s">
        <v>1536</v>
      </c>
      <c r="U2091" t="s">
        <v>429</v>
      </c>
      <c r="V2091" t="s">
        <v>106</v>
      </c>
      <c r="W2091" t="s">
        <v>954</v>
      </c>
      <c r="X2091" t="s">
        <v>106</v>
      </c>
      <c r="Y2091" t="s">
        <v>108</v>
      </c>
      <c r="Z2091" t="s">
        <v>109</v>
      </c>
      <c r="AA2091" t="s">
        <v>106</v>
      </c>
      <c r="AB2091" t="s">
        <v>106</v>
      </c>
    </row>
    <row r="2092" spans="1:28" x14ac:dyDescent="0.3">
      <c r="A2092" t="s">
        <v>1512</v>
      </c>
      <c r="B2092">
        <v>2</v>
      </c>
      <c r="C2092">
        <v>15</v>
      </c>
      <c r="D2092">
        <v>97</v>
      </c>
      <c r="E2092" t="s">
        <v>456</v>
      </c>
      <c r="F2092" s="12">
        <v>45678</v>
      </c>
      <c r="G2092" t="s">
        <v>2156</v>
      </c>
      <c r="H2092" s="12">
        <v>45678</v>
      </c>
      <c r="I2092" t="s">
        <v>1531</v>
      </c>
      <c r="J2092" t="s">
        <v>1363</v>
      </c>
      <c r="L2092">
        <v>15.5</v>
      </c>
      <c r="P2092" t="s">
        <v>106</v>
      </c>
      <c r="Q2092" t="s">
        <v>106</v>
      </c>
      <c r="R2092" t="s">
        <v>106</v>
      </c>
      <c r="S2092" t="s">
        <v>106</v>
      </c>
      <c r="T2092" t="s">
        <v>500</v>
      </c>
      <c r="U2092" t="s">
        <v>1615</v>
      </c>
      <c r="V2092" t="s">
        <v>106</v>
      </c>
      <c r="W2092" t="s">
        <v>954</v>
      </c>
      <c r="X2092" t="s">
        <v>106</v>
      </c>
      <c r="Y2092" t="s">
        <v>108</v>
      </c>
      <c r="Z2092" t="s">
        <v>109</v>
      </c>
      <c r="AA2092" t="s">
        <v>106</v>
      </c>
      <c r="AB2092" t="s">
        <v>106</v>
      </c>
    </row>
    <row r="2093" spans="1:28" x14ac:dyDescent="0.3">
      <c r="A2093" t="s">
        <v>1512</v>
      </c>
      <c r="B2093">
        <v>2</v>
      </c>
      <c r="C2093">
        <v>15</v>
      </c>
      <c r="D2093">
        <v>129</v>
      </c>
      <c r="E2093" t="s">
        <v>456</v>
      </c>
      <c r="F2093" s="12">
        <v>45678</v>
      </c>
      <c r="G2093" t="s">
        <v>2157</v>
      </c>
      <c r="H2093" s="12">
        <v>45678</v>
      </c>
      <c r="I2093" t="s">
        <v>813</v>
      </c>
      <c r="J2093" t="s">
        <v>458</v>
      </c>
      <c r="K2093">
        <v>2</v>
      </c>
      <c r="L2093">
        <v>15.7</v>
      </c>
      <c r="P2093" t="s">
        <v>106</v>
      </c>
      <c r="Q2093" t="s">
        <v>106</v>
      </c>
      <c r="R2093" t="s">
        <v>106</v>
      </c>
      <c r="S2093" t="s">
        <v>106</v>
      </c>
      <c r="T2093" t="s">
        <v>1385</v>
      </c>
      <c r="U2093" t="s">
        <v>106</v>
      </c>
      <c r="V2093" t="s">
        <v>106</v>
      </c>
      <c r="W2093" t="s">
        <v>443</v>
      </c>
      <c r="X2093" t="s">
        <v>106</v>
      </c>
      <c r="Y2093" t="s">
        <v>108</v>
      </c>
      <c r="Z2093" t="s">
        <v>109</v>
      </c>
      <c r="AA2093" t="s">
        <v>106</v>
      </c>
      <c r="AB2093" t="s">
        <v>106</v>
      </c>
    </row>
    <row r="2094" spans="1:28" x14ac:dyDescent="0.3">
      <c r="A2094" t="s">
        <v>1512</v>
      </c>
      <c r="B2094">
        <v>2</v>
      </c>
      <c r="C2094">
        <v>15</v>
      </c>
      <c r="D2094">
        <v>123</v>
      </c>
      <c r="E2094" t="s">
        <v>456</v>
      </c>
      <c r="F2094" s="12">
        <v>45678</v>
      </c>
      <c r="G2094" t="s">
        <v>2158</v>
      </c>
      <c r="H2094" s="12">
        <v>45678</v>
      </c>
      <c r="I2094" t="s">
        <v>1392</v>
      </c>
      <c r="J2094" t="s">
        <v>458</v>
      </c>
      <c r="K2094">
        <v>2</v>
      </c>
      <c r="L2094">
        <v>15.8</v>
      </c>
      <c r="P2094" t="s">
        <v>106</v>
      </c>
      <c r="Q2094" t="s">
        <v>106</v>
      </c>
      <c r="R2094" t="s">
        <v>106</v>
      </c>
      <c r="S2094" t="s">
        <v>106</v>
      </c>
      <c r="T2094" t="s">
        <v>812</v>
      </c>
      <c r="U2094" t="s">
        <v>1410</v>
      </c>
      <c r="V2094" t="s">
        <v>106</v>
      </c>
      <c r="W2094" t="s">
        <v>443</v>
      </c>
      <c r="X2094" t="s">
        <v>106</v>
      </c>
      <c r="Y2094" t="s">
        <v>108</v>
      </c>
      <c r="Z2094" t="s">
        <v>109</v>
      </c>
      <c r="AA2094" t="s">
        <v>106</v>
      </c>
      <c r="AB2094" t="s">
        <v>106</v>
      </c>
    </row>
    <row r="2095" spans="1:28" x14ac:dyDescent="0.3">
      <c r="A2095" t="s">
        <v>1512</v>
      </c>
      <c r="B2095">
        <v>2</v>
      </c>
      <c r="C2095">
        <v>15</v>
      </c>
      <c r="D2095">
        <v>128</v>
      </c>
      <c r="E2095" t="s">
        <v>456</v>
      </c>
      <c r="F2095" s="12">
        <v>45678</v>
      </c>
      <c r="G2095" t="s">
        <v>2157</v>
      </c>
      <c r="H2095" s="12">
        <v>45678</v>
      </c>
      <c r="I2095" t="s">
        <v>813</v>
      </c>
      <c r="J2095" t="s">
        <v>458</v>
      </c>
      <c r="K2095">
        <v>2</v>
      </c>
      <c r="L2095">
        <v>16.5</v>
      </c>
      <c r="P2095" t="s">
        <v>106</v>
      </c>
      <c r="Q2095" t="s">
        <v>106</v>
      </c>
      <c r="R2095" t="s">
        <v>106</v>
      </c>
      <c r="S2095" t="s">
        <v>1567</v>
      </c>
      <c r="T2095" t="s">
        <v>1101</v>
      </c>
      <c r="U2095" t="s">
        <v>106</v>
      </c>
      <c r="V2095" t="s">
        <v>106</v>
      </c>
      <c r="W2095" t="s">
        <v>443</v>
      </c>
      <c r="X2095" t="s">
        <v>106</v>
      </c>
      <c r="Y2095" t="s">
        <v>108</v>
      </c>
      <c r="Z2095" t="s">
        <v>109</v>
      </c>
      <c r="AA2095" t="s">
        <v>106</v>
      </c>
      <c r="AB2095" t="s">
        <v>106</v>
      </c>
    </row>
    <row r="2096" spans="1:28" x14ac:dyDescent="0.3">
      <c r="A2096" t="s">
        <v>1512</v>
      </c>
      <c r="B2096">
        <v>2</v>
      </c>
      <c r="C2096">
        <v>15</v>
      </c>
      <c r="D2096">
        <v>96</v>
      </c>
      <c r="E2096" t="s">
        <v>456</v>
      </c>
      <c r="F2096" s="12">
        <v>45678</v>
      </c>
      <c r="G2096" t="s">
        <v>2159</v>
      </c>
      <c r="H2096" s="12">
        <v>45678</v>
      </c>
      <c r="I2096" t="s">
        <v>1531</v>
      </c>
      <c r="J2096" t="s">
        <v>1363</v>
      </c>
      <c r="L2096">
        <v>14.4</v>
      </c>
      <c r="P2096" t="s">
        <v>106</v>
      </c>
      <c r="Q2096" t="s">
        <v>106</v>
      </c>
      <c r="R2096" t="s">
        <v>106</v>
      </c>
      <c r="S2096" t="s">
        <v>1514</v>
      </c>
      <c r="T2096" t="s">
        <v>1090</v>
      </c>
      <c r="U2096" t="s">
        <v>867</v>
      </c>
      <c r="V2096" t="s">
        <v>106</v>
      </c>
      <c r="W2096" t="s">
        <v>954</v>
      </c>
      <c r="X2096" t="s">
        <v>106</v>
      </c>
      <c r="Y2096" t="s">
        <v>108</v>
      </c>
      <c r="Z2096" t="s">
        <v>109</v>
      </c>
      <c r="AA2096" t="s">
        <v>106</v>
      </c>
      <c r="AB2096" t="s">
        <v>106</v>
      </c>
    </row>
    <row r="2097" spans="1:28" x14ac:dyDescent="0.3">
      <c r="A2097" t="s">
        <v>1548</v>
      </c>
      <c r="B2097">
        <v>2</v>
      </c>
      <c r="C2097">
        <v>15</v>
      </c>
      <c r="D2097">
        <v>2</v>
      </c>
      <c r="E2097" t="s">
        <v>110</v>
      </c>
      <c r="F2097" s="12">
        <v>45678</v>
      </c>
      <c r="G2097" t="s">
        <v>880</v>
      </c>
      <c r="H2097" s="12">
        <v>45678</v>
      </c>
      <c r="I2097" t="s">
        <v>370</v>
      </c>
      <c r="J2097" t="s">
        <v>425</v>
      </c>
      <c r="L2097">
        <v>16.899999999999999</v>
      </c>
      <c r="P2097" t="s">
        <v>106</v>
      </c>
      <c r="Q2097" t="s">
        <v>106</v>
      </c>
      <c r="R2097" t="s">
        <v>106</v>
      </c>
      <c r="S2097" t="s">
        <v>106</v>
      </c>
      <c r="T2097" t="s">
        <v>1931</v>
      </c>
      <c r="U2097" t="s">
        <v>106</v>
      </c>
      <c r="V2097" t="s">
        <v>106</v>
      </c>
      <c r="W2097" t="s">
        <v>557</v>
      </c>
      <c r="X2097" t="s">
        <v>106</v>
      </c>
      <c r="Y2097" t="s">
        <v>108</v>
      </c>
      <c r="Z2097" t="s">
        <v>109</v>
      </c>
      <c r="AA2097" t="s">
        <v>106</v>
      </c>
      <c r="AB2097" t="s">
        <v>106</v>
      </c>
    </row>
    <row r="2098" spans="1:28" x14ac:dyDescent="0.3">
      <c r="A2098" t="s">
        <v>1512</v>
      </c>
      <c r="B2098">
        <v>2</v>
      </c>
      <c r="C2098">
        <v>15</v>
      </c>
      <c r="D2098">
        <v>113</v>
      </c>
      <c r="E2098" t="s">
        <v>456</v>
      </c>
      <c r="F2098" s="12">
        <v>45678</v>
      </c>
      <c r="G2098" t="s">
        <v>706</v>
      </c>
      <c r="H2098" s="12">
        <v>45678</v>
      </c>
      <c r="I2098" t="s">
        <v>542</v>
      </c>
      <c r="J2098" t="s">
        <v>458</v>
      </c>
      <c r="K2098">
        <v>2</v>
      </c>
      <c r="L2098">
        <v>14.4</v>
      </c>
      <c r="P2098" t="s">
        <v>106</v>
      </c>
      <c r="Q2098" t="s">
        <v>106</v>
      </c>
      <c r="R2098" t="s">
        <v>106</v>
      </c>
      <c r="S2098" t="s">
        <v>2160</v>
      </c>
      <c r="T2098" t="s">
        <v>1097</v>
      </c>
      <c r="U2098" t="s">
        <v>106</v>
      </c>
      <c r="V2098" t="s">
        <v>106</v>
      </c>
      <c r="W2098" t="s">
        <v>557</v>
      </c>
      <c r="X2098" t="s">
        <v>106</v>
      </c>
      <c r="Y2098" t="s">
        <v>108</v>
      </c>
      <c r="Z2098" t="s">
        <v>109</v>
      </c>
      <c r="AA2098" t="s">
        <v>106</v>
      </c>
      <c r="AB2098" t="s">
        <v>106</v>
      </c>
    </row>
    <row r="2099" spans="1:28" x14ac:dyDescent="0.3">
      <c r="A2099" t="s">
        <v>1548</v>
      </c>
      <c r="B2099">
        <v>3</v>
      </c>
      <c r="C2099">
        <v>35</v>
      </c>
      <c r="D2099">
        <v>3</v>
      </c>
      <c r="E2099" t="s">
        <v>110</v>
      </c>
      <c r="F2099" s="12">
        <v>45678</v>
      </c>
      <c r="G2099" t="s">
        <v>338</v>
      </c>
      <c r="H2099" s="12">
        <v>45678</v>
      </c>
      <c r="I2099" t="s">
        <v>370</v>
      </c>
      <c r="J2099" t="s">
        <v>425</v>
      </c>
      <c r="L2099">
        <v>38.700000000000003</v>
      </c>
      <c r="P2099" t="s">
        <v>106</v>
      </c>
      <c r="Q2099" t="s">
        <v>106</v>
      </c>
      <c r="R2099" t="s">
        <v>106</v>
      </c>
      <c r="S2099" t="s">
        <v>1349</v>
      </c>
      <c r="T2099" t="s">
        <v>1659</v>
      </c>
      <c r="U2099" t="s">
        <v>106</v>
      </c>
      <c r="V2099" t="s">
        <v>106</v>
      </c>
      <c r="W2099" t="s">
        <v>557</v>
      </c>
      <c r="X2099" t="s">
        <v>106</v>
      </c>
      <c r="Y2099" t="s">
        <v>108</v>
      </c>
      <c r="Z2099" t="s">
        <v>108</v>
      </c>
      <c r="AA2099" t="s">
        <v>106</v>
      </c>
      <c r="AB2099" t="s">
        <v>106</v>
      </c>
    </row>
    <row r="2100" spans="1:28" x14ac:dyDescent="0.3">
      <c r="A2100" t="s">
        <v>1512</v>
      </c>
      <c r="B2100">
        <v>3</v>
      </c>
      <c r="C2100">
        <v>35</v>
      </c>
      <c r="D2100">
        <v>145</v>
      </c>
      <c r="E2100" t="s">
        <v>456</v>
      </c>
      <c r="F2100" s="12">
        <v>45678</v>
      </c>
      <c r="G2100" t="s">
        <v>2046</v>
      </c>
      <c r="H2100" s="12">
        <v>45678</v>
      </c>
      <c r="I2100" t="s">
        <v>1498</v>
      </c>
      <c r="J2100" t="s">
        <v>458</v>
      </c>
      <c r="K2100">
        <v>2</v>
      </c>
      <c r="L2100">
        <v>36.6</v>
      </c>
      <c r="P2100" t="s">
        <v>106</v>
      </c>
      <c r="Q2100" t="s">
        <v>106</v>
      </c>
      <c r="R2100" t="s">
        <v>106</v>
      </c>
      <c r="S2100" t="s">
        <v>1355</v>
      </c>
      <c r="T2100" t="s">
        <v>1131</v>
      </c>
      <c r="U2100" t="s">
        <v>1411</v>
      </c>
      <c r="V2100" t="s">
        <v>106</v>
      </c>
      <c r="W2100" t="s">
        <v>443</v>
      </c>
      <c r="X2100" t="s">
        <v>106</v>
      </c>
      <c r="Y2100" t="s">
        <v>108</v>
      </c>
      <c r="Z2100" t="s">
        <v>108</v>
      </c>
      <c r="AA2100" t="s">
        <v>106</v>
      </c>
      <c r="AB2100" t="s">
        <v>106</v>
      </c>
    </row>
    <row r="2101" spans="1:28" x14ac:dyDescent="0.3">
      <c r="A2101" t="s">
        <v>1548</v>
      </c>
      <c r="B2101">
        <v>3</v>
      </c>
      <c r="C2101">
        <v>35</v>
      </c>
      <c r="D2101">
        <v>4</v>
      </c>
      <c r="E2101" t="s">
        <v>110</v>
      </c>
      <c r="F2101" s="12">
        <v>45678</v>
      </c>
      <c r="G2101" t="s">
        <v>569</v>
      </c>
      <c r="H2101" s="12">
        <v>45678</v>
      </c>
      <c r="I2101" t="s">
        <v>370</v>
      </c>
      <c r="J2101" t="s">
        <v>425</v>
      </c>
      <c r="L2101">
        <v>38.5</v>
      </c>
      <c r="P2101" t="s">
        <v>106</v>
      </c>
      <c r="Q2101" t="s">
        <v>106</v>
      </c>
      <c r="R2101" t="s">
        <v>106</v>
      </c>
      <c r="S2101" t="s">
        <v>106</v>
      </c>
      <c r="T2101" t="s">
        <v>1634</v>
      </c>
      <c r="U2101" t="s">
        <v>106</v>
      </c>
      <c r="V2101" t="s">
        <v>106</v>
      </c>
      <c r="W2101" t="s">
        <v>557</v>
      </c>
      <c r="X2101" t="s">
        <v>106</v>
      </c>
      <c r="Y2101" t="s">
        <v>108</v>
      </c>
      <c r="Z2101" t="s">
        <v>108</v>
      </c>
      <c r="AA2101" t="s">
        <v>106</v>
      </c>
      <c r="AB2101" t="s">
        <v>106</v>
      </c>
    </row>
    <row r="2102" spans="1:28" x14ac:dyDescent="0.3">
      <c r="A2102" t="s">
        <v>1512</v>
      </c>
      <c r="B2102">
        <v>3</v>
      </c>
      <c r="C2102">
        <v>35</v>
      </c>
      <c r="D2102">
        <v>98</v>
      </c>
      <c r="E2102" t="s">
        <v>456</v>
      </c>
      <c r="F2102" s="12">
        <v>45678</v>
      </c>
      <c r="G2102" t="s">
        <v>1186</v>
      </c>
      <c r="H2102" s="12">
        <v>45678</v>
      </c>
      <c r="I2102" t="s">
        <v>1531</v>
      </c>
      <c r="J2102" t="s">
        <v>1363</v>
      </c>
      <c r="L2102">
        <v>34.4</v>
      </c>
      <c r="P2102" t="s">
        <v>106</v>
      </c>
      <c r="Q2102" t="s">
        <v>106</v>
      </c>
      <c r="R2102" t="s">
        <v>106</v>
      </c>
      <c r="S2102" t="s">
        <v>1388</v>
      </c>
      <c r="T2102" t="s">
        <v>1141</v>
      </c>
      <c r="U2102" t="s">
        <v>369</v>
      </c>
      <c r="V2102" t="s">
        <v>106</v>
      </c>
      <c r="W2102" t="s">
        <v>954</v>
      </c>
      <c r="X2102" t="s">
        <v>106</v>
      </c>
      <c r="Y2102" t="s">
        <v>108</v>
      </c>
      <c r="Z2102" t="s">
        <v>108</v>
      </c>
      <c r="AA2102" t="s">
        <v>106</v>
      </c>
      <c r="AB2102" t="s">
        <v>106</v>
      </c>
    </row>
    <row r="2103" spans="1:28" x14ac:dyDescent="0.3">
      <c r="A2103" t="s">
        <v>1512</v>
      </c>
      <c r="B2103">
        <v>3</v>
      </c>
      <c r="C2103">
        <v>35</v>
      </c>
      <c r="D2103">
        <v>106</v>
      </c>
      <c r="E2103" t="s">
        <v>456</v>
      </c>
      <c r="F2103" s="12">
        <v>45678</v>
      </c>
      <c r="G2103" t="s">
        <v>2516</v>
      </c>
      <c r="H2103" s="12">
        <v>45678</v>
      </c>
      <c r="I2103" t="s">
        <v>341</v>
      </c>
      <c r="J2103" t="s">
        <v>1522</v>
      </c>
      <c r="L2103">
        <v>37.4</v>
      </c>
      <c r="P2103" t="s">
        <v>106</v>
      </c>
      <c r="Q2103" t="s">
        <v>106</v>
      </c>
      <c r="R2103" t="s">
        <v>106</v>
      </c>
      <c r="S2103" t="s">
        <v>2360</v>
      </c>
      <c r="T2103" t="s">
        <v>937</v>
      </c>
      <c r="U2103" t="s">
        <v>427</v>
      </c>
      <c r="V2103" t="s">
        <v>106</v>
      </c>
      <c r="W2103" t="s">
        <v>954</v>
      </c>
      <c r="X2103" t="s">
        <v>106</v>
      </c>
      <c r="Y2103" t="s">
        <v>108</v>
      </c>
      <c r="Z2103" t="s">
        <v>108</v>
      </c>
      <c r="AA2103" t="s">
        <v>106</v>
      </c>
      <c r="AB2103" t="s">
        <v>106</v>
      </c>
    </row>
    <row r="2104" spans="1:28" x14ac:dyDescent="0.3">
      <c r="A2104" t="s">
        <v>1512</v>
      </c>
      <c r="B2104">
        <v>3</v>
      </c>
      <c r="C2104">
        <v>35</v>
      </c>
      <c r="D2104">
        <v>144</v>
      </c>
      <c r="E2104" t="s">
        <v>456</v>
      </c>
      <c r="F2104" s="12">
        <v>45678</v>
      </c>
      <c r="G2104" t="s">
        <v>2262</v>
      </c>
      <c r="H2104" s="12">
        <v>45678</v>
      </c>
      <c r="I2104" t="s">
        <v>1498</v>
      </c>
      <c r="J2104" t="s">
        <v>458</v>
      </c>
      <c r="K2104">
        <v>2</v>
      </c>
      <c r="L2104">
        <v>35.6</v>
      </c>
      <c r="P2104" t="s">
        <v>106</v>
      </c>
      <c r="Q2104" t="s">
        <v>106</v>
      </c>
      <c r="R2104" t="s">
        <v>106</v>
      </c>
      <c r="S2104" t="s">
        <v>106</v>
      </c>
      <c r="T2104" t="s">
        <v>1145</v>
      </c>
      <c r="U2104" t="s">
        <v>395</v>
      </c>
      <c r="V2104" t="s">
        <v>106</v>
      </c>
      <c r="W2104" t="s">
        <v>443</v>
      </c>
      <c r="X2104" t="s">
        <v>106</v>
      </c>
      <c r="Y2104" t="s">
        <v>108</v>
      </c>
      <c r="Z2104" t="s">
        <v>108</v>
      </c>
      <c r="AA2104" t="s">
        <v>106</v>
      </c>
      <c r="AB2104" t="s">
        <v>106</v>
      </c>
    </row>
    <row r="2105" spans="1:28" x14ac:dyDescent="0.3">
      <c r="A2105" t="s">
        <v>1512</v>
      </c>
      <c r="B2105">
        <v>3</v>
      </c>
      <c r="C2105">
        <v>35</v>
      </c>
      <c r="D2105">
        <v>133</v>
      </c>
      <c r="E2105" t="s">
        <v>456</v>
      </c>
      <c r="F2105" s="12">
        <v>45678</v>
      </c>
      <c r="G2105" t="s">
        <v>2539</v>
      </c>
      <c r="H2105" s="12">
        <v>45678</v>
      </c>
      <c r="I2105" t="s">
        <v>813</v>
      </c>
      <c r="J2105" t="s">
        <v>458</v>
      </c>
      <c r="K2105">
        <v>2</v>
      </c>
      <c r="L2105">
        <v>36.9</v>
      </c>
      <c r="P2105" t="s">
        <v>106</v>
      </c>
      <c r="Q2105" t="s">
        <v>106</v>
      </c>
      <c r="R2105" t="s">
        <v>106</v>
      </c>
      <c r="S2105" t="s">
        <v>106</v>
      </c>
      <c r="T2105" t="s">
        <v>1280</v>
      </c>
      <c r="U2105" t="s">
        <v>1415</v>
      </c>
      <c r="V2105" t="s">
        <v>106</v>
      </c>
      <c r="W2105" t="s">
        <v>443</v>
      </c>
      <c r="X2105" t="s">
        <v>106</v>
      </c>
      <c r="Y2105" t="s">
        <v>108</v>
      </c>
      <c r="Z2105" t="s">
        <v>104</v>
      </c>
      <c r="AA2105" t="s">
        <v>106</v>
      </c>
      <c r="AB2105" t="s">
        <v>106</v>
      </c>
    </row>
    <row r="2106" spans="1:28" x14ac:dyDescent="0.3">
      <c r="A2106" t="s">
        <v>1512</v>
      </c>
      <c r="B2106">
        <v>3</v>
      </c>
      <c r="C2106">
        <v>35</v>
      </c>
      <c r="D2106">
        <v>139</v>
      </c>
      <c r="E2106" t="s">
        <v>456</v>
      </c>
      <c r="F2106" s="12">
        <v>45678</v>
      </c>
      <c r="G2106" t="s">
        <v>1491</v>
      </c>
      <c r="H2106" s="12">
        <v>45678</v>
      </c>
      <c r="I2106" t="s">
        <v>2123</v>
      </c>
      <c r="J2106" t="s">
        <v>458</v>
      </c>
      <c r="K2106">
        <v>2</v>
      </c>
      <c r="L2106">
        <v>37.1</v>
      </c>
      <c r="P2106" t="s">
        <v>106</v>
      </c>
      <c r="Q2106" t="s">
        <v>106</v>
      </c>
      <c r="R2106" t="s">
        <v>106</v>
      </c>
      <c r="S2106" t="s">
        <v>106</v>
      </c>
      <c r="T2106" t="s">
        <v>984</v>
      </c>
      <c r="U2106" t="s">
        <v>708</v>
      </c>
      <c r="V2106" t="s">
        <v>106</v>
      </c>
      <c r="W2106" t="s">
        <v>443</v>
      </c>
      <c r="X2106" t="s">
        <v>106</v>
      </c>
      <c r="Y2106" t="s">
        <v>108</v>
      </c>
      <c r="Z2106" t="s">
        <v>108</v>
      </c>
      <c r="AA2106" t="s">
        <v>106</v>
      </c>
      <c r="AB2106" t="s">
        <v>106</v>
      </c>
    </row>
    <row r="2107" spans="1:28" x14ac:dyDescent="0.3">
      <c r="A2107" t="s">
        <v>1512</v>
      </c>
      <c r="B2107">
        <v>3</v>
      </c>
      <c r="C2107">
        <v>35</v>
      </c>
      <c r="D2107">
        <v>138</v>
      </c>
      <c r="E2107" t="s">
        <v>456</v>
      </c>
      <c r="F2107" s="12">
        <v>45678</v>
      </c>
      <c r="G2107" t="s">
        <v>1491</v>
      </c>
      <c r="H2107" s="12">
        <v>45678</v>
      </c>
      <c r="I2107" t="s">
        <v>2123</v>
      </c>
      <c r="J2107" t="s">
        <v>458</v>
      </c>
      <c r="K2107">
        <v>2</v>
      </c>
      <c r="L2107">
        <v>37.299999999999997</v>
      </c>
      <c r="P2107" t="s">
        <v>106</v>
      </c>
      <c r="Q2107" t="s">
        <v>106</v>
      </c>
      <c r="R2107" t="s">
        <v>106</v>
      </c>
      <c r="S2107" t="s">
        <v>1795</v>
      </c>
      <c r="T2107" t="s">
        <v>776</v>
      </c>
      <c r="U2107" t="s">
        <v>1591</v>
      </c>
      <c r="V2107" t="s">
        <v>106</v>
      </c>
      <c r="W2107" t="s">
        <v>443</v>
      </c>
      <c r="X2107" t="s">
        <v>106</v>
      </c>
      <c r="Y2107" t="s">
        <v>108</v>
      </c>
      <c r="Z2107" t="s">
        <v>108</v>
      </c>
      <c r="AA2107" t="s">
        <v>106</v>
      </c>
      <c r="AB2107" t="s">
        <v>106</v>
      </c>
    </row>
    <row r="2108" spans="1:28" x14ac:dyDescent="0.3">
      <c r="A2108" t="s">
        <v>1512</v>
      </c>
      <c r="B2108">
        <v>3</v>
      </c>
      <c r="C2108">
        <v>35</v>
      </c>
      <c r="D2108">
        <v>114</v>
      </c>
      <c r="E2108" t="s">
        <v>456</v>
      </c>
      <c r="F2108" s="12">
        <v>45678</v>
      </c>
      <c r="G2108" t="s">
        <v>706</v>
      </c>
      <c r="H2108" s="12">
        <v>45678</v>
      </c>
      <c r="I2108" t="s">
        <v>542</v>
      </c>
      <c r="J2108" t="s">
        <v>458</v>
      </c>
      <c r="K2108">
        <v>2</v>
      </c>
      <c r="L2108">
        <v>37.5</v>
      </c>
      <c r="P2108" t="s">
        <v>106</v>
      </c>
      <c r="Q2108" t="s">
        <v>106</v>
      </c>
      <c r="R2108" t="s">
        <v>106</v>
      </c>
      <c r="S2108" t="s">
        <v>106</v>
      </c>
      <c r="T2108" t="s">
        <v>1097</v>
      </c>
      <c r="U2108" t="s">
        <v>429</v>
      </c>
      <c r="V2108" t="s">
        <v>106</v>
      </c>
      <c r="W2108" t="s">
        <v>557</v>
      </c>
      <c r="X2108" t="s">
        <v>106</v>
      </c>
      <c r="Y2108" t="s">
        <v>108</v>
      </c>
      <c r="Z2108" t="s">
        <v>108</v>
      </c>
      <c r="AA2108" t="s">
        <v>106</v>
      </c>
      <c r="AB2108" t="s">
        <v>106</v>
      </c>
    </row>
    <row r="2109" spans="1:28" x14ac:dyDescent="0.3">
      <c r="A2109" t="s">
        <v>1512</v>
      </c>
      <c r="B2109">
        <v>3</v>
      </c>
      <c r="C2109">
        <v>35</v>
      </c>
      <c r="D2109">
        <v>115</v>
      </c>
      <c r="E2109" t="s">
        <v>456</v>
      </c>
      <c r="F2109" s="12">
        <v>45678</v>
      </c>
      <c r="G2109" t="s">
        <v>461</v>
      </c>
      <c r="H2109" s="12">
        <v>45678</v>
      </c>
      <c r="I2109" t="s">
        <v>542</v>
      </c>
      <c r="J2109" t="s">
        <v>458</v>
      </c>
      <c r="K2109">
        <v>2</v>
      </c>
      <c r="L2109">
        <v>37.700000000000003</v>
      </c>
      <c r="P2109" t="s">
        <v>106</v>
      </c>
      <c r="Q2109" t="s">
        <v>106</v>
      </c>
      <c r="R2109" t="s">
        <v>106</v>
      </c>
      <c r="S2109" t="s">
        <v>1649</v>
      </c>
      <c r="T2109" t="s">
        <v>1145</v>
      </c>
      <c r="U2109" t="s">
        <v>1410</v>
      </c>
      <c r="V2109" t="s">
        <v>106</v>
      </c>
      <c r="W2109" t="s">
        <v>557</v>
      </c>
      <c r="X2109" t="s">
        <v>106</v>
      </c>
      <c r="Y2109" t="s">
        <v>108</v>
      </c>
      <c r="Z2109" t="s">
        <v>108</v>
      </c>
      <c r="AA2109" t="s">
        <v>106</v>
      </c>
      <c r="AB2109" t="s">
        <v>106</v>
      </c>
    </row>
    <row r="2110" spans="1:28" x14ac:dyDescent="0.3">
      <c r="A2110" t="s">
        <v>1512</v>
      </c>
      <c r="B2110">
        <v>3</v>
      </c>
      <c r="C2110">
        <v>35</v>
      </c>
      <c r="D2110">
        <v>132</v>
      </c>
      <c r="E2110" t="s">
        <v>456</v>
      </c>
      <c r="F2110" s="12">
        <v>45678</v>
      </c>
      <c r="G2110" t="s">
        <v>2539</v>
      </c>
      <c r="H2110" s="12">
        <v>45678</v>
      </c>
      <c r="I2110" t="s">
        <v>813</v>
      </c>
      <c r="J2110" t="s">
        <v>458</v>
      </c>
      <c r="K2110">
        <v>2</v>
      </c>
      <c r="L2110">
        <v>36.299999999999997</v>
      </c>
      <c r="P2110" t="s">
        <v>106</v>
      </c>
      <c r="Q2110" t="s">
        <v>106</v>
      </c>
      <c r="R2110" t="s">
        <v>106</v>
      </c>
      <c r="S2110" t="s">
        <v>1798</v>
      </c>
      <c r="T2110" t="s">
        <v>1403</v>
      </c>
      <c r="U2110" t="s">
        <v>429</v>
      </c>
      <c r="V2110" t="s">
        <v>106</v>
      </c>
      <c r="W2110" t="s">
        <v>443</v>
      </c>
      <c r="X2110" t="s">
        <v>106</v>
      </c>
      <c r="Y2110" t="s">
        <v>108</v>
      </c>
      <c r="Z2110" t="s">
        <v>104</v>
      </c>
      <c r="AA2110" t="s">
        <v>106</v>
      </c>
      <c r="AB2110" t="s">
        <v>106</v>
      </c>
    </row>
    <row r="2111" spans="1:28" x14ac:dyDescent="0.3">
      <c r="A2111" t="s">
        <v>1512</v>
      </c>
      <c r="B2111">
        <v>3</v>
      </c>
      <c r="C2111">
        <v>35</v>
      </c>
      <c r="D2111">
        <v>124</v>
      </c>
      <c r="E2111" t="s">
        <v>456</v>
      </c>
      <c r="F2111" s="12">
        <v>45678</v>
      </c>
      <c r="G2111" t="s">
        <v>2158</v>
      </c>
      <c r="H2111" s="12">
        <v>45678</v>
      </c>
      <c r="I2111" t="s">
        <v>1392</v>
      </c>
      <c r="J2111" t="s">
        <v>458</v>
      </c>
      <c r="K2111">
        <v>2</v>
      </c>
      <c r="L2111">
        <v>37.200000000000003</v>
      </c>
      <c r="P2111" t="s">
        <v>106</v>
      </c>
      <c r="Q2111" t="s">
        <v>106</v>
      </c>
      <c r="R2111" t="s">
        <v>106</v>
      </c>
      <c r="S2111" t="s">
        <v>1514</v>
      </c>
      <c r="T2111" t="s">
        <v>1084</v>
      </c>
      <c r="U2111" t="s">
        <v>430</v>
      </c>
      <c r="V2111" t="s">
        <v>106</v>
      </c>
      <c r="W2111" t="s">
        <v>443</v>
      </c>
      <c r="X2111" t="s">
        <v>106</v>
      </c>
      <c r="Y2111" t="s">
        <v>108</v>
      </c>
      <c r="Z2111" t="s">
        <v>108</v>
      </c>
      <c r="AA2111" t="s">
        <v>106</v>
      </c>
      <c r="AB2111" t="s">
        <v>106</v>
      </c>
    </row>
    <row r="2112" spans="1:28" x14ac:dyDescent="0.3">
      <c r="A2112" t="s">
        <v>1512</v>
      </c>
      <c r="B2112">
        <v>3</v>
      </c>
      <c r="C2112">
        <v>35</v>
      </c>
      <c r="D2112">
        <v>125</v>
      </c>
      <c r="E2112" t="s">
        <v>456</v>
      </c>
      <c r="F2112" s="12">
        <v>45678</v>
      </c>
      <c r="G2112" t="s">
        <v>2282</v>
      </c>
      <c r="H2112" s="12">
        <v>45678</v>
      </c>
      <c r="I2112" t="s">
        <v>1392</v>
      </c>
      <c r="J2112" t="s">
        <v>458</v>
      </c>
      <c r="K2112">
        <v>2</v>
      </c>
      <c r="L2112">
        <v>37</v>
      </c>
      <c r="P2112" t="s">
        <v>106</v>
      </c>
      <c r="Q2112" t="s">
        <v>106</v>
      </c>
      <c r="R2112" t="s">
        <v>106</v>
      </c>
      <c r="S2112" t="s">
        <v>106</v>
      </c>
      <c r="T2112" t="s">
        <v>2059</v>
      </c>
      <c r="U2112" t="s">
        <v>1410</v>
      </c>
      <c r="V2112" t="s">
        <v>106</v>
      </c>
      <c r="W2112" t="s">
        <v>443</v>
      </c>
      <c r="X2112" t="s">
        <v>106</v>
      </c>
      <c r="Y2112" t="s">
        <v>108</v>
      </c>
      <c r="Z2112" t="s">
        <v>108</v>
      </c>
      <c r="AA2112" t="s">
        <v>106</v>
      </c>
      <c r="AB2112" t="s">
        <v>106</v>
      </c>
    </row>
    <row r="2113" spans="1:28" x14ac:dyDescent="0.3">
      <c r="A2113" t="s">
        <v>1512</v>
      </c>
      <c r="B2113">
        <v>3</v>
      </c>
      <c r="C2113">
        <v>35</v>
      </c>
      <c r="D2113">
        <v>107</v>
      </c>
      <c r="E2113" t="s">
        <v>456</v>
      </c>
      <c r="F2113" s="12">
        <v>45678</v>
      </c>
      <c r="G2113" t="s">
        <v>2103</v>
      </c>
      <c r="H2113" s="12">
        <v>45678</v>
      </c>
      <c r="I2113" t="s">
        <v>341</v>
      </c>
      <c r="J2113" t="s">
        <v>1522</v>
      </c>
      <c r="L2113">
        <v>35</v>
      </c>
      <c r="P2113" t="s">
        <v>106</v>
      </c>
      <c r="Q2113" t="s">
        <v>106</v>
      </c>
      <c r="R2113" t="s">
        <v>106</v>
      </c>
      <c r="S2113" t="s">
        <v>106</v>
      </c>
      <c r="T2113" t="s">
        <v>1101</v>
      </c>
      <c r="U2113" t="s">
        <v>1359</v>
      </c>
      <c r="V2113" t="s">
        <v>106</v>
      </c>
      <c r="W2113" t="s">
        <v>954</v>
      </c>
      <c r="X2113" t="s">
        <v>106</v>
      </c>
      <c r="Y2113" t="s">
        <v>108</v>
      </c>
      <c r="Z2113" t="s">
        <v>108</v>
      </c>
      <c r="AA2113" t="s">
        <v>106</v>
      </c>
      <c r="AB2113" t="s">
        <v>106</v>
      </c>
    </row>
    <row r="2114" spans="1:28" x14ac:dyDescent="0.3">
      <c r="A2114" t="s">
        <v>1512</v>
      </c>
      <c r="B2114">
        <v>3</v>
      </c>
      <c r="C2114">
        <v>35</v>
      </c>
      <c r="D2114">
        <v>99</v>
      </c>
      <c r="E2114" t="s">
        <v>456</v>
      </c>
      <c r="F2114" s="12">
        <v>45678</v>
      </c>
      <c r="G2114" t="s">
        <v>1189</v>
      </c>
      <c r="H2114" s="12">
        <v>45678</v>
      </c>
      <c r="I2114" t="s">
        <v>1531</v>
      </c>
      <c r="J2114" t="s">
        <v>1363</v>
      </c>
      <c r="L2114">
        <v>37.700000000000003</v>
      </c>
      <c r="P2114" t="s">
        <v>106</v>
      </c>
      <c r="Q2114" t="s">
        <v>106</v>
      </c>
      <c r="R2114" t="s">
        <v>106</v>
      </c>
      <c r="S2114" t="s">
        <v>106</v>
      </c>
      <c r="T2114" t="s">
        <v>2059</v>
      </c>
      <c r="U2114" t="s">
        <v>369</v>
      </c>
      <c r="V2114" t="s">
        <v>106</v>
      </c>
      <c r="W2114" t="s">
        <v>954</v>
      </c>
      <c r="X2114" t="s">
        <v>106</v>
      </c>
      <c r="Y2114" t="s">
        <v>108</v>
      </c>
      <c r="Z2114" t="s">
        <v>108</v>
      </c>
      <c r="AA2114" t="s">
        <v>106</v>
      </c>
      <c r="AB2114" t="s">
        <v>106</v>
      </c>
    </row>
    <row r="2115" spans="1:28" x14ac:dyDescent="0.3">
      <c r="A2115" t="s">
        <v>1512</v>
      </c>
      <c r="B2115">
        <v>4</v>
      </c>
      <c r="C2115">
        <v>60</v>
      </c>
      <c r="D2115">
        <v>116</v>
      </c>
      <c r="E2115" t="s">
        <v>456</v>
      </c>
      <c r="F2115" s="12">
        <v>45678</v>
      </c>
      <c r="G2115" t="s">
        <v>582</v>
      </c>
      <c r="H2115" s="12">
        <v>45678</v>
      </c>
      <c r="I2115" t="s">
        <v>542</v>
      </c>
      <c r="J2115" t="s">
        <v>458</v>
      </c>
      <c r="K2115">
        <v>2</v>
      </c>
      <c r="L2115">
        <v>61.2</v>
      </c>
      <c r="P2115" t="s">
        <v>106</v>
      </c>
      <c r="Q2115" t="s">
        <v>106</v>
      </c>
      <c r="R2115" t="s">
        <v>106</v>
      </c>
      <c r="S2115" t="s">
        <v>106</v>
      </c>
      <c r="T2115" t="s">
        <v>1523</v>
      </c>
      <c r="U2115" t="s">
        <v>1604</v>
      </c>
      <c r="V2115" t="s">
        <v>106</v>
      </c>
      <c r="W2115" t="s">
        <v>557</v>
      </c>
      <c r="X2115" t="s">
        <v>106</v>
      </c>
      <c r="Y2115" t="s">
        <v>108</v>
      </c>
      <c r="Z2115" t="s">
        <v>104</v>
      </c>
      <c r="AA2115" t="s">
        <v>106</v>
      </c>
      <c r="AB2115" t="s">
        <v>106</v>
      </c>
    </row>
    <row r="2116" spans="1:28" x14ac:dyDescent="0.3">
      <c r="A2116" t="s">
        <v>1512</v>
      </c>
      <c r="B2116">
        <v>4</v>
      </c>
      <c r="C2116">
        <v>60</v>
      </c>
      <c r="D2116">
        <v>147</v>
      </c>
      <c r="E2116" t="s">
        <v>456</v>
      </c>
      <c r="F2116" s="12">
        <v>45678</v>
      </c>
      <c r="G2116" t="s">
        <v>2046</v>
      </c>
      <c r="H2116" s="12">
        <v>45678</v>
      </c>
      <c r="I2116" t="s">
        <v>1498</v>
      </c>
      <c r="J2116" t="s">
        <v>458</v>
      </c>
      <c r="K2116">
        <v>2</v>
      </c>
      <c r="L2116">
        <v>60.8</v>
      </c>
      <c r="P2116" t="s">
        <v>106</v>
      </c>
      <c r="Q2116" t="s">
        <v>106</v>
      </c>
      <c r="R2116" t="s">
        <v>106</v>
      </c>
      <c r="S2116" t="s">
        <v>1795</v>
      </c>
      <c r="T2116" t="s">
        <v>1217</v>
      </c>
      <c r="U2116" t="s">
        <v>905</v>
      </c>
      <c r="V2116" t="s">
        <v>106</v>
      </c>
      <c r="W2116" t="s">
        <v>443</v>
      </c>
      <c r="X2116" t="s">
        <v>106</v>
      </c>
      <c r="Y2116" t="s">
        <v>108</v>
      </c>
      <c r="Z2116" t="s">
        <v>104</v>
      </c>
      <c r="AA2116" t="s">
        <v>106</v>
      </c>
      <c r="AB2116" t="s">
        <v>106</v>
      </c>
    </row>
    <row r="2117" spans="1:28" x14ac:dyDescent="0.3">
      <c r="A2117" t="s">
        <v>1512</v>
      </c>
      <c r="B2117">
        <v>4</v>
      </c>
      <c r="C2117">
        <v>60</v>
      </c>
      <c r="D2117">
        <v>109</v>
      </c>
      <c r="E2117" t="s">
        <v>456</v>
      </c>
      <c r="F2117" s="12">
        <v>45678</v>
      </c>
      <c r="G2117" t="s">
        <v>1655</v>
      </c>
      <c r="H2117" s="12">
        <v>45678</v>
      </c>
      <c r="I2117" t="s">
        <v>341</v>
      </c>
      <c r="J2117" t="s">
        <v>1522</v>
      </c>
      <c r="L2117">
        <v>63.4</v>
      </c>
      <c r="P2117" t="s">
        <v>106</v>
      </c>
      <c r="Q2117" t="s">
        <v>106</v>
      </c>
      <c r="R2117" t="s">
        <v>106</v>
      </c>
      <c r="S2117" t="s">
        <v>106</v>
      </c>
      <c r="T2117" t="s">
        <v>937</v>
      </c>
      <c r="U2117" t="s">
        <v>391</v>
      </c>
      <c r="V2117" t="s">
        <v>106</v>
      </c>
      <c r="W2117" t="s">
        <v>954</v>
      </c>
      <c r="X2117" t="s">
        <v>106</v>
      </c>
      <c r="Y2117" t="s">
        <v>108</v>
      </c>
      <c r="Z2117" t="s">
        <v>104</v>
      </c>
      <c r="AA2117" t="s">
        <v>106</v>
      </c>
      <c r="AB2117" t="s">
        <v>106</v>
      </c>
    </row>
    <row r="2118" spans="1:28" x14ac:dyDescent="0.3">
      <c r="A2118" t="s">
        <v>1512</v>
      </c>
      <c r="B2118">
        <v>4</v>
      </c>
      <c r="C2118">
        <v>60</v>
      </c>
      <c r="D2118">
        <v>146</v>
      </c>
      <c r="E2118" t="s">
        <v>456</v>
      </c>
      <c r="F2118" s="12">
        <v>45678</v>
      </c>
      <c r="G2118" t="s">
        <v>2046</v>
      </c>
      <c r="H2118" s="12">
        <v>45678</v>
      </c>
      <c r="I2118" t="s">
        <v>1498</v>
      </c>
      <c r="J2118" t="s">
        <v>458</v>
      </c>
      <c r="K2118">
        <v>2</v>
      </c>
      <c r="L2118">
        <v>60.1</v>
      </c>
      <c r="P2118" t="s">
        <v>106</v>
      </c>
      <c r="Q2118" t="s">
        <v>106</v>
      </c>
      <c r="R2118" t="s">
        <v>106</v>
      </c>
      <c r="S2118" t="s">
        <v>106</v>
      </c>
      <c r="T2118" t="s">
        <v>961</v>
      </c>
      <c r="U2118" t="s">
        <v>708</v>
      </c>
      <c r="V2118" t="s">
        <v>106</v>
      </c>
      <c r="W2118" t="s">
        <v>443</v>
      </c>
      <c r="X2118" t="s">
        <v>106</v>
      </c>
      <c r="Y2118" t="s">
        <v>108</v>
      </c>
      <c r="Z2118" t="s">
        <v>104</v>
      </c>
      <c r="AA2118" t="s">
        <v>106</v>
      </c>
      <c r="AB2118" t="s">
        <v>106</v>
      </c>
    </row>
    <row r="2119" spans="1:28" x14ac:dyDescent="0.3">
      <c r="A2119" t="s">
        <v>1512</v>
      </c>
      <c r="B2119">
        <v>4</v>
      </c>
      <c r="C2119">
        <v>60</v>
      </c>
      <c r="D2119">
        <v>108</v>
      </c>
      <c r="E2119" t="s">
        <v>456</v>
      </c>
      <c r="F2119" s="12">
        <v>45678</v>
      </c>
      <c r="G2119" t="s">
        <v>1655</v>
      </c>
      <c r="H2119" s="12">
        <v>45678</v>
      </c>
      <c r="I2119" t="s">
        <v>341</v>
      </c>
      <c r="J2119" t="s">
        <v>1522</v>
      </c>
      <c r="L2119">
        <v>59.8</v>
      </c>
      <c r="P2119" t="s">
        <v>106</v>
      </c>
      <c r="Q2119" t="s">
        <v>106</v>
      </c>
      <c r="R2119" t="s">
        <v>106</v>
      </c>
      <c r="S2119" t="s">
        <v>1672</v>
      </c>
      <c r="T2119" t="s">
        <v>2115</v>
      </c>
      <c r="U2119" t="s">
        <v>905</v>
      </c>
      <c r="V2119" t="s">
        <v>106</v>
      </c>
      <c r="W2119" t="s">
        <v>954</v>
      </c>
      <c r="X2119" t="s">
        <v>106</v>
      </c>
      <c r="Y2119" t="s">
        <v>108</v>
      </c>
      <c r="Z2119" t="s">
        <v>104</v>
      </c>
      <c r="AA2119" t="s">
        <v>106</v>
      </c>
      <c r="AB2119" t="s">
        <v>106</v>
      </c>
    </row>
    <row r="2120" spans="1:28" x14ac:dyDescent="0.3">
      <c r="A2120" t="s">
        <v>1512</v>
      </c>
      <c r="B2120">
        <v>4</v>
      </c>
      <c r="C2120">
        <v>60</v>
      </c>
      <c r="D2120">
        <v>131</v>
      </c>
      <c r="E2120" t="s">
        <v>456</v>
      </c>
      <c r="F2120" s="12">
        <v>45678</v>
      </c>
      <c r="G2120" t="s">
        <v>951</v>
      </c>
      <c r="H2120" s="12">
        <v>45678</v>
      </c>
      <c r="I2120" t="s">
        <v>813</v>
      </c>
      <c r="J2120" t="s">
        <v>458</v>
      </c>
      <c r="K2120">
        <v>2</v>
      </c>
      <c r="L2120">
        <v>62.1</v>
      </c>
      <c r="P2120" t="s">
        <v>106</v>
      </c>
      <c r="Q2120" t="s">
        <v>106</v>
      </c>
      <c r="R2120" t="s">
        <v>106</v>
      </c>
      <c r="S2120" t="s">
        <v>106</v>
      </c>
      <c r="T2120" t="s">
        <v>940</v>
      </c>
      <c r="U2120" t="s">
        <v>1604</v>
      </c>
      <c r="V2120" t="s">
        <v>106</v>
      </c>
      <c r="W2120" t="s">
        <v>443</v>
      </c>
      <c r="X2120" t="s">
        <v>106</v>
      </c>
      <c r="Y2120" t="s">
        <v>108</v>
      </c>
      <c r="Z2120" t="s">
        <v>104</v>
      </c>
      <c r="AA2120" t="s">
        <v>106</v>
      </c>
      <c r="AB2120" t="s">
        <v>106</v>
      </c>
    </row>
    <row r="2121" spans="1:28" x14ac:dyDescent="0.3">
      <c r="A2121" t="s">
        <v>1512</v>
      </c>
      <c r="B2121">
        <v>4</v>
      </c>
      <c r="C2121">
        <v>60</v>
      </c>
      <c r="D2121">
        <v>141</v>
      </c>
      <c r="E2121" t="s">
        <v>456</v>
      </c>
      <c r="F2121" s="12">
        <v>45678</v>
      </c>
      <c r="G2121" t="s">
        <v>2542</v>
      </c>
      <c r="H2121" s="12">
        <v>45678</v>
      </c>
      <c r="I2121" t="s">
        <v>2123</v>
      </c>
      <c r="J2121" t="s">
        <v>458</v>
      </c>
      <c r="K2121">
        <v>2</v>
      </c>
      <c r="L2121">
        <v>61.7</v>
      </c>
      <c r="P2121" t="s">
        <v>106</v>
      </c>
      <c r="Q2121" t="s">
        <v>106</v>
      </c>
      <c r="R2121" t="s">
        <v>106</v>
      </c>
      <c r="S2121" t="s">
        <v>106</v>
      </c>
      <c r="T2121" t="s">
        <v>1899</v>
      </c>
      <c r="U2121" t="s">
        <v>429</v>
      </c>
      <c r="V2121" t="s">
        <v>106</v>
      </c>
      <c r="W2121" t="s">
        <v>443</v>
      </c>
      <c r="X2121" t="s">
        <v>106</v>
      </c>
      <c r="Y2121" t="s">
        <v>108</v>
      </c>
      <c r="Z2121" t="s">
        <v>104</v>
      </c>
      <c r="AA2121" t="s">
        <v>106</v>
      </c>
      <c r="AB2121" t="s">
        <v>106</v>
      </c>
    </row>
    <row r="2122" spans="1:28" x14ac:dyDescent="0.3">
      <c r="A2122" t="s">
        <v>1512</v>
      </c>
      <c r="B2122">
        <v>4</v>
      </c>
      <c r="C2122">
        <v>60</v>
      </c>
      <c r="D2122">
        <v>140</v>
      </c>
      <c r="E2122" t="s">
        <v>456</v>
      </c>
      <c r="F2122" s="12">
        <v>45678</v>
      </c>
      <c r="G2122" t="s">
        <v>2542</v>
      </c>
      <c r="H2122" s="12">
        <v>45678</v>
      </c>
      <c r="I2122" t="s">
        <v>2123</v>
      </c>
      <c r="J2122" t="s">
        <v>458</v>
      </c>
      <c r="K2122">
        <v>2</v>
      </c>
      <c r="L2122">
        <v>62</v>
      </c>
      <c r="P2122" t="s">
        <v>106</v>
      </c>
      <c r="Q2122" t="s">
        <v>106</v>
      </c>
      <c r="R2122" t="s">
        <v>106</v>
      </c>
      <c r="S2122" t="s">
        <v>1563</v>
      </c>
      <c r="T2122" t="s">
        <v>1125</v>
      </c>
      <c r="U2122" t="s">
        <v>1479</v>
      </c>
      <c r="V2122" t="s">
        <v>106</v>
      </c>
      <c r="W2122" t="s">
        <v>443</v>
      </c>
      <c r="X2122" t="s">
        <v>106</v>
      </c>
      <c r="Y2122" t="s">
        <v>108</v>
      </c>
      <c r="Z2122" t="s">
        <v>104</v>
      </c>
      <c r="AA2122" t="s">
        <v>106</v>
      </c>
      <c r="AB2122" t="s">
        <v>106</v>
      </c>
    </row>
    <row r="2123" spans="1:28" x14ac:dyDescent="0.3">
      <c r="A2123" t="s">
        <v>1512</v>
      </c>
      <c r="B2123">
        <v>4</v>
      </c>
      <c r="C2123">
        <v>60</v>
      </c>
      <c r="D2123">
        <v>127</v>
      </c>
      <c r="E2123" t="s">
        <v>456</v>
      </c>
      <c r="F2123" s="12">
        <v>45678</v>
      </c>
      <c r="G2123" t="s">
        <v>2282</v>
      </c>
      <c r="H2123" s="12">
        <v>45678</v>
      </c>
      <c r="I2123" t="s">
        <v>1392</v>
      </c>
      <c r="J2123" t="s">
        <v>458</v>
      </c>
      <c r="K2123">
        <v>2</v>
      </c>
      <c r="L2123">
        <v>64.2</v>
      </c>
      <c r="P2123" t="s">
        <v>106</v>
      </c>
      <c r="Q2123" t="s">
        <v>106</v>
      </c>
      <c r="R2123" t="s">
        <v>106</v>
      </c>
      <c r="S2123" t="s">
        <v>106</v>
      </c>
      <c r="T2123" t="s">
        <v>934</v>
      </c>
      <c r="U2123" t="s">
        <v>106</v>
      </c>
      <c r="V2123" t="s">
        <v>106</v>
      </c>
      <c r="W2123" t="s">
        <v>443</v>
      </c>
      <c r="X2123" t="s">
        <v>106</v>
      </c>
      <c r="Y2123" t="s">
        <v>108</v>
      </c>
      <c r="Z2123" t="s">
        <v>108</v>
      </c>
      <c r="AA2123" t="s">
        <v>106</v>
      </c>
      <c r="AB2123" t="s">
        <v>106</v>
      </c>
    </row>
    <row r="2124" spans="1:28" x14ac:dyDescent="0.3">
      <c r="A2124" t="s">
        <v>1512</v>
      </c>
      <c r="B2124">
        <v>4</v>
      </c>
      <c r="C2124">
        <v>60</v>
      </c>
      <c r="D2124">
        <v>130</v>
      </c>
      <c r="E2124" t="s">
        <v>456</v>
      </c>
      <c r="F2124" s="12">
        <v>45678</v>
      </c>
      <c r="G2124" t="s">
        <v>951</v>
      </c>
      <c r="H2124" s="12">
        <v>45678</v>
      </c>
      <c r="I2124" t="s">
        <v>813</v>
      </c>
      <c r="J2124" t="s">
        <v>458</v>
      </c>
      <c r="K2124">
        <v>2</v>
      </c>
      <c r="L2124">
        <v>60.9</v>
      </c>
      <c r="P2124" t="s">
        <v>106</v>
      </c>
      <c r="Q2124" t="s">
        <v>106</v>
      </c>
      <c r="R2124" t="s">
        <v>106</v>
      </c>
      <c r="S2124" t="s">
        <v>2243</v>
      </c>
      <c r="T2124" t="s">
        <v>940</v>
      </c>
      <c r="U2124" t="s">
        <v>1415</v>
      </c>
      <c r="V2124" t="s">
        <v>106</v>
      </c>
      <c r="W2124" t="s">
        <v>443</v>
      </c>
      <c r="X2124" t="s">
        <v>106</v>
      </c>
      <c r="Y2124" t="s">
        <v>108</v>
      </c>
      <c r="Z2124" t="s">
        <v>104</v>
      </c>
      <c r="AA2124" t="s">
        <v>106</v>
      </c>
      <c r="AB2124" t="s">
        <v>106</v>
      </c>
    </row>
    <row r="2125" spans="1:28" x14ac:dyDescent="0.3">
      <c r="A2125" t="s">
        <v>1512</v>
      </c>
      <c r="B2125">
        <v>4</v>
      </c>
      <c r="C2125">
        <v>60</v>
      </c>
      <c r="D2125">
        <v>126</v>
      </c>
      <c r="E2125" t="s">
        <v>456</v>
      </c>
      <c r="F2125" s="12">
        <v>45678</v>
      </c>
      <c r="G2125" t="s">
        <v>2282</v>
      </c>
      <c r="H2125" s="12">
        <v>45678</v>
      </c>
      <c r="I2125" t="s">
        <v>1392</v>
      </c>
      <c r="J2125" t="s">
        <v>458</v>
      </c>
      <c r="K2125">
        <v>2</v>
      </c>
      <c r="L2125">
        <v>62.8</v>
      </c>
      <c r="P2125" t="s">
        <v>106</v>
      </c>
      <c r="Q2125" t="s">
        <v>106</v>
      </c>
      <c r="R2125" t="s">
        <v>106</v>
      </c>
      <c r="S2125" t="s">
        <v>1762</v>
      </c>
      <c r="T2125" t="s">
        <v>1558</v>
      </c>
      <c r="U2125" t="s">
        <v>1359</v>
      </c>
      <c r="V2125" t="s">
        <v>106</v>
      </c>
      <c r="W2125" t="s">
        <v>443</v>
      </c>
      <c r="X2125" t="s">
        <v>106</v>
      </c>
      <c r="Y2125" t="s">
        <v>108</v>
      </c>
      <c r="Z2125" t="s">
        <v>108</v>
      </c>
      <c r="AA2125" t="s">
        <v>106</v>
      </c>
      <c r="AB2125" t="s">
        <v>106</v>
      </c>
    </row>
    <row r="2126" spans="1:28" x14ac:dyDescent="0.3">
      <c r="A2126" t="s">
        <v>1512</v>
      </c>
      <c r="B2126">
        <v>4</v>
      </c>
      <c r="C2126">
        <v>60</v>
      </c>
      <c r="D2126">
        <v>100</v>
      </c>
      <c r="E2126" t="s">
        <v>456</v>
      </c>
      <c r="F2126" s="12">
        <v>45678</v>
      </c>
      <c r="G2126" t="s">
        <v>847</v>
      </c>
      <c r="H2126" s="12">
        <v>45678</v>
      </c>
      <c r="I2126" t="s">
        <v>1531</v>
      </c>
      <c r="J2126" t="s">
        <v>1363</v>
      </c>
      <c r="L2126">
        <v>58.3</v>
      </c>
      <c r="P2126" t="s">
        <v>106</v>
      </c>
      <c r="Q2126" t="s">
        <v>106</v>
      </c>
      <c r="R2126" t="s">
        <v>106</v>
      </c>
      <c r="S2126" t="s">
        <v>1355</v>
      </c>
      <c r="T2126" t="s">
        <v>875</v>
      </c>
      <c r="U2126" t="s">
        <v>564</v>
      </c>
      <c r="V2126" t="s">
        <v>106</v>
      </c>
      <c r="W2126" t="s">
        <v>954</v>
      </c>
      <c r="X2126" t="s">
        <v>106</v>
      </c>
      <c r="Y2126" t="s">
        <v>108</v>
      </c>
      <c r="Z2126" t="s">
        <v>104</v>
      </c>
      <c r="AA2126" t="s">
        <v>106</v>
      </c>
      <c r="AB2126" t="s">
        <v>106</v>
      </c>
    </row>
    <row r="2127" spans="1:28" x14ac:dyDescent="0.3">
      <c r="A2127" t="s">
        <v>1512</v>
      </c>
      <c r="B2127">
        <v>4</v>
      </c>
      <c r="C2127">
        <v>60</v>
      </c>
      <c r="D2127">
        <v>117</v>
      </c>
      <c r="E2127" t="s">
        <v>456</v>
      </c>
      <c r="F2127" s="12">
        <v>45678</v>
      </c>
      <c r="G2127" t="s">
        <v>494</v>
      </c>
      <c r="H2127" s="12">
        <v>45678</v>
      </c>
      <c r="I2127" t="s">
        <v>542</v>
      </c>
      <c r="J2127" t="s">
        <v>458</v>
      </c>
      <c r="K2127">
        <v>2</v>
      </c>
      <c r="L2127">
        <v>60.2</v>
      </c>
      <c r="P2127" t="s">
        <v>106</v>
      </c>
      <c r="Q2127" t="s">
        <v>106</v>
      </c>
      <c r="R2127" t="s">
        <v>106</v>
      </c>
      <c r="S2127" t="s">
        <v>1658</v>
      </c>
      <c r="T2127" t="s">
        <v>875</v>
      </c>
      <c r="U2127" t="s">
        <v>1591</v>
      </c>
      <c r="V2127" t="s">
        <v>106</v>
      </c>
      <c r="W2127" t="s">
        <v>557</v>
      </c>
      <c r="X2127" t="s">
        <v>106</v>
      </c>
      <c r="Y2127" t="s">
        <v>108</v>
      </c>
      <c r="Z2127" t="s">
        <v>104</v>
      </c>
      <c r="AA2127" t="s">
        <v>106</v>
      </c>
      <c r="AB2127" t="s">
        <v>106</v>
      </c>
    </row>
    <row r="2128" spans="1:28" x14ac:dyDescent="0.3">
      <c r="A2128" t="s">
        <v>1512</v>
      </c>
      <c r="B2128">
        <v>4</v>
      </c>
      <c r="C2128">
        <v>60</v>
      </c>
      <c r="D2128">
        <v>101</v>
      </c>
      <c r="E2128" t="s">
        <v>456</v>
      </c>
      <c r="F2128" s="12">
        <v>45678</v>
      </c>
      <c r="G2128" t="s">
        <v>847</v>
      </c>
      <c r="H2128" s="12">
        <v>45678</v>
      </c>
      <c r="I2128" t="s">
        <v>1531</v>
      </c>
      <c r="J2128" t="s">
        <v>1363</v>
      </c>
      <c r="L2128">
        <v>59</v>
      </c>
      <c r="P2128" t="s">
        <v>106</v>
      </c>
      <c r="Q2128" t="s">
        <v>106</v>
      </c>
      <c r="R2128" t="s">
        <v>106</v>
      </c>
      <c r="S2128" t="s">
        <v>106</v>
      </c>
      <c r="T2128" t="s">
        <v>1530</v>
      </c>
      <c r="U2128" t="s">
        <v>904</v>
      </c>
      <c r="V2128" t="s">
        <v>106</v>
      </c>
      <c r="W2128" t="s">
        <v>954</v>
      </c>
      <c r="X2128" t="s">
        <v>106</v>
      </c>
      <c r="Y2128" t="s">
        <v>108</v>
      </c>
      <c r="Z2128" t="s">
        <v>104</v>
      </c>
      <c r="AA2128" t="s">
        <v>106</v>
      </c>
      <c r="AB2128" t="s">
        <v>106</v>
      </c>
    </row>
    <row r="2129" spans="1:28" x14ac:dyDescent="0.3">
      <c r="A2129" t="s">
        <v>1548</v>
      </c>
      <c r="B2129">
        <v>4</v>
      </c>
      <c r="C2129">
        <v>60</v>
      </c>
      <c r="D2129">
        <v>5</v>
      </c>
      <c r="E2129" t="s">
        <v>110</v>
      </c>
      <c r="F2129" s="12">
        <v>45678</v>
      </c>
      <c r="G2129" t="s">
        <v>1127</v>
      </c>
      <c r="H2129" s="12">
        <v>45678</v>
      </c>
      <c r="I2129" t="s">
        <v>370</v>
      </c>
      <c r="J2129" t="s">
        <v>425</v>
      </c>
      <c r="L2129">
        <v>64.2</v>
      </c>
      <c r="P2129" t="s">
        <v>106</v>
      </c>
      <c r="Q2129" t="s">
        <v>106</v>
      </c>
      <c r="R2129" t="s">
        <v>106</v>
      </c>
      <c r="S2129" t="s">
        <v>2360</v>
      </c>
      <c r="T2129" t="s">
        <v>2728</v>
      </c>
      <c r="U2129" t="s">
        <v>106</v>
      </c>
      <c r="V2129" t="s">
        <v>106</v>
      </c>
      <c r="W2129" t="s">
        <v>557</v>
      </c>
      <c r="X2129" t="s">
        <v>106</v>
      </c>
      <c r="Y2129" t="s">
        <v>108</v>
      </c>
      <c r="Z2129" t="s">
        <v>104</v>
      </c>
      <c r="AA2129" t="s">
        <v>106</v>
      </c>
      <c r="AB2129" t="s">
        <v>106</v>
      </c>
    </row>
    <row r="2130" spans="1:28" x14ac:dyDescent="0.3">
      <c r="A2130" t="s">
        <v>1548</v>
      </c>
      <c r="B2130">
        <v>4</v>
      </c>
      <c r="C2130">
        <v>60</v>
      </c>
      <c r="D2130">
        <v>6</v>
      </c>
      <c r="E2130" t="s">
        <v>110</v>
      </c>
      <c r="F2130" s="12">
        <v>45678</v>
      </c>
      <c r="G2130" t="s">
        <v>1376</v>
      </c>
      <c r="H2130" s="12">
        <v>45678</v>
      </c>
      <c r="I2130" t="s">
        <v>370</v>
      </c>
      <c r="J2130" t="s">
        <v>425</v>
      </c>
      <c r="L2130">
        <v>63.3</v>
      </c>
      <c r="P2130" t="s">
        <v>106</v>
      </c>
      <c r="Q2130" t="s">
        <v>106</v>
      </c>
      <c r="R2130" t="s">
        <v>106</v>
      </c>
      <c r="S2130" t="s">
        <v>106</v>
      </c>
      <c r="T2130" t="s">
        <v>808</v>
      </c>
      <c r="U2130" t="s">
        <v>106</v>
      </c>
      <c r="V2130" t="s">
        <v>106</v>
      </c>
      <c r="W2130" t="s">
        <v>557</v>
      </c>
      <c r="X2130" t="s">
        <v>106</v>
      </c>
      <c r="Y2130" t="s">
        <v>108</v>
      </c>
      <c r="Z2130" t="s">
        <v>104</v>
      </c>
      <c r="AA2130" t="s">
        <v>106</v>
      </c>
      <c r="AB2130" t="s">
        <v>106</v>
      </c>
    </row>
    <row r="2131" spans="1:28" x14ac:dyDescent="0.3">
      <c r="A2131" t="s">
        <v>1548</v>
      </c>
      <c r="B2131">
        <v>1</v>
      </c>
      <c r="C2131">
        <v>0</v>
      </c>
      <c r="D2131">
        <v>55</v>
      </c>
      <c r="E2131" t="s">
        <v>456</v>
      </c>
      <c r="F2131" s="12">
        <v>45679</v>
      </c>
      <c r="G2131" t="s">
        <v>1173</v>
      </c>
      <c r="H2131" s="12">
        <v>45679</v>
      </c>
      <c r="I2131" t="s">
        <v>1551</v>
      </c>
      <c r="J2131" t="s">
        <v>477</v>
      </c>
      <c r="K2131">
        <v>2</v>
      </c>
      <c r="L2131">
        <v>0</v>
      </c>
      <c r="P2131" t="s">
        <v>106</v>
      </c>
      <c r="Q2131" t="s">
        <v>106</v>
      </c>
      <c r="R2131" t="s">
        <v>106</v>
      </c>
      <c r="S2131" t="s">
        <v>106</v>
      </c>
      <c r="T2131" t="s">
        <v>875</v>
      </c>
      <c r="U2131" t="s">
        <v>106</v>
      </c>
      <c r="V2131" t="s">
        <v>106</v>
      </c>
      <c r="W2131" t="s">
        <v>443</v>
      </c>
      <c r="X2131" t="s">
        <v>106</v>
      </c>
      <c r="Y2131" t="s">
        <v>108</v>
      </c>
      <c r="Z2131" t="s">
        <v>104</v>
      </c>
      <c r="AA2131" t="s">
        <v>1552</v>
      </c>
      <c r="AB2131" t="s">
        <v>106</v>
      </c>
    </row>
    <row r="2132" spans="1:28" x14ac:dyDescent="0.3">
      <c r="A2132" t="s">
        <v>1548</v>
      </c>
      <c r="B2132">
        <v>1</v>
      </c>
      <c r="C2132">
        <v>0</v>
      </c>
      <c r="D2132">
        <v>24</v>
      </c>
      <c r="E2132" t="s">
        <v>456</v>
      </c>
      <c r="F2132" s="12">
        <v>45679</v>
      </c>
      <c r="G2132" t="s">
        <v>387</v>
      </c>
      <c r="H2132" s="12">
        <v>45679</v>
      </c>
      <c r="I2132" t="s">
        <v>742</v>
      </c>
      <c r="J2132" t="s">
        <v>1363</v>
      </c>
      <c r="L2132">
        <v>0</v>
      </c>
      <c r="P2132" t="s">
        <v>106</v>
      </c>
      <c r="Q2132" t="s">
        <v>106</v>
      </c>
      <c r="R2132" t="s">
        <v>106</v>
      </c>
      <c r="S2132" t="s">
        <v>1446</v>
      </c>
      <c r="T2132" t="s">
        <v>1553</v>
      </c>
      <c r="U2132" t="s">
        <v>106</v>
      </c>
      <c r="V2132" t="s">
        <v>106</v>
      </c>
      <c r="W2132" t="s">
        <v>557</v>
      </c>
      <c r="X2132" t="s">
        <v>106</v>
      </c>
      <c r="Y2132" t="s">
        <v>108</v>
      </c>
      <c r="Z2132" t="s">
        <v>105</v>
      </c>
      <c r="AA2132" t="s">
        <v>106</v>
      </c>
      <c r="AB2132" t="s">
        <v>106</v>
      </c>
    </row>
    <row r="2133" spans="1:28" x14ac:dyDescent="0.3">
      <c r="A2133" t="s">
        <v>1548</v>
      </c>
      <c r="B2133">
        <v>1</v>
      </c>
      <c r="C2133">
        <v>0</v>
      </c>
      <c r="D2133">
        <v>23</v>
      </c>
      <c r="E2133" t="s">
        <v>456</v>
      </c>
      <c r="F2133" s="12">
        <v>45679</v>
      </c>
      <c r="G2133" t="s">
        <v>388</v>
      </c>
      <c r="H2133" s="12">
        <v>45679</v>
      </c>
      <c r="I2133" t="s">
        <v>742</v>
      </c>
      <c r="J2133" t="s">
        <v>1363</v>
      </c>
      <c r="L2133">
        <v>0</v>
      </c>
      <c r="P2133" t="s">
        <v>106</v>
      </c>
      <c r="Q2133" t="s">
        <v>106</v>
      </c>
      <c r="R2133" t="s">
        <v>106</v>
      </c>
      <c r="S2133" t="s">
        <v>106</v>
      </c>
      <c r="T2133" t="s">
        <v>996</v>
      </c>
      <c r="U2133" t="s">
        <v>106</v>
      </c>
      <c r="V2133" t="s">
        <v>106</v>
      </c>
      <c r="W2133" t="s">
        <v>557</v>
      </c>
      <c r="X2133" t="s">
        <v>106</v>
      </c>
      <c r="Y2133" t="s">
        <v>108</v>
      </c>
      <c r="Z2133" t="s">
        <v>105</v>
      </c>
      <c r="AA2133" t="s">
        <v>106</v>
      </c>
      <c r="AB2133" t="s">
        <v>106</v>
      </c>
    </row>
    <row r="2134" spans="1:28" x14ac:dyDescent="0.3">
      <c r="A2134" t="s">
        <v>1548</v>
      </c>
      <c r="B2134">
        <v>1</v>
      </c>
      <c r="C2134">
        <v>0</v>
      </c>
      <c r="D2134">
        <v>42</v>
      </c>
      <c r="E2134" t="s">
        <v>456</v>
      </c>
      <c r="F2134" s="12">
        <v>45679</v>
      </c>
      <c r="G2134" t="s">
        <v>389</v>
      </c>
      <c r="H2134" s="12">
        <v>45679</v>
      </c>
      <c r="I2134" t="s">
        <v>784</v>
      </c>
      <c r="J2134" t="s">
        <v>458</v>
      </c>
      <c r="L2134">
        <v>0</v>
      </c>
      <c r="P2134" t="s">
        <v>106</v>
      </c>
      <c r="Q2134" t="s">
        <v>106</v>
      </c>
      <c r="R2134" t="s">
        <v>106</v>
      </c>
      <c r="S2134" t="s">
        <v>106</v>
      </c>
      <c r="T2134" t="s">
        <v>518</v>
      </c>
      <c r="U2134" t="s">
        <v>106</v>
      </c>
      <c r="V2134" t="s">
        <v>106</v>
      </c>
      <c r="W2134" t="s">
        <v>557</v>
      </c>
      <c r="X2134" t="s">
        <v>106</v>
      </c>
      <c r="Y2134" t="s">
        <v>108</v>
      </c>
      <c r="Z2134" t="s">
        <v>105</v>
      </c>
      <c r="AA2134" t="s">
        <v>106</v>
      </c>
      <c r="AB2134" t="s">
        <v>106</v>
      </c>
    </row>
    <row r="2135" spans="1:28" x14ac:dyDescent="0.3">
      <c r="A2135" t="s">
        <v>1548</v>
      </c>
      <c r="B2135">
        <v>1</v>
      </c>
      <c r="C2135">
        <v>0</v>
      </c>
      <c r="D2135">
        <v>41</v>
      </c>
      <c r="E2135" t="s">
        <v>456</v>
      </c>
      <c r="F2135" s="12">
        <v>45679</v>
      </c>
      <c r="G2135" t="s">
        <v>731</v>
      </c>
      <c r="H2135" s="12">
        <v>45679</v>
      </c>
      <c r="I2135" t="s">
        <v>784</v>
      </c>
      <c r="J2135" t="s">
        <v>458</v>
      </c>
      <c r="L2135">
        <v>0</v>
      </c>
      <c r="P2135" t="s">
        <v>106</v>
      </c>
      <c r="Q2135" t="s">
        <v>106</v>
      </c>
      <c r="R2135" t="s">
        <v>106</v>
      </c>
      <c r="S2135" t="s">
        <v>106</v>
      </c>
      <c r="T2135" t="s">
        <v>1554</v>
      </c>
      <c r="U2135" t="s">
        <v>106</v>
      </c>
      <c r="V2135" t="s">
        <v>106</v>
      </c>
      <c r="W2135" t="s">
        <v>557</v>
      </c>
      <c r="X2135" t="s">
        <v>106</v>
      </c>
      <c r="Y2135" t="s">
        <v>108</v>
      </c>
      <c r="Z2135" t="s">
        <v>105</v>
      </c>
      <c r="AA2135" t="s">
        <v>106</v>
      </c>
      <c r="AB2135" t="s">
        <v>106</v>
      </c>
    </row>
    <row r="2136" spans="1:28" x14ac:dyDescent="0.3">
      <c r="A2136" t="s">
        <v>1548</v>
      </c>
      <c r="B2136">
        <v>1</v>
      </c>
      <c r="C2136">
        <v>0</v>
      </c>
      <c r="D2136">
        <v>40</v>
      </c>
      <c r="E2136" t="s">
        <v>456</v>
      </c>
      <c r="F2136" s="12">
        <v>45679</v>
      </c>
      <c r="G2136" t="s">
        <v>340</v>
      </c>
      <c r="H2136" s="12">
        <v>45679</v>
      </c>
      <c r="I2136" t="s">
        <v>322</v>
      </c>
      <c r="J2136" t="s">
        <v>458</v>
      </c>
      <c r="L2136">
        <v>0</v>
      </c>
      <c r="P2136" t="s">
        <v>106</v>
      </c>
      <c r="Q2136" t="s">
        <v>106</v>
      </c>
      <c r="R2136" t="s">
        <v>106</v>
      </c>
      <c r="S2136" t="s">
        <v>106</v>
      </c>
      <c r="T2136" t="s">
        <v>1555</v>
      </c>
      <c r="U2136" t="s">
        <v>106</v>
      </c>
      <c r="V2136" t="s">
        <v>106</v>
      </c>
      <c r="W2136" t="s">
        <v>557</v>
      </c>
      <c r="X2136" t="s">
        <v>106</v>
      </c>
      <c r="Y2136" t="s">
        <v>108</v>
      </c>
      <c r="Z2136" t="s">
        <v>105</v>
      </c>
      <c r="AA2136" t="s">
        <v>106</v>
      </c>
      <c r="AB2136" t="s">
        <v>106</v>
      </c>
    </row>
    <row r="2137" spans="1:28" x14ac:dyDescent="0.3">
      <c r="A2137" t="s">
        <v>1548</v>
      </c>
      <c r="B2137">
        <v>1</v>
      </c>
      <c r="C2137">
        <v>0</v>
      </c>
      <c r="D2137">
        <v>39</v>
      </c>
      <c r="E2137" t="s">
        <v>456</v>
      </c>
      <c r="F2137" s="12">
        <v>45679</v>
      </c>
      <c r="G2137" t="s">
        <v>377</v>
      </c>
      <c r="H2137" s="12">
        <v>45679</v>
      </c>
      <c r="I2137" t="s">
        <v>322</v>
      </c>
      <c r="J2137" t="s">
        <v>458</v>
      </c>
      <c r="L2137">
        <v>0</v>
      </c>
      <c r="P2137" t="s">
        <v>106</v>
      </c>
      <c r="Q2137" t="s">
        <v>106</v>
      </c>
      <c r="R2137" t="s">
        <v>106</v>
      </c>
      <c r="S2137" t="s">
        <v>1556</v>
      </c>
      <c r="T2137" t="s">
        <v>1557</v>
      </c>
      <c r="U2137" t="s">
        <v>106</v>
      </c>
      <c r="V2137" t="s">
        <v>106</v>
      </c>
      <c r="W2137" t="s">
        <v>557</v>
      </c>
      <c r="X2137" t="s">
        <v>106</v>
      </c>
      <c r="Y2137" t="s">
        <v>108</v>
      </c>
      <c r="Z2137" t="s">
        <v>105</v>
      </c>
      <c r="AA2137" t="s">
        <v>106</v>
      </c>
      <c r="AB2137" t="s">
        <v>106</v>
      </c>
    </row>
    <row r="2138" spans="1:28" x14ac:dyDescent="0.3">
      <c r="A2138" t="s">
        <v>1512</v>
      </c>
      <c r="B2138">
        <v>1</v>
      </c>
      <c r="C2138">
        <v>0</v>
      </c>
      <c r="D2138">
        <v>155</v>
      </c>
      <c r="E2138" t="s">
        <v>456</v>
      </c>
      <c r="F2138" s="12">
        <v>45679</v>
      </c>
      <c r="G2138" t="s">
        <v>1286</v>
      </c>
      <c r="H2138" s="12">
        <v>45679</v>
      </c>
      <c r="I2138" t="s">
        <v>552</v>
      </c>
      <c r="J2138" t="s">
        <v>1363</v>
      </c>
      <c r="L2138">
        <v>0</v>
      </c>
      <c r="P2138" t="s">
        <v>106</v>
      </c>
      <c r="Q2138" t="s">
        <v>106</v>
      </c>
      <c r="R2138" t="s">
        <v>106</v>
      </c>
      <c r="S2138" t="s">
        <v>106</v>
      </c>
      <c r="T2138" t="s">
        <v>1558</v>
      </c>
      <c r="U2138" t="s">
        <v>106</v>
      </c>
      <c r="V2138" t="s">
        <v>106</v>
      </c>
      <c r="W2138" t="s">
        <v>557</v>
      </c>
      <c r="X2138" t="s">
        <v>106</v>
      </c>
      <c r="Y2138" t="s">
        <v>108</v>
      </c>
      <c r="Z2138" t="s">
        <v>105</v>
      </c>
      <c r="AA2138" t="s">
        <v>106</v>
      </c>
      <c r="AB2138" t="s">
        <v>106</v>
      </c>
    </row>
    <row r="2139" spans="1:28" x14ac:dyDescent="0.3">
      <c r="A2139" t="s">
        <v>1512</v>
      </c>
      <c r="B2139">
        <v>1</v>
      </c>
      <c r="C2139">
        <v>0</v>
      </c>
      <c r="D2139">
        <v>154</v>
      </c>
      <c r="E2139" t="s">
        <v>456</v>
      </c>
      <c r="F2139" s="12">
        <v>45679</v>
      </c>
      <c r="G2139" t="s">
        <v>1559</v>
      </c>
      <c r="H2139" s="12">
        <v>45679</v>
      </c>
      <c r="I2139" t="s">
        <v>552</v>
      </c>
      <c r="J2139" t="s">
        <v>1363</v>
      </c>
      <c r="L2139">
        <v>0</v>
      </c>
      <c r="P2139" t="s">
        <v>106</v>
      </c>
      <c r="Q2139" t="s">
        <v>106</v>
      </c>
      <c r="R2139" t="s">
        <v>106</v>
      </c>
      <c r="S2139" t="s">
        <v>106</v>
      </c>
      <c r="T2139" t="s">
        <v>1060</v>
      </c>
      <c r="U2139" t="s">
        <v>106</v>
      </c>
      <c r="V2139" t="s">
        <v>106</v>
      </c>
      <c r="W2139" t="s">
        <v>557</v>
      </c>
      <c r="X2139" t="s">
        <v>106</v>
      </c>
      <c r="Y2139" t="s">
        <v>108</v>
      </c>
      <c r="Z2139" t="s">
        <v>105</v>
      </c>
      <c r="AA2139" t="s">
        <v>106</v>
      </c>
      <c r="AB2139" t="s">
        <v>106</v>
      </c>
    </row>
    <row r="2140" spans="1:28" x14ac:dyDescent="0.3">
      <c r="A2140" t="s">
        <v>1548</v>
      </c>
      <c r="B2140">
        <v>1</v>
      </c>
      <c r="C2140">
        <v>0</v>
      </c>
      <c r="D2140">
        <v>16</v>
      </c>
      <c r="E2140" t="s">
        <v>456</v>
      </c>
      <c r="F2140" s="12">
        <v>45679</v>
      </c>
      <c r="G2140" t="s">
        <v>1560</v>
      </c>
      <c r="H2140" s="12">
        <v>45679</v>
      </c>
      <c r="I2140" t="s">
        <v>1289</v>
      </c>
      <c r="J2140" t="s">
        <v>1363</v>
      </c>
      <c r="L2140">
        <v>0</v>
      </c>
      <c r="P2140" t="s">
        <v>106</v>
      </c>
      <c r="Q2140" t="s">
        <v>106</v>
      </c>
      <c r="R2140" t="s">
        <v>106</v>
      </c>
      <c r="S2140" t="s">
        <v>1446</v>
      </c>
      <c r="T2140" t="s">
        <v>1561</v>
      </c>
      <c r="U2140" t="s">
        <v>106</v>
      </c>
      <c r="V2140" t="s">
        <v>106</v>
      </c>
      <c r="W2140" t="s">
        <v>557</v>
      </c>
      <c r="X2140" t="s">
        <v>106</v>
      </c>
      <c r="Y2140" t="s">
        <v>108</v>
      </c>
      <c r="Z2140" t="s">
        <v>105</v>
      </c>
      <c r="AA2140" t="s">
        <v>106</v>
      </c>
      <c r="AB2140" t="s">
        <v>106</v>
      </c>
    </row>
    <row r="2141" spans="1:28" x14ac:dyDescent="0.3">
      <c r="A2141" t="s">
        <v>1548</v>
      </c>
      <c r="B2141">
        <v>1</v>
      </c>
      <c r="C2141">
        <v>0</v>
      </c>
      <c r="D2141">
        <v>15</v>
      </c>
      <c r="E2141" t="s">
        <v>456</v>
      </c>
      <c r="F2141" s="12">
        <v>45679</v>
      </c>
      <c r="G2141" t="s">
        <v>1560</v>
      </c>
      <c r="H2141" s="12">
        <v>45679</v>
      </c>
      <c r="I2141" t="s">
        <v>1289</v>
      </c>
      <c r="J2141" t="s">
        <v>1363</v>
      </c>
      <c r="L2141">
        <v>0</v>
      </c>
      <c r="P2141" t="s">
        <v>106</v>
      </c>
      <c r="Q2141" t="s">
        <v>106</v>
      </c>
      <c r="R2141" t="s">
        <v>106</v>
      </c>
      <c r="S2141" t="s">
        <v>106</v>
      </c>
      <c r="T2141" t="s">
        <v>778</v>
      </c>
      <c r="U2141" t="s">
        <v>106</v>
      </c>
      <c r="V2141" t="s">
        <v>106</v>
      </c>
      <c r="W2141" t="s">
        <v>557</v>
      </c>
      <c r="X2141" t="s">
        <v>106</v>
      </c>
      <c r="Y2141" t="s">
        <v>108</v>
      </c>
      <c r="Z2141" t="s">
        <v>105</v>
      </c>
      <c r="AA2141" t="s">
        <v>106</v>
      </c>
      <c r="AB2141" t="s">
        <v>106</v>
      </c>
    </row>
    <row r="2142" spans="1:28" x14ac:dyDescent="0.3">
      <c r="A2142" t="s">
        <v>1548</v>
      </c>
      <c r="B2142">
        <v>1</v>
      </c>
      <c r="C2142">
        <v>0</v>
      </c>
      <c r="D2142">
        <v>32</v>
      </c>
      <c r="E2142" t="s">
        <v>456</v>
      </c>
      <c r="F2142" s="12">
        <v>45679</v>
      </c>
      <c r="G2142" t="s">
        <v>1412</v>
      </c>
      <c r="H2142" s="12">
        <v>45679</v>
      </c>
      <c r="I2142" t="s">
        <v>1562</v>
      </c>
      <c r="J2142" t="s">
        <v>1363</v>
      </c>
      <c r="L2142">
        <v>0</v>
      </c>
      <c r="P2142" t="s">
        <v>106</v>
      </c>
      <c r="Q2142" t="s">
        <v>106</v>
      </c>
      <c r="R2142" t="s">
        <v>106</v>
      </c>
      <c r="S2142" t="s">
        <v>1563</v>
      </c>
      <c r="T2142" t="s">
        <v>809</v>
      </c>
      <c r="U2142" t="s">
        <v>106</v>
      </c>
      <c r="V2142" t="s">
        <v>106</v>
      </c>
      <c r="W2142" t="s">
        <v>557</v>
      </c>
      <c r="X2142" t="s">
        <v>106</v>
      </c>
      <c r="Y2142" t="s">
        <v>108</v>
      </c>
      <c r="Z2142" t="s">
        <v>105</v>
      </c>
      <c r="AA2142" t="s">
        <v>106</v>
      </c>
      <c r="AB2142" t="s">
        <v>106</v>
      </c>
    </row>
    <row r="2143" spans="1:28" x14ac:dyDescent="0.3">
      <c r="A2143" t="s">
        <v>1548</v>
      </c>
      <c r="B2143">
        <v>1</v>
      </c>
      <c r="C2143">
        <v>0</v>
      </c>
      <c r="D2143">
        <v>56</v>
      </c>
      <c r="E2143" t="s">
        <v>456</v>
      </c>
      <c r="F2143" s="12">
        <v>45679</v>
      </c>
      <c r="G2143" t="s">
        <v>1173</v>
      </c>
      <c r="H2143" s="12">
        <v>45679</v>
      </c>
      <c r="I2143" t="s">
        <v>1551</v>
      </c>
      <c r="J2143" t="s">
        <v>477</v>
      </c>
      <c r="K2143">
        <v>2</v>
      </c>
      <c r="L2143">
        <v>0</v>
      </c>
      <c r="P2143" t="s">
        <v>106</v>
      </c>
      <c r="Q2143" t="s">
        <v>106</v>
      </c>
      <c r="R2143" t="s">
        <v>106</v>
      </c>
      <c r="S2143" t="s">
        <v>106</v>
      </c>
      <c r="T2143" t="s">
        <v>1564</v>
      </c>
      <c r="U2143" t="s">
        <v>106</v>
      </c>
      <c r="V2143" t="s">
        <v>106</v>
      </c>
      <c r="W2143" t="s">
        <v>443</v>
      </c>
      <c r="X2143" t="s">
        <v>106</v>
      </c>
      <c r="Y2143" t="s">
        <v>108</v>
      </c>
      <c r="Z2143" t="s">
        <v>104</v>
      </c>
      <c r="AA2143" t="s">
        <v>1552</v>
      </c>
      <c r="AB2143" t="s">
        <v>106</v>
      </c>
    </row>
    <row r="2144" spans="1:28" x14ac:dyDescent="0.3">
      <c r="A2144" t="s">
        <v>1548</v>
      </c>
      <c r="B2144">
        <v>1</v>
      </c>
      <c r="C2144">
        <v>0</v>
      </c>
      <c r="D2144">
        <v>31</v>
      </c>
      <c r="E2144" t="s">
        <v>456</v>
      </c>
      <c r="F2144" s="12">
        <v>45679</v>
      </c>
      <c r="G2144" t="s">
        <v>1412</v>
      </c>
      <c r="H2144" s="12">
        <v>45679</v>
      </c>
      <c r="I2144" t="s">
        <v>1562</v>
      </c>
      <c r="J2144" t="s">
        <v>1363</v>
      </c>
      <c r="L2144">
        <v>0</v>
      </c>
      <c r="P2144" t="s">
        <v>106</v>
      </c>
      <c r="Q2144" t="s">
        <v>106</v>
      </c>
      <c r="R2144" t="s">
        <v>106</v>
      </c>
      <c r="S2144" t="s">
        <v>106</v>
      </c>
      <c r="T2144" t="s">
        <v>1565</v>
      </c>
      <c r="U2144" t="s">
        <v>106</v>
      </c>
      <c r="V2144" t="s">
        <v>106</v>
      </c>
      <c r="W2144" t="s">
        <v>557</v>
      </c>
      <c r="X2144" t="s">
        <v>106</v>
      </c>
      <c r="Y2144" t="s">
        <v>108</v>
      </c>
      <c r="Z2144" t="s">
        <v>105</v>
      </c>
      <c r="AA2144" t="s">
        <v>106</v>
      </c>
      <c r="AB2144" t="s">
        <v>106</v>
      </c>
    </row>
    <row r="2145" spans="1:28" x14ac:dyDescent="0.3">
      <c r="A2145" t="s">
        <v>1548</v>
      </c>
      <c r="B2145">
        <v>1</v>
      </c>
      <c r="C2145">
        <v>0</v>
      </c>
      <c r="D2145">
        <v>57</v>
      </c>
      <c r="E2145" t="s">
        <v>456</v>
      </c>
      <c r="F2145" s="12">
        <v>45679</v>
      </c>
      <c r="G2145" t="s">
        <v>1566</v>
      </c>
      <c r="H2145" s="12">
        <v>45679</v>
      </c>
      <c r="I2145" t="s">
        <v>1492</v>
      </c>
      <c r="J2145" t="s">
        <v>477</v>
      </c>
      <c r="K2145">
        <v>2</v>
      </c>
      <c r="L2145">
        <v>0</v>
      </c>
      <c r="P2145" t="s">
        <v>106</v>
      </c>
      <c r="Q2145" t="s">
        <v>106</v>
      </c>
      <c r="R2145" t="s">
        <v>106</v>
      </c>
      <c r="S2145" t="s">
        <v>1567</v>
      </c>
      <c r="T2145" t="s">
        <v>937</v>
      </c>
      <c r="U2145" t="s">
        <v>430</v>
      </c>
      <c r="V2145" t="s">
        <v>106</v>
      </c>
      <c r="W2145" t="s">
        <v>443</v>
      </c>
      <c r="X2145" t="s">
        <v>106</v>
      </c>
      <c r="Y2145" t="s">
        <v>108</v>
      </c>
      <c r="Z2145" t="s">
        <v>105</v>
      </c>
      <c r="AA2145" t="s">
        <v>1552</v>
      </c>
      <c r="AB2145" t="s">
        <v>106</v>
      </c>
    </row>
    <row r="2146" spans="1:28" x14ac:dyDescent="0.3">
      <c r="A2146" t="s">
        <v>1548</v>
      </c>
      <c r="B2146">
        <v>1</v>
      </c>
      <c r="C2146">
        <v>0</v>
      </c>
      <c r="D2146">
        <v>58</v>
      </c>
      <c r="E2146" t="s">
        <v>456</v>
      </c>
      <c r="F2146" s="12">
        <v>45679</v>
      </c>
      <c r="G2146" t="s">
        <v>511</v>
      </c>
      <c r="H2146" s="12">
        <v>45679</v>
      </c>
      <c r="I2146" t="s">
        <v>1492</v>
      </c>
      <c r="J2146" t="s">
        <v>477</v>
      </c>
      <c r="K2146">
        <v>2</v>
      </c>
      <c r="L2146">
        <v>0</v>
      </c>
      <c r="P2146" t="s">
        <v>106</v>
      </c>
      <c r="Q2146" t="s">
        <v>106</v>
      </c>
      <c r="R2146" t="s">
        <v>106</v>
      </c>
      <c r="S2146" t="s">
        <v>106</v>
      </c>
      <c r="T2146" t="s">
        <v>1568</v>
      </c>
      <c r="U2146" t="s">
        <v>1411</v>
      </c>
      <c r="V2146" t="s">
        <v>106</v>
      </c>
      <c r="W2146" t="s">
        <v>443</v>
      </c>
      <c r="X2146" t="s">
        <v>106</v>
      </c>
      <c r="Y2146" t="s">
        <v>108</v>
      </c>
      <c r="Z2146" t="s">
        <v>105</v>
      </c>
      <c r="AA2146" t="s">
        <v>1552</v>
      </c>
      <c r="AB2146" t="s">
        <v>106</v>
      </c>
    </row>
    <row r="2147" spans="1:28" x14ac:dyDescent="0.3">
      <c r="A2147" t="s">
        <v>1512</v>
      </c>
      <c r="B2147">
        <v>2</v>
      </c>
      <c r="C2147">
        <v>15</v>
      </c>
      <c r="D2147">
        <v>149</v>
      </c>
      <c r="E2147" t="s">
        <v>456</v>
      </c>
      <c r="F2147" s="12">
        <v>45679</v>
      </c>
      <c r="G2147" t="s">
        <v>1636</v>
      </c>
      <c r="H2147" s="12">
        <v>45679</v>
      </c>
      <c r="I2147" t="s">
        <v>552</v>
      </c>
      <c r="J2147" t="s">
        <v>1363</v>
      </c>
      <c r="L2147">
        <v>15.5</v>
      </c>
      <c r="P2147" t="s">
        <v>106</v>
      </c>
      <c r="Q2147" t="s">
        <v>106</v>
      </c>
      <c r="R2147" t="s">
        <v>106</v>
      </c>
      <c r="S2147" t="s">
        <v>1714</v>
      </c>
      <c r="T2147" t="s">
        <v>534</v>
      </c>
      <c r="U2147" t="s">
        <v>1780</v>
      </c>
      <c r="V2147" t="s">
        <v>106</v>
      </c>
      <c r="W2147" t="s">
        <v>557</v>
      </c>
      <c r="X2147" t="s">
        <v>106</v>
      </c>
      <c r="Y2147" t="s">
        <v>108</v>
      </c>
      <c r="Z2147" t="s">
        <v>109</v>
      </c>
      <c r="AA2147" t="s">
        <v>106</v>
      </c>
      <c r="AB2147" t="s">
        <v>106</v>
      </c>
    </row>
    <row r="2148" spans="1:28" x14ac:dyDescent="0.3">
      <c r="A2148" t="s">
        <v>1548</v>
      </c>
      <c r="B2148">
        <v>2</v>
      </c>
      <c r="C2148">
        <v>15</v>
      </c>
      <c r="D2148">
        <v>10</v>
      </c>
      <c r="E2148" t="s">
        <v>456</v>
      </c>
      <c r="F2148" s="12">
        <v>45679</v>
      </c>
      <c r="G2148" t="s">
        <v>2161</v>
      </c>
      <c r="H2148" s="12">
        <v>45679</v>
      </c>
      <c r="I2148" t="s">
        <v>1289</v>
      </c>
      <c r="J2148" t="s">
        <v>1363</v>
      </c>
      <c r="L2148">
        <v>14.5</v>
      </c>
      <c r="P2148" t="s">
        <v>106</v>
      </c>
      <c r="Q2148" t="s">
        <v>106</v>
      </c>
      <c r="R2148" t="s">
        <v>106</v>
      </c>
      <c r="S2148" t="s">
        <v>2162</v>
      </c>
      <c r="T2148" t="s">
        <v>2163</v>
      </c>
      <c r="U2148" t="s">
        <v>1479</v>
      </c>
      <c r="V2148" t="s">
        <v>106</v>
      </c>
      <c r="W2148" t="s">
        <v>557</v>
      </c>
      <c r="X2148" t="s">
        <v>106</v>
      </c>
      <c r="Y2148" t="s">
        <v>108</v>
      </c>
      <c r="Z2148" t="s">
        <v>109</v>
      </c>
      <c r="AA2148" t="s">
        <v>106</v>
      </c>
      <c r="AB2148" t="s">
        <v>106</v>
      </c>
    </row>
    <row r="2149" spans="1:28" x14ac:dyDescent="0.3">
      <c r="A2149" t="s">
        <v>1548</v>
      </c>
      <c r="B2149">
        <v>2</v>
      </c>
      <c r="C2149">
        <v>15</v>
      </c>
      <c r="D2149">
        <v>26</v>
      </c>
      <c r="E2149" t="s">
        <v>456</v>
      </c>
      <c r="F2149" s="12">
        <v>45679</v>
      </c>
      <c r="G2149" t="s">
        <v>770</v>
      </c>
      <c r="H2149" s="12">
        <v>45679</v>
      </c>
      <c r="I2149" t="s">
        <v>1562</v>
      </c>
      <c r="J2149" t="s">
        <v>1363</v>
      </c>
      <c r="L2149">
        <v>13.9</v>
      </c>
      <c r="P2149" t="s">
        <v>106</v>
      </c>
      <c r="Q2149" t="s">
        <v>106</v>
      </c>
      <c r="R2149" t="s">
        <v>106</v>
      </c>
      <c r="S2149" t="s">
        <v>106</v>
      </c>
      <c r="T2149" t="s">
        <v>1509</v>
      </c>
      <c r="U2149" t="s">
        <v>106</v>
      </c>
      <c r="V2149" t="s">
        <v>106</v>
      </c>
      <c r="W2149" t="s">
        <v>557</v>
      </c>
      <c r="X2149" t="s">
        <v>106</v>
      </c>
      <c r="Y2149" t="s">
        <v>108</v>
      </c>
      <c r="Z2149" t="s">
        <v>109</v>
      </c>
      <c r="AA2149" t="s">
        <v>106</v>
      </c>
      <c r="AB2149" t="s">
        <v>106</v>
      </c>
    </row>
    <row r="2150" spans="1:28" x14ac:dyDescent="0.3">
      <c r="A2150" t="s">
        <v>1548</v>
      </c>
      <c r="B2150">
        <v>2</v>
      </c>
      <c r="C2150">
        <v>15</v>
      </c>
      <c r="D2150">
        <v>33</v>
      </c>
      <c r="E2150" t="s">
        <v>456</v>
      </c>
      <c r="F2150" s="12">
        <v>45679</v>
      </c>
      <c r="G2150" t="s">
        <v>319</v>
      </c>
      <c r="H2150" s="12">
        <v>45679</v>
      </c>
      <c r="I2150" t="s">
        <v>322</v>
      </c>
      <c r="J2150" t="s">
        <v>458</v>
      </c>
      <c r="L2150">
        <v>14.6</v>
      </c>
      <c r="P2150" t="s">
        <v>106</v>
      </c>
      <c r="Q2150" t="s">
        <v>106</v>
      </c>
      <c r="R2150" t="s">
        <v>106</v>
      </c>
      <c r="S2150" t="s">
        <v>2164</v>
      </c>
      <c r="T2150" t="s">
        <v>1057</v>
      </c>
      <c r="U2150" t="s">
        <v>1477</v>
      </c>
      <c r="V2150" t="s">
        <v>106</v>
      </c>
      <c r="W2150" t="s">
        <v>557</v>
      </c>
      <c r="X2150" t="s">
        <v>106</v>
      </c>
      <c r="Y2150" t="s">
        <v>108</v>
      </c>
      <c r="Z2150" t="s">
        <v>109</v>
      </c>
      <c r="AA2150" t="s">
        <v>106</v>
      </c>
      <c r="AB2150" t="s">
        <v>106</v>
      </c>
    </row>
    <row r="2151" spans="1:28" x14ac:dyDescent="0.3">
      <c r="A2151" t="s">
        <v>1548</v>
      </c>
      <c r="B2151">
        <v>2</v>
      </c>
      <c r="C2151">
        <v>15</v>
      </c>
      <c r="D2151">
        <v>34</v>
      </c>
      <c r="E2151" t="s">
        <v>456</v>
      </c>
      <c r="F2151" s="12">
        <v>45679</v>
      </c>
      <c r="G2151" t="s">
        <v>327</v>
      </c>
      <c r="H2151" s="12">
        <v>45679</v>
      </c>
      <c r="I2151" t="s">
        <v>322</v>
      </c>
      <c r="J2151" t="s">
        <v>458</v>
      </c>
      <c r="L2151">
        <v>13.7</v>
      </c>
      <c r="P2151" t="s">
        <v>106</v>
      </c>
      <c r="Q2151" t="s">
        <v>106</v>
      </c>
      <c r="R2151" t="s">
        <v>106</v>
      </c>
      <c r="S2151" t="s">
        <v>106</v>
      </c>
      <c r="T2151" t="s">
        <v>1235</v>
      </c>
      <c r="U2151" t="s">
        <v>1591</v>
      </c>
      <c r="V2151" t="s">
        <v>106</v>
      </c>
      <c r="W2151" t="s">
        <v>557</v>
      </c>
      <c r="X2151" t="s">
        <v>106</v>
      </c>
      <c r="Y2151" t="s">
        <v>108</v>
      </c>
      <c r="Z2151" t="s">
        <v>109</v>
      </c>
      <c r="AA2151" t="s">
        <v>106</v>
      </c>
      <c r="AB2151" t="s">
        <v>106</v>
      </c>
    </row>
    <row r="2152" spans="1:28" x14ac:dyDescent="0.3">
      <c r="A2152" t="s">
        <v>1548</v>
      </c>
      <c r="B2152">
        <v>2</v>
      </c>
      <c r="C2152">
        <v>15</v>
      </c>
      <c r="D2152">
        <v>43</v>
      </c>
      <c r="E2152" t="s">
        <v>456</v>
      </c>
      <c r="F2152" s="12">
        <v>45679</v>
      </c>
      <c r="G2152" t="s">
        <v>2067</v>
      </c>
      <c r="H2152" s="12">
        <v>45679</v>
      </c>
      <c r="I2152" t="s">
        <v>784</v>
      </c>
      <c r="J2152" t="s">
        <v>458</v>
      </c>
      <c r="L2152">
        <v>13.7</v>
      </c>
      <c r="P2152" t="s">
        <v>106</v>
      </c>
      <c r="Q2152" t="s">
        <v>106</v>
      </c>
      <c r="R2152" t="s">
        <v>106</v>
      </c>
      <c r="S2152" t="s">
        <v>106</v>
      </c>
      <c r="T2152" t="s">
        <v>1090</v>
      </c>
      <c r="U2152" t="s">
        <v>1591</v>
      </c>
      <c r="V2152" t="s">
        <v>106</v>
      </c>
      <c r="W2152" t="s">
        <v>557</v>
      </c>
      <c r="X2152" t="s">
        <v>106</v>
      </c>
      <c r="Y2152" t="s">
        <v>108</v>
      </c>
      <c r="Z2152" t="s">
        <v>109</v>
      </c>
      <c r="AA2152" t="s">
        <v>106</v>
      </c>
      <c r="AB2152" t="s">
        <v>106</v>
      </c>
    </row>
    <row r="2153" spans="1:28" x14ac:dyDescent="0.3">
      <c r="A2153" t="s">
        <v>1548</v>
      </c>
      <c r="B2153">
        <v>2</v>
      </c>
      <c r="C2153">
        <v>15</v>
      </c>
      <c r="D2153">
        <v>44</v>
      </c>
      <c r="E2153" t="s">
        <v>456</v>
      </c>
      <c r="F2153" s="12">
        <v>45679</v>
      </c>
      <c r="G2153" t="s">
        <v>1160</v>
      </c>
      <c r="H2153" s="12">
        <v>45679</v>
      </c>
      <c r="I2153" t="s">
        <v>784</v>
      </c>
      <c r="J2153" t="s">
        <v>458</v>
      </c>
      <c r="L2153">
        <v>14.3</v>
      </c>
      <c r="P2153" t="s">
        <v>106</v>
      </c>
      <c r="Q2153" t="s">
        <v>106</v>
      </c>
      <c r="R2153" t="s">
        <v>106</v>
      </c>
      <c r="S2153" t="s">
        <v>106</v>
      </c>
      <c r="T2153" t="s">
        <v>1527</v>
      </c>
      <c r="U2153" t="s">
        <v>1410</v>
      </c>
      <c r="V2153" t="s">
        <v>106</v>
      </c>
      <c r="W2153" t="s">
        <v>557</v>
      </c>
      <c r="X2153" t="s">
        <v>106</v>
      </c>
      <c r="Y2153" t="s">
        <v>108</v>
      </c>
      <c r="Z2153" t="s">
        <v>109</v>
      </c>
      <c r="AA2153" t="s">
        <v>106</v>
      </c>
      <c r="AB2153" t="s">
        <v>106</v>
      </c>
    </row>
    <row r="2154" spans="1:28" x14ac:dyDescent="0.3">
      <c r="A2154" t="s">
        <v>1548</v>
      </c>
      <c r="B2154">
        <v>2</v>
      </c>
      <c r="C2154">
        <v>15</v>
      </c>
      <c r="D2154">
        <v>51</v>
      </c>
      <c r="E2154" t="s">
        <v>456</v>
      </c>
      <c r="F2154" s="12">
        <v>45679</v>
      </c>
      <c r="G2154" t="s">
        <v>1417</v>
      </c>
      <c r="H2154" s="12">
        <v>45679</v>
      </c>
      <c r="I2154" t="s">
        <v>1551</v>
      </c>
      <c r="J2154" t="s">
        <v>477</v>
      </c>
      <c r="K2154">
        <v>2</v>
      </c>
      <c r="L2154">
        <v>16.899999999999999</v>
      </c>
      <c r="P2154" t="s">
        <v>106</v>
      </c>
      <c r="Q2154" t="s">
        <v>106</v>
      </c>
      <c r="R2154" t="s">
        <v>106</v>
      </c>
      <c r="S2154" t="s">
        <v>106</v>
      </c>
      <c r="T2154" t="s">
        <v>937</v>
      </c>
      <c r="U2154" t="s">
        <v>1411</v>
      </c>
      <c r="V2154" t="s">
        <v>106</v>
      </c>
      <c r="W2154" t="s">
        <v>443</v>
      </c>
      <c r="X2154" t="s">
        <v>106</v>
      </c>
      <c r="Y2154" t="s">
        <v>108</v>
      </c>
      <c r="Z2154" t="s">
        <v>109</v>
      </c>
      <c r="AA2154" t="s">
        <v>1552</v>
      </c>
      <c r="AB2154" t="s">
        <v>106</v>
      </c>
    </row>
    <row r="2155" spans="1:28" x14ac:dyDescent="0.3">
      <c r="A2155" t="s">
        <v>1548</v>
      </c>
      <c r="B2155">
        <v>2</v>
      </c>
      <c r="C2155">
        <v>15</v>
      </c>
      <c r="D2155">
        <v>52</v>
      </c>
      <c r="E2155" t="s">
        <v>456</v>
      </c>
      <c r="F2155" s="12">
        <v>45679</v>
      </c>
      <c r="G2155" t="s">
        <v>2165</v>
      </c>
      <c r="H2155" s="12">
        <v>45679</v>
      </c>
      <c r="I2155" t="s">
        <v>1551</v>
      </c>
      <c r="J2155" t="s">
        <v>477</v>
      </c>
      <c r="K2155">
        <v>2</v>
      </c>
      <c r="L2155">
        <v>17.2</v>
      </c>
      <c r="P2155" t="s">
        <v>106</v>
      </c>
      <c r="Q2155" t="s">
        <v>106</v>
      </c>
      <c r="R2155" t="s">
        <v>106</v>
      </c>
      <c r="S2155" t="s">
        <v>2166</v>
      </c>
      <c r="T2155" t="s">
        <v>981</v>
      </c>
      <c r="U2155" t="s">
        <v>1539</v>
      </c>
      <c r="V2155" t="s">
        <v>106</v>
      </c>
      <c r="W2155" t="s">
        <v>443</v>
      </c>
      <c r="X2155" t="s">
        <v>106</v>
      </c>
      <c r="Y2155" t="s">
        <v>108</v>
      </c>
      <c r="Z2155" t="s">
        <v>109</v>
      </c>
      <c r="AA2155" t="s">
        <v>1552</v>
      </c>
      <c r="AB2155" t="s">
        <v>106</v>
      </c>
    </row>
    <row r="2156" spans="1:28" x14ac:dyDescent="0.3">
      <c r="A2156" t="s">
        <v>1548</v>
      </c>
      <c r="B2156">
        <v>2</v>
      </c>
      <c r="C2156">
        <v>15</v>
      </c>
      <c r="D2156">
        <v>59</v>
      </c>
      <c r="E2156" t="s">
        <v>456</v>
      </c>
      <c r="F2156" s="12">
        <v>45679</v>
      </c>
      <c r="G2156" t="s">
        <v>2167</v>
      </c>
      <c r="H2156" s="12">
        <v>45679</v>
      </c>
      <c r="I2156" t="s">
        <v>1492</v>
      </c>
      <c r="J2156" t="s">
        <v>477</v>
      </c>
      <c r="K2156">
        <v>2</v>
      </c>
      <c r="L2156">
        <v>16.2</v>
      </c>
      <c r="P2156" t="s">
        <v>106</v>
      </c>
      <c r="Q2156" t="s">
        <v>106</v>
      </c>
      <c r="R2156" t="s">
        <v>106</v>
      </c>
      <c r="S2156" t="s">
        <v>106</v>
      </c>
      <c r="T2156" t="s">
        <v>1385</v>
      </c>
      <c r="U2156" t="s">
        <v>1418</v>
      </c>
      <c r="V2156" t="s">
        <v>106</v>
      </c>
      <c r="W2156" t="s">
        <v>443</v>
      </c>
      <c r="X2156" t="s">
        <v>106</v>
      </c>
      <c r="Y2156" t="s">
        <v>108</v>
      </c>
      <c r="Z2156" t="s">
        <v>109</v>
      </c>
      <c r="AA2156" t="s">
        <v>1552</v>
      </c>
      <c r="AB2156" t="s">
        <v>106</v>
      </c>
    </row>
    <row r="2157" spans="1:28" x14ac:dyDescent="0.3">
      <c r="A2157" t="s">
        <v>1548</v>
      </c>
      <c r="B2157">
        <v>2</v>
      </c>
      <c r="C2157">
        <v>15</v>
      </c>
      <c r="D2157">
        <v>60</v>
      </c>
      <c r="E2157" t="s">
        <v>456</v>
      </c>
      <c r="F2157" s="12">
        <v>45679</v>
      </c>
      <c r="G2157" t="s">
        <v>1582</v>
      </c>
      <c r="H2157" s="12">
        <v>45679</v>
      </c>
      <c r="I2157" t="s">
        <v>1492</v>
      </c>
      <c r="J2157" t="s">
        <v>477</v>
      </c>
      <c r="K2157">
        <v>2</v>
      </c>
      <c r="L2157">
        <v>17.100000000000001</v>
      </c>
      <c r="P2157" t="s">
        <v>106</v>
      </c>
      <c r="Q2157" t="s">
        <v>106</v>
      </c>
      <c r="R2157" t="s">
        <v>106</v>
      </c>
      <c r="S2157" t="s">
        <v>1535</v>
      </c>
      <c r="T2157" t="s">
        <v>1467</v>
      </c>
      <c r="U2157" t="s">
        <v>1410</v>
      </c>
      <c r="V2157" t="s">
        <v>106</v>
      </c>
      <c r="W2157" t="s">
        <v>443</v>
      </c>
      <c r="X2157" t="s">
        <v>106</v>
      </c>
      <c r="Y2157" t="s">
        <v>108</v>
      </c>
      <c r="Z2157" t="s">
        <v>109</v>
      </c>
      <c r="AA2157" t="s">
        <v>1552</v>
      </c>
      <c r="AB2157" t="s">
        <v>106</v>
      </c>
    </row>
    <row r="2158" spans="1:28" x14ac:dyDescent="0.3">
      <c r="A2158" t="s">
        <v>1548</v>
      </c>
      <c r="B2158">
        <v>2</v>
      </c>
      <c r="C2158">
        <v>15</v>
      </c>
      <c r="D2158">
        <v>65</v>
      </c>
      <c r="E2158" t="s">
        <v>456</v>
      </c>
      <c r="F2158" s="12">
        <v>45679</v>
      </c>
      <c r="G2158" t="s">
        <v>2168</v>
      </c>
      <c r="H2158" s="12">
        <v>45679</v>
      </c>
      <c r="I2158" t="s">
        <v>2169</v>
      </c>
      <c r="J2158" t="s">
        <v>458</v>
      </c>
      <c r="K2158">
        <v>2</v>
      </c>
      <c r="L2158">
        <v>16.2</v>
      </c>
      <c r="P2158" t="s">
        <v>106</v>
      </c>
      <c r="Q2158" t="s">
        <v>106</v>
      </c>
      <c r="R2158" t="s">
        <v>106</v>
      </c>
      <c r="S2158" t="s">
        <v>1335</v>
      </c>
      <c r="T2158" t="s">
        <v>884</v>
      </c>
      <c r="U2158" t="s">
        <v>1418</v>
      </c>
      <c r="V2158" t="s">
        <v>106</v>
      </c>
      <c r="W2158" t="s">
        <v>443</v>
      </c>
      <c r="X2158" t="s">
        <v>106</v>
      </c>
      <c r="Y2158" t="s">
        <v>108</v>
      </c>
      <c r="Z2158" t="s">
        <v>109</v>
      </c>
      <c r="AA2158" t="s">
        <v>106</v>
      </c>
      <c r="AB2158" t="s">
        <v>106</v>
      </c>
    </row>
    <row r="2159" spans="1:28" x14ac:dyDescent="0.3">
      <c r="A2159" t="s">
        <v>1548</v>
      </c>
      <c r="B2159">
        <v>2</v>
      </c>
      <c r="C2159">
        <v>15</v>
      </c>
      <c r="D2159">
        <v>66</v>
      </c>
      <c r="E2159" t="s">
        <v>456</v>
      </c>
      <c r="F2159" s="12">
        <v>45679</v>
      </c>
      <c r="G2159" t="s">
        <v>2168</v>
      </c>
      <c r="H2159" s="12">
        <v>45679</v>
      </c>
      <c r="I2159" t="s">
        <v>2169</v>
      </c>
      <c r="J2159" t="s">
        <v>458</v>
      </c>
      <c r="K2159">
        <v>2</v>
      </c>
      <c r="L2159">
        <v>15.8</v>
      </c>
      <c r="P2159" t="s">
        <v>106</v>
      </c>
      <c r="Q2159" t="s">
        <v>106</v>
      </c>
      <c r="R2159" t="s">
        <v>106</v>
      </c>
      <c r="S2159" t="s">
        <v>106</v>
      </c>
      <c r="T2159" t="s">
        <v>975</v>
      </c>
      <c r="U2159" t="s">
        <v>1780</v>
      </c>
      <c r="V2159" t="s">
        <v>106</v>
      </c>
      <c r="W2159" t="s">
        <v>443</v>
      </c>
      <c r="X2159" t="s">
        <v>106</v>
      </c>
      <c r="Y2159" t="s">
        <v>108</v>
      </c>
      <c r="Z2159" t="s">
        <v>109</v>
      </c>
      <c r="AA2159" t="s">
        <v>106</v>
      </c>
      <c r="AB2159" t="s">
        <v>106</v>
      </c>
    </row>
    <row r="2160" spans="1:28" x14ac:dyDescent="0.3">
      <c r="A2160" t="s">
        <v>1548</v>
      </c>
      <c r="B2160">
        <v>2</v>
      </c>
      <c r="C2160">
        <v>15</v>
      </c>
      <c r="D2160">
        <v>25</v>
      </c>
      <c r="E2160" t="s">
        <v>456</v>
      </c>
      <c r="F2160" s="12">
        <v>45679</v>
      </c>
      <c r="G2160" t="s">
        <v>770</v>
      </c>
      <c r="H2160" s="12">
        <v>45679</v>
      </c>
      <c r="I2160" t="s">
        <v>1562</v>
      </c>
      <c r="J2160" t="s">
        <v>1363</v>
      </c>
      <c r="L2160">
        <v>14.8</v>
      </c>
      <c r="P2160" t="s">
        <v>106</v>
      </c>
      <c r="Q2160" t="s">
        <v>106</v>
      </c>
      <c r="R2160" t="s">
        <v>106</v>
      </c>
      <c r="S2160" t="s">
        <v>106</v>
      </c>
      <c r="T2160" t="s">
        <v>1155</v>
      </c>
      <c r="U2160" t="s">
        <v>106</v>
      </c>
      <c r="V2160" t="s">
        <v>106</v>
      </c>
      <c r="W2160" t="s">
        <v>557</v>
      </c>
      <c r="X2160" t="s">
        <v>106</v>
      </c>
      <c r="Y2160" t="s">
        <v>108</v>
      </c>
      <c r="Z2160" t="s">
        <v>109</v>
      </c>
      <c r="AA2160" t="s">
        <v>106</v>
      </c>
      <c r="AB2160" t="s">
        <v>106</v>
      </c>
    </row>
    <row r="2161" spans="1:28" x14ac:dyDescent="0.3">
      <c r="A2161" t="s">
        <v>1548</v>
      </c>
      <c r="B2161">
        <v>2</v>
      </c>
      <c r="C2161">
        <v>15</v>
      </c>
      <c r="D2161">
        <v>18</v>
      </c>
      <c r="E2161" t="s">
        <v>456</v>
      </c>
      <c r="F2161" s="12">
        <v>45679</v>
      </c>
      <c r="G2161" t="s">
        <v>431</v>
      </c>
      <c r="H2161" s="12">
        <v>45679</v>
      </c>
      <c r="I2161" t="s">
        <v>742</v>
      </c>
      <c r="J2161" t="s">
        <v>1363</v>
      </c>
      <c r="L2161">
        <v>14.3</v>
      </c>
      <c r="P2161" t="s">
        <v>106</v>
      </c>
      <c r="Q2161" t="s">
        <v>106</v>
      </c>
      <c r="R2161" t="s">
        <v>106</v>
      </c>
      <c r="S2161" t="s">
        <v>1654</v>
      </c>
      <c r="T2161" t="s">
        <v>778</v>
      </c>
      <c r="U2161" t="s">
        <v>141</v>
      </c>
      <c r="V2161" t="s">
        <v>106</v>
      </c>
      <c r="W2161" t="s">
        <v>557</v>
      </c>
      <c r="X2161" t="s">
        <v>106</v>
      </c>
      <c r="Y2161" t="s">
        <v>108</v>
      </c>
      <c r="Z2161" t="s">
        <v>109</v>
      </c>
      <c r="AA2161" t="s">
        <v>106</v>
      </c>
      <c r="AB2161" t="s">
        <v>106</v>
      </c>
    </row>
    <row r="2162" spans="1:28" x14ac:dyDescent="0.3">
      <c r="A2162" t="s">
        <v>1512</v>
      </c>
      <c r="B2162">
        <v>2</v>
      </c>
      <c r="C2162">
        <v>15</v>
      </c>
      <c r="D2162">
        <v>148</v>
      </c>
      <c r="E2162" t="s">
        <v>456</v>
      </c>
      <c r="F2162" s="12">
        <v>45679</v>
      </c>
      <c r="G2162" t="s">
        <v>1799</v>
      </c>
      <c r="H2162" s="12">
        <v>45679</v>
      </c>
      <c r="I2162" t="s">
        <v>552</v>
      </c>
      <c r="J2162" t="s">
        <v>1363</v>
      </c>
      <c r="L2162">
        <v>15</v>
      </c>
      <c r="P2162" t="s">
        <v>106</v>
      </c>
      <c r="Q2162" t="s">
        <v>106</v>
      </c>
      <c r="R2162" t="s">
        <v>106</v>
      </c>
      <c r="S2162" t="s">
        <v>106</v>
      </c>
      <c r="T2162" t="s">
        <v>1571</v>
      </c>
      <c r="U2162" t="s">
        <v>395</v>
      </c>
      <c r="V2162" t="s">
        <v>106</v>
      </c>
      <c r="W2162" t="s">
        <v>557</v>
      </c>
      <c r="X2162" t="s">
        <v>106</v>
      </c>
      <c r="Y2162" t="s">
        <v>108</v>
      </c>
      <c r="Z2162" t="s">
        <v>109</v>
      </c>
      <c r="AA2162" t="s">
        <v>106</v>
      </c>
      <c r="AB2162" t="s">
        <v>106</v>
      </c>
    </row>
    <row r="2163" spans="1:28" x14ac:dyDescent="0.3">
      <c r="A2163" t="s">
        <v>1548</v>
      </c>
      <c r="B2163">
        <v>2</v>
      </c>
      <c r="C2163">
        <v>15</v>
      </c>
      <c r="D2163">
        <v>9</v>
      </c>
      <c r="E2163" t="s">
        <v>456</v>
      </c>
      <c r="F2163" s="12">
        <v>45679</v>
      </c>
      <c r="G2163" t="s">
        <v>2170</v>
      </c>
      <c r="H2163" s="12">
        <v>45679</v>
      </c>
      <c r="I2163" t="s">
        <v>1289</v>
      </c>
      <c r="J2163" t="s">
        <v>1363</v>
      </c>
      <c r="L2163">
        <v>14.7</v>
      </c>
      <c r="P2163" t="s">
        <v>106</v>
      </c>
      <c r="Q2163" t="s">
        <v>106</v>
      </c>
      <c r="R2163" t="s">
        <v>106</v>
      </c>
      <c r="S2163" t="s">
        <v>106</v>
      </c>
      <c r="T2163" t="s">
        <v>887</v>
      </c>
      <c r="U2163" t="s">
        <v>1479</v>
      </c>
      <c r="V2163" t="s">
        <v>106</v>
      </c>
      <c r="W2163" t="s">
        <v>557</v>
      </c>
      <c r="X2163" t="s">
        <v>106</v>
      </c>
      <c r="Y2163" t="s">
        <v>108</v>
      </c>
      <c r="Z2163" t="s">
        <v>109</v>
      </c>
      <c r="AA2163" t="s">
        <v>106</v>
      </c>
      <c r="AB2163" t="s">
        <v>106</v>
      </c>
    </row>
    <row r="2164" spans="1:28" x14ac:dyDescent="0.3">
      <c r="A2164" t="s">
        <v>1548</v>
      </c>
      <c r="B2164">
        <v>2</v>
      </c>
      <c r="C2164">
        <v>15</v>
      </c>
      <c r="D2164">
        <v>17</v>
      </c>
      <c r="E2164" t="s">
        <v>456</v>
      </c>
      <c r="F2164" s="12">
        <v>45679</v>
      </c>
      <c r="G2164" t="s">
        <v>823</v>
      </c>
      <c r="H2164" s="12">
        <v>45679</v>
      </c>
      <c r="I2164" t="s">
        <v>742</v>
      </c>
      <c r="J2164" t="s">
        <v>1363</v>
      </c>
      <c r="L2164">
        <v>12.9</v>
      </c>
      <c r="P2164" t="s">
        <v>106</v>
      </c>
      <c r="Q2164" t="s">
        <v>106</v>
      </c>
      <c r="R2164" t="s">
        <v>106</v>
      </c>
      <c r="S2164" t="s">
        <v>106</v>
      </c>
      <c r="T2164" t="s">
        <v>1561</v>
      </c>
      <c r="U2164" t="s">
        <v>719</v>
      </c>
      <c r="V2164" t="s">
        <v>106</v>
      </c>
      <c r="W2164" t="s">
        <v>557</v>
      </c>
      <c r="X2164" t="s">
        <v>106</v>
      </c>
      <c r="Y2164" t="s">
        <v>108</v>
      </c>
      <c r="Z2164" t="s">
        <v>109</v>
      </c>
      <c r="AA2164" t="s">
        <v>106</v>
      </c>
      <c r="AB2164" t="s">
        <v>106</v>
      </c>
    </row>
    <row r="2165" spans="1:28" x14ac:dyDescent="0.3">
      <c r="A2165" t="s">
        <v>1512</v>
      </c>
      <c r="B2165">
        <v>3</v>
      </c>
      <c r="C2165">
        <v>35</v>
      </c>
      <c r="D2165">
        <v>151</v>
      </c>
      <c r="E2165" t="s">
        <v>456</v>
      </c>
      <c r="F2165" s="12">
        <v>45679</v>
      </c>
      <c r="G2165" t="s">
        <v>1283</v>
      </c>
      <c r="H2165" s="12">
        <v>45679</v>
      </c>
      <c r="I2165" t="s">
        <v>552</v>
      </c>
      <c r="J2165" t="s">
        <v>1363</v>
      </c>
      <c r="L2165">
        <v>37.200000000000003</v>
      </c>
      <c r="P2165" t="s">
        <v>106</v>
      </c>
      <c r="Q2165" t="s">
        <v>106</v>
      </c>
      <c r="R2165" t="s">
        <v>106</v>
      </c>
      <c r="S2165" t="s">
        <v>106</v>
      </c>
      <c r="T2165" t="s">
        <v>875</v>
      </c>
      <c r="U2165" t="s">
        <v>430</v>
      </c>
      <c r="V2165" t="s">
        <v>106</v>
      </c>
      <c r="W2165" t="s">
        <v>557</v>
      </c>
      <c r="X2165" t="s">
        <v>106</v>
      </c>
      <c r="Y2165" t="s">
        <v>108</v>
      </c>
      <c r="Z2165" t="s">
        <v>108</v>
      </c>
      <c r="AA2165" t="s">
        <v>106</v>
      </c>
      <c r="AB2165" t="s">
        <v>106</v>
      </c>
    </row>
    <row r="2166" spans="1:28" x14ac:dyDescent="0.3">
      <c r="A2166" t="s">
        <v>1548</v>
      </c>
      <c r="B2166">
        <v>3</v>
      </c>
      <c r="C2166">
        <v>35</v>
      </c>
      <c r="D2166">
        <v>19</v>
      </c>
      <c r="E2166" t="s">
        <v>456</v>
      </c>
      <c r="F2166" s="12">
        <v>45679</v>
      </c>
      <c r="G2166" t="s">
        <v>325</v>
      </c>
      <c r="H2166" s="12">
        <v>45679</v>
      </c>
      <c r="I2166" t="s">
        <v>742</v>
      </c>
      <c r="J2166" t="s">
        <v>1363</v>
      </c>
      <c r="L2166">
        <v>34.6</v>
      </c>
      <c r="P2166" t="s">
        <v>106</v>
      </c>
      <c r="Q2166" t="s">
        <v>106</v>
      </c>
      <c r="R2166" t="s">
        <v>106</v>
      </c>
      <c r="S2166" t="s">
        <v>106</v>
      </c>
      <c r="T2166" t="s">
        <v>961</v>
      </c>
      <c r="U2166" t="s">
        <v>1477</v>
      </c>
      <c r="V2166" t="s">
        <v>106</v>
      </c>
      <c r="W2166" t="s">
        <v>557</v>
      </c>
      <c r="X2166" t="s">
        <v>106</v>
      </c>
      <c r="Y2166" t="s">
        <v>108</v>
      </c>
      <c r="Z2166" t="s">
        <v>108</v>
      </c>
      <c r="AA2166" t="s">
        <v>106</v>
      </c>
      <c r="AB2166" t="s">
        <v>106</v>
      </c>
    </row>
    <row r="2167" spans="1:28" x14ac:dyDescent="0.3">
      <c r="A2167" t="s">
        <v>1548</v>
      </c>
      <c r="B2167">
        <v>3</v>
      </c>
      <c r="C2167">
        <v>35</v>
      </c>
      <c r="D2167">
        <v>11</v>
      </c>
      <c r="E2167" t="s">
        <v>456</v>
      </c>
      <c r="F2167" s="12">
        <v>45679</v>
      </c>
      <c r="G2167" t="s">
        <v>745</v>
      </c>
      <c r="H2167" s="12">
        <v>45679</v>
      </c>
      <c r="I2167" t="s">
        <v>1289</v>
      </c>
      <c r="J2167" t="s">
        <v>1363</v>
      </c>
      <c r="L2167">
        <v>34.6</v>
      </c>
      <c r="P2167" t="s">
        <v>106</v>
      </c>
      <c r="Q2167" t="s">
        <v>106</v>
      </c>
      <c r="R2167" t="s">
        <v>106</v>
      </c>
      <c r="S2167" t="s">
        <v>106</v>
      </c>
      <c r="T2167" t="s">
        <v>1509</v>
      </c>
      <c r="U2167" t="s">
        <v>1780</v>
      </c>
      <c r="V2167" t="s">
        <v>106</v>
      </c>
      <c r="W2167" t="s">
        <v>557</v>
      </c>
      <c r="X2167" t="s">
        <v>106</v>
      </c>
      <c r="Y2167" t="s">
        <v>108</v>
      </c>
      <c r="Z2167" t="s">
        <v>108</v>
      </c>
      <c r="AA2167" t="s">
        <v>106</v>
      </c>
      <c r="AB2167" t="s">
        <v>106</v>
      </c>
    </row>
    <row r="2168" spans="1:28" x14ac:dyDescent="0.3">
      <c r="A2168" t="s">
        <v>1548</v>
      </c>
      <c r="B2168">
        <v>3</v>
      </c>
      <c r="C2168">
        <v>35</v>
      </c>
      <c r="D2168">
        <v>12</v>
      </c>
      <c r="E2168" t="s">
        <v>456</v>
      </c>
      <c r="F2168" s="12">
        <v>45679</v>
      </c>
      <c r="G2168" t="s">
        <v>745</v>
      </c>
      <c r="H2168" s="12">
        <v>45679</v>
      </c>
      <c r="I2168" t="s">
        <v>1289</v>
      </c>
      <c r="J2168" t="s">
        <v>1363</v>
      </c>
      <c r="L2168">
        <v>35.9</v>
      </c>
      <c r="P2168" t="s">
        <v>106</v>
      </c>
      <c r="Q2168" t="s">
        <v>106</v>
      </c>
      <c r="R2168" t="s">
        <v>106</v>
      </c>
      <c r="S2168" t="s">
        <v>2388</v>
      </c>
      <c r="T2168" t="s">
        <v>1108</v>
      </c>
      <c r="U2168" t="s">
        <v>703</v>
      </c>
      <c r="V2168" t="s">
        <v>106</v>
      </c>
      <c r="W2168" t="s">
        <v>557</v>
      </c>
      <c r="X2168" t="s">
        <v>106</v>
      </c>
      <c r="Y2168" t="s">
        <v>108</v>
      </c>
      <c r="Z2168" t="s">
        <v>108</v>
      </c>
      <c r="AA2168" t="s">
        <v>106</v>
      </c>
      <c r="AB2168" t="s">
        <v>106</v>
      </c>
    </row>
    <row r="2169" spans="1:28" x14ac:dyDescent="0.3">
      <c r="A2169" t="s">
        <v>1548</v>
      </c>
      <c r="B2169">
        <v>3</v>
      </c>
      <c r="C2169">
        <v>35</v>
      </c>
      <c r="D2169">
        <v>20</v>
      </c>
      <c r="E2169" t="s">
        <v>456</v>
      </c>
      <c r="F2169" s="12">
        <v>45679</v>
      </c>
      <c r="G2169" t="s">
        <v>325</v>
      </c>
      <c r="H2169" s="12">
        <v>45679</v>
      </c>
      <c r="I2169" t="s">
        <v>742</v>
      </c>
      <c r="J2169" t="s">
        <v>1363</v>
      </c>
      <c r="L2169">
        <v>35.6</v>
      </c>
      <c r="P2169" t="s">
        <v>106</v>
      </c>
      <c r="Q2169" t="s">
        <v>106</v>
      </c>
      <c r="R2169" t="s">
        <v>106</v>
      </c>
      <c r="S2169" t="s">
        <v>2130</v>
      </c>
      <c r="T2169" t="s">
        <v>884</v>
      </c>
      <c r="U2169" t="s">
        <v>395</v>
      </c>
      <c r="V2169" t="s">
        <v>106</v>
      </c>
      <c r="W2169" t="s">
        <v>557</v>
      </c>
      <c r="X2169" t="s">
        <v>106</v>
      </c>
      <c r="Y2169" t="s">
        <v>108</v>
      </c>
      <c r="Z2169" t="s">
        <v>108</v>
      </c>
      <c r="AA2169" t="s">
        <v>106</v>
      </c>
      <c r="AB2169" t="s">
        <v>106</v>
      </c>
    </row>
    <row r="2170" spans="1:28" x14ac:dyDescent="0.3">
      <c r="A2170" t="s">
        <v>1548</v>
      </c>
      <c r="B2170">
        <v>3</v>
      </c>
      <c r="C2170">
        <v>35</v>
      </c>
      <c r="D2170">
        <v>27</v>
      </c>
      <c r="E2170" t="s">
        <v>456</v>
      </c>
      <c r="F2170" s="12">
        <v>45679</v>
      </c>
      <c r="G2170" t="s">
        <v>1957</v>
      </c>
      <c r="H2170" s="12">
        <v>45679</v>
      </c>
      <c r="I2170" t="s">
        <v>1562</v>
      </c>
      <c r="J2170" t="s">
        <v>1363</v>
      </c>
      <c r="L2170">
        <v>36.9</v>
      </c>
      <c r="P2170" t="s">
        <v>106</v>
      </c>
      <c r="Q2170" t="s">
        <v>106</v>
      </c>
      <c r="R2170" t="s">
        <v>106</v>
      </c>
      <c r="S2170" t="s">
        <v>106</v>
      </c>
      <c r="T2170" t="s">
        <v>1509</v>
      </c>
      <c r="U2170" t="s">
        <v>904</v>
      </c>
      <c r="V2170" t="s">
        <v>106</v>
      </c>
      <c r="W2170" t="s">
        <v>557</v>
      </c>
      <c r="X2170" t="s">
        <v>106</v>
      </c>
      <c r="Y2170" t="s">
        <v>108</v>
      </c>
      <c r="Z2170" t="s">
        <v>108</v>
      </c>
      <c r="AA2170" t="s">
        <v>106</v>
      </c>
      <c r="AB2170" t="s">
        <v>106</v>
      </c>
    </row>
    <row r="2171" spans="1:28" x14ac:dyDescent="0.3">
      <c r="A2171" t="s">
        <v>1548</v>
      </c>
      <c r="B2171">
        <v>3</v>
      </c>
      <c r="C2171">
        <v>35</v>
      </c>
      <c r="D2171">
        <v>28</v>
      </c>
      <c r="E2171" t="s">
        <v>456</v>
      </c>
      <c r="F2171" s="12">
        <v>45679</v>
      </c>
      <c r="G2171" t="s">
        <v>1525</v>
      </c>
      <c r="H2171" s="12">
        <v>45679</v>
      </c>
      <c r="I2171" t="s">
        <v>1562</v>
      </c>
      <c r="J2171" t="s">
        <v>1363</v>
      </c>
      <c r="L2171">
        <v>37.5</v>
      </c>
      <c r="P2171" t="s">
        <v>106</v>
      </c>
      <c r="Q2171" t="s">
        <v>106</v>
      </c>
      <c r="R2171" t="s">
        <v>106</v>
      </c>
      <c r="S2171" t="s">
        <v>1488</v>
      </c>
      <c r="T2171" t="s">
        <v>1606</v>
      </c>
      <c r="U2171" t="s">
        <v>720</v>
      </c>
      <c r="V2171" t="s">
        <v>106</v>
      </c>
      <c r="W2171" t="s">
        <v>557</v>
      </c>
      <c r="X2171" t="s">
        <v>106</v>
      </c>
      <c r="Y2171" t="s">
        <v>108</v>
      </c>
      <c r="Z2171" t="s">
        <v>108</v>
      </c>
      <c r="AA2171" t="s">
        <v>106</v>
      </c>
      <c r="AB2171" t="s">
        <v>106</v>
      </c>
    </row>
    <row r="2172" spans="1:28" x14ac:dyDescent="0.3">
      <c r="A2172" t="s">
        <v>1548</v>
      </c>
      <c r="B2172">
        <v>3</v>
      </c>
      <c r="C2172">
        <v>35</v>
      </c>
      <c r="D2172">
        <v>35</v>
      </c>
      <c r="E2172" t="s">
        <v>456</v>
      </c>
      <c r="F2172" s="12">
        <v>45679</v>
      </c>
      <c r="G2172" t="s">
        <v>683</v>
      </c>
      <c r="H2172" s="12">
        <v>45679</v>
      </c>
      <c r="I2172" t="s">
        <v>322</v>
      </c>
      <c r="J2172" t="s">
        <v>458</v>
      </c>
      <c r="L2172">
        <v>32.6</v>
      </c>
      <c r="P2172" t="s">
        <v>106</v>
      </c>
      <c r="Q2172" t="s">
        <v>106</v>
      </c>
      <c r="R2172" t="s">
        <v>106</v>
      </c>
      <c r="S2172" t="s">
        <v>1514</v>
      </c>
      <c r="T2172" t="s">
        <v>993</v>
      </c>
      <c r="U2172" t="s">
        <v>1591</v>
      </c>
      <c r="V2172" t="s">
        <v>106</v>
      </c>
      <c r="W2172" t="s">
        <v>557</v>
      </c>
      <c r="X2172" t="s">
        <v>106</v>
      </c>
      <c r="Y2172" t="s">
        <v>108</v>
      </c>
      <c r="Z2172" t="s">
        <v>108</v>
      </c>
      <c r="AA2172" t="s">
        <v>106</v>
      </c>
      <c r="AB2172" t="s">
        <v>106</v>
      </c>
    </row>
    <row r="2173" spans="1:28" x14ac:dyDescent="0.3">
      <c r="A2173" t="s">
        <v>1548</v>
      </c>
      <c r="B2173">
        <v>3</v>
      </c>
      <c r="C2173">
        <v>35</v>
      </c>
      <c r="D2173">
        <v>36</v>
      </c>
      <c r="E2173" t="s">
        <v>456</v>
      </c>
      <c r="F2173" s="12">
        <v>45679</v>
      </c>
      <c r="G2173" t="s">
        <v>844</v>
      </c>
      <c r="H2173" s="12">
        <v>45679</v>
      </c>
      <c r="I2173" t="s">
        <v>322</v>
      </c>
      <c r="J2173" t="s">
        <v>458</v>
      </c>
      <c r="L2173">
        <v>36</v>
      </c>
      <c r="P2173" t="s">
        <v>106</v>
      </c>
      <c r="Q2173" t="s">
        <v>106</v>
      </c>
      <c r="R2173" t="s">
        <v>106</v>
      </c>
      <c r="S2173" t="s">
        <v>106</v>
      </c>
      <c r="T2173" t="s">
        <v>875</v>
      </c>
      <c r="U2173" t="s">
        <v>429</v>
      </c>
      <c r="V2173" t="s">
        <v>106</v>
      </c>
      <c r="W2173" t="s">
        <v>557</v>
      </c>
      <c r="X2173" t="s">
        <v>106</v>
      </c>
      <c r="Y2173" t="s">
        <v>108</v>
      </c>
      <c r="Z2173" t="s">
        <v>108</v>
      </c>
      <c r="AA2173" t="s">
        <v>106</v>
      </c>
      <c r="AB2173" t="s">
        <v>106</v>
      </c>
    </row>
    <row r="2174" spans="1:28" x14ac:dyDescent="0.3">
      <c r="A2174" t="s">
        <v>1548</v>
      </c>
      <c r="B2174">
        <v>3</v>
      </c>
      <c r="C2174">
        <v>35</v>
      </c>
      <c r="D2174">
        <v>45</v>
      </c>
      <c r="E2174" t="s">
        <v>456</v>
      </c>
      <c r="F2174" s="12">
        <v>45679</v>
      </c>
      <c r="G2174" t="s">
        <v>1166</v>
      </c>
      <c r="H2174" s="12">
        <v>45679</v>
      </c>
      <c r="I2174" t="s">
        <v>784</v>
      </c>
      <c r="J2174" t="s">
        <v>458</v>
      </c>
      <c r="L2174">
        <v>32.700000000000003</v>
      </c>
      <c r="P2174" t="s">
        <v>106</v>
      </c>
      <c r="Q2174" t="s">
        <v>106</v>
      </c>
      <c r="R2174" t="s">
        <v>106</v>
      </c>
      <c r="S2174" t="s">
        <v>106</v>
      </c>
      <c r="T2174" t="s">
        <v>961</v>
      </c>
      <c r="U2174" t="s">
        <v>1418</v>
      </c>
      <c r="V2174" t="s">
        <v>106</v>
      </c>
      <c r="W2174" t="s">
        <v>557</v>
      </c>
      <c r="X2174" t="s">
        <v>106</v>
      </c>
      <c r="Y2174" t="s">
        <v>108</v>
      </c>
      <c r="Z2174" t="s">
        <v>108</v>
      </c>
      <c r="AA2174" t="s">
        <v>106</v>
      </c>
      <c r="AB2174" t="s">
        <v>106</v>
      </c>
    </row>
    <row r="2175" spans="1:28" x14ac:dyDescent="0.3">
      <c r="A2175" t="s">
        <v>1548</v>
      </c>
      <c r="B2175">
        <v>3</v>
      </c>
      <c r="C2175">
        <v>35</v>
      </c>
      <c r="D2175">
        <v>49</v>
      </c>
      <c r="E2175" t="s">
        <v>456</v>
      </c>
      <c r="F2175" s="12">
        <v>45679</v>
      </c>
      <c r="G2175" t="s">
        <v>2530</v>
      </c>
      <c r="H2175" s="12">
        <v>45679</v>
      </c>
      <c r="I2175" t="s">
        <v>1551</v>
      </c>
      <c r="J2175" t="s">
        <v>477</v>
      </c>
      <c r="K2175">
        <v>2</v>
      </c>
      <c r="L2175">
        <v>38.200000000000003</v>
      </c>
      <c r="P2175" t="s">
        <v>106</v>
      </c>
      <c r="Q2175" t="s">
        <v>106</v>
      </c>
      <c r="R2175" t="s">
        <v>106</v>
      </c>
      <c r="S2175" t="s">
        <v>2118</v>
      </c>
      <c r="T2175" t="s">
        <v>1131</v>
      </c>
      <c r="U2175" t="s">
        <v>1410</v>
      </c>
      <c r="V2175" t="s">
        <v>106</v>
      </c>
      <c r="W2175" t="s">
        <v>443</v>
      </c>
      <c r="X2175" t="s">
        <v>106</v>
      </c>
      <c r="Y2175" t="s">
        <v>108</v>
      </c>
      <c r="Z2175" t="s">
        <v>108</v>
      </c>
      <c r="AA2175" t="s">
        <v>1552</v>
      </c>
      <c r="AB2175" t="s">
        <v>106</v>
      </c>
    </row>
    <row r="2176" spans="1:28" x14ac:dyDescent="0.3">
      <c r="A2176" t="s">
        <v>1548</v>
      </c>
      <c r="B2176">
        <v>3</v>
      </c>
      <c r="C2176">
        <v>35</v>
      </c>
      <c r="D2176">
        <v>50</v>
      </c>
      <c r="E2176" t="s">
        <v>456</v>
      </c>
      <c r="F2176" s="12">
        <v>45679</v>
      </c>
      <c r="G2176" t="s">
        <v>1627</v>
      </c>
      <c r="H2176" s="12">
        <v>45679</v>
      </c>
      <c r="I2176" t="s">
        <v>1551</v>
      </c>
      <c r="J2176" t="s">
        <v>477</v>
      </c>
      <c r="K2176">
        <v>2</v>
      </c>
      <c r="L2176">
        <v>37.700000000000003</v>
      </c>
      <c r="P2176" t="s">
        <v>106</v>
      </c>
      <c r="Q2176" t="s">
        <v>106</v>
      </c>
      <c r="R2176" t="s">
        <v>106</v>
      </c>
      <c r="S2176" t="s">
        <v>106</v>
      </c>
      <c r="T2176" t="s">
        <v>1217</v>
      </c>
      <c r="U2176" t="s">
        <v>1780</v>
      </c>
      <c r="V2176" t="s">
        <v>106</v>
      </c>
      <c r="W2176" t="s">
        <v>443</v>
      </c>
      <c r="X2176" t="s">
        <v>106</v>
      </c>
      <c r="Y2176" t="s">
        <v>108</v>
      </c>
      <c r="Z2176" t="s">
        <v>108</v>
      </c>
      <c r="AA2176" t="s">
        <v>1552</v>
      </c>
      <c r="AB2176" t="s">
        <v>106</v>
      </c>
    </row>
    <row r="2177" spans="1:28" x14ac:dyDescent="0.3">
      <c r="A2177" t="s">
        <v>1548</v>
      </c>
      <c r="B2177">
        <v>3</v>
      </c>
      <c r="C2177">
        <v>35</v>
      </c>
      <c r="D2177">
        <v>61</v>
      </c>
      <c r="E2177" t="s">
        <v>456</v>
      </c>
      <c r="F2177" s="12">
        <v>45679</v>
      </c>
      <c r="G2177" t="s">
        <v>2154</v>
      </c>
      <c r="H2177" s="12">
        <v>45679</v>
      </c>
      <c r="I2177" t="s">
        <v>1492</v>
      </c>
      <c r="J2177" t="s">
        <v>477</v>
      </c>
      <c r="K2177">
        <v>2</v>
      </c>
      <c r="L2177">
        <v>37.200000000000003</v>
      </c>
      <c r="P2177" t="s">
        <v>106</v>
      </c>
      <c r="Q2177" t="s">
        <v>106</v>
      </c>
      <c r="R2177" t="s">
        <v>106</v>
      </c>
      <c r="S2177" t="s">
        <v>106</v>
      </c>
      <c r="T2177" t="s">
        <v>1280</v>
      </c>
      <c r="U2177" t="s">
        <v>395</v>
      </c>
      <c r="V2177" t="s">
        <v>106</v>
      </c>
      <c r="W2177" t="s">
        <v>443</v>
      </c>
      <c r="X2177" t="s">
        <v>106</v>
      </c>
      <c r="Y2177" t="s">
        <v>108</v>
      </c>
      <c r="Z2177" t="s">
        <v>108</v>
      </c>
      <c r="AA2177" t="s">
        <v>1552</v>
      </c>
      <c r="AB2177" t="s">
        <v>106</v>
      </c>
    </row>
    <row r="2178" spans="1:28" x14ac:dyDescent="0.3">
      <c r="A2178" t="s">
        <v>1548</v>
      </c>
      <c r="B2178">
        <v>3</v>
      </c>
      <c r="C2178">
        <v>35</v>
      </c>
      <c r="D2178">
        <v>62</v>
      </c>
      <c r="E2178" t="s">
        <v>456</v>
      </c>
      <c r="F2178" s="12">
        <v>45679</v>
      </c>
      <c r="G2178" t="s">
        <v>2154</v>
      </c>
      <c r="H2178" s="12">
        <v>45679</v>
      </c>
      <c r="I2178" t="s">
        <v>1492</v>
      </c>
      <c r="J2178" t="s">
        <v>477</v>
      </c>
      <c r="K2178">
        <v>2</v>
      </c>
      <c r="L2178">
        <v>38</v>
      </c>
      <c r="P2178" t="s">
        <v>106</v>
      </c>
      <c r="Q2178" t="s">
        <v>106</v>
      </c>
      <c r="R2178" t="s">
        <v>106</v>
      </c>
      <c r="S2178" t="s">
        <v>1809</v>
      </c>
      <c r="T2178" t="s">
        <v>1101</v>
      </c>
      <c r="U2178" t="s">
        <v>708</v>
      </c>
      <c r="V2178" t="s">
        <v>106</v>
      </c>
      <c r="W2178" t="s">
        <v>443</v>
      </c>
      <c r="X2178" t="s">
        <v>106</v>
      </c>
      <c r="Y2178" t="s">
        <v>108</v>
      </c>
      <c r="Z2178" t="s">
        <v>108</v>
      </c>
      <c r="AA2178" t="s">
        <v>1552</v>
      </c>
      <c r="AB2178" t="s">
        <v>106</v>
      </c>
    </row>
    <row r="2179" spans="1:28" x14ac:dyDescent="0.3">
      <c r="A2179" t="s">
        <v>1548</v>
      </c>
      <c r="B2179">
        <v>3</v>
      </c>
      <c r="C2179">
        <v>35</v>
      </c>
      <c r="D2179">
        <v>67</v>
      </c>
      <c r="E2179" t="s">
        <v>456</v>
      </c>
      <c r="F2179" s="12">
        <v>45679</v>
      </c>
      <c r="G2179" t="s">
        <v>2484</v>
      </c>
      <c r="H2179" s="12">
        <v>45679</v>
      </c>
      <c r="I2179" t="s">
        <v>2169</v>
      </c>
      <c r="J2179" t="s">
        <v>458</v>
      </c>
      <c r="K2179">
        <v>2</v>
      </c>
      <c r="L2179">
        <v>36.799999999999997</v>
      </c>
      <c r="P2179" t="s">
        <v>106</v>
      </c>
      <c r="Q2179" t="s">
        <v>106</v>
      </c>
      <c r="R2179" t="s">
        <v>106</v>
      </c>
      <c r="S2179" t="s">
        <v>1798</v>
      </c>
      <c r="T2179" t="s">
        <v>1817</v>
      </c>
      <c r="U2179" t="s">
        <v>1780</v>
      </c>
      <c r="V2179" t="s">
        <v>106</v>
      </c>
      <c r="W2179" t="s">
        <v>443</v>
      </c>
      <c r="X2179" t="s">
        <v>106</v>
      </c>
      <c r="Y2179" t="s">
        <v>108</v>
      </c>
      <c r="Z2179" t="s">
        <v>108</v>
      </c>
      <c r="AA2179" t="s">
        <v>106</v>
      </c>
      <c r="AB2179" t="s">
        <v>106</v>
      </c>
    </row>
    <row r="2180" spans="1:28" x14ac:dyDescent="0.3">
      <c r="A2180" t="s">
        <v>1548</v>
      </c>
      <c r="B2180">
        <v>3</v>
      </c>
      <c r="C2180">
        <v>35</v>
      </c>
      <c r="D2180">
        <v>68</v>
      </c>
      <c r="E2180" t="s">
        <v>456</v>
      </c>
      <c r="F2180" s="12">
        <v>45679</v>
      </c>
      <c r="G2180" t="s">
        <v>1601</v>
      </c>
      <c r="H2180" s="12">
        <v>45679</v>
      </c>
      <c r="I2180" t="s">
        <v>2169</v>
      </c>
      <c r="J2180" t="s">
        <v>458</v>
      </c>
      <c r="K2180">
        <v>2</v>
      </c>
      <c r="L2180">
        <v>37.200000000000003</v>
      </c>
      <c r="P2180" t="s">
        <v>106</v>
      </c>
      <c r="Q2180" t="s">
        <v>106</v>
      </c>
      <c r="R2180" t="s">
        <v>106</v>
      </c>
      <c r="S2180" t="s">
        <v>106</v>
      </c>
      <c r="T2180" t="s">
        <v>1004</v>
      </c>
      <c r="U2180" t="s">
        <v>1415</v>
      </c>
      <c r="V2180" t="s">
        <v>106</v>
      </c>
      <c r="W2180" t="s">
        <v>443</v>
      </c>
      <c r="X2180" t="s">
        <v>106</v>
      </c>
      <c r="Y2180" t="s">
        <v>108</v>
      </c>
      <c r="Z2180" t="s">
        <v>108</v>
      </c>
      <c r="AA2180" t="s">
        <v>106</v>
      </c>
      <c r="AB2180" t="s">
        <v>106</v>
      </c>
    </row>
    <row r="2181" spans="1:28" x14ac:dyDescent="0.3">
      <c r="A2181" t="s">
        <v>1548</v>
      </c>
      <c r="B2181">
        <v>3</v>
      </c>
      <c r="C2181">
        <v>35</v>
      </c>
      <c r="D2181">
        <v>46</v>
      </c>
      <c r="E2181" t="s">
        <v>456</v>
      </c>
      <c r="F2181" s="12">
        <v>45679</v>
      </c>
      <c r="G2181" t="s">
        <v>1437</v>
      </c>
      <c r="H2181" s="12">
        <v>45679</v>
      </c>
      <c r="I2181" t="s">
        <v>784</v>
      </c>
      <c r="J2181" t="s">
        <v>458</v>
      </c>
      <c r="L2181">
        <v>38</v>
      </c>
      <c r="P2181" t="s">
        <v>106</v>
      </c>
      <c r="Q2181" t="s">
        <v>106</v>
      </c>
      <c r="R2181" t="s">
        <v>106</v>
      </c>
      <c r="S2181" t="s">
        <v>106</v>
      </c>
      <c r="T2181" t="s">
        <v>749</v>
      </c>
      <c r="U2181" t="s">
        <v>1411</v>
      </c>
      <c r="V2181" t="s">
        <v>106</v>
      </c>
      <c r="W2181" t="s">
        <v>557</v>
      </c>
      <c r="X2181" t="s">
        <v>106</v>
      </c>
      <c r="Y2181" t="s">
        <v>108</v>
      </c>
      <c r="Z2181" t="s">
        <v>108</v>
      </c>
      <c r="AA2181" t="s">
        <v>106</v>
      </c>
      <c r="AB2181" t="s">
        <v>106</v>
      </c>
    </row>
    <row r="2182" spans="1:28" x14ac:dyDescent="0.3">
      <c r="A2182" t="s">
        <v>1512</v>
      </c>
      <c r="B2182">
        <v>3</v>
      </c>
      <c r="C2182">
        <v>35</v>
      </c>
      <c r="D2182">
        <v>150</v>
      </c>
      <c r="E2182" t="s">
        <v>456</v>
      </c>
      <c r="F2182" s="12">
        <v>45679</v>
      </c>
      <c r="G2182" t="s">
        <v>547</v>
      </c>
      <c r="H2182" s="12">
        <v>45679</v>
      </c>
      <c r="I2182" t="s">
        <v>552</v>
      </c>
      <c r="J2182" t="s">
        <v>1363</v>
      </c>
      <c r="L2182">
        <v>36.4</v>
      </c>
      <c r="P2182" t="s">
        <v>106</v>
      </c>
      <c r="Q2182" t="s">
        <v>106</v>
      </c>
      <c r="R2182" t="s">
        <v>106</v>
      </c>
      <c r="S2182" t="s">
        <v>106</v>
      </c>
      <c r="T2182" t="s">
        <v>534</v>
      </c>
      <c r="U2182" t="s">
        <v>1626</v>
      </c>
      <c r="V2182" t="s">
        <v>106</v>
      </c>
      <c r="W2182" t="s">
        <v>557</v>
      </c>
      <c r="X2182" t="s">
        <v>106</v>
      </c>
      <c r="Y2182" t="s">
        <v>108</v>
      </c>
      <c r="Z2182" t="s">
        <v>108</v>
      </c>
      <c r="AA2182" t="s">
        <v>106</v>
      </c>
      <c r="AB2182" t="s">
        <v>106</v>
      </c>
    </row>
    <row r="2183" spans="1:28" x14ac:dyDescent="0.3">
      <c r="A2183" t="s">
        <v>1548</v>
      </c>
      <c r="B2183">
        <v>4</v>
      </c>
      <c r="C2183">
        <v>60</v>
      </c>
      <c r="D2183">
        <v>70</v>
      </c>
      <c r="E2183" t="s">
        <v>456</v>
      </c>
      <c r="F2183" s="12">
        <v>45679</v>
      </c>
      <c r="G2183" t="s">
        <v>2262</v>
      </c>
      <c r="H2183" s="12">
        <v>45679</v>
      </c>
      <c r="I2183" t="s">
        <v>2169</v>
      </c>
      <c r="J2183" t="s">
        <v>458</v>
      </c>
      <c r="K2183">
        <v>2</v>
      </c>
      <c r="L2183">
        <v>58</v>
      </c>
      <c r="P2183" t="s">
        <v>106</v>
      </c>
      <c r="Q2183" t="s">
        <v>106</v>
      </c>
      <c r="R2183" t="s">
        <v>106</v>
      </c>
      <c r="S2183" t="s">
        <v>1488</v>
      </c>
      <c r="T2183" t="s">
        <v>1475</v>
      </c>
      <c r="U2183" t="s">
        <v>1410</v>
      </c>
      <c r="V2183" t="s">
        <v>106</v>
      </c>
      <c r="W2183" t="s">
        <v>443</v>
      </c>
      <c r="X2183" t="s">
        <v>106</v>
      </c>
      <c r="Y2183" t="s">
        <v>108</v>
      </c>
      <c r="Z2183" t="s">
        <v>104</v>
      </c>
      <c r="AA2183" t="s">
        <v>106</v>
      </c>
      <c r="AB2183" t="s">
        <v>106</v>
      </c>
    </row>
    <row r="2184" spans="1:28" x14ac:dyDescent="0.3">
      <c r="A2184" t="s">
        <v>1548</v>
      </c>
      <c r="B2184">
        <v>4</v>
      </c>
      <c r="C2184">
        <v>60</v>
      </c>
      <c r="D2184">
        <v>69</v>
      </c>
      <c r="E2184" t="s">
        <v>456</v>
      </c>
      <c r="F2184" s="12">
        <v>45679</v>
      </c>
      <c r="G2184" t="s">
        <v>2151</v>
      </c>
      <c r="H2184" s="12">
        <v>45679</v>
      </c>
      <c r="I2184" t="s">
        <v>2169</v>
      </c>
      <c r="J2184" t="s">
        <v>458</v>
      </c>
      <c r="K2184">
        <v>2</v>
      </c>
      <c r="L2184">
        <v>57.3</v>
      </c>
      <c r="P2184" t="s">
        <v>106</v>
      </c>
      <c r="Q2184" t="s">
        <v>106</v>
      </c>
      <c r="R2184" t="s">
        <v>106</v>
      </c>
      <c r="S2184" t="s">
        <v>106</v>
      </c>
      <c r="T2184" t="s">
        <v>1084</v>
      </c>
      <c r="U2184" t="s">
        <v>1411</v>
      </c>
      <c r="V2184" t="s">
        <v>106</v>
      </c>
      <c r="W2184" t="s">
        <v>443</v>
      </c>
      <c r="X2184" t="s">
        <v>106</v>
      </c>
      <c r="Y2184" t="s">
        <v>108</v>
      </c>
      <c r="Z2184" t="s">
        <v>104</v>
      </c>
      <c r="AA2184" t="s">
        <v>106</v>
      </c>
      <c r="AB2184" t="s">
        <v>106</v>
      </c>
    </row>
    <row r="2185" spans="1:28" x14ac:dyDescent="0.3">
      <c r="A2185" t="s">
        <v>1548</v>
      </c>
      <c r="B2185">
        <v>4</v>
      </c>
      <c r="C2185">
        <v>60</v>
      </c>
      <c r="D2185">
        <v>64</v>
      </c>
      <c r="E2185" t="s">
        <v>456</v>
      </c>
      <c r="F2185" s="12">
        <v>45679</v>
      </c>
      <c r="G2185" t="s">
        <v>2377</v>
      </c>
      <c r="H2185" s="12">
        <v>45679</v>
      </c>
      <c r="I2185" t="s">
        <v>1492</v>
      </c>
      <c r="J2185" t="s">
        <v>477</v>
      </c>
      <c r="K2185">
        <v>2</v>
      </c>
      <c r="L2185">
        <v>62.8</v>
      </c>
      <c r="P2185" t="s">
        <v>106</v>
      </c>
      <c r="Q2185" t="s">
        <v>106</v>
      </c>
      <c r="R2185" t="s">
        <v>106</v>
      </c>
      <c r="S2185" t="s">
        <v>106</v>
      </c>
      <c r="T2185" t="s">
        <v>724</v>
      </c>
      <c r="U2185" t="s">
        <v>106</v>
      </c>
      <c r="V2185" t="s">
        <v>106</v>
      </c>
      <c r="W2185" t="s">
        <v>443</v>
      </c>
      <c r="X2185" t="s">
        <v>106</v>
      </c>
      <c r="Y2185" t="s">
        <v>108</v>
      </c>
      <c r="Z2185" t="s">
        <v>104</v>
      </c>
      <c r="AA2185" t="s">
        <v>1552</v>
      </c>
      <c r="AB2185" t="s">
        <v>106</v>
      </c>
    </row>
    <row r="2186" spans="1:28" x14ac:dyDescent="0.3">
      <c r="A2186" t="s">
        <v>1548</v>
      </c>
      <c r="B2186">
        <v>4</v>
      </c>
      <c r="C2186">
        <v>60</v>
      </c>
      <c r="D2186">
        <v>63</v>
      </c>
      <c r="E2186" t="s">
        <v>456</v>
      </c>
      <c r="F2186" s="12">
        <v>45679</v>
      </c>
      <c r="G2186" t="s">
        <v>1491</v>
      </c>
      <c r="H2186" s="12">
        <v>45679</v>
      </c>
      <c r="I2186" t="s">
        <v>1492</v>
      </c>
      <c r="J2186" t="s">
        <v>477</v>
      </c>
      <c r="K2186">
        <v>2</v>
      </c>
      <c r="L2186">
        <v>61.2</v>
      </c>
      <c r="P2186" t="s">
        <v>106</v>
      </c>
      <c r="Q2186" t="s">
        <v>106</v>
      </c>
      <c r="R2186" t="s">
        <v>106</v>
      </c>
      <c r="S2186" t="s">
        <v>106</v>
      </c>
      <c r="T2186" t="s">
        <v>1217</v>
      </c>
      <c r="U2186" t="s">
        <v>106</v>
      </c>
      <c r="V2186" t="s">
        <v>106</v>
      </c>
      <c r="W2186" t="s">
        <v>443</v>
      </c>
      <c r="X2186" t="s">
        <v>106</v>
      </c>
      <c r="Y2186" t="s">
        <v>108</v>
      </c>
      <c r="Z2186" t="s">
        <v>104</v>
      </c>
      <c r="AA2186" t="s">
        <v>1552</v>
      </c>
      <c r="AB2186" t="s">
        <v>106</v>
      </c>
    </row>
    <row r="2187" spans="1:28" x14ac:dyDescent="0.3">
      <c r="A2187" t="s">
        <v>1548</v>
      </c>
      <c r="B2187">
        <v>4</v>
      </c>
      <c r="C2187">
        <v>60</v>
      </c>
      <c r="D2187">
        <v>54</v>
      </c>
      <c r="E2187" t="s">
        <v>456</v>
      </c>
      <c r="F2187" s="12">
        <v>45679</v>
      </c>
      <c r="G2187" t="s">
        <v>2045</v>
      </c>
      <c r="H2187" s="12">
        <v>45679</v>
      </c>
      <c r="I2187" t="s">
        <v>1551</v>
      </c>
      <c r="J2187" t="s">
        <v>477</v>
      </c>
      <c r="K2187">
        <v>2</v>
      </c>
      <c r="L2187">
        <v>63</v>
      </c>
      <c r="P2187" t="s">
        <v>106</v>
      </c>
      <c r="Q2187" t="s">
        <v>106</v>
      </c>
      <c r="R2187" t="s">
        <v>106</v>
      </c>
      <c r="S2187" t="s">
        <v>2109</v>
      </c>
      <c r="T2187" t="s">
        <v>937</v>
      </c>
      <c r="U2187" t="s">
        <v>1411</v>
      </c>
      <c r="V2187" t="s">
        <v>106</v>
      </c>
      <c r="W2187" t="s">
        <v>443</v>
      </c>
      <c r="X2187" t="s">
        <v>106</v>
      </c>
      <c r="Y2187" t="s">
        <v>108</v>
      </c>
      <c r="Z2187" t="s">
        <v>104</v>
      </c>
      <c r="AA2187" t="s">
        <v>1552</v>
      </c>
      <c r="AB2187" t="s">
        <v>106</v>
      </c>
    </row>
    <row r="2188" spans="1:28" x14ac:dyDescent="0.3">
      <c r="A2188" t="s">
        <v>1548</v>
      </c>
      <c r="B2188">
        <v>4</v>
      </c>
      <c r="C2188">
        <v>60</v>
      </c>
      <c r="D2188">
        <v>53</v>
      </c>
      <c r="E2188" t="s">
        <v>456</v>
      </c>
      <c r="F2188" s="12">
        <v>45679</v>
      </c>
      <c r="G2188" t="s">
        <v>2149</v>
      </c>
      <c r="H2188" s="12">
        <v>45679</v>
      </c>
      <c r="I2188" t="s">
        <v>1551</v>
      </c>
      <c r="J2188" t="s">
        <v>477</v>
      </c>
      <c r="K2188">
        <v>2</v>
      </c>
      <c r="L2188">
        <v>62.1</v>
      </c>
      <c r="P2188" t="s">
        <v>106</v>
      </c>
      <c r="Q2188" t="s">
        <v>106</v>
      </c>
      <c r="R2188" t="s">
        <v>106</v>
      </c>
      <c r="S2188" t="s">
        <v>2118</v>
      </c>
      <c r="T2188" t="s">
        <v>1558</v>
      </c>
      <c r="U2188" t="s">
        <v>429</v>
      </c>
      <c r="V2188" t="s">
        <v>106</v>
      </c>
      <c r="W2188" t="s">
        <v>443</v>
      </c>
      <c r="X2188" t="s">
        <v>106</v>
      </c>
      <c r="Y2188" t="s">
        <v>108</v>
      </c>
      <c r="Z2188" t="s">
        <v>104</v>
      </c>
      <c r="AA2188" t="s">
        <v>1552</v>
      </c>
      <c r="AB2188" t="s">
        <v>106</v>
      </c>
    </row>
    <row r="2189" spans="1:28" x14ac:dyDescent="0.3">
      <c r="A2189" t="s">
        <v>1548</v>
      </c>
      <c r="B2189">
        <v>4</v>
      </c>
      <c r="C2189">
        <v>60</v>
      </c>
      <c r="D2189">
        <v>47</v>
      </c>
      <c r="E2189" t="s">
        <v>456</v>
      </c>
      <c r="F2189" s="12">
        <v>45679</v>
      </c>
      <c r="G2189" t="s">
        <v>475</v>
      </c>
      <c r="H2189" s="12">
        <v>45679</v>
      </c>
      <c r="I2189" t="s">
        <v>784</v>
      </c>
      <c r="J2189" t="s">
        <v>458</v>
      </c>
      <c r="L2189">
        <v>58.7</v>
      </c>
      <c r="P2189" t="s">
        <v>106</v>
      </c>
      <c r="Q2189" t="s">
        <v>106</v>
      </c>
      <c r="R2189" t="s">
        <v>106</v>
      </c>
      <c r="S2189" t="s">
        <v>106</v>
      </c>
      <c r="T2189" t="s">
        <v>2729</v>
      </c>
      <c r="U2189" t="s">
        <v>430</v>
      </c>
      <c r="V2189" t="s">
        <v>106</v>
      </c>
      <c r="W2189" t="s">
        <v>557</v>
      </c>
      <c r="X2189" t="s">
        <v>106</v>
      </c>
      <c r="Y2189" t="s">
        <v>108</v>
      </c>
      <c r="Z2189" t="s">
        <v>104</v>
      </c>
      <c r="AA2189" t="s">
        <v>106</v>
      </c>
      <c r="AB2189" t="s">
        <v>106</v>
      </c>
    </row>
    <row r="2190" spans="1:28" x14ac:dyDescent="0.3">
      <c r="A2190" t="s">
        <v>1548</v>
      </c>
      <c r="B2190">
        <v>4</v>
      </c>
      <c r="C2190">
        <v>60</v>
      </c>
      <c r="D2190">
        <v>38</v>
      </c>
      <c r="E2190" t="s">
        <v>456</v>
      </c>
      <c r="F2190" s="12">
        <v>45679</v>
      </c>
      <c r="G2190" t="s">
        <v>1445</v>
      </c>
      <c r="H2190" s="12">
        <v>45679</v>
      </c>
      <c r="I2190" t="s">
        <v>322</v>
      </c>
      <c r="J2190" t="s">
        <v>458</v>
      </c>
      <c r="L2190">
        <v>58.8</v>
      </c>
      <c r="P2190" t="s">
        <v>106</v>
      </c>
      <c r="Q2190" t="s">
        <v>106</v>
      </c>
      <c r="R2190" t="s">
        <v>106</v>
      </c>
      <c r="S2190" t="s">
        <v>106</v>
      </c>
      <c r="T2190" t="s">
        <v>993</v>
      </c>
      <c r="U2190" t="s">
        <v>106</v>
      </c>
      <c r="V2190" t="s">
        <v>106</v>
      </c>
      <c r="W2190" t="s">
        <v>557</v>
      </c>
      <c r="X2190" t="s">
        <v>106</v>
      </c>
      <c r="Y2190" t="s">
        <v>108</v>
      </c>
      <c r="Z2190" t="s">
        <v>104</v>
      </c>
      <c r="AA2190" t="s">
        <v>106</v>
      </c>
      <c r="AB2190" t="s">
        <v>106</v>
      </c>
    </row>
    <row r="2191" spans="1:28" x14ac:dyDescent="0.3">
      <c r="A2191" t="s">
        <v>1548</v>
      </c>
      <c r="B2191">
        <v>4</v>
      </c>
      <c r="C2191">
        <v>60</v>
      </c>
      <c r="D2191">
        <v>37</v>
      </c>
      <c r="E2191" t="s">
        <v>456</v>
      </c>
      <c r="F2191" s="12">
        <v>45679</v>
      </c>
      <c r="G2191" t="s">
        <v>1445</v>
      </c>
      <c r="H2191" s="12">
        <v>45679</v>
      </c>
      <c r="I2191" t="s">
        <v>322</v>
      </c>
      <c r="J2191" t="s">
        <v>458</v>
      </c>
      <c r="L2191">
        <v>57.9</v>
      </c>
      <c r="P2191" t="s">
        <v>106</v>
      </c>
      <c r="Q2191" t="s">
        <v>106</v>
      </c>
      <c r="R2191" t="s">
        <v>106</v>
      </c>
      <c r="S2191" t="s">
        <v>2201</v>
      </c>
      <c r="T2191" t="s">
        <v>806</v>
      </c>
      <c r="U2191" t="s">
        <v>1418</v>
      </c>
      <c r="V2191" t="s">
        <v>106</v>
      </c>
      <c r="W2191" t="s">
        <v>557</v>
      </c>
      <c r="X2191" t="s">
        <v>106</v>
      </c>
      <c r="Y2191" t="s">
        <v>108</v>
      </c>
      <c r="Z2191" t="s">
        <v>104</v>
      </c>
      <c r="AA2191" t="s">
        <v>106</v>
      </c>
      <c r="AB2191" t="s">
        <v>106</v>
      </c>
    </row>
    <row r="2192" spans="1:28" x14ac:dyDescent="0.3">
      <c r="A2192" t="s">
        <v>1548</v>
      </c>
      <c r="B2192">
        <v>4</v>
      </c>
      <c r="C2192">
        <v>60</v>
      </c>
      <c r="D2192">
        <v>30</v>
      </c>
      <c r="E2192" t="s">
        <v>456</v>
      </c>
      <c r="F2192" s="12">
        <v>45679</v>
      </c>
      <c r="G2192" t="s">
        <v>322</v>
      </c>
      <c r="H2192" s="12">
        <v>45679</v>
      </c>
      <c r="I2192" t="s">
        <v>1562</v>
      </c>
      <c r="J2192" t="s">
        <v>1363</v>
      </c>
      <c r="L2192">
        <v>58.8</v>
      </c>
      <c r="P2192" t="s">
        <v>106</v>
      </c>
      <c r="Q2192" t="s">
        <v>106</v>
      </c>
      <c r="R2192" t="s">
        <v>106</v>
      </c>
      <c r="S2192" t="s">
        <v>1355</v>
      </c>
      <c r="T2192" t="s">
        <v>1565</v>
      </c>
      <c r="U2192" t="s">
        <v>904</v>
      </c>
      <c r="V2192" t="s">
        <v>106</v>
      </c>
      <c r="W2192" t="s">
        <v>557</v>
      </c>
      <c r="X2192" t="s">
        <v>106</v>
      </c>
      <c r="Y2192" t="s">
        <v>108</v>
      </c>
      <c r="Z2192" t="s">
        <v>104</v>
      </c>
      <c r="AA2192" t="s">
        <v>106</v>
      </c>
      <c r="AB2192" t="s">
        <v>106</v>
      </c>
    </row>
    <row r="2193" spans="1:28" x14ac:dyDescent="0.3">
      <c r="A2193" t="s">
        <v>1548</v>
      </c>
      <c r="B2193">
        <v>4</v>
      </c>
      <c r="C2193">
        <v>60</v>
      </c>
      <c r="D2193">
        <v>29</v>
      </c>
      <c r="E2193" t="s">
        <v>456</v>
      </c>
      <c r="F2193" s="12">
        <v>45679</v>
      </c>
      <c r="G2193" t="s">
        <v>321</v>
      </c>
      <c r="H2193" s="12">
        <v>45679</v>
      </c>
      <c r="I2193" t="s">
        <v>1562</v>
      </c>
      <c r="J2193" t="s">
        <v>1363</v>
      </c>
      <c r="L2193">
        <v>64</v>
      </c>
      <c r="P2193" t="s">
        <v>106</v>
      </c>
      <c r="Q2193" t="s">
        <v>106</v>
      </c>
      <c r="R2193" t="s">
        <v>106</v>
      </c>
      <c r="S2193" t="s">
        <v>106</v>
      </c>
      <c r="T2193" t="s">
        <v>934</v>
      </c>
      <c r="U2193" t="s">
        <v>708</v>
      </c>
      <c r="V2193" t="s">
        <v>106</v>
      </c>
      <c r="W2193" t="s">
        <v>557</v>
      </c>
      <c r="X2193" t="s">
        <v>106</v>
      </c>
      <c r="Y2193" t="s">
        <v>108</v>
      </c>
      <c r="Z2193" t="s">
        <v>104</v>
      </c>
      <c r="AA2193" t="s">
        <v>106</v>
      </c>
      <c r="AB2193" t="s">
        <v>106</v>
      </c>
    </row>
    <row r="2194" spans="1:28" x14ac:dyDescent="0.3">
      <c r="A2194" t="s">
        <v>1548</v>
      </c>
      <c r="B2194">
        <v>4</v>
      </c>
      <c r="C2194">
        <v>60</v>
      </c>
      <c r="D2194">
        <v>22</v>
      </c>
      <c r="E2194" t="s">
        <v>456</v>
      </c>
      <c r="F2194" s="12">
        <v>45679</v>
      </c>
      <c r="G2194" t="s">
        <v>316</v>
      </c>
      <c r="H2194" s="12">
        <v>45679</v>
      </c>
      <c r="I2194" t="s">
        <v>742</v>
      </c>
      <c r="J2194" t="s">
        <v>1363</v>
      </c>
      <c r="L2194">
        <v>60.6</v>
      </c>
      <c r="P2194" t="s">
        <v>106</v>
      </c>
      <c r="Q2194" t="s">
        <v>106</v>
      </c>
      <c r="R2194" t="s">
        <v>106</v>
      </c>
      <c r="S2194" t="s">
        <v>1494</v>
      </c>
      <c r="T2194" t="s">
        <v>828</v>
      </c>
      <c r="U2194" t="s">
        <v>144</v>
      </c>
      <c r="V2194" t="s">
        <v>106</v>
      </c>
      <c r="W2194" t="s">
        <v>557</v>
      </c>
      <c r="X2194" t="s">
        <v>106</v>
      </c>
      <c r="Y2194" t="s">
        <v>108</v>
      </c>
      <c r="Z2194" t="s">
        <v>104</v>
      </c>
      <c r="AA2194" t="s">
        <v>106</v>
      </c>
      <c r="AB2194" t="s">
        <v>106</v>
      </c>
    </row>
    <row r="2195" spans="1:28" x14ac:dyDescent="0.3">
      <c r="A2195" t="s">
        <v>1548</v>
      </c>
      <c r="B2195">
        <v>4</v>
      </c>
      <c r="C2195">
        <v>60</v>
      </c>
      <c r="D2195">
        <v>48</v>
      </c>
      <c r="E2195" t="s">
        <v>456</v>
      </c>
      <c r="F2195" s="12">
        <v>45679</v>
      </c>
      <c r="G2195" t="s">
        <v>1337</v>
      </c>
      <c r="H2195" s="12">
        <v>45679</v>
      </c>
      <c r="I2195" t="s">
        <v>784</v>
      </c>
      <c r="J2195" t="s">
        <v>458</v>
      </c>
      <c r="L2195">
        <v>59.7</v>
      </c>
      <c r="P2195" t="s">
        <v>106</v>
      </c>
      <c r="Q2195" t="s">
        <v>106</v>
      </c>
      <c r="R2195" t="s">
        <v>106</v>
      </c>
      <c r="S2195" t="s">
        <v>106</v>
      </c>
      <c r="T2195" t="s">
        <v>2729</v>
      </c>
      <c r="U2195" t="s">
        <v>106</v>
      </c>
      <c r="V2195" t="s">
        <v>106</v>
      </c>
      <c r="W2195" t="s">
        <v>557</v>
      </c>
      <c r="X2195" t="s">
        <v>106</v>
      </c>
      <c r="Y2195" t="s">
        <v>108</v>
      </c>
      <c r="Z2195" t="s">
        <v>104</v>
      </c>
      <c r="AA2195" t="s">
        <v>106</v>
      </c>
      <c r="AB2195" t="s">
        <v>106</v>
      </c>
    </row>
    <row r="2196" spans="1:28" x14ac:dyDescent="0.3">
      <c r="A2196" t="s">
        <v>1548</v>
      </c>
      <c r="B2196">
        <v>4</v>
      </c>
      <c r="C2196">
        <v>60</v>
      </c>
      <c r="D2196">
        <v>13</v>
      </c>
      <c r="E2196" t="s">
        <v>456</v>
      </c>
      <c r="F2196" s="12">
        <v>45679</v>
      </c>
      <c r="G2196" t="s">
        <v>2101</v>
      </c>
      <c r="H2196" s="12">
        <v>45679</v>
      </c>
      <c r="I2196" t="s">
        <v>1289</v>
      </c>
      <c r="J2196" t="s">
        <v>1363</v>
      </c>
      <c r="L2196">
        <v>55.5</v>
      </c>
      <c r="P2196" t="s">
        <v>106</v>
      </c>
      <c r="Q2196" t="s">
        <v>106</v>
      </c>
      <c r="R2196" t="s">
        <v>106</v>
      </c>
      <c r="S2196" t="s">
        <v>106</v>
      </c>
      <c r="T2196" t="s">
        <v>1074</v>
      </c>
      <c r="U2196" t="s">
        <v>708</v>
      </c>
      <c r="V2196" t="s">
        <v>106</v>
      </c>
      <c r="W2196" t="s">
        <v>557</v>
      </c>
      <c r="X2196" t="s">
        <v>106</v>
      </c>
      <c r="Y2196" t="s">
        <v>108</v>
      </c>
      <c r="Z2196" t="s">
        <v>104</v>
      </c>
      <c r="AA2196" t="s">
        <v>106</v>
      </c>
      <c r="AB2196" t="s">
        <v>106</v>
      </c>
    </row>
    <row r="2197" spans="1:28" x14ac:dyDescent="0.3">
      <c r="A2197" t="s">
        <v>1548</v>
      </c>
      <c r="B2197">
        <v>4</v>
      </c>
      <c r="C2197">
        <v>60</v>
      </c>
      <c r="D2197">
        <v>21</v>
      </c>
      <c r="E2197" t="s">
        <v>456</v>
      </c>
      <c r="F2197" s="12">
        <v>45679</v>
      </c>
      <c r="G2197" t="s">
        <v>396</v>
      </c>
      <c r="H2197" s="12">
        <v>45679</v>
      </c>
      <c r="I2197" t="s">
        <v>742</v>
      </c>
      <c r="J2197" t="s">
        <v>1363</v>
      </c>
      <c r="L2197">
        <v>56.7</v>
      </c>
      <c r="P2197" t="s">
        <v>106</v>
      </c>
      <c r="Q2197" t="s">
        <v>106</v>
      </c>
      <c r="R2197" t="s">
        <v>106</v>
      </c>
      <c r="S2197" t="s">
        <v>106</v>
      </c>
      <c r="T2197" t="s">
        <v>1634</v>
      </c>
      <c r="U2197" t="s">
        <v>136</v>
      </c>
      <c r="V2197" t="s">
        <v>106</v>
      </c>
      <c r="W2197" t="s">
        <v>557</v>
      </c>
      <c r="X2197" t="s">
        <v>106</v>
      </c>
      <c r="Y2197" t="s">
        <v>108</v>
      </c>
      <c r="Z2197" t="s">
        <v>104</v>
      </c>
      <c r="AA2197" t="s">
        <v>106</v>
      </c>
      <c r="AB2197" t="s">
        <v>106</v>
      </c>
    </row>
    <row r="2198" spans="1:28" x14ac:dyDescent="0.3">
      <c r="A2198" t="s">
        <v>1512</v>
      </c>
      <c r="B2198">
        <v>4</v>
      </c>
      <c r="C2198">
        <v>60</v>
      </c>
      <c r="D2198">
        <v>153</v>
      </c>
      <c r="E2198" t="s">
        <v>456</v>
      </c>
      <c r="F2198" s="12">
        <v>45679</v>
      </c>
      <c r="G2198" t="s">
        <v>1559</v>
      </c>
      <c r="H2198" s="12">
        <v>45679</v>
      </c>
      <c r="I2198" t="s">
        <v>552</v>
      </c>
      <c r="J2198" t="s">
        <v>1363</v>
      </c>
      <c r="L2198">
        <v>58.2</v>
      </c>
      <c r="P2198" t="s">
        <v>106</v>
      </c>
      <c r="Q2198" t="s">
        <v>106</v>
      </c>
      <c r="R2198" t="s">
        <v>106</v>
      </c>
      <c r="S2198" t="s">
        <v>106</v>
      </c>
      <c r="T2198" t="s">
        <v>1060</v>
      </c>
      <c r="U2198" t="s">
        <v>1736</v>
      </c>
      <c r="V2198" t="s">
        <v>106</v>
      </c>
      <c r="W2198" t="s">
        <v>557</v>
      </c>
      <c r="X2198" t="s">
        <v>106</v>
      </c>
      <c r="Y2198" t="s">
        <v>108</v>
      </c>
      <c r="Z2198" t="s">
        <v>104</v>
      </c>
      <c r="AA2198" t="s">
        <v>106</v>
      </c>
      <c r="AB2198" t="s">
        <v>106</v>
      </c>
    </row>
    <row r="2199" spans="1:28" x14ac:dyDescent="0.3">
      <c r="A2199" t="s">
        <v>1512</v>
      </c>
      <c r="B2199">
        <v>4</v>
      </c>
      <c r="C2199">
        <v>60</v>
      </c>
      <c r="D2199">
        <v>152</v>
      </c>
      <c r="E2199" t="s">
        <v>456</v>
      </c>
      <c r="F2199" s="12">
        <v>45679</v>
      </c>
      <c r="G2199" t="s">
        <v>2112</v>
      </c>
      <c r="H2199" s="12">
        <v>45679</v>
      </c>
      <c r="I2199" t="s">
        <v>552</v>
      </c>
      <c r="J2199" t="s">
        <v>1363</v>
      </c>
      <c r="L2199">
        <v>61</v>
      </c>
      <c r="P2199" t="s">
        <v>106</v>
      </c>
      <c r="Q2199" t="s">
        <v>106</v>
      </c>
      <c r="R2199" t="s">
        <v>106</v>
      </c>
      <c r="S2199" t="s">
        <v>106</v>
      </c>
      <c r="T2199" t="s">
        <v>1622</v>
      </c>
      <c r="U2199" t="s">
        <v>430</v>
      </c>
      <c r="V2199" t="s">
        <v>106</v>
      </c>
      <c r="W2199" t="s">
        <v>557</v>
      </c>
      <c r="X2199" t="s">
        <v>106</v>
      </c>
      <c r="Y2199" t="s">
        <v>108</v>
      </c>
      <c r="Z2199" t="s">
        <v>104</v>
      </c>
      <c r="AA2199" t="s">
        <v>106</v>
      </c>
      <c r="AB2199" t="s">
        <v>106</v>
      </c>
    </row>
    <row r="2200" spans="1:28" x14ac:dyDescent="0.3">
      <c r="A2200" t="s">
        <v>1548</v>
      </c>
      <c r="B2200">
        <v>4</v>
      </c>
      <c r="C2200">
        <v>60</v>
      </c>
      <c r="D2200">
        <v>14</v>
      </c>
      <c r="E2200" t="s">
        <v>456</v>
      </c>
      <c r="F2200" s="12">
        <v>45679</v>
      </c>
      <c r="G2200" t="s">
        <v>417</v>
      </c>
      <c r="H2200" s="12">
        <v>45679</v>
      </c>
      <c r="I2200" t="s">
        <v>1289</v>
      </c>
      <c r="J2200" t="s">
        <v>1363</v>
      </c>
      <c r="L2200">
        <v>56.2</v>
      </c>
      <c r="P2200" t="s">
        <v>106</v>
      </c>
      <c r="Q2200" t="s">
        <v>106</v>
      </c>
      <c r="R2200" t="s">
        <v>106</v>
      </c>
      <c r="S2200" t="s">
        <v>2152</v>
      </c>
      <c r="T2200" t="s">
        <v>1625</v>
      </c>
      <c r="U2200" t="s">
        <v>1345</v>
      </c>
      <c r="V2200" t="s">
        <v>106</v>
      </c>
      <c r="W2200" t="s">
        <v>557</v>
      </c>
      <c r="X2200" t="s">
        <v>106</v>
      </c>
      <c r="Y2200" t="s">
        <v>108</v>
      </c>
      <c r="Z2200" t="s">
        <v>104</v>
      </c>
      <c r="AA2200" t="s">
        <v>106</v>
      </c>
      <c r="AB2200" t="s">
        <v>106</v>
      </c>
    </row>
    <row r="2201" spans="1:28" x14ac:dyDescent="0.3">
      <c r="A2201" t="s">
        <v>1548</v>
      </c>
      <c r="B2201">
        <v>1</v>
      </c>
      <c r="C2201">
        <v>0</v>
      </c>
      <c r="D2201">
        <v>84</v>
      </c>
      <c r="E2201" t="s">
        <v>456</v>
      </c>
      <c r="F2201" s="12">
        <v>45680</v>
      </c>
      <c r="G2201" t="s">
        <v>592</v>
      </c>
      <c r="H2201" s="12">
        <v>45680</v>
      </c>
      <c r="I2201" t="s">
        <v>636</v>
      </c>
      <c r="J2201" t="s">
        <v>1363</v>
      </c>
      <c r="L2201">
        <v>0</v>
      </c>
      <c r="P2201" t="s">
        <v>106</v>
      </c>
      <c r="Q2201" t="s">
        <v>106</v>
      </c>
      <c r="R2201" t="s">
        <v>106</v>
      </c>
      <c r="S2201" t="s">
        <v>106</v>
      </c>
      <c r="T2201" t="s">
        <v>1569</v>
      </c>
      <c r="U2201" t="s">
        <v>106</v>
      </c>
      <c r="V2201" t="s">
        <v>106</v>
      </c>
      <c r="W2201" t="s">
        <v>557</v>
      </c>
      <c r="X2201" t="s">
        <v>106</v>
      </c>
      <c r="Y2201" t="s">
        <v>108</v>
      </c>
      <c r="Z2201" t="s">
        <v>105</v>
      </c>
      <c r="AA2201" t="s">
        <v>106</v>
      </c>
      <c r="AB2201" t="s">
        <v>106</v>
      </c>
    </row>
    <row r="2202" spans="1:28" x14ac:dyDescent="0.3">
      <c r="A2202" t="s">
        <v>1548</v>
      </c>
      <c r="B2202">
        <v>1</v>
      </c>
      <c r="C2202">
        <v>0</v>
      </c>
      <c r="D2202">
        <v>83</v>
      </c>
      <c r="E2202" t="s">
        <v>456</v>
      </c>
      <c r="F2202" s="12">
        <v>45680</v>
      </c>
      <c r="G2202" t="s">
        <v>592</v>
      </c>
      <c r="H2202" s="12">
        <v>45680</v>
      </c>
      <c r="I2202" t="s">
        <v>636</v>
      </c>
      <c r="J2202" t="s">
        <v>1363</v>
      </c>
      <c r="L2202">
        <v>0</v>
      </c>
      <c r="P2202" t="s">
        <v>106</v>
      </c>
      <c r="Q2202" t="s">
        <v>106</v>
      </c>
      <c r="R2202" t="s">
        <v>106</v>
      </c>
      <c r="S2202" t="s">
        <v>1570</v>
      </c>
      <c r="T2202" t="s">
        <v>1571</v>
      </c>
      <c r="U2202" t="s">
        <v>106</v>
      </c>
      <c r="V2202" t="s">
        <v>106</v>
      </c>
      <c r="W2202" t="s">
        <v>557</v>
      </c>
      <c r="X2202" t="s">
        <v>106</v>
      </c>
      <c r="Y2202" t="s">
        <v>108</v>
      </c>
      <c r="Z2202" t="s">
        <v>105</v>
      </c>
      <c r="AA2202" t="s">
        <v>106</v>
      </c>
      <c r="AB2202" t="s">
        <v>106</v>
      </c>
    </row>
    <row r="2203" spans="1:28" x14ac:dyDescent="0.3">
      <c r="A2203" t="s">
        <v>1548</v>
      </c>
      <c r="B2203">
        <v>1</v>
      </c>
      <c r="C2203">
        <v>0</v>
      </c>
      <c r="D2203">
        <v>91</v>
      </c>
      <c r="E2203" t="s">
        <v>456</v>
      </c>
      <c r="F2203" s="12">
        <v>45680</v>
      </c>
      <c r="G2203" t="s">
        <v>1228</v>
      </c>
      <c r="H2203" s="12">
        <v>45680</v>
      </c>
      <c r="I2203" t="s">
        <v>1518</v>
      </c>
      <c r="J2203" t="s">
        <v>1363</v>
      </c>
      <c r="L2203">
        <v>0</v>
      </c>
      <c r="P2203" t="s">
        <v>106</v>
      </c>
      <c r="Q2203" t="s">
        <v>106</v>
      </c>
      <c r="R2203" t="s">
        <v>106</v>
      </c>
      <c r="S2203" t="s">
        <v>1532</v>
      </c>
      <c r="T2203" t="s">
        <v>801</v>
      </c>
      <c r="U2203" t="s">
        <v>106</v>
      </c>
      <c r="V2203" t="s">
        <v>106</v>
      </c>
      <c r="W2203" t="s">
        <v>557</v>
      </c>
      <c r="X2203" t="s">
        <v>106</v>
      </c>
      <c r="Y2203" t="s">
        <v>108</v>
      </c>
      <c r="Z2203" t="s">
        <v>105</v>
      </c>
      <c r="AA2203" t="s">
        <v>106</v>
      </c>
      <c r="AB2203" t="s">
        <v>106</v>
      </c>
    </row>
    <row r="2204" spans="1:28" x14ac:dyDescent="0.3">
      <c r="A2204" t="s">
        <v>1548</v>
      </c>
      <c r="B2204">
        <v>1</v>
      </c>
      <c r="C2204">
        <v>0</v>
      </c>
      <c r="D2204">
        <v>92</v>
      </c>
      <c r="E2204" t="s">
        <v>456</v>
      </c>
      <c r="F2204" s="12">
        <v>45680</v>
      </c>
      <c r="G2204" t="s">
        <v>1233</v>
      </c>
      <c r="H2204" s="12">
        <v>45680</v>
      </c>
      <c r="I2204" t="s">
        <v>1518</v>
      </c>
      <c r="J2204" t="s">
        <v>1363</v>
      </c>
      <c r="L2204">
        <v>0</v>
      </c>
      <c r="P2204" t="s">
        <v>106</v>
      </c>
      <c r="Q2204" t="s">
        <v>106</v>
      </c>
      <c r="R2204" t="s">
        <v>106</v>
      </c>
      <c r="S2204" t="s">
        <v>106</v>
      </c>
      <c r="T2204" t="s">
        <v>1572</v>
      </c>
      <c r="U2204" t="s">
        <v>106</v>
      </c>
      <c r="V2204" t="s">
        <v>106</v>
      </c>
      <c r="W2204" t="s">
        <v>557</v>
      </c>
      <c r="X2204" t="s">
        <v>106</v>
      </c>
      <c r="Y2204" t="s">
        <v>108</v>
      </c>
      <c r="Z2204" t="s">
        <v>105</v>
      </c>
      <c r="AA2204" t="s">
        <v>106</v>
      </c>
      <c r="AB2204" t="s">
        <v>106</v>
      </c>
    </row>
    <row r="2205" spans="1:28" x14ac:dyDescent="0.3">
      <c r="A2205" t="s">
        <v>1548</v>
      </c>
      <c r="B2205">
        <v>1</v>
      </c>
      <c r="C2205">
        <v>0</v>
      </c>
      <c r="D2205">
        <v>99</v>
      </c>
      <c r="E2205" t="s">
        <v>456</v>
      </c>
      <c r="F2205" s="12">
        <v>45680</v>
      </c>
      <c r="G2205" t="s">
        <v>461</v>
      </c>
      <c r="H2205" s="12">
        <v>45680</v>
      </c>
      <c r="I2205" t="s">
        <v>542</v>
      </c>
      <c r="J2205" t="s">
        <v>458</v>
      </c>
      <c r="L2205">
        <v>0</v>
      </c>
      <c r="P2205" t="s">
        <v>106</v>
      </c>
      <c r="Q2205" t="s">
        <v>106</v>
      </c>
      <c r="R2205" t="s">
        <v>106</v>
      </c>
      <c r="S2205" t="s">
        <v>1404</v>
      </c>
      <c r="T2205" t="s">
        <v>1573</v>
      </c>
      <c r="U2205" t="s">
        <v>106</v>
      </c>
      <c r="V2205" t="s">
        <v>106</v>
      </c>
      <c r="W2205" t="s">
        <v>557</v>
      </c>
      <c r="X2205" t="s">
        <v>106</v>
      </c>
      <c r="Y2205" t="s">
        <v>108</v>
      </c>
      <c r="Z2205" t="s">
        <v>105</v>
      </c>
      <c r="AA2205" t="s">
        <v>106</v>
      </c>
      <c r="AB2205" t="s">
        <v>106</v>
      </c>
    </row>
    <row r="2206" spans="1:28" x14ac:dyDescent="0.3">
      <c r="A2206" t="s">
        <v>1548</v>
      </c>
      <c r="B2206">
        <v>2</v>
      </c>
      <c r="C2206">
        <v>15</v>
      </c>
      <c r="D2206">
        <v>72</v>
      </c>
      <c r="E2206" t="s">
        <v>456</v>
      </c>
      <c r="F2206" s="12">
        <v>45680</v>
      </c>
      <c r="G2206" t="s">
        <v>1189</v>
      </c>
      <c r="H2206" s="12">
        <v>45680</v>
      </c>
      <c r="I2206" t="s">
        <v>1031</v>
      </c>
      <c r="J2206" t="s">
        <v>1363</v>
      </c>
      <c r="K2206">
        <v>2</v>
      </c>
      <c r="L2206">
        <v>16</v>
      </c>
      <c r="P2206" t="s">
        <v>106</v>
      </c>
      <c r="Q2206" t="s">
        <v>106</v>
      </c>
      <c r="R2206" t="s">
        <v>106</v>
      </c>
      <c r="S2206" t="s">
        <v>106</v>
      </c>
      <c r="T2206" t="s">
        <v>1120</v>
      </c>
      <c r="U2206" t="s">
        <v>708</v>
      </c>
      <c r="V2206" t="s">
        <v>106</v>
      </c>
      <c r="W2206" t="s">
        <v>557</v>
      </c>
      <c r="X2206" t="s">
        <v>106</v>
      </c>
      <c r="Y2206" t="s">
        <v>108</v>
      </c>
      <c r="Z2206" t="s">
        <v>109</v>
      </c>
      <c r="AA2206" t="s">
        <v>1552</v>
      </c>
      <c r="AB2206" t="s">
        <v>106</v>
      </c>
    </row>
    <row r="2207" spans="1:28" x14ac:dyDescent="0.3">
      <c r="A2207" t="s">
        <v>1548</v>
      </c>
      <c r="B2207">
        <v>2</v>
      </c>
      <c r="C2207">
        <v>15</v>
      </c>
      <c r="D2207">
        <v>71</v>
      </c>
      <c r="E2207" t="s">
        <v>456</v>
      </c>
      <c r="F2207" s="12">
        <v>45680</v>
      </c>
      <c r="G2207" t="s">
        <v>1186</v>
      </c>
      <c r="H2207" s="12">
        <v>45680</v>
      </c>
      <c r="I2207" t="s">
        <v>1031</v>
      </c>
      <c r="J2207" t="s">
        <v>1363</v>
      </c>
      <c r="K2207">
        <v>2</v>
      </c>
      <c r="L2207">
        <v>15.2</v>
      </c>
      <c r="P2207" t="s">
        <v>106</v>
      </c>
      <c r="Q2207" t="s">
        <v>106</v>
      </c>
      <c r="R2207" t="s">
        <v>106</v>
      </c>
      <c r="S2207" t="s">
        <v>1506</v>
      </c>
      <c r="T2207" t="s">
        <v>1475</v>
      </c>
      <c r="U2207" t="s">
        <v>138</v>
      </c>
      <c r="V2207" t="s">
        <v>106</v>
      </c>
      <c r="W2207" t="s">
        <v>557</v>
      </c>
      <c r="X2207" t="s">
        <v>106</v>
      </c>
      <c r="Y2207" t="s">
        <v>108</v>
      </c>
      <c r="Z2207" t="s">
        <v>109</v>
      </c>
      <c r="AA2207" t="s">
        <v>1552</v>
      </c>
      <c r="AB2207" t="s">
        <v>106</v>
      </c>
    </row>
    <row r="2208" spans="1:28" x14ac:dyDescent="0.3">
      <c r="A2208" t="s">
        <v>1548</v>
      </c>
      <c r="B2208">
        <v>2</v>
      </c>
      <c r="C2208">
        <v>15</v>
      </c>
      <c r="D2208">
        <v>77</v>
      </c>
      <c r="E2208" t="s">
        <v>456</v>
      </c>
      <c r="F2208" s="12">
        <v>45680</v>
      </c>
      <c r="G2208" t="s">
        <v>363</v>
      </c>
      <c r="H2208" s="12">
        <v>45680</v>
      </c>
      <c r="I2208" t="s">
        <v>636</v>
      </c>
      <c r="J2208" t="s">
        <v>1363</v>
      </c>
      <c r="L2208">
        <v>15.4</v>
      </c>
      <c r="P2208" t="s">
        <v>106</v>
      </c>
      <c r="Q2208" t="s">
        <v>106</v>
      </c>
      <c r="R2208" t="s">
        <v>106</v>
      </c>
      <c r="S2208" t="s">
        <v>2130</v>
      </c>
      <c r="T2208" t="s">
        <v>940</v>
      </c>
      <c r="U2208" t="s">
        <v>1604</v>
      </c>
      <c r="V2208" t="s">
        <v>106</v>
      </c>
      <c r="W2208" t="s">
        <v>557</v>
      </c>
      <c r="X2208" t="s">
        <v>106</v>
      </c>
      <c r="Y2208" t="s">
        <v>108</v>
      </c>
      <c r="Z2208" t="s">
        <v>109</v>
      </c>
      <c r="AA2208" t="s">
        <v>106</v>
      </c>
      <c r="AB2208" t="s">
        <v>106</v>
      </c>
    </row>
    <row r="2209" spans="1:28" x14ac:dyDescent="0.3">
      <c r="A2209" t="s">
        <v>1548</v>
      </c>
      <c r="B2209">
        <v>2</v>
      </c>
      <c r="C2209">
        <v>15</v>
      </c>
      <c r="D2209">
        <v>78</v>
      </c>
      <c r="E2209" t="s">
        <v>456</v>
      </c>
      <c r="F2209" s="12">
        <v>45680</v>
      </c>
      <c r="G2209" t="s">
        <v>363</v>
      </c>
      <c r="H2209" s="12">
        <v>45680</v>
      </c>
      <c r="I2209" t="s">
        <v>636</v>
      </c>
      <c r="J2209" t="s">
        <v>1363</v>
      </c>
      <c r="L2209">
        <v>17</v>
      </c>
      <c r="P2209" t="s">
        <v>106</v>
      </c>
      <c r="Q2209" t="s">
        <v>106</v>
      </c>
      <c r="R2209" t="s">
        <v>106</v>
      </c>
      <c r="S2209" t="s">
        <v>106</v>
      </c>
      <c r="T2209" t="s">
        <v>1690</v>
      </c>
      <c r="U2209" t="s">
        <v>1410</v>
      </c>
      <c r="V2209" t="s">
        <v>106</v>
      </c>
      <c r="W2209" t="s">
        <v>557</v>
      </c>
      <c r="X2209" t="s">
        <v>106</v>
      </c>
      <c r="Y2209" t="s">
        <v>108</v>
      </c>
      <c r="Z2209" t="s">
        <v>109</v>
      </c>
      <c r="AA2209" t="s">
        <v>106</v>
      </c>
      <c r="AB2209" t="s">
        <v>106</v>
      </c>
    </row>
    <row r="2210" spans="1:28" x14ac:dyDescent="0.3">
      <c r="A2210" t="s">
        <v>1548</v>
      </c>
      <c r="B2210">
        <v>2</v>
      </c>
      <c r="C2210">
        <v>15</v>
      </c>
      <c r="D2210">
        <v>85</v>
      </c>
      <c r="E2210" t="s">
        <v>456</v>
      </c>
      <c r="F2210" s="12">
        <v>45680</v>
      </c>
      <c r="G2210" t="s">
        <v>718</v>
      </c>
      <c r="H2210" s="12">
        <v>45680</v>
      </c>
      <c r="I2210" t="s">
        <v>1518</v>
      </c>
      <c r="J2210" t="s">
        <v>1363</v>
      </c>
      <c r="L2210">
        <v>16</v>
      </c>
      <c r="P2210" t="s">
        <v>106</v>
      </c>
      <c r="Q2210" t="s">
        <v>106</v>
      </c>
      <c r="R2210" t="s">
        <v>106</v>
      </c>
      <c r="S2210" t="s">
        <v>1408</v>
      </c>
      <c r="T2210" t="s">
        <v>806</v>
      </c>
      <c r="U2210" t="s">
        <v>1615</v>
      </c>
      <c r="V2210" t="s">
        <v>106</v>
      </c>
      <c r="W2210" t="s">
        <v>557</v>
      </c>
      <c r="X2210" t="s">
        <v>106</v>
      </c>
      <c r="Y2210" t="s">
        <v>108</v>
      </c>
      <c r="Z2210" t="s">
        <v>109</v>
      </c>
      <c r="AA2210" t="s">
        <v>106</v>
      </c>
      <c r="AB2210" t="s">
        <v>106</v>
      </c>
    </row>
    <row r="2211" spans="1:28" x14ac:dyDescent="0.3">
      <c r="A2211" t="s">
        <v>1548</v>
      </c>
      <c r="B2211">
        <v>2</v>
      </c>
      <c r="C2211">
        <v>15</v>
      </c>
      <c r="D2211">
        <v>86</v>
      </c>
      <c r="E2211" t="s">
        <v>456</v>
      </c>
      <c r="F2211" s="12">
        <v>45680</v>
      </c>
      <c r="G2211" t="s">
        <v>718</v>
      </c>
      <c r="H2211" s="12">
        <v>45680</v>
      </c>
      <c r="I2211" t="s">
        <v>1518</v>
      </c>
      <c r="J2211" t="s">
        <v>1363</v>
      </c>
      <c r="L2211">
        <v>16.600000000000001</v>
      </c>
      <c r="P2211" t="s">
        <v>106</v>
      </c>
      <c r="Q2211" t="s">
        <v>106</v>
      </c>
      <c r="R2211" t="s">
        <v>106</v>
      </c>
      <c r="S2211" t="s">
        <v>106</v>
      </c>
      <c r="T2211" t="s">
        <v>1550</v>
      </c>
      <c r="U2211" t="s">
        <v>905</v>
      </c>
      <c r="V2211" t="s">
        <v>106</v>
      </c>
      <c r="W2211" t="s">
        <v>557</v>
      </c>
      <c r="X2211" t="s">
        <v>106</v>
      </c>
      <c r="Y2211" t="s">
        <v>108</v>
      </c>
      <c r="Z2211" t="s">
        <v>109</v>
      </c>
      <c r="AA2211" t="s">
        <v>106</v>
      </c>
      <c r="AB2211" t="s">
        <v>106</v>
      </c>
    </row>
    <row r="2212" spans="1:28" x14ac:dyDescent="0.3">
      <c r="A2212" t="s">
        <v>1548</v>
      </c>
      <c r="B2212">
        <v>2</v>
      </c>
      <c r="C2212">
        <v>15</v>
      </c>
      <c r="D2212">
        <v>100</v>
      </c>
      <c r="E2212" t="s">
        <v>456</v>
      </c>
      <c r="F2212" s="12">
        <v>45680</v>
      </c>
      <c r="G2212" t="s">
        <v>1166</v>
      </c>
      <c r="H2212" s="12">
        <v>45680</v>
      </c>
      <c r="I2212" t="s">
        <v>493</v>
      </c>
      <c r="J2212" t="s">
        <v>458</v>
      </c>
      <c r="L2212">
        <v>16</v>
      </c>
      <c r="P2212" t="s">
        <v>106</v>
      </c>
      <c r="Q2212" t="s">
        <v>106</v>
      </c>
      <c r="R2212" t="s">
        <v>106</v>
      </c>
      <c r="S2212" t="s">
        <v>106</v>
      </c>
      <c r="T2212" t="s">
        <v>1517</v>
      </c>
      <c r="U2212" t="s">
        <v>703</v>
      </c>
      <c r="V2212" t="s">
        <v>106</v>
      </c>
      <c r="W2212" t="s">
        <v>557</v>
      </c>
      <c r="X2212" t="s">
        <v>106</v>
      </c>
      <c r="Y2212" t="s">
        <v>108</v>
      </c>
      <c r="Z2212" t="s">
        <v>109</v>
      </c>
      <c r="AA2212" t="s">
        <v>106</v>
      </c>
      <c r="AB2212" t="s">
        <v>106</v>
      </c>
    </row>
    <row r="2213" spans="1:28" x14ac:dyDescent="0.3">
      <c r="A2213" t="s">
        <v>1548</v>
      </c>
      <c r="B2213">
        <v>2</v>
      </c>
      <c r="C2213">
        <v>15</v>
      </c>
      <c r="D2213">
        <v>94</v>
      </c>
      <c r="E2213" t="s">
        <v>456</v>
      </c>
      <c r="F2213" s="12">
        <v>45680</v>
      </c>
      <c r="G2213" t="s">
        <v>331</v>
      </c>
      <c r="H2213" s="12">
        <v>45680</v>
      </c>
      <c r="I2213" t="s">
        <v>542</v>
      </c>
      <c r="J2213" t="s">
        <v>458</v>
      </c>
      <c r="L2213">
        <v>15.7</v>
      </c>
      <c r="P2213" t="s">
        <v>106</v>
      </c>
      <c r="Q2213" t="s">
        <v>106</v>
      </c>
      <c r="R2213" t="s">
        <v>106</v>
      </c>
      <c r="S2213" t="s">
        <v>106</v>
      </c>
      <c r="T2213" t="s">
        <v>2171</v>
      </c>
      <c r="U2213" t="s">
        <v>395</v>
      </c>
      <c r="V2213" t="s">
        <v>106</v>
      </c>
      <c r="W2213" t="s">
        <v>557</v>
      </c>
      <c r="X2213" t="s">
        <v>106</v>
      </c>
      <c r="Y2213" t="s">
        <v>108</v>
      </c>
      <c r="Z2213" t="s">
        <v>109</v>
      </c>
      <c r="AA2213" t="s">
        <v>106</v>
      </c>
      <c r="AB2213" t="s">
        <v>106</v>
      </c>
    </row>
    <row r="2214" spans="1:28" x14ac:dyDescent="0.3">
      <c r="A2214" t="s">
        <v>1548</v>
      </c>
      <c r="B2214">
        <v>2</v>
      </c>
      <c r="C2214">
        <v>15</v>
      </c>
      <c r="D2214">
        <v>113</v>
      </c>
      <c r="E2214" t="s">
        <v>456</v>
      </c>
      <c r="F2214" s="12">
        <v>45680</v>
      </c>
      <c r="G2214" t="s">
        <v>2172</v>
      </c>
      <c r="H2214" s="12">
        <v>45680</v>
      </c>
      <c r="I2214" t="s">
        <v>1831</v>
      </c>
      <c r="J2214" t="s">
        <v>458</v>
      </c>
      <c r="L2214">
        <v>16.100000000000001</v>
      </c>
      <c r="P2214" t="s">
        <v>106</v>
      </c>
      <c r="Q2214" t="s">
        <v>106</v>
      </c>
      <c r="R2214" t="s">
        <v>106</v>
      </c>
      <c r="S2214" t="s">
        <v>106</v>
      </c>
      <c r="T2214" t="s">
        <v>776</v>
      </c>
      <c r="U2214" t="s">
        <v>395</v>
      </c>
      <c r="V2214" t="s">
        <v>106</v>
      </c>
      <c r="W2214" t="s">
        <v>954</v>
      </c>
      <c r="X2214" t="s">
        <v>106</v>
      </c>
      <c r="Y2214" t="s">
        <v>108</v>
      </c>
      <c r="Z2214" t="s">
        <v>109</v>
      </c>
      <c r="AA2214" t="s">
        <v>1552</v>
      </c>
      <c r="AB2214" t="s">
        <v>106</v>
      </c>
    </row>
    <row r="2215" spans="1:28" x14ac:dyDescent="0.3">
      <c r="A2215" t="s">
        <v>1548</v>
      </c>
      <c r="B2215">
        <v>2</v>
      </c>
      <c r="C2215">
        <v>15</v>
      </c>
      <c r="D2215">
        <v>101</v>
      </c>
      <c r="E2215" t="s">
        <v>456</v>
      </c>
      <c r="F2215" s="12">
        <v>45680</v>
      </c>
      <c r="G2215" t="s">
        <v>1437</v>
      </c>
      <c r="H2215" s="12">
        <v>45680</v>
      </c>
      <c r="I2215" t="s">
        <v>493</v>
      </c>
      <c r="J2215" t="s">
        <v>458</v>
      </c>
      <c r="L2215">
        <v>17.7</v>
      </c>
      <c r="P2215" t="s">
        <v>106</v>
      </c>
      <c r="Q2215" t="s">
        <v>106</v>
      </c>
      <c r="R2215" t="s">
        <v>106</v>
      </c>
      <c r="S2215" t="s">
        <v>792</v>
      </c>
      <c r="T2215" t="s">
        <v>2173</v>
      </c>
      <c r="U2215" t="s">
        <v>841</v>
      </c>
      <c r="V2215" t="s">
        <v>106</v>
      </c>
      <c r="W2215" t="s">
        <v>557</v>
      </c>
      <c r="X2215" t="s">
        <v>106</v>
      </c>
      <c r="Y2215" t="s">
        <v>108</v>
      </c>
      <c r="Z2215" t="s">
        <v>109</v>
      </c>
      <c r="AA2215" t="s">
        <v>106</v>
      </c>
      <c r="AB2215" t="s">
        <v>106</v>
      </c>
    </row>
    <row r="2216" spans="1:28" x14ac:dyDescent="0.3">
      <c r="A2216" t="s">
        <v>1548</v>
      </c>
      <c r="B2216">
        <v>2</v>
      </c>
      <c r="C2216">
        <v>15</v>
      </c>
      <c r="D2216">
        <v>112</v>
      </c>
      <c r="E2216" t="s">
        <v>456</v>
      </c>
      <c r="F2216" s="12">
        <v>45680</v>
      </c>
      <c r="G2216" t="s">
        <v>2056</v>
      </c>
      <c r="H2216" s="12">
        <v>45680</v>
      </c>
      <c r="I2216" t="s">
        <v>1831</v>
      </c>
      <c r="J2216" t="s">
        <v>458</v>
      </c>
      <c r="L2216">
        <v>15.5</v>
      </c>
      <c r="P2216" t="s">
        <v>106</v>
      </c>
      <c r="Q2216" t="s">
        <v>106</v>
      </c>
      <c r="R2216" t="s">
        <v>106</v>
      </c>
      <c r="S2216" t="s">
        <v>1814</v>
      </c>
      <c r="T2216" t="s">
        <v>984</v>
      </c>
      <c r="U2216" t="s">
        <v>1651</v>
      </c>
      <c r="V2216" t="s">
        <v>106</v>
      </c>
      <c r="W2216" t="s">
        <v>954</v>
      </c>
      <c r="X2216" t="s">
        <v>106</v>
      </c>
      <c r="Y2216" t="s">
        <v>108</v>
      </c>
      <c r="Z2216" t="s">
        <v>109</v>
      </c>
      <c r="AA2216" t="s">
        <v>1552</v>
      </c>
      <c r="AB2216" t="s">
        <v>106</v>
      </c>
    </row>
    <row r="2217" spans="1:28" x14ac:dyDescent="0.3">
      <c r="A2217" t="s">
        <v>1548</v>
      </c>
      <c r="B2217">
        <v>2</v>
      </c>
      <c r="C2217">
        <v>15</v>
      </c>
      <c r="D2217">
        <v>106</v>
      </c>
      <c r="E2217" t="s">
        <v>456</v>
      </c>
      <c r="F2217" s="12">
        <v>45680</v>
      </c>
      <c r="G2217" t="s">
        <v>1537</v>
      </c>
      <c r="H2217" s="12">
        <v>45680</v>
      </c>
      <c r="I2217" t="s">
        <v>1883</v>
      </c>
      <c r="J2217" t="s">
        <v>458</v>
      </c>
      <c r="L2217">
        <v>16.5</v>
      </c>
      <c r="P2217" t="s">
        <v>106</v>
      </c>
      <c r="Q2217" t="s">
        <v>106</v>
      </c>
      <c r="R2217" t="s">
        <v>106</v>
      </c>
      <c r="S2217" t="s">
        <v>1893</v>
      </c>
      <c r="T2217" t="s">
        <v>937</v>
      </c>
      <c r="U2217" t="s">
        <v>1477</v>
      </c>
      <c r="V2217" t="s">
        <v>106</v>
      </c>
      <c r="W2217" t="s">
        <v>954</v>
      </c>
      <c r="X2217" t="s">
        <v>106</v>
      </c>
      <c r="Y2217" t="s">
        <v>108</v>
      </c>
      <c r="Z2217" t="s">
        <v>109</v>
      </c>
      <c r="AA2217" t="s">
        <v>1552</v>
      </c>
      <c r="AB2217" t="s">
        <v>106</v>
      </c>
    </row>
    <row r="2218" spans="1:28" x14ac:dyDescent="0.3">
      <c r="A2218" t="s">
        <v>1548</v>
      </c>
      <c r="B2218">
        <v>2</v>
      </c>
      <c r="C2218">
        <v>15</v>
      </c>
      <c r="D2218">
        <v>107</v>
      </c>
      <c r="E2218" t="s">
        <v>456</v>
      </c>
      <c r="F2218" s="12">
        <v>45680</v>
      </c>
      <c r="G2218" t="s">
        <v>1752</v>
      </c>
      <c r="H2218" s="12">
        <v>45680</v>
      </c>
      <c r="I2218" t="s">
        <v>1883</v>
      </c>
      <c r="J2218" t="s">
        <v>458</v>
      </c>
      <c r="L2218">
        <v>16.8</v>
      </c>
      <c r="P2218" t="s">
        <v>106</v>
      </c>
      <c r="Q2218" t="s">
        <v>106</v>
      </c>
      <c r="R2218" t="s">
        <v>106</v>
      </c>
      <c r="S2218" t="s">
        <v>106</v>
      </c>
      <c r="T2218" t="s">
        <v>1006</v>
      </c>
      <c r="U2218" t="s">
        <v>1651</v>
      </c>
      <c r="V2218" t="s">
        <v>106</v>
      </c>
      <c r="W2218" t="s">
        <v>954</v>
      </c>
      <c r="X2218" t="s">
        <v>106</v>
      </c>
      <c r="Y2218" t="s">
        <v>108</v>
      </c>
      <c r="Z2218" t="s">
        <v>109</v>
      </c>
      <c r="AA2218" t="s">
        <v>1552</v>
      </c>
      <c r="AB2218" t="s">
        <v>106</v>
      </c>
    </row>
    <row r="2219" spans="1:28" x14ac:dyDescent="0.3">
      <c r="A2219" t="s">
        <v>1548</v>
      </c>
      <c r="B2219">
        <v>2</v>
      </c>
      <c r="C2219">
        <v>15</v>
      </c>
      <c r="D2219">
        <v>93</v>
      </c>
      <c r="E2219" t="s">
        <v>456</v>
      </c>
      <c r="F2219" s="12">
        <v>45680</v>
      </c>
      <c r="G2219" t="s">
        <v>331</v>
      </c>
      <c r="H2219" s="12">
        <v>45680</v>
      </c>
      <c r="I2219" t="s">
        <v>542</v>
      </c>
      <c r="J2219" t="s">
        <v>458</v>
      </c>
      <c r="L2219">
        <v>15.6</v>
      </c>
      <c r="P2219" t="s">
        <v>106</v>
      </c>
      <c r="Q2219" t="s">
        <v>106</v>
      </c>
      <c r="R2219" t="s">
        <v>106</v>
      </c>
      <c r="S2219" t="s">
        <v>1570</v>
      </c>
      <c r="T2219" t="s">
        <v>1381</v>
      </c>
      <c r="U2219" t="s">
        <v>429</v>
      </c>
      <c r="V2219" t="s">
        <v>106</v>
      </c>
      <c r="W2219" t="s">
        <v>557</v>
      </c>
      <c r="X2219" t="s">
        <v>106</v>
      </c>
      <c r="Y2219" t="s">
        <v>108</v>
      </c>
      <c r="Z2219" t="s">
        <v>109</v>
      </c>
      <c r="AA2219" t="s">
        <v>106</v>
      </c>
      <c r="AB2219" t="s">
        <v>106</v>
      </c>
    </row>
    <row r="2220" spans="1:28" x14ac:dyDescent="0.3">
      <c r="A2220" t="s">
        <v>1548</v>
      </c>
      <c r="B2220">
        <v>3</v>
      </c>
      <c r="C2220">
        <v>35</v>
      </c>
      <c r="D2220">
        <v>75</v>
      </c>
      <c r="E2220" t="s">
        <v>456</v>
      </c>
      <c r="F2220" s="12">
        <v>45680</v>
      </c>
      <c r="G2220" t="s">
        <v>847</v>
      </c>
      <c r="H2220" s="12">
        <v>45680</v>
      </c>
      <c r="I2220" t="s">
        <v>1031</v>
      </c>
      <c r="J2220" t="s">
        <v>1363</v>
      </c>
      <c r="K2220">
        <v>2</v>
      </c>
      <c r="L2220">
        <v>35.9</v>
      </c>
      <c r="P2220" t="s">
        <v>106</v>
      </c>
      <c r="Q2220" t="s">
        <v>106</v>
      </c>
      <c r="R2220" t="s">
        <v>106</v>
      </c>
      <c r="S2220" t="s">
        <v>1624</v>
      </c>
      <c r="T2220" t="s">
        <v>1959</v>
      </c>
      <c r="U2220" t="s">
        <v>141</v>
      </c>
      <c r="V2220" t="s">
        <v>106</v>
      </c>
      <c r="W2220" t="s">
        <v>557</v>
      </c>
      <c r="X2220" t="s">
        <v>106</v>
      </c>
      <c r="Y2220" t="s">
        <v>108</v>
      </c>
      <c r="Z2220" t="s">
        <v>108</v>
      </c>
      <c r="AA2220" t="s">
        <v>1552</v>
      </c>
      <c r="AB2220" t="s">
        <v>106</v>
      </c>
    </row>
    <row r="2221" spans="1:28" x14ac:dyDescent="0.3">
      <c r="A2221" t="s">
        <v>1548</v>
      </c>
      <c r="B2221">
        <v>3</v>
      </c>
      <c r="C2221">
        <v>35</v>
      </c>
      <c r="D2221">
        <v>76</v>
      </c>
      <c r="E2221" t="s">
        <v>456</v>
      </c>
      <c r="F2221" s="12">
        <v>45680</v>
      </c>
      <c r="G2221" t="s">
        <v>354</v>
      </c>
      <c r="H2221" s="12">
        <v>45680</v>
      </c>
      <c r="I2221" t="s">
        <v>1031</v>
      </c>
      <c r="J2221" t="s">
        <v>1363</v>
      </c>
      <c r="K2221">
        <v>2</v>
      </c>
      <c r="L2221">
        <v>35.200000000000003</v>
      </c>
      <c r="P2221" t="s">
        <v>106</v>
      </c>
      <c r="Q2221" t="s">
        <v>106</v>
      </c>
      <c r="R2221" t="s">
        <v>106</v>
      </c>
      <c r="S2221" t="s">
        <v>106</v>
      </c>
      <c r="T2221" t="s">
        <v>1016</v>
      </c>
      <c r="U2221" t="s">
        <v>395</v>
      </c>
      <c r="V2221" t="s">
        <v>106</v>
      </c>
      <c r="W2221" t="s">
        <v>557</v>
      </c>
      <c r="X2221" t="s">
        <v>106</v>
      </c>
      <c r="Y2221" t="s">
        <v>108</v>
      </c>
      <c r="Z2221" t="s">
        <v>108</v>
      </c>
      <c r="AA2221" t="s">
        <v>1552</v>
      </c>
      <c r="AB2221" t="s">
        <v>106</v>
      </c>
    </row>
    <row r="2222" spans="1:28" x14ac:dyDescent="0.3">
      <c r="A2222" t="s">
        <v>1548</v>
      </c>
      <c r="B2222">
        <v>3</v>
      </c>
      <c r="C2222">
        <v>35</v>
      </c>
      <c r="D2222">
        <v>81</v>
      </c>
      <c r="E2222" t="s">
        <v>456</v>
      </c>
      <c r="F2222" s="12">
        <v>45680</v>
      </c>
      <c r="G2222" t="s">
        <v>383</v>
      </c>
      <c r="H2222" s="12">
        <v>45680</v>
      </c>
      <c r="I2222" t="s">
        <v>636</v>
      </c>
      <c r="J2222" t="s">
        <v>1363</v>
      </c>
      <c r="L2222">
        <v>38.1</v>
      </c>
      <c r="P2222" t="s">
        <v>106</v>
      </c>
      <c r="Q2222" t="s">
        <v>106</v>
      </c>
      <c r="R2222" t="s">
        <v>106</v>
      </c>
      <c r="S2222" t="s">
        <v>2139</v>
      </c>
      <c r="T2222" t="s">
        <v>1585</v>
      </c>
      <c r="U2222" t="s">
        <v>427</v>
      </c>
      <c r="V2222" t="s">
        <v>106</v>
      </c>
      <c r="W2222" t="s">
        <v>557</v>
      </c>
      <c r="X2222" t="s">
        <v>106</v>
      </c>
      <c r="Y2222" t="s">
        <v>108</v>
      </c>
      <c r="Z2222" t="s">
        <v>108</v>
      </c>
      <c r="AA2222" t="s">
        <v>106</v>
      </c>
      <c r="AB2222" t="s">
        <v>106</v>
      </c>
    </row>
    <row r="2223" spans="1:28" x14ac:dyDescent="0.3">
      <c r="A2223" t="s">
        <v>1548</v>
      </c>
      <c r="B2223">
        <v>3</v>
      </c>
      <c r="C2223">
        <v>35</v>
      </c>
      <c r="D2223">
        <v>82</v>
      </c>
      <c r="E2223" t="s">
        <v>456</v>
      </c>
      <c r="F2223" s="12">
        <v>45680</v>
      </c>
      <c r="G2223" t="s">
        <v>392</v>
      </c>
      <c r="H2223" s="12">
        <v>45680</v>
      </c>
      <c r="I2223" t="s">
        <v>636</v>
      </c>
      <c r="J2223" t="s">
        <v>1363</v>
      </c>
      <c r="L2223">
        <v>38.5</v>
      </c>
      <c r="P2223" t="s">
        <v>106</v>
      </c>
      <c r="Q2223" t="s">
        <v>106</v>
      </c>
      <c r="R2223" t="s">
        <v>106</v>
      </c>
      <c r="S2223" t="s">
        <v>106</v>
      </c>
      <c r="T2223" t="s">
        <v>1550</v>
      </c>
      <c r="U2223" t="s">
        <v>430</v>
      </c>
      <c r="V2223" t="s">
        <v>106</v>
      </c>
      <c r="W2223" t="s">
        <v>557</v>
      </c>
      <c r="X2223" t="s">
        <v>106</v>
      </c>
      <c r="Y2223" t="s">
        <v>108</v>
      </c>
      <c r="Z2223" t="s">
        <v>108</v>
      </c>
      <c r="AA2223" t="s">
        <v>106</v>
      </c>
      <c r="AB2223" t="s">
        <v>106</v>
      </c>
    </row>
    <row r="2224" spans="1:28" x14ac:dyDescent="0.3">
      <c r="A2224" t="s">
        <v>1548</v>
      </c>
      <c r="B2224">
        <v>3</v>
      </c>
      <c r="C2224">
        <v>35</v>
      </c>
      <c r="D2224">
        <v>89</v>
      </c>
      <c r="E2224" t="s">
        <v>456</v>
      </c>
      <c r="F2224" s="12">
        <v>45680</v>
      </c>
      <c r="G2224" t="s">
        <v>1644</v>
      </c>
      <c r="H2224" s="12">
        <v>45680</v>
      </c>
      <c r="I2224" t="s">
        <v>1518</v>
      </c>
      <c r="J2224" t="s">
        <v>1363</v>
      </c>
      <c r="L2224">
        <v>37.5</v>
      </c>
      <c r="P2224" t="s">
        <v>106</v>
      </c>
      <c r="Q2224" t="s">
        <v>106</v>
      </c>
      <c r="R2224" t="s">
        <v>106</v>
      </c>
      <c r="S2224" t="s">
        <v>1570</v>
      </c>
      <c r="T2224" t="s">
        <v>1069</v>
      </c>
      <c r="U2224" t="s">
        <v>1351</v>
      </c>
      <c r="V2224" t="s">
        <v>106</v>
      </c>
      <c r="W2224" t="s">
        <v>557</v>
      </c>
      <c r="X2224" t="s">
        <v>106</v>
      </c>
      <c r="Y2224" t="s">
        <v>108</v>
      </c>
      <c r="Z2224" t="s">
        <v>108</v>
      </c>
      <c r="AA2224" t="s">
        <v>106</v>
      </c>
      <c r="AB2224" t="s">
        <v>106</v>
      </c>
    </row>
    <row r="2225" spans="1:28" x14ac:dyDescent="0.3">
      <c r="A2225" t="s">
        <v>1548</v>
      </c>
      <c r="B2225">
        <v>3</v>
      </c>
      <c r="C2225">
        <v>35</v>
      </c>
      <c r="D2225">
        <v>90</v>
      </c>
      <c r="E2225" t="s">
        <v>456</v>
      </c>
      <c r="F2225" s="12">
        <v>45680</v>
      </c>
      <c r="G2225" t="s">
        <v>2275</v>
      </c>
      <c r="H2225" s="12">
        <v>45680</v>
      </c>
      <c r="I2225" t="s">
        <v>1518</v>
      </c>
      <c r="J2225" t="s">
        <v>1363</v>
      </c>
      <c r="L2225">
        <v>38.4</v>
      </c>
      <c r="P2225" t="s">
        <v>106</v>
      </c>
      <c r="Q2225" t="s">
        <v>106</v>
      </c>
      <c r="R2225" t="s">
        <v>106</v>
      </c>
      <c r="S2225" t="s">
        <v>106</v>
      </c>
      <c r="T2225" t="s">
        <v>1145</v>
      </c>
      <c r="U2225" t="s">
        <v>1382</v>
      </c>
      <c r="V2225" t="s">
        <v>106</v>
      </c>
      <c r="W2225" t="s">
        <v>557</v>
      </c>
      <c r="X2225" t="s">
        <v>106</v>
      </c>
      <c r="Y2225" t="s">
        <v>108</v>
      </c>
      <c r="Z2225" t="s">
        <v>108</v>
      </c>
      <c r="AA2225" t="s">
        <v>106</v>
      </c>
      <c r="AB2225" t="s">
        <v>106</v>
      </c>
    </row>
    <row r="2226" spans="1:28" x14ac:dyDescent="0.3">
      <c r="A2226" t="s">
        <v>1548</v>
      </c>
      <c r="B2226">
        <v>3</v>
      </c>
      <c r="C2226">
        <v>35</v>
      </c>
      <c r="D2226">
        <v>97</v>
      </c>
      <c r="E2226" t="s">
        <v>456</v>
      </c>
      <c r="F2226" s="12">
        <v>45680</v>
      </c>
      <c r="G2226" t="s">
        <v>682</v>
      </c>
      <c r="H2226" s="12">
        <v>45680</v>
      </c>
      <c r="I2226" t="s">
        <v>542</v>
      </c>
      <c r="J2226" t="s">
        <v>458</v>
      </c>
      <c r="L2226">
        <v>35</v>
      </c>
      <c r="P2226" t="s">
        <v>106</v>
      </c>
      <c r="Q2226" t="s">
        <v>106</v>
      </c>
      <c r="R2226" t="s">
        <v>106</v>
      </c>
      <c r="S2226" t="s">
        <v>1535</v>
      </c>
      <c r="T2226" t="s">
        <v>1372</v>
      </c>
      <c r="U2226" t="s">
        <v>1415</v>
      </c>
      <c r="V2226" t="s">
        <v>106</v>
      </c>
      <c r="W2226" t="s">
        <v>557</v>
      </c>
      <c r="X2226" t="s">
        <v>106</v>
      </c>
      <c r="Y2226" t="s">
        <v>108</v>
      </c>
      <c r="Z2226" t="s">
        <v>108</v>
      </c>
      <c r="AA2226" t="s">
        <v>106</v>
      </c>
      <c r="AB2226" t="s">
        <v>106</v>
      </c>
    </row>
    <row r="2227" spans="1:28" x14ac:dyDescent="0.3">
      <c r="A2227" t="s">
        <v>1548</v>
      </c>
      <c r="B2227">
        <v>3</v>
      </c>
      <c r="C2227">
        <v>35</v>
      </c>
      <c r="D2227">
        <v>98</v>
      </c>
      <c r="E2227" t="s">
        <v>456</v>
      </c>
      <c r="F2227" s="12">
        <v>45680</v>
      </c>
      <c r="G2227" t="s">
        <v>706</v>
      </c>
      <c r="H2227" s="12">
        <v>45680</v>
      </c>
      <c r="I2227" t="s">
        <v>542</v>
      </c>
      <c r="J2227" t="s">
        <v>458</v>
      </c>
      <c r="L2227">
        <v>36.700000000000003</v>
      </c>
      <c r="P2227" t="s">
        <v>106</v>
      </c>
      <c r="Q2227" t="s">
        <v>106</v>
      </c>
      <c r="R2227" t="s">
        <v>106</v>
      </c>
      <c r="S2227" t="s">
        <v>106</v>
      </c>
      <c r="T2227" t="s">
        <v>1372</v>
      </c>
      <c r="U2227" t="s">
        <v>395</v>
      </c>
      <c r="V2227" t="s">
        <v>106</v>
      </c>
      <c r="W2227" t="s">
        <v>557</v>
      </c>
      <c r="X2227" t="s">
        <v>106</v>
      </c>
      <c r="Y2227" t="s">
        <v>108</v>
      </c>
      <c r="Z2227" t="s">
        <v>108</v>
      </c>
      <c r="AA2227" t="s">
        <v>106</v>
      </c>
      <c r="AB2227" t="s">
        <v>106</v>
      </c>
    </row>
    <row r="2228" spans="1:28" x14ac:dyDescent="0.3">
      <c r="A2228" t="s">
        <v>1548</v>
      </c>
      <c r="B2228">
        <v>3</v>
      </c>
      <c r="C2228">
        <v>35</v>
      </c>
      <c r="D2228">
        <v>103</v>
      </c>
      <c r="E2228" t="s">
        <v>456</v>
      </c>
      <c r="F2228" s="12">
        <v>45680</v>
      </c>
      <c r="G2228" t="s">
        <v>1169</v>
      </c>
      <c r="H2228" s="12">
        <v>45680</v>
      </c>
      <c r="I2228" t="s">
        <v>493</v>
      </c>
      <c r="J2228" t="s">
        <v>458</v>
      </c>
      <c r="L2228">
        <v>36.4</v>
      </c>
      <c r="P2228" t="s">
        <v>106</v>
      </c>
      <c r="Q2228" t="s">
        <v>106</v>
      </c>
      <c r="R2228" t="s">
        <v>106</v>
      </c>
      <c r="S2228" t="s">
        <v>2540</v>
      </c>
      <c r="T2228" t="s">
        <v>1625</v>
      </c>
      <c r="U2228" t="s">
        <v>1591</v>
      </c>
      <c r="V2228" t="s">
        <v>106</v>
      </c>
      <c r="W2228" t="s">
        <v>557</v>
      </c>
      <c r="X2228" t="s">
        <v>106</v>
      </c>
      <c r="Y2228" t="s">
        <v>108</v>
      </c>
      <c r="Z2228" t="s">
        <v>108</v>
      </c>
      <c r="AA2228" t="s">
        <v>106</v>
      </c>
      <c r="AB2228" t="s">
        <v>106</v>
      </c>
    </row>
    <row r="2229" spans="1:28" x14ac:dyDescent="0.3">
      <c r="A2229" t="s">
        <v>1548</v>
      </c>
      <c r="B2229">
        <v>3</v>
      </c>
      <c r="C2229">
        <v>35</v>
      </c>
      <c r="D2229">
        <v>108</v>
      </c>
      <c r="E2229" t="s">
        <v>456</v>
      </c>
      <c r="F2229" s="12">
        <v>45680</v>
      </c>
      <c r="G2229" t="s">
        <v>2541</v>
      </c>
      <c r="H2229" s="12">
        <v>45680</v>
      </c>
      <c r="I2229" t="s">
        <v>1883</v>
      </c>
      <c r="J2229" t="s">
        <v>458</v>
      </c>
      <c r="L2229">
        <v>36.9</v>
      </c>
      <c r="P2229" t="s">
        <v>106</v>
      </c>
      <c r="Q2229" t="s">
        <v>106</v>
      </c>
      <c r="R2229" t="s">
        <v>106</v>
      </c>
      <c r="S2229" t="s">
        <v>1320</v>
      </c>
      <c r="T2229" t="s">
        <v>1817</v>
      </c>
      <c r="U2229" t="s">
        <v>1591</v>
      </c>
      <c r="V2229" t="s">
        <v>106</v>
      </c>
      <c r="W2229" t="s">
        <v>954</v>
      </c>
      <c r="X2229" t="s">
        <v>106</v>
      </c>
      <c r="Y2229" t="s">
        <v>108</v>
      </c>
      <c r="Z2229" t="s">
        <v>108</v>
      </c>
      <c r="AA2229" t="s">
        <v>1552</v>
      </c>
      <c r="AB2229" t="s">
        <v>106</v>
      </c>
    </row>
    <row r="2230" spans="1:28" x14ac:dyDescent="0.3">
      <c r="A2230" t="s">
        <v>1548</v>
      </c>
      <c r="B2230">
        <v>3</v>
      </c>
      <c r="C2230">
        <v>35</v>
      </c>
      <c r="D2230">
        <v>109</v>
      </c>
      <c r="E2230" t="s">
        <v>456</v>
      </c>
      <c r="F2230" s="12">
        <v>45680</v>
      </c>
      <c r="G2230" t="s">
        <v>1593</v>
      </c>
      <c r="H2230" s="12">
        <v>45680</v>
      </c>
      <c r="I2230" t="s">
        <v>1883</v>
      </c>
      <c r="J2230" t="s">
        <v>458</v>
      </c>
      <c r="L2230">
        <v>38.700000000000003</v>
      </c>
      <c r="P2230" t="s">
        <v>106</v>
      </c>
      <c r="Q2230" t="s">
        <v>106</v>
      </c>
      <c r="R2230" t="s">
        <v>106</v>
      </c>
      <c r="S2230" t="s">
        <v>106</v>
      </c>
      <c r="T2230" t="s">
        <v>1063</v>
      </c>
      <c r="U2230" t="s">
        <v>1410</v>
      </c>
      <c r="V2230" t="s">
        <v>106</v>
      </c>
      <c r="W2230" t="s">
        <v>954</v>
      </c>
      <c r="X2230" t="s">
        <v>106</v>
      </c>
      <c r="Y2230" t="s">
        <v>108</v>
      </c>
      <c r="Z2230" t="s">
        <v>108</v>
      </c>
      <c r="AA2230" t="s">
        <v>1552</v>
      </c>
      <c r="AB2230" t="s">
        <v>106</v>
      </c>
    </row>
    <row r="2231" spans="1:28" x14ac:dyDescent="0.3">
      <c r="A2231" t="s">
        <v>1548</v>
      </c>
      <c r="B2231">
        <v>3</v>
      </c>
      <c r="C2231">
        <v>35</v>
      </c>
      <c r="D2231">
        <v>114</v>
      </c>
      <c r="E2231" t="s">
        <v>456</v>
      </c>
      <c r="F2231" s="12">
        <v>45680</v>
      </c>
      <c r="G2231" t="s">
        <v>1612</v>
      </c>
      <c r="H2231" s="12">
        <v>45680</v>
      </c>
      <c r="I2231" t="s">
        <v>1831</v>
      </c>
      <c r="J2231" t="s">
        <v>458</v>
      </c>
      <c r="L2231">
        <v>35.4</v>
      </c>
      <c r="P2231" t="s">
        <v>106</v>
      </c>
      <c r="Q2231" t="s">
        <v>106</v>
      </c>
      <c r="R2231" t="s">
        <v>106</v>
      </c>
      <c r="S2231" t="s">
        <v>2397</v>
      </c>
      <c r="T2231" t="s">
        <v>993</v>
      </c>
      <c r="U2231" t="s">
        <v>1415</v>
      </c>
      <c r="V2231" t="s">
        <v>106</v>
      </c>
      <c r="W2231" t="s">
        <v>954</v>
      </c>
      <c r="X2231" t="s">
        <v>106</v>
      </c>
      <c r="Y2231" t="s">
        <v>108</v>
      </c>
      <c r="Z2231" t="s">
        <v>108</v>
      </c>
      <c r="AA2231" t="s">
        <v>1552</v>
      </c>
      <c r="AB2231" t="s">
        <v>106</v>
      </c>
    </row>
    <row r="2232" spans="1:28" x14ac:dyDescent="0.3">
      <c r="A2232" t="s">
        <v>1548</v>
      </c>
      <c r="B2232">
        <v>3</v>
      </c>
      <c r="C2232">
        <v>35</v>
      </c>
      <c r="D2232">
        <v>115</v>
      </c>
      <c r="E2232" t="s">
        <v>456</v>
      </c>
      <c r="F2232" s="12">
        <v>45680</v>
      </c>
      <c r="G2232" t="s">
        <v>2542</v>
      </c>
      <c r="H2232" s="12">
        <v>45680</v>
      </c>
      <c r="I2232" t="s">
        <v>1831</v>
      </c>
      <c r="J2232" t="s">
        <v>458</v>
      </c>
      <c r="L2232">
        <v>37.4</v>
      </c>
      <c r="P2232" t="s">
        <v>106</v>
      </c>
      <c r="Q2232" t="s">
        <v>106</v>
      </c>
      <c r="R2232" t="s">
        <v>106</v>
      </c>
      <c r="S2232" t="s">
        <v>106</v>
      </c>
      <c r="T2232" t="s">
        <v>1101</v>
      </c>
      <c r="U2232" t="s">
        <v>1591</v>
      </c>
      <c r="V2232" t="s">
        <v>106</v>
      </c>
      <c r="W2232" t="s">
        <v>954</v>
      </c>
      <c r="X2232" t="s">
        <v>106</v>
      </c>
      <c r="Y2232" t="s">
        <v>108</v>
      </c>
      <c r="Z2232" t="s">
        <v>108</v>
      </c>
      <c r="AA2232" t="s">
        <v>1552</v>
      </c>
      <c r="AB2232" t="s">
        <v>106</v>
      </c>
    </row>
    <row r="2233" spans="1:28" x14ac:dyDescent="0.3">
      <c r="A2233" t="s">
        <v>1548</v>
      </c>
      <c r="B2233">
        <v>3</v>
      </c>
      <c r="C2233">
        <v>35</v>
      </c>
      <c r="D2233">
        <v>102</v>
      </c>
      <c r="E2233" t="s">
        <v>456</v>
      </c>
      <c r="F2233" s="12">
        <v>45680</v>
      </c>
      <c r="G2233" t="s">
        <v>1169</v>
      </c>
      <c r="H2233" s="12">
        <v>45680</v>
      </c>
      <c r="I2233" t="s">
        <v>493</v>
      </c>
      <c r="J2233" t="s">
        <v>458</v>
      </c>
      <c r="L2233">
        <v>34.200000000000003</v>
      </c>
      <c r="P2233" t="s">
        <v>106</v>
      </c>
      <c r="Q2233" t="s">
        <v>106</v>
      </c>
      <c r="R2233" t="s">
        <v>106</v>
      </c>
      <c r="S2233" t="s">
        <v>106</v>
      </c>
      <c r="T2233" t="s">
        <v>2543</v>
      </c>
      <c r="U2233" t="s">
        <v>1418</v>
      </c>
      <c r="V2233" t="s">
        <v>106</v>
      </c>
      <c r="W2233" t="s">
        <v>557</v>
      </c>
      <c r="X2233" t="s">
        <v>106</v>
      </c>
      <c r="Y2233" t="s">
        <v>108</v>
      </c>
      <c r="Z2233" t="s">
        <v>108</v>
      </c>
      <c r="AA2233" t="s">
        <v>106</v>
      </c>
      <c r="AB2233" t="s">
        <v>106</v>
      </c>
    </row>
    <row r="2234" spans="1:28" x14ac:dyDescent="0.3">
      <c r="A2234" t="s">
        <v>1548</v>
      </c>
      <c r="B2234">
        <v>4</v>
      </c>
      <c r="C2234">
        <v>60</v>
      </c>
      <c r="D2234">
        <v>73</v>
      </c>
      <c r="E2234" t="s">
        <v>456</v>
      </c>
      <c r="F2234" s="12">
        <v>45680</v>
      </c>
      <c r="G2234" t="s">
        <v>1194</v>
      </c>
      <c r="H2234" s="12">
        <v>45680</v>
      </c>
      <c r="I2234" t="s">
        <v>1031</v>
      </c>
      <c r="J2234" t="s">
        <v>1363</v>
      </c>
      <c r="K2234">
        <v>2</v>
      </c>
      <c r="L2234">
        <v>57.3</v>
      </c>
      <c r="P2234" t="s">
        <v>106</v>
      </c>
      <c r="Q2234" t="s">
        <v>106</v>
      </c>
      <c r="R2234" t="s">
        <v>106</v>
      </c>
      <c r="S2234" t="s">
        <v>106</v>
      </c>
      <c r="T2234" t="s">
        <v>1057</v>
      </c>
      <c r="U2234" t="s">
        <v>1345</v>
      </c>
      <c r="V2234" t="s">
        <v>106</v>
      </c>
      <c r="W2234" t="s">
        <v>557</v>
      </c>
      <c r="X2234" t="s">
        <v>106</v>
      </c>
      <c r="Y2234" t="s">
        <v>108</v>
      </c>
      <c r="Z2234" t="s">
        <v>104</v>
      </c>
      <c r="AA2234" t="s">
        <v>1552</v>
      </c>
      <c r="AB2234" t="s">
        <v>106</v>
      </c>
    </row>
    <row r="2235" spans="1:28" x14ac:dyDescent="0.3">
      <c r="A2235" t="s">
        <v>1548</v>
      </c>
      <c r="B2235">
        <v>4</v>
      </c>
      <c r="C2235">
        <v>60</v>
      </c>
      <c r="D2235">
        <v>117</v>
      </c>
      <c r="E2235" t="s">
        <v>456</v>
      </c>
      <c r="F2235" s="12">
        <v>45680</v>
      </c>
      <c r="G2235" t="s">
        <v>2730</v>
      </c>
      <c r="H2235" s="12">
        <v>45680</v>
      </c>
      <c r="I2235" t="s">
        <v>1831</v>
      </c>
      <c r="J2235" t="s">
        <v>458</v>
      </c>
      <c r="L2235">
        <v>60.2</v>
      </c>
      <c r="P2235" t="s">
        <v>106</v>
      </c>
      <c r="Q2235" t="s">
        <v>106</v>
      </c>
      <c r="R2235" t="s">
        <v>106</v>
      </c>
      <c r="S2235" t="s">
        <v>106</v>
      </c>
      <c r="T2235" t="s">
        <v>940</v>
      </c>
      <c r="U2235" t="s">
        <v>1651</v>
      </c>
      <c r="V2235" t="s">
        <v>106</v>
      </c>
      <c r="W2235" t="s">
        <v>954</v>
      </c>
      <c r="X2235" t="s">
        <v>106</v>
      </c>
      <c r="Y2235" t="s">
        <v>108</v>
      </c>
      <c r="Z2235" t="s">
        <v>104</v>
      </c>
      <c r="AA2235" t="s">
        <v>1552</v>
      </c>
      <c r="AB2235" t="s">
        <v>106</v>
      </c>
    </row>
    <row r="2236" spans="1:28" x14ac:dyDescent="0.3">
      <c r="A2236" t="s">
        <v>1548</v>
      </c>
      <c r="B2236">
        <v>4</v>
      </c>
      <c r="C2236">
        <v>60</v>
      </c>
      <c r="D2236">
        <v>104</v>
      </c>
      <c r="E2236" t="s">
        <v>456</v>
      </c>
      <c r="F2236" s="12">
        <v>45680</v>
      </c>
      <c r="G2236" t="s">
        <v>475</v>
      </c>
      <c r="H2236" s="12">
        <v>45680</v>
      </c>
      <c r="I2236" t="s">
        <v>493</v>
      </c>
      <c r="J2236" t="s">
        <v>458</v>
      </c>
      <c r="L2236">
        <v>63.1</v>
      </c>
      <c r="P2236" t="s">
        <v>106</v>
      </c>
      <c r="Q2236" t="s">
        <v>106</v>
      </c>
      <c r="R2236" t="s">
        <v>106</v>
      </c>
      <c r="S2236" t="s">
        <v>106</v>
      </c>
      <c r="T2236" t="s">
        <v>2731</v>
      </c>
      <c r="U2236" t="s">
        <v>1415</v>
      </c>
      <c r="V2236" t="s">
        <v>106</v>
      </c>
      <c r="W2236" t="s">
        <v>557</v>
      </c>
      <c r="X2236" t="s">
        <v>106</v>
      </c>
      <c r="Y2236" t="s">
        <v>108</v>
      </c>
      <c r="Z2236" t="s">
        <v>104</v>
      </c>
      <c r="AA2236" t="s">
        <v>106</v>
      </c>
      <c r="AB2236" t="s">
        <v>106</v>
      </c>
    </row>
    <row r="2237" spans="1:28" x14ac:dyDescent="0.3">
      <c r="A2237" t="s">
        <v>1548</v>
      </c>
      <c r="B2237">
        <v>4</v>
      </c>
      <c r="C2237">
        <v>60</v>
      </c>
      <c r="D2237">
        <v>79</v>
      </c>
      <c r="E2237" t="s">
        <v>456</v>
      </c>
      <c r="F2237" s="12">
        <v>45680</v>
      </c>
      <c r="G2237" t="s">
        <v>314</v>
      </c>
      <c r="H2237" s="12">
        <v>45680</v>
      </c>
      <c r="I2237" t="s">
        <v>636</v>
      </c>
      <c r="J2237" t="s">
        <v>1363</v>
      </c>
      <c r="L2237">
        <v>57.7</v>
      </c>
      <c r="P2237" t="s">
        <v>106</v>
      </c>
      <c r="Q2237" t="s">
        <v>106</v>
      </c>
      <c r="R2237" t="s">
        <v>106</v>
      </c>
      <c r="S2237" t="s">
        <v>1630</v>
      </c>
      <c r="T2237" t="s">
        <v>1564</v>
      </c>
      <c r="U2237" t="s">
        <v>1604</v>
      </c>
      <c r="V2237" t="s">
        <v>106</v>
      </c>
      <c r="W2237" t="s">
        <v>557</v>
      </c>
      <c r="X2237" t="s">
        <v>106</v>
      </c>
      <c r="Y2237" t="s">
        <v>108</v>
      </c>
      <c r="Z2237" t="s">
        <v>104</v>
      </c>
      <c r="AA2237" t="s">
        <v>106</v>
      </c>
      <c r="AB2237" t="s">
        <v>106</v>
      </c>
    </row>
    <row r="2238" spans="1:28" x14ac:dyDescent="0.3">
      <c r="A2238" t="s">
        <v>1548</v>
      </c>
      <c r="B2238">
        <v>4</v>
      </c>
      <c r="C2238">
        <v>60</v>
      </c>
      <c r="D2238">
        <v>116</v>
      </c>
      <c r="E2238" t="s">
        <v>456</v>
      </c>
      <c r="F2238" s="12">
        <v>45680</v>
      </c>
      <c r="G2238" t="s">
        <v>2730</v>
      </c>
      <c r="H2238" s="12">
        <v>45680</v>
      </c>
      <c r="I2238" t="s">
        <v>1831</v>
      </c>
      <c r="J2238" t="s">
        <v>458</v>
      </c>
      <c r="L2238">
        <v>59</v>
      </c>
      <c r="P2238" t="s">
        <v>106</v>
      </c>
      <c r="Q2238" t="s">
        <v>106</v>
      </c>
      <c r="R2238" t="s">
        <v>106</v>
      </c>
      <c r="S2238" t="s">
        <v>2370</v>
      </c>
      <c r="T2238" t="s">
        <v>1084</v>
      </c>
      <c r="U2238" t="s">
        <v>1651</v>
      </c>
      <c r="V2238" t="s">
        <v>106</v>
      </c>
      <c r="W2238" t="s">
        <v>954</v>
      </c>
      <c r="X2238" t="s">
        <v>106</v>
      </c>
      <c r="Y2238" t="s">
        <v>108</v>
      </c>
      <c r="Z2238" t="s">
        <v>104</v>
      </c>
      <c r="AA2238" t="s">
        <v>1552</v>
      </c>
      <c r="AB2238" t="s">
        <v>106</v>
      </c>
    </row>
    <row r="2239" spans="1:28" x14ac:dyDescent="0.3">
      <c r="A2239" t="s">
        <v>1548</v>
      </c>
      <c r="B2239">
        <v>4</v>
      </c>
      <c r="C2239">
        <v>60</v>
      </c>
      <c r="D2239">
        <v>74</v>
      </c>
      <c r="E2239" t="s">
        <v>456</v>
      </c>
      <c r="F2239" s="12">
        <v>45680</v>
      </c>
      <c r="G2239" t="s">
        <v>1352</v>
      </c>
      <c r="H2239" s="12">
        <v>45680</v>
      </c>
      <c r="I2239" t="s">
        <v>1031</v>
      </c>
      <c r="J2239" t="s">
        <v>1363</v>
      </c>
      <c r="K2239">
        <v>2</v>
      </c>
      <c r="L2239">
        <v>56.7</v>
      </c>
      <c r="P2239" t="s">
        <v>106</v>
      </c>
      <c r="Q2239" t="s">
        <v>106</v>
      </c>
      <c r="R2239" t="s">
        <v>106</v>
      </c>
      <c r="S2239" t="s">
        <v>1814</v>
      </c>
      <c r="T2239" t="s">
        <v>2059</v>
      </c>
      <c r="U2239" t="s">
        <v>426</v>
      </c>
      <c r="V2239" t="s">
        <v>106</v>
      </c>
      <c r="W2239" t="s">
        <v>557</v>
      </c>
      <c r="X2239" t="s">
        <v>106</v>
      </c>
      <c r="Y2239" t="s">
        <v>108</v>
      </c>
      <c r="Z2239" t="s">
        <v>104</v>
      </c>
      <c r="AA2239" t="s">
        <v>1552</v>
      </c>
      <c r="AB2239" t="s">
        <v>106</v>
      </c>
    </row>
    <row r="2240" spans="1:28" x14ac:dyDescent="0.3">
      <c r="A2240" t="s">
        <v>1548</v>
      </c>
      <c r="B2240">
        <v>4</v>
      </c>
      <c r="C2240">
        <v>60</v>
      </c>
      <c r="D2240">
        <v>111</v>
      </c>
      <c r="E2240" t="s">
        <v>456</v>
      </c>
      <c r="F2240" s="12">
        <v>45680</v>
      </c>
      <c r="G2240" t="s">
        <v>2732</v>
      </c>
      <c r="H2240" s="12">
        <v>45680</v>
      </c>
      <c r="I2240" t="s">
        <v>1883</v>
      </c>
      <c r="J2240" t="s">
        <v>458</v>
      </c>
      <c r="L2240">
        <v>60.4</v>
      </c>
      <c r="P2240" t="s">
        <v>106</v>
      </c>
      <c r="Q2240" t="s">
        <v>106</v>
      </c>
      <c r="R2240" t="s">
        <v>106</v>
      </c>
      <c r="S2240" t="s">
        <v>106</v>
      </c>
      <c r="T2240" t="s">
        <v>937</v>
      </c>
      <c r="U2240" t="s">
        <v>841</v>
      </c>
      <c r="V2240" t="s">
        <v>106</v>
      </c>
      <c r="W2240" t="s">
        <v>954</v>
      </c>
      <c r="X2240" t="s">
        <v>106</v>
      </c>
      <c r="Y2240" t="s">
        <v>108</v>
      </c>
      <c r="Z2240" t="s">
        <v>104</v>
      </c>
      <c r="AA2240" t="s">
        <v>1552</v>
      </c>
      <c r="AB2240" t="s">
        <v>106</v>
      </c>
    </row>
    <row r="2241" spans="1:28" x14ac:dyDescent="0.3">
      <c r="A2241" t="s">
        <v>1548</v>
      </c>
      <c r="B2241">
        <v>4</v>
      </c>
      <c r="C2241">
        <v>60</v>
      </c>
      <c r="D2241">
        <v>87</v>
      </c>
      <c r="E2241" t="s">
        <v>456</v>
      </c>
      <c r="F2241" s="12">
        <v>45680</v>
      </c>
      <c r="G2241" t="s">
        <v>711</v>
      </c>
      <c r="H2241" s="12">
        <v>45680</v>
      </c>
      <c r="I2241" t="s">
        <v>1518</v>
      </c>
      <c r="J2241" t="s">
        <v>1363</v>
      </c>
      <c r="L2241">
        <v>56.6</v>
      </c>
      <c r="P2241" t="s">
        <v>106</v>
      </c>
      <c r="Q2241" t="s">
        <v>106</v>
      </c>
      <c r="R2241" t="s">
        <v>106</v>
      </c>
      <c r="S2241" t="s">
        <v>1717</v>
      </c>
      <c r="T2241" t="s">
        <v>776</v>
      </c>
      <c r="U2241" t="s">
        <v>1604</v>
      </c>
      <c r="V2241" t="s">
        <v>106</v>
      </c>
      <c r="W2241" t="s">
        <v>557</v>
      </c>
      <c r="X2241" t="s">
        <v>106</v>
      </c>
      <c r="Y2241" t="s">
        <v>108</v>
      </c>
      <c r="Z2241" t="s">
        <v>104</v>
      </c>
      <c r="AA2241" t="s">
        <v>106</v>
      </c>
      <c r="AB2241" t="s">
        <v>106</v>
      </c>
    </row>
    <row r="2242" spans="1:28" x14ac:dyDescent="0.3">
      <c r="A2242" t="s">
        <v>1548</v>
      </c>
      <c r="B2242">
        <v>4</v>
      </c>
      <c r="C2242">
        <v>60</v>
      </c>
      <c r="D2242">
        <v>88</v>
      </c>
      <c r="E2242" t="s">
        <v>456</v>
      </c>
      <c r="F2242" s="12">
        <v>45680</v>
      </c>
      <c r="G2242" t="s">
        <v>710</v>
      </c>
      <c r="H2242" s="12">
        <v>45680</v>
      </c>
      <c r="I2242" t="s">
        <v>1518</v>
      </c>
      <c r="J2242" t="s">
        <v>1363</v>
      </c>
      <c r="L2242">
        <v>64.2</v>
      </c>
      <c r="P2242" t="s">
        <v>106</v>
      </c>
      <c r="Q2242" t="s">
        <v>106</v>
      </c>
      <c r="R2242" t="s">
        <v>106</v>
      </c>
      <c r="S2242" t="s">
        <v>106</v>
      </c>
      <c r="T2242" t="s">
        <v>2077</v>
      </c>
      <c r="U2242" t="s">
        <v>427</v>
      </c>
      <c r="V2242" t="s">
        <v>106</v>
      </c>
      <c r="W2242" t="s">
        <v>557</v>
      </c>
      <c r="X2242" t="s">
        <v>106</v>
      </c>
      <c r="Y2242" t="s">
        <v>108</v>
      </c>
      <c r="Z2242" t="s">
        <v>104</v>
      </c>
      <c r="AA2242" t="s">
        <v>106</v>
      </c>
      <c r="AB2242" t="s">
        <v>106</v>
      </c>
    </row>
    <row r="2243" spans="1:28" x14ac:dyDescent="0.3">
      <c r="A2243" t="s">
        <v>1548</v>
      </c>
      <c r="B2243">
        <v>4</v>
      </c>
      <c r="C2243">
        <v>60</v>
      </c>
      <c r="D2243">
        <v>110</v>
      </c>
      <c r="E2243" t="s">
        <v>456</v>
      </c>
      <c r="F2243" s="12">
        <v>45680</v>
      </c>
      <c r="G2243" t="s">
        <v>2269</v>
      </c>
      <c r="H2243" s="12">
        <v>45680</v>
      </c>
      <c r="I2243" t="s">
        <v>1883</v>
      </c>
      <c r="J2243" t="s">
        <v>458</v>
      </c>
      <c r="L2243">
        <v>60</v>
      </c>
      <c r="P2243" t="s">
        <v>106</v>
      </c>
      <c r="Q2243" t="s">
        <v>106</v>
      </c>
      <c r="R2243" t="s">
        <v>106</v>
      </c>
      <c r="S2243" t="s">
        <v>1667</v>
      </c>
      <c r="T2243" t="s">
        <v>1606</v>
      </c>
      <c r="U2243" t="s">
        <v>1411</v>
      </c>
      <c r="V2243" t="s">
        <v>106</v>
      </c>
      <c r="W2243" t="s">
        <v>954</v>
      </c>
      <c r="X2243" t="s">
        <v>106</v>
      </c>
      <c r="Y2243" t="s">
        <v>108</v>
      </c>
      <c r="Z2243" t="s">
        <v>104</v>
      </c>
      <c r="AA2243" t="s">
        <v>1552</v>
      </c>
      <c r="AB2243" t="s">
        <v>106</v>
      </c>
    </row>
    <row r="2244" spans="1:28" x14ac:dyDescent="0.3">
      <c r="A2244" t="s">
        <v>1548</v>
      </c>
      <c r="B2244">
        <v>4</v>
      </c>
      <c r="C2244">
        <v>60</v>
      </c>
      <c r="D2244">
        <v>105</v>
      </c>
      <c r="E2244" t="s">
        <v>456</v>
      </c>
      <c r="F2244" s="12">
        <v>45680</v>
      </c>
      <c r="G2244" t="s">
        <v>1337</v>
      </c>
      <c r="H2244" s="12">
        <v>45680</v>
      </c>
      <c r="I2244" t="s">
        <v>493</v>
      </c>
      <c r="J2244" t="s">
        <v>458</v>
      </c>
      <c r="L2244">
        <v>63.2</v>
      </c>
      <c r="P2244" t="s">
        <v>106</v>
      </c>
      <c r="Q2244" t="s">
        <v>106</v>
      </c>
      <c r="R2244" t="s">
        <v>106</v>
      </c>
      <c r="S2244" t="s">
        <v>2540</v>
      </c>
      <c r="T2244" t="s">
        <v>2643</v>
      </c>
      <c r="U2244" t="s">
        <v>1591</v>
      </c>
      <c r="V2244" t="s">
        <v>106</v>
      </c>
      <c r="W2244" t="s">
        <v>557</v>
      </c>
      <c r="X2244" t="s">
        <v>106</v>
      </c>
      <c r="Y2244" t="s">
        <v>108</v>
      </c>
      <c r="Z2244" t="s">
        <v>104</v>
      </c>
      <c r="AA2244" t="s">
        <v>106</v>
      </c>
      <c r="AB2244" t="s">
        <v>106</v>
      </c>
    </row>
    <row r="2245" spans="1:28" x14ac:dyDescent="0.3">
      <c r="A2245" t="s">
        <v>1548</v>
      </c>
      <c r="B2245">
        <v>4</v>
      </c>
      <c r="C2245">
        <v>60</v>
      </c>
      <c r="D2245">
        <v>95</v>
      </c>
      <c r="E2245" t="s">
        <v>456</v>
      </c>
      <c r="F2245" s="12">
        <v>45680</v>
      </c>
      <c r="G2245" t="s">
        <v>683</v>
      </c>
      <c r="H2245" s="12">
        <v>45680</v>
      </c>
      <c r="I2245" t="s">
        <v>542</v>
      </c>
      <c r="J2245" t="s">
        <v>458</v>
      </c>
      <c r="L2245">
        <v>59.2</v>
      </c>
      <c r="P2245" t="s">
        <v>106</v>
      </c>
      <c r="Q2245" t="s">
        <v>106</v>
      </c>
      <c r="R2245" t="s">
        <v>106</v>
      </c>
      <c r="S2245" t="s">
        <v>1373</v>
      </c>
      <c r="T2245" t="s">
        <v>1041</v>
      </c>
      <c r="U2245" t="s">
        <v>1345</v>
      </c>
      <c r="V2245" t="s">
        <v>106</v>
      </c>
      <c r="W2245" t="s">
        <v>557</v>
      </c>
      <c r="X2245" t="s">
        <v>106</v>
      </c>
      <c r="Y2245" t="s">
        <v>108</v>
      </c>
      <c r="Z2245" t="s">
        <v>104</v>
      </c>
      <c r="AA2245" t="s">
        <v>106</v>
      </c>
      <c r="AB2245" t="s">
        <v>106</v>
      </c>
    </row>
    <row r="2246" spans="1:28" x14ac:dyDescent="0.3">
      <c r="A2246" t="s">
        <v>1548</v>
      </c>
      <c r="B2246">
        <v>4</v>
      </c>
      <c r="C2246">
        <v>60</v>
      </c>
      <c r="D2246">
        <v>80</v>
      </c>
      <c r="E2246" t="s">
        <v>456</v>
      </c>
      <c r="F2246" s="12">
        <v>45680</v>
      </c>
      <c r="G2246" t="s">
        <v>314</v>
      </c>
      <c r="H2246" s="12">
        <v>45680</v>
      </c>
      <c r="I2246" t="s">
        <v>636</v>
      </c>
      <c r="J2246" t="s">
        <v>1363</v>
      </c>
      <c r="L2246">
        <v>63.5</v>
      </c>
      <c r="P2246" t="s">
        <v>106</v>
      </c>
      <c r="Q2246" t="s">
        <v>106</v>
      </c>
      <c r="R2246" t="s">
        <v>106</v>
      </c>
      <c r="S2246" t="s">
        <v>106</v>
      </c>
      <c r="T2246" t="s">
        <v>1650</v>
      </c>
      <c r="U2246" t="s">
        <v>141</v>
      </c>
      <c r="V2246" t="s">
        <v>106</v>
      </c>
      <c r="W2246" t="s">
        <v>557</v>
      </c>
      <c r="X2246" t="s">
        <v>106</v>
      </c>
      <c r="Y2246" t="s">
        <v>108</v>
      </c>
      <c r="Z2246" t="s">
        <v>104</v>
      </c>
      <c r="AA2246" t="s">
        <v>106</v>
      </c>
      <c r="AB2246" t="s">
        <v>106</v>
      </c>
    </row>
    <row r="2247" spans="1:28" x14ac:dyDescent="0.3">
      <c r="A2247" t="s">
        <v>1548</v>
      </c>
      <c r="B2247">
        <v>4</v>
      </c>
      <c r="C2247">
        <v>60</v>
      </c>
      <c r="D2247">
        <v>96</v>
      </c>
      <c r="E2247" t="s">
        <v>456</v>
      </c>
      <c r="F2247" s="12">
        <v>45680</v>
      </c>
      <c r="G2247" t="s">
        <v>844</v>
      </c>
      <c r="H2247" s="12">
        <v>45680</v>
      </c>
      <c r="I2247" t="s">
        <v>542</v>
      </c>
      <c r="J2247" t="s">
        <v>458</v>
      </c>
      <c r="L2247">
        <v>60.1</v>
      </c>
      <c r="P2247" t="s">
        <v>106</v>
      </c>
      <c r="Q2247" t="s">
        <v>106</v>
      </c>
      <c r="R2247" t="s">
        <v>106</v>
      </c>
      <c r="S2247" t="s">
        <v>106</v>
      </c>
      <c r="T2247" t="s">
        <v>678</v>
      </c>
      <c r="U2247" t="s">
        <v>1345</v>
      </c>
      <c r="V2247" t="s">
        <v>106</v>
      </c>
      <c r="W2247" t="s">
        <v>557</v>
      </c>
      <c r="X2247" t="s">
        <v>106</v>
      </c>
      <c r="Y2247" t="s">
        <v>108</v>
      </c>
      <c r="Z2247" t="s">
        <v>104</v>
      </c>
      <c r="AA2247" t="s">
        <v>106</v>
      </c>
      <c r="AB2247" t="s">
        <v>106</v>
      </c>
    </row>
    <row r="2248" spans="1:28" x14ac:dyDescent="0.3">
      <c r="A2248" t="s">
        <v>1548</v>
      </c>
      <c r="B2248">
        <v>1</v>
      </c>
      <c r="C2248">
        <v>0</v>
      </c>
      <c r="D2248">
        <v>125</v>
      </c>
      <c r="E2248" t="s">
        <v>456</v>
      </c>
      <c r="F2248" s="12">
        <v>45684</v>
      </c>
      <c r="G2248" t="s">
        <v>1283</v>
      </c>
      <c r="H2248" s="12">
        <v>45684</v>
      </c>
      <c r="I2248" t="s">
        <v>495</v>
      </c>
      <c r="J2248" t="s">
        <v>458</v>
      </c>
      <c r="L2248">
        <v>0</v>
      </c>
      <c r="P2248" t="s">
        <v>106</v>
      </c>
      <c r="Q2248" t="s">
        <v>106</v>
      </c>
      <c r="R2248" t="s">
        <v>106</v>
      </c>
      <c r="S2248" t="s">
        <v>106</v>
      </c>
      <c r="T2248" t="s">
        <v>1574</v>
      </c>
      <c r="U2248" t="s">
        <v>106</v>
      </c>
      <c r="V2248" t="s">
        <v>106</v>
      </c>
      <c r="W2248" t="s">
        <v>443</v>
      </c>
      <c r="X2248" t="s">
        <v>106</v>
      </c>
      <c r="Y2248" t="s">
        <v>108</v>
      </c>
      <c r="Z2248" t="s">
        <v>105</v>
      </c>
      <c r="AA2248" t="s">
        <v>106</v>
      </c>
      <c r="AB2248" t="s">
        <v>106</v>
      </c>
    </row>
    <row r="2249" spans="1:28" x14ac:dyDescent="0.3">
      <c r="A2249" t="s">
        <v>1548</v>
      </c>
      <c r="B2249">
        <v>1</v>
      </c>
      <c r="C2249">
        <v>0</v>
      </c>
      <c r="D2249">
        <v>126</v>
      </c>
      <c r="E2249" t="s">
        <v>456</v>
      </c>
      <c r="F2249" s="12">
        <v>45684</v>
      </c>
      <c r="G2249" t="s">
        <v>1575</v>
      </c>
      <c r="H2249" s="12">
        <v>45684</v>
      </c>
      <c r="I2249" t="s">
        <v>495</v>
      </c>
      <c r="J2249" t="s">
        <v>458</v>
      </c>
      <c r="L2249">
        <v>0</v>
      </c>
      <c r="P2249" t="s">
        <v>106</v>
      </c>
      <c r="Q2249" t="s">
        <v>106</v>
      </c>
      <c r="R2249" t="s">
        <v>106</v>
      </c>
      <c r="S2249" t="s">
        <v>1576</v>
      </c>
      <c r="T2249" t="s">
        <v>1364</v>
      </c>
      <c r="U2249" t="s">
        <v>106</v>
      </c>
      <c r="V2249" t="s">
        <v>106</v>
      </c>
      <c r="W2249" t="s">
        <v>443</v>
      </c>
      <c r="X2249" t="s">
        <v>106</v>
      </c>
      <c r="Y2249" t="s">
        <v>108</v>
      </c>
      <c r="Z2249" t="s">
        <v>105</v>
      </c>
      <c r="AA2249" t="s">
        <v>106</v>
      </c>
      <c r="AB2249" t="s">
        <v>106</v>
      </c>
    </row>
    <row r="2250" spans="1:28" x14ac:dyDescent="0.3">
      <c r="A2250" t="s">
        <v>1548</v>
      </c>
      <c r="B2250">
        <v>2</v>
      </c>
      <c r="C2250">
        <v>15</v>
      </c>
      <c r="D2250">
        <v>146</v>
      </c>
      <c r="E2250" t="s">
        <v>456</v>
      </c>
      <c r="F2250" s="12">
        <v>45684</v>
      </c>
      <c r="G2250" t="s">
        <v>2090</v>
      </c>
      <c r="H2250" s="12">
        <v>45684</v>
      </c>
      <c r="I2250" t="s">
        <v>1755</v>
      </c>
      <c r="J2250" t="s">
        <v>2174</v>
      </c>
      <c r="K2250">
        <v>2</v>
      </c>
      <c r="L2250">
        <v>17.5</v>
      </c>
      <c r="P2250" t="s">
        <v>106</v>
      </c>
      <c r="Q2250" t="s">
        <v>106</v>
      </c>
      <c r="R2250" t="s">
        <v>106</v>
      </c>
      <c r="S2250" t="s">
        <v>106</v>
      </c>
      <c r="T2250" t="s">
        <v>1155</v>
      </c>
      <c r="U2250" t="s">
        <v>1410</v>
      </c>
      <c r="V2250" t="s">
        <v>106</v>
      </c>
      <c r="W2250" t="s">
        <v>954</v>
      </c>
      <c r="X2250" t="s">
        <v>106</v>
      </c>
      <c r="Y2250" t="s">
        <v>108</v>
      </c>
      <c r="Z2250" t="s">
        <v>109</v>
      </c>
      <c r="AA2250" t="s">
        <v>1581</v>
      </c>
      <c r="AB2250" t="s">
        <v>106</v>
      </c>
    </row>
    <row r="2251" spans="1:28" x14ac:dyDescent="0.3">
      <c r="A2251" t="s">
        <v>1548</v>
      </c>
      <c r="B2251">
        <v>2</v>
      </c>
      <c r="C2251">
        <v>15</v>
      </c>
      <c r="D2251">
        <v>145</v>
      </c>
      <c r="E2251" t="s">
        <v>456</v>
      </c>
      <c r="F2251" s="12">
        <v>45684</v>
      </c>
      <c r="G2251" t="s">
        <v>2090</v>
      </c>
      <c r="H2251" s="12">
        <v>45684</v>
      </c>
      <c r="I2251" t="s">
        <v>1755</v>
      </c>
      <c r="J2251" t="s">
        <v>2174</v>
      </c>
      <c r="K2251">
        <v>2</v>
      </c>
      <c r="L2251">
        <v>16.899999999999999</v>
      </c>
      <c r="P2251" t="s">
        <v>106</v>
      </c>
      <c r="Q2251" t="s">
        <v>106</v>
      </c>
      <c r="R2251" t="s">
        <v>106</v>
      </c>
      <c r="S2251" t="s">
        <v>106</v>
      </c>
      <c r="T2251" t="s">
        <v>875</v>
      </c>
      <c r="U2251" t="s">
        <v>1410</v>
      </c>
      <c r="V2251" t="s">
        <v>106</v>
      </c>
      <c r="W2251" t="s">
        <v>954</v>
      </c>
      <c r="X2251" t="s">
        <v>106</v>
      </c>
      <c r="Y2251" t="s">
        <v>108</v>
      </c>
      <c r="Z2251" t="s">
        <v>109</v>
      </c>
      <c r="AA2251" t="s">
        <v>1581</v>
      </c>
      <c r="AB2251" t="s">
        <v>106</v>
      </c>
    </row>
    <row r="2252" spans="1:28" x14ac:dyDescent="0.3">
      <c r="A2252" t="s">
        <v>1548</v>
      </c>
      <c r="B2252">
        <v>2</v>
      </c>
      <c r="C2252">
        <v>15</v>
      </c>
      <c r="D2252">
        <v>139</v>
      </c>
      <c r="E2252" t="s">
        <v>456</v>
      </c>
      <c r="F2252" s="12">
        <v>45684</v>
      </c>
      <c r="G2252" t="s">
        <v>2175</v>
      </c>
      <c r="H2252" s="12">
        <v>45684</v>
      </c>
      <c r="I2252" t="s">
        <v>807</v>
      </c>
      <c r="J2252" t="s">
        <v>2174</v>
      </c>
      <c r="K2252">
        <v>2</v>
      </c>
      <c r="L2252">
        <v>16.899999999999999</v>
      </c>
      <c r="P2252" t="s">
        <v>106</v>
      </c>
      <c r="Q2252" t="s">
        <v>106</v>
      </c>
      <c r="R2252" t="s">
        <v>106</v>
      </c>
      <c r="S2252" t="s">
        <v>1735</v>
      </c>
      <c r="T2252" t="s">
        <v>609</v>
      </c>
      <c r="U2252" t="s">
        <v>1591</v>
      </c>
      <c r="V2252" t="s">
        <v>106</v>
      </c>
      <c r="W2252" t="s">
        <v>954</v>
      </c>
      <c r="X2252" t="s">
        <v>106</v>
      </c>
      <c r="Y2252" t="s">
        <v>108</v>
      </c>
      <c r="Z2252" t="s">
        <v>109</v>
      </c>
      <c r="AA2252" t="s">
        <v>1581</v>
      </c>
      <c r="AB2252" t="s">
        <v>106</v>
      </c>
    </row>
    <row r="2253" spans="1:28" x14ac:dyDescent="0.3">
      <c r="A2253" t="s">
        <v>1548</v>
      </c>
      <c r="B2253">
        <v>2</v>
      </c>
      <c r="C2253">
        <v>15</v>
      </c>
      <c r="D2253">
        <v>134</v>
      </c>
      <c r="E2253" t="s">
        <v>456</v>
      </c>
      <c r="F2253" s="12">
        <v>45684</v>
      </c>
      <c r="G2253" t="s">
        <v>2176</v>
      </c>
      <c r="H2253" s="12">
        <v>45684</v>
      </c>
      <c r="I2253" t="s">
        <v>1160</v>
      </c>
      <c r="J2253" t="s">
        <v>2174</v>
      </c>
      <c r="K2253">
        <v>2</v>
      </c>
      <c r="L2253">
        <v>14.4</v>
      </c>
      <c r="P2253" t="s">
        <v>106</v>
      </c>
      <c r="Q2253" t="s">
        <v>106</v>
      </c>
      <c r="R2253" t="s">
        <v>106</v>
      </c>
      <c r="S2253" t="s">
        <v>2177</v>
      </c>
      <c r="T2253" t="s">
        <v>1449</v>
      </c>
      <c r="U2253" t="s">
        <v>1345</v>
      </c>
      <c r="V2253" t="s">
        <v>106</v>
      </c>
      <c r="W2253" t="s">
        <v>954</v>
      </c>
      <c r="X2253" t="s">
        <v>106</v>
      </c>
      <c r="Y2253" t="s">
        <v>108</v>
      </c>
      <c r="Z2253" t="s">
        <v>109</v>
      </c>
      <c r="AA2253" t="s">
        <v>1581</v>
      </c>
      <c r="AB2253" t="s">
        <v>106</v>
      </c>
    </row>
    <row r="2254" spans="1:28" x14ac:dyDescent="0.3">
      <c r="A2254" t="s">
        <v>1548</v>
      </c>
      <c r="B2254">
        <v>2</v>
      </c>
      <c r="C2254">
        <v>15</v>
      </c>
      <c r="D2254">
        <v>133</v>
      </c>
      <c r="E2254" t="s">
        <v>456</v>
      </c>
      <c r="F2254" s="12">
        <v>45684</v>
      </c>
      <c r="G2254" t="s">
        <v>2178</v>
      </c>
      <c r="H2254" s="12">
        <v>45684</v>
      </c>
      <c r="I2254" t="s">
        <v>1160</v>
      </c>
      <c r="J2254" t="s">
        <v>2174</v>
      </c>
      <c r="K2254">
        <v>2</v>
      </c>
      <c r="L2254">
        <v>15.6</v>
      </c>
      <c r="P2254" t="s">
        <v>106</v>
      </c>
      <c r="Q2254" t="s">
        <v>106</v>
      </c>
      <c r="R2254" t="s">
        <v>106</v>
      </c>
      <c r="S2254" t="s">
        <v>106</v>
      </c>
      <c r="T2254" t="s">
        <v>756</v>
      </c>
      <c r="U2254" t="s">
        <v>1651</v>
      </c>
      <c r="V2254" t="s">
        <v>106</v>
      </c>
      <c r="W2254" t="s">
        <v>954</v>
      </c>
      <c r="X2254" t="s">
        <v>106</v>
      </c>
      <c r="Y2254" t="s">
        <v>108</v>
      </c>
      <c r="Z2254" t="s">
        <v>109</v>
      </c>
      <c r="AA2254" t="s">
        <v>1581</v>
      </c>
      <c r="AB2254" t="s">
        <v>106</v>
      </c>
    </row>
    <row r="2255" spans="1:28" x14ac:dyDescent="0.3">
      <c r="A2255" t="s">
        <v>1548</v>
      </c>
      <c r="B2255">
        <v>2</v>
      </c>
      <c r="C2255">
        <v>15</v>
      </c>
      <c r="D2255">
        <v>128</v>
      </c>
      <c r="E2255" t="s">
        <v>456</v>
      </c>
      <c r="F2255" s="12">
        <v>45684</v>
      </c>
      <c r="G2255" t="s">
        <v>494</v>
      </c>
      <c r="H2255" s="12">
        <v>45684</v>
      </c>
      <c r="I2255" t="s">
        <v>338</v>
      </c>
      <c r="J2255" t="s">
        <v>1363</v>
      </c>
      <c r="L2255">
        <v>16.3</v>
      </c>
      <c r="P2255" t="s">
        <v>106</v>
      </c>
      <c r="Q2255" t="s">
        <v>106</v>
      </c>
      <c r="R2255" t="s">
        <v>106</v>
      </c>
      <c r="S2255" t="s">
        <v>2179</v>
      </c>
      <c r="T2255" t="s">
        <v>639</v>
      </c>
      <c r="U2255" t="s">
        <v>141</v>
      </c>
      <c r="V2255" t="s">
        <v>106</v>
      </c>
      <c r="W2255" t="s">
        <v>557</v>
      </c>
      <c r="X2255" t="s">
        <v>106</v>
      </c>
      <c r="Y2255" t="s">
        <v>108</v>
      </c>
      <c r="Z2255" t="s">
        <v>109</v>
      </c>
      <c r="AA2255" t="s">
        <v>106</v>
      </c>
      <c r="AB2255" t="s">
        <v>106</v>
      </c>
    </row>
    <row r="2256" spans="1:28" x14ac:dyDescent="0.3">
      <c r="A2256" t="s">
        <v>1548</v>
      </c>
      <c r="B2256">
        <v>2</v>
      </c>
      <c r="C2256">
        <v>15</v>
      </c>
      <c r="D2256">
        <v>119</v>
      </c>
      <c r="E2256" t="s">
        <v>456</v>
      </c>
      <c r="F2256" s="12">
        <v>45684</v>
      </c>
      <c r="G2256" t="s">
        <v>1577</v>
      </c>
      <c r="H2256" s="12">
        <v>45684</v>
      </c>
      <c r="I2256" t="s">
        <v>495</v>
      </c>
      <c r="J2256" t="s">
        <v>458</v>
      </c>
      <c r="L2256">
        <v>17.7</v>
      </c>
      <c r="P2256" t="s">
        <v>106</v>
      </c>
      <c r="Q2256" t="s">
        <v>106</v>
      </c>
      <c r="R2256" t="s">
        <v>106</v>
      </c>
      <c r="S2256" t="s">
        <v>106</v>
      </c>
      <c r="T2256" t="s">
        <v>2180</v>
      </c>
      <c r="U2256" t="s">
        <v>106</v>
      </c>
      <c r="V2256" t="s">
        <v>106</v>
      </c>
      <c r="W2256" t="s">
        <v>443</v>
      </c>
      <c r="X2256" t="s">
        <v>106</v>
      </c>
      <c r="Y2256" t="s">
        <v>108</v>
      </c>
      <c r="Z2256" t="s">
        <v>109</v>
      </c>
      <c r="AA2256" t="s">
        <v>106</v>
      </c>
      <c r="AB2256" t="s">
        <v>106</v>
      </c>
    </row>
    <row r="2257" spans="1:28" x14ac:dyDescent="0.3">
      <c r="A2257" t="s">
        <v>1548</v>
      </c>
      <c r="B2257">
        <v>2</v>
      </c>
      <c r="C2257">
        <v>15</v>
      </c>
      <c r="D2257">
        <v>127</v>
      </c>
      <c r="E2257" t="s">
        <v>456</v>
      </c>
      <c r="F2257" s="12">
        <v>45684</v>
      </c>
      <c r="G2257" t="s">
        <v>582</v>
      </c>
      <c r="H2257" s="12">
        <v>45684</v>
      </c>
      <c r="I2257" t="s">
        <v>338</v>
      </c>
      <c r="J2257" t="s">
        <v>1363</v>
      </c>
      <c r="L2257">
        <v>15.8</v>
      </c>
      <c r="P2257" t="s">
        <v>106</v>
      </c>
      <c r="Q2257" t="s">
        <v>106</v>
      </c>
      <c r="R2257" t="s">
        <v>106</v>
      </c>
      <c r="S2257" t="s">
        <v>106</v>
      </c>
      <c r="T2257" t="s">
        <v>2181</v>
      </c>
      <c r="U2257" t="s">
        <v>1418</v>
      </c>
      <c r="V2257" t="s">
        <v>106</v>
      </c>
      <c r="W2257" t="s">
        <v>557</v>
      </c>
      <c r="X2257" t="s">
        <v>106</v>
      </c>
      <c r="Y2257" t="s">
        <v>108</v>
      </c>
      <c r="Z2257" t="s">
        <v>109</v>
      </c>
      <c r="AA2257" t="s">
        <v>106</v>
      </c>
      <c r="AB2257" t="s">
        <v>106</v>
      </c>
    </row>
    <row r="2258" spans="1:28" x14ac:dyDescent="0.3">
      <c r="A2258" t="s">
        <v>1548</v>
      </c>
      <c r="B2258">
        <v>2</v>
      </c>
      <c r="C2258">
        <v>15</v>
      </c>
      <c r="D2258">
        <v>140</v>
      </c>
      <c r="E2258" t="s">
        <v>456</v>
      </c>
      <c r="F2258" s="12">
        <v>45684</v>
      </c>
      <c r="G2258" t="s">
        <v>950</v>
      </c>
      <c r="H2258" s="12">
        <v>45684</v>
      </c>
      <c r="I2258" t="s">
        <v>807</v>
      </c>
      <c r="J2258" t="s">
        <v>2174</v>
      </c>
      <c r="K2258">
        <v>2</v>
      </c>
      <c r="L2258">
        <v>16.899999999999999</v>
      </c>
      <c r="P2258" t="s">
        <v>106</v>
      </c>
      <c r="Q2258" t="s">
        <v>106</v>
      </c>
      <c r="R2258" t="s">
        <v>106</v>
      </c>
      <c r="S2258" t="s">
        <v>106</v>
      </c>
      <c r="T2258" t="s">
        <v>1141</v>
      </c>
      <c r="U2258" t="s">
        <v>1651</v>
      </c>
      <c r="V2258" t="s">
        <v>106</v>
      </c>
      <c r="W2258" t="s">
        <v>954</v>
      </c>
      <c r="X2258" t="s">
        <v>106</v>
      </c>
      <c r="Y2258" t="s">
        <v>108</v>
      </c>
      <c r="Z2258" t="s">
        <v>109</v>
      </c>
      <c r="AA2258" t="s">
        <v>1581</v>
      </c>
      <c r="AB2258" t="s">
        <v>106</v>
      </c>
    </row>
    <row r="2259" spans="1:28" x14ac:dyDescent="0.3">
      <c r="A2259" t="s">
        <v>1548</v>
      </c>
      <c r="B2259">
        <v>2</v>
      </c>
      <c r="C2259">
        <v>15</v>
      </c>
      <c r="D2259">
        <v>118</v>
      </c>
      <c r="E2259" t="s">
        <v>456</v>
      </c>
      <c r="F2259" s="12">
        <v>45684</v>
      </c>
      <c r="G2259" t="s">
        <v>2182</v>
      </c>
      <c r="H2259" s="12">
        <v>45684</v>
      </c>
      <c r="I2259" t="s">
        <v>495</v>
      </c>
      <c r="J2259" t="s">
        <v>458</v>
      </c>
      <c r="L2259">
        <v>17.600000000000001</v>
      </c>
      <c r="P2259" t="s">
        <v>106</v>
      </c>
      <c r="Q2259" t="s">
        <v>106</v>
      </c>
      <c r="R2259" t="s">
        <v>106</v>
      </c>
      <c r="S2259" t="s">
        <v>106</v>
      </c>
      <c r="T2259" t="s">
        <v>882</v>
      </c>
      <c r="U2259" t="s">
        <v>106</v>
      </c>
      <c r="V2259" t="s">
        <v>106</v>
      </c>
      <c r="W2259" t="s">
        <v>443</v>
      </c>
      <c r="X2259" t="s">
        <v>106</v>
      </c>
      <c r="Y2259" t="s">
        <v>108</v>
      </c>
      <c r="Z2259" t="s">
        <v>109</v>
      </c>
      <c r="AA2259" t="s">
        <v>106</v>
      </c>
      <c r="AB2259" t="s">
        <v>106</v>
      </c>
    </row>
    <row r="2260" spans="1:28" x14ac:dyDescent="0.3">
      <c r="A2260" t="s">
        <v>1548</v>
      </c>
      <c r="B2260">
        <v>3</v>
      </c>
      <c r="C2260">
        <v>35</v>
      </c>
      <c r="D2260">
        <v>147</v>
      </c>
      <c r="E2260" t="s">
        <v>456</v>
      </c>
      <c r="F2260" s="12">
        <v>45684</v>
      </c>
      <c r="G2260" t="s">
        <v>2544</v>
      </c>
      <c r="H2260" s="12">
        <v>45684</v>
      </c>
      <c r="I2260" t="s">
        <v>1755</v>
      </c>
      <c r="J2260" t="s">
        <v>2174</v>
      </c>
      <c r="K2260">
        <v>2</v>
      </c>
      <c r="L2260">
        <v>38.299999999999997</v>
      </c>
      <c r="P2260" t="s">
        <v>106</v>
      </c>
      <c r="Q2260" t="s">
        <v>106</v>
      </c>
      <c r="R2260" t="s">
        <v>106</v>
      </c>
      <c r="S2260" t="s">
        <v>1884</v>
      </c>
      <c r="T2260" t="s">
        <v>2059</v>
      </c>
      <c r="U2260" t="s">
        <v>1604</v>
      </c>
      <c r="V2260" t="s">
        <v>106</v>
      </c>
      <c r="W2260" t="s">
        <v>954</v>
      </c>
      <c r="X2260" t="s">
        <v>106</v>
      </c>
      <c r="Y2260" t="s">
        <v>108</v>
      </c>
      <c r="Z2260" t="s">
        <v>108</v>
      </c>
      <c r="AA2260" t="s">
        <v>1581</v>
      </c>
      <c r="AB2260" t="s">
        <v>106</v>
      </c>
    </row>
    <row r="2261" spans="1:28" x14ac:dyDescent="0.3">
      <c r="A2261" t="s">
        <v>1548</v>
      </c>
      <c r="B2261">
        <v>3</v>
      </c>
      <c r="C2261">
        <v>35</v>
      </c>
      <c r="D2261">
        <v>148</v>
      </c>
      <c r="E2261" t="s">
        <v>456</v>
      </c>
      <c r="F2261" s="12">
        <v>45684</v>
      </c>
      <c r="G2261" t="s">
        <v>2545</v>
      </c>
      <c r="H2261" s="12">
        <v>45684</v>
      </c>
      <c r="I2261" t="s">
        <v>1755</v>
      </c>
      <c r="J2261" t="s">
        <v>2174</v>
      </c>
      <c r="K2261">
        <v>2</v>
      </c>
      <c r="L2261">
        <v>38.5</v>
      </c>
      <c r="P2261" t="s">
        <v>106</v>
      </c>
      <c r="Q2261" t="s">
        <v>106</v>
      </c>
      <c r="R2261" t="s">
        <v>106</v>
      </c>
      <c r="S2261" t="s">
        <v>106</v>
      </c>
      <c r="T2261" t="s">
        <v>1084</v>
      </c>
      <c r="U2261" t="s">
        <v>1418</v>
      </c>
      <c r="V2261" t="s">
        <v>106</v>
      </c>
      <c r="W2261" t="s">
        <v>954</v>
      </c>
      <c r="X2261" t="s">
        <v>106</v>
      </c>
      <c r="Y2261" t="s">
        <v>108</v>
      </c>
      <c r="Z2261" t="s">
        <v>108</v>
      </c>
      <c r="AA2261" t="s">
        <v>1581</v>
      </c>
      <c r="AB2261" t="s">
        <v>106</v>
      </c>
    </row>
    <row r="2262" spans="1:28" x14ac:dyDescent="0.3">
      <c r="A2262" t="s">
        <v>1548</v>
      </c>
      <c r="B2262">
        <v>3</v>
      </c>
      <c r="C2262">
        <v>35</v>
      </c>
      <c r="D2262">
        <v>130</v>
      </c>
      <c r="E2262" t="s">
        <v>456</v>
      </c>
      <c r="F2262" s="12">
        <v>45684</v>
      </c>
      <c r="G2262" t="s">
        <v>1445</v>
      </c>
      <c r="H2262" s="12">
        <v>45684</v>
      </c>
      <c r="I2262" t="s">
        <v>338</v>
      </c>
      <c r="J2262" t="s">
        <v>1363</v>
      </c>
      <c r="L2262">
        <v>35.299999999999997</v>
      </c>
      <c r="P2262" t="s">
        <v>106</v>
      </c>
      <c r="Q2262" t="s">
        <v>106</v>
      </c>
      <c r="R2262" t="s">
        <v>106</v>
      </c>
      <c r="S2262" t="s">
        <v>1649</v>
      </c>
      <c r="T2262" t="s">
        <v>1519</v>
      </c>
      <c r="U2262" t="s">
        <v>395</v>
      </c>
      <c r="V2262" t="s">
        <v>106</v>
      </c>
      <c r="W2262" t="s">
        <v>557</v>
      </c>
      <c r="X2262" t="s">
        <v>106</v>
      </c>
      <c r="Y2262" t="s">
        <v>108</v>
      </c>
      <c r="Z2262" t="s">
        <v>108</v>
      </c>
      <c r="AA2262" t="s">
        <v>106</v>
      </c>
      <c r="AB2262" t="s">
        <v>106</v>
      </c>
    </row>
    <row r="2263" spans="1:28" x14ac:dyDescent="0.3">
      <c r="A2263" t="s">
        <v>1548</v>
      </c>
      <c r="B2263">
        <v>3</v>
      </c>
      <c r="C2263">
        <v>35</v>
      </c>
      <c r="D2263">
        <v>142</v>
      </c>
      <c r="E2263" t="s">
        <v>456</v>
      </c>
      <c r="F2263" s="12">
        <v>45684</v>
      </c>
      <c r="G2263" t="s">
        <v>2355</v>
      </c>
      <c r="H2263" s="12">
        <v>45684</v>
      </c>
      <c r="I2263" t="s">
        <v>807</v>
      </c>
      <c r="J2263" t="s">
        <v>2174</v>
      </c>
      <c r="K2263">
        <v>2</v>
      </c>
      <c r="L2263">
        <v>37</v>
      </c>
      <c r="P2263" t="s">
        <v>106</v>
      </c>
      <c r="Q2263" t="s">
        <v>106</v>
      </c>
      <c r="R2263" t="s">
        <v>106</v>
      </c>
      <c r="S2263" t="s">
        <v>106</v>
      </c>
      <c r="T2263" t="s">
        <v>1208</v>
      </c>
      <c r="U2263" t="s">
        <v>1418</v>
      </c>
      <c r="V2263" t="s">
        <v>106</v>
      </c>
      <c r="W2263" t="s">
        <v>954</v>
      </c>
      <c r="X2263" t="s">
        <v>106</v>
      </c>
      <c r="Y2263" t="s">
        <v>108</v>
      </c>
      <c r="Z2263" t="s">
        <v>108</v>
      </c>
      <c r="AA2263" t="s">
        <v>1581</v>
      </c>
      <c r="AB2263" t="s">
        <v>106</v>
      </c>
    </row>
    <row r="2264" spans="1:28" x14ac:dyDescent="0.3">
      <c r="A2264" t="s">
        <v>1548</v>
      </c>
      <c r="B2264">
        <v>3</v>
      </c>
      <c r="C2264">
        <v>35</v>
      </c>
      <c r="D2264">
        <v>129</v>
      </c>
      <c r="E2264" t="s">
        <v>456</v>
      </c>
      <c r="F2264" s="12">
        <v>45684</v>
      </c>
      <c r="G2264" t="s">
        <v>1445</v>
      </c>
      <c r="H2264" s="12">
        <v>45684</v>
      </c>
      <c r="I2264" t="s">
        <v>338</v>
      </c>
      <c r="J2264" t="s">
        <v>1363</v>
      </c>
      <c r="L2264">
        <v>35.6</v>
      </c>
      <c r="P2264" t="s">
        <v>106</v>
      </c>
      <c r="Q2264" t="s">
        <v>106</v>
      </c>
      <c r="R2264" t="s">
        <v>106</v>
      </c>
      <c r="S2264" t="s">
        <v>106</v>
      </c>
      <c r="T2264" t="s">
        <v>513</v>
      </c>
      <c r="U2264" t="s">
        <v>1651</v>
      </c>
      <c r="V2264" t="s">
        <v>106</v>
      </c>
      <c r="W2264" t="s">
        <v>557</v>
      </c>
      <c r="X2264" t="s">
        <v>106</v>
      </c>
      <c r="Y2264" t="s">
        <v>108</v>
      </c>
      <c r="Z2264" t="s">
        <v>108</v>
      </c>
      <c r="AA2264" t="s">
        <v>106</v>
      </c>
      <c r="AB2264" t="s">
        <v>106</v>
      </c>
    </row>
    <row r="2265" spans="1:28" x14ac:dyDescent="0.3">
      <c r="A2265" t="s">
        <v>1548</v>
      </c>
      <c r="B2265">
        <v>3</v>
      </c>
      <c r="C2265">
        <v>35</v>
      </c>
      <c r="D2265">
        <v>136</v>
      </c>
      <c r="E2265" t="s">
        <v>456</v>
      </c>
      <c r="F2265" s="12">
        <v>45684</v>
      </c>
      <c r="G2265" t="s">
        <v>1741</v>
      </c>
      <c r="H2265" s="12">
        <v>45684</v>
      </c>
      <c r="I2265" t="s">
        <v>1160</v>
      </c>
      <c r="J2265" t="s">
        <v>2174</v>
      </c>
      <c r="K2265">
        <v>2</v>
      </c>
      <c r="L2265">
        <v>37.299999999999997</v>
      </c>
      <c r="P2265" t="s">
        <v>106</v>
      </c>
      <c r="Q2265" t="s">
        <v>106</v>
      </c>
      <c r="R2265" t="s">
        <v>106</v>
      </c>
      <c r="S2265" t="s">
        <v>1893</v>
      </c>
      <c r="T2265" t="s">
        <v>1208</v>
      </c>
      <c r="U2265" t="s">
        <v>429</v>
      </c>
      <c r="V2265" t="s">
        <v>106</v>
      </c>
      <c r="W2265" t="s">
        <v>954</v>
      </c>
      <c r="X2265" t="s">
        <v>106</v>
      </c>
      <c r="Y2265" t="s">
        <v>108</v>
      </c>
      <c r="Z2265" t="s">
        <v>108</v>
      </c>
      <c r="AA2265" t="s">
        <v>1581</v>
      </c>
      <c r="AB2265" t="s">
        <v>106</v>
      </c>
    </row>
    <row r="2266" spans="1:28" x14ac:dyDescent="0.3">
      <c r="A2266" t="s">
        <v>1548</v>
      </c>
      <c r="B2266">
        <v>3</v>
      </c>
      <c r="C2266">
        <v>35</v>
      </c>
      <c r="D2266">
        <v>135</v>
      </c>
      <c r="E2266" t="s">
        <v>456</v>
      </c>
      <c r="F2266" s="12">
        <v>45684</v>
      </c>
      <c r="G2266" t="s">
        <v>1741</v>
      </c>
      <c r="H2266" s="12">
        <v>45684</v>
      </c>
      <c r="I2266" t="s">
        <v>1160</v>
      </c>
      <c r="J2266" t="s">
        <v>2174</v>
      </c>
      <c r="K2266">
        <v>2</v>
      </c>
      <c r="L2266">
        <v>36.799999999999997</v>
      </c>
      <c r="P2266" t="s">
        <v>106</v>
      </c>
      <c r="Q2266" t="s">
        <v>106</v>
      </c>
      <c r="R2266" t="s">
        <v>106</v>
      </c>
      <c r="S2266" t="s">
        <v>106</v>
      </c>
      <c r="T2266" t="s">
        <v>2059</v>
      </c>
      <c r="U2266" t="s">
        <v>430</v>
      </c>
      <c r="V2266" t="s">
        <v>106</v>
      </c>
      <c r="W2266" t="s">
        <v>954</v>
      </c>
      <c r="X2266" t="s">
        <v>106</v>
      </c>
      <c r="Y2266" t="s">
        <v>108</v>
      </c>
      <c r="Z2266" t="s">
        <v>108</v>
      </c>
      <c r="AA2266" t="s">
        <v>1581</v>
      </c>
      <c r="AB2266" t="s">
        <v>106</v>
      </c>
    </row>
    <row r="2267" spans="1:28" x14ac:dyDescent="0.3">
      <c r="A2267" t="s">
        <v>1548</v>
      </c>
      <c r="B2267">
        <v>3</v>
      </c>
      <c r="C2267">
        <v>35</v>
      </c>
      <c r="D2267">
        <v>120</v>
      </c>
      <c r="E2267" t="s">
        <v>456</v>
      </c>
      <c r="F2267" s="12">
        <v>45684</v>
      </c>
      <c r="G2267" t="s">
        <v>2084</v>
      </c>
      <c r="H2267" s="12">
        <v>45684</v>
      </c>
      <c r="I2267" t="s">
        <v>495</v>
      </c>
      <c r="J2267" t="s">
        <v>458</v>
      </c>
      <c r="L2267">
        <v>37.9</v>
      </c>
      <c r="P2267" t="s">
        <v>106</v>
      </c>
      <c r="Q2267" t="s">
        <v>106</v>
      </c>
      <c r="R2267" t="s">
        <v>106</v>
      </c>
      <c r="S2267" t="s">
        <v>1535</v>
      </c>
      <c r="T2267" t="s">
        <v>2546</v>
      </c>
      <c r="U2267" t="s">
        <v>997</v>
      </c>
      <c r="V2267" t="s">
        <v>106</v>
      </c>
      <c r="W2267" t="s">
        <v>443</v>
      </c>
      <c r="X2267" t="s">
        <v>106</v>
      </c>
      <c r="Y2267" t="s">
        <v>108</v>
      </c>
      <c r="Z2267" t="s">
        <v>108</v>
      </c>
      <c r="AA2267" t="s">
        <v>106</v>
      </c>
      <c r="AB2267" t="s">
        <v>106</v>
      </c>
    </row>
    <row r="2268" spans="1:28" x14ac:dyDescent="0.3">
      <c r="A2268" t="s">
        <v>1548</v>
      </c>
      <c r="B2268">
        <v>3</v>
      </c>
      <c r="C2268">
        <v>35</v>
      </c>
      <c r="D2268">
        <v>141</v>
      </c>
      <c r="E2268" t="s">
        <v>456</v>
      </c>
      <c r="F2268" s="12">
        <v>45684</v>
      </c>
      <c r="G2268" t="s">
        <v>1879</v>
      </c>
      <c r="H2268" s="12">
        <v>45684</v>
      </c>
      <c r="I2268" t="s">
        <v>807</v>
      </c>
      <c r="J2268" t="s">
        <v>2174</v>
      </c>
      <c r="K2268">
        <v>2</v>
      </c>
      <c r="L2268">
        <v>37.5</v>
      </c>
      <c r="P2268" t="s">
        <v>106</v>
      </c>
      <c r="Q2268" t="s">
        <v>106</v>
      </c>
      <c r="R2268" t="s">
        <v>106</v>
      </c>
      <c r="S2268" t="s">
        <v>1893</v>
      </c>
      <c r="T2268" t="s">
        <v>1141</v>
      </c>
      <c r="U2268" t="s">
        <v>1410</v>
      </c>
      <c r="V2268" t="s">
        <v>106</v>
      </c>
      <c r="W2268" t="s">
        <v>954</v>
      </c>
      <c r="X2268" t="s">
        <v>106</v>
      </c>
      <c r="Y2268" t="s">
        <v>108</v>
      </c>
      <c r="Z2268" t="s">
        <v>108</v>
      </c>
      <c r="AA2268" t="s">
        <v>1581</v>
      </c>
      <c r="AB2268" t="s">
        <v>106</v>
      </c>
    </row>
    <row r="2269" spans="1:28" x14ac:dyDescent="0.3">
      <c r="A2269" t="s">
        <v>1548</v>
      </c>
      <c r="B2269">
        <v>3</v>
      </c>
      <c r="C2269">
        <v>35</v>
      </c>
      <c r="D2269">
        <v>121</v>
      </c>
      <c r="E2269" t="s">
        <v>456</v>
      </c>
      <c r="F2269" s="12">
        <v>45684</v>
      </c>
      <c r="G2269" t="s">
        <v>1799</v>
      </c>
      <c r="H2269" s="12">
        <v>45684</v>
      </c>
      <c r="I2269" t="s">
        <v>495</v>
      </c>
      <c r="J2269" t="s">
        <v>458</v>
      </c>
      <c r="L2269">
        <v>37.799999999999997</v>
      </c>
      <c r="P2269" t="s">
        <v>106</v>
      </c>
      <c r="Q2269" t="s">
        <v>106</v>
      </c>
      <c r="R2269" t="s">
        <v>106</v>
      </c>
      <c r="S2269" t="s">
        <v>106</v>
      </c>
      <c r="T2269" t="s">
        <v>1108</v>
      </c>
      <c r="U2269" t="s">
        <v>1780</v>
      </c>
      <c r="V2269" t="s">
        <v>106</v>
      </c>
      <c r="W2269" t="s">
        <v>443</v>
      </c>
      <c r="X2269" t="s">
        <v>106</v>
      </c>
      <c r="Y2269" t="s">
        <v>108</v>
      </c>
      <c r="Z2269" t="s">
        <v>108</v>
      </c>
      <c r="AA2269" t="s">
        <v>106</v>
      </c>
      <c r="AB2269" t="s">
        <v>106</v>
      </c>
    </row>
    <row r="2270" spans="1:28" x14ac:dyDescent="0.3">
      <c r="A2270" t="s">
        <v>1548</v>
      </c>
      <c r="B2270">
        <v>4</v>
      </c>
      <c r="C2270">
        <v>60</v>
      </c>
      <c r="D2270">
        <v>122</v>
      </c>
      <c r="E2270" t="s">
        <v>456</v>
      </c>
      <c r="F2270" s="12">
        <v>45684</v>
      </c>
      <c r="G2270" t="s">
        <v>1636</v>
      </c>
      <c r="H2270" s="12">
        <v>45684</v>
      </c>
      <c r="I2270" t="s">
        <v>495</v>
      </c>
      <c r="J2270" t="s">
        <v>458</v>
      </c>
      <c r="L2270">
        <v>55.4</v>
      </c>
      <c r="P2270" t="s">
        <v>106</v>
      </c>
      <c r="Q2270" t="s">
        <v>106</v>
      </c>
      <c r="R2270" t="s">
        <v>106</v>
      </c>
      <c r="S2270" t="s">
        <v>2155</v>
      </c>
      <c r="T2270" t="s">
        <v>1766</v>
      </c>
      <c r="U2270" t="s">
        <v>1410</v>
      </c>
      <c r="V2270" t="s">
        <v>106</v>
      </c>
      <c r="W2270" t="s">
        <v>443</v>
      </c>
      <c r="X2270" t="s">
        <v>106</v>
      </c>
      <c r="Y2270" t="s">
        <v>108</v>
      </c>
      <c r="Z2270" t="s">
        <v>104</v>
      </c>
      <c r="AA2270" t="s">
        <v>106</v>
      </c>
      <c r="AB2270" t="s">
        <v>106</v>
      </c>
    </row>
    <row r="2271" spans="1:28" x14ac:dyDescent="0.3">
      <c r="A2271" t="s">
        <v>1548</v>
      </c>
      <c r="B2271">
        <v>4</v>
      </c>
      <c r="C2271">
        <v>60</v>
      </c>
      <c r="D2271">
        <v>123</v>
      </c>
      <c r="E2271" t="s">
        <v>456</v>
      </c>
      <c r="F2271" s="12">
        <v>45684</v>
      </c>
      <c r="G2271" t="s">
        <v>547</v>
      </c>
      <c r="H2271" s="12">
        <v>45684</v>
      </c>
      <c r="I2271" t="s">
        <v>495</v>
      </c>
      <c r="J2271" t="s">
        <v>458</v>
      </c>
      <c r="L2271">
        <v>60.6</v>
      </c>
      <c r="P2271" t="s">
        <v>106</v>
      </c>
      <c r="Q2271" t="s">
        <v>106</v>
      </c>
      <c r="R2271" t="s">
        <v>106</v>
      </c>
      <c r="S2271" t="s">
        <v>106</v>
      </c>
      <c r="T2271" t="s">
        <v>934</v>
      </c>
      <c r="U2271" t="s">
        <v>1468</v>
      </c>
      <c r="V2271" t="s">
        <v>106</v>
      </c>
      <c r="W2271" t="s">
        <v>443</v>
      </c>
      <c r="X2271" t="s">
        <v>106</v>
      </c>
      <c r="Y2271" t="s">
        <v>108</v>
      </c>
      <c r="Z2271" t="s">
        <v>104</v>
      </c>
      <c r="AA2271" t="s">
        <v>106</v>
      </c>
      <c r="AB2271" t="s">
        <v>106</v>
      </c>
    </row>
    <row r="2272" spans="1:28" x14ac:dyDescent="0.3">
      <c r="A2272" t="s">
        <v>1548</v>
      </c>
      <c r="B2272">
        <v>4</v>
      </c>
      <c r="C2272">
        <v>60</v>
      </c>
      <c r="D2272">
        <v>149</v>
      </c>
      <c r="E2272" t="s">
        <v>456</v>
      </c>
      <c r="F2272" s="12">
        <v>45684</v>
      </c>
      <c r="G2272" t="s">
        <v>2718</v>
      </c>
      <c r="H2272" s="12">
        <v>45684</v>
      </c>
      <c r="I2272" t="s">
        <v>1755</v>
      </c>
      <c r="J2272" t="s">
        <v>2174</v>
      </c>
      <c r="K2272">
        <v>2</v>
      </c>
      <c r="L2272">
        <v>58.4</v>
      </c>
      <c r="P2272" t="s">
        <v>106</v>
      </c>
      <c r="Q2272" t="s">
        <v>106</v>
      </c>
      <c r="R2272" t="s">
        <v>106</v>
      </c>
      <c r="S2272" t="s">
        <v>106</v>
      </c>
      <c r="T2272" t="s">
        <v>1125</v>
      </c>
      <c r="U2272" t="s">
        <v>1780</v>
      </c>
      <c r="V2272" t="s">
        <v>106</v>
      </c>
      <c r="W2272" t="s">
        <v>954</v>
      </c>
      <c r="X2272" t="s">
        <v>106</v>
      </c>
      <c r="Y2272" t="s">
        <v>108</v>
      </c>
      <c r="Z2272" t="s">
        <v>104</v>
      </c>
      <c r="AA2272" t="s">
        <v>1581</v>
      </c>
      <c r="AB2272" t="s">
        <v>106</v>
      </c>
    </row>
    <row r="2273" spans="1:28" x14ac:dyDescent="0.3">
      <c r="A2273" t="s">
        <v>1548</v>
      </c>
      <c r="B2273">
        <v>4</v>
      </c>
      <c r="C2273">
        <v>60</v>
      </c>
      <c r="D2273">
        <v>124</v>
      </c>
      <c r="E2273" t="s">
        <v>456</v>
      </c>
      <c r="F2273" s="12">
        <v>45684</v>
      </c>
      <c r="G2273" t="s">
        <v>547</v>
      </c>
      <c r="H2273" s="12">
        <v>45684</v>
      </c>
      <c r="I2273" t="s">
        <v>495</v>
      </c>
      <c r="J2273" t="s">
        <v>458</v>
      </c>
      <c r="L2273">
        <v>61.3</v>
      </c>
      <c r="P2273" t="s">
        <v>106</v>
      </c>
      <c r="Q2273" t="s">
        <v>106</v>
      </c>
      <c r="R2273" t="s">
        <v>106</v>
      </c>
      <c r="S2273" t="s">
        <v>2155</v>
      </c>
      <c r="T2273" t="s">
        <v>1650</v>
      </c>
      <c r="U2273" t="s">
        <v>1345</v>
      </c>
      <c r="V2273" t="s">
        <v>106</v>
      </c>
      <c r="W2273" t="s">
        <v>443</v>
      </c>
      <c r="X2273" t="s">
        <v>106</v>
      </c>
      <c r="Y2273" t="s">
        <v>108</v>
      </c>
      <c r="Z2273" t="s">
        <v>104</v>
      </c>
      <c r="AA2273" t="s">
        <v>106</v>
      </c>
      <c r="AB2273" t="s">
        <v>106</v>
      </c>
    </row>
    <row r="2274" spans="1:28" x14ac:dyDescent="0.3">
      <c r="A2274" t="s">
        <v>1548</v>
      </c>
      <c r="B2274">
        <v>4</v>
      </c>
      <c r="C2274">
        <v>60</v>
      </c>
      <c r="D2274">
        <v>131</v>
      </c>
      <c r="E2274" t="s">
        <v>456</v>
      </c>
      <c r="F2274" s="12">
        <v>45684</v>
      </c>
      <c r="G2274" t="s">
        <v>377</v>
      </c>
      <c r="H2274" s="12">
        <v>45684</v>
      </c>
      <c r="I2274" t="s">
        <v>338</v>
      </c>
      <c r="J2274" t="s">
        <v>1363</v>
      </c>
      <c r="L2274">
        <v>58.7</v>
      </c>
      <c r="P2274" t="s">
        <v>106</v>
      </c>
      <c r="Q2274" t="s">
        <v>106</v>
      </c>
      <c r="R2274" t="s">
        <v>106</v>
      </c>
      <c r="S2274" t="s">
        <v>106</v>
      </c>
      <c r="T2274" t="s">
        <v>1403</v>
      </c>
      <c r="U2274" t="s">
        <v>708</v>
      </c>
      <c r="V2274" t="s">
        <v>106</v>
      </c>
      <c r="W2274" t="s">
        <v>557</v>
      </c>
      <c r="X2274" t="s">
        <v>106</v>
      </c>
      <c r="Y2274" t="s">
        <v>108</v>
      </c>
      <c r="Z2274" t="s">
        <v>104</v>
      </c>
      <c r="AA2274" t="s">
        <v>106</v>
      </c>
      <c r="AB2274" t="s">
        <v>106</v>
      </c>
    </row>
    <row r="2275" spans="1:28" x14ac:dyDescent="0.3">
      <c r="A2275" t="s">
        <v>1548</v>
      </c>
      <c r="B2275">
        <v>4</v>
      </c>
      <c r="C2275">
        <v>60</v>
      </c>
      <c r="D2275">
        <v>132</v>
      </c>
      <c r="E2275" t="s">
        <v>456</v>
      </c>
      <c r="F2275" s="12">
        <v>45684</v>
      </c>
      <c r="G2275" t="s">
        <v>340</v>
      </c>
      <c r="H2275" s="12">
        <v>45684</v>
      </c>
      <c r="I2275" t="s">
        <v>338</v>
      </c>
      <c r="J2275" t="s">
        <v>1363</v>
      </c>
      <c r="L2275">
        <v>55.8</v>
      </c>
      <c r="P2275" t="s">
        <v>106</v>
      </c>
      <c r="Q2275" t="s">
        <v>106</v>
      </c>
      <c r="R2275" t="s">
        <v>106</v>
      </c>
      <c r="S2275" t="s">
        <v>1656</v>
      </c>
      <c r="T2275" t="s">
        <v>806</v>
      </c>
      <c r="U2275" t="s">
        <v>841</v>
      </c>
      <c r="V2275" t="s">
        <v>106</v>
      </c>
      <c r="W2275" t="s">
        <v>557</v>
      </c>
      <c r="X2275" t="s">
        <v>106</v>
      </c>
      <c r="Y2275" t="s">
        <v>108</v>
      </c>
      <c r="Z2275" t="s">
        <v>104</v>
      </c>
      <c r="AA2275" t="s">
        <v>106</v>
      </c>
      <c r="AB2275" t="s">
        <v>106</v>
      </c>
    </row>
    <row r="2276" spans="1:28" x14ac:dyDescent="0.3">
      <c r="A2276" t="s">
        <v>1548</v>
      </c>
      <c r="B2276">
        <v>4</v>
      </c>
      <c r="C2276">
        <v>60</v>
      </c>
      <c r="D2276">
        <v>144</v>
      </c>
      <c r="E2276" t="s">
        <v>456</v>
      </c>
      <c r="F2276" s="12">
        <v>45684</v>
      </c>
      <c r="G2276" t="s">
        <v>652</v>
      </c>
      <c r="H2276" s="12">
        <v>45684</v>
      </c>
      <c r="I2276" t="s">
        <v>807</v>
      </c>
      <c r="J2276" t="s">
        <v>2174</v>
      </c>
      <c r="K2276">
        <v>2</v>
      </c>
      <c r="L2276">
        <v>61.5</v>
      </c>
      <c r="P2276" t="s">
        <v>106</v>
      </c>
      <c r="Q2276" t="s">
        <v>106</v>
      </c>
      <c r="R2276" t="s">
        <v>106</v>
      </c>
      <c r="S2276" t="s">
        <v>2374</v>
      </c>
      <c r="T2276" t="s">
        <v>1403</v>
      </c>
      <c r="U2276" t="s">
        <v>1591</v>
      </c>
      <c r="V2276" t="s">
        <v>106</v>
      </c>
      <c r="W2276" t="s">
        <v>954</v>
      </c>
      <c r="X2276" t="s">
        <v>106</v>
      </c>
      <c r="Y2276" t="s">
        <v>108</v>
      </c>
      <c r="Z2276" t="s">
        <v>104</v>
      </c>
      <c r="AA2276" t="s">
        <v>1581</v>
      </c>
      <c r="AB2276" t="s">
        <v>106</v>
      </c>
    </row>
    <row r="2277" spans="1:28" x14ac:dyDescent="0.3">
      <c r="A2277" t="s">
        <v>1548</v>
      </c>
      <c r="B2277">
        <v>4</v>
      </c>
      <c r="C2277">
        <v>60</v>
      </c>
      <c r="D2277">
        <v>143</v>
      </c>
      <c r="E2277" t="s">
        <v>456</v>
      </c>
      <c r="F2277" s="12">
        <v>45684</v>
      </c>
      <c r="G2277" t="s">
        <v>652</v>
      </c>
      <c r="H2277" s="12">
        <v>45684</v>
      </c>
      <c r="I2277" t="s">
        <v>807</v>
      </c>
      <c r="J2277" t="s">
        <v>2174</v>
      </c>
      <c r="K2277">
        <v>2</v>
      </c>
      <c r="L2277">
        <v>58.1</v>
      </c>
      <c r="P2277" t="s">
        <v>106</v>
      </c>
      <c r="Q2277" t="s">
        <v>106</v>
      </c>
      <c r="R2277" t="s">
        <v>106</v>
      </c>
      <c r="S2277" t="s">
        <v>1837</v>
      </c>
      <c r="T2277" t="s">
        <v>2059</v>
      </c>
      <c r="U2277" t="s">
        <v>1780</v>
      </c>
      <c r="V2277" t="s">
        <v>106</v>
      </c>
      <c r="W2277" t="s">
        <v>954</v>
      </c>
      <c r="X2277" t="s">
        <v>106</v>
      </c>
      <c r="Y2277" t="s">
        <v>108</v>
      </c>
      <c r="Z2277" t="s">
        <v>104</v>
      </c>
      <c r="AA2277" t="s">
        <v>1581</v>
      </c>
      <c r="AB2277" t="s">
        <v>106</v>
      </c>
    </row>
    <row r="2278" spans="1:28" x14ac:dyDescent="0.3">
      <c r="A2278" t="s">
        <v>1548</v>
      </c>
      <c r="B2278">
        <v>4</v>
      </c>
      <c r="C2278">
        <v>60</v>
      </c>
      <c r="D2278">
        <v>150</v>
      </c>
      <c r="E2278" t="s">
        <v>456</v>
      </c>
      <c r="F2278" s="12">
        <v>45684</v>
      </c>
      <c r="G2278" t="s">
        <v>2528</v>
      </c>
      <c r="H2278" s="12">
        <v>45684</v>
      </c>
      <c r="I2278" t="s">
        <v>1755</v>
      </c>
      <c r="J2278" t="s">
        <v>2174</v>
      </c>
      <c r="K2278">
        <v>2</v>
      </c>
      <c r="L2278">
        <v>58.5</v>
      </c>
      <c r="P2278" t="s">
        <v>106</v>
      </c>
      <c r="Q2278" t="s">
        <v>106</v>
      </c>
      <c r="R2278" t="s">
        <v>106</v>
      </c>
      <c r="S2278" t="s">
        <v>1908</v>
      </c>
      <c r="T2278" t="s">
        <v>1899</v>
      </c>
      <c r="U2278" t="s">
        <v>841</v>
      </c>
      <c r="V2278" t="s">
        <v>106</v>
      </c>
      <c r="W2278" t="s">
        <v>954</v>
      </c>
      <c r="X2278" t="s">
        <v>106</v>
      </c>
      <c r="Y2278" t="s">
        <v>108</v>
      </c>
      <c r="Z2278" t="s">
        <v>104</v>
      </c>
      <c r="AA2278" t="s">
        <v>1581</v>
      </c>
      <c r="AB2278" t="s">
        <v>106</v>
      </c>
    </row>
    <row r="2279" spans="1:28" x14ac:dyDescent="0.3">
      <c r="A2279" t="s">
        <v>1548</v>
      </c>
      <c r="B2279">
        <v>4</v>
      </c>
      <c r="C2279">
        <v>60</v>
      </c>
      <c r="D2279">
        <v>137</v>
      </c>
      <c r="E2279" t="s">
        <v>456</v>
      </c>
      <c r="F2279" s="12">
        <v>45684</v>
      </c>
      <c r="G2279" t="s">
        <v>2031</v>
      </c>
      <c r="H2279" s="12">
        <v>45684</v>
      </c>
      <c r="I2279" t="s">
        <v>1160</v>
      </c>
      <c r="J2279" t="s">
        <v>2174</v>
      </c>
      <c r="K2279">
        <v>2</v>
      </c>
      <c r="L2279">
        <v>55.7</v>
      </c>
      <c r="P2279" t="s">
        <v>106</v>
      </c>
      <c r="Q2279" t="s">
        <v>106</v>
      </c>
      <c r="R2279" t="s">
        <v>106</v>
      </c>
      <c r="S2279" t="s">
        <v>106</v>
      </c>
      <c r="T2279" t="s">
        <v>776</v>
      </c>
      <c r="U2279" t="s">
        <v>1780</v>
      </c>
      <c r="V2279" t="s">
        <v>106</v>
      </c>
      <c r="W2279" t="s">
        <v>954</v>
      </c>
      <c r="X2279" t="s">
        <v>106</v>
      </c>
      <c r="Y2279" t="s">
        <v>108</v>
      </c>
      <c r="Z2279" t="s">
        <v>104</v>
      </c>
      <c r="AA2279" t="s">
        <v>1581</v>
      </c>
      <c r="AB2279" t="s">
        <v>106</v>
      </c>
    </row>
    <row r="2280" spans="1:28" x14ac:dyDescent="0.3">
      <c r="A2280" t="s">
        <v>1548</v>
      </c>
      <c r="B2280">
        <v>4</v>
      </c>
      <c r="C2280">
        <v>60</v>
      </c>
      <c r="D2280">
        <v>138</v>
      </c>
      <c r="E2280" t="s">
        <v>456</v>
      </c>
      <c r="F2280" s="12">
        <v>45684</v>
      </c>
      <c r="G2280" t="s">
        <v>2129</v>
      </c>
      <c r="H2280" s="12">
        <v>45684</v>
      </c>
      <c r="I2280" t="s">
        <v>1160</v>
      </c>
      <c r="J2280" t="s">
        <v>2174</v>
      </c>
      <c r="K2280">
        <v>2</v>
      </c>
      <c r="L2280">
        <v>56.8</v>
      </c>
      <c r="P2280" t="s">
        <v>106</v>
      </c>
      <c r="Q2280" t="s">
        <v>106</v>
      </c>
      <c r="R2280" t="s">
        <v>106</v>
      </c>
      <c r="S2280" t="s">
        <v>1813</v>
      </c>
      <c r="T2280" t="s">
        <v>1899</v>
      </c>
      <c r="U2280" t="s">
        <v>841</v>
      </c>
      <c r="V2280" t="s">
        <v>106</v>
      </c>
      <c r="W2280" t="s">
        <v>954</v>
      </c>
      <c r="X2280" t="s">
        <v>106</v>
      </c>
      <c r="Y2280" t="s">
        <v>108</v>
      </c>
      <c r="Z2280" t="s">
        <v>104</v>
      </c>
      <c r="AA2280" t="s">
        <v>1581</v>
      </c>
      <c r="AB2280" t="s">
        <v>106</v>
      </c>
    </row>
    <row r="2281" spans="1:28" x14ac:dyDescent="0.3">
      <c r="A2281" t="s">
        <v>1548</v>
      </c>
      <c r="B2281">
        <v>1</v>
      </c>
      <c r="C2281">
        <v>0</v>
      </c>
      <c r="D2281">
        <v>158</v>
      </c>
      <c r="E2281" t="s">
        <v>456</v>
      </c>
      <c r="F2281" s="12">
        <v>45685</v>
      </c>
      <c r="G2281" t="s">
        <v>1577</v>
      </c>
      <c r="H2281" s="12">
        <v>45685</v>
      </c>
      <c r="I2281" t="s">
        <v>1578</v>
      </c>
      <c r="J2281" t="s">
        <v>458</v>
      </c>
      <c r="K2281">
        <v>2</v>
      </c>
      <c r="L2281">
        <v>0</v>
      </c>
      <c r="P2281" t="s">
        <v>106</v>
      </c>
      <c r="Q2281" t="s">
        <v>106</v>
      </c>
      <c r="R2281" t="s">
        <v>106</v>
      </c>
      <c r="S2281" t="s">
        <v>1579</v>
      </c>
      <c r="T2281" t="s">
        <v>696</v>
      </c>
      <c r="U2281" t="s">
        <v>106</v>
      </c>
      <c r="V2281" t="s">
        <v>106</v>
      </c>
      <c r="W2281" t="s">
        <v>557</v>
      </c>
      <c r="X2281" t="s">
        <v>106</v>
      </c>
      <c r="Y2281" t="s">
        <v>108</v>
      </c>
      <c r="Z2281" t="s">
        <v>105</v>
      </c>
      <c r="AA2281" t="s">
        <v>106</v>
      </c>
      <c r="AB2281" t="s">
        <v>106</v>
      </c>
    </row>
    <row r="2282" spans="1:28" x14ac:dyDescent="0.3">
      <c r="A2282" t="s">
        <v>1548</v>
      </c>
      <c r="B2282">
        <v>1</v>
      </c>
      <c r="C2282">
        <v>0</v>
      </c>
      <c r="D2282">
        <v>157</v>
      </c>
      <c r="E2282" t="s">
        <v>456</v>
      </c>
      <c r="F2282" s="12">
        <v>45685</v>
      </c>
      <c r="G2282" t="s">
        <v>1577</v>
      </c>
      <c r="H2282" s="12">
        <v>45685</v>
      </c>
      <c r="I2282" t="s">
        <v>1578</v>
      </c>
      <c r="J2282" t="s">
        <v>458</v>
      </c>
      <c r="K2282">
        <v>2</v>
      </c>
      <c r="L2282">
        <v>0</v>
      </c>
      <c r="P2282" t="s">
        <v>106</v>
      </c>
      <c r="Q2282" t="s">
        <v>106</v>
      </c>
      <c r="R2282" t="s">
        <v>106</v>
      </c>
      <c r="S2282" t="s">
        <v>106</v>
      </c>
      <c r="T2282" t="s">
        <v>664</v>
      </c>
      <c r="U2282" t="s">
        <v>106</v>
      </c>
      <c r="V2282" t="s">
        <v>106</v>
      </c>
      <c r="W2282" t="s">
        <v>557</v>
      </c>
      <c r="X2282" t="s">
        <v>106</v>
      </c>
      <c r="Y2282" t="s">
        <v>108</v>
      </c>
      <c r="Z2282" t="s">
        <v>105</v>
      </c>
      <c r="AA2282" t="s">
        <v>106</v>
      </c>
      <c r="AB2282" t="s">
        <v>106</v>
      </c>
    </row>
    <row r="2283" spans="1:28" x14ac:dyDescent="0.3">
      <c r="A2283" t="s">
        <v>1548</v>
      </c>
      <c r="B2283">
        <v>2</v>
      </c>
      <c r="C2283">
        <v>15</v>
      </c>
      <c r="D2283">
        <v>166</v>
      </c>
      <c r="E2283" t="s">
        <v>456</v>
      </c>
      <c r="F2283" s="12">
        <v>45685</v>
      </c>
      <c r="G2283" t="s">
        <v>676</v>
      </c>
      <c r="H2283" s="12">
        <v>45685</v>
      </c>
      <c r="I2283" t="s">
        <v>390</v>
      </c>
      <c r="J2283" t="s">
        <v>458</v>
      </c>
      <c r="K2283">
        <v>2</v>
      </c>
      <c r="L2283">
        <v>16.100000000000001</v>
      </c>
      <c r="P2283" t="s">
        <v>106</v>
      </c>
      <c r="Q2283" t="s">
        <v>106</v>
      </c>
      <c r="R2283" t="s">
        <v>106</v>
      </c>
      <c r="S2283" t="s">
        <v>1863</v>
      </c>
      <c r="T2283" t="s">
        <v>1131</v>
      </c>
      <c r="U2283" t="s">
        <v>138</v>
      </c>
      <c r="V2283" t="s">
        <v>106</v>
      </c>
      <c r="W2283" t="s">
        <v>557</v>
      </c>
      <c r="X2283" t="s">
        <v>106</v>
      </c>
      <c r="Y2283" t="s">
        <v>108</v>
      </c>
      <c r="Z2283" t="s">
        <v>109</v>
      </c>
      <c r="AA2283" t="s">
        <v>106</v>
      </c>
      <c r="AB2283" t="s">
        <v>106</v>
      </c>
    </row>
    <row r="2284" spans="1:28" x14ac:dyDescent="0.3">
      <c r="A2284" t="s">
        <v>1548</v>
      </c>
      <c r="B2284">
        <v>2</v>
      </c>
      <c r="C2284">
        <v>15</v>
      </c>
      <c r="D2284">
        <v>165</v>
      </c>
      <c r="E2284" t="s">
        <v>456</v>
      </c>
      <c r="F2284" s="12">
        <v>45685</v>
      </c>
      <c r="G2284" t="s">
        <v>592</v>
      </c>
      <c r="H2284" s="12">
        <v>45685</v>
      </c>
      <c r="I2284" t="s">
        <v>390</v>
      </c>
      <c r="J2284" t="s">
        <v>458</v>
      </c>
      <c r="K2284">
        <v>2</v>
      </c>
      <c r="L2284">
        <v>16.399999999999999</v>
      </c>
      <c r="P2284" t="s">
        <v>106</v>
      </c>
      <c r="Q2284" t="s">
        <v>106</v>
      </c>
      <c r="R2284" t="s">
        <v>106</v>
      </c>
      <c r="S2284" t="s">
        <v>106</v>
      </c>
      <c r="T2284" t="s">
        <v>937</v>
      </c>
      <c r="U2284" t="s">
        <v>708</v>
      </c>
      <c r="V2284" t="s">
        <v>106</v>
      </c>
      <c r="W2284" t="s">
        <v>557</v>
      </c>
      <c r="X2284" t="s">
        <v>106</v>
      </c>
      <c r="Y2284" t="s">
        <v>108</v>
      </c>
      <c r="Z2284" t="s">
        <v>109</v>
      </c>
      <c r="AA2284" t="s">
        <v>106</v>
      </c>
      <c r="AB2284" t="s">
        <v>106</v>
      </c>
    </row>
    <row r="2285" spans="1:28" x14ac:dyDescent="0.3">
      <c r="A2285" t="s">
        <v>1548</v>
      </c>
      <c r="B2285">
        <v>2</v>
      </c>
      <c r="C2285">
        <v>15</v>
      </c>
      <c r="D2285">
        <v>159</v>
      </c>
      <c r="E2285" t="s">
        <v>456</v>
      </c>
      <c r="F2285" s="12">
        <v>45685</v>
      </c>
      <c r="G2285" t="s">
        <v>488</v>
      </c>
      <c r="H2285" s="12">
        <v>45685</v>
      </c>
      <c r="I2285" t="s">
        <v>1688</v>
      </c>
      <c r="J2285" t="s">
        <v>458</v>
      </c>
      <c r="K2285">
        <v>2</v>
      </c>
      <c r="L2285">
        <v>15.9</v>
      </c>
      <c r="P2285" t="s">
        <v>106</v>
      </c>
      <c r="Q2285" t="s">
        <v>106</v>
      </c>
      <c r="R2285" t="s">
        <v>106</v>
      </c>
      <c r="S2285" t="s">
        <v>106</v>
      </c>
      <c r="T2285" t="s">
        <v>981</v>
      </c>
      <c r="U2285" t="s">
        <v>1418</v>
      </c>
      <c r="V2285" t="s">
        <v>106</v>
      </c>
      <c r="W2285" t="s">
        <v>557</v>
      </c>
      <c r="X2285" t="s">
        <v>106</v>
      </c>
      <c r="Y2285" t="s">
        <v>108</v>
      </c>
      <c r="Z2285" t="s">
        <v>109</v>
      </c>
      <c r="AA2285" t="s">
        <v>106</v>
      </c>
      <c r="AB2285" t="s">
        <v>106</v>
      </c>
    </row>
    <row r="2286" spans="1:28" x14ac:dyDescent="0.3">
      <c r="A2286" t="s">
        <v>1548</v>
      </c>
      <c r="B2286">
        <v>2</v>
      </c>
      <c r="C2286">
        <v>15</v>
      </c>
      <c r="D2286">
        <v>152</v>
      </c>
      <c r="E2286" t="s">
        <v>456</v>
      </c>
      <c r="F2286" s="12">
        <v>45685</v>
      </c>
      <c r="G2286" t="s">
        <v>2183</v>
      </c>
      <c r="H2286" s="12">
        <v>45685</v>
      </c>
      <c r="I2286" t="s">
        <v>1578</v>
      </c>
      <c r="J2286" t="s">
        <v>458</v>
      </c>
      <c r="K2286">
        <v>2</v>
      </c>
      <c r="L2286">
        <v>16.399999999999999</v>
      </c>
      <c r="P2286" t="s">
        <v>106</v>
      </c>
      <c r="Q2286" t="s">
        <v>106</v>
      </c>
      <c r="R2286" t="s">
        <v>106</v>
      </c>
      <c r="S2286" t="s">
        <v>1658</v>
      </c>
      <c r="T2286" t="s">
        <v>1101</v>
      </c>
      <c r="U2286" t="s">
        <v>440</v>
      </c>
      <c r="V2286" t="s">
        <v>106</v>
      </c>
      <c r="W2286" t="s">
        <v>557</v>
      </c>
      <c r="X2286" t="s">
        <v>106</v>
      </c>
      <c r="Y2286" t="s">
        <v>108</v>
      </c>
      <c r="Z2286" t="s">
        <v>109</v>
      </c>
      <c r="AA2286" t="s">
        <v>106</v>
      </c>
      <c r="AB2286" t="s">
        <v>106</v>
      </c>
    </row>
    <row r="2287" spans="1:28" x14ac:dyDescent="0.3">
      <c r="A2287" t="s">
        <v>1548</v>
      </c>
      <c r="B2287">
        <v>2</v>
      </c>
      <c r="C2287">
        <v>15</v>
      </c>
      <c r="D2287">
        <v>160</v>
      </c>
      <c r="E2287" t="s">
        <v>456</v>
      </c>
      <c r="F2287" s="12">
        <v>45685</v>
      </c>
      <c r="G2287" t="s">
        <v>488</v>
      </c>
      <c r="H2287" s="12">
        <v>45685</v>
      </c>
      <c r="I2287" t="s">
        <v>1688</v>
      </c>
      <c r="J2287" t="s">
        <v>458</v>
      </c>
      <c r="K2287">
        <v>2</v>
      </c>
      <c r="L2287">
        <v>17</v>
      </c>
      <c r="P2287" t="s">
        <v>106</v>
      </c>
      <c r="Q2287" t="s">
        <v>106</v>
      </c>
      <c r="R2287" t="s">
        <v>106</v>
      </c>
      <c r="S2287" t="s">
        <v>2184</v>
      </c>
      <c r="T2287" t="s">
        <v>860</v>
      </c>
      <c r="U2287" t="s">
        <v>1468</v>
      </c>
      <c r="V2287" t="s">
        <v>106</v>
      </c>
      <c r="W2287" t="s">
        <v>557</v>
      </c>
      <c r="X2287" t="s">
        <v>106</v>
      </c>
      <c r="Y2287" t="s">
        <v>108</v>
      </c>
      <c r="Z2287" t="s">
        <v>109</v>
      </c>
      <c r="AA2287" t="s">
        <v>106</v>
      </c>
      <c r="AB2287" t="s">
        <v>106</v>
      </c>
    </row>
    <row r="2288" spans="1:28" x14ac:dyDescent="0.3">
      <c r="A2288" t="s">
        <v>1548</v>
      </c>
      <c r="B2288">
        <v>2</v>
      </c>
      <c r="C2288">
        <v>15</v>
      </c>
      <c r="D2288">
        <v>151</v>
      </c>
      <c r="E2288" t="s">
        <v>456</v>
      </c>
      <c r="F2288" s="12">
        <v>45685</v>
      </c>
      <c r="G2288" t="s">
        <v>2183</v>
      </c>
      <c r="H2288" s="12">
        <v>45685</v>
      </c>
      <c r="I2288" t="s">
        <v>1578</v>
      </c>
      <c r="J2288" t="s">
        <v>458</v>
      </c>
      <c r="K2288">
        <v>2</v>
      </c>
      <c r="L2288">
        <v>17.3</v>
      </c>
      <c r="P2288" t="s">
        <v>106</v>
      </c>
      <c r="Q2288" t="s">
        <v>106</v>
      </c>
      <c r="R2288" t="s">
        <v>106</v>
      </c>
      <c r="S2288" t="s">
        <v>106</v>
      </c>
      <c r="T2288" t="s">
        <v>1817</v>
      </c>
      <c r="U2288" t="s">
        <v>1591</v>
      </c>
      <c r="V2288" t="s">
        <v>106</v>
      </c>
      <c r="W2288" t="s">
        <v>557</v>
      </c>
      <c r="X2288" t="s">
        <v>106</v>
      </c>
      <c r="Y2288" t="s">
        <v>108</v>
      </c>
      <c r="Z2288" t="s">
        <v>109</v>
      </c>
      <c r="AA2288" t="s">
        <v>106</v>
      </c>
      <c r="AB2288" t="s">
        <v>106</v>
      </c>
    </row>
    <row r="2289" spans="1:28" x14ac:dyDescent="0.3">
      <c r="A2289" t="s">
        <v>1548</v>
      </c>
      <c r="B2289">
        <v>3</v>
      </c>
      <c r="C2289">
        <v>35</v>
      </c>
      <c r="D2289">
        <v>153</v>
      </c>
      <c r="E2289" t="s">
        <v>456</v>
      </c>
      <c r="F2289" s="12">
        <v>45685</v>
      </c>
      <c r="G2289" t="s">
        <v>2304</v>
      </c>
      <c r="H2289" s="12">
        <v>45685</v>
      </c>
      <c r="I2289" t="s">
        <v>1578</v>
      </c>
      <c r="J2289" t="s">
        <v>458</v>
      </c>
      <c r="K2289">
        <v>2</v>
      </c>
      <c r="L2289">
        <v>34.1</v>
      </c>
      <c r="P2289" t="s">
        <v>106</v>
      </c>
      <c r="Q2289" t="s">
        <v>106</v>
      </c>
      <c r="R2289" t="s">
        <v>106</v>
      </c>
      <c r="S2289" t="s">
        <v>106</v>
      </c>
      <c r="T2289" t="s">
        <v>1242</v>
      </c>
      <c r="U2289" t="s">
        <v>430</v>
      </c>
      <c r="V2289" t="s">
        <v>106</v>
      </c>
      <c r="W2289" t="s">
        <v>557</v>
      </c>
      <c r="X2289" t="s">
        <v>106</v>
      </c>
      <c r="Y2289" t="s">
        <v>108</v>
      </c>
      <c r="Z2289" t="s">
        <v>108</v>
      </c>
      <c r="AA2289" t="s">
        <v>106</v>
      </c>
      <c r="AB2289" t="s">
        <v>106</v>
      </c>
    </row>
    <row r="2290" spans="1:28" x14ac:dyDescent="0.3">
      <c r="A2290" t="s">
        <v>1548</v>
      </c>
      <c r="B2290">
        <v>3</v>
      </c>
      <c r="C2290">
        <v>35</v>
      </c>
      <c r="D2290">
        <v>154</v>
      </c>
      <c r="E2290" t="s">
        <v>456</v>
      </c>
      <c r="F2290" s="12">
        <v>45685</v>
      </c>
      <c r="G2290" t="s">
        <v>556</v>
      </c>
      <c r="H2290" s="12">
        <v>45685</v>
      </c>
      <c r="I2290" t="s">
        <v>1578</v>
      </c>
      <c r="J2290" t="s">
        <v>458</v>
      </c>
      <c r="K2290">
        <v>2</v>
      </c>
      <c r="L2290">
        <v>35.200000000000003</v>
      </c>
      <c r="P2290" t="s">
        <v>106</v>
      </c>
      <c r="Q2290" t="s">
        <v>106</v>
      </c>
      <c r="R2290" t="s">
        <v>106</v>
      </c>
      <c r="S2290" t="s">
        <v>1816</v>
      </c>
      <c r="T2290" t="s">
        <v>1622</v>
      </c>
      <c r="U2290" t="s">
        <v>1410</v>
      </c>
      <c r="V2290" t="s">
        <v>106</v>
      </c>
      <c r="W2290" t="s">
        <v>557</v>
      </c>
      <c r="X2290" t="s">
        <v>106</v>
      </c>
      <c r="Y2290" t="s">
        <v>108</v>
      </c>
      <c r="Z2290" t="s">
        <v>108</v>
      </c>
      <c r="AA2290" t="s">
        <v>106</v>
      </c>
      <c r="AB2290" t="s">
        <v>106</v>
      </c>
    </row>
    <row r="2291" spans="1:28" x14ac:dyDescent="0.3">
      <c r="A2291" t="s">
        <v>1548</v>
      </c>
      <c r="B2291">
        <v>3</v>
      </c>
      <c r="C2291">
        <v>35</v>
      </c>
      <c r="D2291">
        <v>161</v>
      </c>
      <c r="E2291" t="s">
        <v>456</v>
      </c>
      <c r="F2291" s="12">
        <v>45685</v>
      </c>
      <c r="G2291" t="s">
        <v>2535</v>
      </c>
      <c r="H2291" s="12">
        <v>45685</v>
      </c>
      <c r="I2291" t="s">
        <v>1688</v>
      </c>
      <c r="J2291" t="s">
        <v>458</v>
      </c>
      <c r="K2291">
        <v>2</v>
      </c>
      <c r="L2291">
        <v>34.200000000000003</v>
      </c>
      <c r="P2291" t="s">
        <v>106</v>
      </c>
      <c r="Q2291" t="s">
        <v>106</v>
      </c>
      <c r="R2291" t="s">
        <v>106</v>
      </c>
      <c r="S2291" t="s">
        <v>106</v>
      </c>
      <c r="T2291" t="s">
        <v>2547</v>
      </c>
      <c r="U2291" t="s">
        <v>1479</v>
      </c>
      <c r="V2291" t="s">
        <v>106</v>
      </c>
      <c r="W2291" t="s">
        <v>557</v>
      </c>
      <c r="X2291" t="s">
        <v>106</v>
      </c>
      <c r="Y2291" t="s">
        <v>108</v>
      </c>
      <c r="Z2291" t="s">
        <v>108</v>
      </c>
      <c r="AA2291" t="s">
        <v>106</v>
      </c>
      <c r="AB2291" t="s">
        <v>106</v>
      </c>
    </row>
    <row r="2292" spans="1:28" x14ac:dyDescent="0.3">
      <c r="A2292" t="s">
        <v>1548</v>
      </c>
      <c r="B2292">
        <v>3</v>
      </c>
      <c r="C2292">
        <v>35</v>
      </c>
      <c r="D2292">
        <v>162</v>
      </c>
      <c r="E2292" t="s">
        <v>456</v>
      </c>
      <c r="F2292" s="12">
        <v>45685</v>
      </c>
      <c r="G2292" t="s">
        <v>2535</v>
      </c>
      <c r="H2292" s="12">
        <v>45685</v>
      </c>
      <c r="I2292" t="s">
        <v>1688</v>
      </c>
      <c r="J2292" t="s">
        <v>458</v>
      </c>
      <c r="K2292">
        <v>2</v>
      </c>
      <c r="L2292">
        <v>35.799999999999997</v>
      </c>
      <c r="P2292" t="s">
        <v>106</v>
      </c>
      <c r="Q2292" t="s">
        <v>106</v>
      </c>
      <c r="R2292" t="s">
        <v>106</v>
      </c>
      <c r="S2292" t="s">
        <v>2548</v>
      </c>
      <c r="T2292" t="s">
        <v>1069</v>
      </c>
      <c r="U2292" t="s">
        <v>430</v>
      </c>
      <c r="V2292" t="s">
        <v>106</v>
      </c>
      <c r="W2292" t="s">
        <v>557</v>
      </c>
      <c r="X2292" t="s">
        <v>106</v>
      </c>
      <c r="Y2292" t="s">
        <v>108</v>
      </c>
      <c r="Z2292" t="s">
        <v>108</v>
      </c>
      <c r="AA2292" t="s">
        <v>106</v>
      </c>
      <c r="AB2292" t="s">
        <v>106</v>
      </c>
    </row>
    <row r="2293" spans="1:28" x14ac:dyDescent="0.3">
      <c r="A2293" t="s">
        <v>1548</v>
      </c>
      <c r="B2293">
        <v>3</v>
      </c>
      <c r="C2293">
        <v>35</v>
      </c>
      <c r="D2293">
        <v>167</v>
      </c>
      <c r="E2293" t="s">
        <v>456</v>
      </c>
      <c r="F2293" s="12">
        <v>45685</v>
      </c>
      <c r="G2293" t="s">
        <v>675</v>
      </c>
      <c r="H2293" s="12">
        <v>45685</v>
      </c>
      <c r="I2293" t="s">
        <v>390</v>
      </c>
      <c r="J2293" t="s">
        <v>458</v>
      </c>
      <c r="K2293">
        <v>2</v>
      </c>
      <c r="L2293">
        <v>36.6</v>
      </c>
      <c r="P2293" t="s">
        <v>106</v>
      </c>
      <c r="Q2293" t="s">
        <v>106</v>
      </c>
      <c r="R2293" t="s">
        <v>106</v>
      </c>
      <c r="S2293" t="s">
        <v>106</v>
      </c>
      <c r="T2293" t="s">
        <v>1657</v>
      </c>
      <c r="U2293" t="s">
        <v>395</v>
      </c>
      <c r="V2293" t="s">
        <v>106</v>
      </c>
      <c r="W2293" t="s">
        <v>557</v>
      </c>
      <c r="X2293" t="s">
        <v>106</v>
      </c>
      <c r="Y2293" t="s">
        <v>108</v>
      </c>
      <c r="Z2293" t="s">
        <v>108</v>
      </c>
      <c r="AA2293" t="s">
        <v>106</v>
      </c>
      <c r="AB2293" t="s">
        <v>106</v>
      </c>
    </row>
    <row r="2294" spans="1:28" x14ac:dyDescent="0.3">
      <c r="A2294" t="s">
        <v>1548</v>
      </c>
      <c r="B2294">
        <v>3</v>
      </c>
      <c r="C2294">
        <v>35</v>
      </c>
      <c r="D2294">
        <v>168</v>
      </c>
      <c r="E2294" t="s">
        <v>456</v>
      </c>
      <c r="F2294" s="12">
        <v>45685</v>
      </c>
      <c r="G2294" t="s">
        <v>675</v>
      </c>
      <c r="H2294" s="12">
        <v>45685</v>
      </c>
      <c r="I2294" t="s">
        <v>390</v>
      </c>
      <c r="J2294" t="s">
        <v>458</v>
      </c>
      <c r="K2294">
        <v>2</v>
      </c>
      <c r="L2294">
        <v>37.799999999999997</v>
      </c>
      <c r="P2294" t="s">
        <v>106</v>
      </c>
      <c r="Q2294" t="s">
        <v>106</v>
      </c>
      <c r="R2294" t="s">
        <v>106</v>
      </c>
      <c r="S2294" t="s">
        <v>1404</v>
      </c>
      <c r="T2294" t="s">
        <v>996</v>
      </c>
      <c r="U2294" t="s">
        <v>1780</v>
      </c>
      <c r="V2294" t="s">
        <v>106</v>
      </c>
      <c r="W2294" t="s">
        <v>557</v>
      </c>
      <c r="X2294" t="s">
        <v>106</v>
      </c>
      <c r="Y2294" t="s">
        <v>108</v>
      </c>
      <c r="Z2294" t="s">
        <v>108</v>
      </c>
      <c r="AA2294" t="s">
        <v>106</v>
      </c>
      <c r="AB2294" t="s">
        <v>106</v>
      </c>
    </row>
    <row r="2295" spans="1:28" x14ac:dyDescent="0.3">
      <c r="A2295" t="s">
        <v>1548</v>
      </c>
      <c r="B2295">
        <v>4</v>
      </c>
      <c r="C2295">
        <v>60</v>
      </c>
      <c r="D2295">
        <v>156</v>
      </c>
      <c r="E2295" t="s">
        <v>456</v>
      </c>
      <c r="F2295" s="12">
        <v>45685</v>
      </c>
      <c r="G2295" t="s">
        <v>1695</v>
      </c>
      <c r="H2295" s="12">
        <v>45685</v>
      </c>
      <c r="I2295" t="s">
        <v>1578</v>
      </c>
      <c r="J2295" t="s">
        <v>458</v>
      </c>
      <c r="K2295">
        <v>2</v>
      </c>
      <c r="L2295">
        <v>57.1</v>
      </c>
      <c r="P2295" t="s">
        <v>106</v>
      </c>
      <c r="Q2295" t="s">
        <v>106</v>
      </c>
      <c r="R2295" t="s">
        <v>106</v>
      </c>
      <c r="S2295" t="s">
        <v>1399</v>
      </c>
      <c r="T2295" t="s">
        <v>961</v>
      </c>
      <c r="U2295" t="s">
        <v>395</v>
      </c>
      <c r="V2295" t="s">
        <v>106</v>
      </c>
      <c r="W2295" t="s">
        <v>557</v>
      </c>
      <c r="X2295" t="s">
        <v>106</v>
      </c>
      <c r="Y2295" t="s">
        <v>108</v>
      </c>
      <c r="Z2295" t="s">
        <v>104</v>
      </c>
      <c r="AA2295" t="s">
        <v>106</v>
      </c>
      <c r="AB2295" t="s">
        <v>106</v>
      </c>
    </row>
    <row r="2296" spans="1:28" x14ac:dyDescent="0.3">
      <c r="A2296" t="s">
        <v>1548</v>
      </c>
      <c r="B2296">
        <v>4</v>
      </c>
      <c r="C2296">
        <v>60</v>
      </c>
      <c r="D2296">
        <v>163</v>
      </c>
      <c r="E2296" t="s">
        <v>456</v>
      </c>
      <c r="F2296" s="12">
        <v>45685</v>
      </c>
      <c r="G2296" t="s">
        <v>2140</v>
      </c>
      <c r="H2296" s="12">
        <v>45685</v>
      </c>
      <c r="I2296" t="s">
        <v>1688</v>
      </c>
      <c r="J2296" t="s">
        <v>458</v>
      </c>
      <c r="K2296">
        <v>2</v>
      </c>
      <c r="L2296">
        <v>57.3</v>
      </c>
      <c r="P2296" t="s">
        <v>106</v>
      </c>
      <c r="Q2296" t="s">
        <v>106</v>
      </c>
      <c r="R2296" t="s">
        <v>106</v>
      </c>
      <c r="S2296" t="s">
        <v>106</v>
      </c>
      <c r="T2296" t="s">
        <v>2272</v>
      </c>
      <c r="U2296" t="s">
        <v>1418</v>
      </c>
      <c r="V2296" t="s">
        <v>106</v>
      </c>
      <c r="W2296" t="s">
        <v>557</v>
      </c>
      <c r="X2296" t="s">
        <v>106</v>
      </c>
      <c r="Y2296" t="s">
        <v>108</v>
      </c>
      <c r="Z2296" t="s">
        <v>104</v>
      </c>
      <c r="AA2296" t="s">
        <v>106</v>
      </c>
      <c r="AB2296" t="s">
        <v>106</v>
      </c>
    </row>
    <row r="2297" spans="1:28" x14ac:dyDescent="0.3">
      <c r="A2297" t="s">
        <v>1548</v>
      </c>
      <c r="B2297">
        <v>4</v>
      </c>
      <c r="C2297">
        <v>60</v>
      </c>
      <c r="D2297">
        <v>164</v>
      </c>
      <c r="E2297" t="s">
        <v>456</v>
      </c>
      <c r="F2297" s="12">
        <v>45685</v>
      </c>
      <c r="G2297" t="s">
        <v>2142</v>
      </c>
      <c r="H2297" s="12">
        <v>45685</v>
      </c>
      <c r="I2297" t="s">
        <v>1688</v>
      </c>
      <c r="J2297" t="s">
        <v>458</v>
      </c>
      <c r="K2297">
        <v>2</v>
      </c>
      <c r="L2297">
        <v>56.8</v>
      </c>
      <c r="P2297" t="s">
        <v>106</v>
      </c>
      <c r="Q2297" t="s">
        <v>106</v>
      </c>
      <c r="R2297" t="s">
        <v>106</v>
      </c>
      <c r="S2297" t="s">
        <v>2733</v>
      </c>
      <c r="T2297" t="s">
        <v>1069</v>
      </c>
      <c r="U2297" t="s">
        <v>1418</v>
      </c>
      <c r="V2297" t="s">
        <v>106</v>
      </c>
      <c r="W2297" t="s">
        <v>557</v>
      </c>
      <c r="X2297" t="s">
        <v>106</v>
      </c>
      <c r="Y2297" t="s">
        <v>108</v>
      </c>
      <c r="Z2297" t="s">
        <v>104</v>
      </c>
      <c r="AA2297" t="s">
        <v>106</v>
      </c>
      <c r="AB2297" t="s">
        <v>106</v>
      </c>
    </row>
    <row r="2298" spans="1:28" x14ac:dyDescent="0.3">
      <c r="A2298" t="s">
        <v>1548</v>
      </c>
      <c r="B2298">
        <v>4</v>
      </c>
      <c r="C2298">
        <v>60</v>
      </c>
      <c r="D2298">
        <v>155</v>
      </c>
      <c r="E2298" t="s">
        <v>456</v>
      </c>
      <c r="F2298" s="12">
        <v>45685</v>
      </c>
      <c r="G2298" t="s">
        <v>2734</v>
      </c>
      <c r="H2298" s="12">
        <v>45685</v>
      </c>
      <c r="I2298" t="s">
        <v>1578</v>
      </c>
      <c r="J2298" t="s">
        <v>458</v>
      </c>
      <c r="K2298">
        <v>2</v>
      </c>
      <c r="L2298">
        <v>55.8</v>
      </c>
      <c r="P2298" t="s">
        <v>106</v>
      </c>
      <c r="Q2298" t="s">
        <v>106</v>
      </c>
      <c r="R2298" t="s">
        <v>106</v>
      </c>
      <c r="S2298" t="s">
        <v>106</v>
      </c>
      <c r="T2298" t="s">
        <v>961</v>
      </c>
      <c r="U2298" t="s">
        <v>1477</v>
      </c>
      <c r="V2298" t="s">
        <v>106</v>
      </c>
      <c r="W2298" t="s">
        <v>557</v>
      </c>
      <c r="X2298" t="s">
        <v>106</v>
      </c>
      <c r="Y2298" t="s">
        <v>108</v>
      </c>
      <c r="Z2298" t="s">
        <v>104</v>
      </c>
      <c r="AA2298" t="s">
        <v>106</v>
      </c>
      <c r="AB2298" t="s">
        <v>106</v>
      </c>
    </row>
    <row r="2299" spans="1:28" x14ac:dyDescent="0.3">
      <c r="A2299" t="s">
        <v>1548</v>
      </c>
      <c r="B2299">
        <v>4</v>
      </c>
      <c r="C2299">
        <v>60</v>
      </c>
      <c r="D2299">
        <v>169</v>
      </c>
      <c r="E2299" t="s">
        <v>456</v>
      </c>
      <c r="F2299" s="12">
        <v>45685</v>
      </c>
      <c r="G2299" t="s">
        <v>431</v>
      </c>
      <c r="H2299" s="12">
        <v>45685</v>
      </c>
      <c r="I2299" t="s">
        <v>390</v>
      </c>
      <c r="J2299" t="s">
        <v>458</v>
      </c>
      <c r="K2299">
        <v>2</v>
      </c>
      <c r="L2299">
        <v>55.7</v>
      </c>
      <c r="P2299" t="s">
        <v>106</v>
      </c>
      <c r="Q2299" t="s">
        <v>106</v>
      </c>
      <c r="R2299" t="s">
        <v>106</v>
      </c>
      <c r="S2299" t="s">
        <v>106</v>
      </c>
      <c r="T2299" t="s">
        <v>2048</v>
      </c>
      <c r="U2299" t="s">
        <v>841</v>
      </c>
      <c r="V2299" t="s">
        <v>106</v>
      </c>
      <c r="W2299" t="s">
        <v>557</v>
      </c>
      <c r="X2299" t="s">
        <v>106</v>
      </c>
      <c r="Y2299" t="s">
        <v>108</v>
      </c>
      <c r="Z2299" t="s">
        <v>104</v>
      </c>
      <c r="AA2299" t="s">
        <v>106</v>
      </c>
      <c r="AB2299" t="s">
        <v>106</v>
      </c>
    </row>
    <row r="2300" spans="1:28" x14ac:dyDescent="0.3">
      <c r="A2300" t="s">
        <v>1548</v>
      </c>
      <c r="B2300">
        <v>4</v>
      </c>
      <c r="C2300">
        <v>60</v>
      </c>
      <c r="D2300">
        <v>170</v>
      </c>
      <c r="E2300" t="s">
        <v>456</v>
      </c>
      <c r="F2300" s="12">
        <v>45685</v>
      </c>
      <c r="G2300" t="s">
        <v>435</v>
      </c>
      <c r="H2300" s="12">
        <v>45685</v>
      </c>
      <c r="I2300" t="s">
        <v>390</v>
      </c>
      <c r="J2300" t="s">
        <v>458</v>
      </c>
      <c r="K2300">
        <v>2</v>
      </c>
      <c r="L2300">
        <v>60.1</v>
      </c>
      <c r="P2300" t="s">
        <v>106</v>
      </c>
      <c r="Q2300" t="s">
        <v>106</v>
      </c>
      <c r="R2300" t="s">
        <v>106</v>
      </c>
      <c r="S2300" t="s">
        <v>2179</v>
      </c>
      <c r="T2300" t="s">
        <v>2048</v>
      </c>
      <c r="U2300" t="s">
        <v>703</v>
      </c>
      <c r="V2300" t="s">
        <v>106</v>
      </c>
      <c r="W2300" t="s">
        <v>557</v>
      </c>
      <c r="X2300" t="s">
        <v>106</v>
      </c>
      <c r="Y2300" t="s">
        <v>108</v>
      </c>
      <c r="Z2300" t="s">
        <v>104</v>
      </c>
      <c r="AA2300" t="s">
        <v>106</v>
      </c>
      <c r="AB2300" t="s">
        <v>106</v>
      </c>
    </row>
    <row r="2301" spans="1:28" x14ac:dyDescent="0.3">
      <c r="A2301" t="s">
        <v>1580</v>
      </c>
      <c r="B2301">
        <v>1</v>
      </c>
      <c r="C2301">
        <v>0</v>
      </c>
      <c r="D2301">
        <v>14</v>
      </c>
      <c r="E2301" t="s">
        <v>110</v>
      </c>
      <c r="F2301" s="12">
        <v>45708</v>
      </c>
      <c r="G2301" t="s">
        <v>390</v>
      </c>
      <c r="H2301" s="12">
        <v>45708</v>
      </c>
      <c r="I2301" t="s">
        <v>547</v>
      </c>
      <c r="J2301" t="s">
        <v>550</v>
      </c>
      <c r="L2301">
        <v>0</v>
      </c>
      <c r="M2301">
        <v>0</v>
      </c>
      <c r="P2301" t="s">
        <v>106</v>
      </c>
      <c r="Q2301" t="s">
        <v>106</v>
      </c>
      <c r="R2301" t="s">
        <v>106</v>
      </c>
      <c r="S2301" t="s">
        <v>106</v>
      </c>
      <c r="T2301" t="s">
        <v>541</v>
      </c>
      <c r="U2301" t="s">
        <v>106</v>
      </c>
      <c r="V2301" t="s">
        <v>106</v>
      </c>
      <c r="W2301" t="s">
        <v>476</v>
      </c>
      <c r="X2301" t="s">
        <v>106</v>
      </c>
      <c r="Y2301" t="s">
        <v>108</v>
      </c>
      <c r="Z2301" t="s">
        <v>105</v>
      </c>
      <c r="AA2301" t="s">
        <v>1581</v>
      </c>
      <c r="AB2301" t="s">
        <v>106</v>
      </c>
    </row>
    <row r="2302" spans="1:28" x14ac:dyDescent="0.3">
      <c r="A2302" t="s">
        <v>1580</v>
      </c>
      <c r="B2302">
        <v>2</v>
      </c>
      <c r="C2302">
        <v>15</v>
      </c>
      <c r="D2302">
        <v>3</v>
      </c>
      <c r="E2302" t="s">
        <v>308</v>
      </c>
      <c r="F2302" s="12">
        <v>45708</v>
      </c>
      <c r="G2302" t="s">
        <v>412</v>
      </c>
      <c r="H2302" s="12">
        <v>45708</v>
      </c>
      <c r="I2302" t="s">
        <v>547</v>
      </c>
      <c r="J2302" t="s">
        <v>550</v>
      </c>
      <c r="L2302">
        <v>17</v>
      </c>
      <c r="M2302">
        <v>17</v>
      </c>
      <c r="P2302" t="s">
        <v>106</v>
      </c>
      <c r="Q2302" t="s">
        <v>106</v>
      </c>
      <c r="R2302" t="s">
        <v>106</v>
      </c>
      <c r="S2302" t="s">
        <v>106</v>
      </c>
      <c r="T2302" t="s">
        <v>1931</v>
      </c>
      <c r="U2302" t="s">
        <v>106</v>
      </c>
      <c r="V2302" t="s">
        <v>106</v>
      </c>
      <c r="W2302" t="s">
        <v>476</v>
      </c>
      <c r="X2302" t="s">
        <v>106</v>
      </c>
      <c r="Y2302" t="s">
        <v>108</v>
      </c>
      <c r="Z2302" t="s">
        <v>109</v>
      </c>
      <c r="AA2302" t="s">
        <v>1581</v>
      </c>
      <c r="AB2302" t="s">
        <v>106</v>
      </c>
    </row>
    <row r="2303" spans="1:28" x14ac:dyDescent="0.3">
      <c r="A2303" t="s">
        <v>1580</v>
      </c>
      <c r="B2303">
        <v>2</v>
      </c>
      <c r="C2303">
        <v>15</v>
      </c>
      <c r="D2303">
        <v>4</v>
      </c>
      <c r="E2303" t="s">
        <v>308</v>
      </c>
      <c r="F2303" s="12">
        <v>45708</v>
      </c>
      <c r="G2303" t="s">
        <v>336</v>
      </c>
      <c r="H2303" s="12">
        <v>45708</v>
      </c>
      <c r="I2303" t="s">
        <v>547</v>
      </c>
      <c r="J2303" t="s">
        <v>550</v>
      </c>
      <c r="L2303">
        <v>17.7</v>
      </c>
      <c r="M2303">
        <v>17.7</v>
      </c>
      <c r="P2303" t="s">
        <v>106</v>
      </c>
      <c r="Q2303" t="s">
        <v>106</v>
      </c>
      <c r="R2303" t="s">
        <v>106</v>
      </c>
      <c r="S2303" t="s">
        <v>106</v>
      </c>
      <c r="T2303" t="s">
        <v>1280</v>
      </c>
      <c r="U2303" t="s">
        <v>106</v>
      </c>
      <c r="V2303" t="s">
        <v>106</v>
      </c>
      <c r="W2303" t="s">
        <v>476</v>
      </c>
      <c r="X2303" t="s">
        <v>106</v>
      </c>
      <c r="Y2303" t="s">
        <v>108</v>
      </c>
      <c r="Z2303" t="s">
        <v>109</v>
      </c>
      <c r="AA2303" t="s">
        <v>1581</v>
      </c>
      <c r="AB2303" t="s">
        <v>106</v>
      </c>
    </row>
    <row r="2304" spans="1:28" x14ac:dyDescent="0.3">
      <c r="A2304" t="s">
        <v>1580</v>
      </c>
      <c r="B2304">
        <v>2</v>
      </c>
      <c r="C2304">
        <v>15</v>
      </c>
      <c r="D2304">
        <v>10</v>
      </c>
      <c r="E2304" t="s">
        <v>110</v>
      </c>
      <c r="F2304" s="12">
        <v>45708</v>
      </c>
      <c r="G2304" t="s">
        <v>647</v>
      </c>
      <c r="H2304" s="12">
        <v>45708</v>
      </c>
      <c r="I2304" t="s">
        <v>547</v>
      </c>
      <c r="J2304" t="s">
        <v>550</v>
      </c>
      <c r="L2304">
        <v>17.899999999999999</v>
      </c>
      <c r="M2304">
        <v>17.899999999999999</v>
      </c>
      <c r="P2304" t="s">
        <v>106</v>
      </c>
      <c r="Q2304" t="s">
        <v>106</v>
      </c>
      <c r="R2304" t="s">
        <v>106</v>
      </c>
      <c r="S2304" t="s">
        <v>106</v>
      </c>
      <c r="T2304" t="s">
        <v>1589</v>
      </c>
      <c r="U2304" t="s">
        <v>106</v>
      </c>
      <c r="V2304" t="s">
        <v>106</v>
      </c>
      <c r="W2304" t="s">
        <v>476</v>
      </c>
      <c r="X2304" t="s">
        <v>106</v>
      </c>
      <c r="Y2304" t="s">
        <v>108</v>
      </c>
      <c r="Z2304" t="s">
        <v>109</v>
      </c>
      <c r="AA2304" t="s">
        <v>1581</v>
      </c>
      <c r="AB2304" t="s">
        <v>106</v>
      </c>
    </row>
    <row r="2305" spans="1:28" x14ac:dyDescent="0.3">
      <c r="A2305" t="s">
        <v>1580</v>
      </c>
      <c r="B2305">
        <v>2</v>
      </c>
      <c r="C2305">
        <v>15</v>
      </c>
      <c r="D2305">
        <v>11</v>
      </c>
      <c r="E2305" t="s">
        <v>110</v>
      </c>
      <c r="F2305" s="12">
        <v>45708</v>
      </c>
      <c r="G2305" t="s">
        <v>648</v>
      </c>
      <c r="H2305" s="12">
        <v>45708</v>
      </c>
      <c r="I2305" t="s">
        <v>547</v>
      </c>
      <c r="J2305" t="s">
        <v>550</v>
      </c>
      <c r="L2305">
        <v>17.7</v>
      </c>
      <c r="M2305">
        <v>17.7</v>
      </c>
      <c r="P2305" t="s">
        <v>106</v>
      </c>
      <c r="Q2305" t="s">
        <v>106</v>
      </c>
      <c r="R2305" t="s">
        <v>106</v>
      </c>
      <c r="S2305" t="s">
        <v>1867</v>
      </c>
      <c r="T2305" t="s">
        <v>1235</v>
      </c>
      <c r="U2305" t="s">
        <v>106</v>
      </c>
      <c r="V2305" t="s">
        <v>106</v>
      </c>
      <c r="W2305" t="s">
        <v>476</v>
      </c>
      <c r="X2305" t="s">
        <v>106</v>
      </c>
      <c r="Y2305" t="s">
        <v>108</v>
      </c>
      <c r="Z2305" t="s">
        <v>109</v>
      </c>
      <c r="AA2305" t="s">
        <v>1581</v>
      </c>
      <c r="AB2305" t="s">
        <v>106</v>
      </c>
    </row>
    <row r="2306" spans="1:28" x14ac:dyDescent="0.3">
      <c r="A2306" t="s">
        <v>1580</v>
      </c>
      <c r="B2306">
        <v>3</v>
      </c>
      <c r="C2306">
        <v>35</v>
      </c>
      <c r="D2306">
        <v>8</v>
      </c>
      <c r="E2306" t="s">
        <v>110</v>
      </c>
      <c r="F2306" s="12">
        <v>45708</v>
      </c>
      <c r="G2306" t="s">
        <v>432</v>
      </c>
      <c r="H2306" s="12">
        <v>45708</v>
      </c>
      <c r="I2306" t="s">
        <v>547</v>
      </c>
      <c r="J2306" t="s">
        <v>550</v>
      </c>
      <c r="L2306">
        <v>38.1</v>
      </c>
      <c r="M2306">
        <v>38.200000000000003</v>
      </c>
      <c r="P2306" t="s">
        <v>106</v>
      </c>
      <c r="Q2306" t="s">
        <v>106</v>
      </c>
      <c r="R2306" t="s">
        <v>106</v>
      </c>
      <c r="S2306" t="s">
        <v>106</v>
      </c>
      <c r="T2306" t="s">
        <v>1046</v>
      </c>
      <c r="U2306" t="s">
        <v>106</v>
      </c>
      <c r="V2306" t="s">
        <v>106</v>
      </c>
      <c r="W2306" t="s">
        <v>476</v>
      </c>
      <c r="X2306" t="s">
        <v>106</v>
      </c>
      <c r="Y2306" t="s">
        <v>108</v>
      </c>
      <c r="Z2306" t="s">
        <v>108</v>
      </c>
      <c r="AA2306" t="s">
        <v>1581</v>
      </c>
      <c r="AB2306" t="s">
        <v>106</v>
      </c>
    </row>
    <row r="2307" spans="1:28" x14ac:dyDescent="0.3">
      <c r="A2307" t="s">
        <v>1580</v>
      </c>
      <c r="B2307">
        <v>3</v>
      </c>
      <c r="C2307">
        <v>35</v>
      </c>
      <c r="D2307">
        <v>7</v>
      </c>
      <c r="E2307" t="s">
        <v>110</v>
      </c>
      <c r="F2307" s="12">
        <v>45708</v>
      </c>
      <c r="G2307" t="s">
        <v>873</v>
      </c>
      <c r="H2307" s="12">
        <v>45708</v>
      </c>
      <c r="I2307" t="s">
        <v>547</v>
      </c>
      <c r="J2307" t="s">
        <v>550</v>
      </c>
      <c r="L2307">
        <v>38.700000000000003</v>
      </c>
      <c r="M2307">
        <v>38.4</v>
      </c>
      <c r="P2307" t="s">
        <v>106</v>
      </c>
      <c r="Q2307" t="s">
        <v>106</v>
      </c>
      <c r="R2307" t="s">
        <v>106</v>
      </c>
      <c r="S2307" t="s">
        <v>106</v>
      </c>
      <c r="T2307" t="s">
        <v>937</v>
      </c>
      <c r="U2307" t="s">
        <v>106</v>
      </c>
      <c r="V2307" t="s">
        <v>106</v>
      </c>
      <c r="W2307" t="s">
        <v>476</v>
      </c>
      <c r="X2307" t="s">
        <v>106</v>
      </c>
      <c r="Y2307" t="s">
        <v>108</v>
      </c>
      <c r="Z2307" t="s">
        <v>108</v>
      </c>
      <c r="AA2307" t="s">
        <v>1581</v>
      </c>
      <c r="AB2307" t="s">
        <v>106</v>
      </c>
    </row>
    <row r="2308" spans="1:28" x14ac:dyDescent="0.3">
      <c r="A2308" t="s">
        <v>1580</v>
      </c>
      <c r="B2308">
        <v>3</v>
      </c>
      <c r="C2308">
        <v>35</v>
      </c>
      <c r="D2308">
        <v>2</v>
      </c>
      <c r="E2308" t="s">
        <v>308</v>
      </c>
      <c r="F2308" s="12">
        <v>45708</v>
      </c>
      <c r="G2308" t="s">
        <v>412</v>
      </c>
      <c r="H2308" s="12">
        <v>45708</v>
      </c>
      <c r="I2308" t="s">
        <v>547</v>
      </c>
      <c r="J2308" t="s">
        <v>550</v>
      </c>
      <c r="L2308">
        <v>38.4</v>
      </c>
      <c r="M2308">
        <v>38.1</v>
      </c>
      <c r="P2308" t="s">
        <v>106</v>
      </c>
      <c r="Q2308" t="s">
        <v>106</v>
      </c>
      <c r="R2308" t="s">
        <v>106</v>
      </c>
      <c r="S2308" t="s">
        <v>106</v>
      </c>
      <c r="T2308" t="s">
        <v>1558</v>
      </c>
      <c r="U2308" t="s">
        <v>106</v>
      </c>
      <c r="V2308" t="s">
        <v>106</v>
      </c>
      <c r="W2308" t="s">
        <v>476</v>
      </c>
      <c r="X2308" t="s">
        <v>106</v>
      </c>
      <c r="Y2308" t="s">
        <v>108</v>
      </c>
      <c r="Z2308" t="s">
        <v>108</v>
      </c>
      <c r="AA2308" t="s">
        <v>1581</v>
      </c>
      <c r="AB2308" t="s">
        <v>106</v>
      </c>
    </row>
    <row r="2309" spans="1:28" x14ac:dyDescent="0.3">
      <c r="A2309" t="s">
        <v>1580</v>
      </c>
      <c r="B2309">
        <v>3</v>
      </c>
      <c r="C2309">
        <v>35</v>
      </c>
      <c r="D2309">
        <v>1</v>
      </c>
      <c r="E2309" t="s">
        <v>308</v>
      </c>
      <c r="F2309" s="12">
        <v>45708</v>
      </c>
      <c r="G2309" t="s">
        <v>1469</v>
      </c>
      <c r="H2309" s="12">
        <v>45708</v>
      </c>
      <c r="I2309" t="s">
        <v>547</v>
      </c>
      <c r="J2309" t="s">
        <v>550</v>
      </c>
      <c r="L2309">
        <v>38.299999999999997</v>
      </c>
      <c r="M2309">
        <v>38.700000000000003</v>
      </c>
      <c r="P2309" t="s">
        <v>106</v>
      </c>
      <c r="Q2309" t="s">
        <v>106</v>
      </c>
      <c r="R2309" t="s">
        <v>106</v>
      </c>
      <c r="S2309" t="s">
        <v>106</v>
      </c>
      <c r="T2309" t="s">
        <v>1372</v>
      </c>
      <c r="U2309" t="s">
        <v>106</v>
      </c>
      <c r="V2309" t="s">
        <v>106</v>
      </c>
      <c r="W2309" t="s">
        <v>476</v>
      </c>
      <c r="X2309" t="s">
        <v>106</v>
      </c>
      <c r="Y2309" t="s">
        <v>108</v>
      </c>
      <c r="Z2309" t="s">
        <v>108</v>
      </c>
      <c r="AA2309" t="s">
        <v>1581</v>
      </c>
      <c r="AB2309" t="s">
        <v>106</v>
      </c>
    </row>
    <row r="2310" spans="1:28" x14ac:dyDescent="0.3">
      <c r="A2310" t="s">
        <v>1580</v>
      </c>
      <c r="B2310">
        <v>3</v>
      </c>
      <c r="C2310">
        <v>35</v>
      </c>
      <c r="D2310">
        <v>9</v>
      </c>
      <c r="E2310" t="s">
        <v>110</v>
      </c>
      <c r="F2310" s="12">
        <v>45708</v>
      </c>
      <c r="G2310" t="s">
        <v>432</v>
      </c>
      <c r="H2310" s="12">
        <v>45708</v>
      </c>
      <c r="I2310" t="s">
        <v>547</v>
      </c>
      <c r="J2310" t="s">
        <v>550</v>
      </c>
      <c r="L2310">
        <v>37.9</v>
      </c>
      <c r="M2310">
        <v>38</v>
      </c>
      <c r="P2310" t="s">
        <v>106</v>
      </c>
      <c r="Q2310" t="s">
        <v>106</v>
      </c>
      <c r="R2310" t="s">
        <v>106</v>
      </c>
      <c r="S2310" t="s">
        <v>2549</v>
      </c>
      <c r="T2310" t="s">
        <v>454</v>
      </c>
      <c r="U2310" t="s">
        <v>106</v>
      </c>
      <c r="V2310" t="s">
        <v>106</v>
      </c>
      <c r="W2310" t="s">
        <v>476</v>
      </c>
      <c r="X2310" t="s">
        <v>106</v>
      </c>
      <c r="Y2310" t="s">
        <v>108</v>
      </c>
      <c r="Z2310" t="s">
        <v>108</v>
      </c>
      <c r="AA2310" t="s">
        <v>1581</v>
      </c>
      <c r="AB2310" t="s">
        <v>106</v>
      </c>
    </row>
    <row r="2311" spans="1:28" x14ac:dyDescent="0.3">
      <c r="A2311" t="s">
        <v>1580</v>
      </c>
      <c r="B2311">
        <v>4</v>
      </c>
      <c r="C2311">
        <v>60</v>
      </c>
      <c r="D2311">
        <v>5</v>
      </c>
      <c r="E2311" t="s">
        <v>308</v>
      </c>
      <c r="F2311" s="12">
        <v>45708</v>
      </c>
      <c r="G2311" t="s">
        <v>376</v>
      </c>
      <c r="H2311" s="12">
        <v>45708</v>
      </c>
      <c r="I2311" t="s">
        <v>547</v>
      </c>
      <c r="J2311" t="s">
        <v>550</v>
      </c>
      <c r="L2311">
        <v>60.2</v>
      </c>
      <c r="M2311">
        <v>60.9</v>
      </c>
      <c r="P2311" t="s">
        <v>106</v>
      </c>
      <c r="Q2311" t="s">
        <v>106</v>
      </c>
      <c r="R2311" t="s">
        <v>106</v>
      </c>
      <c r="S2311" t="s">
        <v>106</v>
      </c>
      <c r="T2311" t="s">
        <v>1527</v>
      </c>
      <c r="U2311" t="s">
        <v>106</v>
      </c>
      <c r="V2311" t="s">
        <v>106</v>
      </c>
      <c r="W2311" t="s">
        <v>476</v>
      </c>
      <c r="X2311" t="s">
        <v>106</v>
      </c>
      <c r="Y2311" t="s">
        <v>108</v>
      </c>
      <c r="Z2311" t="s">
        <v>104</v>
      </c>
      <c r="AA2311" t="s">
        <v>1581</v>
      </c>
      <c r="AB2311" t="s">
        <v>106</v>
      </c>
    </row>
    <row r="2312" spans="1:28" x14ac:dyDescent="0.3">
      <c r="A2312" t="s">
        <v>1580</v>
      </c>
      <c r="B2312">
        <v>4</v>
      </c>
      <c r="C2312">
        <v>60</v>
      </c>
      <c r="D2312">
        <v>6</v>
      </c>
      <c r="E2312" t="s">
        <v>110</v>
      </c>
      <c r="F2312" s="12">
        <v>45708</v>
      </c>
      <c r="G2312" t="s">
        <v>376</v>
      </c>
      <c r="H2312" s="12">
        <v>45708</v>
      </c>
      <c r="I2312" t="s">
        <v>547</v>
      </c>
      <c r="J2312" t="s">
        <v>550</v>
      </c>
      <c r="L2312">
        <v>60.3</v>
      </c>
      <c r="M2312">
        <v>61</v>
      </c>
      <c r="P2312" t="s">
        <v>106</v>
      </c>
      <c r="Q2312" t="s">
        <v>106</v>
      </c>
      <c r="R2312" t="s">
        <v>106</v>
      </c>
      <c r="S2312" t="s">
        <v>106</v>
      </c>
      <c r="T2312" t="s">
        <v>1527</v>
      </c>
      <c r="U2312" t="s">
        <v>106</v>
      </c>
      <c r="V2312" t="s">
        <v>106</v>
      </c>
      <c r="W2312" t="s">
        <v>476</v>
      </c>
      <c r="X2312" t="s">
        <v>106</v>
      </c>
      <c r="Y2312" t="s">
        <v>108</v>
      </c>
      <c r="Z2312" t="s">
        <v>104</v>
      </c>
      <c r="AA2312" t="s">
        <v>1581</v>
      </c>
      <c r="AB2312" t="s">
        <v>106</v>
      </c>
    </row>
    <row r="2313" spans="1:28" x14ac:dyDescent="0.3">
      <c r="A2313" t="s">
        <v>1580</v>
      </c>
      <c r="B2313">
        <v>4</v>
      </c>
      <c r="C2313">
        <v>60</v>
      </c>
      <c r="D2313">
        <v>12</v>
      </c>
      <c r="E2313" t="s">
        <v>110</v>
      </c>
      <c r="F2313" s="12">
        <v>45708</v>
      </c>
      <c r="G2313" t="s">
        <v>805</v>
      </c>
      <c r="H2313" s="12">
        <v>45708</v>
      </c>
      <c r="I2313" t="s">
        <v>547</v>
      </c>
      <c r="J2313" t="s">
        <v>550</v>
      </c>
      <c r="L2313">
        <v>64.3</v>
      </c>
      <c r="M2313">
        <v>64.7</v>
      </c>
      <c r="P2313" t="s">
        <v>106</v>
      </c>
      <c r="Q2313" t="s">
        <v>106</v>
      </c>
      <c r="R2313" t="s">
        <v>106</v>
      </c>
      <c r="S2313" t="s">
        <v>106</v>
      </c>
      <c r="T2313" t="s">
        <v>778</v>
      </c>
      <c r="U2313" t="s">
        <v>106</v>
      </c>
      <c r="V2313" t="s">
        <v>106</v>
      </c>
      <c r="W2313" t="s">
        <v>476</v>
      </c>
      <c r="X2313" t="s">
        <v>106</v>
      </c>
      <c r="Y2313" t="s">
        <v>108</v>
      </c>
      <c r="Z2313" t="s">
        <v>104</v>
      </c>
      <c r="AA2313" t="s">
        <v>1581</v>
      </c>
      <c r="AB2313" t="s">
        <v>106</v>
      </c>
    </row>
    <row r="2314" spans="1:28" x14ac:dyDescent="0.3">
      <c r="A2314" t="s">
        <v>1580</v>
      </c>
      <c r="B2314">
        <v>4</v>
      </c>
      <c r="C2314">
        <v>60</v>
      </c>
      <c r="D2314">
        <v>13</v>
      </c>
      <c r="E2314" t="s">
        <v>110</v>
      </c>
      <c r="F2314" s="12">
        <v>45708</v>
      </c>
      <c r="G2314" t="s">
        <v>400</v>
      </c>
      <c r="H2314" s="12">
        <v>45708</v>
      </c>
      <c r="I2314" t="s">
        <v>547</v>
      </c>
      <c r="J2314" t="s">
        <v>550</v>
      </c>
      <c r="L2314">
        <v>64.8</v>
      </c>
      <c r="M2314">
        <v>64.7</v>
      </c>
      <c r="P2314" t="s">
        <v>106</v>
      </c>
      <c r="Q2314" t="s">
        <v>106</v>
      </c>
      <c r="R2314" t="s">
        <v>106</v>
      </c>
      <c r="S2314" t="s">
        <v>1837</v>
      </c>
      <c r="T2314" t="s">
        <v>1698</v>
      </c>
      <c r="U2314" t="s">
        <v>106</v>
      </c>
      <c r="V2314" t="s">
        <v>106</v>
      </c>
      <c r="W2314" t="s">
        <v>476</v>
      </c>
      <c r="X2314" t="s">
        <v>106</v>
      </c>
      <c r="Y2314" t="s">
        <v>108</v>
      </c>
      <c r="Z2314" t="s">
        <v>104</v>
      </c>
      <c r="AA2314" t="s">
        <v>1581</v>
      </c>
      <c r="AB2314" t="s">
        <v>106</v>
      </c>
    </row>
    <row r="2315" spans="1:28" x14ac:dyDescent="0.3">
      <c r="A2315" t="s">
        <v>1580</v>
      </c>
      <c r="B2315">
        <v>1</v>
      </c>
      <c r="C2315">
        <v>0</v>
      </c>
      <c r="D2315">
        <v>68</v>
      </c>
      <c r="E2315" t="s">
        <v>456</v>
      </c>
      <c r="F2315" s="12">
        <v>45712</v>
      </c>
      <c r="G2315" t="s">
        <v>1582</v>
      </c>
      <c r="H2315" s="12">
        <v>45712</v>
      </c>
      <c r="I2315" t="s">
        <v>1583</v>
      </c>
      <c r="J2315" t="s">
        <v>1584</v>
      </c>
      <c r="K2315">
        <v>2</v>
      </c>
      <c r="L2315">
        <v>0</v>
      </c>
      <c r="M2315">
        <v>0</v>
      </c>
      <c r="P2315" t="s">
        <v>106</v>
      </c>
      <c r="Q2315" t="s">
        <v>106</v>
      </c>
      <c r="R2315" t="s">
        <v>106</v>
      </c>
      <c r="S2315" t="s">
        <v>106</v>
      </c>
      <c r="T2315" t="s">
        <v>1585</v>
      </c>
      <c r="U2315" t="s">
        <v>1411</v>
      </c>
      <c r="V2315" t="s">
        <v>106</v>
      </c>
      <c r="W2315" t="s">
        <v>476</v>
      </c>
      <c r="X2315" t="s">
        <v>106</v>
      </c>
      <c r="Y2315" t="s">
        <v>108</v>
      </c>
      <c r="Z2315" t="s">
        <v>108</v>
      </c>
      <c r="AA2315" t="s">
        <v>1586</v>
      </c>
      <c r="AB2315" t="s">
        <v>106</v>
      </c>
    </row>
    <row r="2316" spans="1:28" x14ac:dyDescent="0.3">
      <c r="A2316" t="s">
        <v>1580</v>
      </c>
      <c r="B2316">
        <v>1</v>
      </c>
      <c r="C2316">
        <v>0</v>
      </c>
      <c r="D2316">
        <v>77</v>
      </c>
      <c r="E2316" t="s">
        <v>456</v>
      </c>
      <c r="F2316" s="12">
        <v>45712</v>
      </c>
      <c r="G2316" t="s">
        <v>1587</v>
      </c>
      <c r="H2316" s="12">
        <v>45712</v>
      </c>
      <c r="I2316" t="s">
        <v>1588</v>
      </c>
      <c r="J2316" t="s">
        <v>1584</v>
      </c>
      <c r="K2316">
        <v>2</v>
      </c>
      <c r="L2316">
        <v>0</v>
      </c>
      <c r="M2316">
        <v>0</v>
      </c>
      <c r="P2316" t="s">
        <v>106</v>
      </c>
      <c r="Q2316" t="s">
        <v>106</v>
      </c>
      <c r="R2316" t="s">
        <v>106</v>
      </c>
      <c r="S2316" t="s">
        <v>106</v>
      </c>
      <c r="T2316" t="s">
        <v>996</v>
      </c>
      <c r="U2316" t="s">
        <v>1359</v>
      </c>
      <c r="V2316" t="s">
        <v>106</v>
      </c>
      <c r="W2316" t="s">
        <v>476</v>
      </c>
      <c r="X2316" t="s">
        <v>106</v>
      </c>
      <c r="Y2316" t="s">
        <v>108</v>
      </c>
      <c r="Z2316" t="s">
        <v>104</v>
      </c>
      <c r="AA2316" t="s">
        <v>1586</v>
      </c>
      <c r="AB2316" t="s">
        <v>106</v>
      </c>
    </row>
    <row r="2317" spans="1:28" x14ac:dyDescent="0.3">
      <c r="A2317" t="s">
        <v>1580</v>
      </c>
      <c r="B2317">
        <v>1</v>
      </c>
      <c r="C2317">
        <v>0</v>
      </c>
      <c r="D2317">
        <v>78</v>
      </c>
      <c r="E2317" t="s">
        <v>456</v>
      </c>
      <c r="F2317" s="12">
        <v>45712</v>
      </c>
      <c r="G2317" t="s">
        <v>1587</v>
      </c>
      <c r="H2317" s="12">
        <v>45712</v>
      </c>
      <c r="I2317" t="s">
        <v>1588</v>
      </c>
      <c r="J2317" t="s">
        <v>1584</v>
      </c>
      <c r="K2317">
        <v>2</v>
      </c>
      <c r="L2317">
        <v>0</v>
      </c>
      <c r="M2317">
        <v>0</v>
      </c>
      <c r="P2317" t="s">
        <v>106</v>
      </c>
      <c r="Q2317" t="s">
        <v>106</v>
      </c>
      <c r="R2317" t="s">
        <v>106</v>
      </c>
      <c r="S2317" t="s">
        <v>106</v>
      </c>
      <c r="T2317" t="s">
        <v>1589</v>
      </c>
      <c r="U2317" t="s">
        <v>1590</v>
      </c>
      <c r="V2317" t="s">
        <v>106</v>
      </c>
      <c r="W2317" t="s">
        <v>476</v>
      </c>
      <c r="X2317" t="s">
        <v>106</v>
      </c>
      <c r="Y2317" t="s">
        <v>108</v>
      </c>
      <c r="Z2317" t="s">
        <v>104</v>
      </c>
      <c r="AA2317" t="s">
        <v>1586</v>
      </c>
      <c r="AB2317" t="s">
        <v>106</v>
      </c>
    </row>
    <row r="2318" spans="1:28" x14ac:dyDescent="0.3">
      <c r="A2318" t="s">
        <v>1580</v>
      </c>
      <c r="B2318">
        <v>1</v>
      </c>
      <c r="C2318">
        <v>0</v>
      </c>
      <c r="D2318">
        <v>36</v>
      </c>
      <c r="E2318" t="s">
        <v>456</v>
      </c>
      <c r="F2318" s="12">
        <v>45712</v>
      </c>
      <c r="G2318" t="s">
        <v>437</v>
      </c>
      <c r="H2318" s="12">
        <v>45712</v>
      </c>
      <c r="I2318" t="s">
        <v>380</v>
      </c>
      <c r="J2318" t="s">
        <v>477</v>
      </c>
      <c r="K2318">
        <v>2</v>
      </c>
      <c r="L2318">
        <v>0</v>
      </c>
      <c r="M2318">
        <v>0</v>
      </c>
      <c r="P2318" t="s">
        <v>106</v>
      </c>
      <c r="Q2318" t="s">
        <v>106</v>
      </c>
      <c r="R2318" t="s">
        <v>106</v>
      </c>
      <c r="S2318" t="s">
        <v>106</v>
      </c>
      <c r="T2318" t="s">
        <v>777</v>
      </c>
      <c r="U2318" t="s">
        <v>1411</v>
      </c>
      <c r="V2318" t="s">
        <v>106</v>
      </c>
      <c r="W2318" t="s">
        <v>954</v>
      </c>
      <c r="X2318" t="s">
        <v>106</v>
      </c>
      <c r="Y2318" t="s">
        <v>108</v>
      </c>
      <c r="Z2318" t="s">
        <v>105</v>
      </c>
      <c r="AA2318" t="s">
        <v>106</v>
      </c>
      <c r="AB2318" t="s">
        <v>106</v>
      </c>
    </row>
    <row r="2319" spans="1:28" x14ac:dyDescent="0.3">
      <c r="A2319" t="s">
        <v>1580</v>
      </c>
      <c r="B2319">
        <v>1</v>
      </c>
      <c r="C2319">
        <v>0</v>
      </c>
      <c r="D2319">
        <v>69</v>
      </c>
      <c r="E2319" t="s">
        <v>456</v>
      </c>
      <c r="F2319" s="12">
        <v>45712</v>
      </c>
      <c r="G2319" t="s">
        <v>1582</v>
      </c>
      <c r="H2319" s="12">
        <v>45712</v>
      </c>
      <c r="I2319" t="s">
        <v>1583</v>
      </c>
      <c r="J2319" t="s">
        <v>1584</v>
      </c>
      <c r="K2319">
        <v>2</v>
      </c>
      <c r="L2319">
        <v>0</v>
      </c>
      <c r="M2319">
        <v>0</v>
      </c>
      <c r="P2319" t="s">
        <v>106</v>
      </c>
      <c r="Q2319" t="s">
        <v>106</v>
      </c>
      <c r="R2319" t="s">
        <v>106</v>
      </c>
      <c r="S2319" t="s">
        <v>106</v>
      </c>
      <c r="T2319" t="s">
        <v>875</v>
      </c>
      <c r="U2319" t="s">
        <v>391</v>
      </c>
      <c r="V2319" t="s">
        <v>106</v>
      </c>
      <c r="W2319" t="s">
        <v>476</v>
      </c>
      <c r="X2319" t="s">
        <v>106</v>
      </c>
      <c r="Y2319" t="s">
        <v>108</v>
      </c>
      <c r="Z2319" t="s">
        <v>108</v>
      </c>
      <c r="AA2319" t="s">
        <v>1586</v>
      </c>
      <c r="AB2319" t="s">
        <v>106</v>
      </c>
    </row>
    <row r="2320" spans="1:28" x14ac:dyDescent="0.3">
      <c r="A2320" t="s">
        <v>1580</v>
      </c>
      <c r="B2320">
        <v>1</v>
      </c>
      <c r="C2320">
        <v>0</v>
      </c>
      <c r="D2320">
        <v>35</v>
      </c>
      <c r="E2320" t="s">
        <v>456</v>
      </c>
      <c r="F2320" s="12">
        <v>45712</v>
      </c>
      <c r="G2320" t="s">
        <v>783</v>
      </c>
      <c r="H2320" s="12">
        <v>45712</v>
      </c>
      <c r="I2320" t="s">
        <v>380</v>
      </c>
      <c r="J2320" t="s">
        <v>477</v>
      </c>
      <c r="K2320">
        <v>2</v>
      </c>
      <c r="L2320">
        <v>0</v>
      </c>
      <c r="M2320">
        <v>0</v>
      </c>
      <c r="P2320" t="s">
        <v>106</v>
      </c>
      <c r="Q2320" t="s">
        <v>106</v>
      </c>
      <c r="R2320" t="s">
        <v>106</v>
      </c>
      <c r="S2320" t="s">
        <v>106</v>
      </c>
      <c r="T2320" t="s">
        <v>1372</v>
      </c>
      <c r="U2320" t="s">
        <v>1591</v>
      </c>
      <c r="V2320" t="s">
        <v>106</v>
      </c>
      <c r="W2320" t="s">
        <v>954</v>
      </c>
      <c r="X2320" t="s">
        <v>106</v>
      </c>
      <c r="Y2320" t="s">
        <v>108</v>
      </c>
      <c r="Z2320" t="s">
        <v>105</v>
      </c>
      <c r="AA2320" t="s">
        <v>106</v>
      </c>
      <c r="AB2320" t="s">
        <v>106</v>
      </c>
    </row>
    <row r="2321" spans="1:28" x14ac:dyDescent="0.3">
      <c r="A2321" t="s">
        <v>1580</v>
      </c>
      <c r="B2321">
        <v>2</v>
      </c>
      <c r="C2321">
        <v>15</v>
      </c>
      <c r="D2321">
        <v>82</v>
      </c>
      <c r="E2321" t="s">
        <v>456</v>
      </c>
      <c r="F2321" s="12">
        <v>45712</v>
      </c>
      <c r="G2321" t="s">
        <v>2131</v>
      </c>
      <c r="H2321" s="12">
        <v>45712</v>
      </c>
      <c r="I2321" t="s">
        <v>1502</v>
      </c>
      <c r="J2321" t="s">
        <v>1584</v>
      </c>
      <c r="K2321">
        <v>2</v>
      </c>
      <c r="L2321">
        <v>16.399999999999999</v>
      </c>
      <c r="M2321">
        <v>16.8</v>
      </c>
      <c r="P2321" t="s">
        <v>106</v>
      </c>
      <c r="Q2321" t="s">
        <v>106</v>
      </c>
      <c r="R2321" t="s">
        <v>106</v>
      </c>
      <c r="S2321" t="s">
        <v>106</v>
      </c>
      <c r="T2321" t="s">
        <v>1368</v>
      </c>
      <c r="U2321" t="s">
        <v>1615</v>
      </c>
      <c r="V2321" t="s">
        <v>106</v>
      </c>
      <c r="W2321" t="s">
        <v>476</v>
      </c>
      <c r="X2321" t="s">
        <v>106</v>
      </c>
      <c r="Y2321" t="s">
        <v>108</v>
      </c>
      <c r="Z2321" t="s">
        <v>104</v>
      </c>
      <c r="AA2321" t="s">
        <v>1586</v>
      </c>
      <c r="AB2321" t="s">
        <v>106</v>
      </c>
    </row>
    <row r="2322" spans="1:28" x14ac:dyDescent="0.3">
      <c r="A2322" t="s">
        <v>1580</v>
      </c>
      <c r="B2322">
        <v>2</v>
      </c>
      <c r="C2322">
        <v>15</v>
      </c>
      <c r="D2322">
        <v>81</v>
      </c>
      <c r="E2322" t="s">
        <v>456</v>
      </c>
      <c r="F2322" s="12">
        <v>45712</v>
      </c>
      <c r="G2322" t="s">
        <v>2131</v>
      </c>
      <c r="H2322" s="12">
        <v>45712</v>
      </c>
      <c r="I2322" t="s">
        <v>1502</v>
      </c>
      <c r="J2322" t="s">
        <v>1584</v>
      </c>
      <c r="K2322">
        <v>2</v>
      </c>
      <c r="L2322">
        <v>16.7</v>
      </c>
      <c r="M2322">
        <v>16.899999999999999</v>
      </c>
      <c r="P2322" t="s">
        <v>106</v>
      </c>
      <c r="Q2322" t="s">
        <v>106</v>
      </c>
      <c r="R2322" t="s">
        <v>106</v>
      </c>
      <c r="S2322" t="s">
        <v>106</v>
      </c>
      <c r="T2322" t="s">
        <v>2030</v>
      </c>
      <c r="U2322" t="s">
        <v>1539</v>
      </c>
      <c r="V2322" t="s">
        <v>106</v>
      </c>
      <c r="W2322" t="s">
        <v>476</v>
      </c>
      <c r="X2322" t="s">
        <v>106</v>
      </c>
      <c r="Y2322" t="s">
        <v>108</v>
      </c>
      <c r="Z2322" t="s">
        <v>104</v>
      </c>
      <c r="AA2322" t="s">
        <v>1586</v>
      </c>
      <c r="AB2322" t="s">
        <v>106</v>
      </c>
    </row>
    <row r="2323" spans="1:28" x14ac:dyDescent="0.3">
      <c r="A2323" t="s">
        <v>1580</v>
      </c>
      <c r="B2323">
        <v>2</v>
      </c>
      <c r="C2323">
        <v>15</v>
      </c>
      <c r="D2323">
        <v>71</v>
      </c>
      <c r="E2323" t="s">
        <v>456</v>
      </c>
      <c r="F2323" s="12">
        <v>45712</v>
      </c>
      <c r="G2323" t="s">
        <v>2185</v>
      </c>
      <c r="H2323" s="12">
        <v>45712</v>
      </c>
      <c r="I2323" t="s">
        <v>1588</v>
      </c>
      <c r="J2323" t="s">
        <v>1584</v>
      </c>
      <c r="K2323">
        <v>2</v>
      </c>
      <c r="L2323">
        <v>14.2</v>
      </c>
      <c r="M2323">
        <v>14.1</v>
      </c>
      <c r="P2323" t="s">
        <v>106</v>
      </c>
      <c r="Q2323" t="s">
        <v>106</v>
      </c>
      <c r="R2323" t="s">
        <v>106</v>
      </c>
      <c r="S2323" t="s">
        <v>2186</v>
      </c>
      <c r="T2323" t="s">
        <v>1063</v>
      </c>
      <c r="U2323" t="s">
        <v>1410</v>
      </c>
      <c r="V2323" t="s">
        <v>106</v>
      </c>
      <c r="W2323" t="s">
        <v>476</v>
      </c>
      <c r="X2323" t="s">
        <v>106</v>
      </c>
      <c r="Y2323" t="s">
        <v>108</v>
      </c>
      <c r="Z2323" t="s">
        <v>109</v>
      </c>
      <c r="AA2323" t="s">
        <v>1586</v>
      </c>
      <c r="AB2323" t="s">
        <v>106</v>
      </c>
    </row>
    <row r="2324" spans="1:28" x14ac:dyDescent="0.3">
      <c r="A2324" t="s">
        <v>1580</v>
      </c>
      <c r="B2324">
        <v>2</v>
      </c>
      <c r="C2324">
        <v>15</v>
      </c>
      <c r="D2324">
        <v>70</v>
      </c>
      <c r="E2324" t="s">
        <v>456</v>
      </c>
      <c r="F2324" s="12">
        <v>45712</v>
      </c>
      <c r="G2324" t="s">
        <v>2012</v>
      </c>
      <c r="H2324" s="12">
        <v>45712</v>
      </c>
      <c r="I2324" t="s">
        <v>1588</v>
      </c>
      <c r="J2324" t="s">
        <v>1584</v>
      </c>
      <c r="K2324">
        <v>2</v>
      </c>
      <c r="L2324">
        <v>13.5</v>
      </c>
      <c r="M2324">
        <v>13.5</v>
      </c>
      <c r="P2324" t="s">
        <v>106</v>
      </c>
      <c r="Q2324" t="s">
        <v>106</v>
      </c>
      <c r="R2324" t="s">
        <v>106</v>
      </c>
      <c r="S2324" t="s">
        <v>2187</v>
      </c>
      <c r="T2324" t="s">
        <v>996</v>
      </c>
      <c r="U2324" t="s">
        <v>1780</v>
      </c>
      <c r="V2324" t="s">
        <v>106</v>
      </c>
      <c r="W2324" t="s">
        <v>476</v>
      </c>
      <c r="X2324" t="s">
        <v>106</v>
      </c>
      <c r="Y2324" t="s">
        <v>108</v>
      </c>
      <c r="Z2324" t="s">
        <v>109</v>
      </c>
      <c r="AA2324" t="s">
        <v>1586</v>
      </c>
      <c r="AB2324" t="s">
        <v>106</v>
      </c>
    </row>
    <row r="2325" spans="1:28" x14ac:dyDescent="0.3">
      <c r="A2325" t="s">
        <v>1580</v>
      </c>
      <c r="B2325">
        <v>2</v>
      </c>
      <c r="C2325">
        <v>15</v>
      </c>
      <c r="D2325">
        <v>63</v>
      </c>
      <c r="E2325" t="s">
        <v>110</v>
      </c>
      <c r="F2325" s="12">
        <v>45712</v>
      </c>
      <c r="G2325" t="s">
        <v>978</v>
      </c>
      <c r="H2325" s="12">
        <v>45712</v>
      </c>
      <c r="I2325" t="s">
        <v>1583</v>
      </c>
      <c r="J2325" t="s">
        <v>1584</v>
      </c>
      <c r="K2325">
        <v>2</v>
      </c>
      <c r="L2325">
        <v>15.2</v>
      </c>
      <c r="M2325">
        <v>15.3</v>
      </c>
      <c r="P2325" t="s">
        <v>106</v>
      </c>
      <c r="Q2325" t="s">
        <v>106</v>
      </c>
      <c r="R2325" t="s">
        <v>106</v>
      </c>
      <c r="S2325" t="s">
        <v>2188</v>
      </c>
      <c r="T2325" t="s">
        <v>1214</v>
      </c>
      <c r="U2325" t="s">
        <v>1418</v>
      </c>
      <c r="V2325" t="s">
        <v>106</v>
      </c>
      <c r="W2325" t="s">
        <v>476</v>
      </c>
      <c r="X2325" t="s">
        <v>106</v>
      </c>
      <c r="Y2325" t="s">
        <v>108</v>
      </c>
      <c r="Z2325" t="s">
        <v>109</v>
      </c>
      <c r="AA2325" t="s">
        <v>1586</v>
      </c>
      <c r="AB2325" t="s">
        <v>106</v>
      </c>
    </row>
    <row r="2326" spans="1:28" x14ac:dyDescent="0.3">
      <c r="A2326" t="s">
        <v>1580</v>
      </c>
      <c r="B2326">
        <v>2</v>
      </c>
      <c r="C2326">
        <v>15</v>
      </c>
      <c r="D2326">
        <v>62</v>
      </c>
      <c r="E2326" t="s">
        <v>456</v>
      </c>
      <c r="F2326" s="12">
        <v>45712</v>
      </c>
      <c r="G2326" t="s">
        <v>2123</v>
      </c>
      <c r="H2326" s="12">
        <v>45712</v>
      </c>
      <c r="I2326" t="s">
        <v>1583</v>
      </c>
      <c r="J2326" t="s">
        <v>1584</v>
      </c>
      <c r="K2326">
        <v>2</v>
      </c>
      <c r="L2326">
        <v>14.5</v>
      </c>
      <c r="M2326">
        <v>14.6</v>
      </c>
      <c r="P2326" t="s">
        <v>106</v>
      </c>
      <c r="Q2326" t="s">
        <v>106</v>
      </c>
      <c r="R2326" t="s">
        <v>106</v>
      </c>
      <c r="S2326" t="s">
        <v>2189</v>
      </c>
      <c r="T2326" t="s">
        <v>937</v>
      </c>
      <c r="U2326" t="s">
        <v>1382</v>
      </c>
      <c r="V2326" t="s">
        <v>106</v>
      </c>
      <c r="W2326" t="s">
        <v>476</v>
      </c>
      <c r="X2326" t="s">
        <v>106</v>
      </c>
      <c r="Y2326" t="s">
        <v>108</v>
      </c>
      <c r="Z2326" t="s">
        <v>109</v>
      </c>
      <c r="AA2326" t="s">
        <v>1586</v>
      </c>
      <c r="AB2326" t="s">
        <v>106</v>
      </c>
    </row>
    <row r="2327" spans="1:28" x14ac:dyDescent="0.3">
      <c r="A2327" t="s">
        <v>1580</v>
      </c>
      <c r="B2327">
        <v>2</v>
      </c>
      <c r="C2327">
        <v>15</v>
      </c>
      <c r="D2327">
        <v>57</v>
      </c>
      <c r="E2327" t="s">
        <v>456</v>
      </c>
      <c r="F2327" s="12">
        <v>45712</v>
      </c>
      <c r="G2327" t="s">
        <v>2190</v>
      </c>
      <c r="H2327" s="12">
        <v>45712</v>
      </c>
      <c r="I2327" t="s">
        <v>2061</v>
      </c>
      <c r="J2327" t="s">
        <v>2191</v>
      </c>
      <c r="K2327">
        <v>2</v>
      </c>
      <c r="L2327">
        <v>16.399999999999999</v>
      </c>
      <c r="M2327">
        <v>16.399999999999999</v>
      </c>
      <c r="P2327" t="s">
        <v>106</v>
      </c>
      <c r="Q2327" t="s">
        <v>106</v>
      </c>
      <c r="R2327" t="s">
        <v>106</v>
      </c>
      <c r="S2327" t="s">
        <v>2192</v>
      </c>
      <c r="T2327" t="s">
        <v>1589</v>
      </c>
      <c r="U2327" t="s">
        <v>1410</v>
      </c>
      <c r="V2327" t="s">
        <v>106</v>
      </c>
      <c r="W2327" t="s">
        <v>476</v>
      </c>
      <c r="X2327" t="s">
        <v>106</v>
      </c>
      <c r="Y2327" t="s">
        <v>108</v>
      </c>
      <c r="Z2327" t="s">
        <v>109</v>
      </c>
      <c r="AA2327" t="s">
        <v>1586</v>
      </c>
      <c r="AB2327" t="s">
        <v>106</v>
      </c>
    </row>
    <row r="2328" spans="1:28" x14ac:dyDescent="0.3">
      <c r="A2328" t="s">
        <v>1580</v>
      </c>
      <c r="B2328">
        <v>2</v>
      </c>
      <c r="C2328">
        <v>15</v>
      </c>
      <c r="D2328">
        <v>56</v>
      </c>
      <c r="E2328" t="s">
        <v>456</v>
      </c>
      <c r="F2328" s="12">
        <v>45712</v>
      </c>
      <c r="G2328" t="s">
        <v>2193</v>
      </c>
      <c r="H2328" s="12">
        <v>45712</v>
      </c>
      <c r="I2328" t="s">
        <v>2061</v>
      </c>
      <c r="J2328" t="s">
        <v>2191</v>
      </c>
      <c r="K2328">
        <v>2</v>
      </c>
      <c r="L2328">
        <v>16.5</v>
      </c>
      <c r="M2328">
        <v>16.8</v>
      </c>
      <c r="P2328" t="s">
        <v>106</v>
      </c>
      <c r="Q2328" t="s">
        <v>106</v>
      </c>
      <c r="R2328" t="s">
        <v>106</v>
      </c>
      <c r="S2328" t="s">
        <v>2194</v>
      </c>
      <c r="T2328" t="s">
        <v>2049</v>
      </c>
      <c r="U2328" t="s">
        <v>1382</v>
      </c>
      <c r="V2328" t="s">
        <v>106</v>
      </c>
      <c r="W2328" t="s">
        <v>476</v>
      </c>
      <c r="X2328" t="s">
        <v>106</v>
      </c>
      <c r="Y2328" t="s">
        <v>108</v>
      </c>
      <c r="Z2328" t="s">
        <v>109</v>
      </c>
      <c r="AA2328" t="s">
        <v>1586</v>
      </c>
      <c r="AB2328" t="s">
        <v>106</v>
      </c>
    </row>
    <row r="2329" spans="1:28" x14ac:dyDescent="0.3">
      <c r="A2329" t="s">
        <v>1580</v>
      </c>
      <c r="B2329">
        <v>2</v>
      </c>
      <c r="C2329">
        <v>15</v>
      </c>
      <c r="D2329">
        <v>50</v>
      </c>
      <c r="E2329" t="s">
        <v>456</v>
      </c>
      <c r="F2329" s="12">
        <v>45712</v>
      </c>
      <c r="G2329" t="s">
        <v>868</v>
      </c>
      <c r="H2329" s="12">
        <v>45712</v>
      </c>
      <c r="I2329" t="s">
        <v>2195</v>
      </c>
      <c r="J2329" t="s">
        <v>2191</v>
      </c>
      <c r="K2329">
        <v>2</v>
      </c>
      <c r="L2329">
        <v>14.2</v>
      </c>
      <c r="M2329">
        <v>14.5</v>
      </c>
      <c r="P2329" t="s">
        <v>106</v>
      </c>
      <c r="Q2329" t="s">
        <v>106</v>
      </c>
      <c r="R2329" t="s">
        <v>106</v>
      </c>
      <c r="S2329" t="s">
        <v>2196</v>
      </c>
      <c r="T2329" t="s">
        <v>1090</v>
      </c>
      <c r="U2329" t="s">
        <v>1626</v>
      </c>
      <c r="V2329" t="s">
        <v>106</v>
      </c>
      <c r="W2329" t="s">
        <v>476</v>
      </c>
      <c r="X2329" t="s">
        <v>106</v>
      </c>
      <c r="Y2329" t="s">
        <v>108</v>
      </c>
      <c r="Z2329" t="s">
        <v>109</v>
      </c>
      <c r="AA2329" t="s">
        <v>1586</v>
      </c>
      <c r="AB2329" t="s">
        <v>106</v>
      </c>
    </row>
    <row r="2330" spans="1:28" x14ac:dyDescent="0.3">
      <c r="A2330" t="s">
        <v>1580</v>
      </c>
      <c r="B2330">
        <v>2</v>
      </c>
      <c r="C2330">
        <v>15</v>
      </c>
      <c r="D2330">
        <v>49</v>
      </c>
      <c r="E2330" t="s">
        <v>456</v>
      </c>
      <c r="F2330" s="12">
        <v>45712</v>
      </c>
      <c r="G2330" t="s">
        <v>868</v>
      </c>
      <c r="H2330" s="12">
        <v>45712</v>
      </c>
      <c r="I2330" t="s">
        <v>2195</v>
      </c>
      <c r="J2330" t="s">
        <v>2191</v>
      </c>
      <c r="K2330">
        <v>2</v>
      </c>
      <c r="L2330">
        <v>14.1</v>
      </c>
      <c r="M2330">
        <v>14</v>
      </c>
      <c r="P2330" t="s">
        <v>106</v>
      </c>
      <c r="Q2330" t="s">
        <v>106</v>
      </c>
      <c r="R2330" t="s">
        <v>106</v>
      </c>
      <c r="S2330" t="s">
        <v>1079</v>
      </c>
      <c r="T2330" t="s">
        <v>1090</v>
      </c>
      <c r="U2330" t="s">
        <v>1411</v>
      </c>
      <c r="V2330" t="s">
        <v>106</v>
      </c>
      <c r="W2330" t="s">
        <v>476</v>
      </c>
      <c r="X2330" t="s">
        <v>106</v>
      </c>
      <c r="Y2330" t="s">
        <v>108</v>
      </c>
      <c r="Z2330" t="s">
        <v>109</v>
      </c>
      <c r="AA2330" t="s">
        <v>1586</v>
      </c>
      <c r="AB2330" t="s">
        <v>106</v>
      </c>
    </row>
    <row r="2331" spans="1:28" x14ac:dyDescent="0.3">
      <c r="A2331" t="s">
        <v>1580</v>
      </c>
      <c r="B2331">
        <v>2</v>
      </c>
      <c r="C2331">
        <v>15</v>
      </c>
      <c r="D2331">
        <v>17</v>
      </c>
      <c r="E2331" t="s">
        <v>308</v>
      </c>
      <c r="F2331" s="12">
        <v>45712</v>
      </c>
      <c r="G2331" t="s">
        <v>1052</v>
      </c>
      <c r="H2331" s="12">
        <v>45712</v>
      </c>
      <c r="I2331" t="s">
        <v>106</v>
      </c>
      <c r="J2331" t="s">
        <v>477</v>
      </c>
      <c r="K2331">
        <v>2</v>
      </c>
      <c r="L2331">
        <v>17.5</v>
      </c>
      <c r="M2331">
        <v>17.7</v>
      </c>
      <c r="P2331" t="s">
        <v>106</v>
      </c>
      <c r="Q2331" t="s">
        <v>106</v>
      </c>
      <c r="R2331" t="s">
        <v>106</v>
      </c>
      <c r="S2331" t="s">
        <v>106</v>
      </c>
      <c r="T2331" t="s">
        <v>1523</v>
      </c>
      <c r="U2331" t="s">
        <v>106</v>
      </c>
      <c r="V2331" t="s">
        <v>106</v>
      </c>
      <c r="W2331" t="s">
        <v>954</v>
      </c>
      <c r="X2331" t="s">
        <v>106</v>
      </c>
      <c r="Y2331" t="s">
        <v>108</v>
      </c>
      <c r="Z2331" t="s">
        <v>109</v>
      </c>
      <c r="AA2331" t="s">
        <v>1586</v>
      </c>
      <c r="AB2331" t="s">
        <v>106</v>
      </c>
    </row>
    <row r="2332" spans="1:28" x14ac:dyDescent="0.3">
      <c r="A2332" t="s">
        <v>1580</v>
      </c>
      <c r="B2332">
        <v>2</v>
      </c>
      <c r="C2332">
        <v>15</v>
      </c>
      <c r="D2332">
        <v>23</v>
      </c>
      <c r="E2332" t="s">
        <v>456</v>
      </c>
      <c r="F2332" s="12">
        <v>45712</v>
      </c>
      <c r="G2332" t="s">
        <v>746</v>
      </c>
      <c r="H2332" s="12">
        <v>45712</v>
      </c>
      <c r="I2332" t="s">
        <v>1031</v>
      </c>
      <c r="J2332" t="s">
        <v>477</v>
      </c>
      <c r="K2332">
        <v>2</v>
      </c>
      <c r="L2332">
        <v>14.5</v>
      </c>
      <c r="M2332">
        <v>14.6</v>
      </c>
      <c r="P2332" t="s">
        <v>106</v>
      </c>
      <c r="Q2332" t="s">
        <v>106</v>
      </c>
      <c r="R2332" t="s">
        <v>106</v>
      </c>
      <c r="S2332" t="s">
        <v>106</v>
      </c>
      <c r="T2332" t="s">
        <v>1899</v>
      </c>
      <c r="U2332" t="s">
        <v>1591</v>
      </c>
      <c r="V2332" t="s">
        <v>106</v>
      </c>
      <c r="W2332" t="s">
        <v>954</v>
      </c>
      <c r="X2332" t="s">
        <v>106</v>
      </c>
      <c r="Y2332" t="s">
        <v>108</v>
      </c>
      <c r="Z2332" t="s">
        <v>109</v>
      </c>
      <c r="AA2332" t="s">
        <v>1586</v>
      </c>
      <c r="AB2332" t="s">
        <v>106</v>
      </c>
    </row>
    <row r="2333" spans="1:28" x14ac:dyDescent="0.3">
      <c r="A2333" t="s">
        <v>1580</v>
      </c>
      <c r="B2333">
        <v>2</v>
      </c>
      <c r="C2333">
        <v>15</v>
      </c>
      <c r="D2333">
        <v>28</v>
      </c>
      <c r="E2333" t="s">
        <v>456</v>
      </c>
      <c r="F2333" s="12">
        <v>45712</v>
      </c>
      <c r="G2333" t="s">
        <v>647</v>
      </c>
      <c r="H2333" s="12">
        <v>45712</v>
      </c>
      <c r="I2333" t="s">
        <v>380</v>
      </c>
      <c r="J2333" t="s">
        <v>477</v>
      </c>
      <c r="K2333">
        <v>2</v>
      </c>
      <c r="L2333">
        <v>13.4</v>
      </c>
      <c r="M2333">
        <v>13.5</v>
      </c>
      <c r="P2333" t="s">
        <v>106</v>
      </c>
      <c r="Q2333" t="s">
        <v>106</v>
      </c>
      <c r="R2333" t="s">
        <v>106</v>
      </c>
      <c r="S2333" t="s">
        <v>1036</v>
      </c>
      <c r="T2333" t="s">
        <v>1090</v>
      </c>
      <c r="U2333" t="s">
        <v>429</v>
      </c>
      <c r="V2333" t="s">
        <v>106</v>
      </c>
      <c r="W2333" t="s">
        <v>954</v>
      </c>
      <c r="X2333" t="s">
        <v>106</v>
      </c>
      <c r="Y2333" t="s">
        <v>108</v>
      </c>
      <c r="Z2333" t="s">
        <v>109</v>
      </c>
      <c r="AA2333" t="s">
        <v>106</v>
      </c>
      <c r="AB2333" t="s">
        <v>106</v>
      </c>
    </row>
    <row r="2334" spans="1:28" x14ac:dyDescent="0.3">
      <c r="A2334" t="s">
        <v>1580</v>
      </c>
      <c r="B2334">
        <v>2</v>
      </c>
      <c r="C2334">
        <v>15</v>
      </c>
      <c r="D2334">
        <v>29</v>
      </c>
      <c r="E2334" t="s">
        <v>456</v>
      </c>
      <c r="F2334" s="12">
        <v>45712</v>
      </c>
      <c r="G2334" t="s">
        <v>648</v>
      </c>
      <c r="H2334" s="12">
        <v>45712</v>
      </c>
      <c r="I2334" t="s">
        <v>380</v>
      </c>
      <c r="J2334" t="s">
        <v>477</v>
      </c>
      <c r="K2334">
        <v>2</v>
      </c>
      <c r="L2334">
        <v>14.4</v>
      </c>
      <c r="M2334">
        <v>14.6</v>
      </c>
      <c r="P2334" t="s">
        <v>106</v>
      </c>
      <c r="Q2334" t="s">
        <v>106</v>
      </c>
      <c r="R2334" t="s">
        <v>106</v>
      </c>
      <c r="S2334" t="s">
        <v>2197</v>
      </c>
      <c r="T2334" t="s">
        <v>1057</v>
      </c>
      <c r="U2334" t="s">
        <v>708</v>
      </c>
      <c r="V2334" t="s">
        <v>106</v>
      </c>
      <c r="W2334" t="s">
        <v>954</v>
      </c>
      <c r="X2334" t="s">
        <v>106</v>
      </c>
      <c r="Y2334" t="s">
        <v>108</v>
      </c>
      <c r="Z2334" t="s">
        <v>109</v>
      </c>
      <c r="AA2334" t="s">
        <v>106</v>
      </c>
      <c r="AB2334" t="s">
        <v>106</v>
      </c>
    </row>
    <row r="2335" spans="1:28" x14ac:dyDescent="0.3">
      <c r="A2335" t="s">
        <v>1580</v>
      </c>
      <c r="B2335">
        <v>2</v>
      </c>
      <c r="C2335">
        <v>15</v>
      </c>
      <c r="D2335">
        <v>20</v>
      </c>
      <c r="E2335" t="s">
        <v>456</v>
      </c>
      <c r="F2335" s="12">
        <v>45712</v>
      </c>
      <c r="G2335" t="s">
        <v>1956</v>
      </c>
      <c r="H2335" s="12">
        <v>45712</v>
      </c>
      <c r="I2335" t="s">
        <v>2198</v>
      </c>
      <c r="J2335" t="s">
        <v>477</v>
      </c>
      <c r="K2335">
        <v>2</v>
      </c>
      <c r="L2335">
        <v>16</v>
      </c>
      <c r="M2335">
        <v>16</v>
      </c>
      <c r="P2335" t="s">
        <v>106</v>
      </c>
      <c r="Q2335" t="s">
        <v>106</v>
      </c>
      <c r="R2335" t="s">
        <v>106</v>
      </c>
      <c r="S2335" t="s">
        <v>106</v>
      </c>
      <c r="T2335" t="s">
        <v>996</v>
      </c>
      <c r="U2335" t="s">
        <v>841</v>
      </c>
      <c r="V2335" t="s">
        <v>106</v>
      </c>
      <c r="W2335" t="s">
        <v>954</v>
      </c>
      <c r="X2335" t="s">
        <v>106</v>
      </c>
      <c r="Y2335" t="s">
        <v>108</v>
      </c>
      <c r="Z2335" t="s">
        <v>109</v>
      </c>
      <c r="AA2335" t="s">
        <v>1586</v>
      </c>
      <c r="AB2335" t="s">
        <v>106</v>
      </c>
    </row>
    <row r="2336" spans="1:28" x14ac:dyDescent="0.3">
      <c r="A2336" t="s">
        <v>1580</v>
      </c>
      <c r="B2336">
        <v>2</v>
      </c>
      <c r="C2336">
        <v>15</v>
      </c>
      <c r="D2336">
        <v>38</v>
      </c>
      <c r="E2336" t="s">
        <v>456</v>
      </c>
      <c r="F2336" s="12">
        <v>45712</v>
      </c>
      <c r="G2336" t="s">
        <v>491</v>
      </c>
      <c r="H2336" s="12">
        <v>45712</v>
      </c>
      <c r="I2336" t="s">
        <v>397</v>
      </c>
      <c r="J2336" t="s">
        <v>477</v>
      </c>
      <c r="K2336">
        <v>2</v>
      </c>
      <c r="L2336">
        <v>15.4</v>
      </c>
      <c r="M2336">
        <v>15.4</v>
      </c>
      <c r="P2336" t="s">
        <v>106</v>
      </c>
      <c r="Q2336" t="s">
        <v>106</v>
      </c>
      <c r="R2336" t="s">
        <v>106</v>
      </c>
      <c r="S2336" t="s">
        <v>2199</v>
      </c>
      <c r="T2336" t="s">
        <v>1634</v>
      </c>
      <c r="U2336" t="s">
        <v>1468</v>
      </c>
      <c r="V2336" t="s">
        <v>106</v>
      </c>
      <c r="W2336" t="s">
        <v>954</v>
      </c>
      <c r="X2336" t="s">
        <v>106</v>
      </c>
      <c r="Y2336" t="s">
        <v>108</v>
      </c>
      <c r="Z2336" t="s">
        <v>109</v>
      </c>
      <c r="AA2336" t="s">
        <v>106</v>
      </c>
      <c r="AB2336" t="s">
        <v>106</v>
      </c>
    </row>
    <row r="2337" spans="1:28" x14ac:dyDescent="0.3">
      <c r="A2337" t="s">
        <v>1580</v>
      </c>
      <c r="B2337">
        <v>2</v>
      </c>
      <c r="C2337">
        <v>15</v>
      </c>
      <c r="D2337">
        <v>43</v>
      </c>
      <c r="E2337" t="s">
        <v>456</v>
      </c>
      <c r="F2337" s="12">
        <v>45712</v>
      </c>
      <c r="G2337" t="s">
        <v>372</v>
      </c>
      <c r="H2337" s="12">
        <v>45712</v>
      </c>
      <c r="I2337" t="s">
        <v>590</v>
      </c>
      <c r="J2337" t="s">
        <v>477</v>
      </c>
      <c r="K2337">
        <v>2</v>
      </c>
      <c r="L2337">
        <v>15.1</v>
      </c>
      <c r="M2337">
        <v>14.8</v>
      </c>
      <c r="P2337" t="s">
        <v>106</v>
      </c>
      <c r="Q2337" t="s">
        <v>106</v>
      </c>
      <c r="R2337" t="s">
        <v>106</v>
      </c>
      <c r="S2337" t="s">
        <v>960</v>
      </c>
      <c r="T2337" t="s">
        <v>2200</v>
      </c>
      <c r="U2337" t="s">
        <v>841</v>
      </c>
      <c r="V2337" t="s">
        <v>106</v>
      </c>
      <c r="W2337" t="s">
        <v>954</v>
      </c>
      <c r="X2337" t="s">
        <v>106</v>
      </c>
      <c r="Y2337" t="s">
        <v>108</v>
      </c>
      <c r="Z2337" t="s">
        <v>109</v>
      </c>
      <c r="AA2337" t="s">
        <v>1586</v>
      </c>
      <c r="AB2337" t="s">
        <v>106</v>
      </c>
    </row>
    <row r="2338" spans="1:28" x14ac:dyDescent="0.3">
      <c r="A2338" t="s">
        <v>1580</v>
      </c>
      <c r="B2338">
        <v>2</v>
      </c>
      <c r="C2338">
        <v>15</v>
      </c>
      <c r="D2338">
        <v>44</v>
      </c>
      <c r="E2338" t="s">
        <v>456</v>
      </c>
      <c r="F2338" s="12">
        <v>45712</v>
      </c>
      <c r="G2338" t="s">
        <v>372</v>
      </c>
      <c r="H2338" s="12">
        <v>45712</v>
      </c>
      <c r="I2338" t="s">
        <v>590</v>
      </c>
      <c r="J2338" t="s">
        <v>477</v>
      </c>
      <c r="K2338">
        <v>2</v>
      </c>
      <c r="L2338">
        <v>15.3</v>
      </c>
      <c r="M2338">
        <v>15.1</v>
      </c>
      <c r="P2338" t="s">
        <v>106</v>
      </c>
      <c r="Q2338" t="s">
        <v>106</v>
      </c>
      <c r="R2338" t="s">
        <v>106</v>
      </c>
      <c r="S2338" t="s">
        <v>1015</v>
      </c>
      <c r="T2338" t="s">
        <v>1057</v>
      </c>
      <c r="U2338" t="s">
        <v>395</v>
      </c>
      <c r="V2338" t="s">
        <v>106</v>
      </c>
      <c r="W2338" t="s">
        <v>954</v>
      </c>
      <c r="X2338" t="s">
        <v>106</v>
      </c>
      <c r="Y2338" t="s">
        <v>108</v>
      </c>
      <c r="Z2338" t="s">
        <v>109</v>
      </c>
      <c r="AA2338" t="s">
        <v>1586</v>
      </c>
      <c r="AB2338" t="s">
        <v>106</v>
      </c>
    </row>
    <row r="2339" spans="1:28" x14ac:dyDescent="0.3">
      <c r="A2339" t="s">
        <v>1580</v>
      </c>
      <c r="B2339">
        <v>2</v>
      </c>
      <c r="C2339">
        <v>15</v>
      </c>
      <c r="D2339">
        <v>37</v>
      </c>
      <c r="E2339" t="s">
        <v>128</v>
      </c>
      <c r="F2339" s="12">
        <v>45712</v>
      </c>
      <c r="G2339" t="s">
        <v>491</v>
      </c>
      <c r="H2339" s="12">
        <v>45712</v>
      </c>
      <c r="I2339" t="s">
        <v>397</v>
      </c>
      <c r="J2339" t="s">
        <v>477</v>
      </c>
      <c r="K2339">
        <v>2</v>
      </c>
      <c r="L2339">
        <v>15.5</v>
      </c>
      <c r="M2339">
        <v>15.4</v>
      </c>
      <c r="P2339" t="s">
        <v>106</v>
      </c>
      <c r="Q2339" t="s">
        <v>106</v>
      </c>
      <c r="R2339" t="s">
        <v>106</v>
      </c>
      <c r="S2339" t="s">
        <v>2201</v>
      </c>
      <c r="T2339" t="s">
        <v>934</v>
      </c>
      <c r="U2339" t="s">
        <v>1468</v>
      </c>
      <c r="V2339" t="s">
        <v>106</v>
      </c>
      <c r="W2339" t="s">
        <v>954</v>
      </c>
      <c r="X2339" t="s">
        <v>106</v>
      </c>
      <c r="Y2339" t="s">
        <v>108</v>
      </c>
      <c r="Z2339" t="s">
        <v>109</v>
      </c>
      <c r="AA2339" t="s">
        <v>106</v>
      </c>
      <c r="AB2339" t="s">
        <v>106</v>
      </c>
    </row>
    <row r="2340" spans="1:28" x14ac:dyDescent="0.3">
      <c r="A2340" t="s">
        <v>1580</v>
      </c>
      <c r="B2340">
        <v>3</v>
      </c>
      <c r="C2340">
        <v>35</v>
      </c>
      <c r="D2340">
        <v>30</v>
      </c>
      <c r="E2340" t="s">
        <v>456</v>
      </c>
      <c r="F2340" s="12">
        <v>45712</v>
      </c>
      <c r="G2340" t="s">
        <v>390</v>
      </c>
      <c r="H2340" s="12">
        <v>45712</v>
      </c>
      <c r="I2340" t="s">
        <v>380</v>
      </c>
      <c r="J2340" t="s">
        <v>477</v>
      </c>
      <c r="K2340">
        <v>2</v>
      </c>
      <c r="L2340">
        <v>31.7</v>
      </c>
      <c r="M2340">
        <v>31.7</v>
      </c>
      <c r="P2340" t="s">
        <v>106</v>
      </c>
      <c r="Q2340" t="s">
        <v>106</v>
      </c>
      <c r="R2340" t="s">
        <v>106</v>
      </c>
      <c r="S2340" t="s">
        <v>2550</v>
      </c>
      <c r="T2340" t="s">
        <v>1057</v>
      </c>
      <c r="U2340" t="s">
        <v>1780</v>
      </c>
      <c r="V2340" t="s">
        <v>106</v>
      </c>
      <c r="W2340" t="s">
        <v>954</v>
      </c>
      <c r="X2340" t="s">
        <v>106</v>
      </c>
      <c r="Y2340" t="s">
        <v>108</v>
      </c>
      <c r="Z2340" t="s">
        <v>108</v>
      </c>
      <c r="AA2340" t="s">
        <v>1586</v>
      </c>
      <c r="AB2340" t="s">
        <v>106</v>
      </c>
    </row>
    <row r="2341" spans="1:28" x14ac:dyDescent="0.3">
      <c r="A2341" t="s">
        <v>1580</v>
      </c>
      <c r="B2341">
        <v>3</v>
      </c>
      <c r="C2341">
        <v>35</v>
      </c>
      <c r="D2341">
        <v>31</v>
      </c>
      <c r="E2341" t="s">
        <v>456</v>
      </c>
      <c r="F2341" s="12">
        <v>45712</v>
      </c>
      <c r="G2341" t="s">
        <v>142</v>
      </c>
      <c r="H2341" s="12">
        <v>45712</v>
      </c>
      <c r="I2341" t="s">
        <v>380</v>
      </c>
      <c r="J2341" t="s">
        <v>477</v>
      </c>
      <c r="K2341">
        <v>2</v>
      </c>
      <c r="L2341">
        <v>31.6</v>
      </c>
      <c r="M2341">
        <v>31.6</v>
      </c>
      <c r="P2341" t="s">
        <v>106</v>
      </c>
      <c r="Q2341" t="s">
        <v>106</v>
      </c>
      <c r="R2341" t="s">
        <v>106</v>
      </c>
      <c r="S2341" t="s">
        <v>2551</v>
      </c>
      <c r="T2341" t="s">
        <v>2059</v>
      </c>
      <c r="U2341" t="s">
        <v>904</v>
      </c>
      <c r="V2341" t="s">
        <v>106</v>
      </c>
      <c r="W2341" t="s">
        <v>954</v>
      </c>
      <c r="X2341" t="s">
        <v>106</v>
      </c>
      <c r="Y2341" t="s">
        <v>108</v>
      </c>
      <c r="Z2341" t="s">
        <v>108</v>
      </c>
      <c r="AA2341" t="s">
        <v>1586</v>
      </c>
      <c r="AB2341" t="s">
        <v>106</v>
      </c>
    </row>
    <row r="2342" spans="1:28" x14ac:dyDescent="0.3">
      <c r="A2342" t="s">
        <v>1580</v>
      </c>
      <c r="B2342">
        <v>3</v>
      </c>
      <c r="C2342">
        <v>35</v>
      </c>
      <c r="D2342">
        <v>39</v>
      </c>
      <c r="E2342" t="s">
        <v>456</v>
      </c>
      <c r="F2342" s="12">
        <v>45712</v>
      </c>
      <c r="G2342" t="s">
        <v>1480</v>
      </c>
      <c r="H2342" s="12">
        <v>45712</v>
      </c>
      <c r="I2342" t="s">
        <v>397</v>
      </c>
      <c r="J2342" t="s">
        <v>477</v>
      </c>
      <c r="K2342">
        <v>2</v>
      </c>
      <c r="L2342">
        <v>35.5</v>
      </c>
      <c r="M2342">
        <v>35.5</v>
      </c>
      <c r="P2342" t="s">
        <v>106</v>
      </c>
      <c r="Q2342" t="s">
        <v>106</v>
      </c>
      <c r="R2342" t="s">
        <v>106</v>
      </c>
      <c r="S2342" t="s">
        <v>995</v>
      </c>
      <c r="T2342" t="s">
        <v>2200</v>
      </c>
      <c r="U2342" t="s">
        <v>1780</v>
      </c>
      <c r="V2342" t="s">
        <v>106</v>
      </c>
      <c r="W2342" t="s">
        <v>954</v>
      </c>
      <c r="X2342" t="s">
        <v>106</v>
      </c>
      <c r="Y2342" t="s">
        <v>108</v>
      </c>
      <c r="Z2342" t="s">
        <v>108</v>
      </c>
      <c r="AA2342" t="s">
        <v>1586</v>
      </c>
      <c r="AB2342" t="s">
        <v>106</v>
      </c>
    </row>
    <row r="2343" spans="1:28" x14ac:dyDescent="0.3">
      <c r="A2343" t="s">
        <v>1580</v>
      </c>
      <c r="B2343">
        <v>3</v>
      </c>
      <c r="C2343">
        <v>35</v>
      </c>
      <c r="D2343">
        <v>25</v>
      </c>
      <c r="E2343" t="s">
        <v>456</v>
      </c>
      <c r="F2343" s="12">
        <v>45712</v>
      </c>
      <c r="G2343" t="s">
        <v>885</v>
      </c>
      <c r="H2343" s="12">
        <v>45712</v>
      </c>
      <c r="I2343" t="s">
        <v>1031</v>
      </c>
      <c r="J2343" t="s">
        <v>477</v>
      </c>
      <c r="K2343">
        <v>2</v>
      </c>
      <c r="L2343">
        <v>34.700000000000003</v>
      </c>
      <c r="M2343">
        <v>34.9</v>
      </c>
      <c r="P2343" t="s">
        <v>106</v>
      </c>
      <c r="Q2343" t="s">
        <v>106</v>
      </c>
      <c r="R2343" t="s">
        <v>106</v>
      </c>
      <c r="S2343" t="s">
        <v>2270</v>
      </c>
      <c r="T2343" t="s">
        <v>1403</v>
      </c>
      <c r="U2343" t="s">
        <v>430</v>
      </c>
      <c r="V2343" t="s">
        <v>106</v>
      </c>
      <c r="W2343" t="s">
        <v>954</v>
      </c>
      <c r="X2343" t="s">
        <v>106</v>
      </c>
      <c r="Y2343" t="s">
        <v>108</v>
      </c>
      <c r="Z2343" t="s">
        <v>108</v>
      </c>
      <c r="AA2343" t="s">
        <v>1586</v>
      </c>
      <c r="AB2343" t="s">
        <v>106</v>
      </c>
    </row>
    <row r="2344" spans="1:28" x14ac:dyDescent="0.3">
      <c r="A2344" t="s">
        <v>1580</v>
      </c>
      <c r="B2344">
        <v>3</v>
      </c>
      <c r="C2344">
        <v>35</v>
      </c>
      <c r="D2344">
        <v>24</v>
      </c>
      <c r="E2344" t="s">
        <v>456</v>
      </c>
      <c r="F2344" s="12">
        <v>45712</v>
      </c>
      <c r="G2344" t="s">
        <v>755</v>
      </c>
      <c r="H2344" s="12">
        <v>45712</v>
      </c>
      <c r="I2344" t="s">
        <v>1031</v>
      </c>
      <c r="J2344" t="s">
        <v>477</v>
      </c>
      <c r="K2344">
        <v>2</v>
      </c>
      <c r="L2344">
        <v>33.299999999999997</v>
      </c>
      <c r="M2344">
        <v>33.4</v>
      </c>
      <c r="P2344" t="s">
        <v>106</v>
      </c>
      <c r="Q2344" t="s">
        <v>106</v>
      </c>
      <c r="R2344" t="s">
        <v>106</v>
      </c>
      <c r="S2344" t="s">
        <v>106</v>
      </c>
      <c r="T2344" t="s">
        <v>993</v>
      </c>
      <c r="U2344" t="s">
        <v>1410</v>
      </c>
      <c r="V2344" t="s">
        <v>106</v>
      </c>
      <c r="W2344" t="s">
        <v>954</v>
      </c>
      <c r="X2344" t="s">
        <v>106</v>
      </c>
      <c r="Y2344" t="s">
        <v>108</v>
      </c>
      <c r="Z2344" t="s">
        <v>108</v>
      </c>
      <c r="AA2344" t="s">
        <v>1586</v>
      </c>
      <c r="AB2344" t="s">
        <v>106</v>
      </c>
    </row>
    <row r="2345" spans="1:28" x14ac:dyDescent="0.3">
      <c r="A2345" t="s">
        <v>1580</v>
      </c>
      <c r="B2345">
        <v>3</v>
      </c>
      <c r="C2345">
        <v>35</v>
      </c>
      <c r="D2345">
        <v>40</v>
      </c>
      <c r="E2345" t="s">
        <v>456</v>
      </c>
      <c r="F2345" s="12">
        <v>45712</v>
      </c>
      <c r="G2345" t="s">
        <v>1480</v>
      </c>
      <c r="H2345" s="12">
        <v>45712</v>
      </c>
      <c r="I2345" t="s">
        <v>397</v>
      </c>
      <c r="J2345" t="s">
        <v>477</v>
      </c>
      <c r="K2345">
        <v>2</v>
      </c>
      <c r="L2345">
        <v>36.4</v>
      </c>
      <c r="M2345">
        <v>36.4</v>
      </c>
      <c r="P2345" t="s">
        <v>106</v>
      </c>
      <c r="Q2345" t="s">
        <v>106</v>
      </c>
      <c r="R2345" t="s">
        <v>106</v>
      </c>
      <c r="S2345" t="s">
        <v>1003</v>
      </c>
      <c r="T2345" t="s">
        <v>940</v>
      </c>
      <c r="U2345" t="s">
        <v>1780</v>
      </c>
      <c r="V2345" t="s">
        <v>106</v>
      </c>
      <c r="W2345" t="s">
        <v>954</v>
      </c>
      <c r="X2345" t="s">
        <v>106</v>
      </c>
      <c r="Y2345" t="s">
        <v>108</v>
      </c>
      <c r="Z2345" t="s">
        <v>108</v>
      </c>
      <c r="AA2345" t="s">
        <v>1586</v>
      </c>
      <c r="AB2345" t="s">
        <v>106</v>
      </c>
    </row>
    <row r="2346" spans="1:28" x14ac:dyDescent="0.3">
      <c r="A2346" t="s">
        <v>1580</v>
      </c>
      <c r="B2346">
        <v>3</v>
      </c>
      <c r="C2346">
        <v>35</v>
      </c>
      <c r="D2346">
        <v>21</v>
      </c>
      <c r="E2346" t="s">
        <v>456</v>
      </c>
      <c r="F2346" s="12">
        <v>45712</v>
      </c>
      <c r="G2346" t="s">
        <v>2064</v>
      </c>
      <c r="H2346" s="12">
        <v>45712</v>
      </c>
      <c r="I2346" t="s">
        <v>2198</v>
      </c>
      <c r="J2346" t="s">
        <v>477</v>
      </c>
      <c r="K2346">
        <v>2</v>
      </c>
      <c r="L2346">
        <v>36.9</v>
      </c>
      <c r="M2346">
        <v>36.700000000000003</v>
      </c>
      <c r="P2346" t="s">
        <v>106</v>
      </c>
      <c r="Q2346" t="s">
        <v>106</v>
      </c>
      <c r="R2346" t="s">
        <v>106</v>
      </c>
      <c r="S2346" t="s">
        <v>106</v>
      </c>
      <c r="T2346" t="s">
        <v>981</v>
      </c>
      <c r="U2346" t="s">
        <v>565</v>
      </c>
      <c r="V2346" t="s">
        <v>106</v>
      </c>
      <c r="W2346" t="s">
        <v>954</v>
      </c>
      <c r="X2346" t="s">
        <v>106</v>
      </c>
      <c r="Y2346" t="s">
        <v>108</v>
      </c>
      <c r="Z2346" t="s">
        <v>108</v>
      </c>
      <c r="AA2346" t="s">
        <v>1586</v>
      </c>
      <c r="AB2346" t="s">
        <v>106</v>
      </c>
    </row>
    <row r="2347" spans="1:28" x14ac:dyDescent="0.3">
      <c r="A2347" t="s">
        <v>1580</v>
      </c>
      <c r="B2347">
        <v>3</v>
      </c>
      <c r="C2347">
        <v>35</v>
      </c>
      <c r="D2347">
        <v>45</v>
      </c>
      <c r="E2347" t="s">
        <v>456</v>
      </c>
      <c r="F2347" s="12">
        <v>45712</v>
      </c>
      <c r="G2347" t="s">
        <v>1327</v>
      </c>
      <c r="H2347" s="12">
        <v>45712</v>
      </c>
      <c r="I2347" t="s">
        <v>590</v>
      </c>
      <c r="J2347" t="s">
        <v>477</v>
      </c>
      <c r="K2347">
        <v>2</v>
      </c>
      <c r="L2347">
        <v>32.299999999999997</v>
      </c>
      <c r="M2347">
        <v>32.9</v>
      </c>
      <c r="P2347" t="s">
        <v>106</v>
      </c>
      <c r="Q2347" t="s">
        <v>106</v>
      </c>
      <c r="R2347" t="s">
        <v>106</v>
      </c>
      <c r="S2347" t="s">
        <v>1104</v>
      </c>
      <c r="T2347" t="s">
        <v>2552</v>
      </c>
      <c r="U2347" t="s">
        <v>141</v>
      </c>
      <c r="V2347" t="s">
        <v>106</v>
      </c>
      <c r="W2347" t="s">
        <v>954</v>
      </c>
      <c r="X2347" t="s">
        <v>106</v>
      </c>
      <c r="Y2347" t="s">
        <v>108</v>
      </c>
      <c r="Z2347" t="s">
        <v>108</v>
      </c>
      <c r="AA2347" t="s">
        <v>1586</v>
      </c>
      <c r="AB2347" t="s">
        <v>106</v>
      </c>
    </row>
    <row r="2348" spans="1:28" x14ac:dyDescent="0.3">
      <c r="A2348" t="s">
        <v>1580</v>
      </c>
      <c r="B2348">
        <v>3</v>
      </c>
      <c r="C2348">
        <v>35</v>
      </c>
      <c r="D2348">
        <v>46</v>
      </c>
      <c r="E2348" t="s">
        <v>456</v>
      </c>
      <c r="F2348" s="12">
        <v>45712</v>
      </c>
      <c r="G2348" t="s">
        <v>1240</v>
      </c>
      <c r="H2348" s="12">
        <v>45712</v>
      </c>
      <c r="I2348" t="s">
        <v>590</v>
      </c>
      <c r="J2348" t="s">
        <v>477</v>
      </c>
      <c r="K2348">
        <v>2</v>
      </c>
      <c r="L2348">
        <v>33.700000000000003</v>
      </c>
      <c r="M2348">
        <v>33.9</v>
      </c>
      <c r="P2348" t="s">
        <v>106</v>
      </c>
      <c r="Q2348" t="s">
        <v>106</v>
      </c>
      <c r="R2348" t="s">
        <v>106</v>
      </c>
      <c r="S2348" t="s">
        <v>2233</v>
      </c>
      <c r="T2348" t="s">
        <v>940</v>
      </c>
      <c r="U2348" t="s">
        <v>136</v>
      </c>
      <c r="V2348" t="s">
        <v>106</v>
      </c>
      <c r="W2348" t="s">
        <v>954</v>
      </c>
      <c r="X2348" t="s">
        <v>106</v>
      </c>
      <c r="Y2348" t="s">
        <v>108</v>
      </c>
      <c r="Z2348" t="s">
        <v>108</v>
      </c>
      <c r="AA2348" t="s">
        <v>1586</v>
      </c>
      <c r="AB2348" t="s">
        <v>106</v>
      </c>
    </row>
    <row r="2349" spans="1:28" x14ac:dyDescent="0.3">
      <c r="A2349" t="s">
        <v>1580</v>
      </c>
      <c r="B2349">
        <v>3</v>
      </c>
      <c r="C2349">
        <v>35</v>
      </c>
      <c r="D2349">
        <v>51</v>
      </c>
      <c r="E2349" t="s">
        <v>456</v>
      </c>
      <c r="F2349" s="12">
        <v>45712</v>
      </c>
      <c r="G2349" t="s">
        <v>2082</v>
      </c>
      <c r="H2349" s="12">
        <v>45712</v>
      </c>
      <c r="I2349" t="s">
        <v>2195</v>
      </c>
      <c r="J2349" t="s">
        <v>2191</v>
      </c>
      <c r="K2349">
        <v>2</v>
      </c>
      <c r="L2349">
        <v>36.9</v>
      </c>
      <c r="M2349">
        <v>37.1</v>
      </c>
      <c r="P2349" t="s">
        <v>106</v>
      </c>
      <c r="Q2349" t="s">
        <v>106</v>
      </c>
      <c r="R2349" t="s">
        <v>106</v>
      </c>
      <c r="S2349" t="s">
        <v>2196</v>
      </c>
      <c r="T2349" t="s">
        <v>882</v>
      </c>
      <c r="U2349" t="s">
        <v>1651</v>
      </c>
      <c r="V2349" t="s">
        <v>106</v>
      </c>
      <c r="W2349" t="s">
        <v>476</v>
      </c>
      <c r="X2349" t="s">
        <v>106</v>
      </c>
      <c r="Y2349" t="s">
        <v>108</v>
      </c>
      <c r="Z2349" t="s">
        <v>108</v>
      </c>
      <c r="AA2349" t="s">
        <v>1586</v>
      </c>
      <c r="AB2349" t="s">
        <v>106</v>
      </c>
    </row>
    <row r="2350" spans="1:28" x14ac:dyDescent="0.3">
      <c r="A2350" t="s">
        <v>1580</v>
      </c>
      <c r="B2350">
        <v>3</v>
      </c>
      <c r="C2350">
        <v>35</v>
      </c>
      <c r="D2350">
        <v>52</v>
      </c>
      <c r="E2350" t="s">
        <v>456</v>
      </c>
      <c r="F2350" s="12">
        <v>45712</v>
      </c>
      <c r="G2350" t="s">
        <v>1993</v>
      </c>
      <c r="H2350" s="12">
        <v>45712</v>
      </c>
      <c r="I2350" t="s">
        <v>2195</v>
      </c>
      <c r="J2350" t="s">
        <v>2191</v>
      </c>
      <c r="K2350">
        <v>2</v>
      </c>
      <c r="L2350">
        <v>33.700000000000003</v>
      </c>
      <c r="M2350">
        <v>33.700000000000003</v>
      </c>
      <c r="P2350" t="s">
        <v>106</v>
      </c>
      <c r="Q2350" t="s">
        <v>106</v>
      </c>
      <c r="R2350" t="s">
        <v>106</v>
      </c>
      <c r="S2350" t="s">
        <v>2277</v>
      </c>
      <c r="T2350" t="s">
        <v>1057</v>
      </c>
      <c r="U2350" t="s">
        <v>1411</v>
      </c>
      <c r="V2350" t="s">
        <v>106</v>
      </c>
      <c r="W2350" t="s">
        <v>476</v>
      </c>
      <c r="X2350" t="s">
        <v>106</v>
      </c>
      <c r="Y2350" t="s">
        <v>108</v>
      </c>
      <c r="Z2350" t="s">
        <v>108</v>
      </c>
      <c r="AA2350" t="s">
        <v>1586</v>
      </c>
      <c r="AB2350" t="s">
        <v>106</v>
      </c>
    </row>
    <row r="2351" spans="1:28" x14ac:dyDescent="0.3">
      <c r="A2351" t="s">
        <v>1580</v>
      </c>
      <c r="B2351">
        <v>3</v>
      </c>
      <c r="C2351">
        <v>35</v>
      </c>
      <c r="D2351">
        <v>58</v>
      </c>
      <c r="E2351" t="s">
        <v>456</v>
      </c>
      <c r="F2351" s="12">
        <v>45712</v>
      </c>
      <c r="G2351" t="s">
        <v>2027</v>
      </c>
      <c r="H2351" s="12">
        <v>45712</v>
      </c>
      <c r="I2351" t="s">
        <v>2061</v>
      </c>
      <c r="J2351" t="s">
        <v>2191</v>
      </c>
      <c r="K2351">
        <v>2</v>
      </c>
      <c r="L2351">
        <v>36.299999999999997</v>
      </c>
      <c r="M2351">
        <v>36.6</v>
      </c>
      <c r="P2351" t="s">
        <v>106</v>
      </c>
      <c r="Q2351" t="s">
        <v>106</v>
      </c>
      <c r="R2351" t="s">
        <v>106</v>
      </c>
      <c r="S2351" t="s">
        <v>2553</v>
      </c>
      <c r="T2351" t="s">
        <v>1585</v>
      </c>
      <c r="U2351" t="s">
        <v>1411</v>
      </c>
      <c r="V2351" t="s">
        <v>106</v>
      </c>
      <c r="W2351" t="s">
        <v>476</v>
      </c>
      <c r="X2351" t="s">
        <v>106</v>
      </c>
      <c r="Y2351" t="s">
        <v>108</v>
      </c>
      <c r="Z2351" t="s">
        <v>108</v>
      </c>
      <c r="AA2351" t="s">
        <v>1586</v>
      </c>
      <c r="AB2351" t="s">
        <v>106</v>
      </c>
    </row>
    <row r="2352" spans="1:28" x14ac:dyDescent="0.3">
      <c r="A2352" t="s">
        <v>1580</v>
      </c>
      <c r="B2352">
        <v>3</v>
      </c>
      <c r="C2352">
        <v>35</v>
      </c>
      <c r="D2352">
        <v>83</v>
      </c>
      <c r="E2352" t="s">
        <v>456</v>
      </c>
      <c r="F2352" s="12">
        <v>45712</v>
      </c>
      <c r="G2352" t="s">
        <v>1860</v>
      </c>
      <c r="H2352" s="12">
        <v>45712</v>
      </c>
      <c r="I2352" t="s">
        <v>1502</v>
      </c>
      <c r="J2352" t="s">
        <v>1584</v>
      </c>
      <c r="K2352">
        <v>2</v>
      </c>
      <c r="L2352">
        <v>33</v>
      </c>
      <c r="M2352">
        <v>33.200000000000003</v>
      </c>
      <c r="P2352" t="s">
        <v>106</v>
      </c>
      <c r="Q2352" t="s">
        <v>106</v>
      </c>
      <c r="R2352" t="s">
        <v>106</v>
      </c>
      <c r="S2352" t="s">
        <v>106</v>
      </c>
      <c r="T2352" t="s">
        <v>1108</v>
      </c>
      <c r="U2352" t="s">
        <v>1359</v>
      </c>
      <c r="V2352" t="s">
        <v>106</v>
      </c>
      <c r="W2352" t="s">
        <v>476</v>
      </c>
      <c r="X2352" t="s">
        <v>106</v>
      </c>
      <c r="Y2352" t="s">
        <v>108</v>
      </c>
      <c r="Z2352" t="s">
        <v>104</v>
      </c>
      <c r="AA2352" t="s">
        <v>1586</v>
      </c>
      <c r="AB2352" t="s">
        <v>106</v>
      </c>
    </row>
    <row r="2353" spans="1:28" x14ac:dyDescent="0.3">
      <c r="A2353" t="s">
        <v>1580</v>
      </c>
      <c r="B2353">
        <v>3</v>
      </c>
      <c r="C2353">
        <v>35</v>
      </c>
      <c r="D2353">
        <v>59</v>
      </c>
      <c r="E2353" t="s">
        <v>456</v>
      </c>
      <c r="F2353" s="12">
        <v>45712</v>
      </c>
      <c r="G2353" t="s">
        <v>2554</v>
      </c>
      <c r="H2353" s="12">
        <v>45712</v>
      </c>
      <c r="I2353" t="s">
        <v>2061</v>
      </c>
      <c r="J2353" t="s">
        <v>2191</v>
      </c>
      <c r="K2353">
        <v>2</v>
      </c>
      <c r="L2353">
        <v>35.799999999999997</v>
      </c>
      <c r="M2353">
        <v>36.299999999999997</v>
      </c>
      <c r="P2353" t="s">
        <v>106</v>
      </c>
      <c r="Q2353" t="s">
        <v>106</v>
      </c>
      <c r="R2353" t="s">
        <v>106</v>
      </c>
      <c r="S2353" t="s">
        <v>2007</v>
      </c>
      <c r="T2353" t="s">
        <v>1084</v>
      </c>
      <c r="U2353" t="s">
        <v>1477</v>
      </c>
      <c r="V2353" t="s">
        <v>106</v>
      </c>
      <c r="W2353" t="s">
        <v>476</v>
      </c>
      <c r="X2353" t="s">
        <v>106</v>
      </c>
      <c r="Y2353" t="s">
        <v>108</v>
      </c>
      <c r="Z2353" t="s">
        <v>108</v>
      </c>
      <c r="AA2353" t="s">
        <v>1586</v>
      </c>
      <c r="AB2353" t="s">
        <v>106</v>
      </c>
    </row>
    <row r="2354" spans="1:28" x14ac:dyDescent="0.3">
      <c r="A2354" t="s">
        <v>1580</v>
      </c>
      <c r="B2354">
        <v>3</v>
      </c>
      <c r="C2354">
        <v>35</v>
      </c>
      <c r="D2354">
        <v>66</v>
      </c>
      <c r="E2354" t="s">
        <v>456</v>
      </c>
      <c r="F2354" s="12">
        <v>45712</v>
      </c>
      <c r="G2354" t="s">
        <v>2555</v>
      </c>
      <c r="H2354" s="12">
        <v>45712</v>
      </c>
      <c r="I2354" t="s">
        <v>1583</v>
      </c>
      <c r="J2354" t="s">
        <v>1584</v>
      </c>
      <c r="K2354">
        <v>2</v>
      </c>
      <c r="L2354">
        <v>31.3</v>
      </c>
      <c r="M2354">
        <v>31.5</v>
      </c>
      <c r="P2354" t="s">
        <v>106</v>
      </c>
      <c r="Q2354" t="s">
        <v>106</v>
      </c>
      <c r="R2354" t="s">
        <v>106</v>
      </c>
      <c r="S2354" t="s">
        <v>2556</v>
      </c>
      <c r="T2354" t="s">
        <v>1403</v>
      </c>
      <c r="U2354" t="s">
        <v>1410</v>
      </c>
      <c r="V2354" t="s">
        <v>106</v>
      </c>
      <c r="W2354" t="s">
        <v>476</v>
      </c>
      <c r="X2354" t="s">
        <v>106</v>
      </c>
      <c r="Y2354" t="s">
        <v>108</v>
      </c>
      <c r="Z2354" t="s">
        <v>108</v>
      </c>
      <c r="AA2354" t="s">
        <v>1586</v>
      </c>
      <c r="AB2354" t="s">
        <v>106</v>
      </c>
    </row>
    <row r="2355" spans="1:28" x14ac:dyDescent="0.3">
      <c r="A2355" t="s">
        <v>1580</v>
      </c>
      <c r="B2355">
        <v>3</v>
      </c>
      <c r="C2355">
        <v>35</v>
      </c>
      <c r="D2355">
        <v>67</v>
      </c>
      <c r="E2355" t="s">
        <v>456</v>
      </c>
      <c r="F2355" s="12">
        <v>45712</v>
      </c>
      <c r="G2355" t="s">
        <v>2557</v>
      </c>
      <c r="H2355" s="12">
        <v>45712</v>
      </c>
      <c r="I2355" t="s">
        <v>1583</v>
      </c>
      <c r="J2355" t="s">
        <v>1584</v>
      </c>
      <c r="K2355">
        <v>2</v>
      </c>
      <c r="L2355">
        <v>32.200000000000003</v>
      </c>
      <c r="M2355">
        <v>32.5</v>
      </c>
      <c r="P2355" t="s">
        <v>106</v>
      </c>
      <c r="Q2355" t="s">
        <v>106</v>
      </c>
      <c r="R2355" t="s">
        <v>106</v>
      </c>
      <c r="S2355" t="s">
        <v>2558</v>
      </c>
      <c r="T2355" t="s">
        <v>875</v>
      </c>
      <c r="U2355" t="s">
        <v>1477</v>
      </c>
      <c r="V2355" t="s">
        <v>106</v>
      </c>
      <c r="W2355" t="s">
        <v>476</v>
      </c>
      <c r="X2355" t="s">
        <v>106</v>
      </c>
      <c r="Y2355" t="s">
        <v>108</v>
      </c>
      <c r="Z2355" t="s">
        <v>108</v>
      </c>
      <c r="AA2355" t="s">
        <v>1586</v>
      </c>
      <c r="AB2355" t="s">
        <v>106</v>
      </c>
    </row>
    <row r="2356" spans="1:28" x14ac:dyDescent="0.3">
      <c r="A2356" t="s">
        <v>1580</v>
      </c>
      <c r="B2356">
        <v>3</v>
      </c>
      <c r="C2356">
        <v>35</v>
      </c>
      <c r="D2356">
        <v>72</v>
      </c>
      <c r="E2356" t="s">
        <v>456</v>
      </c>
      <c r="F2356" s="12">
        <v>45712</v>
      </c>
      <c r="G2356" t="s">
        <v>2047</v>
      </c>
      <c r="H2356" s="12">
        <v>45712</v>
      </c>
      <c r="I2356" t="s">
        <v>1588</v>
      </c>
      <c r="J2356" t="s">
        <v>1584</v>
      </c>
      <c r="K2356">
        <v>2</v>
      </c>
      <c r="L2356">
        <v>33.4</v>
      </c>
      <c r="M2356">
        <v>33.299999999999997</v>
      </c>
      <c r="P2356" t="s">
        <v>106</v>
      </c>
      <c r="Q2356" t="s">
        <v>106</v>
      </c>
      <c r="R2356" t="s">
        <v>106</v>
      </c>
      <c r="S2356" t="s">
        <v>2217</v>
      </c>
      <c r="T2356" t="s">
        <v>1385</v>
      </c>
      <c r="U2356" t="s">
        <v>1411</v>
      </c>
      <c r="V2356" t="s">
        <v>106</v>
      </c>
      <c r="W2356" t="s">
        <v>476</v>
      </c>
      <c r="X2356" t="s">
        <v>106</v>
      </c>
      <c r="Y2356" t="s">
        <v>108</v>
      </c>
      <c r="Z2356" t="s">
        <v>108</v>
      </c>
      <c r="AA2356" t="s">
        <v>1586</v>
      </c>
      <c r="AB2356" t="s">
        <v>106</v>
      </c>
    </row>
    <row r="2357" spans="1:28" x14ac:dyDescent="0.3">
      <c r="A2357" t="s">
        <v>1580</v>
      </c>
      <c r="B2357">
        <v>3</v>
      </c>
      <c r="C2357">
        <v>35</v>
      </c>
      <c r="D2357">
        <v>73</v>
      </c>
      <c r="E2357" t="s">
        <v>456</v>
      </c>
      <c r="F2357" s="12">
        <v>45712</v>
      </c>
      <c r="G2357" t="s">
        <v>2047</v>
      </c>
      <c r="H2357" s="12">
        <v>45712</v>
      </c>
      <c r="I2357" t="s">
        <v>1588</v>
      </c>
      <c r="J2357" t="s">
        <v>1584</v>
      </c>
      <c r="K2357">
        <v>2</v>
      </c>
      <c r="L2357">
        <v>35.5</v>
      </c>
      <c r="M2357">
        <v>35.700000000000003</v>
      </c>
      <c r="P2357" t="s">
        <v>106</v>
      </c>
      <c r="Q2357" t="s">
        <v>106</v>
      </c>
      <c r="R2357" t="s">
        <v>106</v>
      </c>
      <c r="S2357" t="s">
        <v>2559</v>
      </c>
      <c r="T2357" t="s">
        <v>1131</v>
      </c>
      <c r="U2357" t="s">
        <v>1411</v>
      </c>
      <c r="V2357" t="s">
        <v>106</v>
      </c>
      <c r="W2357" t="s">
        <v>476</v>
      </c>
      <c r="X2357" t="s">
        <v>106</v>
      </c>
      <c r="Y2357" t="s">
        <v>108</v>
      </c>
      <c r="Z2357" t="s">
        <v>108</v>
      </c>
      <c r="AA2357" t="s">
        <v>1586</v>
      </c>
      <c r="AB2357" t="s">
        <v>106</v>
      </c>
    </row>
    <row r="2358" spans="1:28" x14ac:dyDescent="0.3">
      <c r="A2358" t="s">
        <v>1580</v>
      </c>
      <c r="B2358">
        <v>3</v>
      </c>
      <c r="C2358">
        <v>35</v>
      </c>
      <c r="D2358">
        <v>84</v>
      </c>
      <c r="E2358" t="s">
        <v>456</v>
      </c>
      <c r="F2358" s="12">
        <v>45712</v>
      </c>
      <c r="G2358" t="s">
        <v>1860</v>
      </c>
      <c r="H2358" s="12">
        <v>45712</v>
      </c>
      <c r="I2358" t="s">
        <v>1502</v>
      </c>
      <c r="J2358" t="s">
        <v>1584</v>
      </c>
      <c r="K2358">
        <v>2</v>
      </c>
      <c r="L2358">
        <v>36.200000000000003</v>
      </c>
      <c r="M2358">
        <v>36.4</v>
      </c>
      <c r="P2358" t="s">
        <v>106</v>
      </c>
      <c r="Q2358" t="s">
        <v>106</v>
      </c>
      <c r="R2358" t="s">
        <v>106</v>
      </c>
      <c r="S2358" t="s">
        <v>106</v>
      </c>
      <c r="T2358" t="s">
        <v>1931</v>
      </c>
      <c r="U2358" t="s">
        <v>1353</v>
      </c>
      <c r="V2358" t="s">
        <v>106</v>
      </c>
      <c r="W2358" t="s">
        <v>476</v>
      </c>
      <c r="X2358" t="s">
        <v>106</v>
      </c>
      <c r="Y2358" t="s">
        <v>108</v>
      </c>
      <c r="Z2358" t="s">
        <v>104</v>
      </c>
      <c r="AA2358" t="s">
        <v>1586</v>
      </c>
      <c r="AB2358" t="s">
        <v>106</v>
      </c>
    </row>
    <row r="2359" spans="1:28" x14ac:dyDescent="0.3">
      <c r="A2359" t="s">
        <v>1580</v>
      </c>
      <c r="B2359">
        <v>3</v>
      </c>
      <c r="C2359">
        <v>35</v>
      </c>
      <c r="D2359">
        <v>18</v>
      </c>
      <c r="E2359" t="s">
        <v>308</v>
      </c>
      <c r="F2359" s="12">
        <v>45712</v>
      </c>
      <c r="G2359" t="s">
        <v>497</v>
      </c>
      <c r="H2359" s="12">
        <v>45712</v>
      </c>
      <c r="I2359" t="s">
        <v>106</v>
      </c>
      <c r="J2359" t="s">
        <v>477</v>
      </c>
      <c r="K2359">
        <v>2</v>
      </c>
      <c r="L2359">
        <v>37.1</v>
      </c>
      <c r="M2359">
        <v>37.299999999999997</v>
      </c>
      <c r="P2359" t="s">
        <v>106</v>
      </c>
      <c r="Q2359" t="s">
        <v>106</v>
      </c>
      <c r="R2359" t="s">
        <v>106</v>
      </c>
      <c r="S2359" t="s">
        <v>106</v>
      </c>
      <c r="T2359" t="s">
        <v>1523</v>
      </c>
      <c r="U2359" t="s">
        <v>106</v>
      </c>
      <c r="V2359" t="s">
        <v>106</v>
      </c>
      <c r="W2359" t="s">
        <v>954</v>
      </c>
      <c r="X2359" t="s">
        <v>106</v>
      </c>
      <c r="Y2359" t="s">
        <v>108</v>
      </c>
      <c r="Z2359" t="s">
        <v>108</v>
      </c>
      <c r="AA2359" t="s">
        <v>1586</v>
      </c>
      <c r="AB2359" t="s">
        <v>106</v>
      </c>
    </row>
    <row r="2360" spans="1:28" x14ac:dyDescent="0.3">
      <c r="A2360" t="s">
        <v>1580</v>
      </c>
      <c r="B2360">
        <v>3</v>
      </c>
      <c r="C2360">
        <v>35</v>
      </c>
      <c r="D2360">
        <v>15</v>
      </c>
      <c r="E2360" t="s">
        <v>456</v>
      </c>
      <c r="F2360" s="12">
        <v>45712</v>
      </c>
      <c r="G2360" t="s">
        <v>2183</v>
      </c>
      <c r="H2360" s="12">
        <v>45712</v>
      </c>
      <c r="I2360" t="s">
        <v>2198</v>
      </c>
      <c r="J2360" t="s">
        <v>477</v>
      </c>
      <c r="K2360">
        <v>2</v>
      </c>
      <c r="L2360">
        <v>38.799999999999997</v>
      </c>
      <c r="M2360">
        <v>39.1</v>
      </c>
      <c r="P2360" t="s">
        <v>106</v>
      </c>
      <c r="Q2360" t="s">
        <v>106</v>
      </c>
      <c r="R2360" t="s">
        <v>106</v>
      </c>
      <c r="S2360" t="s">
        <v>106</v>
      </c>
      <c r="T2360" t="s">
        <v>1155</v>
      </c>
      <c r="U2360" t="s">
        <v>1477</v>
      </c>
      <c r="V2360" t="s">
        <v>106</v>
      </c>
      <c r="W2360" t="s">
        <v>954</v>
      </c>
      <c r="X2360" t="s">
        <v>106</v>
      </c>
      <c r="Y2360" t="s">
        <v>108</v>
      </c>
      <c r="Z2360" t="s">
        <v>108</v>
      </c>
      <c r="AA2360" t="s">
        <v>1581</v>
      </c>
      <c r="AB2360" t="s">
        <v>106</v>
      </c>
    </row>
    <row r="2361" spans="1:28" x14ac:dyDescent="0.3">
      <c r="A2361" t="s">
        <v>1580</v>
      </c>
      <c r="B2361">
        <v>4</v>
      </c>
      <c r="C2361">
        <v>60</v>
      </c>
      <c r="D2361">
        <v>74</v>
      </c>
      <c r="E2361" t="s">
        <v>456</v>
      </c>
      <c r="F2361" s="12">
        <v>45712</v>
      </c>
      <c r="G2361" t="s">
        <v>2150</v>
      </c>
      <c r="H2361" s="12">
        <v>45712</v>
      </c>
      <c r="I2361" t="s">
        <v>1588</v>
      </c>
      <c r="J2361" t="s">
        <v>1584</v>
      </c>
      <c r="K2361">
        <v>2</v>
      </c>
      <c r="L2361">
        <v>55.7</v>
      </c>
      <c r="M2361">
        <v>55.6</v>
      </c>
      <c r="P2361" t="s">
        <v>106</v>
      </c>
      <c r="Q2361" t="s">
        <v>106</v>
      </c>
      <c r="R2361" t="s">
        <v>106</v>
      </c>
      <c r="S2361" t="s">
        <v>2257</v>
      </c>
      <c r="T2361" t="s">
        <v>1046</v>
      </c>
      <c r="U2361" t="s">
        <v>430</v>
      </c>
      <c r="V2361" t="s">
        <v>106</v>
      </c>
      <c r="W2361" t="s">
        <v>476</v>
      </c>
      <c r="X2361" t="s">
        <v>106</v>
      </c>
      <c r="Y2361" t="s">
        <v>108</v>
      </c>
      <c r="Z2361" t="s">
        <v>104</v>
      </c>
      <c r="AA2361" t="s">
        <v>1586</v>
      </c>
      <c r="AB2361" t="s">
        <v>106</v>
      </c>
    </row>
    <row r="2362" spans="1:28" x14ac:dyDescent="0.3">
      <c r="A2362" t="s">
        <v>1580</v>
      </c>
      <c r="B2362">
        <v>4</v>
      </c>
      <c r="C2362">
        <v>60</v>
      </c>
      <c r="D2362">
        <v>80</v>
      </c>
      <c r="E2362" t="s">
        <v>456</v>
      </c>
      <c r="F2362" s="12">
        <v>45712</v>
      </c>
      <c r="G2362" t="s">
        <v>2131</v>
      </c>
      <c r="H2362" s="12">
        <v>45712</v>
      </c>
      <c r="I2362" t="s">
        <v>1502</v>
      </c>
      <c r="J2362" t="s">
        <v>1584</v>
      </c>
      <c r="K2362">
        <v>2</v>
      </c>
      <c r="L2362">
        <v>61.7</v>
      </c>
      <c r="M2362">
        <v>61.9</v>
      </c>
      <c r="P2362" t="s">
        <v>106</v>
      </c>
      <c r="Q2362" t="s">
        <v>106</v>
      </c>
      <c r="R2362" t="s">
        <v>106</v>
      </c>
      <c r="S2362" t="s">
        <v>106</v>
      </c>
      <c r="T2362" t="s">
        <v>2030</v>
      </c>
      <c r="U2362" t="s">
        <v>1600</v>
      </c>
      <c r="V2362" t="s">
        <v>106</v>
      </c>
      <c r="W2362" t="s">
        <v>476</v>
      </c>
      <c r="X2362" t="s">
        <v>106</v>
      </c>
      <c r="Y2362" t="s">
        <v>108</v>
      </c>
      <c r="Z2362" t="s">
        <v>104</v>
      </c>
      <c r="AA2362" t="s">
        <v>1586</v>
      </c>
      <c r="AB2362" t="s">
        <v>106</v>
      </c>
    </row>
    <row r="2363" spans="1:28" x14ac:dyDescent="0.3">
      <c r="A2363" t="s">
        <v>1580</v>
      </c>
      <c r="B2363">
        <v>4</v>
      </c>
      <c r="C2363">
        <v>60</v>
      </c>
      <c r="D2363">
        <v>76</v>
      </c>
      <c r="E2363" t="s">
        <v>456</v>
      </c>
      <c r="F2363" s="12">
        <v>45712</v>
      </c>
      <c r="G2363" t="s">
        <v>2065</v>
      </c>
      <c r="H2363" s="12">
        <v>45712</v>
      </c>
      <c r="I2363" t="s">
        <v>1588</v>
      </c>
      <c r="J2363" t="s">
        <v>1584</v>
      </c>
      <c r="K2363">
        <v>2</v>
      </c>
      <c r="L2363">
        <v>56.4</v>
      </c>
      <c r="M2363">
        <v>56.8</v>
      </c>
      <c r="P2363" t="s">
        <v>106</v>
      </c>
      <c r="Q2363" t="s">
        <v>106</v>
      </c>
      <c r="R2363" t="s">
        <v>106</v>
      </c>
      <c r="S2363" t="s">
        <v>2219</v>
      </c>
      <c r="T2363" t="s">
        <v>1217</v>
      </c>
      <c r="U2363" t="s">
        <v>430</v>
      </c>
      <c r="V2363" t="s">
        <v>106</v>
      </c>
      <c r="W2363" t="s">
        <v>476</v>
      </c>
      <c r="X2363" t="s">
        <v>106</v>
      </c>
      <c r="Y2363" t="s">
        <v>108</v>
      </c>
      <c r="Z2363" t="s">
        <v>104</v>
      </c>
      <c r="AA2363" t="s">
        <v>1586</v>
      </c>
      <c r="AB2363" t="s">
        <v>106</v>
      </c>
    </row>
    <row r="2364" spans="1:28" x14ac:dyDescent="0.3">
      <c r="A2364" t="s">
        <v>1580</v>
      </c>
      <c r="B2364">
        <v>4</v>
      </c>
      <c r="C2364">
        <v>60</v>
      </c>
      <c r="D2364">
        <v>79</v>
      </c>
      <c r="E2364" t="s">
        <v>456</v>
      </c>
      <c r="F2364" s="12">
        <v>45712</v>
      </c>
      <c r="G2364" t="s">
        <v>2131</v>
      </c>
      <c r="H2364" s="12">
        <v>45712</v>
      </c>
      <c r="I2364" t="s">
        <v>1502</v>
      </c>
      <c r="J2364" t="s">
        <v>1584</v>
      </c>
      <c r="K2364">
        <v>2</v>
      </c>
      <c r="L2364">
        <v>62.3</v>
      </c>
      <c r="M2364">
        <v>62.3</v>
      </c>
      <c r="P2364" t="s">
        <v>106</v>
      </c>
      <c r="Q2364" t="s">
        <v>106</v>
      </c>
      <c r="R2364" t="s">
        <v>106</v>
      </c>
      <c r="S2364" t="s">
        <v>106</v>
      </c>
      <c r="T2364" t="s">
        <v>1217</v>
      </c>
      <c r="U2364" t="s">
        <v>391</v>
      </c>
      <c r="V2364" t="s">
        <v>106</v>
      </c>
      <c r="W2364" t="s">
        <v>476</v>
      </c>
      <c r="X2364" t="s">
        <v>106</v>
      </c>
      <c r="Y2364" t="s">
        <v>108</v>
      </c>
      <c r="Z2364" t="s">
        <v>104</v>
      </c>
      <c r="AA2364" t="s">
        <v>1586</v>
      </c>
      <c r="AB2364" t="s">
        <v>106</v>
      </c>
    </row>
    <row r="2365" spans="1:28" x14ac:dyDescent="0.3">
      <c r="A2365" t="s">
        <v>1580</v>
      </c>
      <c r="B2365">
        <v>4</v>
      </c>
      <c r="C2365">
        <v>60</v>
      </c>
      <c r="D2365">
        <v>75</v>
      </c>
      <c r="E2365" t="s">
        <v>456</v>
      </c>
      <c r="F2365" s="12">
        <v>45712</v>
      </c>
      <c r="G2365" t="s">
        <v>2735</v>
      </c>
      <c r="H2365" s="12">
        <v>45712</v>
      </c>
      <c r="I2365" t="s">
        <v>1588</v>
      </c>
      <c r="J2365" t="s">
        <v>1584</v>
      </c>
      <c r="K2365">
        <v>2</v>
      </c>
      <c r="L2365">
        <v>53.3</v>
      </c>
      <c r="M2365">
        <v>54.1</v>
      </c>
      <c r="P2365" t="s">
        <v>106</v>
      </c>
      <c r="Q2365" t="s">
        <v>106</v>
      </c>
      <c r="R2365" t="s">
        <v>106</v>
      </c>
      <c r="S2365" t="s">
        <v>2203</v>
      </c>
      <c r="T2365" t="s">
        <v>1000</v>
      </c>
      <c r="U2365" t="s">
        <v>1411</v>
      </c>
      <c r="V2365" t="s">
        <v>106</v>
      </c>
      <c r="W2365" t="s">
        <v>476</v>
      </c>
      <c r="X2365" t="s">
        <v>106</v>
      </c>
      <c r="Y2365" t="s">
        <v>108</v>
      </c>
      <c r="Z2365" t="s">
        <v>104</v>
      </c>
      <c r="AA2365" t="s">
        <v>1586</v>
      </c>
      <c r="AB2365" t="s">
        <v>106</v>
      </c>
    </row>
    <row r="2366" spans="1:28" x14ac:dyDescent="0.3">
      <c r="A2366" t="s">
        <v>1580</v>
      </c>
      <c r="B2366">
        <v>4</v>
      </c>
      <c r="C2366">
        <v>60</v>
      </c>
      <c r="D2366">
        <v>19</v>
      </c>
      <c r="E2366" t="s">
        <v>308</v>
      </c>
      <c r="F2366" s="12">
        <v>45712</v>
      </c>
      <c r="G2366" t="s">
        <v>324</v>
      </c>
      <c r="H2366" s="12">
        <v>45712</v>
      </c>
      <c r="I2366" t="s">
        <v>2198</v>
      </c>
      <c r="J2366" t="s">
        <v>477</v>
      </c>
      <c r="K2366">
        <v>2</v>
      </c>
      <c r="L2366">
        <v>62.3</v>
      </c>
      <c r="M2366">
        <v>63.5</v>
      </c>
      <c r="P2366" t="s">
        <v>106</v>
      </c>
      <c r="Q2366" t="s">
        <v>106</v>
      </c>
      <c r="R2366" t="s">
        <v>106</v>
      </c>
      <c r="S2366" t="s">
        <v>106</v>
      </c>
      <c r="T2366" t="s">
        <v>1041</v>
      </c>
      <c r="U2366" t="s">
        <v>106</v>
      </c>
      <c r="V2366" t="s">
        <v>106</v>
      </c>
      <c r="W2366" t="s">
        <v>954</v>
      </c>
      <c r="X2366" t="s">
        <v>106</v>
      </c>
      <c r="Y2366" t="s">
        <v>108</v>
      </c>
      <c r="Z2366" t="s">
        <v>104</v>
      </c>
      <c r="AA2366" t="s">
        <v>1586</v>
      </c>
      <c r="AB2366" t="s">
        <v>106</v>
      </c>
    </row>
    <row r="2367" spans="1:28" x14ac:dyDescent="0.3">
      <c r="A2367" t="s">
        <v>1580</v>
      </c>
      <c r="B2367">
        <v>4</v>
      </c>
      <c r="C2367">
        <v>60</v>
      </c>
      <c r="D2367">
        <v>65</v>
      </c>
      <c r="E2367" t="s">
        <v>110</v>
      </c>
      <c r="F2367" s="12">
        <v>45712</v>
      </c>
      <c r="G2367" t="s">
        <v>657</v>
      </c>
      <c r="H2367" s="12">
        <v>45712</v>
      </c>
      <c r="I2367" t="s">
        <v>1583</v>
      </c>
      <c r="J2367" t="s">
        <v>1584</v>
      </c>
      <c r="K2367">
        <v>2</v>
      </c>
      <c r="L2367">
        <v>55.3</v>
      </c>
      <c r="M2367">
        <v>55.2</v>
      </c>
      <c r="P2367" t="s">
        <v>106</v>
      </c>
      <c r="Q2367" t="s">
        <v>106</v>
      </c>
      <c r="R2367" t="s">
        <v>106</v>
      </c>
      <c r="S2367" t="s">
        <v>2736</v>
      </c>
      <c r="T2367" t="s">
        <v>888</v>
      </c>
      <c r="U2367" t="s">
        <v>841</v>
      </c>
      <c r="V2367" t="s">
        <v>106</v>
      </c>
      <c r="W2367" t="s">
        <v>476</v>
      </c>
      <c r="X2367" t="s">
        <v>106</v>
      </c>
      <c r="Y2367" t="s">
        <v>108</v>
      </c>
      <c r="Z2367" t="s">
        <v>104</v>
      </c>
      <c r="AA2367" t="s">
        <v>1586</v>
      </c>
      <c r="AB2367" t="s">
        <v>106</v>
      </c>
    </row>
    <row r="2368" spans="1:28" x14ac:dyDescent="0.3">
      <c r="A2368" t="s">
        <v>1580</v>
      </c>
      <c r="B2368">
        <v>4</v>
      </c>
      <c r="C2368">
        <v>60</v>
      </c>
      <c r="D2368">
        <v>47</v>
      </c>
      <c r="E2368" t="s">
        <v>456</v>
      </c>
      <c r="F2368" s="12">
        <v>45712</v>
      </c>
      <c r="G2368" t="s">
        <v>2236</v>
      </c>
      <c r="H2368" s="12">
        <v>45712</v>
      </c>
      <c r="I2368" t="s">
        <v>590</v>
      </c>
      <c r="J2368" t="s">
        <v>477</v>
      </c>
      <c r="K2368">
        <v>2</v>
      </c>
      <c r="L2368">
        <v>55.2</v>
      </c>
      <c r="M2368">
        <v>55.2</v>
      </c>
      <c r="P2368" t="s">
        <v>106</v>
      </c>
      <c r="Q2368" t="s">
        <v>106</v>
      </c>
      <c r="R2368" t="s">
        <v>106</v>
      </c>
      <c r="S2368" t="s">
        <v>974</v>
      </c>
      <c r="T2368" t="s">
        <v>961</v>
      </c>
      <c r="U2368" t="s">
        <v>395</v>
      </c>
      <c r="V2368" t="s">
        <v>106</v>
      </c>
      <c r="W2368" t="s">
        <v>954</v>
      </c>
      <c r="X2368" t="s">
        <v>106</v>
      </c>
      <c r="Y2368" t="s">
        <v>108</v>
      </c>
      <c r="Z2368" t="s">
        <v>104</v>
      </c>
      <c r="AA2368" t="s">
        <v>1586</v>
      </c>
      <c r="AB2368" t="s">
        <v>106</v>
      </c>
    </row>
    <row r="2369" spans="1:28" x14ac:dyDescent="0.3">
      <c r="A2369" t="s">
        <v>1580</v>
      </c>
      <c r="B2369">
        <v>4</v>
      </c>
      <c r="C2369">
        <v>60</v>
      </c>
      <c r="D2369">
        <v>64</v>
      </c>
      <c r="E2369" t="s">
        <v>456</v>
      </c>
      <c r="F2369" s="12">
        <v>45712</v>
      </c>
      <c r="G2369" t="s">
        <v>1787</v>
      </c>
      <c r="H2369" s="12">
        <v>45712</v>
      </c>
      <c r="I2369" t="s">
        <v>1583</v>
      </c>
      <c r="J2369" t="s">
        <v>1584</v>
      </c>
      <c r="K2369">
        <v>2</v>
      </c>
      <c r="L2369">
        <v>54.2</v>
      </c>
      <c r="M2369">
        <v>54.3</v>
      </c>
      <c r="P2369" t="s">
        <v>106</v>
      </c>
      <c r="Q2369" t="s">
        <v>106</v>
      </c>
      <c r="R2369" t="s">
        <v>106</v>
      </c>
      <c r="S2369" t="s">
        <v>2737</v>
      </c>
      <c r="T2369" t="s">
        <v>1368</v>
      </c>
      <c r="U2369" t="s">
        <v>1410</v>
      </c>
      <c r="V2369" t="s">
        <v>106</v>
      </c>
      <c r="W2369" t="s">
        <v>476</v>
      </c>
      <c r="X2369" t="s">
        <v>106</v>
      </c>
      <c r="Y2369" t="s">
        <v>108</v>
      </c>
      <c r="Z2369" t="s">
        <v>104</v>
      </c>
      <c r="AA2369" t="s">
        <v>1586</v>
      </c>
      <c r="AB2369" t="s">
        <v>106</v>
      </c>
    </row>
    <row r="2370" spans="1:28" x14ac:dyDescent="0.3">
      <c r="A2370" t="s">
        <v>1580</v>
      </c>
      <c r="B2370">
        <v>4</v>
      </c>
      <c r="C2370">
        <v>60</v>
      </c>
      <c r="D2370">
        <v>61</v>
      </c>
      <c r="E2370" t="s">
        <v>456</v>
      </c>
      <c r="F2370" s="12">
        <v>45712</v>
      </c>
      <c r="G2370" t="s">
        <v>1417</v>
      </c>
      <c r="H2370" s="12">
        <v>45712</v>
      </c>
      <c r="I2370" t="s">
        <v>2061</v>
      </c>
      <c r="J2370" t="s">
        <v>2191</v>
      </c>
      <c r="K2370">
        <v>2</v>
      </c>
      <c r="L2370">
        <v>56.8</v>
      </c>
      <c r="M2370">
        <v>55.9</v>
      </c>
      <c r="P2370" t="s">
        <v>106</v>
      </c>
      <c r="Q2370" t="s">
        <v>106</v>
      </c>
      <c r="R2370" t="s">
        <v>106</v>
      </c>
      <c r="S2370" t="s">
        <v>2210</v>
      </c>
      <c r="T2370" t="s">
        <v>776</v>
      </c>
      <c r="U2370" t="s">
        <v>1591</v>
      </c>
      <c r="V2370" t="s">
        <v>106</v>
      </c>
      <c r="W2370" t="s">
        <v>476</v>
      </c>
      <c r="X2370" t="s">
        <v>106</v>
      </c>
      <c r="Y2370" t="s">
        <v>108</v>
      </c>
      <c r="Z2370" t="s">
        <v>104</v>
      </c>
      <c r="AA2370" t="s">
        <v>1586</v>
      </c>
      <c r="AB2370" t="s">
        <v>106</v>
      </c>
    </row>
    <row r="2371" spans="1:28" x14ac:dyDescent="0.3">
      <c r="A2371" t="s">
        <v>1580</v>
      </c>
      <c r="B2371">
        <v>4</v>
      </c>
      <c r="C2371">
        <v>60</v>
      </c>
      <c r="D2371">
        <v>26</v>
      </c>
      <c r="E2371" t="s">
        <v>456</v>
      </c>
      <c r="F2371" s="12">
        <v>45712</v>
      </c>
      <c r="G2371" t="s">
        <v>499</v>
      </c>
      <c r="H2371" s="12">
        <v>45712</v>
      </c>
      <c r="I2371" t="s">
        <v>1031</v>
      </c>
      <c r="J2371" t="s">
        <v>477</v>
      </c>
      <c r="K2371">
        <v>2</v>
      </c>
      <c r="L2371">
        <v>56.5</v>
      </c>
      <c r="M2371">
        <v>58.4</v>
      </c>
      <c r="P2371" t="s">
        <v>106</v>
      </c>
      <c r="Q2371" t="s">
        <v>106</v>
      </c>
      <c r="R2371" t="s">
        <v>106</v>
      </c>
      <c r="S2371" t="s">
        <v>2551</v>
      </c>
      <c r="T2371" t="s">
        <v>937</v>
      </c>
      <c r="U2371" t="s">
        <v>905</v>
      </c>
      <c r="V2371" t="s">
        <v>106</v>
      </c>
      <c r="W2371" t="s">
        <v>954</v>
      </c>
      <c r="X2371" t="s">
        <v>106</v>
      </c>
      <c r="Y2371" t="s">
        <v>108</v>
      </c>
      <c r="Z2371" t="s">
        <v>104</v>
      </c>
      <c r="AA2371" t="s">
        <v>1586</v>
      </c>
      <c r="AB2371" t="s">
        <v>106</v>
      </c>
    </row>
    <row r="2372" spans="1:28" x14ac:dyDescent="0.3">
      <c r="A2372" t="s">
        <v>1580</v>
      </c>
      <c r="B2372">
        <v>4</v>
      </c>
      <c r="C2372">
        <v>60</v>
      </c>
      <c r="D2372">
        <v>27</v>
      </c>
      <c r="E2372" t="s">
        <v>456</v>
      </c>
      <c r="F2372" s="12">
        <v>45712</v>
      </c>
      <c r="G2372" t="s">
        <v>876</v>
      </c>
      <c r="H2372" s="12">
        <v>45712</v>
      </c>
      <c r="I2372" t="s">
        <v>1031</v>
      </c>
      <c r="J2372" t="s">
        <v>477</v>
      </c>
      <c r="K2372">
        <v>2</v>
      </c>
      <c r="L2372">
        <v>57.9</v>
      </c>
      <c r="M2372">
        <v>57.6</v>
      </c>
      <c r="P2372" t="s">
        <v>106</v>
      </c>
      <c r="Q2372" t="s">
        <v>106</v>
      </c>
      <c r="R2372" t="s">
        <v>106</v>
      </c>
      <c r="S2372" t="s">
        <v>2550</v>
      </c>
      <c r="T2372" t="s">
        <v>1069</v>
      </c>
      <c r="U2372" t="s">
        <v>1359</v>
      </c>
      <c r="V2372" t="s">
        <v>106</v>
      </c>
      <c r="W2372" t="s">
        <v>954</v>
      </c>
      <c r="X2372" t="s">
        <v>106</v>
      </c>
      <c r="Y2372" t="s">
        <v>108</v>
      </c>
      <c r="Z2372" t="s">
        <v>104</v>
      </c>
      <c r="AA2372" t="s">
        <v>1586</v>
      </c>
      <c r="AB2372" t="s">
        <v>106</v>
      </c>
    </row>
    <row r="2373" spans="1:28" x14ac:dyDescent="0.3">
      <c r="A2373" t="s">
        <v>1580</v>
      </c>
      <c r="B2373">
        <v>4</v>
      </c>
      <c r="C2373">
        <v>60</v>
      </c>
      <c r="D2373">
        <v>60</v>
      </c>
      <c r="E2373" t="s">
        <v>456</v>
      </c>
      <c r="F2373" s="12">
        <v>45712</v>
      </c>
      <c r="G2373" t="s">
        <v>1417</v>
      </c>
      <c r="H2373" s="12">
        <v>45712</v>
      </c>
      <c r="I2373" t="s">
        <v>2061</v>
      </c>
      <c r="J2373" t="s">
        <v>2191</v>
      </c>
      <c r="K2373">
        <v>2</v>
      </c>
      <c r="L2373">
        <v>55.5</v>
      </c>
      <c r="M2373">
        <v>57.1</v>
      </c>
      <c r="P2373" t="s">
        <v>106</v>
      </c>
      <c r="Q2373" t="s">
        <v>106</v>
      </c>
      <c r="R2373" t="s">
        <v>106</v>
      </c>
      <c r="S2373" t="s">
        <v>1640</v>
      </c>
      <c r="T2373" t="s">
        <v>1125</v>
      </c>
      <c r="U2373" t="s">
        <v>391</v>
      </c>
      <c r="V2373" t="s">
        <v>106</v>
      </c>
      <c r="W2373" t="s">
        <v>476</v>
      </c>
      <c r="X2373" t="s">
        <v>106</v>
      </c>
      <c r="Y2373" t="s">
        <v>108</v>
      </c>
      <c r="Z2373" t="s">
        <v>104</v>
      </c>
      <c r="AA2373" t="s">
        <v>1586</v>
      </c>
      <c r="AB2373" t="s">
        <v>106</v>
      </c>
    </row>
    <row r="2374" spans="1:28" x14ac:dyDescent="0.3">
      <c r="A2374" t="s">
        <v>1580</v>
      </c>
      <c r="B2374">
        <v>4</v>
      </c>
      <c r="C2374">
        <v>60</v>
      </c>
      <c r="D2374">
        <v>32</v>
      </c>
      <c r="E2374" t="s">
        <v>456</v>
      </c>
      <c r="F2374" s="12">
        <v>45712</v>
      </c>
      <c r="G2374" t="s">
        <v>313</v>
      </c>
      <c r="H2374" s="12">
        <v>45712</v>
      </c>
      <c r="I2374" t="s">
        <v>380</v>
      </c>
      <c r="J2374" t="s">
        <v>477</v>
      </c>
      <c r="K2374">
        <v>2</v>
      </c>
      <c r="L2374">
        <v>55.2</v>
      </c>
      <c r="M2374">
        <v>55.8</v>
      </c>
      <c r="P2374" t="s">
        <v>106</v>
      </c>
      <c r="Q2374" t="s">
        <v>106</v>
      </c>
      <c r="R2374" t="s">
        <v>106</v>
      </c>
      <c r="S2374" t="s">
        <v>1073</v>
      </c>
      <c r="T2374" t="s">
        <v>2200</v>
      </c>
      <c r="U2374" t="s">
        <v>1411</v>
      </c>
      <c r="V2374" t="s">
        <v>106</v>
      </c>
      <c r="W2374" t="s">
        <v>954</v>
      </c>
      <c r="X2374" t="s">
        <v>106</v>
      </c>
      <c r="Y2374" t="s">
        <v>108</v>
      </c>
      <c r="Z2374" t="s">
        <v>104</v>
      </c>
      <c r="AA2374" t="s">
        <v>1586</v>
      </c>
      <c r="AB2374" t="s">
        <v>106</v>
      </c>
    </row>
    <row r="2375" spans="1:28" x14ac:dyDescent="0.3">
      <c r="A2375" t="s">
        <v>1580</v>
      </c>
      <c r="B2375">
        <v>4</v>
      </c>
      <c r="C2375">
        <v>60</v>
      </c>
      <c r="D2375">
        <v>55</v>
      </c>
      <c r="E2375" t="s">
        <v>456</v>
      </c>
      <c r="F2375" s="12">
        <v>45712</v>
      </c>
      <c r="G2375" t="s">
        <v>2492</v>
      </c>
      <c r="H2375" s="12">
        <v>45712</v>
      </c>
      <c r="I2375" t="s">
        <v>2195</v>
      </c>
      <c r="J2375" t="s">
        <v>2191</v>
      </c>
      <c r="K2375">
        <v>2</v>
      </c>
      <c r="L2375">
        <v>57.1</v>
      </c>
      <c r="M2375">
        <v>57.1</v>
      </c>
      <c r="P2375" t="s">
        <v>106</v>
      </c>
      <c r="Q2375" t="s">
        <v>106</v>
      </c>
      <c r="R2375" t="s">
        <v>106</v>
      </c>
      <c r="S2375" t="s">
        <v>2194</v>
      </c>
      <c r="T2375" t="s">
        <v>678</v>
      </c>
      <c r="U2375" t="s">
        <v>1276</v>
      </c>
      <c r="V2375" t="s">
        <v>106</v>
      </c>
      <c r="W2375" t="s">
        <v>476</v>
      </c>
      <c r="X2375" t="s">
        <v>106</v>
      </c>
      <c r="Y2375" t="s">
        <v>108</v>
      </c>
      <c r="Z2375" t="s">
        <v>104</v>
      </c>
      <c r="AA2375" t="s">
        <v>1586</v>
      </c>
      <c r="AB2375" t="s">
        <v>106</v>
      </c>
    </row>
    <row r="2376" spans="1:28" x14ac:dyDescent="0.3">
      <c r="A2376" t="s">
        <v>1580</v>
      </c>
      <c r="B2376">
        <v>4</v>
      </c>
      <c r="C2376">
        <v>60</v>
      </c>
      <c r="D2376">
        <v>54</v>
      </c>
      <c r="E2376" t="s">
        <v>456</v>
      </c>
      <c r="F2376" s="12">
        <v>45712</v>
      </c>
      <c r="G2376" t="s">
        <v>2462</v>
      </c>
      <c r="H2376" s="12">
        <v>45712</v>
      </c>
      <c r="I2376" t="s">
        <v>2195</v>
      </c>
      <c r="J2376" t="s">
        <v>2191</v>
      </c>
      <c r="K2376">
        <v>2</v>
      </c>
      <c r="L2376">
        <v>51.8</v>
      </c>
      <c r="M2376">
        <v>51.5</v>
      </c>
      <c r="P2376" t="s">
        <v>106</v>
      </c>
      <c r="Q2376" t="s">
        <v>106</v>
      </c>
      <c r="R2376" t="s">
        <v>106</v>
      </c>
      <c r="S2376" t="s">
        <v>1089</v>
      </c>
      <c r="T2376" t="s">
        <v>1530</v>
      </c>
      <c r="U2376" t="s">
        <v>1468</v>
      </c>
      <c r="V2376" t="s">
        <v>106</v>
      </c>
      <c r="W2376" t="s">
        <v>476</v>
      </c>
      <c r="X2376" t="s">
        <v>106</v>
      </c>
      <c r="Y2376" t="s">
        <v>108</v>
      </c>
      <c r="Z2376" t="s">
        <v>104</v>
      </c>
      <c r="AA2376" t="s">
        <v>1586</v>
      </c>
      <c r="AB2376" t="s">
        <v>106</v>
      </c>
    </row>
    <row r="2377" spans="1:28" x14ac:dyDescent="0.3">
      <c r="A2377" t="s">
        <v>1580</v>
      </c>
      <c r="B2377">
        <v>4</v>
      </c>
      <c r="C2377">
        <v>60</v>
      </c>
      <c r="D2377">
        <v>33</v>
      </c>
      <c r="E2377" t="s">
        <v>456</v>
      </c>
      <c r="F2377" s="12">
        <v>45712</v>
      </c>
      <c r="G2377" t="s">
        <v>742</v>
      </c>
      <c r="H2377" s="12">
        <v>45712</v>
      </c>
      <c r="I2377" t="s">
        <v>380</v>
      </c>
      <c r="J2377" t="s">
        <v>477</v>
      </c>
      <c r="K2377">
        <v>2</v>
      </c>
      <c r="L2377">
        <v>54.3</v>
      </c>
      <c r="M2377">
        <v>56.1</v>
      </c>
      <c r="P2377" t="s">
        <v>106</v>
      </c>
      <c r="Q2377" t="s">
        <v>106</v>
      </c>
      <c r="R2377" t="s">
        <v>106</v>
      </c>
      <c r="S2377" t="s">
        <v>2270</v>
      </c>
      <c r="T2377" t="s">
        <v>1385</v>
      </c>
      <c r="U2377" t="s">
        <v>703</v>
      </c>
      <c r="V2377" t="s">
        <v>106</v>
      </c>
      <c r="W2377" t="s">
        <v>954</v>
      </c>
      <c r="X2377" t="s">
        <v>106</v>
      </c>
      <c r="Y2377" t="s">
        <v>108</v>
      </c>
      <c r="Z2377" t="s">
        <v>104</v>
      </c>
      <c r="AA2377" t="s">
        <v>1586</v>
      </c>
      <c r="AB2377" t="s">
        <v>106</v>
      </c>
    </row>
    <row r="2378" spans="1:28" x14ac:dyDescent="0.3">
      <c r="A2378" t="s">
        <v>1580</v>
      </c>
      <c r="B2378">
        <v>4</v>
      </c>
      <c r="C2378">
        <v>60</v>
      </c>
      <c r="D2378">
        <v>34</v>
      </c>
      <c r="E2378" t="s">
        <v>456</v>
      </c>
      <c r="F2378" s="12">
        <v>45712</v>
      </c>
      <c r="G2378" t="s">
        <v>396</v>
      </c>
      <c r="H2378" s="12">
        <v>45712</v>
      </c>
      <c r="I2378" t="s">
        <v>380</v>
      </c>
      <c r="J2378" t="s">
        <v>477</v>
      </c>
      <c r="K2378">
        <v>2</v>
      </c>
      <c r="L2378">
        <v>57.2</v>
      </c>
      <c r="M2378">
        <v>57.6</v>
      </c>
      <c r="P2378" t="s">
        <v>106</v>
      </c>
      <c r="Q2378" t="s">
        <v>106</v>
      </c>
      <c r="R2378" t="s">
        <v>106</v>
      </c>
      <c r="S2378" t="s">
        <v>1096</v>
      </c>
      <c r="T2378" t="s">
        <v>806</v>
      </c>
      <c r="U2378" t="s">
        <v>1596</v>
      </c>
      <c r="V2378" t="s">
        <v>106</v>
      </c>
      <c r="W2378" t="s">
        <v>954</v>
      </c>
      <c r="X2378" t="s">
        <v>106</v>
      </c>
      <c r="Y2378" t="s">
        <v>108</v>
      </c>
      <c r="Z2378" t="s">
        <v>104</v>
      </c>
      <c r="AA2378" t="s">
        <v>1586</v>
      </c>
      <c r="AB2378" t="s">
        <v>106</v>
      </c>
    </row>
    <row r="2379" spans="1:28" x14ac:dyDescent="0.3">
      <c r="A2379" t="s">
        <v>1580</v>
      </c>
      <c r="B2379">
        <v>4</v>
      </c>
      <c r="C2379">
        <v>60</v>
      </c>
      <c r="D2379">
        <v>53</v>
      </c>
      <c r="E2379" t="s">
        <v>456</v>
      </c>
      <c r="F2379" s="12">
        <v>45712</v>
      </c>
      <c r="G2379" t="s">
        <v>1370</v>
      </c>
      <c r="H2379" s="12">
        <v>45712</v>
      </c>
      <c r="I2379" t="s">
        <v>2195</v>
      </c>
      <c r="J2379" t="s">
        <v>2191</v>
      </c>
      <c r="K2379">
        <v>2</v>
      </c>
      <c r="L2379">
        <v>55.4</v>
      </c>
      <c r="M2379">
        <v>55.2</v>
      </c>
      <c r="P2379" t="s">
        <v>106</v>
      </c>
      <c r="Q2379" t="s">
        <v>106</v>
      </c>
      <c r="R2379" t="s">
        <v>106</v>
      </c>
      <c r="S2379" t="s">
        <v>1040</v>
      </c>
      <c r="T2379" t="s">
        <v>777</v>
      </c>
      <c r="U2379" t="s">
        <v>1382</v>
      </c>
      <c r="V2379" t="s">
        <v>106</v>
      </c>
      <c r="W2379" t="s">
        <v>476</v>
      </c>
      <c r="X2379" t="s">
        <v>106</v>
      </c>
      <c r="Y2379" t="s">
        <v>108</v>
      </c>
      <c r="Z2379" t="s">
        <v>104</v>
      </c>
      <c r="AA2379" t="s">
        <v>1586</v>
      </c>
      <c r="AB2379" t="s">
        <v>106</v>
      </c>
    </row>
    <row r="2380" spans="1:28" x14ac:dyDescent="0.3">
      <c r="A2380" t="s">
        <v>1580</v>
      </c>
      <c r="B2380">
        <v>4</v>
      </c>
      <c r="C2380">
        <v>60</v>
      </c>
      <c r="D2380">
        <v>41</v>
      </c>
      <c r="E2380" t="s">
        <v>456</v>
      </c>
      <c r="F2380" s="12">
        <v>45712</v>
      </c>
      <c r="G2380" t="s">
        <v>698</v>
      </c>
      <c r="H2380" s="12">
        <v>45712</v>
      </c>
      <c r="I2380" t="s">
        <v>397</v>
      </c>
      <c r="J2380" t="s">
        <v>477</v>
      </c>
      <c r="K2380">
        <v>2</v>
      </c>
      <c r="L2380">
        <v>56.6</v>
      </c>
      <c r="M2380">
        <v>57.5</v>
      </c>
      <c r="P2380" t="s">
        <v>106</v>
      </c>
      <c r="Q2380" t="s">
        <v>106</v>
      </c>
      <c r="R2380" t="s">
        <v>106</v>
      </c>
      <c r="S2380" t="s">
        <v>2553</v>
      </c>
      <c r="T2380" t="s">
        <v>1585</v>
      </c>
      <c r="U2380" t="s">
        <v>1591</v>
      </c>
      <c r="V2380" t="s">
        <v>106</v>
      </c>
      <c r="W2380" t="s">
        <v>954</v>
      </c>
      <c r="X2380" t="s">
        <v>106</v>
      </c>
      <c r="Y2380" t="s">
        <v>108</v>
      </c>
      <c r="Z2380" t="s">
        <v>104</v>
      </c>
      <c r="AA2380" t="s">
        <v>1586</v>
      </c>
      <c r="AB2380" t="s">
        <v>106</v>
      </c>
    </row>
    <row r="2381" spans="1:28" x14ac:dyDescent="0.3">
      <c r="A2381" t="s">
        <v>1580</v>
      </c>
      <c r="B2381">
        <v>4</v>
      </c>
      <c r="C2381">
        <v>60</v>
      </c>
      <c r="D2381">
        <v>42</v>
      </c>
      <c r="E2381" t="s">
        <v>456</v>
      </c>
      <c r="F2381" s="12">
        <v>45712</v>
      </c>
      <c r="G2381" t="s">
        <v>1421</v>
      </c>
      <c r="H2381" s="12">
        <v>45712</v>
      </c>
      <c r="I2381" t="s">
        <v>397</v>
      </c>
      <c r="J2381" t="s">
        <v>477</v>
      </c>
      <c r="K2381">
        <v>2</v>
      </c>
      <c r="L2381">
        <v>55.2</v>
      </c>
      <c r="M2381">
        <v>55.7</v>
      </c>
      <c r="P2381" t="s">
        <v>106</v>
      </c>
      <c r="Q2381" t="s">
        <v>106</v>
      </c>
      <c r="R2381" t="s">
        <v>106</v>
      </c>
      <c r="S2381" t="s">
        <v>1079</v>
      </c>
      <c r="T2381" t="s">
        <v>1084</v>
      </c>
      <c r="U2381" t="s">
        <v>429</v>
      </c>
      <c r="V2381" t="s">
        <v>106</v>
      </c>
      <c r="W2381" t="s">
        <v>954</v>
      </c>
      <c r="X2381" t="s">
        <v>106</v>
      </c>
      <c r="Y2381" t="s">
        <v>108</v>
      </c>
      <c r="Z2381" t="s">
        <v>104</v>
      </c>
      <c r="AA2381" t="s">
        <v>1586</v>
      </c>
      <c r="AB2381" t="s">
        <v>106</v>
      </c>
    </row>
    <row r="2382" spans="1:28" x14ac:dyDescent="0.3">
      <c r="A2382" t="s">
        <v>1580</v>
      </c>
      <c r="B2382">
        <v>4</v>
      </c>
      <c r="C2382">
        <v>60</v>
      </c>
      <c r="D2382">
        <v>22</v>
      </c>
      <c r="E2382" t="s">
        <v>456</v>
      </c>
      <c r="F2382" s="12">
        <v>45712</v>
      </c>
      <c r="G2382" t="s">
        <v>1737</v>
      </c>
      <c r="H2382" s="12">
        <v>45712</v>
      </c>
      <c r="I2382" t="s">
        <v>2198</v>
      </c>
      <c r="J2382" t="s">
        <v>477</v>
      </c>
      <c r="K2382">
        <v>2</v>
      </c>
      <c r="L2382">
        <v>61.1</v>
      </c>
      <c r="M2382">
        <v>59.4</v>
      </c>
      <c r="P2382" t="s">
        <v>106</v>
      </c>
      <c r="Q2382" t="s">
        <v>106</v>
      </c>
      <c r="R2382" t="s">
        <v>106</v>
      </c>
      <c r="S2382" t="s">
        <v>106</v>
      </c>
      <c r="T2382" t="s">
        <v>1084</v>
      </c>
      <c r="U2382" t="s">
        <v>1479</v>
      </c>
      <c r="V2382" t="s">
        <v>106</v>
      </c>
      <c r="W2382" t="s">
        <v>954</v>
      </c>
      <c r="X2382" t="s">
        <v>106</v>
      </c>
      <c r="Y2382" t="s">
        <v>108</v>
      </c>
      <c r="Z2382" t="s">
        <v>104</v>
      </c>
      <c r="AA2382" t="s">
        <v>1586</v>
      </c>
      <c r="AB2382" t="s">
        <v>106</v>
      </c>
    </row>
    <row r="2383" spans="1:28" x14ac:dyDescent="0.3">
      <c r="A2383" t="s">
        <v>1580</v>
      </c>
      <c r="B2383">
        <v>4</v>
      </c>
      <c r="C2383">
        <v>60</v>
      </c>
      <c r="D2383">
        <v>48</v>
      </c>
      <c r="E2383" t="s">
        <v>456</v>
      </c>
      <c r="F2383" s="12">
        <v>45712</v>
      </c>
      <c r="G2383" t="s">
        <v>337</v>
      </c>
      <c r="H2383" s="12">
        <v>45712</v>
      </c>
      <c r="I2383" t="s">
        <v>590</v>
      </c>
      <c r="J2383" t="s">
        <v>477</v>
      </c>
      <c r="K2383">
        <v>2</v>
      </c>
      <c r="L2383">
        <v>56.3</v>
      </c>
      <c r="M2383">
        <v>56.3</v>
      </c>
      <c r="P2383" t="s">
        <v>106</v>
      </c>
      <c r="Q2383" t="s">
        <v>106</v>
      </c>
      <c r="R2383" t="s">
        <v>106</v>
      </c>
      <c r="S2383" t="s">
        <v>1079</v>
      </c>
      <c r="T2383" t="s">
        <v>1589</v>
      </c>
      <c r="U2383" t="s">
        <v>1477</v>
      </c>
      <c r="V2383" t="s">
        <v>106</v>
      </c>
      <c r="W2383" t="s">
        <v>954</v>
      </c>
      <c r="X2383" t="s">
        <v>106</v>
      </c>
      <c r="Y2383" t="s">
        <v>108</v>
      </c>
      <c r="Z2383" t="s">
        <v>104</v>
      </c>
      <c r="AA2383" t="s">
        <v>1586</v>
      </c>
      <c r="AB2383" t="s">
        <v>106</v>
      </c>
    </row>
    <row r="2384" spans="1:28" x14ac:dyDescent="0.3">
      <c r="A2384" t="s">
        <v>1580</v>
      </c>
      <c r="B2384">
        <v>4</v>
      </c>
      <c r="C2384">
        <v>60</v>
      </c>
      <c r="D2384">
        <v>16</v>
      </c>
      <c r="E2384" t="s">
        <v>456</v>
      </c>
      <c r="F2384" s="12">
        <v>45712</v>
      </c>
      <c r="G2384" t="s">
        <v>2622</v>
      </c>
      <c r="H2384" s="12">
        <v>45712</v>
      </c>
      <c r="I2384" t="s">
        <v>2198</v>
      </c>
      <c r="J2384" t="s">
        <v>477</v>
      </c>
      <c r="K2384">
        <v>2</v>
      </c>
      <c r="L2384">
        <v>61.2</v>
      </c>
      <c r="M2384">
        <v>61.7</v>
      </c>
      <c r="P2384" t="s">
        <v>106</v>
      </c>
      <c r="Q2384" t="s">
        <v>106</v>
      </c>
      <c r="R2384" t="s">
        <v>106</v>
      </c>
      <c r="S2384" t="s">
        <v>106</v>
      </c>
      <c r="T2384" t="s">
        <v>1558</v>
      </c>
      <c r="U2384" t="s">
        <v>1479</v>
      </c>
      <c r="V2384" t="s">
        <v>106</v>
      </c>
      <c r="W2384" t="s">
        <v>954</v>
      </c>
      <c r="X2384" t="s">
        <v>106</v>
      </c>
      <c r="Y2384" t="s">
        <v>108</v>
      </c>
      <c r="Z2384" t="s">
        <v>104</v>
      </c>
      <c r="AA2384" t="s">
        <v>1581</v>
      </c>
      <c r="AB2384" t="s">
        <v>106</v>
      </c>
    </row>
    <row r="2385" spans="1:28" x14ac:dyDescent="0.3">
      <c r="A2385" t="s">
        <v>1580</v>
      </c>
      <c r="B2385">
        <v>1</v>
      </c>
      <c r="C2385">
        <v>0</v>
      </c>
      <c r="D2385">
        <v>103</v>
      </c>
      <c r="E2385" t="s">
        <v>456</v>
      </c>
      <c r="F2385" s="12">
        <v>45713</v>
      </c>
      <c r="G2385" t="s">
        <v>751</v>
      </c>
      <c r="H2385" s="12">
        <v>45713</v>
      </c>
      <c r="I2385" t="s">
        <v>1559</v>
      </c>
      <c r="J2385" t="s">
        <v>477</v>
      </c>
      <c r="K2385">
        <v>2</v>
      </c>
      <c r="L2385">
        <v>0</v>
      </c>
      <c r="M2385">
        <v>0</v>
      </c>
      <c r="P2385" t="s">
        <v>106</v>
      </c>
      <c r="Q2385" t="s">
        <v>106</v>
      </c>
      <c r="R2385" t="s">
        <v>106</v>
      </c>
      <c r="S2385" t="s">
        <v>1592</v>
      </c>
      <c r="T2385" t="s">
        <v>1565</v>
      </c>
      <c r="U2385" t="s">
        <v>427</v>
      </c>
      <c r="V2385" t="s">
        <v>106</v>
      </c>
      <c r="W2385" t="s">
        <v>954</v>
      </c>
      <c r="X2385" t="s">
        <v>106</v>
      </c>
      <c r="Y2385" t="s">
        <v>108</v>
      </c>
      <c r="Z2385" t="s">
        <v>105</v>
      </c>
      <c r="AA2385" t="s">
        <v>106</v>
      </c>
      <c r="AB2385" t="s">
        <v>106</v>
      </c>
    </row>
    <row r="2386" spans="1:28" x14ac:dyDescent="0.3">
      <c r="A2386" t="s">
        <v>1580</v>
      </c>
      <c r="B2386">
        <v>1</v>
      </c>
      <c r="C2386">
        <v>0</v>
      </c>
      <c r="D2386">
        <v>150</v>
      </c>
      <c r="E2386" t="s">
        <v>456</v>
      </c>
      <c r="F2386" s="12">
        <v>45713</v>
      </c>
      <c r="G2386" t="s">
        <v>1593</v>
      </c>
      <c r="H2386" s="12">
        <v>45713</v>
      </c>
      <c r="I2386" t="s">
        <v>1594</v>
      </c>
      <c r="J2386" t="s">
        <v>1522</v>
      </c>
      <c r="K2386">
        <v>2</v>
      </c>
      <c r="L2386">
        <v>0</v>
      </c>
      <c r="M2386">
        <v>0</v>
      </c>
      <c r="P2386" t="s">
        <v>106</v>
      </c>
      <c r="Q2386" t="s">
        <v>106</v>
      </c>
      <c r="R2386" t="s">
        <v>106</v>
      </c>
      <c r="S2386" t="s">
        <v>1595</v>
      </c>
      <c r="T2386" t="s">
        <v>1443</v>
      </c>
      <c r="U2386" t="s">
        <v>1596</v>
      </c>
      <c r="V2386" t="s">
        <v>106</v>
      </c>
      <c r="W2386" t="s">
        <v>476</v>
      </c>
      <c r="X2386" t="s">
        <v>106</v>
      </c>
      <c r="Y2386" t="s">
        <v>108</v>
      </c>
      <c r="Z2386" t="s">
        <v>105</v>
      </c>
      <c r="AA2386" t="s">
        <v>1597</v>
      </c>
      <c r="AB2386" t="s">
        <v>106</v>
      </c>
    </row>
    <row r="2387" spans="1:28" x14ac:dyDescent="0.3">
      <c r="A2387" t="s">
        <v>1580</v>
      </c>
      <c r="B2387">
        <v>1</v>
      </c>
      <c r="C2387">
        <v>0</v>
      </c>
      <c r="D2387">
        <v>104</v>
      </c>
      <c r="E2387" t="s">
        <v>456</v>
      </c>
      <c r="F2387" s="12">
        <v>45713</v>
      </c>
      <c r="G2387" t="s">
        <v>746</v>
      </c>
      <c r="H2387" s="12">
        <v>45713</v>
      </c>
      <c r="I2387" t="s">
        <v>1559</v>
      </c>
      <c r="J2387" t="s">
        <v>477</v>
      </c>
      <c r="K2387">
        <v>2</v>
      </c>
      <c r="L2387">
        <v>0</v>
      </c>
      <c r="M2387">
        <v>0</v>
      </c>
      <c r="P2387" t="s">
        <v>106</v>
      </c>
      <c r="Q2387" t="s">
        <v>106</v>
      </c>
      <c r="R2387" t="s">
        <v>106</v>
      </c>
      <c r="S2387" t="s">
        <v>1598</v>
      </c>
      <c r="T2387" t="s">
        <v>934</v>
      </c>
      <c r="U2387" t="s">
        <v>1359</v>
      </c>
      <c r="V2387" t="s">
        <v>106</v>
      </c>
      <c r="W2387" t="s">
        <v>954</v>
      </c>
      <c r="X2387" t="s">
        <v>106</v>
      </c>
      <c r="Y2387" t="s">
        <v>108</v>
      </c>
      <c r="Z2387" t="s">
        <v>105</v>
      </c>
      <c r="AA2387" t="s">
        <v>106</v>
      </c>
      <c r="AB2387" t="s">
        <v>106</v>
      </c>
    </row>
    <row r="2388" spans="1:28" x14ac:dyDescent="0.3">
      <c r="A2388" t="s">
        <v>1580</v>
      </c>
      <c r="B2388">
        <v>1</v>
      </c>
      <c r="C2388">
        <v>0</v>
      </c>
      <c r="D2388">
        <v>149</v>
      </c>
      <c r="E2388" t="s">
        <v>456</v>
      </c>
      <c r="F2388" s="12">
        <v>45713</v>
      </c>
      <c r="G2388" t="s">
        <v>1599</v>
      </c>
      <c r="H2388" s="12">
        <v>45713</v>
      </c>
      <c r="I2388" t="s">
        <v>1594</v>
      </c>
      <c r="J2388" t="s">
        <v>1522</v>
      </c>
      <c r="K2388">
        <v>2</v>
      </c>
      <c r="L2388">
        <v>0</v>
      </c>
      <c r="M2388">
        <v>0</v>
      </c>
      <c r="P2388" t="s">
        <v>106</v>
      </c>
      <c r="Q2388" t="s">
        <v>106</v>
      </c>
      <c r="R2388" t="s">
        <v>106</v>
      </c>
      <c r="S2388" t="s">
        <v>106</v>
      </c>
      <c r="T2388" t="s">
        <v>1090</v>
      </c>
      <c r="U2388" t="s">
        <v>1600</v>
      </c>
      <c r="V2388" t="s">
        <v>106</v>
      </c>
      <c r="W2388" t="s">
        <v>476</v>
      </c>
      <c r="X2388" t="s">
        <v>106</v>
      </c>
      <c r="Y2388" t="s">
        <v>108</v>
      </c>
      <c r="Z2388" t="s">
        <v>105</v>
      </c>
      <c r="AA2388" t="s">
        <v>1597</v>
      </c>
      <c r="AB2388" t="s">
        <v>106</v>
      </c>
    </row>
    <row r="2389" spans="1:28" x14ac:dyDescent="0.3">
      <c r="A2389" t="s">
        <v>1580</v>
      </c>
      <c r="B2389">
        <v>1</v>
      </c>
      <c r="C2389">
        <v>0</v>
      </c>
      <c r="D2389">
        <v>158</v>
      </c>
      <c r="E2389" t="s">
        <v>456</v>
      </c>
      <c r="F2389" s="12">
        <v>45713</v>
      </c>
      <c r="G2389" t="s">
        <v>1601</v>
      </c>
      <c r="H2389" s="12">
        <v>45713</v>
      </c>
      <c r="I2389" t="s">
        <v>1602</v>
      </c>
      <c r="J2389" t="s">
        <v>1522</v>
      </c>
      <c r="K2389">
        <v>2</v>
      </c>
      <c r="L2389">
        <v>0</v>
      </c>
      <c r="P2389" t="s">
        <v>106</v>
      </c>
      <c r="Q2389" t="s">
        <v>106</v>
      </c>
      <c r="R2389" t="s">
        <v>106</v>
      </c>
      <c r="S2389" t="s">
        <v>106</v>
      </c>
      <c r="T2389" t="s">
        <v>1280</v>
      </c>
      <c r="U2389" t="s">
        <v>106</v>
      </c>
      <c r="V2389" t="s">
        <v>106</v>
      </c>
      <c r="W2389" t="s">
        <v>476</v>
      </c>
      <c r="X2389" t="s">
        <v>106</v>
      </c>
      <c r="Y2389" t="s">
        <v>108</v>
      </c>
      <c r="Z2389" t="s">
        <v>104</v>
      </c>
      <c r="AA2389" t="s">
        <v>1597</v>
      </c>
      <c r="AB2389" t="s">
        <v>106</v>
      </c>
    </row>
    <row r="2390" spans="1:28" x14ac:dyDescent="0.3">
      <c r="A2390" t="s">
        <v>1580</v>
      </c>
      <c r="B2390">
        <v>1</v>
      </c>
      <c r="C2390">
        <v>0</v>
      </c>
      <c r="D2390">
        <v>111</v>
      </c>
      <c r="E2390" t="s">
        <v>456</v>
      </c>
      <c r="F2390" s="12">
        <v>45713</v>
      </c>
      <c r="G2390" t="s">
        <v>392</v>
      </c>
      <c r="H2390" s="12">
        <v>45713</v>
      </c>
      <c r="I2390" t="s">
        <v>1469</v>
      </c>
      <c r="J2390" t="s">
        <v>477</v>
      </c>
      <c r="K2390">
        <v>2</v>
      </c>
      <c r="L2390">
        <v>0</v>
      </c>
      <c r="P2390" t="s">
        <v>106</v>
      </c>
      <c r="Q2390" t="s">
        <v>106</v>
      </c>
      <c r="R2390" t="s">
        <v>106</v>
      </c>
      <c r="S2390" t="s">
        <v>106</v>
      </c>
      <c r="T2390" t="s">
        <v>1603</v>
      </c>
      <c r="U2390" t="s">
        <v>1604</v>
      </c>
      <c r="V2390" t="s">
        <v>106</v>
      </c>
      <c r="W2390" t="s">
        <v>954</v>
      </c>
      <c r="X2390" t="s">
        <v>106</v>
      </c>
      <c r="Y2390" t="s">
        <v>108</v>
      </c>
      <c r="Z2390" t="s">
        <v>105</v>
      </c>
      <c r="AA2390" t="s">
        <v>106</v>
      </c>
      <c r="AB2390" t="s">
        <v>106</v>
      </c>
    </row>
    <row r="2391" spans="1:28" x14ac:dyDescent="0.3">
      <c r="A2391" t="s">
        <v>1580</v>
      </c>
      <c r="B2391">
        <v>1</v>
      </c>
      <c r="C2391">
        <v>0</v>
      </c>
      <c r="D2391">
        <v>112</v>
      </c>
      <c r="E2391" t="s">
        <v>456</v>
      </c>
      <c r="F2391" s="12">
        <v>45713</v>
      </c>
      <c r="G2391" t="s">
        <v>393</v>
      </c>
      <c r="H2391" s="12">
        <v>45713</v>
      </c>
      <c r="I2391" t="s">
        <v>1469</v>
      </c>
      <c r="J2391" t="s">
        <v>477</v>
      </c>
      <c r="K2391">
        <v>2</v>
      </c>
      <c r="L2391">
        <v>0</v>
      </c>
      <c r="P2391" t="s">
        <v>106</v>
      </c>
      <c r="Q2391" t="s">
        <v>106</v>
      </c>
      <c r="R2391" t="s">
        <v>106</v>
      </c>
      <c r="S2391" t="s">
        <v>1605</v>
      </c>
      <c r="T2391" t="s">
        <v>1589</v>
      </c>
      <c r="U2391" t="s">
        <v>427</v>
      </c>
      <c r="V2391" t="s">
        <v>106</v>
      </c>
      <c r="W2391" t="s">
        <v>954</v>
      </c>
      <c r="X2391" t="s">
        <v>106</v>
      </c>
      <c r="Y2391" t="s">
        <v>108</v>
      </c>
      <c r="Z2391" t="s">
        <v>105</v>
      </c>
      <c r="AA2391" t="s">
        <v>106</v>
      </c>
      <c r="AB2391" t="s">
        <v>106</v>
      </c>
    </row>
    <row r="2392" spans="1:28" x14ac:dyDescent="0.3">
      <c r="A2392" t="s">
        <v>1580</v>
      </c>
      <c r="B2392">
        <v>1</v>
      </c>
      <c r="C2392">
        <v>0</v>
      </c>
      <c r="D2392">
        <v>157</v>
      </c>
      <c r="E2392" t="s">
        <v>456</v>
      </c>
      <c r="F2392" s="12">
        <v>45713</v>
      </c>
      <c r="G2392" t="s">
        <v>1601</v>
      </c>
      <c r="H2392" s="12">
        <v>45713</v>
      </c>
      <c r="I2392" t="s">
        <v>1602</v>
      </c>
      <c r="J2392" t="s">
        <v>1522</v>
      </c>
      <c r="K2392">
        <v>2</v>
      </c>
      <c r="L2392">
        <v>0</v>
      </c>
      <c r="P2392" t="s">
        <v>106</v>
      </c>
      <c r="Q2392" t="s">
        <v>106</v>
      </c>
      <c r="R2392" t="s">
        <v>106</v>
      </c>
      <c r="S2392" t="s">
        <v>106</v>
      </c>
      <c r="T2392" t="s">
        <v>1606</v>
      </c>
      <c r="U2392" t="s">
        <v>106</v>
      </c>
      <c r="V2392" t="s">
        <v>106</v>
      </c>
      <c r="W2392" t="s">
        <v>476</v>
      </c>
      <c r="X2392" t="s">
        <v>106</v>
      </c>
      <c r="Y2392" t="s">
        <v>108</v>
      </c>
      <c r="Z2392" t="s">
        <v>104</v>
      </c>
      <c r="AA2392" t="s">
        <v>1597</v>
      </c>
      <c r="AB2392" t="s">
        <v>106</v>
      </c>
    </row>
    <row r="2393" spans="1:28" x14ac:dyDescent="0.3">
      <c r="A2393" t="s">
        <v>1580</v>
      </c>
      <c r="B2393">
        <v>2</v>
      </c>
      <c r="C2393">
        <v>15</v>
      </c>
      <c r="D2393">
        <v>123</v>
      </c>
      <c r="E2393" t="s">
        <v>456</v>
      </c>
      <c r="F2393" s="12">
        <v>45713</v>
      </c>
      <c r="G2393" t="s">
        <v>583</v>
      </c>
      <c r="H2393" s="12" t="s">
        <v>109</v>
      </c>
      <c r="I2393" t="s">
        <v>567</v>
      </c>
      <c r="J2393" t="s">
        <v>458</v>
      </c>
      <c r="K2393">
        <v>2</v>
      </c>
      <c r="L2393">
        <v>12.8</v>
      </c>
      <c r="P2393" t="s">
        <v>106</v>
      </c>
      <c r="Q2393" t="s">
        <v>106</v>
      </c>
      <c r="R2393" t="s">
        <v>106</v>
      </c>
      <c r="S2393" t="s">
        <v>2202</v>
      </c>
      <c r="T2393" t="s">
        <v>1108</v>
      </c>
      <c r="U2393" t="s">
        <v>1415</v>
      </c>
      <c r="V2393" t="s">
        <v>106</v>
      </c>
      <c r="W2393" t="s">
        <v>557</v>
      </c>
      <c r="X2393" t="s">
        <v>106</v>
      </c>
      <c r="Y2393" t="s">
        <v>108</v>
      </c>
      <c r="Z2393" t="s">
        <v>109</v>
      </c>
      <c r="AA2393" t="s">
        <v>1597</v>
      </c>
      <c r="AB2393" t="s">
        <v>106</v>
      </c>
    </row>
    <row r="2394" spans="1:28" x14ac:dyDescent="0.3">
      <c r="A2394" t="s">
        <v>1580</v>
      </c>
      <c r="B2394">
        <v>2</v>
      </c>
      <c r="C2394">
        <v>15</v>
      </c>
      <c r="D2394">
        <v>141</v>
      </c>
      <c r="E2394" t="s">
        <v>456</v>
      </c>
      <c r="F2394" s="12">
        <v>45713</v>
      </c>
      <c r="G2394" t="s">
        <v>1998</v>
      </c>
      <c r="H2394" s="12">
        <v>45713</v>
      </c>
      <c r="I2394" t="s">
        <v>1645</v>
      </c>
      <c r="J2394" t="s">
        <v>1584</v>
      </c>
      <c r="K2394">
        <v>2</v>
      </c>
      <c r="L2394">
        <v>15.8</v>
      </c>
      <c r="M2394">
        <v>15.8</v>
      </c>
      <c r="P2394" t="s">
        <v>106</v>
      </c>
      <c r="Q2394" t="s">
        <v>106</v>
      </c>
      <c r="R2394" t="s">
        <v>106</v>
      </c>
      <c r="S2394" t="s">
        <v>2203</v>
      </c>
      <c r="T2394" t="s">
        <v>2087</v>
      </c>
      <c r="U2394" t="s">
        <v>1738</v>
      </c>
      <c r="V2394" t="s">
        <v>106</v>
      </c>
      <c r="W2394" t="s">
        <v>476</v>
      </c>
      <c r="X2394" t="s">
        <v>106</v>
      </c>
      <c r="Y2394" t="s">
        <v>108</v>
      </c>
      <c r="Z2394" t="s">
        <v>109</v>
      </c>
      <c r="AA2394" t="s">
        <v>1597</v>
      </c>
      <c r="AB2394" t="s">
        <v>106</v>
      </c>
    </row>
    <row r="2395" spans="1:28" x14ac:dyDescent="0.3">
      <c r="A2395" t="s">
        <v>1580</v>
      </c>
      <c r="B2395">
        <v>2</v>
      </c>
      <c r="C2395">
        <v>15</v>
      </c>
      <c r="D2395">
        <v>136</v>
      </c>
      <c r="E2395" t="s">
        <v>456</v>
      </c>
      <c r="F2395" s="12">
        <v>45713</v>
      </c>
      <c r="G2395" t="s">
        <v>2204</v>
      </c>
      <c r="H2395" s="12">
        <v>45713</v>
      </c>
      <c r="I2395" t="s">
        <v>555</v>
      </c>
      <c r="J2395" t="s">
        <v>1584</v>
      </c>
      <c r="K2395">
        <v>2</v>
      </c>
      <c r="L2395">
        <v>14.5</v>
      </c>
      <c r="M2395">
        <v>14.5</v>
      </c>
      <c r="P2395" t="s">
        <v>106</v>
      </c>
      <c r="Q2395" t="s">
        <v>106</v>
      </c>
      <c r="R2395" t="s">
        <v>106</v>
      </c>
      <c r="S2395" t="s">
        <v>1598</v>
      </c>
      <c r="T2395" t="s">
        <v>1046</v>
      </c>
      <c r="U2395" t="s">
        <v>1347</v>
      </c>
      <c r="V2395" t="s">
        <v>106</v>
      </c>
      <c r="W2395" t="s">
        <v>476</v>
      </c>
      <c r="X2395" t="s">
        <v>106</v>
      </c>
      <c r="Y2395" t="s">
        <v>108</v>
      </c>
      <c r="Z2395" t="s">
        <v>109</v>
      </c>
      <c r="AA2395" t="s">
        <v>1597</v>
      </c>
      <c r="AB2395" t="s">
        <v>106</v>
      </c>
    </row>
    <row r="2396" spans="1:28" x14ac:dyDescent="0.3">
      <c r="A2396" t="s">
        <v>1580</v>
      </c>
      <c r="B2396">
        <v>2</v>
      </c>
      <c r="C2396">
        <v>15</v>
      </c>
      <c r="D2396">
        <v>135</v>
      </c>
      <c r="E2396" t="s">
        <v>456</v>
      </c>
      <c r="F2396" s="12">
        <v>45713</v>
      </c>
      <c r="G2396" t="s">
        <v>1392</v>
      </c>
      <c r="H2396" s="12">
        <v>45713</v>
      </c>
      <c r="I2396" t="s">
        <v>555</v>
      </c>
      <c r="J2396" t="s">
        <v>1584</v>
      </c>
      <c r="K2396">
        <v>2</v>
      </c>
      <c r="L2396">
        <v>13.1</v>
      </c>
      <c r="M2396">
        <v>13</v>
      </c>
      <c r="P2396" t="s">
        <v>106</v>
      </c>
      <c r="Q2396" t="s">
        <v>106</v>
      </c>
      <c r="R2396" t="s">
        <v>106</v>
      </c>
      <c r="S2396" t="s">
        <v>2205</v>
      </c>
      <c r="T2396" t="s">
        <v>1000</v>
      </c>
      <c r="U2396" t="s">
        <v>1353</v>
      </c>
      <c r="V2396" t="s">
        <v>106</v>
      </c>
      <c r="W2396" t="s">
        <v>476</v>
      </c>
      <c r="X2396" t="s">
        <v>106</v>
      </c>
      <c r="Y2396" t="s">
        <v>108</v>
      </c>
      <c r="Z2396" t="s">
        <v>109</v>
      </c>
      <c r="AA2396" t="s">
        <v>1597</v>
      </c>
      <c r="AB2396" t="s">
        <v>106</v>
      </c>
    </row>
    <row r="2397" spans="1:28" x14ac:dyDescent="0.3">
      <c r="A2397" t="s">
        <v>1580</v>
      </c>
      <c r="B2397">
        <v>2</v>
      </c>
      <c r="C2397">
        <v>15</v>
      </c>
      <c r="D2397">
        <v>127</v>
      </c>
      <c r="E2397" t="s">
        <v>456</v>
      </c>
      <c r="F2397" s="12">
        <v>45713</v>
      </c>
      <c r="G2397" t="s">
        <v>593</v>
      </c>
      <c r="H2397" s="12">
        <v>45713</v>
      </c>
      <c r="I2397" t="s">
        <v>106</v>
      </c>
      <c r="J2397" t="s">
        <v>1584</v>
      </c>
      <c r="K2397">
        <v>2</v>
      </c>
      <c r="L2397">
        <v>14.6</v>
      </c>
      <c r="M2397">
        <v>14.6</v>
      </c>
      <c r="P2397" t="s">
        <v>106</v>
      </c>
      <c r="Q2397" t="s">
        <v>106</v>
      </c>
      <c r="R2397" t="s">
        <v>106</v>
      </c>
      <c r="S2397" t="s">
        <v>2206</v>
      </c>
      <c r="T2397" t="s">
        <v>855</v>
      </c>
      <c r="U2397" t="s">
        <v>905</v>
      </c>
      <c r="V2397" t="s">
        <v>106</v>
      </c>
      <c r="W2397" t="s">
        <v>476</v>
      </c>
      <c r="X2397" t="s">
        <v>106</v>
      </c>
      <c r="Y2397" t="s">
        <v>108</v>
      </c>
      <c r="Z2397" t="s">
        <v>109</v>
      </c>
      <c r="AA2397" t="s">
        <v>1597</v>
      </c>
      <c r="AB2397" t="s">
        <v>106</v>
      </c>
    </row>
    <row r="2398" spans="1:28" x14ac:dyDescent="0.3">
      <c r="A2398" t="s">
        <v>1580</v>
      </c>
      <c r="B2398">
        <v>2</v>
      </c>
      <c r="C2398">
        <v>15</v>
      </c>
      <c r="D2398">
        <v>124</v>
      </c>
      <c r="E2398" t="s">
        <v>456</v>
      </c>
      <c r="F2398" s="12">
        <v>45713</v>
      </c>
      <c r="G2398" t="s">
        <v>770</v>
      </c>
      <c r="H2398" s="12" t="s">
        <v>109</v>
      </c>
      <c r="I2398" t="s">
        <v>567</v>
      </c>
      <c r="J2398" t="s">
        <v>458</v>
      </c>
      <c r="K2398">
        <v>2</v>
      </c>
      <c r="L2398">
        <v>13.2</v>
      </c>
      <c r="P2398" t="s">
        <v>106</v>
      </c>
      <c r="Q2398" t="s">
        <v>106</v>
      </c>
      <c r="R2398" t="s">
        <v>106</v>
      </c>
      <c r="S2398" t="s">
        <v>2207</v>
      </c>
      <c r="T2398" t="s">
        <v>1217</v>
      </c>
      <c r="U2398" t="s">
        <v>427</v>
      </c>
      <c r="V2398" t="s">
        <v>106</v>
      </c>
      <c r="W2398" t="s">
        <v>557</v>
      </c>
      <c r="X2398" t="s">
        <v>106</v>
      </c>
      <c r="Y2398" t="s">
        <v>108</v>
      </c>
      <c r="Z2398" t="s">
        <v>109</v>
      </c>
      <c r="AA2398" t="s">
        <v>1597</v>
      </c>
      <c r="AB2398" t="s">
        <v>106</v>
      </c>
    </row>
    <row r="2399" spans="1:28" x14ac:dyDescent="0.3">
      <c r="A2399" t="s">
        <v>1580</v>
      </c>
      <c r="B2399">
        <v>2</v>
      </c>
      <c r="C2399">
        <v>15</v>
      </c>
      <c r="D2399">
        <v>118</v>
      </c>
      <c r="E2399" t="s">
        <v>456</v>
      </c>
      <c r="F2399" s="12">
        <v>45713</v>
      </c>
      <c r="G2399" t="s">
        <v>527</v>
      </c>
      <c r="H2399" s="12">
        <v>45713</v>
      </c>
      <c r="I2399" t="s">
        <v>383</v>
      </c>
      <c r="J2399" t="s">
        <v>477</v>
      </c>
      <c r="K2399">
        <v>2</v>
      </c>
      <c r="L2399">
        <v>14.6</v>
      </c>
      <c r="P2399" t="s">
        <v>106</v>
      </c>
      <c r="Q2399" t="s">
        <v>106</v>
      </c>
      <c r="R2399" t="s">
        <v>106</v>
      </c>
      <c r="S2399" t="s">
        <v>2208</v>
      </c>
      <c r="T2399" t="s">
        <v>609</v>
      </c>
      <c r="U2399" t="s">
        <v>1539</v>
      </c>
      <c r="V2399" t="s">
        <v>106</v>
      </c>
      <c r="W2399" t="s">
        <v>954</v>
      </c>
      <c r="X2399" t="s">
        <v>106</v>
      </c>
      <c r="Y2399" t="s">
        <v>108</v>
      </c>
      <c r="Z2399" t="s">
        <v>109</v>
      </c>
      <c r="AA2399" t="s">
        <v>1597</v>
      </c>
      <c r="AB2399" t="s">
        <v>106</v>
      </c>
    </row>
    <row r="2400" spans="1:28" x14ac:dyDescent="0.3">
      <c r="A2400" t="s">
        <v>1580</v>
      </c>
      <c r="B2400">
        <v>2</v>
      </c>
      <c r="C2400">
        <v>15</v>
      </c>
      <c r="D2400">
        <v>142</v>
      </c>
      <c r="E2400" t="s">
        <v>456</v>
      </c>
      <c r="F2400" s="12">
        <v>45713</v>
      </c>
      <c r="G2400" t="s">
        <v>1998</v>
      </c>
      <c r="H2400" s="12">
        <v>45713</v>
      </c>
      <c r="I2400" t="s">
        <v>1645</v>
      </c>
      <c r="J2400" t="s">
        <v>1584</v>
      </c>
      <c r="K2400">
        <v>2</v>
      </c>
      <c r="L2400">
        <v>15.9</v>
      </c>
      <c r="M2400">
        <v>15.9</v>
      </c>
      <c r="P2400" t="s">
        <v>106</v>
      </c>
      <c r="Q2400" t="s">
        <v>106</v>
      </c>
      <c r="R2400" t="s">
        <v>106</v>
      </c>
      <c r="S2400" t="s">
        <v>2209</v>
      </c>
      <c r="T2400" t="s">
        <v>1069</v>
      </c>
      <c r="U2400" t="s">
        <v>1347</v>
      </c>
      <c r="V2400" t="s">
        <v>106</v>
      </c>
      <c r="W2400" t="s">
        <v>476</v>
      </c>
      <c r="X2400" t="s">
        <v>106</v>
      </c>
      <c r="Y2400" t="s">
        <v>108</v>
      </c>
      <c r="Z2400" t="s">
        <v>109</v>
      </c>
      <c r="AA2400" t="s">
        <v>1597</v>
      </c>
      <c r="AB2400" t="s">
        <v>106</v>
      </c>
    </row>
    <row r="2401" spans="1:28" x14ac:dyDescent="0.3">
      <c r="A2401" t="s">
        <v>1580</v>
      </c>
      <c r="B2401">
        <v>2</v>
      </c>
      <c r="C2401">
        <v>15</v>
      </c>
      <c r="D2401">
        <v>110</v>
      </c>
      <c r="E2401" t="s">
        <v>456</v>
      </c>
      <c r="F2401" s="12">
        <v>45713</v>
      </c>
      <c r="G2401" t="s">
        <v>1655</v>
      </c>
      <c r="H2401" s="12">
        <v>45713</v>
      </c>
      <c r="I2401" t="s">
        <v>1469</v>
      </c>
      <c r="J2401" t="s">
        <v>477</v>
      </c>
      <c r="K2401">
        <v>2</v>
      </c>
      <c r="L2401">
        <v>12.7</v>
      </c>
      <c r="P2401" t="s">
        <v>106</v>
      </c>
      <c r="Q2401" t="s">
        <v>106</v>
      </c>
      <c r="R2401" t="s">
        <v>106</v>
      </c>
      <c r="S2401" t="s">
        <v>106</v>
      </c>
      <c r="T2401" t="s">
        <v>981</v>
      </c>
      <c r="U2401" t="s">
        <v>429</v>
      </c>
      <c r="V2401" t="s">
        <v>106</v>
      </c>
      <c r="W2401" t="s">
        <v>954</v>
      </c>
      <c r="X2401" t="s">
        <v>106</v>
      </c>
      <c r="Y2401" t="s">
        <v>108</v>
      </c>
      <c r="Z2401" t="s">
        <v>109</v>
      </c>
      <c r="AA2401" t="s">
        <v>1597</v>
      </c>
      <c r="AB2401" t="s">
        <v>106</v>
      </c>
    </row>
    <row r="2402" spans="1:28" x14ac:dyDescent="0.3">
      <c r="A2402" t="s">
        <v>1580</v>
      </c>
      <c r="B2402">
        <v>2</v>
      </c>
      <c r="C2402">
        <v>15</v>
      </c>
      <c r="D2402">
        <v>109</v>
      </c>
      <c r="E2402" t="s">
        <v>456</v>
      </c>
      <c r="F2402" s="12">
        <v>45713</v>
      </c>
      <c r="G2402" t="s">
        <v>1655</v>
      </c>
      <c r="H2402" s="12">
        <v>45713</v>
      </c>
      <c r="I2402" t="s">
        <v>1469</v>
      </c>
      <c r="J2402" t="s">
        <v>477</v>
      </c>
      <c r="K2402">
        <v>2</v>
      </c>
      <c r="L2402">
        <v>12</v>
      </c>
      <c r="P2402" t="s">
        <v>106</v>
      </c>
      <c r="Q2402" t="s">
        <v>106</v>
      </c>
      <c r="R2402" t="s">
        <v>106</v>
      </c>
      <c r="S2402" t="s">
        <v>106</v>
      </c>
      <c r="T2402" t="s">
        <v>1475</v>
      </c>
      <c r="U2402" t="s">
        <v>429</v>
      </c>
      <c r="V2402" t="s">
        <v>106</v>
      </c>
      <c r="W2402" t="s">
        <v>954</v>
      </c>
      <c r="X2402" t="s">
        <v>106</v>
      </c>
      <c r="Y2402" t="s">
        <v>108</v>
      </c>
      <c r="Z2402" t="s">
        <v>109</v>
      </c>
      <c r="AA2402" t="s">
        <v>1597</v>
      </c>
      <c r="AB2402" t="s">
        <v>106</v>
      </c>
    </row>
    <row r="2403" spans="1:28" x14ac:dyDescent="0.3">
      <c r="A2403" t="s">
        <v>1580</v>
      </c>
      <c r="B2403">
        <v>2</v>
      </c>
      <c r="C2403">
        <v>15</v>
      </c>
      <c r="D2403">
        <v>102</v>
      </c>
      <c r="E2403" t="s">
        <v>456</v>
      </c>
      <c r="F2403" s="12">
        <v>45713</v>
      </c>
      <c r="G2403" t="s">
        <v>1702</v>
      </c>
      <c r="H2403" s="12">
        <v>45713</v>
      </c>
      <c r="I2403" t="s">
        <v>1559</v>
      </c>
      <c r="J2403" t="s">
        <v>477</v>
      </c>
      <c r="K2403">
        <v>2</v>
      </c>
      <c r="L2403">
        <v>14.5</v>
      </c>
      <c r="M2403">
        <v>14.6</v>
      </c>
      <c r="P2403" t="s">
        <v>106</v>
      </c>
      <c r="Q2403" t="s">
        <v>106</v>
      </c>
      <c r="R2403" t="s">
        <v>106</v>
      </c>
      <c r="S2403" t="s">
        <v>1640</v>
      </c>
      <c r="T2403" t="s">
        <v>1069</v>
      </c>
      <c r="U2403" t="s">
        <v>391</v>
      </c>
      <c r="V2403" t="s">
        <v>106</v>
      </c>
      <c r="W2403" t="s">
        <v>954</v>
      </c>
      <c r="X2403" t="s">
        <v>106</v>
      </c>
      <c r="Y2403" t="s">
        <v>108</v>
      </c>
      <c r="Z2403" t="s">
        <v>109</v>
      </c>
      <c r="AA2403" t="s">
        <v>1597</v>
      </c>
      <c r="AB2403" t="s">
        <v>106</v>
      </c>
    </row>
    <row r="2404" spans="1:28" x14ac:dyDescent="0.3">
      <c r="A2404" t="s">
        <v>1580</v>
      </c>
      <c r="B2404">
        <v>2</v>
      </c>
      <c r="C2404">
        <v>15</v>
      </c>
      <c r="D2404">
        <v>101</v>
      </c>
      <c r="E2404" t="s">
        <v>456</v>
      </c>
      <c r="F2404" s="12">
        <v>45713</v>
      </c>
      <c r="G2404" t="s">
        <v>1702</v>
      </c>
      <c r="H2404" s="12">
        <v>45713</v>
      </c>
      <c r="I2404" t="s">
        <v>1559</v>
      </c>
      <c r="J2404" t="s">
        <v>477</v>
      </c>
      <c r="K2404">
        <v>2</v>
      </c>
      <c r="L2404">
        <v>13.5</v>
      </c>
      <c r="M2404">
        <v>13.6</v>
      </c>
      <c r="P2404" t="s">
        <v>106</v>
      </c>
      <c r="Q2404" t="s">
        <v>106</v>
      </c>
      <c r="R2404" t="s">
        <v>106</v>
      </c>
      <c r="S2404" t="s">
        <v>2196</v>
      </c>
      <c r="T2404" t="s">
        <v>1650</v>
      </c>
      <c r="U2404" t="s">
        <v>1468</v>
      </c>
      <c r="V2404" t="s">
        <v>106</v>
      </c>
      <c r="W2404" t="s">
        <v>954</v>
      </c>
      <c r="X2404" t="s">
        <v>106</v>
      </c>
      <c r="Y2404" t="s">
        <v>108</v>
      </c>
      <c r="Z2404" t="s">
        <v>109</v>
      </c>
      <c r="AA2404" t="s">
        <v>1597</v>
      </c>
      <c r="AB2404" t="s">
        <v>106</v>
      </c>
    </row>
    <row r="2405" spans="1:28" x14ac:dyDescent="0.3">
      <c r="A2405" t="s">
        <v>1580</v>
      </c>
      <c r="B2405">
        <v>2</v>
      </c>
      <c r="C2405">
        <v>15</v>
      </c>
      <c r="D2405">
        <v>94</v>
      </c>
      <c r="E2405" t="s">
        <v>308</v>
      </c>
      <c r="F2405" s="12">
        <v>45713</v>
      </c>
      <c r="G2405" t="s">
        <v>845</v>
      </c>
      <c r="H2405" s="12">
        <v>45713</v>
      </c>
      <c r="I2405" t="s">
        <v>106</v>
      </c>
      <c r="J2405" t="s">
        <v>106</v>
      </c>
      <c r="L2405">
        <v>14.4</v>
      </c>
      <c r="M2405">
        <v>14.5</v>
      </c>
      <c r="P2405" t="s">
        <v>106</v>
      </c>
      <c r="Q2405" t="s">
        <v>106</v>
      </c>
      <c r="R2405" t="s">
        <v>106</v>
      </c>
      <c r="S2405" t="s">
        <v>2210</v>
      </c>
      <c r="T2405" t="s">
        <v>1712</v>
      </c>
      <c r="U2405" t="s">
        <v>1410</v>
      </c>
      <c r="V2405" t="s">
        <v>106</v>
      </c>
      <c r="W2405" t="s">
        <v>954</v>
      </c>
      <c r="X2405" t="s">
        <v>106</v>
      </c>
      <c r="Y2405" t="s">
        <v>108</v>
      </c>
      <c r="Z2405" t="s">
        <v>109</v>
      </c>
      <c r="AA2405" t="s">
        <v>1597</v>
      </c>
      <c r="AB2405" t="s">
        <v>2211</v>
      </c>
    </row>
    <row r="2406" spans="1:28" x14ac:dyDescent="0.3">
      <c r="A2406" t="s">
        <v>1580</v>
      </c>
      <c r="B2406">
        <v>2</v>
      </c>
      <c r="C2406">
        <v>15</v>
      </c>
      <c r="D2406">
        <v>93</v>
      </c>
      <c r="E2406" t="s">
        <v>456</v>
      </c>
      <c r="F2406" s="12">
        <v>45713</v>
      </c>
      <c r="G2406" t="s">
        <v>1609</v>
      </c>
      <c r="H2406" s="12">
        <v>45713</v>
      </c>
      <c r="I2406" t="s">
        <v>2212</v>
      </c>
      <c r="J2406" t="s">
        <v>477</v>
      </c>
      <c r="K2406">
        <v>2</v>
      </c>
      <c r="L2406">
        <v>15.1</v>
      </c>
      <c r="M2406">
        <v>15.3</v>
      </c>
      <c r="P2406" t="s">
        <v>106</v>
      </c>
      <c r="Q2406" t="s">
        <v>106</v>
      </c>
      <c r="R2406" t="s">
        <v>106</v>
      </c>
      <c r="S2406" t="s">
        <v>2206</v>
      </c>
      <c r="T2406" t="s">
        <v>940</v>
      </c>
      <c r="U2406" t="s">
        <v>1356</v>
      </c>
      <c r="V2406" t="s">
        <v>106</v>
      </c>
      <c r="W2406" t="s">
        <v>954</v>
      </c>
      <c r="X2406" t="s">
        <v>106</v>
      </c>
      <c r="Y2406" t="s">
        <v>108</v>
      </c>
      <c r="Z2406" t="s">
        <v>109</v>
      </c>
      <c r="AA2406" t="s">
        <v>1586</v>
      </c>
      <c r="AB2406" t="s">
        <v>106</v>
      </c>
    </row>
    <row r="2407" spans="1:28" x14ac:dyDescent="0.3">
      <c r="A2407" t="s">
        <v>1580</v>
      </c>
      <c r="B2407">
        <v>2</v>
      </c>
      <c r="C2407">
        <v>15</v>
      </c>
      <c r="D2407">
        <v>90</v>
      </c>
      <c r="E2407" t="s">
        <v>456</v>
      </c>
      <c r="F2407" s="12">
        <v>45713</v>
      </c>
      <c r="G2407" t="s">
        <v>1429</v>
      </c>
      <c r="H2407" s="12">
        <v>45713</v>
      </c>
      <c r="I2407" t="s">
        <v>2212</v>
      </c>
      <c r="J2407" t="s">
        <v>477</v>
      </c>
      <c r="K2407">
        <v>2</v>
      </c>
      <c r="L2407">
        <v>16.5</v>
      </c>
      <c r="M2407">
        <v>16.600000000000001</v>
      </c>
      <c r="P2407" t="s">
        <v>106</v>
      </c>
      <c r="Q2407" t="s">
        <v>106</v>
      </c>
      <c r="R2407" t="s">
        <v>106</v>
      </c>
      <c r="S2407" t="s">
        <v>1949</v>
      </c>
      <c r="T2407" t="s">
        <v>690</v>
      </c>
      <c r="U2407" t="s">
        <v>1604</v>
      </c>
      <c r="V2407" t="s">
        <v>106</v>
      </c>
      <c r="W2407" t="s">
        <v>954</v>
      </c>
      <c r="X2407" t="s">
        <v>106</v>
      </c>
      <c r="Y2407" t="s">
        <v>108</v>
      </c>
      <c r="Z2407" t="s">
        <v>109</v>
      </c>
      <c r="AA2407" t="s">
        <v>1586</v>
      </c>
      <c r="AB2407" t="s">
        <v>106</v>
      </c>
    </row>
    <row r="2408" spans="1:28" x14ac:dyDescent="0.3">
      <c r="A2408" t="s">
        <v>1580</v>
      </c>
      <c r="B2408">
        <v>2</v>
      </c>
      <c r="C2408">
        <v>15</v>
      </c>
      <c r="D2408">
        <v>89</v>
      </c>
      <c r="E2408" t="s">
        <v>456</v>
      </c>
      <c r="F2408" s="12">
        <v>45713</v>
      </c>
      <c r="G2408" t="s">
        <v>2213</v>
      </c>
      <c r="H2408" s="12">
        <v>45713</v>
      </c>
      <c r="I2408" t="s">
        <v>2212</v>
      </c>
      <c r="J2408" t="s">
        <v>477</v>
      </c>
      <c r="K2408">
        <v>2</v>
      </c>
      <c r="L2408">
        <v>13.5</v>
      </c>
      <c r="M2408">
        <v>13.6</v>
      </c>
      <c r="P2408" t="s">
        <v>106</v>
      </c>
      <c r="Q2408" t="s">
        <v>106</v>
      </c>
      <c r="R2408" t="s">
        <v>106</v>
      </c>
      <c r="S2408" t="s">
        <v>2214</v>
      </c>
      <c r="T2408" t="s">
        <v>2200</v>
      </c>
      <c r="U2408" t="s">
        <v>395</v>
      </c>
      <c r="V2408" t="s">
        <v>106</v>
      </c>
      <c r="W2408" t="s">
        <v>954</v>
      </c>
      <c r="X2408" t="s">
        <v>106</v>
      </c>
      <c r="Y2408" t="s">
        <v>108</v>
      </c>
      <c r="Z2408" t="s">
        <v>109</v>
      </c>
      <c r="AA2408" t="s">
        <v>1586</v>
      </c>
      <c r="AB2408" t="s">
        <v>106</v>
      </c>
    </row>
    <row r="2409" spans="1:28" x14ac:dyDescent="0.3">
      <c r="A2409" t="s">
        <v>1580</v>
      </c>
      <c r="B2409">
        <v>2</v>
      </c>
      <c r="C2409">
        <v>15</v>
      </c>
      <c r="D2409">
        <v>117</v>
      </c>
      <c r="E2409" t="s">
        <v>456</v>
      </c>
      <c r="F2409" s="12">
        <v>45713</v>
      </c>
      <c r="G2409" t="s">
        <v>527</v>
      </c>
      <c r="H2409" s="12">
        <v>45713</v>
      </c>
      <c r="I2409" t="s">
        <v>383</v>
      </c>
      <c r="J2409" t="s">
        <v>477</v>
      </c>
      <c r="K2409">
        <v>2</v>
      </c>
      <c r="L2409">
        <v>13.6</v>
      </c>
      <c r="P2409" t="s">
        <v>106</v>
      </c>
      <c r="Q2409" t="s">
        <v>106</v>
      </c>
      <c r="R2409" t="s">
        <v>106</v>
      </c>
      <c r="S2409" t="s">
        <v>2215</v>
      </c>
      <c r="T2409" t="s">
        <v>1000</v>
      </c>
      <c r="U2409" t="s">
        <v>1468</v>
      </c>
      <c r="V2409" t="s">
        <v>106</v>
      </c>
      <c r="W2409" t="s">
        <v>954</v>
      </c>
      <c r="X2409" t="s">
        <v>106</v>
      </c>
      <c r="Y2409" t="s">
        <v>108</v>
      </c>
      <c r="Z2409" t="s">
        <v>109</v>
      </c>
      <c r="AA2409" t="s">
        <v>1597</v>
      </c>
      <c r="AB2409" t="s">
        <v>106</v>
      </c>
    </row>
    <row r="2410" spans="1:28" x14ac:dyDescent="0.3">
      <c r="A2410" t="s">
        <v>1580</v>
      </c>
      <c r="B2410">
        <v>2</v>
      </c>
      <c r="C2410">
        <v>15</v>
      </c>
      <c r="D2410">
        <v>145</v>
      </c>
      <c r="E2410" t="s">
        <v>456</v>
      </c>
      <c r="F2410" s="12">
        <v>45713</v>
      </c>
      <c r="G2410" t="s">
        <v>1537</v>
      </c>
      <c r="H2410" s="12">
        <v>45713</v>
      </c>
      <c r="I2410" t="s">
        <v>1594</v>
      </c>
      <c r="J2410" t="s">
        <v>1522</v>
      </c>
      <c r="K2410">
        <v>2</v>
      </c>
      <c r="L2410">
        <v>15.3</v>
      </c>
      <c r="M2410">
        <v>15.3</v>
      </c>
      <c r="P2410" t="s">
        <v>106</v>
      </c>
      <c r="Q2410" t="s">
        <v>106</v>
      </c>
      <c r="R2410" t="s">
        <v>106</v>
      </c>
      <c r="S2410" t="s">
        <v>2216</v>
      </c>
      <c r="T2410" t="s">
        <v>1589</v>
      </c>
      <c r="U2410" t="s">
        <v>1353</v>
      </c>
      <c r="V2410" t="s">
        <v>106</v>
      </c>
      <c r="W2410" t="s">
        <v>476</v>
      </c>
      <c r="X2410" t="s">
        <v>106</v>
      </c>
      <c r="Y2410" t="s">
        <v>108</v>
      </c>
      <c r="Z2410" t="s">
        <v>108</v>
      </c>
      <c r="AA2410" t="s">
        <v>1597</v>
      </c>
      <c r="AB2410" t="s">
        <v>106</v>
      </c>
    </row>
    <row r="2411" spans="1:28" x14ac:dyDescent="0.3">
      <c r="A2411" t="s">
        <v>1580</v>
      </c>
      <c r="B2411">
        <v>2</v>
      </c>
      <c r="C2411">
        <v>15</v>
      </c>
      <c r="D2411">
        <v>128</v>
      </c>
      <c r="E2411" t="s">
        <v>456</v>
      </c>
      <c r="F2411" s="12">
        <v>45713</v>
      </c>
      <c r="G2411" t="s">
        <v>593</v>
      </c>
      <c r="H2411" s="12">
        <v>45713</v>
      </c>
      <c r="I2411" t="s">
        <v>106</v>
      </c>
      <c r="J2411" t="s">
        <v>1584</v>
      </c>
      <c r="K2411">
        <v>2</v>
      </c>
      <c r="L2411">
        <v>14.5</v>
      </c>
      <c r="M2411">
        <v>14.5</v>
      </c>
      <c r="P2411" t="s">
        <v>106</v>
      </c>
      <c r="Q2411" t="s">
        <v>106</v>
      </c>
      <c r="R2411" t="s">
        <v>106</v>
      </c>
      <c r="S2411" t="s">
        <v>2217</v>
      </c>
      <c r="T2411" t="s">
        <v>2087</v>
      </c>
      <c r="U2411" t="s">
        <v>391</v>
      </c>
      <c r="V2411" t="s">
        <v>106</v>
      </c>
      <c r="W2411" t="s">
        <v>476</v>
      </c>
      <c r="X2411" t="s">
        <v>106</v>
      </c>
      <c r="Y2411" t="s">
        <v>108</v>
      </c>
      <c r="Z2411" t="s">
        <v>109</v>
      </c>
      <c r="AA2411" t="s">
        <v>1597</v>
      </c>
      <c r="AB2411" t="s">
        <v>106</v>
      </c>
    </row>
    <row r="2412" spans="1:28" x14ac:dyDescent="0.3">
      <c r="A2412" t="s">
        <v>1580</v>
      </c>
      <c r="B2412">
        <v>2</v>
      </c>
      <c r="C2412">
        <v>15</v>
      </c>
      <c r="D2412">
        <v>153</v>
      </c>
      <c r="E2412" t="s">
        <v>456</v>
      </c>
      <c r="F2412" s="12">
        <v>45713</v>
      </c>
      <c r="G2412" t="s">
        <v>2218</v>
      </c>
      <c r="H2412" s="12">
        <v>45713</v>
      </c>
      <c r="I2412" t="s">
        <v>1602</v>
      </c>
      <c r="J2412" t="s">
        <v>1522</v>
      </c>
      <c r="K2412">
        <v>2</v>
      </c>
      <c r="L2412">
        <v>14.2</v>
      </c>
      <c r="P2412" t="s">
        <v>106</v>
      </c>
      <c r="Q2412" t="s">
        <v>106</v>
      </c>
      <c r="R2412" t="s">
        <v>106</v>
      </c>
      <c r="S2412" t="s">
        <v>106</v>
      </c>
      <c r="T2412" t="s">
        <v>946</v>
      </c>
      <c r="U2412" t="s">
        <v>1359</v>
      </c>
      <c r="V2412" t="s">
        <v>106</v>
      </c>
      <c r="W2412" t="s">
        <v>476</v>
      </c>
      <c r="X2412" t="s">
        <v>106</v>
      </c>
      <c r="Y2412" t="s">
        <v>108</v>
      </c>
      <c r="Z2412" t="s">
        <v>109</v>
      </c>
      <c r="AA2412" t="s">
        <v>1597</v>
      </c>
      <c r="AB2412" t="s">
        <v>106</v>
      </c>
    </row>
    <row r="2413" spans="1:28" x14ac:dyDescent="0.3">
      <c r="A2413" t="s">
        <v>1580</v>
      </c>
      <c r="B2413">
        <v>2</v>
      </c>
      <c r="C2413">
        <v>15</v>
      </c>
      <c r="D2413">
        <v>154</v>
      </c>
      <c r="E2413" t="s">
        <v>456</v>
      </c>
      <c r="F2413" s="12">
        <v>45713</v>
      </c>
      <c r="G2413" t="s">
        <v>2218</v>
      </c>
      <c r="H2413" s="12">
        <v>45713</v>
      </c>
      <c r="I2413" t="s">
        <v>1602</v>
      </c>
      <c r="J2413" t="s">
        <v>1522</v>
      </c>
      <c r="K2413">
        <v>2</v>
      </c>
      <c r="L2413">
        <v>14.2</v>
      </c>
      <c r="P2413" t="s">
        <v>106</v>
      </c>
      <c r="Q2413" t="s">
        <v>106</v>
      </c>
      <c r="R2413" t="s">
        <v>106</v>
      </c>
      <c r="S2413" t="s">
        <v>2219</v>
      </c>
      <c r="T2413" t="s">
        <v>1547</v>
      </c>
      <c r="U2413" t="s">
        <v>1483</v>
      </c>
      <c r="V2413" t="s">
        <v>106</v>
      </c>
      <c r="W2413" t="s">
        <v>476</v>
      </c>
      <c r="X2413" t="s">
        <v>106</v>
      </c>
      <c r="Y2413" t="s">
        <v>108</v>
      </c>
      <c r="Z2413" t="s">
        <v>109</v>
      </c>
      <c r="AA2413" t="s">
        <v>1597</v>
      </c>
      <c r="AB2413" t="s">
        <v>106</v>
      </c>
    </row>
    <row r="2414" spans="1:28" x14ac:dyDescent="0.3">
      <c r="A2414" t="s">
        <v>1580</v>
      </c>
      <c r="B2414">
        <v>2</v>
      </c>
      <c r="C2414">
        <v>15</v>
      </c>
      <c r="D2414">
        <v>146</v>
      </c>
      <c r="E2414" t="s">
        <v>456</v>
      </c>
      <c r="F2414" s="12">
        <v>45713</v>
      </c>
      <c r="G2414" t="s">
        <v>1537</v>
      </c>
      <c r="H2414" s="12">
        <v>45713</v>
      </c>
      <c r="I2414" t="s">
        <v>1594</v>
      </c>
      <c r="J2414" t="s">
        <v>1522</v>
      </c>
      <c r="K2414">
        <v>2</v>
      </c>
      <c r="L2414">
        <v>16.7</v>
      </c>
      <c r="M2414">
        <v>16.7</v>
      </c>
      <c r="P2414" t="s">
        <v>106</v>
      </c>
      <c r="Q2414" t="s">
        <v>106</v>
      </c>
      <c r="R2414" t="s">
        <v>106</v>
      </c>
      <c r="S2414" t="s">
        <v>2220</v>
      </c>
      <c r="T2414" t="s">
        <v>1041</v>
      </c>
      <c r="U2414" t="s">
        <v>1600</v>
      </c>
      <c r="V2414" t="s">
        <v>106</v>
      </c>
      <c r="W2414" t="s">
        <v>476</v>
      </c>
      <c r="X2414" t="s">
        <v>106</v>
      </c>
      <c r="Y2414" t="s">
        <v>108</v>
      </c>
      <c r="Z2414" t="s">
        <v>108</v>
      </c>
      <c r="AA2414" t="s">
        <v>1597</v>
      </c>
      <c r="AB2414" t="s">
        <v>106</v>
      </c>
    </row>
    <row r="2415" spans="1:28" x14ac:dyDescent="0.3">
      <c r="A2415" t="s">
        <v>1580</v>
      </c>
      <c r="B2415">
        <v>3</v>
      </c>
      <c r="C2415">
        <v>35</v>
      </c>
      <c r="D2415">
        <v>132</v>
      </c>
      <c r="E2415" t="s">
        <v>456</v>
      </c>
      <c r="F2415" s="12">
        <v>45713</v>
      </c>
      <c r="G2415" t="s">
        <v>1370</v>
      </c>
      <c r="H2415" s="12">
        <v>45713</v>
      </c>
      <c r="I2415" t="s">
        <v>555</v>
      </c>
      <c r="J2415" t="s">
        <v>1584</v>
      </c>
      <c r="K2415">
        <v>2</v>
      </c>
      <c r="L2415">
        <v>34</v>
      </c>
      <c r="M2415">
        <v>34</v>
      </c>
      <c r="P2415" t="s">
        <v>106</v>
      </c>
      <c r="Q2415" t="s">
        <v>106</v>
      </c>
      <c r="R2415" t="s">
        <v>106</v>
      </c>
      <c r="S2415" t="s">
        <v>2259</v>
      </c>
      <c r="T2415" t="s">
        <v>1438</v>
      </c>
      <c r="U2415" t="s">
        <v>427</v>
      </c>
      <c r="V2415" t="s">
        <v>106</v>
      </c>
      <c r="W2415" t="s">
        <v>476</v>
      </c>
      <c r="X2415" t="s">
        <v>106</v>
      </c>
      <c r="Y2415" t="s">
        <v>108</v>
      </c>
      <c r="Z2415" t="s">
        <v>108</v>
      </c>
      <c r="AA2415" t="s">
        <v>1597</v>
      </c>
      <c r="AB2415" t="s">
        <v>106</v>
      </c>
    </row>
    <row r="2416" spans="1:28" x14ac:dyDescent="0.3">
      <c r="A2416" t="s">
        <v>1580</v>
      </c>
      <c r="B2416">
        <v>3</v>
      </c>
      <c r="C2416">
        <v>35</v>
      </c>
      <c r="D2416">
        <v>137</v>
      </c>
      <c r="E2416" t="s">
        <v>456</v>
      </c>
      <c r="F2416" s="12">
        <v>45713</v>
      </c>
      <c r="G2416" t="s">
        <v>2226</v>
      </c>
      <c r="H2416" s="12">
        <v>45713</v>
      </c>
      <c r="I2416" t="s">
        <v>1645</v>
      </c>
      <c r="J2416" t="s">
        <v>1584</v>
      </c>
      <c r="K2416">
        <v>2</v>
      </c>
      <c r="L2416">
        <v>35.6</v>
      </c>
      <c r="M2416">
        <v>35.6</v>
      </c>
      <c r="P2416" t="s">
        <v>106</v>
      </c>
      <c r="Q2416" t="s">
        <v>106</v>
      </c>
      <c r="R2416" t="s">
        <v>106</v>
      </c>
      <c r="S2416" t="s">
        <v>2259</v>
      </c>
      <c r="T2416" t="s">
        <v>1084</v>
      </c>
      <c r="U2416" t="s">
        <v>1359</v>
      </c>
      <c r="V2416" t="s">
        <v>106</v>
      </c>
      <c r="W2416" t="s">
        <v>476</v>
      </c>
      <c r="X2416" t="s">
        <v>106</v>
      </c>
      <c r="Y2416" t="s">
        <v>108</v>
      </c>
      <c r="Z2416" t="s">
        <v>108</v>
      </c>
      <c r="AA2416" t="s">
        <v>1597</v>
      </c>
      <c r="AB2416" t="s">
        <v>106</v>
      </c>
    </row>
    <row r="2417" spans="1:28" x14ac:dyDescent="0.3">
      <c r="A2417" t="s">
        <v>1580</v>
      </c>
      <c r="B2417">
        <v>3</v>
      </c>
      <c r="C2417">
        <v>35</v>
      </c>
      <c r="D2417">
        <v>138</v>
      </c>
      <c r="E2417" t="s">
        <v>456</v>
      </c>
      <c r="F2417" s="12">
        <v>45713</v>
      </c>
      <c r="G2417" t="s">
        <v>2560</v>
      </c>
      <c r="H2417" s="12">
        <v>45713</v>
      </c>
      <c r="I2417" t="s">
        <v>1645</v>
      </c>
      <c r="J2417" t="s">
        <v>1584</v>
      </c>
      <c r="K2417">
        <v>2</v>
      </c>
      <c r="L2417">
        <v>37.200000000000003</v>
      </c>
      <c r="M2417">
        <v>37.200000000000003</v>
      </c>
      <c r="P2417" t="s">
        <v>106</v>
      </c>
      <c r="Q2417" t="s">
        <v>106</v>
      </c>
      <c r="R2417" t="s">
        <v>106</v>
      </c>
      <c r="S2417" t="s">
        <v>2196</v>
      </c>
      <c r="T2417" t="s">
        <v>1090</v>
      </c>
      <c r="U2417" t="s">
        <v>1353</v>
      </c>
      <c r="V2417" t="s">
        <v>106</v>
      </c>
      <c r="W2417" t="s">
        <v>476</v>
      </c>
      <c r="X2417" t="s">
        <v>106</v>
      </c>
      <c r="Y2417" t="s">
        <v>108</v>
      </c>
      <c r="Z2417" t="s">
        <v>108</v>
      </c>
      <c r="AA2417" t="s">
        <v>1597</v>
      </c>
      <c r="AB2417" t="s">
        <v>106</v>
      </c>
    </row>
    <row r="2418" spans="1:28" x14ac:dyDescent="0.3">
      <c r="A2418" t="s">
        <v>1580</v>
      </c>
      <c r="B2418">
        <v>3</v>
      </c>
      <c r="C2418">
        <v>35</v>
      </c>
      <c r="D2418">
        <v>143</v>
      </c>
      <c r="E2418" t="s">
        <v>456</v>
      </c>
      <c r="F2418" s="12">
        <v>45713</v>
      </c>
      <c r="G2418" t="s">
        <v>2157</v>
      </c>
      <c r="H2418" s="12">
        <v>45713</v>
      </c>
      <c r="I2418" t="s">
        <v>1594</v>
      </c>
      <c r="J2418" t="s">
        <v>1522</v>
      </c>
      <c r="K2418">
        <v>2</v>
      </c>
      <c r="L2418">
        <v>33.5</v>
      </c>
      <c r="M2418">
        <v>33.5</v>
      </c>
      <c r="P2418" t="s">
        <v>106</v>
      </c>
      <c r="Q2418" t="s">
        <v>106</v>
      </c>
      <c r="R2418" t="s">
        <v>106</v>
      </c>
      <c r="S2418" t="s">
        <v>2561</v>
      </c>
      <c r="T2418" t="s">
        <v>1509</v>
      </c>
      <c r="U2418" t="s">
        <v>1482</v>
      </c>
      <c r="V2418" t="s">
        <v>106</v>
      </c>
      <c r="W2418" t="s">
        <v>476</v>
      </c>
      <c r="X2418" t="s">
        <v>106</v>
      </c>
      <c r="Y2418" t="s">
        <v>108</v>
      </c>
      <c r="Z2418" t="s">
        <v>108</v>
      </c>
      <c r="AA2418" t="s">
        <v>1597</v>
      </c>
      <c r="AB2418" t="s">
        <v>106</v>
      </c>
    </row>
    <row r="2419" spans="1:28" x14ac:dyDescent="0.3">
      <c r="A2419" t="s">
        <v>1580</v>
      </c>
      <c r="B2419">
        <v>3</v>
      </c>
      <c r="C2419">
        <v>35</v>
      </c>
      <c r="D2419">
        <v>144</v>
      </c>
      <c r="E2419" t="s">
        <v>456</v>
      </c>
      <c r="F2419" s="12">
        <v>45713</v>
      </c>
      <c r="G2419" t="s">
        <v>1537</v>
      </c>
      <c r="H2419" s="12">
        <v>45713</v>
      </c>
      <c r="I2419" t="s">
        <v>1594</v>
      </c>
      <c r="J2419" t="s">
        <v>1522</v>
      </c>
      <c r="K2419">
        <v>2</v>
      </c>
      <c r="L2419">
        <v>36</v>
      </c>
      <c r="M2419">
        <v>36</v>
      </c>
      <c r="P2419" t="s">
        <v>106</v>
      </c>
      <c r="Q2419" t="s">
        <v>106</v>
      </c>
      <c r="R2419" t="s">
        <v>106</v>
      </c>
      <c r="S2419" t="s">
        <v>2562</v>
      </c>
      <c r="T2419" t="s">
        <v>1125</v>
      </c>
      <c r="U2419" t="s">
        <v>1631</v>
      </c>
      <c r="V2419" t="s">
        <v>106</v>
      </c>
      <c r="W2419" t="s">
        <v>476</v>
      </c>
      <c r="X2419" t="s">
        <v>106</v>
      </c>
      <c r="Y2419" t="s">
        <v>108</v>
      </c>
      <c r="Z2419" t="s">
        <v>108</v>
      </c>
      <c r="AA2419" t="s">
        <v>1597</v>
      </c>
      <c r="AB2419" t="s">
        <v>106</v>
      </c>
    </row>
    <row r="2420" spans="1:28" x14ac:dyDescent="0.3">
      <c r="A2420" t="s">
        <v>1580</v>
      </c>
      <c r="B2420">
        <v>3</v>
      </c>
      <c r="C2420">
        <v>35</v>
      </c>
      <c r="D2420">
        <v>131</v>
      </c>
      <c r="E2420" t="s">
        <v>456</v>
      </c>
      <c r="F2420" s="12">
        <v>45713</v>
      </c>
      <c r="G2420" t="s">
        <v>2563</v>
      </c>
      <c r="H2420" s="12">
        <v>45713</v>
      </c>
      <c r="I2420" t="s">
        <v>555</v>
      </c>
      <c r="J2420" t="s">
        <v>1584</v>
      </c>
      <c r="K2420">
        <v>2</v>
      </c>
      <c r="L2420">
        <v>34.6</v>
      </c>
      <c r="M2420">
        <v>34.6</v>
      </c>
      <c r="P2420" t="s">
        <v>106</v>
      </c>
      <c r="Q2420" t="s">
        <v>106</v>
      </c>
      <c r="R2420" t="s">
        <v>106</v>
      </c>
      <c r="S2420" t="s">
        <v>2217</v>
      </c>
      <c r="T2420" t="s">
        <v>1280</v>
      </c>
      <c r="U2420" t="s">
        <v>1353</v>
      </c>
      <c r="V2420" t="s">
        <v>106</v>
      </c>
      <c r="W2420" t="s">
        <v>476</v>
      </c>
      <c r="X2420" t="s">
        <v>106</v>
      </c>
      <c r="Y2420" t="s">
        <v>108</v>
      </c>
      <c r="Z2420" t="s">
        <v>108</v>
      </c>
      <c r="AA2420" t="s">
        <v>1597</v>
      </c>
      <c r="AB2420" t="s">
        <v>2564</v>
      </c>
    </row>
    <row r="2421" spans="1:28" x14ac:dyDescent="0.3">
      <c r="A2421" t="s">
        <v>1580</v>
      </c>
      <c r="B2421">
        <v>3</v>
      </c>
      <c r="C2421">
        <v>35</v>
      </c>
      <c r="D2421">
        <v>106</v>
      </c>
      <c r="E2421" t="s">
        <v>456</v>
      </c>
      <c r="F2421" s="12">
        <v>45713</v>
      </c>
      <c r="G2421" t="s">
        <v>869</v>
      </c>
      <c r="H2421" s="12">
        <v>45713</v>
      </c>
      <c r="I2421" t="s">
        <v>1469</v>
      </c>
      <c r="J2421" t="s">
        <v>477</v>
      </c>
      <c r="K2421">
        <v>2</v>
      </c>
      <c r="L2421">
        <v>33.1</v>
      </c>
      <c r="P2421" t="s">
        <v>106</v>
      </c>
      <c r="Q2421" t="s">
        <v>106</v>
      </c>
      <c r="R2421" t="s">
        <v>106</v>
      </c>
      <c r="S2421" t="s">
        <v>2565</v>
      </c>
      <c r="T2421" t="s">
        <v>1063</v>
      </c>
      <c r="U2421" t="s">
        <v>427</v>
      </c>
      <c r="V2421" t="s">
        <v>106</v>
      </c>
      <c r="W2421" t="s">
        <v>954</v>
      </c>
      <c r="X2421" t="s">
        <v>106</v>
      </c>
      <c r="Y2421" t="s">
        <v>108</v>
      </c>
      <c r="Z2421" t="s">
        <v>108</v>
      </c>
      <c r="AA2421" t="s">
        <v>1597</v>
      </c>
      <c r="AB2421" t="s">
        <v>106</v>
      </c>
    </row>
    <row r="2422" spans="1:28" x14ac:dyDescent="0.3">
      <c r="A2422" t="s">
        <v>1580</v>
      </c>
      <c r="B2422">
        <v>3</v>
      </c>
      <c r="C2422">
        <v>35</v>
      </c>
      <c r="D2422">
        <v>125</v>
      </c>
      <c r="E2422" t="s">
        <v>456</v>
      </c>
      <c r="F2422" s="12">
        <v>45713</v>
      </c>
      <c r="G2422" t="s">
        <v>1371</v>
      </c>
      <c r="H2422" s="12">
        <v>45713</v>
      </c>
      <c r="I2422" t="s">
        <v>106</v>
      </c>
      <c r="J2422" t="s">
        <v>1584</v>
      </c>
      <c r="K2422">
        <v>2</v>
      </c>
      <c r="L2422">
        <v>33.4</v>
      </c>
      <c r="M2422">
        <v>33.4</v>
      </c>
      <c r="P2422" t="s">
        <v>106</v>
      </c>
      <c r="Q2422" t="s">
        <v>106</v>
      </c>
      <c r="R2422" t="s">
        <v>106</v>
      </c>
      <c r="S2422" t="s">
        <v>2210</v>
      </c>
      <c r="T2422" t="s">
        <v>993</v>
      </c>
      <c r="U2422" t="s">
        <v>905</v>
      </c>
      <c r="V2422" t="s">
        <v>106</v>
      </c>
      <c r="W2422" t="s">
        <v>476</v>
      </c>
      <c r="X2422" t="s">
        <v>106</v>
      </c>
      <c r="Y2422" t="s">
        <v>108</v>
      </c>
      <c r="Z2422" t="s">
        <v>108</v>
      </c>
      <c r="AA2422" t="s">
        <v>1597</v>
      </c>
      <c r="AB2422" t="s">
        <v>106</v>
      </c>
    </row>
    <row r="2423" spans="1:28" x14ac:dyDescent="0.3">
      <c r="A2423" t="s">
        <v>1580</v>
      </c>
      <c r="B2423">
        <v>3</v>
      </c>
      <c r="C2423">
        <v>35</v>
      </c>
      <c r="D2423">
        <v>120</v>
      </c>
      <c r="E2423" t="s">
        <v>456</v>
      </c>
      <c r="F2423" s="12">
        <v>45713</v>
      </c>
      <c r="G2423" t="s">
        <v>1228</v>
      </c>
      <c r="H2423" s="12" t="s">
        <v>109</v>
      </c>
      <c r="I2423" t="s">
        <v>567</v>
      </c>
      <c r="J2423" t="s">
        <v>458</v>
      </c>
      <c r="L2423">
        <v>31.5</v>
      </c>
      <c r="P2423" t="s">
        <v>106</v>
      </c>
      <c r="Q2423" t="s">
        <v>106</v>
      </c>
      <c r="R2423" t="s">
        <v>106</v>
      </c>
      <c r="S2423" t="s">
        <v>2561</v>
      </c>
      <c r="T2423" t="s">
        <v>2200</v>
      </c>
      <c r="U2423" t="s">
        <v>1590</v>
      </c>
      <c r="V2423" t="s">
        <v>106</v>
      </c>
      <c r="W2423" t="s">
        <v>557</v>
      </c>
      <c r="X2423" t="s">
        <v>106</v>
      </c>
      <c r="Y2423" t="s">
        <v>108</v>
      </c>
      <c r="Z2423" t="s">
        <v>108</v>
      </c>
      <c r="AA2423" t="s">
        <v>1597</v>
      </c>
      <c r="AB2423" t="s">
        <v>106</v>
      </c>
    </row>
    <row r="2424" spans="1:28" x14ac:dyDescent="0.3">
      <c r="A2424" t="s">
        <v>1580</v>
      </c>
      <c r="B2424">
        <v>3</v>
      </c>
      <c r="C2424">
        <v>35</v>
      </c>
      <c r="D2424">
        <v>87</v>
      </c>
      <c r="E2424" t="s">
        <v>456</v>
      </c>
      <c r="F2424" s="12">
        <v>45713</v>
      </c>
      <c r="G2424" t="s">
        <v>2136</v>
      </c>
      <c r="H2424" s="12">
        <v>45713</v>
      </c>
      <c r="I2424" t="s">
        <v>2212</v>
      </c>
      <c r="J2424" t="s">
        <v>477</v>
      </c>
      <c r="K2424">
        <v>2</v>
      </c>
      <c r="L2424">
        <v>31.4</v>
      </c>
      <c r="M2424">
        <v>31.5</v>
      </c>
      <c r="P2424" t="s">
        <v>106</v>
      </c>
      <c r="Q2424" t="s">
        <v>106</v>
      </c>
      <c r="R2424" t="s">
        <v>106</v>
      </c>
      <c r="S2424" t="s">
        <v>2210</v>
      </c>
      <c r="T2424" t="s">
        <v>981</v>
      </c>
      <c r="U2424" t="s">
        <v>1591</v>
      </c>
      <c r="V2424" t="s">
        <v>106</v>
      </c>
      <c r="W2424" t="s">
        <v>954</v>
      </c>
      <c r="X2424" t="s">
        <v>106</v>
      </c>
      <c r="Y2424" t="s">
        <v>108</v>
      </c>
      <c r="Z2424" t="s">
        <v>108</v>
      </c>
      <c r="AA2424" t="s">
        <v>1586</v>
      </c>
      <c r="AB2424" t="s">
        <v>106</v>
      </c>
    </row>
    <row r="2425" spans="1:28" x14ac:dyDescent="0.3">
      <c r="A2425" t="s">
        <v>1580</v>
      </c>
      <c r="B2425">
        <v>3</v>
      </c>
      <c r="C2425">
        <v>35</v>
      </c>
      <c r="D2425">
        <v>119</v>
      </c>
      <c r="E2425" t="s">
        <v>456</v>
      </c>
      <c r="F2425" s="12">
        <v>45713</v>
      </c>
      <c r="G2425" t="s">
        <v>2566</v>
      </c>
      <c r="H2425" s="12" t="s">
        <v>109</v>
      </c>
      <c r="I2425" t="s">
        <v>567</v>
      </c>
      <c r="J2425" t="s">
        <v>458</v>
      </c>
      <c r="L2425">
        <v>33.9</v>
      </c>
      <c r="P2425" t="s">
        <v>106</v>
      </c>
      <c r="Q2425" t="s">
        <v>106</v>
      </c>
      <c r="R2425" t="s">
        <v>106</v>
      </c>
      <c r="S2425" t="s">
        <v>1949</v>
      </c>
      <c r="T2425" t="s">
        <v>609</v>
      </c>
      <c r="U2425" t="s">
        <v>1359</v>
      </c>
      <c r="V2425" t="s">
        <v>106</v>
      </c>
      <c r="W2425" t="s">
        <v>557</v>
      </c>
      <c r="X2425" t="s">
        <v>106</v>
      </c>
      <c r="Y2425" t="s">
        <v>108</v>
      </c>
      <c r="Z2425" t="s">
        <v>108</v>
      </c>
      <c r="AA2425" t="s">
        <v>1597</v>
      </c>
      <c r="AB2425" t="s">
        <v>106</v>
      </c>
    </row>
    <row r="2426" spans="1:28" x14ac:dyDescent="0.3">
      <c r="A2426" t="s">
        <v>1580</v>
      </c>
      <c r="B2426">
        <v>3</v>
      </c>
      <c r="C2426">
        <v>35</v>
      </c>
      <c r="D2426">
        <v>88</v>
      </c>
      <c r="E2426" t="s">
        <v>456</v>
      </c>
      <c r="F2426" s="12">
        <v>45713</v>
      </c>
      <c r="G2426" t="s">
        <v>2136</v>
      </c>
      <c r="H2426" s="12">
        <v>45713</v>
      </c>
      <c r="I2426" t="s">
        <v>2212</v>
      </c>
      <c r="J2426" t="s">
        <v>477</v>
      </c>
      <c r="K2426">
        <v>2</v>
      </c>
      <c r="L2426">
        <v>32.799999999999997</v>
      </c>
      <c r="M2426">
        <v>33</v>
      </c>
      <c r="P2426" t="s">
        <v>106</v>
      </c>
      <c r="Q2426" t="s">
        <v>106</v>
      </c>
      <c r="R2426" t="s">
        <v>106</v>
      </c>
      <c r="S2426" t="s">
        <v>2267</v>
      </c>
      <c r="T2426" t="s">
        <v>961</v>
      </c>
      <c r="U2426" t="s">
        <v>1604</v>
      </c>
      <c r="V2426" t="s">
        <v>106</v>
      </c>
      <c r="W2426" t="s">
        <v>954</v>
      </c>
      <c r="X2426" t="s">
        <v>106</v>
      </c>
      <c r="Y2426" t="s">
        <v>108</v>
      </c>
      <c r="Z2426" t="s">
        <v>108</v>
      </c>
      <c r="AA2426" t="s">
        <v>1586</v>
      </c>
      <c r="AB2426" t="s">
        <v>106</v>
      </c>
    </row>
    <row r="2427" spans="1:28" x14ac:dyDescent="0.3">
      <c r="A2427" t="s">
        <v>1580</v>
      </c>
      <c r="B2427">
        <v>3</v>
      </c>
      <c r="C2427">
        <v>35</v>
      </c>
      <c r="D2427">
        <v>91</v>
      </c>
      <c r="E2427" t="s">
        <v>456</v>
      </c>
      <c r="F2427" s="12">
        <v>45713</v>
      </c>
      <c r="G2427" t="s">
        <v>2340</v>
      </c>
      <c r="H2427" s="12">
        <v>45713</v>
      </c>
      <c r="I2427" t="s">
        <v>2212</v>
      </c>
      <c r="J2427" t="s">
        <v>477</v>
      </c>
      <c r="K2427">
        <v>2</v>
      </c>
      <c r="L2427">
        <v>34.5</v>
      </c>
      <c r="M2427">
        <v>34.700000000000003</v>
      </c>
      <c r="P2427" t="s">
        <v>106</v>
      </c>
      <c r="Q2427" t="s">
        <v>106</v>
      </c>
      <c r="R2427" t="s">
        <v>106</v>
      </c>
      <c r="S2427" t="s">
        <v>1595</v>
      </c>
      <c r="T2427" t="s">
        <v>1555</v>
      </c>
      <c r="U2427" t="s">
        <v>1596</v>
      </c>
      <c r="V2427" t="s">
        <v>106</v>
      </c>
      <c r="W2427" t="s">
        <v>954</v>
      </c>
      <c r="X2427" t="s">
        <v>106</v>
      </c>
      <c r="Y2427" t="s">
        <v>108</v>
      </c>
      <c r="Z2427" t="s">
        <v>108</v>
      </c>
      <c r="AA2427" t="s">
        <v>1586</v>
      </c>
      <c r="AB2427" t="s">
        <v>106</v>
      </c>
    </row>
    <row r="2428" spans="1:28" x14ac:dyDescent="0.3">
      <c r="A2428" t="s">
        <v>1580</v>
      </c>
      <c r="B2428">
        <v>3</v>
      </c>
      <c r="C2428">
        <v>35</v>
      </c>
      <c r="D2428">
        <v>96</v>
      </c>
      <c r="E2428" t="s">
        <v>308</v>
      </c>
      <c r="F2428" s="12">
        <v>45713</v>
      </c>
      <c r="G2428" t="s">
        <v>2156</v>
      </c>
      <c r="H2428" s="12">
        <v>45713</v>
      </c>
      <c r="I2428" t="s">
        <v>106</v>
      </c>
      <c r="J2428" t="s">
        <v>106</v>
      </c>
      <c r="L2428">
        <v>34.700000000000003</v>
      </c>
      <c r="M2428">
        <v>34.9</v>
      </c>
      <c r="P2428" t="s">
        <v>106</v>
      </c>
      <c r="Q2428" t="s">
        <v>106</v>
      </c>
      <c r="R2428" t="s">
        <v>106</v>
      </c>
      <c r="S2428" t="s">
        <v>2216</v>
      </c>
      <c r="T2428" t="s">
        <v>1125</v>
      </c>
      <c r="U2428" t="s">
        <v>429</v>
      </c>
      <c r="V2428" t="s">
        <v>106</v>
      </c>
      <c r="W2428" t="s">
        <v>954</v>
      </c>
      <c r="X2428" t="s">
        <v>106</v>
      </c>
      <c r="Y2428" t="s">
        <v>108</v>
      </c>
      <c r="Z2428" t="s">
        <v>108</v>
      </c>
      <c r="AA2428" t="s">
        <v>1597</v>
      </c>
      <c r="AB2428" t="s">
        <v>106</v>
      </c>
    </row>
    <row r="2429" spans="1:28" x14ac:dyDescent="0.3">
      <c r="A2429" t="s">
        <v>1580</v>
      </c>
      <c r="B2429">
        <v>3</v>
      </c>
      <c r="C2429">
        <v>35</v>
      </c>
      <c r="D2429">
        <v>97</v>
      </c>
      <c r="E2429" t="s">
        <v>456</v>
      </c>
      <c r="F2429" s="12">
        <v>45713</v>
      </c>
      <c r="G2429" t="s">
        <v>535</v>
      </c>
      <c r="H2429" s="12">
        <v>45713</v>
      </c>
      <c r="I2429" t="s">
        <v>1559</v>
      </c>
      <c r="J2429" t="s">
        <v>477</v>
      </c>
      <c r="K2429">
        <v>2</v>
      </c>
      <c r="L2429">
        <v>33.1</v>
      </c>
      <c r="M2429">
        <v>33</v>
      </c>
      <c r="P2429" t="s">
        <v>106</v>
      </c>
      <c r="Q2429" t="s">
        <v>106</v>
      </c>
      <c r="R2429" t="s">
        <v>106</v>
      </c>
      <c r="S2429" t="s">
        <v>2202</v>
      </c>
      <c r="T2429" t="s">
        <v>1403</v>
      </c>
      <c r="U2429" t="s">
        <v>430</v>
      </c>
      <c r="V2429" t="s">
        <v>106</v>
      </c>
      <c r="W2429" t="s">
        <v>954</v>
      </c>
      <c r="X2429" t="s">
        <v>106</v>
      </c>
      <c r="Y2429" t="s">
        <v>108</v>
      </c>
      <c r="Z2429" t="s">
        <v>108</v>
      </c>
      <c r="AA2429" t="s">
        <v>1597</v>
      </c>
      <c r="AB2429" t="s">
        <v>106</v>
      </c>
    </row>
    <row r="2430" spans="1:28" x14ac:dyDescent="0.3">
      <c r="A2430" t="s">
        <v>1580</v>
      </c>
      <c r="B2430">
        <v>3</v>
      </c>
      <c r="C2430">
        <v>35</v>
      </c>
      <c r="D2430">
        <v>151</v>
      </c>
      <c r="E2430" t="s">
        <v>456</v>
      </c>
      <c r="F2430" s="12">
        <v>45713</v>
      </c>
      <c r="G2430" t="s">
        <v>2484</v>
      </c>
      <c r="H2430" s="12">
        <v>45713</v>
      </c>
      <c r="I2430" t="s">
        <v>1602</v>
      </c>
      <c r="J2430" t="s">
        <v>1522</v>
      </c>
      <c r="K2430">
        <v>2</v>
      </c>
      <c r="L2430">
        <v>33.299999999999997</v>
      </c>
      <c r="P2430" t="s">
        <v>106</v>
      </c>
      <c r="Q2430" t="s">
        <v>106</v>
      </c>
      <c r="R2430" t="s">
        <v>106</v>
      </c>
      <c r="S2430" t="s">
        <v>106</v>
      </c>
      <c r="T2430" t="s">
        <v>2035</v>
      </c>
      <c r="U2430" t="s">
        <v>1482</v>
      </c>
      <c r="V2430" t="s">
        <v>106</v>
      </c>
      <c r="W2430" t="s">
        <v>476</v>
      </c>
      <c r="X2430" t="s">
        <v>106</v>
      </c>
      <c r="Y2430" t="s">
        <v>108</v>
      </c>
      <c r="Z2430" t="s">
        <v>108</v>
      </c>
      <c r="AA2430" t="s">
        <v>1597</v>
      </c>
      <c r="AB2430" t="s">
        <v>106</v>
      </c>
    </row>
    <row r="2431" spans="1:28" x14ac:dyDescent="0.3">
      <c r="A2431" t="s">
        <v>1580</v>
      </c>
      <c r="B2431">
        <v>3</v>
      </c>
      <c r="C2431">
        <v>35</v>
      </c>
      <c r="D2431">
        <v>98</v>
      </c>
      <c r="E2431" t="s">
        <v>456</v>
      </c>
      <c r="F2431" s="12">
        <v>45713</v>
      </c>
      <c r="G2431" t="s">
        <v>535</v>
      </c>
      <c r="H2431" s="12">
        <v>45713</v>
      </c>
      <c r="I2431" t="s">
        <v>1559</v>
      </c>
      <c r="J2431" t="s">
        <v>477</v>
      </c>
      <c r="K2431">
        <v>2</v>
      </c>
      <c r="L2431">
        <v>32.700000000000003</v>
      </c>
      <c r="M2431">
        <v>32.700000000000003</v>
      </c>
      <c r="P2431" t="s">
        <v>106</v>
      </c>
      <c r="Q2431" t="s">
        <v>106</v>
      </c>
      <c r="R2431" t="s">
        <v>106</v>
      </c>
      <c r="S2431" t="s">
        <v>2210</v>
      </c>
      <c r="T2431" t="s">
        <v>1063</v>
      </c>
      <c r="U2431" t="s">
        <v>1410</v>
      </c>
      <c r="V2431" t="s">
        <v>106</v>
      </c>
      <c r="W2431" t="s">
        <v>954</v>
      </c>
      <c r="X2431" t="s">
        <v>106</v>
      </c>
      <c r="Y2431" t="s">
        <v>108</v>
      </c>
      <c r="Z2431" t="s">
        <v>108</v>
      </c>
      <c r="AA2431" t="s">
        <v>1597</v>
      </c>
      <c r="AB2431" t="s">
        <v>106</v>
      </c>
    </row>
    <row r="2432" spans="1:28" x14ac:dyDescent="0.3">
      <c r="A2432" t="s">
        <v>1580</v>
      </c>
      <c r="B2432">
        <v>3</v>
      </c>
      <c r="C2432">
        <v>35</v>
      </c>
      <c r="D2432">
        <v>105</v>
      </c>
      <c r="E2432" t="s">
        <v>456</v>
      </c>
      <c r="F2432" s="12">
        <v>45713</v>
      </c>
      <c r="G2432" t="s">
        <v>869</v>
      </c>
      <c r="H2432" s="12">
        <v>45713</v>
      </c>
      <c r="I2432" t="s">
        <v>1469</v>
      </c>
      <c r="J2432" t="s">
        <v>477</v>
      </c>
      <c r="K2432">
        <v>2</v>
      </c>
      <c r="L2432">
        <v>32.4</v>
      </c>
      <c r="P2432" t="s">
        <v>106</v>
      </c>
      <c r="Q2432" t="s">
        <v>106</v>
      </c>
      <c r="R2432" t="s">
        <v>106</v>
      </c>
      <c r="S2432" t="s">
        <v>1089</v>
      </c>
      <c r="T2432" t="s">
        <v>1403</v>
      </c>
      <c r="U2432" t="s">
        <v>427</v>
      </c>
      <c r="V2432" t="s">
        <v>106</v>
      </c>
      <c r="W2432" t="s">
        <v>954</v>
      </c>
      <c r="X2432" t="s">
        <v>106</v>
      </c>
      <c r="Y2432" t="s">
        <v>108</v>
      </c>
      <c r="Z2432" t="s">
        <v>108</v>
      </c>
      <c r="AA2432" t="s">
        <v>1597</v>
      </c>
      <c r="AB2432" t="s">
        <v>106</v>
      </c>
    </row>
    <row r="2433" spans="1:28" x14ac:dyDescent="0.3">
      <c r="A2433" t="s">
        <v>1580</v>
      </c>
      <c r="B2433">
        <v>3</v>
      </c>
      <c r="C2433">
        <v>35</v>
      </c>
      <c r="D2433">
        <v>126</v>
      </c>
      <c r="E2433" t="s">
        <v>456</v>
      </c>
      <c r="F2433" s="12">
        <v>45713</v>
      </c>
      <c r="G2433" t="s">
        <v>593</v>
      </c>
      <c r="H2433" s="12">
        <v>45713</v>
      </c>
      <c r="I2433" t="s">
        <v>106</v>
      </c>
      <c r="J2433" t="s">
        <v>1584</v>
      </c>
      <c r="K2433">
        <v>2</v>
      </c>
      <c r="L2433">
        <v>35.6</v>
      </c>
      <c r="M2433">
        <v>35.6</v>
      </c>
      <c r="P2433" t="s">
        <v>106</v>
      </c>
      <c r="Q2433" t="s">
        <v>106</v>
      </c>
      <c r="R2433" t="s">
        <v>106</v>
      </c>
      <c r="S2433" t="s">
        <v>2214</v>
      </c>
      <c r="T2433" t="s">
        <v>1385</v>
      </c>
      <c r="U2433" t="s">
        <v>1359</v>
      </c>
      <c r="V2433" t="s">
        <v>106</v>
      </c>
      <c r="W2433" t="s">
        <v>476</v>
      </c>
      <c r="X2433" t="s">
        <v>106</v>
      </c>
      <c r="Y2433" t="s">
        <v>108</v>
      </c>
      <c r="Z2433" t="s">
        <v>108</v>
      </c>
      <c r="AA2433" t="s">
        <v>1597</v>
      </c>
      <c r="AB2433" t="s">
        <v>106</v>
      </c>
    </row>
    <row r="2434" spans="1:28" x14ac:dyDescent="0.3">
      <c r="A2434" t="s">
        <v>1580</v>
      </c>
      <c r="B2434">
        <v>3</v>
      </c>
      <c r="C2434">
        <v>35</v>
      </c>
      <c r="D2434">
        <v>152</v>
      </c>
      <c r="E2434" t="s">
        <v>456</v>
      </c>
      <c r="F2434" s="12">
        <v>45713</v>
      </c>
      <c r="G2434" t="s">
        <v>2218</v>
      </c>
      <c r="H2434" s="12">
        <v>45713</v>
      </c>
      <c r="I2434" t="s">
        <v>1602</v>
      </c>
      <c r="J2434" t="s">
        <v>1522</v>
      </c>
      <c r="K2434">
        <v>2</v>
      </c>
      <c r="L2434">
        <v>35.200000000000003</v>
      </c>
      <c r="P2434" t="s">
        <v>106</v>
      </c>
      <c r="Q2434" t="s">
        <v>106</v>
      </c>
      <c r="R2434" t="s">
        <v>106</v>
      </c>
      <c r="S2434" t="s">
        <v>2559</v>
      </c>
      <c r="T2434" t="s">
        <v>1547</v>
      </c>
      <c r="U2434" t="s">
        <v>1631</v>
      </c>
      <c r="V2434" t="s">
        <v>106</v>
      </c>
      <c r="W2434" t="s">
        <v>476</v>
      </c>
      <c r="X2434" t="s">
        <v>106</v>
      </c>
      <c r="Y2434" t="s">
        <v>108</v>
      </c>
      <c r="Z2434" t="s">
        <v>108</v>
      </c>
      <c r="AA2434" t="s">
        <v>1597</v>
      </c>
      <c r="AB2434" t="s">
        <v>106</v>
      </c>
    </row>
    <row r="2435" spans="1:28" x14ac:dyDescent="0.3">
      <c r="A2435" t="s">
        <v>1580</v>
      </c>
      <c r="B2435">
        <v>3</v>
      </c>
      <c r="C2435">
        <v>35</v>
      </c>
      <c r="D2435">
        <v>113</v>
      </c>
      <c r="E2435" t="s">
        <v>456</v>
      </c>
      <c r="F2435" s="12">
        <v>45713</v>
      </c>
      <c r="G2435" t="s">
        <v>2567</v>
      </c>
      <c r="H2435" s="12">
        <v>45713</v>
      </c>
      <c r="I2435" t="s">
        <v>383</v>
      </c>
      <c r="J2435" t="s">
        <v>477</v>
      </c>
      <c r="K2435">
        <v>2</v>
      </c>
      <c r="L2435">
        <v>31.1</v>
      </c>
      <c r="P2435" t="s">
        <v>106</v>
      </c>
      <c r="Q2435" t="s">
        <v>106</v>
      </c>
      <c r="R2435" t="s">
        <v>106</v>
      </c>
      <c r="S2435" t="s">
        <v>2208</v>
      </c>
      <c r="T2435" t="s">
        <v>1063</v>
      </c>
      <c r="U2435" t="s">
        <v>1418</v>
      </c>
      <c r="V2435" t="s">
        <v>106</v>
      </c>
      <c r="W2435" t="s">
        <v>954</v>
      </c>
      <c r="X2435" t="s">
        <v>106</v>
      </c>
      <c r="Y2435" t="s">
        <v>108</v>
      </c>
      <c r="Z2435" t="s">
        <v>108</v>
      </c>
      <c r="AA2435" t="s">
        <v>1597</v>
      </c>
      <c r="AB2435" t="s">
        <v>106</v>
      </c>
    </row>
    <row r="2436" spans="1:28" x14ac:dyDescent="0.3">
      <c r="A2436" t="s">
        <v>1580</v>
      </c>
      <c r="B2436">
        <v>3</v>
      </c>
      <c r="C2436">
        <v>35</v>
      </c>
      <c r="D2436">
        <v>114</v>
      </c>
      <c r="E2436" t="s">
        <v>456</v>
      </c>
      <c r="F2436" s="12">
        <v>45713</v>
      </c>
      <c r="G2436" t="s">
        <v>414</v>
      </c>
      <c r="H2436" s="12">
        <v>45713</v>
      </c>
      <c r="I2436" t="s">
        <v>383</v>
      </c>
      <c r="J2436" t="s">
        <v>477</v>
      </c>
      <c r="K2436">
        <v>2</v>
      </c>
      <c r="L2436">
        <v>32.6</v>
      </c>
      <c r="P2436" t="s">
        <v>106</v>
      </c>
      <c r="Q2436" t="s">
        <v>106</v>
      </c>
      <c r="R2436" t="s">
        <v>106</v>
      </c>
      <c r="S2436" t="s">
        <v>2202</v>
      </c>
      <c r="T2436" t="s">
        <v>940</v>
      </c>
      <c r="U2436" t="s">
        <v>1604</v>
      </c>
      <c r="V2436" t="s">
        <v>106</v>
      </c>
      <c r="W2436" t="s">
        <v>954</v>
      </c>
      <c r="X2436" t="s">
        <v>106</v>
      </c>
      <c r="Y2436" t="s">
        <v>108</v>
      </c>
      <c r="Z2436" t="s">
        <v>108</v>
      </c>
      <c r="AA2436" t="s">
        <v>1597</v>
      </c>
      <c r="AB2436" t="s">
        <v>106</v>
      </c>
    </row>
    <row r="2437" spans="1:28" x14ac:dyDescent="0.3">
      <c r="A2437" t="s">
        <v>1580</v>
      </c>
      <c r="B2437">
        <v>4</v>
      </c>
      <c r="C2437">
        <v>60</v>
      </c>
      <c r="D2437">
        <v>121</v>
      </c>
      <c r="E2437" t="s">
        <v>456</v>
      </c>
      <c r="F2437" s="12">
        <v>45713</v>
      </c>
      <c r="G2437" t="s">
        <v>1327</v>
      </c>
      <c r="H2437" s="12" t="s">
        <v>109</v>
      </c>
      <c r="I2437" t="s">
        <v>567</v>
      </c>
      <c r="J2437" t="s">
        <v>458</v>
      </c>
      <c r="K2437">
        <v>2</v>
      </c>
      <c r="L2437">
        <v>56.7</v>
      </c>
      <c r="P2437" t="s">
        <v>106</v>
      </c>
      <c r="Q2437" t="s">
        <v>106</v>
      </c>
      <c r="R2437" t="s">
        <v>106</v>
      </c>
      <c r="S2437" t="s">
        <v>1325</v>
      </c>
      <c r="T2437" t="s">
        <v>1589</v>
      </c>
      <c r="U2437" t="s">
        <v>1482</v>
      </c>
      <c r="V2437" t="s">
        <v>106</v>
      </c>
      <c r="W2437" t="s">
        <v>557</v>
      </c>
      <c r="X2437" t="s">
        <v>106</v>
      </c>
      <c r="Y2437" t="s">
        <v>108</v>
      </c>
      <c r="Z2437" t="s">
        <v>104</v>
      </c>
      <c r="AA2437" t="s">
        <v>1597</v>
      </c>
      <c r="AB2437" t="s">
        <v>106</v>
      </c>
    </row>
    <row r="2438" spans="1:28" x14ac:dyDescent="0.3">
      <c r="A2438" t="s">
        <v>1580</v>
      </c>
      <c r="B2438">
        <v>4</v>
      </c>
      <c r="C2438">
        <v>60</v>
      </c>
      <c r="D2438">
        <v>122</v>
      </c>
      <c r="E2438" t="s">
        <v>456</v>
      </c>
      <c r="F2438" s="12">
        <v>45713</v>
      </c>
      <c r="G2438" t="s">
        <v>1237</v>
      </c>
      <c r="H2438" s="12" t="s">
        <v>109</v>
      </c>
      <c r="I2438" t="s">
        <v>567</v>
      </c>
      <c r="J2438" t="s">
        <v>458</v>
      </c>
      <c r="K2438">
        <v>2</v>
      </c>
      <c r="L2438">
        <v>55.6</v>
      </c>
      <c r="P2438" t="s">
        <v>106</v>
      </c>
      <c r="Q2438" t="s">
        <v>106</v>
      </c>
      <c r="R2438" t="s">
        <v>106</v>
      </c>
      <c r="S2438" t="s">
        <v>2207</v>
      </c>
      <c r="T2438" t="s">
        <v>1508</v>
      </c>
      <c r="U2438" t="s">
        <v>1356</v>
      </c>
      <c r="V2438" t="s">
        <v>106</v>
      </c>
      <c r="W2438" t="s">
        <v>557</v>
      </c>
      <c r="X2438" t="s">
        <v>106</v>
      </c>
      <c r="Y2438" t="s">
        <v>108</v>
      </c>
      <c r="Z2438" t="s">
        <v>104</v>
      </c>
      <c r="AA2438" t="s">
        <v>1597</v>
      </c>
      <c r="AB2438" t="s">
        <v>106</v>
      </c>
    </row>
    <row r="2439" spans="1:28" x14ac:dyDescent="0.3">
      <c r="A2439" t="s">
        <v>1580</v>
      </c>
      <c r="B2439">
        <v>4</v>
      </c>
      <c r="C2439">
        <v>60</v>
      </c>
      <c r="D2439">
        <v>156</v>
      </c>
      <c r="E2439" t="s">
        <v>456</v>
      </c>
      <c r="F2439" s="12">
        <v>45713</v>
      </c>
      <c r="G2439" t="s">
        <v>2497</v>
      </c>
      <c r="H2439" s="12">
        <v>45713</v>
      </c>
      <c r="I2439" t="s">
        <v>1602</v>
      </c>
      <c r="J2439" t="s">
        <v>1522</v>
      </c>
      <c r="K2439">
        <v>2</v>
      </c>
      <c r="L2439">
        <v>60</v>
      </c>
      <c r="P2439" t="s">
        <v>106</v>
      </c>
      <c r="Q2439" t="s">
        <v>106</v>
      </c>
      <c r="R2439" t="s">
        <v>106</v>
      </c>
      <c r="S2439" t="s">
        <v>2194</v>
      </c>
      <c r="T2439" t="s">
        <v>777</v>
      </c>
      <c r="U2439" t="s">
        <v>1776</v>
      </c>
      <c r="V2439" t="s">
        <v>106</v>
      </c>
      <c r="W2439" t="s">
        <v>476</v>
      </c>
      <c r="X2439" t="s">
        <v>106</v>
      </c>
      <c r="Y2439" t="s">
        <v>108</v>
      </c>
      <c r="Z2439" t="s">
        <v>104</v>
      </c>
      <c r="AA2439" t="s">
        <v>1597</v>
      </c>
      <c r="AB2439" t="s">
        <v>106</v>
      </c>
    </row>
    <row r="2440" spans="1:28" x14ac:dyDescent="0.3">
      <c r="A2440" t="s">
        <v>1580</v>
      </c>
      <c r="B2440">
        <v>4</v>
      </c>
      <c r="C2440">
        <v>60</v>
      </c>
      <c r="D2440">
        <v>155</v>
      </c>
      <c r="E2440" t="s">
        <v>456</v>
      </c>
      <c r="F2440" s="12">
        <v>45713</v>
      </c>
      <c r="G2440" t="s">
        <v>2497</v>
      </c>
      <c r="H2440" s="12">
        <v>45713</v>
      </c>
      <c r="I2440" t="s">
        <v>1602</v>
      </c>
      <c r="J2440" t="s">
        <v>1522</v>
      </c>
      <c r="K2440">
        <v>2</v>
      </c>
      <c r="L2440">
        <v>59.7</v>
      </c>
      <c r="P2440" t="s">
        <v>106</v>
      </c>
      <c r="Q2440" t="s">
        <v>106</v>
      </c>
      <c r="R2440" t="s">
        <v>106</v>
      </c>
      <c r="S2440" t="s">
        <v>106</v>
      </c>
      <c r="T2440" t="s">
        <v>1101</v>
      </c>
      <c r="U2440" t="s">
        <v>1631</v>
      </c>
      <c r="V2440" t="s">
        <v>106</v>
      </c>
      <c r="W2440" t="s">
        <v>476</v>
      </c>
      <c r="X2440" t="s">
        <v>106</v>
      </c>
      <c r="Y2440" t="s">
        <v>108</v>
      </c>
      <c r="Z2440" t="s">
        <v>104</v>
      </c>
      <c r="AA2440" t="s">
        <v>1597</v>
      </c>
      <c r="AB2440" t="s">
        <v>106</v>
      </c>
    </row>
    <row r="2441" spans="1:28" x14ac:dyDescent="0.3">
      <c r="A2441" t="s">
        <v>1580</v>
      </c>
      <c r="B2441">
        <v>4</v>
      </c>
      <c r="C2441">
        <v>60</v>
      </c>
      <c r="D2441">
        <v>148</v>
      </c>
      <c r="E2441" t="s">
        <v>456</v>
      </c>
      <c r="F2441" s="12">
        <v>45713</v>
      </c>
      <c r="G2441" t="s">
        <v>2269</v>
      </c>
      <c r="H2441" s="12">
        <v>45713</v>
      </c>
      <c r="I2441" t="s">
        <v>1594</v>
      </c>
      <c r="J2441" t="s">
        <v>1522</v>
      </c>
      <c r="K2441">
        <v>2</v>
      </c>
      <c r="L2441">
        <v>59.3</v>
      </c>
      <c r="M2441">
        <v>59.3</v>
      </c>
      <c r="P2441" t="s">
        <v>106</v>
      </c>
      <c r="Q2441" t="s">
        <v>106</v>
      </c>
      <c r="R2441" t="s">
        <v>106</v>
      </c>
      <c r="S2441" t="s">
        <v>2738</v>
      </c>
      <c r="T2441" t="s">
        <v>1372</v>
      </c>
      <c r="U2441" t="s">
        <v>1699</v>
      </c>
      <c r="V2441" t="s">
        <v>106</v>
      </c>
      <c r="W2441" t="s">
        <v>476</v>
      </c>
      <c r="X2441" t="s">
        <v>106</v>
      </c>
      <c r="Y2441" t="s">
        <v>108</v>
      </c>
      <c r="Z2441" t="s">
        <v>104</v>
      </c>
      <c r="AA2441" t="s">
        <v>1597</v>
      </c>
      <c r="AB2441" t="s">
        <v>106</v>
      </c>
    </row>
    <row r="2442" spans="1:28" x14ac:dyDescent="0.3">
      <c r="A2442" t="s">
        <v>1580</v>
      </c>
      <c r="B2442">
        <v>4</v>
      </c>
      <c r="C2442">
        <v>60</v>
      </c>
      <c r="D2442">
        <v>147</v>
      </c>
      <c r="E2442" t="s">
        <v>456</v>
      </c>
      <c r="F2442" s="12">
        <v>45713</v>
      </c>
      <c r="G2442" t="s">
        <v>2739</v>
      </c>
      <c r="H2442" s="12">
        <v>45713</v>
      </c>
      <c r="I2442" t="s">
        <v>1594</v>
      </c>
      <c r="J2442" t="s">
        <v>1522</v>
      </c>
      <c r="K2442">
        <v>2</v>
      </c>
      <c r="L2442">
        <v>57.2</v>
      </c>
      <c r="M2442">
        <v>57.2</v>
      </c>
      <c r="P2442" t="s">
        <v>106</v>
      </c>
      <c r="Q2442" t="s">
        <v>106</v>
      </c>
      <c r="R2442" t="s">
        <v>106</v>
      </c>
      <c r="S2442" t="s">
        <v>2740</v>
      </c>
      <c r="T2442" t="s">
        <v>1097</v>
      </c>
      <c r="U2442" t="s">
        <v>1483</v>
      </c>
      <c r="V2442" t="s">
        <v>106</v>
      </c>
      <c r="W2442" t="s">
        <v>476</v>
      </c>
      <c r="X2442" t="s">
        <v>106</v>
      </c>
      <c r="Y2442" t="s">
        <v>108</v>
      </c>
      <c r="Z2442" t="s">
        <v>104</v>
      </c>
      <c r="AA2442" t="s">
        <v>1597</v>
      </c>
      <c r="AB2442" t="s">
        <v>106</v>
      </c>
    </row>
    <row r="2443" spans="1:28" x14ac:dyDescent="0.3">
      <c r="A2443" t="s">
        <v>1580</v>
      </c>
      <c r="B2443">
        <v>4</v>
      </c>
      <c r="C2443">
        <v>60</v>
      </c>
      <c r="D2443">
        <v>140</v>
      </c>
      <c r="E2443" t="s">
        <v>456</v>
      </c>
      <c r="F2443" s="12">
        <v>45713</v>
      </c>
      <c r="G2443" t="s">
        <v>1824</v>
      </c>
      <c r="H2443" s="12">
        <v>45713</v>
      </c>
      <c r="I2443" t="s">
        <v>1645</v>
      </c>
      <c r="J2443" t="s">
        <v>1584</v>
      </c>
      <c r="K2443">
        <v>2</v>
      </c>
      <c r="L2443">
        <v>55.3</v>
      </c>
      <c r="M2443">
        <v>55.3</v>
      </c>
      <c r="P2443" t="s">
        <v>106</v>
      </c>
      <c r="Q2443" t="s">
        <v>106</v>
      </c>
      <c r="R2443" t="s">
        <v>106</v>
      </c>
      <c r="S2443" t="s">
        <v>2741</v>
      </c>
      <c r="T2443" t="s">
        <v>1280</v>
      </c>
      <c r="U2443" t="s">
        <v>1615</v>
      </c>
      <c r="V2443" t="s">
        <v>106</v>
      </c>
      <c r="W2443" t="s">
        <v>476</v>
      </c>
      <c r="X2443" t="s">
        <v>106</v>
      </c>
      <c r="Y2443" t="s">
        <v>108</v>
      </c>
      <c r="Z2443" t="s">
        <v>104</v>
      </c>
      <c r="AA2443" t="s">
        <v>1597</v>
      </c>
      <c r="AB2443" t="s">
        <v>106</v>
      </c>
    </row>
    <row r="2444" spans="1:28" x14ac:dyDescent="0.3">
      <c r="A2444" t="s">
        <v>1580</v>
      </c>
      <c r="B2444">
        <v>4</v>
      </c>
      <c r="C2444">
        <v>60</v>
      </c>
      <c r="D2444">
        <v>86</v>
      </c>
      <c r="E2444" t="s">
        <v>456</v>
      </c>
      <c r="F2444" s="12">
        <v>45713</v>
      </c>
      <c r="G2444" t="s">
        <v>2234</v>
      </c>
      <c r="H2444" s="12">
        <v>45713</v>
      </c>
      <c r="I2444" t="s">
        <v>2212</v>
      </c>
      <c r="J2444" t="s">
        <v>477</v>
      </c>
      <c r="K2444">
        <v>2</v>
      </c>
      <c r="L2444">
        <v>56.9</v>
      </c>
      <c r="M2444">
        <v>57</v>
      </c>
      <c r="P2444" t="s">
        <v>106</v>
      </c>
      <c r="Q2444" t="s">
        <v>106</v>
      </c>
      <c r="R2444" t="s">
        <v>106</v>
      </c>
      <c r="S2444" t="s">
        <v>2742</v>
      </c>
      <c r="T2444" t="s">
        <v>1214</v>
      </c>
      <c r="U2444" t="s">
        <v>1353</v>
      </c>
      <c r="V2444" t="s">
        <v>106</v>
      </c>
      <c r="W2444" t="s">
        <v>954</v>
      </c>
      <c r="X2444" t="s">
        <v>106</v>
      </c>
      <c r="Y2444" t="s">
        <v>108</v>
      </c>
      <c r="Z2444" t="s">
        <v>104</v>
      </c>
      <c r="AA2444" t="s">
        <v>1586</v>
      </c>
      <c r="AB2444" t="s">
        <v>106</v>
      </c>
    </row>
    <row r="2445" spans="1:28" x14ac:dyDescent="0.3">
      <c r="A2445" t="s">
        <v>1580</v>
      </c>
      <c r="B2445">
        <v>4</v>
      </c>
      <c r="C2445">
        <v>60</v>
      </c>
      <c r="D2445">
        <v>139</v>
      </c>
      <c r="E2445" t="s">
        <v>456</v>
      </c>
      <c r="F2445" s="12">
        <v>45713</v>
      </c>
      <c r="G2445" t="s">
        <v>2743</v>
      </c>
      <c r="H2445" s="12">
        <v>45713</v>
      </c>
      <c r="I2445" t="s">
        <v>1645</v>
      </c>
      <c r="J2445" t="s">
        <v>1584</v>
      </c>
      <c r="K2445">
        <v>2</v>
      </c>
      <c r="L2445">
        <v>59.1</v>
      </c>
      <c r="M2445">
        <v>59.1</v>
      </c>
      <c r="P2445" t="s">
        <v>106</v>
      </c>
      <c r="Q2445" t="s">
        <v>106</v>
      </c>
      <c r="R2445" t="s">
        <v>106</v>
      </c>
      <c r="S2445" t="s">
        <v>2744</v>
      </c>
      <c r="T2445" t="s">
        <v>806</v>
      </c>
      <c r="U2445" t="s">
        <v>1626</v>
      </c>
      <c r="V2445" t="s">
        <v>106</v>
      </c>
      <c r="W2445" t="s">
        <v>476</v>
      </c>
      <c r="X2445" t="s">
        <v>106</v>
      </c>
      <c r="Y2445" t="s">
        <v>108</v>
      </c>
      <c r="Z2445" t="s">
        <v>104</v>
      </c>
      <c r="AA2445" t="s">
        <v>1597</v>
      </c>
      <c r="AB2445" t="s">
        <v>106</v>
      </c>
    </row>
    <row r="2446" spans="1:28" x14ac:dyDescent="0.3">
      <c r="A2446" t="s">
        <v>1580</v>
      </c>
      <c r="B2446">
        <v>4</v>
      </c>
      <c r="C2446">
        <v>60</v>
      </c>
      <c r="D2446">
        <v>92</v>
      </c>
      <c r="E2446" t="s">
        <v>456</v>
      </c>
      <c r="F2446" s="12">
        <v>45713</v>
      </c>
      <c r="G2446" t="s">
        <v>1609</v>
      </c>
      <c r="H2446" s="12">
        <v>45713</v>
      </c>
      <c r="I2446" t="s">
        <v>2212</v>
      </c>
      <c r="J2446" t="s">
        <v>477</v>
      </c>
      <c r="K2446">
        <v>2</v>
      </c>
      <c r="L2446">
        <v>50.1</v>
      </c>
      <c r="M2446">
        <v>50.2</v>
      </c>
      <c r="P2446" t="s">
        <v>106</v>
      </c>
      <c r="Q2446" t="s">
        <v>106</v>
      </c>
      <c r="R2446" t="s">
        <v>106</v>
      </c>
      <c r="S2446" t="s">
        <v>1598</v>
      </c>
      <c r="T2446" t="s">
        <v>1090</v>
      </c>
      <c r="U2446" t="s">
        <v>429</v>
      </c>
      <c r="V2446" t="s">
        <v>106</v>
      </c>
      <c r="W2446" t="s">
        <v>954</v>
      </c>
      <c r="X2446" t="s">
        <v>106</v>
      </c>
      <c r="Y2446" t="s">
        <v>108</v>
      </c>
      <c r="Z2446" t="s">
        <v>104</v>
      </c>
      <c r="AA2446" t="s">
        <v>1586</v>
      </c>
      <c r="AB2446" t="s">
        <v>106</v>
      </c>
    </row>
    <row r="2447" spans="1:28" x14ac:dyDescent="0.3">
      <c r="A2447" t="s">
        <v>1580</v>
      </c>
      <c r="B2447">
        <v>4</v>
      </c>
      <c r="C2447">
        <v>60</v>
      </c>
      <c r="D2447">
        <v>95</v>
      </c>
      <c r="E2447" t="s">
        <v>308</v>
      </c>
      <c r="F2447" s="12">
        <v>45713</v>
      </c>
      <c r="G2447" t="s">
        <v>2745</v>
      </c>
      <c r="H2447" s="12">
        <v>45713</v>
      </c>
      <c r="I2447" t="s">
        <v>106</v>
      </c>
      <c r="J2447" t="s">
        <v>106</v>
      </c>
      <c r="L2447">
        <v>57.5</v>
      </c>
      <c r="M2447">
        <v>57.7</v>
      </c>
      <c r="P2447" t="s">
        <v>106</v>
      </c>
      <c r="Q2447" t="s">
        <v>106</v>
      </c>
      <c r="R2447" t="s">
        <v>106</v>
      </c>
      <c r="S2447" t="s">
        <v>2205</v>
      </c>
      <c r="T2447" t="s">
        <v>750</v>
      </c>
      <c r="U2447" t="s">
        <v>1651</v>
      </c>
      <c r="V2447" t="s">
        <v>106</v>
      </c>
      <c r="W2447" t="s">
        <v>954</v>
      </c>
      <c r="X2447" t="s">
        <v>106</v>
      </c>
      <c r="Y2447" t="s">
        <v>108</v>
      </c>
      <c r="Z2447" t="s">
        <v>104</v>
      </c>
      <c r="AA2447" t="s">
        <v>1597</v>
      </c>
      <c r="AB2447" t="s">
        <v>106</v>
      </c>
    </row>
    <row r="2448" spans="1:28" x14ac:dyDescent="0.3">
      <c r="A2448" t="s">
        <v>1580</v>
      </c>
      <c r="B2448">
        <v>4</v>
      </c>
      <c r="C2448">
        <v>60</v>
      </c>
      <c r="D2448">
        <v>85</v>
      </c>
      <c r="E2448" t="s">
        <v>456</v>
      </c>
      <c r="F2448" s="12">
        <v>45713</v>
      </c>
      <c r="G2448" t="s">
        <v>2234</v>
      </c>
      <c r="H2448" s="12">
        <v>45713</v>
      </c>
      <c r="I2448" t="s">
        <v>2212</v>
      </c>
      <c r="J2448" t="s">
        <v>477</v>
      </c>
      <c r="K2448">
        <v>2</v>
      </c>
      <c r="L2448">
        <v>55.5</v>
      </c>
      <c r="M2448">
        <v>56.4</v>
      </c>
      <c r="P2448" t="s">
        <v>106</v>
      </c>
      <c r="Q2448" t="s">
        <v>106</v>
      </c>
      <c r="R2448" t="s">
        <v>106</v>
      </c>
      <c r="S2448" t="s">
        <v>2746</v>
      </c>
      <c r="T2448" t="s">
        <v>2200</v>
      </c>
      <c r="U2448" t="s">
        <v>430</v>
      </c>
      <c r="V2448" t="s">
        <v>106</v>
      </c>
      <c r="W2448" t="s">
        <v>954</v>
      </c>
      <c r="X2448" t="s">
        <v>106</v>
      </c>
      <c r="Y2448" t="s">
        <v>108</v>
      </c>
      <c r="Z2448" t="s">
        <v>104</v>
      </c>
      <c r="AA2448" t="s">
        <v>1586</v>
      </c>
      <c r="AB2448" t="s">
        <v>106</v>
      </c>
    </row>
    <row r="2449" spans="1:28" x14ac:dyDescent="0.3">
      <c r="A2449" t="s">
        <v>1580</v>
      </c>
      <c r="B2449">
        <v>4</v>
      </c>
      <c r="C2449">
        <v>60</v>
      </c>
      <c r="D2449">
        <v>100</v>
      </c>
      <c r="E2449" t="s">
        <v>456</v>
      </c>
      <c r="F2449" s="12">
        <v>45713</v>
      </c>
      <c r="G2449" t="s">
        <v>324</v>
      </c>
      <c r="H2449" s="12">
        <v>45713</v>
      </c>
      <c r="I2449" t="s">
        <v>1559</v>
      </c>
      <c r="J2449" t="s">
        <v>477</v>
      </c>
      <c r="K2449">
        <v>2</v>
      </c>
      <c r="L2449">
        <v>55.9</v>
      </c>
      <c r="M2449">
        <v>55.9</v>
      </c>
      <c r="P2449" t="s">
        <v>106</v>
      </c>
      <c r="Q2449" t="s">
        <v>106</v>
      </c>
      <c r="R2449" t="s">
        <v>106</v>
      </c>
      <c r="S2449" t="s">
        <v>2208</v>
      </c>
      <c r="T2449" t="s">
        <v>1057</v>
      </c>
      <c r="U2449" t="s">
        <v>427</v>
      </c>
      <c r="V2449" t="s">
        <v>106</v>
      </c>
      <c r="W2449" t="s">
        <v>954</v>
      </c>
      <c r="X2449" t="s">
        <v>106</v>
      </c>
      <c r="Y2449" t="s">
        <v>108</v>
      </c>
      <c r="Z2449" t="s">
        <v>104</v>
      </c>
      <c r="AA2449" t="s">
        <v>1597</v>
      </c>
      <c r="AB2449" t="s">
        <v>106</v>
      </c>
    </row>
    <row r="2450" spans="1:28" x14ac:dyDescent="0.3">
      <c r="A2450" t="s">
        <v>1580</v>
      </c>
      <c r="B2450">
        <v>4</v>
      </c>
      <c r="C2450">
        <v>60</v>
      </c>
      <c r="D2450">
        <v>99</v>
      </c>
      <c r="E2450" t="s">
        <v>456</v>
      </c>
      <c r="F2450" s="12">
        <v>45713</v>
      </c>
      <c r="G2450" t="s">
        <v>497</v>
      </c>
      <c r="H2450" s="12">
        <v>45713</v>
      </c>
      <c r="I2450" t="s">
        <v>1559</v>
      </c>
      <c r="J2450" t="s">
        <v>477</v>
      </c>
      <c r="K2450">
        <v>2</v>
      </c>
      <c r="L2450">
        <v>48.7</v>
      </c>
      <c r="M2450">
        <v>48.6</v>
      </c>
      <c r="P2450" t="s">
        <v>106</v>
      </c>
      <c r="Q2450" t="s">
        <v>106</v>
      </c>
      <c r="R2450" t="s">
        <v>106</v>
      </c>
      <c r="S2450" t="s">
        <v>2216</v>
      </c>
      <c r="T2450" t="s">
        <v>1141</v>
      </c>
      <c r="U2450" t="s">
        <v>1604</v>
      </c>
      <c r="V2450" t="s">
        <v>106</v>
      </c>
      <c r="W2450" t="s">
        <v>954</v>
      </c>
      <c r="X2450" t="s">
        <v>106</v>
      </c>
      <c r="Y2450" t="s">
        <v>108</v>
      </c>
      <c r="Z2450" t="s">
        <v>104</v>
      </c>
      <c r="AA2450" t="s">
        <v>1597</v>
      </c>
      <c r="AB2450" t="s">
        <v>106</v>
      </c>
    </row>
    <row r="2451" spans="1:28" x14ac:dyDescent="0.3">
      <c r="A2451" t="s">
        <v>1580</v>
      </c>
      <c r="B2451">
        <v>4</v>
      </c>
      <c r="C2451">
        <v>60</v>
      </c>
      <c r="D2451">
        <v>130</v>
      </c>
      <c r="E2451" t="s">
        <v>456</v>
      </c>
      <c r="F2451" s="12">
        <v>45713</v>
      </c>
      <c r="G2451" t="s">
        <v>1994</v>
      </c>
      <c r="H2451" s="12">
        <v>45713</v>
      </c>
      <c r="I2451" t="s">
        <v>106</v>
      </c>
      <c r="J2451" t="s">
        <v>1584</v>
      </c>
      <c r="K2451">
        <v>2</v>
      </c>
      <c r="L2451">
        <v>50.7</v>
      </c>
      <c r="M2451">
        <v>50.7</v>
      </c>
      <c r="P2451" t="s">
        <v>106</v>
      </c>
      <c r="Q2451" t="s">
        <v>106</v>
      </c>
      <c r="R2451" t="s">
        <v>106</v>
      </c>
      <c r="S2451" t="s">
        <v>106</v>
      </c>
      <c r="T2451" t="s">
        <v>1217</v>
      </c>
      <c r="U2451" t="s">
        <v>391</v>
      </c>
      <c r="V2451" t="s">
        <v>106</v>
      </c>
      <c r="W2451" t="s">
        <v>476</v>
      </c>
      <c r="X2451" t="s">
        <v>106</v>
      </c>
      <c r="Y2451" t="s">
        <v>108</v>
      </c>
      <c r="Z2451" t="s">
        <v>104</v>
      </c>
      <c r="AA2451" t="s">
        <v>1597</v>
      </c>
      <c r="AB2451" t="s">
        <v>106</v>
      </c>
    </row>
    <row r="2452" spans="1:28" x14ac:dyDescent="0.3">
      <c r="A2452" t="s">
        <v>1580</v>
      </c>
      <c r="B2452">
        <v>4</v>
      </c>
      <c r="C2452">
        <v>60</v>
      </c>
      <c r="D2452">
        <v>133</v>
      </c>
      <c r="E2452" t="s">
        <v>456</v>
      </c>
      <c r="F2452" s="12">
        <v>45713</v>
      </c>
      <c r="G2452" t="s">
        <v>2079</v>
      </c>
      <c r="H2452" s="12">
        <v>45713</v>
      </c>
      <c r="I2452" t="s">
        <v>555</v>
      </c>
      <c r="J2452" t="s">
        <v>1584</v>
      </c>
      <c r="K2452">
        <v>2</v>
      </c>
      <c r="L2452">
        <v>56.3</v>
      </c>
      <c r="M2452">
        <v>56.3</v>
      </c>
      <c r="P2452" t="s">
        <v>106</v>
      </c>
      <c r="Q2452" t="s">
        <v>106</v>
      </c>
      <c r="R2452" t="s">
        <v>106</v>
      </c>
      <c r="S2452" t="s">
        <v>2268</v>
      </c>
      <c r="T2452" t="s">
        <v>1057</v>
      </c>
      <c r="U2452" t="s">
        <v>1353</v>
      </c>
      <c r="V2452" t="s">
        <v>106</v>
      </c>
      <c r="W2452" t="s">
        <v>476</v>
      </c>
      <c r="X2452" t="s">
        <v>106</v>
      </c>
      <c r="Y2452" t="s">
        <v>108</v>
      </c>
      <c r="Z2452" t="s">
        <v>104</v>
      </c>
      <c r="AA2452" t="s">
        <v>1597</v>
      </c>
      <c r="AB2452" t="s">
        <v>106</v>
      </c>
    </row>
    <row r="2453" spans="1:28" x14ac:dyDescent="0.3">
      <c r="A2453" t="s">
        <v>1580</v>
      </c>
      <c r="B2453">
        <v>4</v>
      </c>
      <c r="C2453">
        <v>60</v>
      </c>
      <c r="D2453">
        <v>134</v>
      </c>
      <c r="E2453" t="s">
        <v>456</v>
      </c>
      <c r="F2453" s="12">
        <v>45713</v>
      </c>
      <c r="G2453" t="s">
        <v>2135</v>
      </c>
      <c r="H2453" s="12">
        <v>45713</v>
      </c>
      <c r="I2453" t="s">
        <v>555</v>
      </c>
      <c r="J2453" t="s">
        <v>1584</v>
      </c>
      <c r="K2453">
        <v>2</v>
      </c>
      <c r="L2453">
        <v>56.9</v>
      </c>
      <c r="M2453">
        <v>56.9</v>
      </c>
      <c r="P2453" t="s">
        <v>106</v>
      </c>
      <c r="Q2453" t="s">
        <v>106</v>
      </c>
      <c r="R2453" t="s">
        <v>106</v>
      </c>
      <c r="S2453" t="s">
        <v>1637</v>
      </c>
      <c r="T2453" t="s">
        <v>1403</v>
      </c>
      <c r="U2453" t="s">
        <v>1615</v>
      </c>
      <c r="V2453" t="s">
        <v>106</v>
      </c>
      <c r="W2453" t="s">
        <v>476</v>
      </c>
      <c r="X2453" t="s">
        <v>106</v>
      </c>
      <c r="Y2453" t="s">
        <v>108</v>
      </c>
      <c r="Z2453" t="s">
        <v>104</v>
      </c>
      <c r="AA2453" t="s">
        <v>1597</v>
      </c>
      <c r="AB2453" t="s">
        <v>106</v>
      </c>
    </row>
    <row r="2454" spans="1:28" x14ac:dyDescent="0.3">
      <c r="A2454" t="s">
        <v>1580</v>
      </c>
      <c r="B2454">
        <v>4</v>
      </c>
      <c r="C2454">
        <v>60</v>
      </c>
      <c r="D2454">
        <v>129</v>
      </c>
      <c r="E2454" t="s">
        <v>456</v>
      </c>
      <c r="F2454" s="12">
        <v>45713</v>
      </c>
      <c r="G2454" t="s">
        <v>2195</v>
      </c>
      <c r="H2454" s="12">
        <v>45713</v>
      </c>
      <c r="I2454" t="s">
        <v>106</v>
      </c>
      <c r="J2454" t="s">
        <v>1584</v>
      </c>
      <c r="K2454">
        <v>2</v>
      </c>
      <c r="L2454">
        <v>55.4</v>
      </c>
      <c r="M2454">
        <v>55.4</v>
      </c>
      <c r="P2454" t="s">
        <v>106</v>
      </c>
      <c r="Q2454" t="s">
        <v>106</v>
      </c>
      <c r="R2454" t="s">
        <v>106</v>
      </c>
      <c r="S2454" t="s">
        <v>2217</v>
      </c>
      <c r="T2454" t="s">
        <v>1530</v>
      </c>
      <c r="U2454" t="s">
        <v>1590</v>
      </c>
      <c r="V2454" t="s">
        <v>106</v>
      </c>
      <c r="W2454" t="s">
        <v>476</v>
      </c>
      <c r="X2454" t="s">
        <v>106</v>
      </c>
      <c r="Y2454" t="s">
        <v>108</v>
      </c>
      <c r="Z2454" t="s">
        <v>104</v>
      </c>
      <c r="AA2454" t="s">
        <v>1597</v>
      </c>
      <c r="AB2454" t="s">
        <v>106</v>
      </c>
    </row>
    <row r="2455" spans="1:28" x14ac:dyDescent="0.3">
      <c r="A2455" t="s">
        <v>1580</v>
      </c>
      <c r="B2455">
        <v>4</v>
      </c>
      <c r="C2455">
        <v>60</v>
      </c>
      <c r="D2455">
        <v>115</v>
      </c>
      <c r="E2455" t="s">
        <v>456</v>
      </c>
      <c r="F2455" s="12">
        <v>45713</v>
      </c>
      <c r="G2455" t="s">
        <v>577</v>
      </c>
      <c r="H2455" s="12">
        <v>45713</v>
      </c>
      <c r="I2455" t="s">
        <v>383</v>
      </c>
      <c r="J2455" t="s">
        <v>477</v>
      </c>
      <c r="K2455">
        <v>2</v>
      </c>
      <c r="L2455">
        <v>55.7</v>
      </c>
      <c r="P2455" t="s">
        <v>106</v>
      </c>
      <c r="Q2455" t="s">
        <v>106</v>
      </c>
      <c r="R2455" t="s">
        <v>106</v>
      </c>
      <c r="S2455" t="s">
        <v>2267</v>
      </c>
      <c r="T2455" t="s">
        <v>1046</v>
      </c>
      <c r="U2455" t="s">
        <v>1468</v>
      </c>
      <c r="V2455" t="s">
        <v>106</v>
      </c>
      <c r="W2455" t="s">
        <v>954</v>
      </c>
      <c r="X2455" t="s">
        <v>106</v>
      </c>
      <c r="Y2455" t="s">
        <v>108</v>
      </c>
      <c r="Z2455" t="s">
        <v>104</v>
      </c>
      <c r="AA2455" t="s">
        <v>1597</v>
      </c>
      <c r="AB2455" t="s">
        <v>2747</v>
      </c>
    </row>
    <row r="2456" spans="1:28" x14ac:dyDescent="0.3">
      <c r="A2456" t="s">
        <v>1580</v>
      </c>
      <c r="B2456">
        <v>4</v>
      </c>
      <c r="C2456">
        <v>60</v>
      </c>
      <c r="D2456">
        <v>108</v>
      </c>
      <c r="E2456" t="s">
        <v>456</v>
      </c>
      <c r="F2456" s="12">
        <v>45713</v>
      </c>
      <c r="G2456" t="s">
        <v>314</v>
      </c>
      <c r="H2456" s="12">
        <v>45713</v>
      </c>
      <c r="I2456" t="s">
        <v>1469</v>
      </c>
      <c r="J2456" t="s">
        <v>477</v>
      </c>
      <c r="K2456">
        <v>2</v>
      </c>
      <c r="L2456">
        <v>55.4</v>
      </c>
      <c r="P2456" t="s">
        <v>106</v>
      </c>
      <c r="Q2456" t="s">
        <v>106</v>
      </c>
      <c r="R2456" t="s">
        <v>106</v>
      </c>
      <c r="S2456" t="s">
        <v>106</v>
      </c>
      <c r="T2456" t="s">
        <v>2748</v>
      </c>
      <c r="U2456" t="s">
        <v>1468</v>
      </c>
      <c r="V2456" t="s">
        <v>106</v>
      </c>
      <c r="W2456" t="s">
        <v>954</v>
      </c>
      <c r="X2456" t="s">
        <v>106</v>
      </c>
      <c r="Y2456" t="s">
        <v>108</v>
      </c>
      <c r="Z2456" t="s">
        <v>104</v>
      </c>
      <c r="AA2456" t="s">
        <v>1597</v>
      </c>
      <c r="AB2456" t="s">
        <v>106</v>
      </c>
    </row>
    <row r="2457" spans="1:28" x14ac:dyDescent="0.3">
      <c r="A2457" t="s">
        <v>1580</v>
      </c>
      <c r="B2457">
        <v>4</v>
      </c>
      <c r="C2457">
        <v>60</v>
      </c>
      <c r="D2457">
        <v>107</v>
      </c>
      <c r="E2457" t="s">
        <v>456</v>
      </c>
      <c r="F2457" s="12">
        <v>45713</v>
      </c>
      <c r="G2457" t="s">
        <v>2103</v>
      </c>
      <c r="H2457" s="12">
        <v>45713</v>
      </c>
      <c r="I2457" t="s">
        <v>1469</v>
      </c>
      <c r="J2457" t="s">
        <v>477</v>
      </c>
      <c r="K2457">
        <v>2</v>
      </c>
      <c r="L2457">
        <v>52.7</v>
      </c>
      <c r="P2457" t="s">
        <v>106</v>
      </c>
      <c r="Q2457" t="s">
        <v>106</v>
      </c>
      <c r="R2457" t="s">
        <v>106</v>
      </c>
      <c r="S2457" t="s">
        <v>2604</v>
      </c>
      <c r="T2457" t="s">
        <v>2200</v>
      </c>
      <c r="U2457" t="s">
        <v>1604</v>
      </c>
      <c r="V2457" t="s">
        <v>106</v>
      </c>
      <c r="W2457" t="s">
        <v>954</v>
      </c>
      <c r="X2457" t="s">
        <v>106</v>
      </c>
      <c r="Y2457" t="s">
        <v>108</v>
      </c>
      <c r="Z2457" t="s">
        <v>104</v>
      </c>
      <c r="AA2457" t="s">
        <v>1597</v>
      </c>
      <c r="AB2457" t="s">
        <v>106</v>
      </c>
    </row>
    <row r="2458" spans="1:28" x14ac:dyDescent="0.3">
      <c r="A2458" t="s">
        <v>1580</v>
      </c>
      <c r="B2458">
        <v>4</v>
      </c>
      <c r="C2458">
        <v>60</v>
      </c>
      <c r="D2458">
        <v>116</v>
      </c>
      <c r="E2458" t="s">
        <v>456</v>
      </c>
      <c r="F2458" s="12">
        <v>45713</v>
      </c>
      <c r="G2458" t="s">
        <v>398</v>
      </c>
      <c r="H2458" s="12">
        <v>45713</v>
      </c>
      <c r="I2458" t="s">
        <v>383</v>
      </c>
      <c r="J2458" t="s">
        <v>477</v>
      </c>
      <c r="K2458">
        <v>2</v>
      </c>
      <c r="L2458">
        <v>54.7</v>
      </c>
      <c r="P2458" t="s">
        <v>106</v>
      </c>
      <c r="Q2458" t="s">
        <v>106</v>
      </c>
      <c r="R2458" t="s">
        <v>106</v>
      </c>
      <c r="S2458" t="s">
        <v>2266</v>
      </c>
      <c r="T2458" t="s">
        <v>984</v>
      </c>
      <c r="U2458" t="s">
        <v>1411</v>
      </c>
      <c r="V2458" t="s">
        <v>106</v>
      </c>
      <c r="W2458" t="s">
        <v>954</v>
      </c>
      <c r="X2458" t="s">
        <v>106</v>
      </c>
      <c r="Y2458" t="s">
        <v>108</v>
      </c>
      <c r="Z2458" t="s">
        <v>104</v>
      </c>
      <c r="AA2458" t="s">
        <v>1597</v>
      </c>
      <c r="AB2458" t="s">
        <v>2600</v>
      </c>
    </row>
    <row r="2459" spans="1:28" x14ac:dyDescent="0.3">
      <c r="A2459" t="s">
        <v>1580</v>
      </c>
      <c r="B2459">
        <v>1</v>
      </c>
      <c r="C2459">
        <v>0</v>
      </c>
      <c r="D2459">
        <v>173</v>
      </c>
      <c r="E2459" t="s">
        <v>456</v>
      </c>
      <c r="F2459" s="12">
        <v>45714</v>
      </c>
      <c r="G2459" t="s">
        <v>394</v>
      </c>
      <c r="H2459" s="12">
        <v>45714</v>
      </c>
      <c r="I2459" t="s">
        <v>1607</v>
      </c>
      <c r="J2459" t="s">
        <v>458</v>
      </c>
      <c r="K2459">
        <v>2</v>
      </c>
      <c r="L2459">
        <v>0.1</v>
      </c>
      <c r="P2459" t="s">
        <v>106</v>
      </c>
      <c r="Q2459" t="s">
        <v>106</v>
      </c>
      <c r="R2459" t="s">
        <v>106</v>
      </c>
      <c r="S2459" t="s">
        <v>1608</v>
      </c>
      <c r="T2459" t="s">
        <v>747</v>
      </c>
      <c r="U2459" t="s">
        <v>1539</v>
      </c>
      <c r="V2459" t="s">
        <v>106</v>
      </c>
      <c r="W2459" t="s">
        <v>557</v>
      </c>
      <c r="X2459" t="s">
        <v>106</v>
      </c>
      <c r="Y2459" t="s">
        <v>108</v>
      </c>
      <c r="Z2459" t="s">
        <v>105</v>
      </c>
      <c r="AA2459" t="s">
        <v>1597</v>
      </c>
      <c r="AB2459" t="s">
        <v>106</v>
      </c>
    </row>
    <row r="2460" spans="1:28" x14ac:dyDescent="0.3">
      <c r="A2460" t="s">
        <v>1580</v>
      </c>
      <c r="B2460">
        <v>1</v>
      </c>
      <c r="C2460">
        <v>0</v>
      </c>
      <c r="D2460">
        <v>166</v>
      </c>
      <c r="E2460" t="s">
        <v>456</v>
      </c>
      <c r="F2460" s="12">
        <v>45714</v>
      </c>
      <c r="G2460" t="s">
        <v>1609</v>
      </c>
      <c r="H2460" s="12">
        <v>45714</v>
      </c>
      <c r="I2460" t="s">
        <v>1610</v>
      </c>
      <c r="J2460" t="s">
        <v>477</v>
      </c>
      <c r="K2460">
        <v>2</v>
      </c>
      <c r="L2460">
        <v>0</v>
      </c>
      <c r="M2460">
        <v>0</v>
      </c>
      <c r="P2460" t="s">
        <v>106</v>
      </c>
      <c r="Q2460" t="s">
        <v>106</v>
      </c>
      <c r="R2460" t="s">
        <v>106</v>
      </c>
      <c r="S2460" t="s">
        <v>106</v>
      </c>
      <c r="T2460" t="s">
        <v>1069</v>
      </c>
      <c r="U2460" t="s">
        <v>1353</v>
      </c>
      <c r="V2460" t="s">
        <v>106</v>
      </c>
      <c r="W2460" t="s">
        <v>954</v>
      </c>
      <c r="X2460" t="s">
        <v>106</v>
      </c>
      <c r="Y2460" t="s">
        <v>108</v>
      </c>
      <c r="Z2460" t="s">
        <v>105</v>
      </c>
      <c r="AA2460" t="s">
        <v>106</v>
      </c>
      <c r="AB2460" t="s">
        <v>1611</v>
      </c>
    </row>
    <row r="2461" spans="1:28" x14ac:dyDescent="0.3">
      <c r="A2461" t="s">
        <v>1580</v>
      </c>
      <c r="B2461">
        <v>1</v>
      </c>
      <c r="C2461">
        <v>0</v>
      </c>
      <c r="D2461">
        <v>219</v>
      </c>
      <c r="E2461" t="s">
        <v>456</v>
      </c>
      <c r="F2461" s="12">
        <v>45714</v>
      </c>
      <c r="G2461" t="s">
        <v>1612</v>
      </c>
      <c r="H2461" s="12">
        <v>45714</v>
      </c>
      <c r="I2461" t="s">
        <v>1613</v>
      </c>
      <c r="J2461" t="s">
        <v>1584</v>
      </c>
      <c r="K2461">
        <v>2</v>
      </c>
      <c r="L2461">
        <v>0</v>
      </c>
      <c r="M2461">
        <v>0</v>
      </c>
      <c r="P2461" t="s">
        <v>106</v>
      </c>
      <c r="Q2461" t="s">
        <v>106</v>
      </c>
      <c r="R2461" t="s">
        <v>106</v>
      </c>
      <c r="S2461" t="s">
        <v>1614</v>
      </c>
      <c r="T2461" t="s">
        <v>1235</v>
      </c>
      <c r="U2461" t="s">
        <v>1615</v>
      </c>
      <c r="V2461" t="s">
        <v>106</v>
      </c>
      <c r="W2461" t="s">
        <v>476</v>
      </c>
      <c r="X2461" t="s">
        <v>106</v>
      </c>
      <c r="Y2461" t="s">
        <v>108</v>
      </c>
      <c r="Z2461" t="s">
        <v>104</v>
      </c>
      <c r="AA2461" t="s">
        <v>935</v>
      </c>
      <c r="AB2461" t="s">
        <v>106</v>
      </c>
    </row>
    <row r="2462" spans="1:28" x14ac:dyDescent="0.3">
      <c r="A2462" t="s">
        <v>1580</v>
      </c>
      <c r="B2462">
        <v>1</v>
      </c>
      <c r="C2462">
        <v>0</v>
      </c>
      <c r="D2462">
        <v>174</v>
      </c>
      <c r="E2462" t="s">
        <v>456</v>
      </c>
      <c r="F2462" s="12">
        <v>45714</v>
      </c>
      <c r="G2462" t="s">
        <v>394</v>
      </c>
      <c r="H2462" s="12">
        <v>45714</v>
      </c>
      <c r="I2462" t="s">
        <v>1607</v>
      </c>
      <c r="J2462" t="s">
        <v>458</v>
      </c>
      <c r="K2462">
        <v>2</v>
      </c>
      <c r="L2462">
        <v>0</v>
      </c>
      <c r="P2462" t="s">
        <v>106</v>
      </c>
      <c r="Q2462" t="s">
        <v>106</v>
      </c>
      <c r="R2462" t="s">
        <v>106</v>
      </c>
      <c r="S2462" t="s">
        <v>1616</v>
      </c>
      <c r="T2462" t="s">
        <v>1617</v>
      </c>
      <c r="U2462" t="s">
        <v>1596</v>
      </c>
      <c r="V2462" t="s">
        <v>106</v>
      </c>
      <c r="W2462" t="s">
        <v>557</v>
      </c>
      <c r="X2462" t="s">
        <v>106</v>
      </c>
      <c r="Y2462" t="s">
        <v>108</v>
      </c>
      <c r="Z2462" t="s">
        <v>105</v>
      </c>
      <c r="AA2462" t="s">
        <v>1597</v>
      </c>
      <c r="AB2462" t="s">
        <v>106</v>
      </c>
    </row>
    <row r="2463" spans="1:28" x14ac:dyDescent="0.3">
      <c r="A2463" t="s">
        <v>1580</v>
      </c>
      <c r="B2463">
        <v>1</v>
      </c>
      <c r="C2463">
        <v>0</v>
      </c>
      <c r="D2463">
        <v>165</v>
      </c>
      <c r="E2463" t="s">
        <v>456</v>
      </c>
      <c r="F2463" s="12">
        <v>45714</v>
      </c>
      <c r="G2463" t="s">
        <v>1618</v>
      </c>
      <c r="H2463" s="12">
        <v>45714</v>
      </c>
      <c r="I2463" t="s">
        <v>1610</v>
      </c>
      <c r="J2463" t="s">
        <v>477</v>
      </c>
      <c r="K2463">
        <v>2</v>
      </c>
      <c r="L2463">
        <v>0</v>
      </c>
      <c r="M2463">
        <v>0</v>
      </c>
      <c r="P2463" t="s">
        <v>106</v>
      </c>
      <c r="Q2463" t="s">
        <v>106</v>
      </c>
      <c r="R2463" t="s">
        <v>106</v>
      </c>
      <c r="S2463" t="s">
        <v>106</v>
      </c>
      <c r="T2463" t="s">
        <v>1619</v>
      </c>
      <c r="U2463" t="s">
        <v>1600</v>
      </c>
      <c r="V2463" t="s">
        <v>106</v>
      </c>
      <c r="W2463" t="s">
        <v>954</v>
      </c>
      <c r="X2463" t="s">
        <v>106</v>
      </c>
      <c r="Y2463" t="s">
        <v>108</v>
      </c>
      <c r="Z2463" t="s">
        <v>105</v>
      </c>
      <c r="AA2463" t="s">
        <v>106</v>
      </c>
      <c r="AB2463" t="s">
        <v>106</v>
      </c>
    </row>
    <row r="2464" spans="1:28" x14ac:dyDescent="0.3">
      <c r="A2464" t="s">
        <v>1580</v>
      </c>
      <c r="B2464">
        <v>1</v>
      </c>
      <c r="C2464">
        <v>0</v>
      </c>
      <c r="D2464">
        <v>226</v>
      </c>
      <c r="E2464" t="s">
        <v>456</v>
      </c>
      <c r="F2464" s="12">
        <v>45714</v>
      </c>
      <c r="G2464" t="s">
        <v>1620</v>
      </c>
      <c r="H2464" s="12">
        <v>45714</v>
      </c>
      <c r="I2464" t="s">
        <v>818</v>
      </c>
      <c r="J2464" t="s">
        <v>1522</v>
      </c>
      <c r="K2464">
        <v>2</v>
      </c>
      <c r="L2464">
        <v>0</v>
      </c>
      <c r="M2464">
        <v>0</v>
      </c>
      <c r="P2464" t="s">
        <v>106</v>
      </c>
      <c r="Q2464" t="s">
        <v>106</v>
      </c>
      <c r="R2464" t="s">
        <v>106</v>
      </c>
      <c r="S2464" t="s">
        <v>1621</v>
      </c>
      <c r="T2464" t="s">
        <v>1622</v>
      </c>
      <c r="U2464" t="s">
        <v>1596</v>
      </c>
      <c r="V2464" t="s">
        <v>106</v>
      </c>
      <c r="W2464" t="s">
        <v>476</v>
      </c>
      <c r="X2464" t="s">
        <v>106</v>
      </c>
      <c r="Y2464" t="s">
        <v>108</v>
      </c>
      <c r="Z2464" t="s">
        <v>109</v>
      </c>
      <c r="AA2464" t="s">
        <v>935</v>
      </c>
      <c r="AB2464" t="s">
        <v>106</v>
      </c>
    </row>
    <row r="2465" spans="1:28" x14ac:dyDescent="0.3">
      <c r="A2465" t="s">
        <v>1580</v>
      </c>
      <c r="B2465">
        <v>2</v>
      </c>
      <c r="C2465">
        <v>15</v>
      </c>
      <c r="D2465">
        <v>224</v>
      </c>
      <c r="E2465" t="s">
        <v>456</v>
      </c>
      <c r="F2465" s="12">
        <v>45714</v>
      </c>
      <c r="G2465" t="s">
        <v>2221</v>
      </c>
      <c r="H2465" s="12">
        <v>45714</v>
      </c>
      <c r="I2465" t="s">
        <v>818</v>
      </c>
      <c r="J2465" t="s">
        <v>1522</v>
      </c>
      <c r="K2465">
        <v>2</v>
      </c>
      <c r="L2465">
        <v>16</v>
      </c>
      <c r="M2465">
        <v>16.100000000000001</v>
      </c>
      <c r="P2465" t="s">
        <v>106</v>
      </c>
      <c r="Q2465" t="s">
        <v>106</v>
      </c>
      <c r="R2465" t="s">
        <v>106</v>
      </c>
      <c r="S2465" t="s">
        <v>2203</v>
      </c>
      <c r="T2465" t="s">
        <v>540</v>
      </c>
      <c r="U2465" t="s">
        <v>1539</v>
      </c>
      <c r="V2465" t="s">
        <v>106</v>
      </c>
      <c r="W2465" t="s">
        <v>476</v>
      </c>
      <c r="X2465" t="s">
        <v>106</v>
      </c>
      <c r="Y2465" t="s">
        <v>108</v>
      </c>
      <c r="Z2465" t="s">
        <v>109</v>
      </c>
      <c r="AA2465" t="s">
        <v>935</v>
      </c>
      <c r="AB2465" t="s">
        <v>106</v>
      </c>
    </row>
    <row r="2466" spans="1:28" x14ac:dyDescent="0.3">
      <c r="A2466" t="s">
        <v>1580</v>
      </c>
      <c r="B2466">
        <v>2</v>
      </c>
      <c r="C2466">
        <v>15</v>
      </c>
      <c r="D2466">
        <v>216</v>
      </c>
      <c r="E2466" t="s">
        <v>456</v>
      </c>
      <c r="F2466" s="12">
        <v>45714</v>
      </c>
      <c r="G2466" t="s">
        <v>2056</v>
      </c>
      <c r="H2466" s="12">
        <v>45714</v>
      </c>
      <c r="I2466" t="s">
        <v>1613</v>
      </c>
      <c r="J2466" t="s">
        <v>1584</v>
      </c>
      <c r="K2466">
        <v>2</v>
      </c>
      <c r="L2466">
        <v>14.8</v>
      </c>
      <c r="M2466">
        <v>14.9</v>
      </c>
      <c r="P2466" t="s">
        <v>106</v>
      </c>
      <c r="Q2466" t="s">
        <v>106</v>
      </c>
      <c r="R2466" t="s">
        <v>106</v>
      </c>
      <c r="S2466" t="s">
        <v>2222</v>
      </c>
      <c r="T2466" t="s">
        <v>1214</v>
      </c>
      <c r="U2466" t="s">
        <v>1615</v>
      </c>
      <c r="V2466" t="s">
        <v>106</v>
      </c>
      <c r="W2466" t="s">
        <v>476</v>
      </c>
      <c r="X2466" t="s">
        <v>106</v>
      </c>
      <c r="Y2466" t="s">
        <v>108</v>
      </c>
      <c r="Z2466" t="s">
        <v>109</v>
      </c>
      <c r="AA2466" t="s">
        <v>935</v>
      </c>
      <c r="AB2466" t="s">
        <v>106</v>
      </c>
    </row>
    <row r="2467" spans="1:28" x14ac:dyDescent="0.3">
      <c r="A2467" t="s">
        <v>1580</v>
      </c>
      <c r="B2467">
        <v>2</v>
      </c>
      <c r="C2467">
        <v>15</v>
      </c>
      <c r="D2467">
        <v>215</v>
      </c>
      <c r="E2467" t="s">
        <v>456</v>
      </c>
      <c r="F2467" s="12">
        <v>45714</v>
      </c>
      <c r="G2467" t="s">
        <v>2056</v>
      </c>
      <c r="H2467" s="12">
        <v>45714</v>
      </c>
      <c r="I2467" t="s">
        <v>1613</v>
      </c>
      <c r="J2467" t="s">
        <v>1584</v>
      </c>
      <c r="K2467">
        <v>2</v>
      </c>
      <c r="L2467">
        <v>15.4</v>
      </c>
      <c r="M2467">
        <v>15.5</v>
      </c>
      <c r="P2467" t="s">
        <v>106</v>
      </c>
      <c r="Q2467" t="s">
        <v>106</v>
      </c>
      <c r="R2467" t="s">
        <v>106</v>
      </c>
      <c r="S2467" t="s">
        <v>2223</v>
      </c>
      <c r="T2467" t="s">
        <v>1712</v>
      </c>
      <c r="U2467" t="s">
        <v>1596</v>
      </c>
      <c r="V2467" t="s">
        <v>106</v>
      </c>
      <c r="W2467" t="s">
        <v>476</v>
      </c>
      <c r="X2467" t="s">
        <v>106</v>
      </c>
      <c r="Y2467" t="s">
        <v>108</v>
      </c>
      <c r="Z2467" t="s">
        <v>109</v>
      </c>
      <c r="AA2467" t="s">
        <v>935</v>
      </c>
      <c r="AB2467" t="s">
        <v>106</v>
      </c>
    </row>
    <row r="2468" spans="1:28" x14ac:dyDescent="0.3">
      <c r="A2468" t="s">
        <v>1580</v>
      </c>
      <c r="B2468">
        <v>2</v>
      </c>
      <c r="C2468">
        <v>15</v>
      </c>
      <c r="D2468">
        <v>209</v>
      </c>
      <c r="E2468" t="s">
        <v>456</v>
      </c>
      <c r="F2468" s="12">
        <v>45714</v>
      </c>
      <c r="G2468" t="s">
        <v>2224</v>
      </c>
      <c r="H2468" s="12">
        <v>45714</v>
      </c>
      <c r="I2468" t="s">
        <v>2225</v>
      </c>
      <c r="J2468" t="s">
        <v>1584</v>
      </c>
      <c r="K2468">
        <v>2</v>
      </c>
      <c r="L2468">
        <v>14.3</v>
      </c>
      <c r="M2468">
        <v>14.2</v>
      </c>
      <c r="P2468" t="s">
        <v>106</v>
      </c>
      <c r="Q2468" t="s">
        <v>106</v>
      </c>
      <c r="R2468" t="s">
        <v>106</v>
      </c>
      <c r="S2468" t="s">
        <v>1616</v>
      </c>
      <c r="T2468" t="s">
        <v>1536</v>
      </c>
      <c r="U2468" t="s">
        <v>1468</v>
      </c>
      <c r="V2468" t="s">
        <v>106</v>
      </c>
      <c r="W2468" t="s">
        <v>476</v>
      </c>
      <c r="X2468" t="s">
        <v>106</v>
      </c>
      <c r="Y2468" t="s">
        <v>108</v>
      </c>
      <c r="Z2468" t="s">
        <v>109</v>
      </c>
      <c r="AA2468" t="s">
        <v>935</v>
      </c>
      <c r="AB2468" t="s">
        <v>106</v>
      </c>
    </row>
    <row r="2469" spans="1:28" x14ac:dyDescent="0.3">
      <c r="A2469" t="s">
        <v>1580</v>
      </c>
      <c r="B2469">
        <v>2</v>
      </c>
      <c r="C2469">
        <v>15</v>
      </c>
      <c r="D2469">
        <v>208</v>
      </c>
      <c r="E2469" t="s">
        <v>456</v>
      </c>
      <c r="F2469" s="12">
        <v>45714</v>
      </c>
      <c r="G2469" t="s">
        <v>2226</v>
      </c>
      <c r="H2469" s="12">
        <v>45714</v>
      </c>
      <c r="I2469" t="s">
        <v>2225</v>
      </c>
      <c r="J2469" t="s">
        <v>1584</v>
      </c>
      <c r="K2469">
        <v>2</v>
      </c>
      <c r="L2469">
        <v>15.6</v>
      </c>
      <c r="M2469">
        <v>15.4</v>
      </c>
      <c r="P2469" t="s">
        <v>106</v>
      </c>
      <c r="Q2469" t="s">
        <v>106</v>
      </c>
      <c r="R2469" t="s">
        <v>106</v>
      </c>
      <c r="S2469" t="s">
        <v>2220</v>
      </c>
      <c r="T2469" t="s">
        <v>1561</v>
      </c>
      <c r="U2469" t="s">
        <v>1590</v>
      </c>
      <c r="V2469" t="s">
        <v>106</v>
      </c>
      <c r="W2469" t="s">
        <v>476</v>
      </c>
      <c r="X2469" t="s">
        <v>106</v>
      </c>
      <c r="Y2469" t="s">
        <v>108</v>
      </c>
      <c r="Z2469" t="s">
        <v>109</v>
      </c>
      <c r="AA2469" t="s">
        <v>935</v>
      </c>
      <c r="AB2469" t="s">
        <v>106</v>
      </c>
    </row>
    <row r="2470" spans="1:28" x14ac:dyDescent="0.3">
      <c r="A2470" t="s">
        <v>1580</v>
      </c>
      <c r="B2470">
        <v>2</v>
      </c>
      <c r="C2470">
        <v>15</v>
      </c>
      <c r="D2470">
        <v>200</v>
      </c>
      <c r="E2470" t="s">
        <v>456</v>
      </c>
      <c r="F2470" s="12">
        <v>45714</v>
      </c>
      <c r="G2470" t="s">
        <v>2227</v>
      </c>
      <c r="H2470" s="12">
        <v>45714</v>
      </c>
      <c r="I2470" t="s">
        <v>475</v>
      </c>
      <c r="J2470" t="s">
        <v>1584</v>
      </c>
      <c r="K2470">
        <v>2</v>
      </c>
      <c r="L2470">
        <v>13.9</v>
      </c>
      <c r="M2470">
        <v>13.9</v>
      </c>
      <c r="P2470" t="s">
        <v>106</v>
      </c>
      <c r="Q2470" t="s">
        <v>106</v>
      </c>
      <c r="R2470" t="s">
        <v>106</v>
      </c>
      <c r="S2470" t="s">
        <v>2228</v>
      </c>
      <c r="T2470" t="s">
        <v>2229</v>
      </c>
      <c r="U2470" t="s">
        <v>1382</v>
      </c>
      <c r="V2470" t="s">
        <v>106</v>
      </c>
      <c r="W2470" t="s">
        <v>476</v>
      </c>
      <c r="X2470" t="s">
        <v>106</v>
      </c>
      <c r="Y2470" t="s">
        <v>108</v>
      </c>
      <c r="Z2470" t="s">
        <v>109</v>
      </c>
      <c r="AA2470" t="s">
        <v>935</v>
      </c>
      <c r="AB2470" t="s">
        <v>106</v>
      </c>
    </row>
    <row r="2471" spans="1:28" x14ac:dyDescent="0.3">
      <c r="A2471" t="s">
        <v>1580</v>
      </c>
      <c r="B2471">
        <v>2</v>
      </c>
      <c r="C2471">
        <v>15</v>
      </c>
      <c r="D2471">
        <v>199</v>
      </c>
      <c r="E2471" t="s">
        <v>456</v>
      </c>
      <c r="F2471" s="12">
        <v>45714</v>
      </c>
      <c r="G2471" t="s">
        <v>2176</v>
      </c>
      <c r="H2471" s="12">
        <v>45714</v>
      </c>
      <c r="I2471" t="s">
        <v>475</v>
      </c>
      <c r="J2471" t="s">
        <v>1584</v>
      </c>
      <c r="K2471">
        <v>2</v>
      </c>
      <c r="L2471">
        <v>12.7</v>
      </c>
      <c r="M2471">
        <v>12.8</v>
      </c>
      <c r="P2471" t="s">
        <v>106</v>
      </c>
      <c r="Q2471" t="s">
        <v>106</v>
      </c>
      <c r="R2471" t="s">
        <v>106</v>
      </c>
      <c r="S2471" t="s">
        <v>2230</v>
      </c>
      <c r="T2471" t="s">
        <v>1090</v>
      </c>
      <c r="U2471" t="s">
        <v>1590</v>
      </c>
      <c r="V2471" t="s">
        <v>106</v>
      </c>
      <c r="W2471" t="s">
        <v>476</v>
      </c>
      <c r="X2471" t="s">
        <v>106</v>
      </c>
      <c r="Y2471" t="s">
        <v>108</v>
      </c>
      <c r="Z2471" t="s">
        <v>109</v>
      </c>
      <c r="AA2471" t="s">
        <v>935</v>
      </c>
      <c r="AB2471" t="s">
        <v>106</v>
      </c>
    </row>
    <row r="2472" spans="1:28" x14ac:dyDescent="0.3">
      <c r="A2472" t="s">
        <v>1580</v>
      </c>
      <c r="B2472">
        <v>2</v>
      </c>
      <c r="C2472">
        <v>15</v>
      </c>
      <c r="D2472">
        <v>196</v>
      </c>
      <c r="E2472" t="s">
        <v>456</v>
      </c>
      <c r="F2472" s="12">
        <v>45714</v>
      </c>
      <c r="G2472" t="s">
        <v>833</v>
      </c>
      <c r="H2472" s="12">
        <v>45714</v>
      </c>
      <c r="I2472" t="s">
        <v>1937</v>
      </c>
      <c r="J2472" t="s">
        <v>458</v>
      </c>
      <c r="K2472">
        <v>2</v>
      </c>
      <c r="L2472">
        <v>13.8</v>
      </c>
      <c r="M2472">
        <v>13.8</v>
      </c>
      <c r="P2472" t="s">
        <v>106</v>
      </c>
      <c r="Q2472" t="s">
        <v>106</v>
      </c>
      <c r="R2472" t="s">
        <v>106</v>
      </c>
      <c r="S2472" t="s">
        <v>948</v>
      </c>
      <c r="T2472" t="s">
        <v>747</v>
      </c>
      <c r="U2472" t="s">
        <v>1418</v>
      </c>
      <c r="V2472" t="s">
        <v>106</v>
      </c>
      <c r="W2472" t="s">
        <v>557</v>
      </c>
      <c r="X2472" t="s">
        <v>106</v>
      </c>
      <c r="Y2472" t="s">
        <v>108</v>
      </c>
      <c r="Z2472" t="s">
        <v>109</v>
      </c>
      <c r="AA2472" t="s">
        <v>935</v>
      </c>
      <c r="AB2472" t="s">
        <v>106</v>
      </c>
    </row>
    <row r="2473" spans="1:28" x14ac:dyDescent="0.3">
      <c r="A2473" t="s">
        <v>1580</v>
      </c>
      <c r="B2473">
        <v>2</v>
      </c>
      <c r="C2473">
        <v>15</v>
      </c>
      <c r="D2473">
        <v>195</v>
      </c>
      <c r="E2473" t="s">
        <v>456</v>
      </c>
      <c r="F2473" s="12">
        <v>45714</v>
      </c>
      <c r="G2473" t="s">
        <v>681</v>
      </c>
      <c r="H2473" s="12">
        <v>45714</v>
      </c>
      <c r="I2473" t="s">
        <v>1937</v>
      </c>
      <c r="J2473" t="s">
        <v>458</v>
      </c>
      <c r="K2473">
        <v>2</v>
      </c>
      <c r="L2473">
        <v>13.9</v>
      </c>
      <c r="M2473">
        <v>13.6</v>
      </c>
      <c r="P2473" t="s">
        <v>106</v>
      </c>
      <c r="Q2473" t="s">
        <v>106</v>
      </c>
      <c r="R2473" t="s">
        <v>106</v>
      </c>
      <c r="S2473" t="s">
        <v>1595</v>
      </c>
      <c r="T2473" t="s">
        <v>1372</v>
      </c>
      <c r="U2473" t="s">
        <v>1356</v>
      </c>
      <c r="V2473" t="s">
        <v>106</v>
      </c>
      <c r="W2473" t="s">
        <v>557</v>
      </c>
      <c r="X2473" t="s">
        <v>106</v>
      </c>
      <c r="Y2473" t="s">
        <v>108</v>
      </c>
      <c r="Z2473" t="s">
        <v>109</v>
      </c>
      <c r="AA2473" t="s">
        <v>935</v>
      </c>
      <c r="AB2473" t="s">
        <v>106</v>
      </c>
    </row>
    <row r="2474" spans="1:28" x14ac:dyDescent="0.3">
      <c r="A2474" t="s">
        <v>1580</v>
      </c>
      <c r="B2474">
        <v>2</v>
      </c>
      <c r="C2474">
        <v>15</v>
      </c>
      <c r="D2474">
        <v>225</v>
      </c>
      <c r="E2474" t="s">
        <v>456</v>
      </c>
      <c r="F2474" s="12">
        <v>45714</v>
      </c>
      <c r="G2474" t="s">
        <v>2221</v>
      </c>
      <c r="H2474" s="12">
        <v>45714</v>
      </c>
      <c r="I2474" t="s">
        <v>818</v>
      </c>
      <c r="J2474" t="s">
        <v>1522</v>
      </c>
      <c r="K2474">
        <v>2</v>
      </c>
      <c r="L2474">
        <v>13.5</v>
      </c>
      <c r="M2474">
        <v>13.5</v>
      </c>
      <c r="P2474" t="s">
        <v>106</v>
      </c>
      <c r="Q2474" t="s">
        <v>106</v>
      </c>
      <c r="R2474" t="s">
        <v>106</v>
      </c>
      <c r="S2474" t="s">
        <v>2231</v>
      </c>
      <c r="T2474" t="s">
        <v>518</v>
      </c>
      <c r="U2474" t="s">
        <v>1468</v>
      </c>
      <c r="V2474" t="s">
        <v>106</v>
      </c>
      <c r="W2474" t="s">
        <v>476</v>
      </c>
      <c r="X2474" t="s">
        <v>106</v>
      </c>
      <c r="Y2474" t="s">
        <v>108</v>
      </c>
      <c r="Z2474" t="s">
        <v>109</v>
      </c>
      <c r="AA2474" t="s">
        <v>935</v>
      </c>
      <c r="AB2474" t="s">
        <v>106</v>
      </c>
    </row>
    <row r="2475" spans="1:28" x14ac:dyDescent="0.3">
      <c r="A2475" t="s">
        <v>1580</v>
      </c>
      <c r="B2475">
        <v>2</v>
      </c>
      <c r="C2475">
        <v>15</v>
      </c>
      <c r="D2475">
        <v>189</v>
      </c>
      <c r="E2475" t="s">
        <v>456</v>
      </c>
      <c r="F2475" s="12">
        <v>45714</v>
      </c>
      <c r="G2475" t="s">
        <v>1240</v>
      </c>
      <c r="H2475" s="12">
        <v>45714</v>
      </c>
      <c r="I2475" t="s">
        <v>1937</v>
      </c>
      <c r="J2475" t="s">
        <v>458</v>
      </c>
      <c r="K2475">
        <v>2</v>
      </c>
      <c r="L2475">
        <v>13.9</v>
      </c>
      <c r="P2475" t="s">
        <v>106</v>
      </c>
      <c r="Q2475" t="s">
        <v>106</v>
      </c>
      <c r="R2475" t="s">
        <v>106</v>
      </c>
      <c r="S2475" t="s">
        <v>1949</v>
      </c>
      <c r="T2475" t="s">
        <v>1425</v>
      </c>
      <c r="U2475" t="s">
        <v>1411</v>
      </c>
      <c r="V2475" t="s">
        <v>106</v>
      </c>
      <c r="W2475" t="s">
        <v>557</v>
      </c>
      <c r="X2475" t="s">
        <v>106</v>
      </c>
      <c r="Y2475" t="s">
        <v>108</v>
      </c>
      <c r="Z2475" t="s">
        <v>109</v>
      </c>
      <c r="AA2475" t="s">
        <v>935</v>
      </c>
      <c r="AB2475" t="s">
        <v>106</v>
      </c>
    </row>
    <row r="2476" spans="1:28" x14ac:dyDescent="0.3">
      <c r="A2476" t="s">
        <v>1580</v>
      </c>
      <c r="B2476">
        <v>2</v>
      </c>
      <c r="C2476">
        <v>15</v>
      </c>
      <c r="D2476">
        <v>184</v>
      </c>
      <c r="E2476" t="s">
        <v>456</v>
      </c>
      <c r="F2476" s="12">
        <v>45714</v>
      </c>
      <c r="G2476" t="s">
        <v>468</v>
      </c>
      <c r="H2476" s="12">
        <v>45714</v>
      </c>
      <c r="I2476" t="s">
        <v>398</v>
      </c>
      <c r="J2476" t="s">
        <v>458</v>
      </c>
      <c r="K2476">
        <v>2</v>
      </c>
      <c r="L2476">
        <v>12.9</v>
      </c>
      <c r="P2476" t="s">
        <v>106</v>
      </c>
      <c r="Q2476" t="s">
        <v>106</v>
      </c>
      <c r="R2476" t="s">
        <v>106</v>
      </c>
      <c r="S2476" t="s">
        <v>2206</v>
      </c>
      <c r="T2476" t="s">
        <v>1214</v>
      </c>
      <c r="U2476" t="s">
        <v>427</v>
      </c>
      <c r="V2476" t="s">
        <v>106</v>
      </c>
      <c r="W2476" t="s">
        <v>557</v>
      </c>
      <c r="X2476" t="s">
        <v>106</v>
      </c>
      <c r="Y2476" t="s">
        <v>108</v>
      </c>
      <c r="Z2476" t="s">
        <v>109</v>
      </c>
      <c r="AA2476" t="s">
        <v>935</v>
      </c>
      <c r="AB2476" t="s">
        <v>106</v>
      </c>
    </row>
    <row r="2477" spans="1:28" x14ac:dyDescent="0.3">
      <c r="A2477" t="s">
        <v>1580</v>
      </c>
      <c r="B2477">
        <v>2</v>
      </c>
      <c r="C2477">
        <v>15</v>
      </c>
      <c r="D2477">
        <v>183</v>
      </c>
      <c r="E2477" t="s">
        <v>456</v>
      </c>
      <c r="F2477" s="12">
        <v>45714</v>
      </c>
      <c r="G2477" t="s">
        <v>840</v>
      </c>
      <c r="H2477" s="12">
        <v>45714</v>
      </c>
      <c r="I2477" t="s">
        <v>398</v>
      </c>
      <c r="J2477" t="s">
        <v>458</v>
      </c>
      <c r="K2477">
        <v>2</v>
      </c>
      <c r="L2477">
        <v>12.6</v>
      </c>
      <c r="P2477" t="s">
        <v>106</v>
      </c>
      <c r="Q2477" t="s">
        <v>106</v>
      </c>
      <c r="R2477" t="s">
        <v>106</v>
      </c>
      <c r="S2477" t="s">
        <v>2217</v>
      </c>
      <c r="T2477" t="s">
        <v>609</v>
      </c>
      <c r="U2477" t="s">
        <v>391</v>
      </c>
      <c r="V2477" t="s">
        <v>106</v>
      </c>
      <c r="W2477" t="s">
        <v>557</v>
      </c>
      <c r="X2477" t="s">
        <v>106</v>
      </c>
      <c r="Y2477" t="s">
        <v>108</v>
      </c>
      <c r="Z2477" t="s">
        <v>109</v>
      </c>
      <c r="AA2477" t="s">
        <v>935</v>
      </c>
      <c r="AB2477" t="s">
        <v>106</v>
      </c>
    </row>
    <row r="2478" spans="1:28" x14ac:dyDescent="0.3">
      <c r="A2478" t="s">
        <v>1580</v>
      </c>
      <c r="B2478">
        <v>2</v>
      </c>
      <c r="C2478">
        <v>15</v>
      </c>
      <c r="D2478">
        <v>178</v>
      </c>
      <c r="E2478" t="s">
        <v>456</v>
      </c>
      <c r="F2478" s="12">
        <v>45714</v>
      </c>
      <c r="G2478" t="s">
        <v>790</v>
      </c>
      <c r="H2478" s="12">
        <v>45714</v>
      </c>
      <c r="I2478" t="s">
        <v>1607</v>
      </c>
      <c r="J2478" t="s">
        <v>458</v>
      </c>
      <c r="K2478">
        <v>2</v>
      </c>
      <c r="L2478">
        <v>13.2</v>
      </c>
      <c r="P2478" t="s">
        <v>106</v>
      </c>
      <c r="Q2478" t="s">
        <v>106</v>
      </c>
      <c r="R2478" t="s">
        <v>106</v>
      </c>
      <c r="S2478" t="s">
        <v>2232</v>
      </c>
      <c r="T2478" t="s">
        <v>1155</v>
      </c>
      <c r="U2478" t="s">
        <v>1483</v>
      </c>
      <c r="V2478" t="s">
        <v>106</v>
      </c>
      <c r="W2478" t="s">
        <v>557</v>
      </c>
      <c r="X2478" t="s">
        <v>106</v>
      </c>
      <c r="Y2478" t="s">
        <v>108</v>
      </c>
      <c r="Z2478" t="s">
        <v>109</v>
      </c>
      <c r="AA2478" t="s">
        <v>1597</v>
      </c>
      <c r="AB2478" t="s">
        <v>106</v>
      </c>
    </row>
    <row r="2479" spans="1:28" x14ac:dyDescent="0.3">
      <c r="A2479" t="s">
        <v>1580</v>
      </c>
      <c r="B2479">
        <v>2</v>
      </c>
      <c r="C2479">
        <v>15</v>
      </c>
      <c r="D2479">
        <v>177</v>
      </c>
      <c r="E2479" t="s">
        <v>456</v>
      </c>
      <c r="F2479" s="12">
        <v>45714</v>
      </c>
      <c r="G2479" t="s">
        <v>790</v>
      </c>
      <c r="H2479" s="12">
        <v>45714</v>
      </c>
      <c r="I2479" t="s">
        <v>1607</v>
      </c>
      <c r="J2479" t="s">
        <v>458</v>
      </c>
      <c r="K2479">
        <v>2</v>
      </c>
      <c r="L2479">
        <v>15</v>
      </c>
      <c r="P2479" t="s">
        <v>106</v>
      </c>
      <c r="Q2479" t="s">
        <v>106</v>
      </c>
      <c r="R2479" t="s">
        <v>106</v>
      </c>
      <c r="S2479" t="s">
        <v>1949</v>
      </c>
      <c r="T2479" t="s">
        <v>961</v>
      </c>
      <c r="U2479" t="s">
        <v>1604</v>
      </c>
      <c r="V2479" t="s">
        <v>106</v>
      </c>
      <c r="W2479" t="s">
        <v>557</v>
      </c>
      <c r="X2479" t="s">
        <v>106</v>
      </c>
      <c r="Y2479" t="s">
        <v>108</v>
      </c>
      <c r="Z2479" t="s">
        <v>109</v>
      </c>
      <c r="AA2479" t="s">
        <v>1597</v>
      </c>
      <c r="AB2479" t="s">
        <v>106</v>
      </c>
    </row>
    <row r="2480" spans="1:28" x14ac:dyDescent="0.3">
      <c r="A2480" t="s">
        <v>1580</v>
      </c>
      <c r="B2480">
        <v>2</v>
      </c>
      <c r="C2480">
        <v>15</v>
      </c>
      <c r="D2480">
        <v>170</v>
      </c>
      <c r="E2480" t="s">
        <v>456</v>
      </c>
      <c r="F2480" s="12">
        <v>45714</v>
      </c>
      <c r="G2480" t="s">
        <v>535</v>
      </c>
      <c r="H2480" s="12">
        <v>45714</v>
      </c>
      <c r="I2480" t="s">
        <v>1043</v>
      </c>
      <c r="J2480" t="s">
        <v>458</v>
      </c>
      <c r="K2480">
        <v>2</v>
      </c>
      <c r="L2480">
        <v>15.8</v>
      </c>
      <c r="M2480">
        <v>15.6</v>
      </c>
      <c r="P2480" t="s">
        <v>106</v>
      </c>
      <c r="Q2480" t="s">
        <v>106</v>
      </c>
      <c r="R2480" t="s">
        <v>106</v>
      </c>
      <c r="S2480" t="s">
        <v>988</v>
      </c>
      <c r="T2480" t="s">
        <v>1057</v>
      </c>
      <c r="U2480" t="s">
        <v>1596</v>
      </c>
      <c r="V2480" t="s">
        <v>106</v>
      </c>
      <c r="W2480" t="s">
        <v>557</v>
      </c>
      <c r="X2480" t="s">
        <v>106</v>
      </c>
      <c r="Y2480" t="s">
        <v>108</v>
      </c>
      <c r="Z2480" t="s">
        <v>109</v>
      </c>
      <c r="AA2480" t="s">
        <v>1597</v>
      </c>
      <c r="AB2480" t="s">
        <v>106</v>
      </c>
    </row>
    <row r="2481" spans="1:28" x14ac:dyDescent="0.3">
      <c r="A2481" t="s">
        <v>1580</v>
      </c>
      <c r="B2481">
        <v>2</v>
      </c>
      <c r="C2481">
        <v>15</v>
      </c>
      <c r="D2481">
        <v>169</v>
      </c>
      <c r="E2481" t="s">
        <v>456</v>
      </c>
      <c r="F2481" s="12">
        <v>45714</v>
      </c>
      <c r="G2481" t="s">
        <v>838</v>
      </c>
      <c r="H2481" s="12">
        <v>45714</v>
      </c>
      <c r="I2481" t="s">
        <v>1043</v>
      </c>
      <c r="J2481" t="s">
        <v>458</v>
      </c>
      <c r="K2481">
        <v>2</v>
      </c>
      <c r="L2481">
        <v>15</v>
      </c>
      <c r="M2481">
        <v>15.2</v>
      </c>
      <c r="P2481" t="s">
        <v>106</v>
      </c>
      <c r="Q2481" t="s">
        <v>106</v>
      </c>
      <c r="R2481" t="s">
        <v>106</v>
      </c>
      <c r="S2481" t="s">
        <v>2233</v>
      </c>
      <c r="T2481" t="s">
        <v>1069</v>
      </c>
      <c r="U2481" t="s">
        <v>1539</v>
      </c>
      <c r="V2481" t="s">
        <v>106</v>
      </c>
      <c r="W2481" t="s">
        <v>557</v>
      </c>
      <c r="X2481" t="s">
        <v>106</v>
      </c>
      <c r="Y2481" t="s">
        <v>108</v>
      </c>
      <c r="Z2481" t="s">
        <v>109</v>
      </c>
      <c r="AA2481" t="s">
        <v>1597</v>
      </c>
      <c r="AB2481" t="s">
        <v>106</v>
      </c>
    </row>
    <row r="2482" spans="1:28" x14ac:dyDescent="0.3">
      <c r="A2482" t="s">
        <v>1580</v>
      </c>
      <c r="B2482">
        <v>2</v>
      </c>
      <c r="C2482">
        <v>15</v>
      </c>
      <c r="D2482">
        <v>162</v>
      </c>
      <c r="E2482" t="s">
        <v>456</v>
      </c>
      <c r="F2482" s="12">
        <v>45714</v>
      </c>
      <c r="G2482" t="s">
        <v>2234</v>
      </c>
      <c r="H2482" s="12">
        <v>45714</v>
      </c>
      <c r="I2482" t="s">
        <v>1610</v>
      </c>
      <c r="J2482" t="s">
        <v>477</v>
      </c>
      <c r="K2482">
        <v>2</v>
      </c>
      <c r="L2482">
        <v>14.7</v>
      </c>
      <c r="M2482">
        <v>14.8</v>
      </c>
      <c r="P2482" t="s">
        <v>106</v>
      </c>
      <c r="Q2482" t="s">
        <v>106</v>
      </c>
      <c r="R2482" t="s">
        <v>106</v>
      </c>
      <c r="S2482" t="s">
        <v>106</v>
      </c>
      <c r="T2482" t="s">
        <v>855</v>
      </c>
      <c r="U2482" t="s">
        <v>1382</v>
      </c>
      <c r="V2482" t="s">
        <v>106</v>
      </c>
      <c r="W2482" t="s">
        <v>954</v>
      </c>
      <c r="X2482" t="s">
        <v>106</v>
      </c>
      <c r="Y2482" t="s">
        <v>108</v>
      </c>
      <c r="Z2482" t="s">
        <v>109</v>
      </c>
      <c r="AA2482" t="s">
        <v>1597</v>
      </c>
      <c r="AB2482" t="s">
        <v>106</v>
      </c>
    </row>
    <row r="2483" spans="1:28" x14ac:dyDescent="0.3">
      <c r="A2483" t="s">
        <v>1580</v>
      </c>
      <c r="B2483">
        <v>2</v>
      </c>
      <c r="C2483">
        <v>15</v>
      </c>
      <c r="D2483">
        <v>161</v>
      </c>
      <c r="E2483" t="s">
        <v>456</v>
      </c>
      <c r="F2483" s="12">
        <v>45714</v>
      </c>
      <c r="G2483" t="s">
        <v>2235</v>
      </c>
      <c r="H2483" s="12">
        <v>45714</v>
      </c>
      <c r="I2483" t="s">
        <v>1610</v>
      </c>
      <c r="J2483" t="s">
        <v>477</v>
      </c>
      <c r="K2483">
        <v>2</v>
      </c>
      <c r="L2483">
        <v>14.1</v>
      </c>
      <c r="M2483">
        <v>14.2</v>
      </c>
      <c r="P2483" t="s">
        <v>106</v>
      </c>
      <c r="Q2483" t="s">
        <v>106</v>
      </c>
      <c r="R2483" t="s">
        <v>106</v>
      </c>
      <c r="S2483" t="s">
        <v>106</v>
      </c>
      <c r="T2483" t="s">
        <v>2200</v>
      </c>
      <c r="U2483" t="s">
        <v>1539</v>
      </c>
      <c r="V2483" t="s">
        <v>106</v>
      </c>
      <c r="W2483" t="s">
        <v>954</v>
      </c>
      <c r="X2483" t="s">
        <v>106</v>
      </c>
      <c r="Y2483" t="s">
        <v>108</v>
      </c>
      <c r="Z2483" t="s">
        <v>109</v>
      </c>
      <c r="AA2483" t="s">
        <v>1597</v>
      </c>
      <c r="AB2483" t="s">
        <v>106</v>
      </c>
    </row>
    <row r="2484" spans="1:28" x14ac:dyDescent="0.3">
      <c r="A2484" t="s">
        <v>1580</v>
      </c>
      <c r="B2484">
        <v>2</v>
      </c>
      <c r="C2484">
        <v>15</v>
      </c>
      <c r="D2484">
        <v>190</v>
      </c>
      <c r="E2484" t="s">
        <v>456</v>
      </c>
      <c r="F2484" s="12">
        <v>45714</v>
      </c>
      <c r="G2484" t="s">
        <v>2236</v>
      </c>
      <c r="H2484" s="12">
        <v>45714</v>
      </c>
      <c r="I2484" t="s">
        <v>1937</v>
      </c>
      <c r="J2484" t="s">
        <v>458</v>
      </c>
      <c r="K2484">
        <v>2</v>
      </c>
      <c r="L2484">
        <v>12.9</v>
      </c>
      <c r="P2484" t="s">
        <v>106</v>
      </c>
      <c r="Q2484" t="s">
        <v>106</v>
      </c>
      <c r="R2484" t="s">
        <v>106</v>
      </c>
      <c r="S2484" t="s">
        <v>2237</v>
      </c>
      <c r="T2484" t="s">
        <v>993</v>
      </c>
      <c r="U2484" t="s">
        <v>427</v>
      </c>
      <c r="V2484" t="s">
        <v>106</v>
      </c>
      <c r="W2484" t="s">
        <v>557</v>
      </c>
      <c r="X2484" t="s">
        <v>106</v>
      </c>
      <c r="Y2484" t="s">
        <v>108</v>
      </c>
      <c r="Z2484" t="s">
        <v>109</v>
      </c>
      <c r="AA2484" t="s">
        <v>935</v>
      </c>
      <c r="AB2484" t="s">
        <v>106</v>
      </c>
    </row>
    <row r="2485" spans="1:28" x14ac:dyDescent="0.3">
      <c r="A2485" t="s">
        <v>1580</v>
      </c>
      <c r="B2485">
        <v>3</v>
      </c>
      <c r="C2485">
        <v>35</v>
      </c>
      <c r="D2485">
        <v>160</v>
      </c>
      <c r="E2485" t="s">
        <v>456</v>
      </c>
      <c r="F2485" s="12">
        <v>45714</v>
      </c>
      <c r="G2485" t="s">
        <v>2128</v>
      </c>
      <c r="H2485" s="12">
        <v>45714</v>
      </c>
      <c r="I2485" t="s">
        <v>1610</v>
      </c>
      <c r="J2485" t="s">
        <v>477</v>
      </c>
      <c r="K2485">
        <v>2</v>
      </c>
      <c r="L2485">
        <v>33.700000000000003</v>
      </c>
      <c r="M2485">
        <v>33.799999999999997</v>
      </c>
      <c r="P2485" t="s">
        <v>106</v>
      </c>
      <c r="Q2485" t="s">
        <v>106</v>
      </c>
      <c r="R2485" t="s">
        <v>106</v>
      </c>
      <c r="S2485" t="s">
        <v>106</v>
      </c>
      <c r="T2485" t="s">
        <v>1657</v>
      </c>
      <c r="U2485" t="s">
        <v>1356</v>
      </c>
      <c r="V2485" t="s">
        <v>106</v>
      </c>
      <c r="W2485" t="s">
        <v>954</v>
      </c>
      <c r="X2485" t="s">
        <v>106</v>
      </c>
      <c r="Y2485" t="s">
        <v>108</v>
      </c>
      <c r="Z2485" t="s">
        <v>108</v>
      </c>
      <c r="AA2485" t="s">
        <v>1597</v>
      </c>
      <c r="AB2485" t="s">
        <v>106</v>
      </c>
    </row>
    <row r="2486" spans="1:28" x14ac:dyDescent="0.3">
      <c r="A2486" t="s">
        <v>1580</v>
      </c>
      <c r="B2486">
        <v>3</v>
      </c>
      <c r="C2486">
        <v>35</v>
      </c>
      <c r="D2486">
        <v>159</v>
      </c>
      <c r="E2486" t="s">
        <v>456</v>
      </c>
      <c r="F2486" s="12">
        <v>45714</v>
      </c>
      <c r="G2486" t="s">
        <v>2568</v>
      </c>
      <c r="H2486" s="12">
        <v>45714</v>
      </c>
      <c r="I2486" t="s">
        <v>1610</v>
      </c>
      <c r="J2486" t="s">
        <v>477</v>
      </c>
      <c r="K2486">
        <v>2</v>
      </c>
      <c r="L2486">
        <v>32.4</v>
      </c>
      <c r="M2486">
        <v>32.6</v>
      </c>
      <c r="P2486" t="s">
        <v>106</v>
      </c>
      <c r="Q2486" t="s">
        <v>106</v>
      </c>
      <c r="R2486" t="s">
        <v>106</v>
      </c>
      <c r="S2486" t="s">
        <v>106</v>
      </c>
      <c r="T2486" t="s">
        <v>981</v>
      </c>
      <c r="U2486" t="s">
        <v>1482</v>
      </c>
      <c r="V2486" t="s">
        <v>106</v>
      </c>
      <c r="W2486" t="s">
        <v>954</v>
      </c>
      <c r="X2486" t="s">
        <v>106</v>
      </c>
      <c r="Y2486" t="s">
        <v>108</v>
      </c>
      <c r="Z2486" t="s">
        <v>108</v>
      </c>
      <c r="AA2486" t="s">
        <v>1597</v>
      </c>
      <c r="AB2486" t="s">
        <v>106</v>
      </c>
    </row>
    <row r="2487" spans="1:28" x14ac:dyDescent="0.3">
      <c r="A2487" t="s">
        <v>1580</v>
      </c>
      <c r="B2487">
        <v>3</v>
      </c>
      <c r="C2487">
        <v>35</v>
      </c>
      <c r="D2487">
        <v>221</v>
      </c>
      <c r="E2487" t="s">
        <v>456</v>
      </c>
      <c r="F2487" s="12">
        <v>45714</v>
      </c>
      <c r="G2487" t="s">
        <v>1001</v>
      </c>
      <c r="H2487" s="12">
        <v>45714</v>
      </c>
      <c r="I2487" t="s">
        <v>818</v>
      </c>
      <c r="J2487" t="s">
        <v>1522</v>
      </c>
      <c r="K2487">
        <v>2</v>
      </c>
      <c r="L2487">
        <v>31.5</v>
      </c>
      <c r="M2487">
        <v>31.5</v>
      </c>
      <c r="P2487" t="s">
        <v>106</v>
      </c>
      <c r="Q2487" t="s">
        <v>106</v>
      </c>
      <c r="R2487" t="s">
        <v>106</v>
      </c>
      <c r="S2487" t="s">
        <v>2562</v>
      </c>
      <c r="T2487" t="s">
        <v>1242</v>
      </c>
      <c r="U2487" t="s">
        <v>1615</v>
      </c>
      <c r="V2487" t="s">
        <v>106</v>
      </c>
      <c r="W2487" t="s">
        <v>476</v>
      </c>
      <c r="X2487" t="s">
        <v>106</v>
      </c>
      <c r="Y2487" t="s">
        <v>108</v>
      </c>
      <c r="Z2487" t="s">
        <v>108</v>
      </c>
      <c r="AA2487" t="s">
        <v>935</v>
      </c>
      <c r="AB2487" t="s">
        <v>106</v>
      </c>
    </row>
    <row r="2488" spans="1:28" x14ac:dyDescent="0.3">
      <c r="A2488" t="s">
        <v>1580</v>
      </c>
      <c r="B2488">
        <v>3</v>
      </c>
      <c r="C2488">
        <v>35</v>
      </c>
      <c r="D2488">
        <v>220</v>
      </c>
      <c r="E2488" t="s">
        <v>456</v>
      </c>
      <c r="F2488" s="12">
        <v>45714</v>
      </c>
      <c r="G2488" t="s">
        <v>998</v>
      </c>
      <c r="H2488" s="12">
        <v>45714</v>
      </c>
      <c r="I2488" t="s">
        <v>818</v>
      </c>
      <c r="J2488" t="s">
        <v>1522</v>
      </c>
      <c r="K2488">
        <v>2</v>
      </c>
      <c r="L2488">
        <v>33.799999999999997</v>
      </c>
      <c r="M2488">
        <v>34</v>
      </c>
      <c r="P2488" t="s">
        <v>106</v>
      </c>
      <c r="Q2488" t="s">
        <v>106</v>
      </c>
      <c r="R2488" t="s">
        <v>106</v>
      </c>
      <c r="S2488" t="s">
        <v>1608</v>
      </c>
      <c r="T2488" t="s">
        <v>1101</v>
      </c>
      <c r="U2488" t="s">
        <v>1590</v>
      </c>
      <c r="V2488" t="s">
        <v>106</v>
      </c>
      <c r="W2488" t="s">
        <v>476</v>
      </c>
      <c r="X2488" t="s">
        <v>106</v>
      </c>
      <c r="Y2488" t="s">
        <v>108</v>
      </c>
      <c r="Z2488" t="s">
        <v>108</v>
      </c>
      <c r="AA2488" t="s">
        <v>935</v>
      </c>
      <c r="AB2488" t="s">
        <v>106</v>
      </c>
    </row>
    <row r="2489" spans="1:28" x14ac:dyDescent="0.3">
      <c r="A2489" t="s">
        <v>1580</v>
      </c>
      <c r="B2489">
        <v>3</v>
      </c>
      <c r="C2489">
        <v>35</v>
      </c>
      <c r="D2489">
        <v>214</v>
      </c>
      <c r="E2489" t="s">
        <v>456</v>
      </c>
      <c r="F2489" s="12">
        <v>45714</v>
      </c>
      <c r="G2489" t="s">
        <v>1930</v>
      </c>
      <c r="H2489" s="12">
        <v>45714</v>
      </c>
      <c r="I2489" t="s">
        <v>1613</v>
      </c>
      <c r="J2489" t="s">
        <v>1584</v>
      </c>
      <c r="K2489">
        <v>2</v>
      </c>
      <c r="L2489">
        <v>35.700000000000003</v>
      </c>
      <c r="M2489">
        <v>35.700000000000003</v>
      </c>
      <c r="P2489" t="s">
        <v>106</v>
      </c>
      <c r="Q2489" t="s">
        <v>106</v>
      </c>
      <c r="R2489" t="s">
        <v>106</v>
      </c>
      <c r="S2489" t="s">
        <v>2569</v>
      </c>
      <c r="T2489" t="s">
        <v>1585</v>
      </c>
      <c r="U2489" t="s">
        <v>1353</v>
      </c>
      <c r="V2489" t="s">
        <v>106</v>
      </c>
      <c r="W2489" t="s">
        <v>476</v>
      </c>
      <c r="X2489" t="s">
        <v>106</v>
      </c>
      <c r="Y2489" t="s">
        <v>108</v>
      </c>
      <c r="Z2489" t="s">
        <v>108</v>
      </c>
      <c r="AA2489" t="s">
        <v>935</v>
      </c>
      <c r="AB2489" t="s">
        <v>106</v>
      </c>
    </row>
    <row r="2490" spans="1:28" x14ac:dyDescent="0.3">
      <c r="A2490" t="s">
        <v>1580</v>
      </c>
      <c r="B2490">
        <v>3</v>
      </c>
      <c r="C2490">
        <v>35</v>
      </c>
      <c r="D2490">
        <v>213</v>
      </c>
      <c r="E2490" t="s">
        <v>456</v>
      </c>
      <c r="F2490" s="12">
        <v>45714</v>
      </c>
      <c r="G2490" t="s">
        <v>1930</v>
      </c>
      <c r="H2490" s="12">
        <v>45714</v>
      </c>
      <c r="I2490" t="s">
        <v>1613</v>
      </c>
      <c r="J2490" t="s">
        <v>1584</v>
      </c>
      <c r="K2490">
        <v>2</v>
      </c>
      <c r="L2490">
        <v>35</v>
      </c>
      <c r="M2490">
        <v>35</v>
      </c>
      <c r="P2490" t="s">
        <v>106</v>
      </c>
      <c r="Q2490" t="s">
        <v>106</v>
      </c>
      <c r="R2490" t="s">
        <v>106</v>
      </c>
      <c r="S2490" t="s">
        <v>2570</v>
      </c>
      <c r="T2490" t="s">
        <v>1141</v>
      </c>
      <c r="U2490" t="s">
        <v>1615</v>
      </c>
      <c r="V2490" t="s">
        <v>106</v>
      </c>
      <c r="W2490" t="s">
        <v>476</v>
      </c>
      <c r="X2490" t="s">
        <v>106</v>
      </c>
      <c r="Y2490" t="s">
        <v>108</v>
      </c>
      <c r="Z2490" t="s">
        <v>108</v>
      </c>
      <c r="AA2490" t="s">
        <v>935</v>
      </c>
      <c r="AB2490" t="s">
        <v>106</v>
      </c>
    </row>
    <row r="2491" spans="1:28" x14ac:dyDescent="0.3">
      <c r="A2491" t="s">
        <v>1580</v>
      </c>
      <c r="B2491">
        <v>3</v>
      </c>
      <c r="C2491">
        <v>35</v>
      </c>
      <c r="D2491">
        <v>207</v>
      </c>
      <c r="E2491" t="s">
        <v>456</v>
      </c>
      <c r="F2491" s="12">
        <v>45714</v>
      </c>
      <c r="G2491" t="s">
        <v>2571</v>
      </c>
      <c r="H2491" s="12">
        <v>45714</v>
      </c>
      <c r="I2491" t="s">
        <v>2225</v>
      </c>
      <c r="J2491" t="s">
        <v>1584</v>
      </c>
      <c r="K2491">
        <v>2</v>
      </c>
      <c r="L2491">
        <v>31.3</v>
      </c>
      <c r="M2491">
        <v>31.4</v>
      </c>
      <c r="P2491" t="s">
        <v>106</v>
      </c>
      <c r="Q2491" t="s">
        <v>106</v>
      </c>
      <c r="R2491" t="s">
        <v>106</v>
      </c>
      <c r="S2491" t="s">
        <v>2572</v>
      </c>
      <c r="T2491" t="s">
        <v>884</v>
      </c>
      <c r="U2491" t="s">
        <v>391</v>
      </c>
      <c r="V2491" t="s">
        <v>106</v>
      </c>
      <c r="W2491" t="s">
        <v>476</v>
      </c>
      <c r="X2491" t="s">
        <v>106</v>
      </c>
      <c r="Y2491" t="s">
        <v>108</v>
      </c>
      <c r="Z2491" t="s">
        <v>108</v>
      </c>
      <c r="AA2491" t="s">
        <v>935</v>
      </c>
      <c r="AB2491" t="s">
        <v>106</v>
      </c>
    </row>
    <row r="2492" spans="1:28" x14ac:dyDescent="0.3">
      <c r="A2492" t="s">
        <v>1580</v>
      </c>
      <c r="B2492">
        <v>3</v>
      </c>
      <c r="C2492">
        <v>35</v>
      </c>
      <c r="D2492">
        <v>205</v>
      </c>
      <c r="E2492" t="s">
        <v>456</v>
      </c>
      <c r="F2492" s="12">
        <v>45714</v>
      </c>
      <c r="G2492" t="s">
        <v>2045</v>
      </c>
      <c r="H2492" s="12">
        <v>45714</v>
      </c>
      <c r="I2492" t="s">
        <v>2225</v>
      </c>
      <c r="J2492" t="s">
        <v>1584</v>
      </c>
      <c r="K2492">
        <v>2</v>
      </c>
      <c r="L2492">
        <v>30.4</v>
      </c>
      <c r="M2492">
        <v>30.5</v>
      </c>
      <c r="P2492" t="s">
        <v>106</v>
      </c>
      <c r="Q2492" t="s">
        <v>106</v>
      </c>
      <c r="R2492" t="s">
        <v>106</v>
      </c>
      <c r="S2492" t="s">
        <v>1325</v>
      </c>
      <c r="T2492" t="s">
        <v>870</v>
      </c>
      <c r="U2492" t="s">
        <v>1604</v>
      </c>
      <c r="V2492" t="s">
        <v>106</v>
      </c>
      <c r="W2492" t="s">
        <v>476</v>
      </c>
      <c r="X2492" t="s">
        <v>106</v>
      </c>
      <c r="Y2492" t="s">
        <v>108</v>
      </c>
      <c r="Z2492" t="s">
        <v>108</v>
      </c>
      <c r="AA2492" t="s">
        <v>935</v>
      </c>
      <c r="AB2492" t="s">
        <v>106</v>
      </c>
    </row>
    <row r="2493" spans="1:28" x14ac:dyDescent="0.3">
      <c r="A2493" t="s">
        <v>1580</v>
      </c>
      <c r="B2493">
        <v>3</v>
      </c>
      <c r="C2493">
        <v>35</v>
      </c>
      <c r="D2493">
        <v>202</v>
      </c>
      <c r="E2493" t="s">
        <v>456</v>
      </c>
      <c r="F2493" s="12">
        <v>45714</v>
      </c>
      <c r="G2493" t="s">
        <v>2227</v>
      </c>
      <c r="H2493" s="12">
        <v>45714</v>
      </c>
      <c r="I2493" t="s">
        <v>475</v>
      </c>
      <c r="J2493" t="s">
        <v>1584</v>
      </c>
      <c r="K2493">
        <v>2</v>
      </c>
      <c r="L2493">
        <v>33.5</v>
      </c>
      <c r="M2493">
        <v>33.700000000000003</v>
      </c>
      <c r="P2493" t="s">
        <v>106</v>
      </c>
      <c r="Q2493" t="s">
        <v>106</v>
      </c>
      <c r="R2493" t="s">
        <v>106</v>
      </c>
      <c r="S2493" t="s">
        <v>2220</v>
      </c>
      <c r="T2493" t="s">
        <v>1101</v>
      </c>
      <c r="U2493" t="s">
        <v>1596</v>
      </c>
      <c r="V2493" t="s">
        <v>106</v>
      </c>
      <c r="W2493" t="s">
        <v>476</v>
      </c>
      <c r="X2493" t="s">
        <v>106</v>
      </c>
      <c r="Y2493" t="s">
        <v>108</v>
      </c>
      <c r="Z2493" t="s">
        <v>108</v>
      </c>
      <c r="AA2493" t="s">
        <v>935</v>
      </c>
      <c r="AB2493" t="s">
        <v>106</v>
      </c>
    </row>
    <row r="2494" spans="1:28" x14ac:dyDescent="0.3">
      <c r="A2494" t="s">
        <v>1580</v>
      </c>
      <c r="B2494">
        <v>3</v>
      </c>
      <c r="C2494">
        <v>35</v>
      </c>
      <c r="D2494">
        <v>201</v>
      </c>
      <c r="E2494" t="s">
        <v>456</v>
      </c>
      <c r="F2494" s="12">
        <v>45714</v>
      </c>
      <c r="G2494" t="s">
        <v>2227</v>
      </c>
      <c r="H2494" s="12">
        <v>45714</v>
      </c>
      <c r="I2494" t="s">
        <v>475</v>
      </c>
      <c r="J2494" t="s">
        <v>1584</v>
      </c>
      <c r="K2494">
        <v>2</v>
      </c>
      <c r="L2494">
        <v>31.3</v>
      </c>
      <c r="M2494">
        <v>31.5</v>
      </c>
      <c r="P2494" t="s">
        <v>106</v>
      </c>
      <c r="Q2494" t="s">
        <v>106</v>
      </c>
      <c r="R2494" t="s">
        <v>106</v>
      </c>
      <c r="S2494" t="s">
        <v>2573</v>
      </c>
      <c r="T2494" t="s">
        <v>609</v>
      </c>
      <c r="U2494" t="s">
        <v>1626</v>
      </c>
      <c r="V2494" t="s">
        <v>106</v>
      </c>
      <c r="W2494" t="s">
        <v>476</v>
      </c>
      <c r="X2494" t="s">
        <v>106</v>
      </c>
      <c r="Y2494" t="s">
        <v>108</v>
      </c>
      <c r="Z2494" t="s">
        <v>108</v>
      </c>
      <c r="AA2494" t="s">
        <v>935</v>
      </c>
      <c r="AB2494" t="s">
        <v>106</v>
      </c>
    </row>
    <row r="2495" spans="1:28" x14ac:dyDescent="0.3">
      <c r="A2495" t="s">
        <v>1580</v>
      </c>
      <c r="B2495">
        <v>3</v>
      </c>
      <c r="C2495">
        <v>35</v>
      </c>
      <c r="D2495">
        <v>206</v>
      </c>
      <c r="E2495" t="s">
        <v>456</v>
      </c>
      <c r="F2495" s="12">
        <v>45714</v>
      </c>
      <c r="G2495" t="s">
        <v>2571</v>
      </c>
      <c r="H2495" s="12">
        <v>45714</v>
      </c>
      <c r="I2495" t="s">
        <v>2225</v>
      </c>
      <c r="J2495" t="s">
        <v>1584</v>
      </c>
      <c r="K2495">
        <v>2</v>
      </c>
      <c r="L2495">
        <v>33.1</v>
      </c>
      <c r="M2495">
        <v>33.200000000000003</v>
      </c>
      <c r="P2495" t="s">
        <v>106</v>
      </c>
      <c r="Q2495" t="s">
        <v>106</v>
      </c>
      <c r="R2495" t="s">
        <v>106</v>
      </c>
      <c r="S2495" t="s">
        <v>2574</v>
      </c>
      <c r="T2495" t="s">
        <v>1074</v>
      </c>
      <c r="U2495" t="s">
        <v>1468</v>
      </c>
      <c r="V2495" t="s">
        <v>106</v>
      </c>
      <c r="W2495" t="s">
        <v>476</v>
      </c>
      <c r="X2495" t="s">
        <v>106</v>
      </c>
      <c r="Y2495" t="s">
        <v>108</v>
      </c>
      <c r="Z2495" t="s">
        <v>108</v>
      </c>
      <c r="AA2495" t="s">
        <v>935</v>
      </c>
      <c r="AB2495" t="s">
        <v>106</v>
      </c>
    </row>
    <row r="2496" spans="1:28" x14ac:dyDescent="0.3">
      <c r="A2496" t="s">
        <v>1580</v>
      </c>
      <c r="B2496">
        <v>3</v>
      </c>
      <c r="C2496">
        <v>35</v>
      </c>
      <c r="D2496">
        <v>193</v>
      </c>
      <c r="E2496" t="s">
        <v>456</v>
      </c>
      <c r="F2496" s="12">
        <v>45714</v>
      </c>
      <c r="G2496" t="s">
        <v>1445</v>
      </c>
      <c r="H2496" s="12">
        <v>45714</v>
      </c>
      <c r="I2496" t="s">
        <v>1937</v>
      </c>
      <c r="J2496" t="s">
        <v>458</v>
      </c>
      <c r="K2496">
        <v>2</v>
      </c>
      <c r="L2496">
        <v>32.1</v>
      </c>
      <c r="M2496">
        <v>32.200000000000003</v>
      </c>
      <c r="P2496" t="s">
        <v>106</v>
      </c>
      <c r="Q2496" t="s">
        <v>106</v>
      </c>
      <c r="R2496" t="s">
        <v>106</v>
      </c>
      <c r="S2496" t="s">
        <v>2575</v>
      </c>
      <c r="T2496" t="s">
        <v>1069</v>
      </c>
      <c r="U2496" t="s">
        <v>1356</v>
      </c>
      <c r="V2496" t="s">
        <v>106</v>
      </c>
      <c r="W2496" t="s">
        <v>557</v>
      </c>
      <c r="X2496" t="s">
        <v>106</v>
      </c>
      <c r="Y2496" t="s">
        <v>108</v>
      </c>
      <c r="Z2496" t="s">
        <v>108</v>
      </c>
      <c r="AA2496" t="s">
        <v>935</v>
      </c>
      <c r="AB2496" t="s">
        <v>106</v>
      </c>
    </row>
    <row r="2497" spans="1:28" x14ac:dyDescent="0.3">
      <c r="A2497" t="s">
        <v>1580</v>
      </c>
      <c r="B2497">
        <v>3</v>
      </c>
      <c r="C2497">
        <v>35</v>
      </c>
      <c r="D2497">
        <v>188</v>
      </c>
      <c r="E2497" t="s">
        <v>456</v>
      </c>
      <c r="F2497" s="12">
        <v>45714</v>
      </c>
      <c r="G2497" t="s">
        <v>372</v>
      </c>
      <c r="H2497" s="12">
        <v>45714</v>
      </c>
      <c r="I2497" t="s">
        <v>1937</v>
      </c>
      <c r="J2497" t="s">
        <v>458</v>
      </c>
      <c r="K2497">
        <v>2</v>
      </c>
      <c r="L2497">
        <v>32.700000000000003</v>
      </c>
      <c r="P2497" t="s">
        <v>106</v>
      </c>
      <c r="Q2497" t="s">
        <v>106</v>
      </c>
      <c r="R2497" t="s">
        <v>106</v>
      </c>
      <c r="S2497" t="s">
        <v>2266</v>
      </c>
      <c r="T2497" t="s">
        <v>1105</v>
      </c>
      <c r="U2497" t="s">
        <v>905</v>
      </c>
      <c r="V2497" t="s">
        <v>106</v>
      </c>
      <c r="W2497" t="s">
        <v>557</v>
      </c>
      <c r="X2497" t="s">
        <v>106</v>
      </c>
      <c r="Y2497" t="s">
        <v>108</v>
      </c>
      <c r="Z2497" t="s">
        <v>108</v>
      </c>
      <c r="AA2497" t="s">
        <v>935</v>
      </c>
      <c r="AB2497" t="s">
        <v>106</v>
      </c>
    </row>
    <row r="2498" spans="1:28" x14ac:dyDescent="0.3">
      <c r="A2498" t="s">
        <v>1580</v>
      </c>
      <c r="B2498">
        <v>3</v>
      </c>
      <c r="C2498">
        <v>35</v>
      </c>
      <c r="D2498">
        <v>187</v>
      </c>
      <c r="E2498" t="s">
        <v>456</v>
      </c>
      <c r="F2498" s="12">
        <v>45714</v>
      </c>
      <c r="G2498" t="s">
        <v>1233</v>
      </c>
      <c r="H2498" s="12">
        <v>45714</v>
      </c>
      <c r="I2498" t="s">
        <v>1937</v>
      </c>
      <c r="J2498" t="s">
        <v>458</v>
      </c>
      <c r="K2498">
        <v>2</v>
      </c>
      <c r="L2498">
        <v>31.6</v>
      </c>
      <c r="P2498" t="s">
        <v>106</v>
      </c>
      <c r="Q2498" t="s">
        <v>106</v>
      </c>
      <c r="R2498" t="s">
        <v>106</v>
      </c>
      <c r="S2498" t="s">
        <v>2277</v>
      </c>
      <c r="T2498" t="s">
        <v>1558</v>
      </c>
      <c r="U2498" t="s">
        <v>430</v>
      </c>
      <c r="V2498" t="s">
        <v>106</v>
      </c>
      <c r="W2498" t="s">
        <v>557</v>
      </c>
      <c r="X2498" t="s">
        <v>106</v>
      </c>
      <c r="Y2498" t="s">
        <v>108</v>
      </c>
      <c r="Z2498" t="s">
        <v>108</v>
      </c>
      <c r="AA2498" t="s">
        <v>935</v>
      </c>
      <c r="AB2498" t="s">
        <v>106</v>
      </c>
    </row>
    <row r="2499" spans="1:28" x14ac:dyDescent="0.3">
      <c r="A2499" t="s">
        <v>1580</v>
      </c>
      <c r="B2499">
        <v>3</v>
      </c>
      <c r="C2499">
        <v>35</v>
      </c>
      <c r="D2499">
        <v>182</v>
      </c>
      <c r="E2499" t="s">
        <v>456</v>
      </c>
      <c r="F2499" s="12">
        <v>45714</v>
      </c>
      <c r="G2499" t="s">
        <v>481</v>
      </c>
      <c r="H2499" s="12">
        <v>45714</v>
      </c>
      <c r="I2499" t="s">
        <v>398</v>
      </c>
      <c r="J2499" t="s">
        <v>458</v>
      </c>
      <c r="K2499">
        <v>2</v>
      </c>
      <c r="L2499">
        <v>33.5</v>
      </c>
      <c r="P2499" t="s">
        <v>106</v>
      </c>
      <c r="Q2499" t="s">
        <v>106</v>
      </c>
      <c r="R2499" t="s">
        <v>106</v>
      </c>
      <c r="S2499" t="s">
        <v>2214</v>
      </c>
      <c r="T2499" t="s">
        <v>1217</v>
      </c>
      <c r="U2499" t="s">
        <v>1615</v>
      </c>
      <c r="V2499" t="s">
        <v>106</v>
      </c>
      <c r="W2499" t="s">
        <v>557</v>
      </c>
      <c r="X2499" t="s">
        <v>106</v>
      </c>
      <c r="Y2499" t="s">
        <v>108</v>
      </c>
      <c r="Z2499" t="s">
        <v>108</v>
      </c>
      <c r="AA2499" t="s">
        <v>935</v>
      </c>
      <c r="AB2499" t="s">
        <v>106</v>
      </c>
    </row>
    <row r="2500" spans="1:28" x14ac:dyDescent="0.3">
      <c r="A2500" t="s">
        <v>1580</v>
      </c>
      <c r="B2500">
        <v>3</v>
      </c>
      <c r="C2500">
        <v>35</v>
      </c>
      <c r="D2500">
        <v>181</v>
      </c>
      <c r="E2500" t="s">
        <v>456</v>
      </c>
      <c r="F2500" s="12">
        <v>45714</v>
      </c>
      <c r="G2500" t="s">
        <v>481</v>
      </c>
      <c r="H2500" s="12">
        <v>45714</v>
      </c>
      <c r="I2500" t="s">
        <v>398</v>
      </c>
      <c r="J2500" t="s">
        <v>458</v>
      </c>
      <c r="K2500">
        <v>2</v>
      </c>
      <c r="L2500">
        <v>32.4</v>
      </c>
      <c r="P2500" t="s">
        <v>106</v>
      </c>
      <c r="Q2500" t="s">
        <v>106</v>
      </c>
      <c r="R2500" t="s">
        <v>106</v>
      </c>
      <c r="S2500" t="s">
        <v>1608</v>
      </c>
      <c r="T2500" t="s">
        <v>1217</v>
      </c>
      <c r="U2500" t="s">
        <v>1651</v>
      </c>
      <c r="V2500" t="s">
        <v>106</v>
      </c>
      <c r="W2500" t="s">
        <v>557</v>
      </c>
      <c r="X2500" t="s">
        <v>106</v>
      </c>
      <c r="Y2500" t="s">
        <v>108</v>
      </c>
      <c r="Z2500" t="s">
        <v>108</v>
      </c>
      <c r="AA2500" t="s">
        <v>935</v>
      </c>
      <c r="AB2500" t="s">
        <v>106</v>
      </c>
    </row>
    <row r="2501" spans="1:28" x14ac:dyDescent="0.3">
      <c r="A2501" t="s">
        <v>1580</v>
      </c>
      <c r="B2501">
        <v>3</v>
      </c>
      <c r="C2501">
        <v>35</v>
      </c>
      <c r="D2501">
        <v>176</v>
      </c>
      <c r="E2501" t="s">
        <v>456</v>
      </c>
      <c r="F2501" s="12">
        <v>45714</v>
      </c>
      <c r="G2501" t="s">
        <v>330</v>
      </c>
      <c r="H2501" s="12">
        <v>45714</v>
      </c>
      <c r="I2501" t="s">
        <v>1607</v>
      </c>
      <c r="J2501" t="s">
        <v>458</v>
      </c>
      <c r="K2501">
        <v>2</v>
      </c>
      <c r="L2501">
        <v>34.799999999999997</v>
      </c>
      <c r="P2501" t="s">
        <v>106</v>
      </c>
      <c r="Q2501" t="s">
        <v>106</v>
      </c>
      <c r="R2501" t="s">
        <v>106</v>
      </c>
      <c r="S2501" t="s">
        <v>1605</v>
      </c>
      <c r="T2501" t="s">
        <v>1558</v>
      </c>
      <c r="U2501" t="s">
        <v>1776</v>
      </c>
      <c r="V2501" t="s">
        <v>106</v>
      </c>
      <c r="W2501" t="s">
        <v>557</v>
      </c>
      <c r="X2501" t="s">
        <v>106</v>
      </c>
      <c r="Y2501" t="s">
        <v>108</v>
      </c>
      <c r="Z2501" t="s">
        <v>108</v>
      </c>
      <c r="AA2501" t="s">
        <v>1597</v>
      </c>
      <c r="AB2501" t="s">
        <v>106</v>
      </c>
    </row>
    <row r="2502" spans="1:28" x14ac:dyDescent="0.3">
      <c r="A2502" t="s">
        <v>1580</v>
      </c>
      <c r="B2502">
        <v>3</v>
      </c>
      <c r="C2502">
        <v>35</v>
      </c>
      <c r="D2502">
        <v>175</v>
      </c>
      <c r="E2502" t="s">
        <v>456</v>
      </c>
      <c r="F2502" s="12">
        <v>45714</v>
      </c>
      <c r="G2502" t="s">
        <v>1389</v>
      </c>
      <c r="H2502" s="12">
        <v>45714</v>
      </c>
      <c r="I2502" t="s">
        <v>1607</v>
      </c>
      <c r="J2502" t="s">
        <v>458</v>
      </c>
      <c r="K2502">
        <v>2</v>
      </c>
      <c r="L2502">
        <v>35.200000000000003</v>
      </c>
      <c r="P2502" t="s">
        <v>106</v>
      </c>
      <c r="Q2502" t="s">
        <v>106</v>
      </c>
      <c r="R2502" t="s">
        <v>106</v>
      </c>
      <c r="S2502" t="s">
        <v>1949</v>
      </c>
      <c r="T2502" t="s">
        <v>1617</v>
      </c>
      <c r="U2502" t="s">
        <v>1468</v>
      </c>
      <c r="V2502" t="s">
        <v>106</v>
      </c>
      <c r="W2502" t="s">
        <v>557</v>
      </c>
      <c r="X2502" t="s">
        <v>106</v>
      </c>
      <c r="Y2502" t="s">
        <v>108</v>
      </c>
      <c r="Z2502" t="s">
        <v>108</v>
      </c>
      <c r="AA2502" t="s">
        <v>1597</v>
      </c>
      <c r="AB2502" t="s">
        <v>106</v>
      </c>
    </row>
    <row r="2503" spans="1:28" x14ac:dyDescent="0.3">
      <c r="A2503" t="s">
        <v>1580</v>
      </c>
      <c r="B2503">
        <v>3</v>
      </c>
      <c r="C2503">
        <v>35</v>
      </c>
      <c r="D2503">
        <v>194</v>
      </c>
      <c r="E2503" t="s">
        <v>456</v>
      </c>
      <c r="F2503" s="12">
        <v>45714</v>
      </c>
      <c r="G2503" t="s">
        <v>2576</v>
      </c>
      <c r="H2503" s="12">
        <v>45714</v>
      </c>
      <c r="I2503" t="s">
        <v>1937</v>
      </c>
      <c r="J2503" t="s">
        <v>458</v>
      </c>
      <c r="K2503">
        <v>2</v>
      </c>
      <c r="L2503">
        <v>32.700000000000003</v>
      </c>
      <c r="M2503">
        <v>32.5</v>
      </c>
      <c r="P2503" t="s">
        <v>106</v>
      </c>
      <c r="Q2503" t="s">
        <v>106</v>
      </c>
      <c r="R2503" t="s">
        <v>106</v>
      </c>
      <c r="S2503" t="s">
        <v>2209</v>
      </c>
      <c r="T2503" t="s">
        <v>1214</v>
      </c>
      <c r="U2503" t="s">
        <v>1776</v>
      </c>
      <c r="V2503" t="s">
        <v>106</v>
      </c>
      <c r="W2503" t="s">
        <v>557</v>
      </c>
      <c r="X2503" t="s">
        <v>106</v>
      </c>
      <c r="Y2503" t="s">
        <v>108</v>
      </c>
      <c r="Z2503" t="s">
        <v>108</v>
      </c>
      <c r="AA2503" t="s">
        <v>935</v>
      </c>
      <c r="AB2503" t="s">
        <v>106</v>
      </c>
    </row>
    <row r="2504" spans="1:28" x14ac:dyDescent="0.3">
      <c r="A2504" t="s">
        <v>1580</v>
      </c>
      <c r="B2504">
        <v>3</v>
      </c>
      <c r="C2504">
        <v>35</v>
      </c>
      <c r="D2504">
        <v>168</v>
      </c>
      <c r="E2504" t="s">
        <v>456</v>
      </c>
      <c r="F2504" s="12">
        <v>45714</v>
      </c>
      <c r="G2504" t="s">
        <v>2102</v>
      </c>
      <c r="H2504" s="12">
        <v>45714</v>
      </c>
      <c r="I2504" t="s">
        <v>1043</v>
      </c>
      <c r="J2504" t="s">
        <v>458</v>
      </c>
      <c r="K2504">
        <v>2</v>
      </c>
      <c r="L2504">
        <v>33.700000000000003</v>
      </c>
      <c r="M2504">
        <v>34.200000000000003</v>
      </c>
      <c r="P2504" t="s">
        <v>106</v>
      </c>
      <c r="Q2504" t="s">
        <v>106</v>
      </c>
      <c r="R2504" t="s">
        <v>106</v>
      </c>
      <c r="S2504" t="s">
        <v>1036</v>
      </c>
      <c r="T2504" t="s">
        <v>1063</v>
      </c>
      <c r="U2504" t="s">
        <v>1626</v>
      </c>
      <c r="V2504" t="s">
        <v>106</v>
      </c>
      <c r="W2504" t="s">
        <v>557</v>
      </c>
      <c r="X2504" t="s">
        <v>106</v>
      </c>
      <c r="Y2504" t="s">
        <v>108</v>
      </c>
      <c r="Z2504" t="s">
        <v>108</v>
      </c>
      <c r="AA2504" t="s">
        <v>1597</v>
      </c>
      <c r="AB2504" t="s">
        <v>106</v>
      </c>
    </row>
    <row r="2505" spans="1:28" x14ac:dyDescent="0.3">
      <c r="A2505" t="s">
        <v>1580</v>
      </c>
      <c r="B2505">
        <v>3</v>
      </c>
      <c r="C2505">
        <v>35</v>
      </c>
      <c r="D2505">
        <v>167</v>
      </c>
      <c r="E2505" t="s">
        <v>456</v>
      </c>
      <c r="F2505" s="12">
        <v>45714</v>
      </c>
      <c r="G2505" t="s">
        <v>1534</v>
      </c>
      <c r="H2505" s="12">
        <v>45714</v>
      </c>
      <c r="I2505" t="s">
        <v>1043</v>
      </c>
      <c r="J2505" t="s">
        <v>458</v>
      </c>
      <c r="K2505">
        <v>2</v>
      </c>
      <c r="L2505">
        <v>33.5</v>
      </c>
      <c r="M2505">
        <v>33.4</v>
      </c>
      <c r="P2505" t="s">
        <v>106</v>
      </c>
      <c r="Q2505" t="s">
        <v>106</v>
      </c>
      <c r="R2505" t="s">
        <v>106</v>
      </c>
      <c r="S2505" t="s">
        <v>2551</v>
      </c>
      <c r="T2505" t="s">
        <v>1155</v>
      </c>
      <c r="U2505" t="s">
        <v>1356</v>
      </c>
      <c r="V2505" t="s">
        <v>106</v>
      </c>
      <c r="W2505" t="s">
        <v>557</v>
      </c>
      <c r="X2505" t="s">
        <v>106</v>
      </c>
      <c r="Y2505" t="s">
        <v>108</v>
      </c>
      <c r="Z2505" t="s">
        <v>108</v>
      </c>
      <c r="AA2505" t="s">
        <v>1597</v>
      </c>
      <c r="AB2505" t="s">
        <v>106</v>
      </c>
    </row>
    <row r="2506" spans="1:28" x14ac:dyDescent="0.3">
      <c r="A2506" t="s">
        <v>1580</v>
      </c>
      <c r="B2506">
        <v>4</v>
      </c>
      <c r="C2506">
        <v>60</v>
      </c>
      <c r="D2506">
        <v>204</v>
      </c>
      <c r="E2506" t="s">
        <v>456</v>
      </c>
      <c r="F2506" s="12">
        <v>45714</v>
      </c>
      <c r="G2506" t="s">
        <v>2749</v>
      </c>
      <c r="H2506" s="12">
        <v>45714</v>
      </c>
      <c r="I2506" t="s">
        <v>475</v>
      </c>
      <c r="J2506" t="s">
        <v>1584</v>
      </c>
      <c r="K2506">
        <v>2</v>
      </c>
      <c r="L2506">
        <v>55.6</v>
      </c>
      <c r="M2506">
        <v>55.8</v>
      </c>
      <c r="P2506" t="s">
        <v>106</v>
      </c>
      <c r="Q2506" t="s">
        <v>106</v>
      </c>
      <c r="R2506" t="s">
        <v>106</v>
      </c>
      <c r="S2506" t="s">
        <v>1325</v>
      </c>
      <c r="T2506" t="s">
        <v>2024</v>
      </c>
      <c r="U2506" t="s">
        <v>1596</v>
      </c>
      <c r="V2506" t="s">
        <v>106</v>
      </c>
      <c r="W2506" t="s">
        <v>476</v>
      </c>
      <c r="X2506" t="s">
        <v>106</v>
      </c>
      <c r="Y2506" t="s">
        <v>108</v>
      </c>
      <c r="Z2506" t="s">
        <v>104</v>
      </c>
      <c r="AA2506" t="s">
        <v>935</v>
      </c>
      <c r="AB2506" t="s">
        <v>106</v>
      </c>
    </row>
    <row r="2507" spans="1:28" x14ac:dyDescent="0.3">
      <c r="A2507" t="s">
        <v>1580</v>
      </c>
      <c r="B2507">
        <v>4</v>
      </c>
      <c r="C2507">
        <v>60</v>
      </c>
      <c r="D2507">
        <v>223</v>
      </c>
      <c r="E2507" t="s">
        <v>456</v>
      </c>
      <c r="F2507" s="12">
        <v>45714</v>
      </c>
      <c r="G2507" t="s">
        <v>2750</v>
      </c>
      <c r="H2507" s="12">
        <v>45714</v>
      </c>
      <c r="I2507" t="s">
        <v>818</v>
      </c>
      <c r="J2507" t="s">
        <v>1522</v>
      </c>
      <c r="K2507">
        <v>2</v>
      </c>
      <c r="L2507">
        <v>56</v>
      </c>
      <c r="M2507">
        <v>56.4</v>
      </c>
      <c r="P2507" t="s">
        <v>106</v>
      </c>
      <c r="Q2507" t="s">
        <v>106</v>
      </c>
      <c r="R2507" t="s">
        <v>106</v>
      </c>
      <c r="S2507" t="s">
        <v>1621</v>
      </c>
      <c r="T2507" t="s">
        <v>2626</v>
      </c>
      <c r="U2507" t="s">
        <v>1539</v>
      </c>
      <c r="V2507" t="s">
        <v>106</v>
      </c>
      <c r="W2507" t="s">
        <v>476</v>
      </c>
      <c r="X2507" t="s">
        <v>106</v>
      </c>
      <c r="Y2507" t="s">
        <v>108</v>
      </c>
      <c r="Z2507" t="s">
        <v>104</v>
      </c>
      <c r="AA2507" t="s">
        <v>935</v>
      </c>
      <c r="AB2507" t="s">
        <v>106</v>
      </c>
    </row>
    <row r="2508" spans="1:28" x14ac:dyDescent="0.3">
      <c r="A2508" t="s">
        <v>1580</v>
      </c>
      <c r="B2508">
        <v>4</v>
      </c>
      <c r="C2508">
        <v>60</v>
      </c>
      <c r="D2508">
        <v>222</v>
      </c>
      <c r="E2508" t="s">
        <v>456</v>
      </c>
      <c r="F2508" s="12">
        <v>45714</v>
      </c>
      <c r="G2508" t="s">
        <v>2091</v>
      </c>
      <c r="H2508" s="12">
        <v>45714</v>
      </c>
      <c r="I2508" t="s">
        <v>818</v>
      </c>
      <c r="J2508" t="s">
        <v>1522</v>
      </c>
      <c r="K2508">
        <v>2</v>
      </c>
      <c r="L2508">
        <v>56.2</v>
      </c>
      <c r="M2508">
        <v>56.8</v>
      </c>
      <c r="P2508" t="s">
        <v>106</v>
      </c>
      <c r="Q2508" t="s">
        <v>106</v>
      </c>
      <c r="R2508" t="s">
        <v>106</v>
      </c>
      <c r="S2508" t="s">
        <v>2751</v>
      </c>
      <c r="T2508" t="s">
        <v>707</v>
      </c>
      <c r="U2508" t="s">
        <v>1590</v>
      </c>
      <c r="V2508" t="s">
        <v>106</v>
      </c>
      <c r="W2508" t="s">
        <v>476</v>
      </c>
      <c r="X2508" t="s">
        <v>106</v>
      </c>
      <c r="Y2508" t="s">
        <v>108</v>
      </c>
      <c r="Z2508" t="s">
        <v>104</v>
      </c>
      <c r="AA2508" t="s">
        <v>935</v>
      </c>
      <c r="AB2508" t="s">
        <v>106</v>
      </c>
    </row>
    <row r="2509" spans="1:28" x14ac:dyDescent="0.3">
      <c r="A2509" t="s">
        <v>1580</v>
      </c>
      <c r="B2509">
        <v>4</v>
      </c>
      <c r="C2509">
        <v>60</v>
      </c>
      <c r="D2509">
        <v>218</v>
      </c>
      <c r="E2509" t="s">
        <v>456</v>
      </c>
      <c r="F2509" s="12">
        <v>45714</v>
      </c>
      <c r="G2509" t="s">
        <v>2752</v>
      </c>
      <c r="H2509" s="12">
        <v>45714</v>
      </c>
      <c r="I2509" t="s">
        <v>1613</v>
      </c>
      <c r="J2509" t="s">
        <v>1584</v>
      </c>
      <c r="K2509">
        <v>2</v>
      </c>
      <c r="L2509">
        <v>61.4</v>
      </c>
      <c r="M2509">
        <v>61.3</v>
      </c>
      <c r="P2509" t="s">
        <v>106</v>
      </c>
      <c r="Q2509" t="s">
        <v>106</v>
      </c>
      <c r="R2509" t="s">
        <v>106</v>
      </c>
      <c r="S2509" t="s">
        <v>933</v>
      </c>
      <c r="T2509" t="s">
        <v>829</v>
      </c>
      <c r="U2509" t="s">
        <v>1590</v>
      </c>
      <c r="V2509" t="s">
        <v>106</v>
      </c>
      <c r="W2509" t="s">
        <v>476</v>
      </c>
      <c r="X2509" t="s">
        <v>106</v>
      </c>
      <c r="Y2509" t="s">
        <v>108</v>
      </c>
      <c r="Z2509" t="s">
        <v>104</v>
      </c>
      <c r="AA2509" t="s">
        <v>935</v>
      </c>
      <c r="AB2509" t="s">
        <v>106</v>
      </c>
    </row>
    <row r="2510" spans="1:28" x14ac:dyDescent="0.3">
      <c r="A2510" t="s">
        <v>1580</v>
      </c>
      <c r="B2510">
        <v>4</v>
      </c>
      <c r="C2510">
        <v>60</v>
      </c>
      <c r="D2510">
        <v>217</v>
      </c>
      <c r="E2510" t="s">
        <v>456</v>
      </c>
      <c r="F2510" s="12">
        <v>45714</v>
      </c>
      <c r="G2510" t="s">
        <v>2172</v>
      </c>
      <c r="H2510" s="12">
        <v>45714</v>
      </c>
      <c r="I2510" t="s">
        <v>1613</v>
      </c>
      <c r="J2510" t="s">
        <v>1584</v>
      </c>
      <c r="K2510">
        <v>2</v>
      </c>
      <c r="L2510">
        <v>60.3</v>
      </c>
      <c r="M2510">
        <v>60.3</v>
      </c>
      <c r="P2510" t="s">
        <v>106</v>
      </c>
      <c r="Q2510" t="s">
        <v>106</v>
      </c>
      <c r="R2510" t="s">
        <v>106</v>
      </c>
      <c r="S2510" t="s">
        <v>2189</v>
      </c>
      <c r="T2510" t="s">
        <v>523</v>
      </c>
      <c r="U2510" t="s">
        <v>905</v>
      </c>
      <c r="V2510" t="s">
        <v>106</v>
      </c>
      <c r="W2510" t="s">
        <v>476</v>
      </c>
      <c r="X2510" t="s">
        <v>106</v>
      </c>
      <c r="Y2510" t="s">
        <v>108</v>
      </c>
      <c r="Z2510" t="s">
        <v>104</v>
      </c>
      <c r="AA2510" t="s">
        <v>935</v>
      </c>
      <c r="AB2510" t="s">
        <v>106</v>
      </c>
    </row>
    <row r="2511" spans="1:28" x14ac:dyDescent="0.3">
      <c r="A2511" t="s">
        <v>1580</v>
      </c>
      <c r="B2511">
        <v>4</v>
      </c>
      <c r="C2511">
        <v>60</v>
      </c>
      <c r="D2511">
        <v>212</v>
      </c>
      <c r="E2511" t="s">
        <v>456</v>
      </c>
      <c r="F2511" s="12">
        <v>45714</v>
      </c>
      <c r="G2511" t="s">
        <v>2577</v>
      </c>
      <c r="H2511" s="12">
        <v>45714</v>
      </c>
      <c r="I2511" t="s">
        <v>2225</v>
      </c>
      <c r="J2511" t="s">
        <v>1584</v>
      </c>
      <c r="K2511">
        <v>2</v>
      </c>
      <c r="L2511">
        <v>59</v>
      </c>
      <c r="M2511">
        <v>59.1</v>
      </c>
      <c r="P2511" t="s">
        <v>106</v>
      </c>
      <c r="Q2511" t="s">
        <v>106</v>
      </c>
      <c r="R2511" t="s">
        <v>106</v>
      </c>
      <c r="S2511" t="s">
        <v>2192</v>
      </c>
      <c r="T2511" t="s">
        <v>1084</v>
      </c>
      <c r="U2511" t="s">
        <v>1590</v>
      </c>
      <c r="V2511" t="s">
        <v>106</v>
      </c>
      <c r="W2511" t="s">
        <v>476</v>
      </c>
      <c r="X2511" t="s">
        <v>106</v>
      </c>
      <c r="Y2511" t="s">
        <v>108</v>
      </c>
      <c r="Z2511" t="s">
        <v>104</v>
      </c>
      <c r="AA2511" t="s">
        <v>935</v>
      </c>
      <c r="AB2511" t="s">
        <v>106</v>
      </c>
    </row>
    <row r="2512" spans="1:28" x14ac:dyDescent="0.3">
      <c r="A2512" t="s">
        <v>1580</v>
      </c>
      <c r="B2512">
        <v>4</v>
      </c>
      <c r="C2512">
        <v>60</v>
      </c>
      <c r="D2512">
        <v>211</v>
      </c>
      <c r="E2512" t="s">
        <v>456</v>
      </c>
      <c r="F2512" s="12">
        <v>45714</v>
      </c>
      <c r="G2512" t="s">
        <v>2743</v>
      </c>
      <c r="H2512" s="12">
        <v>45714</v>
      </c>
      <c r="I2512" t="s">
        <v>2225</v>
      </c>
      <c r="J2512" t="s">
        <v>1584</v>
      </c>
      <c r="K2512">
        <v>2</v>
      </c>
      <c r="L2512">
        <v>57.2</v>
      </c>
      <c r="M2512">
        <v>57</v>
      </c>
      <c r="P2512" t="s">
        <v>106</v>
      </c>
      <c r="Q2512" t="s">
        <v>106</v>
      </c>
      <c r="R2512" t="s">
        <v>106</v>
      </c>
      <c r="S2512" t="s">
        <v>2573</v>
      </c>
      <c r="T2512" t="s">
        <v>1280</v>
      </c>
      <c r="U2512" t="s">
        <v>1353</v>
      </c>
      <c r="V2512" t="s">
        <v>106</v>
      </c>
      <c r="W2512" t="s">
        <v>476</v>
      </c>
      <c r="X2512" t="s">
        <v>106</v>
      </c>
      <c r="Y2512" t="s">
        <v>108</v>
      </c>
      <c r="Z2512" t="s">
        <v>104</v>
      </c>
      <c r="AA2512" t="s">
        <v>935</v>
      </c>
      <c r="AB2512" t="s">
        <v>106</v>
      </c>
    </row>
    <row r="2513" spans="1:28" x14ac:dyDescent="0.3">
      <c r="A2513" t="s">
        <v>1580</v>
      </c>
      <c r="B2513">
        <v>4</v>
      </c>
      <c r="C2513">
        <v>60</v>
      </c>
      <c r="D2513">
        <v>210</v>
      </c>
      <c r="E2513" t="s">
        <v>456</v>
      </c>
      <c r="F2513" s="12">
        <v>45714</v>
      </c>
      <c r="G2513" t="s">
        <v>2753</v>
      </c>
      <c r="H2513" s="12">
        <v>45714</v>
      </c>
      <c r="I2513" t="s">
        <v>2225</v>
      </c>
      <c r="J2513" t="s">
        <v>1584</v>
      </c>
      <c r="K2513">
        <v>2</v>
      </c>
      <c r="L2513">
        <v>53.6</v>
      </c>
      <c r="M2513">
        <v>53.8</v>
      </c>
      <c r="P2513" t="s">
        <v>106</v>
      </c>
      <c r="Q2513" t="s">
        <v>106</v>
      </c>
      <c r="R2513" t="s">
        <v>106</v>
      </c>
      <c r="S2513" t="s">
        <v>2559</v>
      </c>
      <c r="T2513" t="s">
        <v>1101</v>
      </c>
      <c r="U2513" t="s">
        <v>1415</v>
      </c>
      <c r="V2513" t="s">
        <v>106</v>
      </c>
      <c r="W2513" t="s">
        <v>476</v>
      </c>
      <c r="X2513" t="s">
        <v>106</v>
      </c>
      <c r="Y2513" t="s">
        <v>108</v>
      </c>
      <c r="Z2513" t="s">
        <v>104</v>
      </c>
      <c r="AA2513" t="s">
        <v>935</v>
      </c>
      <c r="AB2513" t="s">
        <v>106</v>
      </c>
    </row>
    <row r="2514" spans="1:28" x14ac:dyDescent="0.3">
      <c r="A2514" t="s">
        <v>1580</v>
      </c>
      <c r="B2514">
        <v>4</v>
      </c>
      <c r="C2514">
        <v>60</v>
      </c>
      <c r="D2514">
        <v>203</v>
      </c>
      <c r="E2514" t="s">
        <v>456</v>
      </c>
      <c r="F2514" s="12">
        <v>45714</v>
      </c>
      <c r="G2514" t="s">
        <v>2749</v>
      </c>
      <c r="H2514" s="12">
        <v>45714</v>
      </c>
      <c r="I2514" t="s">
        <v>475</v>
      </c>
      <c r="J2514" t="s">
        <v>1584</v>
      </c>
      <c r="K2514">
        <v>2</v>
      </c>
      <c r="L2514">
        <v>57.6</v>
      </c>
      <c r="M2514">
        <v>57.9</v>
      </c>
      <c r="P2514" t="s">
        <v>106</v>
      </c>
      <c r="Q2514" t="s">
        <v>106</v>
      </c>
      <c r="R2514" t="s">
        <v>106</v>
      </c>
      <c r="S2514" t="s">
        <v>2194</v>
      </c>
      <c r="T2514" t="s">
        <v>1057</v>
      </c>
      <c r="U2514" t="s">
        <v>1353</v>
      </c>
      <c r="V2514" t="s">
        <v>106</v>
      </c>
      <c r="W2514" t="s">
        <v>476</v>
      </c>
      <c r="X2514" t="s">
        <v>106</v>
      </c>
      <c r="Y2514" t="s">
        <v>108</v>
      </c>
      <c r="Z2514" t="s">
        <v>104</v>
      </c>
      <c r="AA2514" t="s">
        <v>935</v>
      </c>
      <c r="AB2514" t="s">
        <v>106</v>
      </c>
    </row>
    <row r="2515" spans="1:28" x14ac:dyDescent="0.3">
      <c r="A2515" t="s">
        <v>1580</v>
      </c>
      <c r="B2515">
        <v>4</v>
      </c>
      <c r="C2515">
        <v>60</v>
      </c>
      <c r="D2515">
        <v>192</v>
      </c>
      <c r="E2515" t="s">
        <v>456</v>
      </c>
      <c r="F2515" s="12">
        <v>45714</v>
      </c>
      <c r="G2515" t="s">
        <v>794</v>
      </c>
      <c r="H2515" s="12">
        <v>45714</v>
      </c>
      <c r="I2515" t="s">
        <v>1937</v>
      </c>
      <c r="J2515" t="s">
        <v>458</v>
      </c>
      <c r="K2515">
        <v>2</v>
      </c>
      <c r="L2515">
        <v>57</v>
      </c>
      <c r="P2515" t="s">
        <v>106</v>
      </c>
      <c r="Q2515" t="s">
        <v>106</v>
      </c>
      <c r="R2515" t="s">
        <v>106</v>
      </c>
      <c r="S2515" t="s">
        <v>2210</v>
      </c>
      <c r="T2515" t="s">
        <v>1041</v>
      </c>
      <c r="U2515" t="s">
        <v>1410</v>
      </c>
      <c r="V2515" t="s">
        <v>106</v>
      </c>
      <c r="W2515" t="s">
        <v>557</v>
      </c>
      <c r="X2515" t="s">
        <v>106</v>
      </c>
      <c r="Y2515" t="s">
        <v>108</v>
      </c>
      <c r="Z2515" t="s">
        <v>104</v>
      </c>
      <c r="AA2515" t="s">
        <v>935</v>
      </c>
      <c r="AB2515" t="s">
        <v>106</v>
      </c>
    </row>
    <row r="2516" spans="1:28" x14ac:dyDescent="0.3">
      <c r="A2516" t="s">
        <v>1580</v>
      </c>
      <c r="B2516">
        <v>4</v>
      </c>
      <c r="C2516">
        <v>60</v>
      </c>
      <c r="D2516">
        <v>197</v>
      </c>
      <c r="E2516" t="s">
        <v>456</v>
      </c>
      <c r="F2516" s="12">
        <v>45714</v>
      </c>
      <c r="G2516" t="s">
        <v>759</v>
      </c>
      <c r="H2516" s="12">
        <v>45714</v>
      </c>
      <c r="I2516" t="s">
        <v>134</v>
      </c>
      <c r="J2516" t="s">
        <v>458</v>
      </c>
      <c r="K2516">
        <v>2</v>
      </c>
      <c r="L2516">
        <v>55.1</v>
      </c>
      <c r="M2516">
        <v>55.9</v>
      </c>
      <c r="P2516" t="s">
        <v>106</v>
      </c>
      <c r="Q2516" t="s">
        <v>106</v>
      </c>
      <c r="R2516" t="s">
        <v>106</v>
      </c>
      <c r="S2516" t="s">
        <v>2206</v>
      </c>
      <c r="T2516" t="s">
        <v>2754</v>
      </c>
      <c r="U2516" t="s">
        <v>1626</v>
      </c>
      <c r="V2516" t="s">
        <v>106</v>
      </c>
      <c r="W2516" t="s">
        <v>557</v>
      </c>
      <c r="X2516" t="s">
        <v>106</v>
      </c>
      <c r="Y2516" t="s">
        <v>108</v>
      </c>
      <c r="Z2516" t="s">
        <v>104</v>
      </c>
      <c r="AA2516" t="s">
        <v>935</v>
      </c>
      <c r="AB2516" t="s">
        <v>106</v>
      </c>
    </row>
    <row r="2517" spans="1:28" x14ac:dyDescent="0.3">
      <c r="A2517" t="s">
        <v>1580</v>
      </c>
      <c r="B2517">
        <v>4</v>
      </c>
      <c r="C2517">
        <v>60</v>
      </c>
      <c r="D2517">
        <v>163</v>
      </c>
      <c r="E2517" t="s">
        <v>456</v>
      </c>
      <c r="F2517" s="12">
        <v>45714</v>
      </c>
      <c r="G2517" t="s">
        <v>1914</v>
      </c>
      <c r="H2517" s="12">
        <v>45714</v>
      </c>
      <c r="I2517" t="s">
        <v>1610</v>
      </c>
      <c r="J2517" t="s">
        <v>477</v>
      </c>
      <c r="K2517">
        <v>2</v>
      </c>
      <c r="L2517">
        <v>56.6</v>
      </c>
      <c r="M2517">
        <v>56.7</v>
      </c>
      <c r="P2517" t="s">
        <v>106</v>
      </c>
      <c r="Q2517" t="s">
        <v>106</v>
      </c>
      <c r="R2517" t="s">
        <v>106</v>
      </c>
      <c r="S2517" t="s">
        <v>106</v>
      </c>
      <c r="T2517" t="s">
        <v>1561</v>
      </c>
      <c r="U2517" t="s">
        <v>1776</v>
      </c>
      <c r="V2517" t="s">
        <v>106</v>
      </c>
      <c r="W2517" t="s">
        <v>954</v>
      </c>
      <c r="X2517" t="s">
        <v>106</v>
      </c>
      <c r="Y2517" t="s">
        <v>108</v>
      </c>
      <c r="Z2517" t="s">
        <v>104</v>
      </c>
      <c r="AA2517" t="s">
        <v>1597</v>
      </c>
      <c r="AB2517" t="s">
        <v>106</v>
      </c>
    </row>
    <row r="2518" spans="1:28" x14ac:dyDescent="0.3">
      <c r="A2518" t="s">
        <v>1580</v>
      </c>
      <c r="B2518">
        <v>4</v>
      </c>
      <c r="C2518">
        <v>60</v>
      </c>
      <c r="D2518">
        <v>164</v>
      </c>
      <c r="E2518" t="s">
        <v>456</v>
      </c>
      <c r="F2518" s="12">
        <v>45714</v>
      </c>
      <c r="G2518" t="s">
        <v>1770</v>
      </c>
      <c r="H2518" s="12">
        <v>45714</v>
      </c>
      <c r="I2518" t="s">
        <v>1610</v>
      </c>
      <c r="J2518" t="s">
        <v>477</v>
      </c>
      <c r="K2518">
        <v>2</v>
      </c>
      <c r="L2518">
        <v>58.4</v>
      </c>
      <c r="M2518">
        <v>59.1</v>
      </c>
      <c r="P2518" t="s">
        <v>106</v>
      </c>
      <c r="Q2518" t="s">
        <v>106</v>
      </c>
      <c r="R2518" t="s">
        <v>106</v>
      </c>
      <c r="S2518" t="s">
        <v>106</v>
      </c>
      <c r="T2518" t="s">
        <v>1517</v>
      </c>
      <c r="U2518" t="s">
        <v>1353</v>
      </c>
      <c r="V2518" t="s">
        <v>106</v>
      </c>
      <c r="W2518" t="s">
        <v>954</v>
      </c>
      <c r="X2518" t="s">
        <v>106</v>
      </c>
      <c r="Y2518" t="s">
        <v>108</v>
      </c>
      <c r="Z2518" t="s">
        <v>104</v>
      </c>
      <c r="AA2518" t="s">
        <v>1597</v>
      </c>
      <c r="AB2518" t="s">
        <v>106</v>
      </c>
    </row>
    <row r="2519" spans="1:28" x14ac:dyDescent="0.3">
      <c r="A2519" t="s">
        <v>1580</v>
      </c>
      <c r="B2519">
        <v>4</v>
      </c>
      <c r="C2519">
        <v>60</v>
      </c>
      <c r="D2519">
        <v>171</v>
      </c>
      <c r="E2519" t="s">
        <v>456</v>
      </c>
      <c r="F2519" s="12">
        <v>45714</v>
      </c>
      <c r="G2519" t="s">
        <v>323</v>
      </c>
      <c r="H2519" s="12">
        <v>45714</v>
      </c>
      <c r="I2519" t="s">
        <v>1043</v>
      </c>
      <c r="J2519" t="s">
        <v>458</v>
      </c>
      <c r="K2519">
        <v>2</v>
      </c>
      <c r="L2519">
        <v>55.7</v>
      </c>
      <c r="M2519">
        <v>56.5</v>
      </c>
      <c r="P2519" t="s">
        <v>106</v>
      </c>
      <c r="Q2519" t="s">
        <v>106</v>
      </c>
      <c r="R2519" t="s">
        <v>106</v>
      </c>
      <c r="S2519" t="s">
        <v>1025</v>
      </c>
      <c r="T2519" t="s">
        <v>2302</v>
      </c>
      <c r="U2519" t="s">
        <v>391</v>
      </c>
      <c r="V2519" t="s">
        <v>106</v>
      </c>
      <c r="W2519" t="s">
        <v>557</v>
      </c>
      <c r="X2519" t="s">
        <v>106</v>
      </c>
      <c r="Y2519" t="s">
        <v>108</v>
      </c>
      <c r="Z2519" t="s">
        <v>104</v>
      </c>
      <c r="AA2519" t="s">
        <v>1597</v>
      </c>
      <c r="AB2519" t="s">
        <v>106</v>
      </c>
    </row>
    <row r="2520" spans="1:28" x14ac:dyDescent="0.3">
      <c r="A2520" t="s">
        <v>1580</v>
      </c>
      <c r="B2520">
        <v>4</v>
      </c>
      <c r="C2520">
        <v>60</v>
      </c>
      <c r="D2520">
        <v>172</v>
      </c>
      <c r="E2520" t="s">
        <v>456</v>
      </c>
      <c r="F2520" s="12">
        <v>45714</v>
      </c>
      <c r="G2520" t="s">
        <v>324</v>
      </c>
      <c r="H2520" s="12">
        <v>45714</v>
      </c>
      <c r="I2520" t="s">
        <v>1043</v>
      </c>
      <c r="J2520" t="s">
        <v>458</v>
      </c>
      <c r="K2520">
        <v>2</v>
      </c>
      <c r="L2520">
        <v>57.1</v>
      </c>
      <c r="M2520">
        <v>57.6</v>
      </c>
      <c r="P2520" t="s">
        <v>106</v>
      </c>
      <c r="Q2520" t="s">
        <v>106</v>
      </c>
      <c r="R2520" t="s">
        <v>106</v>
      </c>
      <c r="S2520" t="s">
        <v>2596</v>
      </c>
      <c r="T2520" t="s">
        <v>2302</v>
      </c>
      <c r="U2520" t="s">
        <v>1604</v>
      </c>
      <c r="V2520" t="s">
        <v>106</v>
      </c>
      <c r="W2520" t="s">
        <v>557</v>
      </c>
      <c r="X2520" t="s">
        <v>106</v>
      </c>
      <c r="Y2520" t="s">
        <v>108</v>
      </c>
      <c r="Z2520" t="s">
        <v>104</v>
      </c>
      <c r="AA2520" t="s">
        <v>1597</v>
      </c>
      <c r="AB2520" t="s">
        <v>106</v>
      </c>
    </row>
    <row r="2521" spans="1:28" x14ac:dyDescent="0.3">
      <c r="A2521" t="s">
        <v>1580</v>
      </c>
      <c r="B2521">
        <v>4</v>
      </c>
      <c r="C2521">
        <v>60</v>
      </c>
      <c r="D2521">
        <v>198</v>
      </c>
      <c r="E2521" t="s">
        <v>456</v>
      </c>
      <c r="F2521" s="12">
        <v>45714</v>
      </c>
      <c r="G2521" t="s">
        <v>132</v>
      </c>
      <c r="H2521" s="12">
        <v>45714</v>
      </c>
      <c r="I2521" t="s">
        <v>134</v>
      </c>
      <c r="J2521" t="s">
        <v>458</v>
      </c>
      <c r="K2521">
        <v>2</v>
      </c>
      <c r="L2521">
        <v>57.5</v>
      </c>
      <c r="M2521">
        <v>57.1</v>
      </c>
      <c r="P2521" t="s">
        <v>106</v>
      </c>
      <c r="Q2521" t="s">
        <v>106</v>
      </c>
      <c r="R2521" t="s">
        <v>106</v>
      </c>
      <c r="S2521" t="s">
        <v>2264</v>
      </c>
      <c r="T2521" t="s">
        <v>2705</v>
      </c>
      <c r="U2521" t="s">
        <v>1482</v>
      </c>
      <c r="V2521" t="s">
        <v>106</v>
      </c>
      <c r="W2521" t="s">
        <v>557</v>
      </c>
      <c r="X2521" t="s">
        <v>106</v>
      </c>
      <c r="Y2521" t="s">
        <v>108</v>
      </c>
      <c r="Z2521" t="s">
        <v>104</v>
      </c>
      <c r="AA2521" t="s">
        <v>935</v>
      </c>
      <c r="AB2521" t="s">
        <v>106</v>
      </c>
    </row>
    <row r="2522" spans="1:28" x14ac:dyDescent="0.3">
      <c r="A2522" t="s">
        <v>1580</v>
      </c>
      <c r="B2522">
        <v>4</v>
      </c>
      <c r="C2522">
        <v>60</v>
      </c>
      <c r="D2522">
        <v>180</v>
      </c>
      <c r="E2522" t="s">
        <v>456</v>
      </c>
      <c r="F2522" s="12">
        <v>45714</v>
      </c>
      <c r="G2522" t="s">
        <v>647</v>
      </c>
      <c r="H2522" s="12">
        <v>45714</v>
      </c>
      <c r="I2522" t="s">
        <v>1607</v>
      </c>
      <c r="J2522" t="s">
        <v>458</v>
      </c>
      <c r="K2522">
        <v>2</v>
      </c>
      <c r="L2522">
        <v>56.5</v>
      </c>
      <c r="P2522" t="s">
        <v>106</v>
      </c>
      <c r="Q2522" t="s">
        <v>106</v>
      </c>
      <c r="R2522" t="s">
        <v>106</v>
      </c>
      <c r="S2522" t="s">
        <v>2559</v>
      </c>
      <c r="T2522" t="s">
        <v>1217</v>
      </c>
      <c r="U2522" t="s">
        <v>1539</v>
      </c>
      <c r="V2522" t="s">
        <v>106</v>
      </c>
      <c r="W2522" t="s">
        <v>557</v>
      </c>
      <c r="X2522" t="s">
        <v>106</v>
      </c>
      <c r="Y2522" t="s">
        <v>108</v>
      </c>
      <c r="Z2522" t="s">
        <v>104</v>
      </c>
      <c r="AA2522" t="s">
        <v>1597</v>
      </c>
      <c r="AB2522" t="s">
        <v>106</v>
      </c>
    </row>
    <row r="2523" spans="1:28" x14ac:dyDescent="0.3">
      <c r="A2523" t="s">
        <v>1580</v>
      </c>
      <c r="B2523">
        <v>4</v>
      </c>
      <c r="C2523">
        <v>60</v>
      </c>
      <c r="D2523">
        <v>185</v>
      </c>
      <c r="E2523" t="s">
        <v>456</v>
      </c>
      <c r="F2523" s="12">
        <v>45714</v>
      </c>
      <c r="G2523" t="s">
        <v>1421</v>
      </c>
      <c r="H2523" s="12">
        <v>45714</v>
      </c>
      <c r="I2523" t="s">
        <v>398</v>
      </c>
      <c r="J2523" t="s">
        <v>458</v>
      </c>
      <c r="K2523">
        <v>2</v>
      </c>
      <c r="L2523">
        <v>55.9</v>
      </c>
      <c r="P2523" t="s">
        <v>106</v>
      </c>
      <c r="Q2523" t="s">
        <v>106</v>
      </c>
      <c r="R2523" t="s">
        <v>106</v>
      </c>
      <c r="S2523" t="s">
        <v>1595</v>
      </c>
      <c r="T2523" t="s">
        <v>1041</v>
      </c>
      <c r="U2523" t="s">
        <v>430</v>
      </c>
      <c r="V2523" t="s">
        <v>106</v>
      </c>
      <c r="W2523" t="s">
        <v>557</v>
      </c>
      <c r="X2523" t="s">
        <v>106</v>
      </c>
      <c r="Y2523" t="s">
        <v>108</v>
      </c>
      <c r="Z2523" t="s">
        <v>104</v>
      </c>
      <c r="AA2523" t="s">
        <v>935</v>
      </c>
      <c r="AB2523" t="s">
        <v>106</v>
      </c>
    </row>
    <row r="2524" spans="1:28" x14ac:dyDescent="0.3">
      <c r="A2524" t="s">
        <v>1580</v>
      </c>
      <c r="B2524">
        <v>4</v>
      </c>
      <c r="C2524">
        <v>60</v>
      </c>
      <c r="D2524">
        <v>186</v>
      </c>
      <c r="E2524" t="s">
        <v>456</v>
      </c>
      <c r="F2524" s="12">
        <v>45714</v>
      </c>
      <c r="G2524" t="s">
        <v>1421</v>
      </c>
      <c r="H2524" s="12">
        <v>45714</v>
      </c>
      <c r="I2524" t="s">
        <v>398</v>
      </c>
      <c r="J2524" t="s">
        <v>458</v>
      </c>
      <c r="K2524">
        <v>2</v>
      </c>
      <c r="L2524">
        <v>55.7</v>
      </c>
      <c r="P2524" t="s">
        <v>106</v>
      </c>
      <c r="Q2524" t="s">
        <v>106</v>
      </c>
      <c r="R2524" t="s">
        <v>106</v>
      </c>
      <c r="S2524" t="s">
        <v>1660</v>
      </c>
      <c r="T2524" t="s">
        <v>1403</v>
      </c>
      <c r="U2524" t="s">
        <v>1482</v>
      </c>
      <c r="V2524" t="s">
        <v>106</v>
      </c>
      <c r="W2524" t="s">
        <v>557</v>
      </c>
      <c r="X2524" t="s">
        <v>106</v>
      </c>
      <c r="Y2524" t="s">
        <v>108</v>
      </c>
      <c r="Z2524" t="s">
        <v>104</v>
      </c>
      <c r="AA2524" t="s">
        <v>935</v>
      </c>
      <c r="AB2524" t="s">
        <v>106</v>
      </c>
    </row>
    <row r="2525" spans="1:28" x14ac:dyDescent="0.3">
      <c r="A2525" t="s">
        <v>1580</v>
      </c>
      <c r="B2525">
        <v>4</v>
      </c>
      <c r="C2525">
        <v>60</v>
      </c>
      <c r="D2525">
        <v>179</v>
      </c>
      <c r="E2525" t="s">
        <v>456</v>
      </c>
      <c r="F2525" s="12">
        <v>45714</v>
      </c>
      <c r="G2525" t="s">
        <v>419</v>
      </c>
      <c r="H2525" s="12">
        <v>45714</v>
      </c>
      <c r="I2525" t="s">
        <v>1607</v>
      </c>
      <c r="J2525" t="s">
        <v>458</v>
      </c>
      <c r="K2525">
        <v>2</v>
      </c>
      <c r="L2525">
        <v>56.7</v>
      </c>
      <c r="P2525" t="s">
        <v>106</v>
      </c>
      <c r="Q2525" t="s">
        <v>106</v>
      </c>
      <c r="R2525" t="s">
        <v>106</v>
      </c>
      <c r="S2525" t="s">
        <v>2267</v>
      </c>
      <c r="T2525" t="s">
        <v>1217</v>
      </c>
      <c r="U2525" t="s">
        <v>905</v>
      </c>
      <c r="V2525" t="s">
        <v>106</v>
      </c>
      <c r="W2525" t="s">
        <v>557</v>
      </c>
      <c r="X2525" t="s">
        <v>106</v>
      </c>
      <c r="Y2525" t="s">
        <v>108</v>
      </c>
      <c r="Z2525" t="s">
        <v>104</v>
      </c>
      <c r="AA2525" t="s">
        <v>1597</v>
      </c>
      <c r="AB2525" t="s">
        <v>106</v>
      </c>
    </row>
    <row r="2526" spans="1:28" x14ac:dyDescent="0.3">
      <c r="A2526" t="s">
        <v>1580</v>
      </c>
      <c r="B2526">
        <v>4</v>
      </c>
      <c r="C2526">
        <v>60</v>
      </c>
      <c r="D2526">
        <v>191</v>
      </c>
      <c r="E2526" t="s">
        <v>456</v>
      </c>
      <c r="F2526" s="12">
        <v>45714</v>
      </c>
      <c r="G2526" t="s">
        <v>2537</v>
      </c>
      <c r="H2526" s="12">
        <v>45714</v>
      </c>
      <c r="I2526" t="s">
        <v>1937</v>
      </c>
      <c r="J2526" t="s">
        <v>458</v>
      </c>
      <c r="K2526">
        <v>2</v>
      </c>
      <c r="L2526">
        <v>55.5</v>
      </c>
      <c r="P2526" t="s">
        <v>106</v>
      </c>
      <c r="Q2526" t="s">
        <v>106</v>
      </c>
      <c r="R2526" t="s">
        <v>106</v>
      </c>
      <c r="S2526" t="s">
        <v>1325</v>
      </c>
      <c r="T2526" t="s">
        <v>1000</v>
      </c>
      <c r="U2526" t="s">
        <v>1651</v>
      </c>
      <c r="V2526" t="s">
        <v>106</v>
      </c>
      <c r="W2526" t="s">
        <v>557</v>
      </c>
      <c r="X2526" t="s">
        <v>106</v>
      </c>
      <c r="Y2526" t="s">
        <v>108</v>
      </c>
      <c r="Z2526" t="s">
        <v>104</v>
      </c>
      <c r="AA2526" t="s">
        <v>935</v>
      </c>
      <c r="AB2526" t="s">
        <v>106</v>
      </c>
    </row>
    <row r="2527" spans="1:28" x14ac:dyDescent="0.3">
      <c r="A2527" t="s">
        <v>1580</v>
      </c>
      <c r="B2527">
        <v>1</v>
      </c>
      <c r="C2527">
        <v>0</v>
      </c>
      <c r="D2527">
        <v>234</v>
      </c>
      <c r="E2527" t="s">
        <v>456</v>
      </c>
      <c r="F2527" s="12">
        <v>45715</v>
      </c>
      <c r="G2527" t="s">
        <v>1623</v>
      </c>
      <c r="H2527" s="12">
        <v>45715</v>
      </c>
      <c r="I2527" t="s">
        <v>1457</v>
      </c>
      <c r="J2527" t="s">
        <v>477</v>
      </c>
      <c r="K2527">
        <v>2</v>
      </c>
      <c r="L2527">
        <v>0</v>
      </c>
      <c r="M2527">
        <v>0</v>
      </c>
      <c r="P2527" t="s">
        <v>106</v>
      </c>
      <c r="Q2527" t="s">
        <v>106</v>
      </c>
      <c r="R2527" t="s">
        <v>106</v>
      </c>
      <c r="S2527" t="s">
        <v>1624</v>
      </c>
      <c r="T2527" t="s">
        <v>1625</v>
      </c>
      <c r="U2527" t="s">
        <v>1626</v>
      </c>
      <c r="V2527" t="s">
        <v>106</v>
      </c>
      <c r="W2527" t="s">
        <v>954</v>
      </c>
      <c r="X2527" t="s">
        <v>106</v>
      </c>
      <c r="Y2527" t="s">
        <v>108</v>
      </c>
      <c r="Z2527" t="s">
        <v>105</v>
      </c>
      <c r="AA2527" t="s">
        <v>106</v>
      </c>
      <c r="AB2527" t="s">
        <v>106</v>
      </c>
    </row>
    <row r="2528" spans="1:28" x14ac:dyDescent="0.3">
      <c r="A2528" t="s">
        <v>1580</v>
      </c>
      <c r="B2528">
        <v>1</v>
      </c>
      <c r="C2528">
        <v>0</v>
      </c>
      <c r="D2528">
        <v>269</v>
      </c>
      <c r="E2528" t="s">
        <v>456</v>
      </c>
      <c r="F2528" s="12">
        <v>45715</v>
      </c>
      <c r="G2528" t="s">
        <v>1627</v>
      </c>
      <c r="H2528" s="12">
        <v>45715</v>
      </c>
      <c r="I2528" t="s">
        <v>1337</v>
      </c>
      <c r="J2528" t="s">
        <v>1522</v>
      </c>
      <c r="K2528">
        <v>2</v>
      </c>
      <c r="L2528">
        <v>0</v>
      </c>
      <c r="M2528">
        <v>0</v>
      </c>
      <c r="P2528" t="s">
        <v>106</v>
      </c>
      <c r="Q2528" t="s">
        <v>106</v>
      </c>
      <c r="R2528" t="s">
        <v>106</v>
      </c>
      <c r="S2528" t="s">
        <v>1628</v>
      </c>
      <c r="T2528" t="s">
        <v>837</v>
      </c>
      <c r="U2528" t="s">
        <v>1347</v>
      </c>
      <c r="V2528" t="s">
        <v>106</v>
      </c>
      <c r="W2528" t="s">
        <v>476</v>
      </c>
      <c r="X2528" t="s">
        <v>106</v>
      </c>
      <c r="Y2528" t="s">
        <v>108</v>
      </c>
      <c r="Z2528" t="s">
        <v>104</v>
      </c>
      <c r="AA2528" t="s">
        <v>935</v>
      </c>
      <c r="AB2528" t="s">
        <v>106</v>
      </c>
    </row>
    <row r="2529" spans="1:28" x14ac:dyDescent="0.3">
      <c r="A2529" t="s">
        <v>1580</v>
      </c>
      <c r="B2529">
        <v>1</v>
      </c>
      <c r="C2529">
        <v>0</v>
      </c>
      <c r="D2529">
        <v>233</v>
      </c>
      <c r="E2529" t="s">
        <v>456</v>
      </c>
      <c r="F2529" s="12">
        <v>45715</v>
      </c>
      <c r="G2529" t="s">
        <v>1629</v>
      </c>
      <c r="H2529" s="12">
        <v>45715</v>
      </c>
      <c r="I2529" t="s">
        <v>1457</v>
      </c>
      <c r="J2529" t="s">
        <v>477</v>
      </c>
      <c r="K2529">
        <v>2</v>
      </c>
      <c r="L2529">
        <v>0</v>
      </c>
      <c r="M2529">
        <v>0</v>
      </c>
      <c r="P2529" t="s">
        <v>106</v>
      </c>
      <c r="Q2529" t="s">
        <v>106</v>
      </c>
      <c r="R2529" t="s">
        <v>106</v>
      </c>
      <c r="S2529" t="s">
        <v>1630</v>
      </c>
      <c r="T2529" t="s">
        <v>824</v>
      </c>
      <c r="U2529" t="s">
        <v>1631</v>
      </c>
      <c r="V2529" t="s">
        <v>106</v>
      </c>
      <c r="W2529" t="s">
        <v>954</v>
      </c>
      <c r="X2529" t="s">
        <v>106</v>
      </c>
      <c r="Y2529" t="s">
        <v>108</v>
      </c>
      <c r="Z2529" t="s">
        <v>105</v>
      </c>
      <c r="AA2529" t="s">
        <v>106</v>
      </c>
      <c r="AB2529" t="s">
        <v>106</v>
      </c>
    </row>
    <row r="2530" spans="1:28" x14ac:dyDescent="0.3">
      <c r="A2530" t="s">
        <v>1580</v>
      </c>
      <c r="B2530">
        <v>1</v>
      </c>
      <c r="C2530">
        <v>0</v>
      </c>
      <c r="D2530">
        <v>276</v>
      </c>
      <c r="E2530" t="s">
        <v>456</v>
      </c>
      <c r="F2530" s="12">
        <v>45715</v>
      </c>
      <c r="G2530" t="s">
        <v>1632</v>
      </c>
      <c r="H2530" s="12">
        <v>45715</v>
      </c>
      <c r="I2530" t="s">
        <v>1633</v>
      </c>
      <c r="J2530" t="s">
        <v>1522</v>
      </c>
      <c r="K2530">
        <v>2</v>
      </c>
      <c r="L2530">
        <v>0</v>
      </c>
      <c r="M2530">
        <v>0</v>
      </c>
      <c r="P2530" t="s">
        <v>106</v>
      </c>
      <c r="Q2530" t="s">
        <v>106</v>
      </c>
      <c r="R2530" t="s">
        <v>106</v>
      </c>
      <c r="S2530" t="s">
        <v>1630</v>
      </c>
      <c r="T2530" t="s">
        <v>1069</v>
      </c>
      <c r="U2530" t="s">
        <v>1600</v>
      </c>
      <c r="V2530" t="s">
        <v>106</v>
      </c>
      <c r="W2530" t="s">
        <v>476</v>
      </c>
      <c r="X2530" t="s">
        <v>106</v>
      </c>
      <c r="Y2530" t="s">
        <v>108</v>
      </c>
      <c r="Z2530" t="s">
        <v>104</v>
      </c>
      <c r="AA2530" t="s">
        <v>935</v>
      </c>
      <c r="AB2530" t="s">
        <v>106</v>
      </c>
    </row>
    <row r="2531" spans="1:28" x14ac:dyDescent="0.3">
      <c r="A2531" t="s">
        <v>1580</v>
      </c>
      <c r="B2531">
        <v>1</v>
      </c>
      <c r="C2531">
        <v>0</v>
      </c>
      <c r="D2531">
        <v>277</v>
      </c>
      <c r="E2531" t="s">
        <v>456</v>
      </c>
      <c r="F2531" s="12">
        <v>45715</v>
      </c>
      <c r="G2531" t="s">
        <v>1632</v>
      </c>
      <c r="H2531" s="12">
        <v>45715</v>
      </c>
      <c r="I2531" t="s">
        <v>1633</v>
      </c>
      <c r="J2531" t="s">
        <v>1522</v>
      </c>
      <c r="K2531">
        <v>2</v>
      </c>
      <c r="L2531">
        <v>0</v>
      </c>
      <c r="M2531">
        <v>0</v>
      </c>
      <c r="P2531" t="s">
        <v>106</v>
      </c>
      <c r="Q2531" t="s">
        <v>106</v>
      </c>
      <c r="R2531" t="s">
        <v>106</v>
      </c>
      <c r="S2531" t="s">
        <v>1488</v>
      </c>
      <c r="T2531" t="s">
        <v>1634</v>
      </c>
      <c r="U2531" t="s">
        <v>1483</v>
      </c>
      <c r="V2531" t="s">
        <v>106</v>
      </c>
      <c r="W2531" t="s">
        <v>476</v>
      </c>
      <c r="X2531" t="s">
        <v>106</v>
      </c>
      <c r="Y2531" t="s">
        <v>108</v>
      </c>
      <c r="Z2531" t="s">
        <v>104</v>
      </c>
      <c r="AA2531" t="s">
        <v>935</v>
      </c>
      <c r="AB2531" t="s">
        <v>106</v>
      </c>
    </row>
    <row r="2532" spans="1:28" x14ac:dyDescent="0.3">
      <c r="A2532" t="s">
        <v>1580</v>
      </c>
      <c r="B2532">
        <v>2</v>
      </c>
      <c r="C2532">
        <v>15</v>
      </c>
      <c r="D2532">
        <v>273</v>
      </c>
      <c r="E2532" t="s">
        <v>456</v>
      </c>
      <c r="F2532" s="12">
        <v>45715</v>
      </c>
      <c r="G2532" t="s">
        <v>2238</v>
      </c>
      <c r="H2532" s="12">
        <v>45715</v>
      </c>
      <c r="I2532" t="s">
        <v>1633</v>
      </c>
      <c r="J2532" t="s">
        <v>1522</v>
      </c>
      <c r="K2532">
        <v>2</v>
      </c>
      <c r="L2532">
        <v>16</v>
      </c>
      <c r="M2532">
        <v>16.2</v>
      </c>
      <c r="P2532" t="s">
        <v>106</v>
      </c>
      <c r="Q2532" t="s">
        <v>106</v>
      </c>
      <c r="R2532" t="s">
        <v>106</v>
      </c>
      <c r="S2532" t="s">
        <v>2239</v>
      </c>
      <c r="T2532" t="s">
        <v>750</v>
      </c>
      <c r="U2532" t="s">
        <v>1351</v>
      </c>
      <c r="V2532" t="s">
        <v>106</v>
      </c>
      <c r="W2532" t="s">
        <v>476</v>
      </c>
      <c r="X2532" t="s">
        <v>106</v>
      </c>
      <c r="Y2532" t="s">
        <v>108</v>
      </c>
      <c r="Z2532" t="s">
        <v>109</v>
      </c>
      <c r="AA2532" t="s">
        <v>935</v>
      </c>
      <c r="AB2532" t="s">
        <v>106</v>
      </c>
    </row>
    <row r="2533" spans="1:28" x14ac:dyDescent="0.3">
      <c r="A2533" t="s">
        <v>1580</v>
      </c>
      <c r="B2533">
        <v>2</v>
      </c>
      <c r="C2533">
        <v>15</v>
      </c>
      <c r="D2533">
        <v>272</v>
      </c>
      <c r="E2533" t="s">
        <v>456</v>
      </c>
      <c r="F2533" s="12">
        <v>45715</v>
      </c>
      <c r="G2533" t="s">
        <v>2238</v>
      </c>
      <c r="H2533" s="12">
        <v>45715</v>
      </c>
      <c r="I2533" t="s">
        <v>1633</v>
      </c>
      <c r="J2533" t="s">
        <v>1522</v>
      </c>
      <c r="K2533">
        <v>2</v>
      </c>
      <c r="L2533">
        <v>15.8</v>
      </c>
      <c r="M2533">
        <v>16</v>
      </c>
      <c r="P2533" t="s">
        <v>106</v>
      </c>
      <c r="Q2533" t="s">
        <v>106</v>
      </c>
      <c r="R2533" t="s">
        <v>106</v>
      </c>
      <c r="S2533" t="s">
        <v>965</v>
      </c>
      <c r="T2533" t="s">
        <v>1516</v>
      </c>
      <c r="U2533" t="s">
        <v>1631</v>
      </c>
      <c r="V2533" t="s">
        <v>106</v>
      </c>
      <c r="W2533" t="s">
        <v>476</v>
      </c>
      <c r="X2533" t="s">
        <v>106</v>
      </c>
      <c r="Y2533" t="s">
        <v>108</v>
      </c>
      <c r="Z2533" t="s">
        <v>109</v>
      </c>
      <c r="AA2533" t="s">
        <v>935</v>
      </c>
      <c r="AB2533" t="s">
        <v>106</v>
      </c>
    </row>
    <row r="2534" spans="1:28" x14ac:dyDescent="0.3">
      <c r="A2534" t="s">
        <v>1580</v>
      </c>
      <c r="B2534">
        <v>2</v>
      </c>
      <c r="C2534">
        <v>15</v>
      </c>
      <c r="D2534">
        <v>265</v>
      </c>
      <c r="E2534" t="s">
        <v>456</v>
      </c>
      <c r="F2534" s="12">
        <v>45715</v>
      </c>
      <c r="G2534" t="s">
        <v>2027</v>
      </c>
      <c r="H2534" s="12">
        <v>45715</v>
      </c>
      <c r="I2534" t="s">
        <v>1337</v>
      </c>
      <c r="J2534" t="s">
        <v>1522</v>
      </c>
      <c r="K2534">
        <v>2</v>
      </c>
      <c r="L2534">
        <v>16.7</v>
      </c>
      <c r="M2534">
        <v>16.899999999999999</v>
      </c>
      <c r="P2534" t="s">
        <v>106</v>
      </c>
      <c r="Q2534" t="s">
        <v>106</v>
      </c>
      <c r="R2534" t="s">
        <v>106</v>
      </c>
      <c r="S2534" t="s">
        <v>1430</v>
      </c>
      <c r="T2534" t="s">
        <v>1041</v>
      </c>
      <c r="U2534" t="s">
        <v>1626</v>
      </c>
      <c r="V2534" t="s">
        <v>106</v>
      </c>
      <c r="W2534" t="s">
        <v>476</v>
      </c>
      <c r="X2534" t="s">
        <v>106</v>
      </c>
      <c r="Y2534" t="s">
        <v>108</v>
      </c>
      <c r="Z2534" t="s">
        <v>109</v>
      </c>
      <c r="AA2534" t="s">
        <v>935</v>
      </c>
      <c r="AB2534" t="s">
        <v>106</v>
      </c>
    </row>
    <row r="2535" spans="1:28" x14ac:dyDescent="0.3">
      <c r="A2535" t="s">
        <v>1580</v>
      </c>
      <c r="B2535">
        <v>2</v>
      </c>
      <c r="C2535">
        <v>15</v>
      </c>
      <c r="D2535">
        <v>264</v>
      </c>
      <c r="E2535" t="s">
        <v>456</v>
      </c>
      <c r="F2535" s="12">
        <v>45715</v>
      </c>
      <c r="G2535" t="s">
        <v>2240</v>
      </c>
      <c r="H2535" s="12">
        <v>45715</v>
      </c>
      <c r="I2535" t="s">
        <v>1337</v>
      </c>
      <c r="J2535" t="s">
        <v>1522</v>
      </c>
      <c r="K2535">
        <v>2</v>
      </c>
      <c r="L2535">
        <v>16.8</v>
      </c>
      <c r="M2535">
        <v>16.7</v>
      </c>
      <c r="P2535" t="s">
        <v>106</v>
      </c>
      <c r="Q2535" t="s">
        <v>106</v>
      </c>
      <c r="R2535" t="s">
        <v>106</v>
      </c>
      <c r="S2535" t="s">
        <v>2118</v>
      </c>
      <c r="T2535" t="s">
        <v>1000</v>
      </c>
      <c r="U2535" t="s">
        <v>1776</v>
      </c>
      <c r="V2535" t="s">
        <v>106</v>
      </c>
      <c r="W2535" t="s">
        <v>476</v>
      </c>
      <c r="X2535" t="s">
        <v>106</v>
      </c>
      <c r="Y2535" t="s">
        <v>108</v>
      </c>
      <c r="Z2535" t="s">
        <v>109</v>
      </c>
      <c r="AA2535" t="s">
        <v>935</v>
      </c>
      <c r="AB2535" t="s">
        <v>106</v>
      </c>
    </row>
    <row r="2536" spans="1:28" x14ac:dyDescent="0.3">
      <c r="A2536" t="s">
        <v>1580</v>
      </c>
      <c r="B2536">
        <v>2</v>
      </c>
      <c r="C2536">
        <v>15</v>
      </c>
      <c r="D2536">
        <v>259</v>
      </c>
      <c r="E2536" t="s">
        <v>456</v>
      </c>
      <c r="F2536" s="12">
        <v>45715</v>
      </c>
      <c r="G2536" t="s">
        <v>1815</v>
      </c>
      <c r="H2536" s="12">
        <v>45715</v>
      </c>
      <c r="I2536" t="s">
        <v>1903</v>
      </c>
      <c r="J2536" t="s">
        <v>1522</v>
      </c>
      <c r="K2536">
        <v>2</v>
      </c>
      <c r="L2536">
        <v>14.3</v>
      </c>
      <c r="M2536">
        <v>14.2</v>
      </c>
      <c r="P2536" t="s">
        <v>106</v>
      </c>
      <c r="Q2536" t="s">
        <v>106</v>
      </c>
      <c r="R2536" t="s">
        <v>106</v>
      </c>
      <c r="S2536" t="s">
        <v>1430</v>
      </c>
      <c r="T2536" t="s">
        <v>1145</v>
      </c>
      <c r="U2536" t="s">
        <v>106</v>
      </c>
      <c r="V2536" t="s">
        <v>106</v>
      </c>
      <c r="W2536" t="s">
        <v>476</v>
      </c>
      <c r="X2536" t="s">
        <v>106</v>
      </c>
      <c r="Y2536" t="s">
        <v>108</v>
      </c>
      <c r="Z2536" t="s">
        <v>109</v>
      </c>
      <c r="AA2536" t="s">
        <v>935</v>
      </c>
      <c r="AB2536" t="s">
        <v>106</v>
      </c>
    </row>
    <row r="2537" spans="1:28" x14ac:dyDescent="0.3">
      <c r="A2537" t="s">
        <v>1580</v>
      </c>
      <c r="B2537">
        <v>2</v>
      </c>
      <c r="C2537">
        <v>15</v>
      </c>
      <c r="D2537">
        <v>258</v>
      </c>
      <c r="E2537" t="s">
        <v>456</v>
      </c>
      <c r="F2537" s="12">
        <v>45715</v>
      </c>
      <c r="G2537" t="s">
        <v>1258</v>
      </c>
      <c r="H2537" s="12">
        <v>45715</v>
      </c>
      <c r="I2537" t="s">
        <v>1903</v>
      </c>
      <c r="J2537" t="s">
        <v>1522</v>
      </c>
      <c r="K2537">
        <v>2</v>
      </c>
      <c r="L2537">
        <v>13.4</v>
      </c>
      <c r="M2537">
        <v>13.4</v>
      </c>
      <c r="P2537" t="s">
        <v>106</v>
      </c>
      <c r="Q2537" t="s">
        <v>106</v>
      </c>
      <c r="R2537" t="s">
        <v>106</v>
      </c>
      <c r="S2537" t="s">
        <v>1579</v>
      </c>
      <c r="T2537" t="s">
        <v>1145</v>
      </c>
      <c r="U2537" t="s">
        <v>106</v>
      </c>
      <c r="V2537" t="s">
        <v>106</v>
      </c>
      <c r="W2537" t="s">
        <v>476</v>
      </c>
      <c r="X2537" t="s">
        <v>106</v>
      </c>
      <c r="Y2537" t="s">
        <v>108</v>
      </c>
      <c r="Z2537" t="s">
        <v>109</v>
      </c>
      <c r="AA2537" t="s">
        <v>935</v>
      </c>
      <c r="AB2537" t="s">
        <v>106</v>
      </c>
    </row>
    <row r="2538" spans="1:28" x14ac:dyDescent="0.3">
      <c r="A2538" t="s">
        <v>1580</v>
      </c>
      <c r="B2538">
        <v>2</v>
      </c>
      <c r="C2538">
        <v>15</v>
      </c>
      <c r="D2538">
        <v>251</v>
      </c>
      <c r="E2538" t="s">
        <v>456</v>
      </c>
      <c r="F2538" s="12">
        <v>45715</v>
      </c>
      <c r="G2538" t="s">
        <v>839</v>
      </c>
      <c r="H2538" s="12">
        <v>45715</v>
      </c>
      <c r="I2538" t="s">
        <v>329</v>
      </c>
      <c r="J2538" t="s">
        <v>458</v>
      </c>
      <c r="K2538">
        <v>2</v>
      </c>
      <c r="L2538">
        <v>13.6</v>
      </c>
      <c r="M2538">
        <v>13.6</v>
      </c>
      <c r="P2538" t="s">
        <v>106</v>
      </c>
      <c r="Q2538" t="s">
        <v>106</v>
      </c>
      <c r="R2538" t="s">
        <v>106</v>
      </c>
      <c r="S2538" t="s">
        <v>1320</v>
      </c>
      <c r="T2538" t="s">
        <v>1385</v>
      </c>
      <c r="U2538" t="s">
        <v>1596</v>
      </c>
      <c r="V2538" t="s">
        <v>106</v>
      </c>
      <c r="W2538" t="s">
        <v>557</v>
      </c>
      <c r="X2538" t="s">
        <v>106</v>
      </c>
      <c r="Y2538" t="s">
        <v>108</v>
      </c>
      <c r="Z2538" t="s">
        <v>109</v>
      </c>
      <c r="AA2538" t="s">
        <v>935</v>
      </c>
      <c r="AB2538" t="s">
        <v>106</v>
      </c>
    </row>
    <row r="2539" spans="1:28" x14ac:dyDescent="0.3">
      <c r="A2539" t="s">
        <v>1580</v>
      </c>
      <c r="B2539">
        <v>2</v>
      </c>
      <c r="C2539">
        <v>15</v>
      </c>
      <c r="D2539">
        <v>246</v>
      </c>
      <c r="E2539" t="s">
        <v>456</v>
      </c>
      <c r="F2539" s="12">
        <v>45715</v>
      </c>
      <c r="G2539" t="s">
        <v>790</v>
      </c>
      <c r="H2539" s="12">
        <v>45715</v>
      </c>
      <c r="I2539" t="s">
        <v>402</v>
      </c>
      <c r="J2539" t="s">
        <v>458</v>
      </c>
      <c r="K2539">
        <v>2</v>
      </c>
      <c r="L2539">
        <v>14.3</v>
      </c>
      <c r="M2539">
        <v>14.5</v>
      </c>
      <c r="P2539" t="s">
        <v>106</v>
      </c>
      <c r="Q2539" t="s">
        <v>106</v>
      </c>
      <c r="R2539" t="s">
        <v>106</v>
      </c>
      <c r="S2539" t="s">
        <v>1843</v>
      </c>
      <c r="T2539" t="s">
        <v>1425</v>
      </c>
      <c r="U2539" t="s">
        <v>1980</v>
      </c>
      <c r="V2539" t="s">
        <v>106</v>
      </c>
      <c r="W2539" t="s">
        <v>557</v>
      </c>
      <c r="X2539" t="s">
        <v>106</v>
      </c>
      <c r="Y2539" t="s">
        <v>108</v>
      </c>
      <c r="Z2539" t="s">
        <v>109</v>
      </c>
      <c r="AA2539" t="s">
        <v>935</v>
      </c>
      <c r="AB2539" t="s">
        <v>2241</v>
      </c>
    </row>
    <row r="2540" spans="1:28" x14ac:dyDescent="0.3">
      <c r="A2540" t="s">
        <v>1580</v>
      </c>
      <c r="B2540">
        <v>2</v>
      </c>
      <c r="C2540">
        <v>15</v>
      </c>
      <c r="D2540">
        <v>245</v>
      </c>
      <c r="E2540" t="s">
        <v>456</v>
      </c>
      <c r="F2540" s="12">
        <v>45715</v>
      </c>
      <c r="G2540" t="s">
        <v>790</v>
      </c>
      <c r="H2540" s="12">
        <v>45715</v>
      </c>
      <c r="I2540" t="s">
        <v>402</v>
      </c>
      <c r="J2540" t="s">
        <v>458</v>
      </c>
      <c r="K2540">
        <v>2</v>
      </c>
      <c r="L2540">
        <v>15.6</v>
      </c>
      <c r="M2540">
        <v>15.6</v>
      </c>
      <c r="P2540" t="s">
        <v>106</v>
      </c>
      <c r="Q2540" t="s">
        <v>106</v>
      </c>
      <c r="R2540" t="s">
        <v>106</v>
      </c>
      <c r="S2540" t="s">
        <v>2242</v>
      </c>
      <c r="T2540" t="s">
        <v>1097</v>
      </c>
      <c r="U2540" t="s">
        <v>1347</v>
      </c>
      <c r="V2540" t="s">
        <v>106</v>
      </c>
      <c r="W2540" t="s">
        <v>557</v>
      </c>
      <c r="X2540" t="s">
        <v>106</v>
      </c>
      <c r="Y2540" t="s">
        <v>108</v>
      </c>
      <c r="Z2540" t="s">
        <v>109</v>
      </c>
      <c r="AA2540" t="s">
        <v>935</v>
      </c>
      <c r="AB2540" t="s">
        <v>106</v>
      </c>
    </row>
    <row r="2541" spans="1:28" x14ac:dyDescent="0.3">
      <c r="A2541" t="s">
        <v>1580</v>
      </c>
      <c r="B2541">
        <v>2</v>
      </c>
      <c r="C2541">
        <v>15</v>
      </c>
      <c r="D2541">
        <v>238</v>
      </c>
      <c r="E2541" t="s">
        <v>456</v>
      </c>
      <c r="F2541" s="12">
        <v>45715</v>
      </c>
      <c r="G2541" t="s">
        <v>1189</v>
      </c>
      <c r="H2541" s="12">
        <v>45715</v>
      </c>
      <c r="I2541" t="s">
        <v>1283</v>
      </c>
      <c r="J2541" t="s">
        <v>458</v>
      </c>
      <c r="K2541">
        <v>2</v>
      </c>
      <c r="L2541">
        <v>13.9</v>
      </c>
      <c r="M2541">
        <v>14</v>
      </c>
      <c r="P2541" t="s">
        <v>106</v>
      </c>
      <c r="Q2541" t="s">
        <v>106</v>
      </c>
      <c r="R2541" t="s">
        <v>106</v>
      </c>
      <c r="S2541" t="s">
        <v>948</v>
      </c>
      <c r="T2541" t="s">
        <v>1101</v>
      </c>
      <c r="U2541" t="s">
        <v>1651</v>
      </c>
      <c r="V2541" t="s">
        <v>106</v>
      </c>
      <c r="W2541" t="s">
        <v>954</v>
      </c>
      <c r="X2541" t="s">
        <v>106</v>
      </c>
      <c r="Y2541" t="s">
        <v>108</v>
      </c>
      <c r="Z2541" t="s">
        <v>109</v>
      </c>
      <c r="AA2541" t="s">
        <v>935</v>
      </c>
      <c r="AB2541" t="s">
        <v>106</v>
      </c>
    </row>
    <row r="2542" spans="1:28" x14ac:dyDescent="0.3">
      <c r="A2542" t="s">
        <v>1580</v>
      </c>
      <c r="B2542">
        <v>2</v>
      </c>
      <c r="C2542">
        <v>15</v>
      </c>
      <c r="D2542">
        <v>237</v>
      </c>
      <c r="E2542" t="s">
        <v>456</v>
      </c>
      <c r="F2542" s="12">
        <v>45715</v>
      </c>
      <c r="G2542" t="s">
        <v>1186</v>
      </c>
      <c r="H2542" s="12">
        <v>45715</v>
      </c>
      <c r="I2542" t="s">
        <v>1283</v>
      </c>
      <c r="J2542" t="s">
        <v>458</v>
      </c>
      <c r="K2542">
        <v>2</v>
      </c>
      <c r="L2542">
        <v>14.6</v>
      </c>
      <c r="M2542">
        <v>14.6</v>
      </c>
      <c r="P2542" t="s">
        <v>106</v>
      </c>
      <c r="Q2542" t="s">
        <v>106</v>
      </c>
      <c r="R2542" t="s">
        <v>106</v>
      </c>
      <c r="S2542" t="s">
        <v>1003</v>
      </c>
      <c r="T2542" t="s">
        <v>1510</v>
      </c>
      <c r="U2542" t="s">
        <v>841</v>
      </c>
      <c r="V2542" t="s">
        <v>106</v>
      </c>
      <c r="W2542" t="s">
        <v>954</v>
      </c>
      <c r="X2542" t="s">
        <v>106</v>
      </c>
      <c r="Y2542" t="s">
        <v>108</v>
      </c>
      <c r="Z2542" t="s">
        <v>109</v>
      </c>
      <c r="AA2542" t="s">
        <v>935</v>
      </c>
      <c r="AB2542" t="s">
        <v>106</v>
      </c>
    </row>
    <row r="2543" spans="1:28" x14ac:dyDescent="0.3">
      <c r="A2543" t="s">
        <v>1580</v>
      </c>
      <c r="B2543">
        <v>2</v>
      </c>
      <c r="C2543">
        <v>15</v>
      </c>
      <c r="D2543">
        <v>230</v>
      </c>
      <c r="E2543" t="s">
        <v>456</v>
      </c>
      <c r="F2543" s="12">
        <v>45715</v>
      </c>
      <c r="G2543" t="s">
        <v>2136</v>
      </c>
      <c r="H2543" s="12">
        <v>45715</v>
      </c>
      <c r="I2543" t="s">
        <v>1457</v>
      </c>
      <c r="J2543" t="s">
        <v>477</v>
      </c>
      <c r="L2543">
        <v>16.600000000000001</v>
      </c>
      <c r="M2543">
        <v>16.7</v>
      </c>
      <c r="P2543" t="s">
        <v>106</v>
      </c>
      <c r="Q2543" t="s">
        <v>106</v>
      </c>
      <c r="R2543" t="s">
        <v>106</v>
      </c>
      <c r="S2543" t="s">
        <v>1843</v>
      </c>
      <c r="T2543" t="s">
        <v>1041</v>
      </c>
      <c r="U2543" t="s">
        <v>427</v>
      </c>
      <c r="V2543" t="s">
        <v>106</v>
      </c>
      <c r="W2543" t="s">
        <v>954</v>
      </c>
      <c r="X2543" t="s">
        <v>106</v>
      </c>
      <c r="Y2543" t="s">
        <v>108</v>
      </c>
      <c r="Z2543" t="s">
        <v>109</v>
      </c>
      <c r="AA2543" t="s">
        <v>935</v>
      </c>
      <c r="AB2543" t="s">
        <v>106</v>
      </c>
    </row>
    <row r="2544" spans="1:28" x14ac:dyDescent="0.3">
      <c r="A2544" t="s">
        <v>1580</v>
      </c>
      <c r="B2544">
        <v>2</v>
      </c>
      <c r="C2544">
        <v>15</v>
      </c>
      <c r="D2544">
        <v>252</v>
      </c>
      <c r="E2544" t="s">
        <v>456</v>
      </c>
      <c r="F2544" s="12">
        <v>45715</v>
      </c>
      <c r="G2544" t="s">
        <v>839</v>
      </c>
      <c r="H2544" s="12">
        <v>45715</v>
      </c>
      <c r="I2544" t="s">
        <v>329</v>
      </c>
      <c r="J2544" t="s">
        <v>458</v>
      </c>
      <c r="K2544">
        <v>2</v>
      </c>
      <c r="L2544">
        <v>14.6</v>
      </c>
      <c r="M2544">
        <v>14.2</v>
      </c>
      <c r="P2544" t="s">
        <v>106</v>
      </c>
      <c r="Q2544" t="s">
        <v>106</v>
      </c>
      <c r="R2544" t="s">
        <v>106</v>
      </c>
      <c r="S2544" t="s">
        <v>2243</v>
      </c>
      <c r="T2544" t="s">
        <v>1565</v>
      </c>
      <c r="U2544" t="s">
        <v>1351</v>
      </c>
      <c r="V2544" t="s">
        <v>106</v>
      </c>
      <c r="W2544" t="s">
        <v>557</v>
      </c>
      <c r="X2544" t="s">
        <v>106</v>
      </c>
      <c r="Y2544" t="s">
        <v>108</v>
      </c>
      <c r="Z2544" t="s">
        <v>109</v>
      </c>
      <c r="AA2544" t="s">
        <v>935</v>
      </c>
      <c r="AB2544" t="s">
        <v>2244</v>
      </c>
    </row>
    <row r="2545" spans="1:28" x14ac:dyDescent="0.3">
      <c r="A2545" t="s">
        <v>1580</v>
      </c>
      <c r="B2545">
        <v>2</v>
      </c>
      <c r="C2545">
        <v>15</v>
      </c>
      <c r="D2545">
        <v>229</v>
      </c>
      <c r="E2545" t="s">
        <v>456</v>
      </c>
      <c r="F2545" s="12">
        <v>45715</v>
      </c>
      <c r="G2545" t="s">
        <v>2245</v>
      </c>
      <c r="H2545" s="12">
        <v>45715</v>
      </c>
      <c r="I2545" t="s">
        <v>1457</v>
      </c>
      <c r="J2545" t="s">
        <v>477</v>
      </c>
      <c r="L2545">
        <v>15.3</v>
      </c>
      <c r="M2545">
        <v>15.4</v>
      </c>
      <c r="P2545" t="s">
        <v>106</v>
      </c>
      <c r="Q2545" t="s">
        <v>106</v>
      </c>
      <c r="R2545" t="s">
        <v>106</v>
      </c>
      <c r="S2545" t="s">
        <v>1863</v>
      </c>
      <c r="T2545" t="s">
        <v>993</v>
      </c>
      <c r="U2545" t="s">
        <v>391</v>
      </c>
      <c r="V2545" t="s">
        <v>106</v>
      </c>
      <c r="W2545" t="s">
        <v>954</v>
      </c>
      <c r="X2545" t="s">
        <v>106</v>
      </c>
      <c r="Y2545" t="s">
        <v>108</v>
      </c>
      <c r="Z2545" t="s">
        <v>109</v>
      </c>
      <c r="AA2545" t="s">
        <v>935</v>
      </c>
      <c r="AB2545" t="s">
        <v>106</v>
      </c>
    </row>
    <row r="2546" spans="1:28" x14ac:dyDescent="0.3">
      <c r="A2546" t="s">
        <v>1580</v>
      </c>
      <c r="B2546">
        <v>3</v>
      </c>
      <c r="C2546">
        <v>35</v>
      </c>
      <c r="D2546">
        <v>257</v>
      </c>
      <c r="E2546" t="s">
        <v>456</v>
      </c>
      <c r="F2546" s="12">
        <v>45715</v>
      </c>
      <c r="G2546" t="s">
        <v>1256</v>
      </c>
      <c r="H2546" s="12">
        <v>45715</v>
      </c>
      <c r="I2546" t="s">
        <v>1903</v>
      </c>
      <c r="J2546" t="s">
        <v>1522</v>
      </c>
      <c r="K2546">
        <v>2</v>
      </c>
      <c r="L2546">
        <v>33.299999999999997</v>
      </c>
      <c r="M2546">
        <v>33.4</v>
      </c>
      <c r="P2546" t="s">
        <v>106</v>
      </c>
      <c r="Q2546" t="s">
        <v>106</v>
      </c>
      <c r="R2546" t="s">
        <v>106</v>
      </c>
      <c r="S2546" t="s">
        <v>2309</v>
      </c>
      <c r="T2546" t="s">
        <v>1467</v>
      </c>
      <c r="U2546" t="s">
        <v>106</v>
      </c>
      <c r="V2546" t="s">
        <v>106</v>
      </c>
      <c r="W2546" t="s">
        <v>476</v>
      </c>
      <c r="X2546" t="s">
        <v>106</v>
      </c>
      <c r="Y2546" t="s">
        <v>108</v>
      </c>
      <c r="Z2546" t="s">
        <v>108</v>
      </c>
      <c r="AA2546" t="s">
        <v>935</v>
      </c>
      <c r="AB2546" t="s">
        <v>106</v>
      </c>
    </row>
    <row r="2547" spans="1:28" x14ac:dyDescent="0.3">
      <c r="A2547" t="s">
        <v>1580</v>
      </c>
      <c r="B2547">
        <v>3</v>
      </c>
      <c r="C2547">
        <v>35</v>
      </c>
      <c r="D2547">
        <v>262</v>
      </c>
      <c r="E2547" t="s">
        <v>456</v>
      </c>
      <c r="F2547" s="12">
        <v>45715</v>
      </c>
      <c r="G2547" t="s">
        <v>1633</v>
      </c>
      <c r="H2547" s="12">
        <v>45715</v>
      </c>
      <c r="I2547" t="s">
        <v>1337</v>
      </c>
      <c r="J2547" t="s">
        <v>1522</v>
      </c>
      <c r="K2547">
        <v>2</v>
      </c>
      <c r="L2547">
        <v>32.6</v>
      </c>
      <c r="M2547">
        <v>32.9</v>
      </c>
      <c r="P2547" t="s">
        <v>106</v>
      </c>
      <c r="Q2547" t="s">
        <v>106</v>
      </c>
      <c r="R2547" t="s">
        <v>106</v>
      </c>
      <c r="S2547" t="s">
        <v>2118</v>
      </c>
      <c r="T2547" t="s">
        <v>875</v>
      </c>
      <c r="U2547" t="s">
        <v>1776</v>
      </c>
      <c r="V2547" t="s">
        <v>106</v>
      </c>
      <c r="W2547" t="s">
        <v>476</v>
      </c>
      <c r="X2547" t="s">
        <v>106</v>
      </c>
      <c r="Y2547" t="s">
        <v>108</v>
      </c>
      <c r="Z2547" t="s">
        <v>108</v>
      </c>
      <c r="AA2547" t="s">
        <v>935</v>
      </c>
      <c r="AB2547" t="s">
        <v>106</v>
      </c>
    </row>
    <row r="2548" spans="1:28" x14ac:dyDescent="0.3">
      <c r="A2548" t="s">
        <v>1580</v>
      </c>
      <c r="B2548">
        <v>3</v>
      </c>
      <c r="C2548">
        <v>35</v>
      </c>
      <c r="D2548">
        <v>271</v>
      </c>
      <c r="E2548" t="s">
        <v>456</v>
      </c>
      <c r="F2548" s="12">
        <v>45715</v>
      </c>
      <c r="G2548" t="s">
        <v>1824</v>
      </c>
      <c r="H2548" s="12">
        <v>45715</v>
      </c>
      <c r="I2548" t="s">
        <v>1633</v>
      </c>
      <c r="J2548" t="s">
        <v>1522</v>
      </c>
      <c r="K2548">
        <v>2</v>
      </c>
      <c r="L2548">
        <v>37.299999999999997</v>
      </c>
      <c r="M2548">
        <v>37.299999999999997</v>
      </c>
      <c r="P2548" t="s">
        <v>106</v>
      </c>
      <c r="Q2548" t="s">
        <v>106</v>
      </c>
      <c r="R2548" t="s">
        <v>106</v>
      </c>
      <c r="S2548" t="s">
        <v>1714</v>
      </c>
      <c r="T2548" t="s">
        <v>1619</v>
      </c>
      <c r="U2548" t="s">
        <v>2341</v>
      </c>
      <c r="V2548" t="s">
        <v>106</v>
      </c>
      <c r="W2548" t="s">
        <v>476</v>
      </c>
      <c r="X2548" t="s">
        <v>106</v>
      </c>
      <c r="Y2548" t="s">
        <v>108</v>
      </c>
      <c r="Z2548" t="s">
        <v>108</v>
      </c>
      <c r="AA2548" t="s">
        <v>935</v>
      </c>
      <c r="AB2548" t="s">
        <v>106</v>
      </c>
    </row>
    <row r="2549" spans="1:28" x14ac:dyDescent="0.3">
      <c r="A2549" t="s">
        <v>1580</v>
      </c>
      <c r="B2549">
        <v>3</v>
      </c>
      <c r="C2549">
        <v>35</v>
      </c>
      <c r="D2549">
        <v>270</v>
      </c>
      <c r="E2549" t="s">
        <v>456</v>
      </c>
      <c r="F2549" s="12">
        <v>45715</v>
      </c>
      <c r="G2549" t="s">
        <v>2577</v>
      </c>
      <c r="H2549" s="12">
        <v>45715</v>
      </c>
      <c r="I2549" t="s">
        <v>1633</v>
      </c>
      <c r="J2549" t="s">
        <v>1522</v>
      </c>
      <c r="K2549">
        <v>2</v>
      </c>
      <c r="L2549">
        <v>35.6</v>
      </c>
      <c r="M2549">
        <v>35.799999999999997</v>
      </c>
      <c r="P2549" t="s">
        <v>106</v>
      </c>
      <c r="Q2549" t="s">
        <v>106</v>
      </c>
      <c r="R2549" t="s">
        <v>106</v>
      </c>
      <c r="S2549" t="s">
        <v>1231</v>
      </c>
      <c r="T2549" t="s">
        <v>1372</v>
      </c>
      <c r="U2549" t="s">
        <v>1415</v>
      </c>
      <c r="V2549" t="s">
        <v>106</v>
      </c>
      <c r="W2549" t="s">
        <v>476</v>
      </c>
      <c r="X2549" t="s">
        <v>106</v>
      </c>
      <c r="Y2549" t="s">
        <v>108</v>
      </c>
      <c r="Z2549" t="s">
        <v>108</v>
      </c>
      <c r="AA2549" t="s">
        <v>935</v>
      </c>
      <c r="AB2549" t="s">
        <v>106</v>
      </c>
    </row>
    <row r="2550" spans="1:28" x14ac:dyDescent="0.3">
      <c r="A2550" t="s">
        <v>1580</v>
      </c>
      <c r="B2550">
        <v>3</v>
      </c>
      <c r="C2550">
        <v>35</v>
      </c>
      <c r="D2550">
        <v>256</v>
      </c>
      <c r="E2550" t="s">
        <v>456</v>
      </c>
      <c r="F2550" s="12">
        <v>45715</v>
      </c>
      <c r="G2550" t="s">
        <v>1256</v>
      </c>
      <c r="H2550" s="12">
        <v>45715</v>
      </c>
      <c r="I2550" t="s">
        <v>1903</v>
      </c>
      <c r="J2550" t="s">
        <v>1522</v>
      </c>
      <c r="K2550">
        <v>2</v>
      </c>
      <c r="L2550">
        <v>34.6</v>
      </c>
      <c r="M2550">
        <v>34.9</v>
      </c>
      <c r="P2550" t="s">
        <v>106</v>
      </c>
      <c r="Q2550" t="s">
        <v>106</v>
      </c>
      <c r="R2550" t="s">
        <v>106</v>
      </c>
      <c r="S2550" t="s">
        <v>2255</v>
      </c>
      <c r="T2550" t="s">
        <v>1377</v>
      </c>
      <c r="U2550" t="s">
        <v>106</v>
      </c>
      <c r="V2550" t="s">
        <v>106</v>
      </c>
      <c r="W2550" t="s">
        <v>476</v>
      </c>
      <c r="X2550" t="s">
        <v>106</v>
      </c>
      <c r="Y2550" t="s">
        <v>108</v>
      </c>
      <c r="Z2550" t="s">
        <v>108</v>
      </c>
      <c r="AA2550" t="s">
        <v>935</v>
      </c>
      <c r="AB2550" t="s">
        <v>106</v>
      </c>
    </row>
    <row r="2551" spans="1:28" x14ac:dyDescent="0.3">
      <c r="A2551" t="s">
        <v>1580</v>
      </c>
      <c r="B2551">
        <v>3</v>
      </c>
      <c r="C2551">
        <v>35</v>
      </c>
      <c r="D2551">
        <v>263</v>
      </c>
      <c r="E2551" t="s">
        <v>456</v>
      </c>
      <c r="F2551" s="12">
        <v>45715</v>
      </c>
      <c r="G2551" t="s">
        <v>1174</v>
      </c>
      <c r="H2551" s="12">
        <v>45715</v>
      </c>
      <c r="I2551" t="s">
        <v>1337</v>
      </c>
      <c r="J2551" t="s">
        <v>1522</v>
      </c>
      <c r="K2551">
        <v>2</v>
      </c>
      <c r="L2551">
        <v>34.6</v>
      </c>
      <c r="M2551">
        <v>34.700000000000003</v>
      </c>
      <c r="P2551" t="s">
        <v>106</v>
      </c>
      <c r="Q2551" t="s">
        <v>106</v>
      </c>
      <c r="R2551" t="s">
        <v>106</v>
      </c>
      <c r="S2551" t="s">
        <v>1658</v>
      </c>
      <c r="T2551" t="s">
        <v>1069</v>
      </c>
      <c r="U2551" t="s">
        <v>2341</v>
      </c>
      <c r="V2551" t="s">
        <v>106</v>
      </c>
      <c r="W2551" t="s">
        <v>476</v>
      </c>
      <c r="X2551" t="s">
        <v>106</v>
      </c>
      <c r="Y2551" t="s">
        <v>108</v>
      </c>
      <c r="Z2551" t="s">
        <v>108</v>
      </c>
      <c r="AA2551" t="s">
        <v>935</v>
      </c>
      <c r="AB2551" t="s">
        <v>106</v>
      </c>
    </row>
    <row r="2552" spans="1:28" x14ac:dyDescent="0.3">
      <c r="A2552" t="s">
        <v>1580</v>
      </c>
      <c r="B2552">
        <v>3</v>
      </c>
      <c r="C2552">
        <v>35</v>
      </c>
      <c r="D2552">
        <v>250</v>
      </c>
      <c r="E2552" t="s">
        <v>456</v>
      </c>
      <c r="F2552" s="12">
        <v>45715</v>
      </c>
      <c r="G2552" t="s">
        <v>491</v>
      </c>
      <c r="H2552" s="12">
        <v>45715</v>
      </c>
      <c r="I2552" t="s">
        <v>329</v>
      </c>
      <c r="J2552" t="s">
        <v>458</v>
      </c>
      <c r="K2552">
        <v>2</v>
      </c>
      <c r="L2552">
        <v>35.1</v>
      </c>
      <c r="M2552">
        <v>35.5</v>
      </c>
      <c r="P2552" t="s">
        <v>106</v>
      </c>
      <c r="Q2552" t="s">
        <v>106</v>
      </c>
      <c r="R2552" t="s">
        <v>106</v>
      </c>
      <c r="S2552" t="s">
        <v>2130</v>
      </c>
      <c r="T2552" t="s">
        <v>1280</v>
      </c>
      <c r="U2552" t="s">
        <v>1626</v>
      </c>
      <c r="V2552" t="s">
        <v>106</v>
      </c>
      <c r="W2552" t="s">
        <v>557</v>
      </c>
      <c r="X2552" t="s">
        <v>106</v>
      </c>
      <c r="Y2552" t="s">
        <v>108</v>
      </c>
      <c r="Z2552" t="s">
        <v>108</v>
      </c>
      <c r="AA2552" t="s">
        <v>935</v>
      </c>
      <c r="AB2552" t="s">
        <v>106</v>
      </c>
    </row>
    <row r="2553" spans="1:28" x14ac:dyDescent="0.3">
      <c r="A2553" t="s">
        <v>1580</v>
      </c>
      <c r="B2553">
        <v>3</v>
      </c>
      <c r="C2553">
        <v>35</v>
      </c>
      <c r="D2553">
        <v>236</v>
      </c>
      <c r="E2553" t="s">
        <v>456</v>
      </c>
      <c r="F2553" s="12">
        <v>45715</v>
      </c>
      <c r="G2553" t="s">
        <v>2578</v>
      </c>
      <c r="H2553" s="12">
        <v>45715</v>
      </c>
      <c r="I2553" t="s">
        <v>1283</v>
      </c>
      <c r="J2553" t="s">
        <v>458</v>
      </c>
      <c r="K2553">
        <v>2</v>
      </c>
      <c r="L2553">
        <v>33.6</v>
      </c>
      <c r="M2553">
        <v>33.6</v>
      </c>
      <c r="P2553" t="s">
        <v>106</v>
      </c>
      <c r="Q2553" t="s">
        <v>106</v>
      </c>
      <c r="R2553" t="s">
        <v>106</v>
      </c>
      <c r="S2553" t="s">
        <v>2573</v>
      </c>
      <c r="T2553" t="s">
        <v>1155</v>
      </c>
      <c r="U2553" t="s">
        <v>1596</v>
      </c>
      <c r="V2553" t="s">
        <v>106</v>
      </c>
      <c r="W2553" t="s">
        <v>954</v>
      </c>
      <c r="X2553" t="s">
        <v>106</v>
      </c>
      <c r="Y2553" t="s">
        <v>108</v>
      </c>
      <c r="Z2553" t="s">
        <v>108</v>
      </c>
      <c r="AA2553" t="s">
        <v>935</v>
      </c>
      <c r="AB2553" t="s">
        <v>106</v>
      </c>
    </row>
    <row r="2554" spans="1:28" x14ac:dyDescent="0.3">
      <c r="A2554" t="s">
        <v>1580</v>
      </c>
      <c r="B2554">
        <v>3</v>
      </c>
      <c r="C2554">
        <v>35</v>
      </c>
      <c r="D2554">
        <v>249</v>
      </c>
      <c r="E2554" t="s">
        <v>456</v>
      </c>
      <c r="F2554" s="12">
        <v>45715</v>
      </c>
      <c r="G2554" t="s">
        <v>328</v>
      </c>
      <c r="H2554" s="12">
        <v>45715</v>
      </c>
      <c r="I2554" t="s">
        <v>329</v>
      </c>
      <c r="J2554" t="s">
        <v>458</v>
      </c>
      <c r="K2554">
        <v>2</v>
      </c>
      <c r="L2554">
        <v>34.200000000000003</v>
      </c>
      <c r="M2554">
        <v>34.4</v>
      </c>
      <c r="P2554" t="s">
        <v>106</v>
      </c>
      <c r="Q2554" t="s">
        <v>106</v>
      </c>
      <c r="R2554" t="s">
        <v>106</v>
      </c>
      <c r="S2554" t="s">
        <v>1494</v>
      </c>
      <c r="T2554" t="s">
        <v>1403</v>
      </c>
      <c r="U2554" t="s">
        <v>1738</v>
      </c>
      <c r="V2554" t="s">
        <v>106</v>
      </c>
      <c r="W2554" t="s">
        <v>557</v>
      </c>
      <c r="X2554" t="s">
        <v>106</v>
      </c>
      <c r="Y2554" t="s">
        <v>108</v>
      </c>
      <c r="Z2554" t="s">
        <v>108</v>
      </c>
      <c r="AA2554" t="s">
        <v>935</v>
      </c>
      <c r="AB2554" t="s">
        <v>2244</v>
      </c>
    </row>
    <row r="2555" spans="1:28" x14ac:dyDescent="0.3">
      <c r="A2555" t="s">
        <v>1580</v>
      </c>
      <c r="B2555">
        <v>3</v>
      </c>
      <c r="C2555">
        <v>35</v>
      </c>
      <c r="D2555">
        <v>227</v>
      </c>
      <c r="E2555" t="s">
        <v>456</v>
      </c>
      <c r="F2555" s="12">
        <v>45715</v>
      </c>
      <c r="G2555" t="s">
        <v>2235</v>
      </c>
      <c r="H2555" s="12">
        <v>45715</v>
      </c>
      <c r="I2555" t="s">
        <v>1457</v>
      </c>
      <c r="J2555" t="s">
        <v>477</v>
      </c>
      <c r="L2555">
        <v>35.6</v>
      </c>
      <c r="M2555">
        <v>35.9</v>
      </c>
      <c r="P2555" t="s">
        <v>106</v>
      </c>
      <c r="Q2555" t="s">
        <v>106</v>
      </c>
      <c r="R2555" t="s">
        <v>106</v>
      </c>
      <c r="S2555" t="s">
        <v>1320</v>
      </c>
      <c r="T2555" t="s">
        <v>1063</v>
      </c>
      <c r="U2555" t="s">
        <v>905</v>
      </c>
      <c r="V2555" t="s">
        <v>106</v>
      </c>
      <c r="W2555" t="s">
        <v>954</v>
      </c>
      <c r="X2555" t="s">
        <v>106</v>
      </c>
      <c r="Y2555" t="s">
        <v>108</v>
      </c>
      <c r="Z2555" t="s">
        <v>108</v>
      </c>
      <c r="AA2555" t="s">
        <v>935</v>
      </c>
      <c r="AB2555" t="s">
        <v>106</v>
      </c>
    </row>
    <row r="2556" spans="1:28" x14ac:dyDescent="0.3">
      <c r="A2556" t="s">
        <v>1580</v>
      </c>
      <c r="B2556">
        <v>3</v>
      </c>
      <c r="C2556">
        <v>35</v>
      </c>
      <c r="D2556">
        <v>235</v>
      </c>
      <c r="E2556" t="s">
        <v>456</v>
      </c>
      <c r="F2556" s="12">
        <v>45715</v>
      </c>
      <c r="G2556" t="s">
        <v>772</v>
      </c>
      <c r="H2556" s="12">
        <v>45715</v>
      </c>
      <c r="I2556" t="s">
        <v>1283</v>
      </c>
      <c r="J2556" t="s">
        <v>458</v>
      </c>
      <c r="K2556">
        <v>2</v>
      </c>
      <c r="L2556">
        <v>34.9</v>
      </c>
      <c r="M2556">
        <v>35.200000000000003</v>
      </c>
      <c r="P2556" t="s">
        <v>106</v>
      </c>
      <c r="Q2556" t="s">
        <v>106</v>
      </c>
      <c r="R2556" t="s">
        <v>106</v>
      </c>
      <c r="S2556" t="s">
        <v>2574</v>
      </c>
      <c r="T2556" t="s">
        <v>750</v>
      </c>
      <c r="U2556" t="s">
        <v>391</v>
      </c>
      <c r="V2556" t="s">
        <v>106</v>
      </c>
      <c r="W2556" t="s">
        <v>954</v>
      </c>
      <c r="X2556" t="s">
        <v>106</v>
      </c>
      <c r="Y2556" t="s">
        <v>108</v>
      </c>
      <c r="Z2556" t="s">
        <v>108</v>
      </c>
      <c r="AA2556" t="s">
        <v>935</v>
      </c>
      <c r="AB2556" t="s">
        <v>106</v>
      </c>
    </row>
    <row r="2557" spans="1:28" x14ac:dyDescent="0.3">
      <c r="A2557" t="s">
        <v>1580</v>
      </c>
      <c r="B2557">
        <v>3</v>
      </c>
      <c r="C2557">
        <v>35</v>
      </c>
      <c r="D2557">
        <v>243</v>
      </c>
      <c r="E2557" t="s">
        <v>456</v>
      </c>
      <c r="F2557" s="12">
        <v>45715</v>
      </c>
      <c r="G2557" t="s">
        <v>432</v>
      </c>
      <c r="H2557" s="12">
        <v>45715</v>
      </c>
      <c r="I2557" t="s">
        <v>402</v>
      </c>
      <c r="J2557" t="s">
        <v>458</v>
      </c>
      <c r="K2557">
        <v>2</v>
      </c>
      <c r="L2557">
        <v>34.200000000000003</v>
      </c>
      <c r="M2557">
        <v>34.9</v>
      </c>
      <c r="P2557" t="s">
        <v>106</v>
      </c>
      <c r="Q2557" t="s">
        <v>106</v>
      </c>
      <c r="R2557" t="s">
        <v>106</v>
      </c>
      <c r="S2557" t="s">
        <v>1933</v>
      </c>
      <c r="T2557" t="s">
        <v>857</v>
      </c>
      <c r="U2557" t="s">
        <v>1353</v>
      </c>
      <c r="V2557" t="s">
        <v>106</v>
      </c>
      <c r="W2557" t="s">
        <v>557</v>
      </c>
      <c r="X2557" t="s">
        <v>106</v>
      </c>
      <c r="Y2557" t="s">
        <v>108</v>
      </c>
      <c r="Z2557" t="s">
        <v>108</v>
      </c>
      <c r="AA2557" t="s">
        <v>935</v>
      </c>
      <c r="AB2557" t="s">
        <v>106</v>
      </c>
    </row>
    <row r="2558" spans="1:28" x14ac:dyDescent="0.3">
      <c r="A2558" t="s">
        <v>1580</v>
      </c>
      <c r="B2558">
        <v>3</v>
      </c>
      <c r="C2558">
        <v>35</v>
      </c>
      <c r="D2558">
        <v>228</v>
      </c>
      <c r="E2558" t="s">
        <v>456</v>
      </c>
      <c r="F2558" s="12">
        <v>45715</v>
      </c>
      <c r="G2558" t="s">
        <v>2234</v>
      </c>
      <c r="H2558" s="12">
        <v>45715</v>
      </c>
      <c r="I2558" t="s">
        <v>1457</v>
      </c>
      <c r="J2558" t="s">
        <v>477</v>
      </c>
      <c r="L2558">
        <v>37.9</v>
      </c>
      <c r="M2558">
        <v>38.4</v>
      </c>
      <c r="P2558" t="s">
        <v>106</v>
      </c>
      <c r="Q2558" t="s">
        <v>106</v>
      </c>
      <c r="R2558" t="s">
        <v>106</v>
      </c>
      <c r="S2558" t="s">
        <v>1506</v>
      </c>
      <c r="T2558" t="s">
        <v>993</v>
      </c>
      <c r="U2558" t="s">
        <v>1356</v>
      </c>
      <c r="V2558" t="s">
        <v>106</v>
      </c>
      <c r="W2558" t="s">
        <v>954</v>
      </c>
      <c r="X2558" t="s">
        <v>106</v>
      </c>
      <c r="Y2558" t="s">
        <v>108</v>
      </c>
      <c r="Z2558" t="s">
        <v>108</v>
      </c>
      <c r="AA2558" t="s">
        <v>935</v>
      </c>
      <c r="AB2558" t="s">
        <v>106</v>
      </c>
    </row>
    <row r="2559" spans="1:28" x14ac:dyDescent="0.3">
      <c r="A2559" t="s">
        <v>1580</v>
      </c>
      <c r="B2559">
        <v>3</v>
      </c>
      <c r="C2559">
        <v>35</v>
      </c>
      <c r="D2559">
        <v>244</v>
      </c>
      <c r="E2559" t="s">
        <v>456</v>
      </c>
      <c r="F2559" s="12">
        <v>45715</v>
      </c>
      <c r="G2559" t="s">
        <v>1952</v>
      </c>
      <c r="H2559" s="12">
        <v>45715</v>
      </c>
      <c r="I2559" t="s">
        <v>402</v>
      </c>
      <c r="J2559" t="s">
        <v>458</v>
      </c>
      <c r="K2559">
        <v>2</v>
      </c>
      <c r="L2559">
        <v>35.700000000000003</v>
      </c>
      <c r="M2559">
        <v>35.6</v>
      </c>
      <c r="P2559" t="s">
        <v>106</v>
      </c>
      <c r="Q2559" t="s">
        <v>106</v>
      </c>
      <c r="R2559" t="s">
        <v>106</v>
      </c>
      <c r="S2559" t="s">
        <v>2381</v>
      </c>
      <c r="T2559" t="s">
        <v>1523</v>
      </c>
      <c r="U2559" t="s">
        <v>1631</v>
      </c>
      <c r="V2559" t="s">
        <v>106</v>
      </c>
      <c r="W2559" t="s">
        <v>557</v>
      </c>
      <c r="X2559" t="s">
        <v>106</v>
      </c>
      <c r="Y2559" t="s">
        <v>108</v>
      </c>
      <c r="Z2559" t="s">
        <v>108</v>
      </c>
      <c r="AA2559" t="s">
        <v>935</v>
      </c>
      <c r="AB2559" t="s">
        <v>106</v>
      </c>
    </row>
    <row r="2560" spans="1:28" x14ac:dyDescent="0.3">
      <c r="A2560" t="s">
        <v>1580</v>
      </c>
      <c r="B2560">
        <v>4</v>
      </c>
      <c r="C2560">
        <v>60</v>
      </c>
      <c r="D2560">
        <v>267</v>
      </c>
      <c r="E2560" t="s">
        <v>456</v>
      </c>
      <c r="F2560" s="12">
        <v>45715</v>
      </c>
      <c r="G2560" t="s">
        <v>1417</v>
      </c>
      <c r="H2560" s="12">
        <v>45715</v>
      </c>
      <c r="I2560" t="s">
        <v>1337</v>
      </c>
      <c r="J2560" t="s">
        <v>1522</v>
      </c>
      <c r="K2560">
        <v>2</v>
      </c>
      <c r="L2560">
        <v>60.6</v>
      </c>
      <c r="M2560">
        <v>60.8</v>
      </c>
      <c r="P2560" t="s">
        <v>106</v>
      </c>
      <c r="Q2560" t="s">
        <v>106</v>
      </c>
      <c r="R2560" t="s">
        <v>106</v>
      </c>
      <c r="S2560" t="s">
        <v>2130</v>
      </c>
      <c r="T2560" t="s">
        <v>1046</v>
      </c>
      <c r="U2560" t="s">
        <v>1590</v>
      </c>
      <c r="V2560" t="s">
        <v>106</v>
      </c>
      <c r="W2560" t="s">
        <v>476</v>
      </c>
      <c r="X2560" t="s">
        <v>106</v>
      </c>
      <c r="Y2560" t="s">
        <v>108</v>
      </c>
      <c r="Z2560" t="s">
        <v>104</v>
      </c>
      <c r="AA2560" t="s">
        <v>935</v>
      </c>
      <c r="AB2560" t="s">
        <v>106</v>
      </c>
    </row>
    <row r="2561" spans="1:28" x14ac:dyDescent="0.3">
      <c r="A2561" t="s">
        <v>1580</v>
      </c>
      <c r="B2561">
        <v>4</v>
      </c>
      <c r="C2561">
        <v>60</v>
      </c>
      <c r="D2561">
        <v>266</v>
      </c>
      <c r="E2561" t="s">
        <v>456</v>
      </c>
      <c r="F2561" s="12">
        <v>45715</v>
      </c>
      <c r="G2561" t="s">
        <v>1627</v>
      </c>
      <c r="H2561" s="12">
        <v>45715</v>
      </c>
      <c r="I2561" t="s">
        <v>1337</v>
      </c>
      <c r="J2561" t="s">
        <v>1522</v>
      </c>
      <c r="K2561">
        <v>2</v>
      </c>
      <c r="L2561">
        <v>55.4</v>
      </c>
      <c r="M2561">
        <v>55.5</v>
      </c>
      <c r="P2561" t="s">
        <v>106</v>
      </c>
      <c r="Q2561" t="s">
        <v>106</v>
      </c>
      <c r="R2561" t="s">
        <v>106</v>
      </c>
      <c r="S2561" t="s">
        <v>1484</v>
      </c>
      <c r="T2561" t="s">
        <v>1046</v>
      </c>
      <c r="U2561" t="s">
        <v>1482</v>
      </c>
      <c r="V2561" t="s">
        <v>106</v>
      </c>
      <c r="W2561" t="s">
        <v>476</v>
      </c>
      <c r="X2561" t="s">
        <v>106</v>
      </c>
      <c r="Y2561" t="s">
        <v>108</v>
      </c>
      <c r="Z2561" t="s">
        <v>104</v>
      </c>
      <c r="AA2561" t="s">
        <v>935</v>
      </c>
      <c r="AB2561" t="s">
        <v>106</v>
      </c>
    </row>
    <row r="2562" spans="1:28" x14ac:dyDescent="0.3">
      <c r="A2562" t="s">
        <v>1580</v>
      </c>
      <c r="B2562">
        <v>4</v>
      </c>
      <c r="C2562">
        <v>60</v>
      </c>
      <c r="D2562">
        <v>274</v>
      </c>
      <c r="E2562" t="s">
        <v>456</v>
      </c>
      <c r="F2562" s="12">
        <v>45715</v>
      </c>
      <c r="G2562" t="s">
        <v>1998</v>
      </c>
      <c r="H2562" s="12">
        <v>45715</v>
      </c>
      <c r="I2562" t="s">
        <v>1633</v>
      </c>
      <c r="J2562" t="s">
        <v>1522</v>
      </c>
      <c r="K2562">
        <v>2</v>
      </c>
      <c r="L2562">
        <v>59.2</v>
      </c>
      <c r="M2562">
        <v>59.3</v>
      </c>
      <c r="P2562" t="s">
        <v>106</v>
      </c>
      <c r="Q2562" t="s">
        <v>106</v>
      </c>
      <c r="R2562" t="s">
        <v>106</v>
      </c>
      <c r="S2562" t="s">
        <v>1783</v>
      </c>
      <c r="T2562" t="s">
        <v>1041</v>
      </c>
      <c r="U2562" t="s">
        <v>1736</v>
      </c>
      <c r="V2562" t="s">
        <v>106</v>
      </c>
      <c r="W2562" t="s">
        <v>476</v>
      </c>
      <c r="X2562" t="s">
        <v>106</v>
      </c>
      <c r="Y2562" t="s">
        <v>108</v>
      </c>
      <c r="Z2562" t="s">
        <v>104</v>
      </c>
      <c r="AA2562" t="s">
        <v>935</v>
      </c>
      <c r="AB2562" t="s">
        <v>106</v>
      </c>
    </row>
    <row r="2563" spans="1:28" x14ac:dyDescent="0.3">
      <c r="A2563" t="s">
        <v>1580</v>
      </c>
      <c r="B2563">
        <v>4</v>
      </c>
      <c r="C2563">
        <v>60</v>
      </c>
      <c r="D2563">
        <v>275</v>
      </c>
      <c r="E2563" t="s">
        <v>456</v>
      </c>
      <c r="F2563" s="12">
        <v>45715</v>
      </c>
      <c r="G2563" t="s">
        <v>2138</v>
      </c>
      <c r="H2563" s="12">
        <v>45715</v>
      </c>
      <c r="I2563" t="s">
        <v>1633</v>
      </c>
      <c r="J2563" t="s">
        <v>1522</v>
      </c>
      <c r="K2563">
        <v>2</v>
      </c>
      <c r="L2563">
        <v>60.4</v>
      </c>
      <c r="M2563">
        <v>60.9</v>
      </c>
      <c r="P2563" t="s">
        <v>106</v>
      </c>
      <c r="Q2563" t="s">
        <v>106</v>
      </c>
      <c r="R2563" t="s">
        <v>106</v>
      </c>
      <c r="S2563" t="s">
        <v>1714</v>
      </c>
      <c r="T2563" t="s">
        <v>1634</v>
      </c>
      <c r="U2563" t="s">
        <v>1626</v>
      </c>
      <c r="V2563" t="s">
        <v>106</v>
      </c>
      <c r="W2563" t="s">
        <v>476</v>
      </c>
      <c r="X2563" t="s">
        <v>106</v>
      </c>
      <c r="Y2563" t="s">
        <v>108</v>
      </c>
      <c r="Z2563" t="s">
        <v>104</v>
      </c>
      <c r="AA2563" t="s">
        <v>935</v>
      </c>
      <c r="AB2563" t="s">
        <v>106</v>
      </c>
    </row>
    <row r="2564" spans="1:28" x14ac:dyDescent="0.3">
      <c r="A2564" t="s">
        <v>1580</v>
      </c>
      <c r="B2564">
        <v>4</v>
      </c>
      <c r="C2564">
        <v>60</v>
      </c>
      <c r="D2564">
        <v>261</v>
      </c>
      <c r="E2564" t="s">
        <v>456</v>
      </c>
      <c r="F2564" s="12">
        <v>45715</v>
      </c>
      <c r="G2564" t="s">
        <v>737</v>
      </c>
      <c r="H2564" s="12">
        <v>45715</v>
      </c>
      <c r="I2564" t="s">
        <v>1903</v>
      </c>
      <c r="J2564" t="s">
        <v>1522</v>
      </c>
      <c r="K2564">
        <v>2</v>
      </c>
      <c r="L2564">
        <v>56.5</v>
      </c>
      <c r="M2564">
        <v>57.3</v>
      </c>
      <c r="P2564" t="s">
        <v>106</v>
      </c>
      <c r="Q2564" t="s">
        <v>106</v>
      </c>
      <c r="R2564" t="s">
        <v>106</v>
      </c>
      <c r="S2564" t="s">
        <v>2271</v>
      </c>
      <c r="T2564" t="s">
        <v>1057</v>
      </c>
      <c r="U2564" t="s">
        <v>106</v>
      </c>
      <c r="V2564" t="s">
        <v>106</v>
      </c>
      <c r="W2564" t="s">
        <v>476</v>
      </c>
      <c r="X2564" t="s">
        <v>106</v>
      </c>
      <c r="Y2564" t="s">
        <v>108</v>
      </c>
      <c r="Z2564" t="s">
        <v>104</v>
      </c>
      <c r="AA2564" t="s">
        <v>935</v>
      </c>
      <c r="AB2564" t="s">
        <v>106</v>
      </c>
    </row>
    <row r="2565" spans="1:28" x14ac:dyDescent="0.3">
      <c r="A2565" t="s">
        <v>1580</v>
      </c>
      <c r="B2565">
        <v>4</v>
      </c>
      <c r="C2565">
        <v>60</v>
      </c>
      <c r="D2565">
        <v>260</v>
      </c>
      <c r="E2565" t="s">
        <v>456</v>
      </c>
      <c r="F2565" s="12">
        <v>45715</v>
      </c>
      <c r="G2565" t="s">
        <v>737</v>
      </c>
      <c r="H2565" s="12">
        <v>45715</v>
      </c>
      <c r="I2565" t="s">
        <v>1903</v>
      </c>
      <c r="J2565" t="s">
        <v>1522</v>
      </c>
      <c r="K2565">
        <v>2</v>
      </c>
      <c r="L2565">
        <v>53.6</v>
      </c>
      <c r="M2565">
        <v>53.7</v>
      </c>
      <c r="P2565" t="s">
        <v>106</v>
      </c>
      <c r="Q2565" t="s">
        <v>106</v>
      </c>
      <c r="R2565" t="s">
        <v>106</v>
      </c>
      <c r="S2565" t="s">
        <v>2352</v>
      </c>
      <c r="T2565" t="s">
        <v>1547</v>
      </c>
      <c r="U2565" t="s">
        <v>106</v>
      </c>
      <c r="V2565" t="s">
        <v>106</v>
      </c>
      <c r="W2565" t="s">
        <v>476</v>
      </c>
      <c r="X2565" t="s">
        <v>106</v>
      </c>
      <c r="Y2565" t="s">
        <v>108</v>
      </c>
      <c r="Z2565" t="s">
        <v>104</v>
      </c>
      <c r="AA2565" t="s">
        <v>935</v>
      </c>
      <c r="AB2565" t="s">
        <v>106</v>
      </c>
    </row>
    <row r="2566" spans="1:28" x14ac:dyDescent="0.3">
      <c r="A2566" t="s">
        <v>1580</v>
      </c>
      <c r="B2566">
        <v>4</v>
      </c>
      <c r="C2566">
        <v>60</v>
      </c>
      <c r="D2566">
        <v>254</v>
      </c>
      <c r="E2566" t="s">
        <v>456</v>
      </c>
      <c r="F2566" s="12">
        <v>45715</v>
      </c>
      <c r="G2566" t="s">
        <v>834</v>
      </c>
      <c r="H2566" s="12">
        <v>45715</v>
      </c>
      <c r="I2566" t="s">
        <v>329</v>
      </c>
      <c r="J2566" t="s">
        <v>458</v>
      </c>
      <c r="K2566">
        <v>2</v>
      </c>
      <c r="L2566">
        <v>53.9</v>
      </c>
      <c r="M2566">
        <v>54</v>
      </c>
      <c r="P2566" t="s">
        <v>106</v>
      </c>
      <c r="Q2566" t="s">
        <v>106</v>
      </c>
      <c r="R2566" t="s">
        <v>106</v>
      </c>
      <c r="S2566" t="s">
        <v>2162</v>
      </c>
      <c r="T2566" t="s">
        <v>1069</v>
      </c>
      <c r="U2566" t="s">
        <v>904</v>
      </c>
      <c r="V2566" t="s">
        <v>106</v>
      </c>
      <c r="W2566" t="s">
        <v>557</v>
      </c>
      <c r="X2566" t="s">
        <v>106</v>
      </c>
      <c r="Y2566" t="s">
        <v>108</v>
      </c>
      <c r="Z2566" t="s">
        <v>104</v>
      </c>
      <c r="AA2566" t="s">
        <v>935</v>
      </c>
      <c r="AB2566" t="s">
        <v>106</v>
      </c>
    </row>
    <row r="2567" spans="1:28" x14ac:dyDescent="0.3">
      <c r="A2567" t="s">
        <v>1580</v>
      </c>
      <c r="B2567">
        <v>4</v>
      </c>
      <c r="C2567">
        <v>60</v>
      </c>
      <c r="D2567">
        <v>255</v>
      </c>
      <c r="E2567" t="s">
        <v>456</v>
      </c>
      <c r="F2567" s="12">
        <v>45715</v>
      </c>
      <c r="G2567" t="s">
        <v>2536</v>
      </c>
      <c r="H2567" s="12">
        <v>45715</v>
      </c>
      <c r="I2567" t="s">
        <v>329</v>
      </c>
      <c r="J2567" t="s">
        <v>458</v>
      </c>
      <c r="K2567">
        <v>2</v>
      </c>
      <c r="L2567">
        <v>55.8</v>
      </c>
      <c r="M2567">
        <v>55.9</v>
      </c>
      <c r="P2567" t="s">
        <v>106</v>
      </c>
      <c r="Q2567" t="s">
        <v>106</v>
      </c>
      <c r="R2567" t="s">
        <v>106</v>
      </c>
      <c r="S2567" t="s">
        <v>1964</v>
      </c>
      <c r="T2567" t="s">
        <v>1641</v>
      </c>
      <c r="U2567" t="s">
        <v>1356</v>
      </c>
      <c r="V2567" t="s">
        <v>106</v>
      </c>
      <c r="W2567" t="s">
        <v>557</v>
      </c>
      <c r="X2567" t="s">
        <v>106</v>
      </c>
      <c r="Y2567" t="s">
        <v>108</v>
      </c>
      <c r="Z2567" t="s">
        <v>104</v>
      </c>
      <c r="AA2567" t="s">
        <v>935</v>
      </c>
      <c r="AB2567" t="s">
        <v>106</v>
      </c>
    </row>
    <row r="2568" spans="1:28" x14ac:dyDescent="0.3">
      <c r="A2568" t="s">
        <v>1580</v>
      </c>
      <c r="B2568">
        <v>4</v>
      </c>
      <c r="C2568">
        <v>60</v>
      </c>
      <c r="D2568">
        <v>248</v>
      </c>
      <c r="E2568" t="s">
        <v>456</v>
      </c>
      <c r="F2568" s="12">
        <v>45715</v>
      </c>
      <c r="G2568" t="s">
        <v>422</v>
      </c>
      <c r="H2568" s="12">
        <v>45715</v>
      </c>
      <c r="I2568" t="s">
        <v>402</v>
      </c>
      <c r="J2568" t="s">
        <v>458</v>
      </c>
      <c r="K2568">
        <v>2</v>
      </c>
      <c r="L2568">
        <v>55.7</v>
      </c>
      <c r="M2568">
        <v>55.8</v>
      </c>
      <c r="P2568" t="s">
        <v>106</v>
      </c>
      <c r="Q2568" t="s">
        <v>106</v>
      </c>
      <c r="R2568" t="s">
        <v>106</v>
      </c>
      <c r="S2568" t="s">
        <v>1506</v>
      </c>
      <c r="T2568" t="s">
        <v>1403</v>
      </c>
      <c r="U2568" t="s">
        <v>2022</v>
      </c>
      <c r="V2568" t="s">
        <v>106</v>
      </c>
      <c r="W2568" t="s">
        <v>557</v>
      </c>
      <c r="X2568" t="s">
        <v>106</v>
      </c>
      <c r="Y2568" t="s">
        <v>108</v>
      </c>
      <c r="Z2568" t="s">
        <v>104</v>
      </c>
      <c r="AA2568" t="s">
        <v>935</v>
      </c>
      <c r="AB2568" t="s">
        <v>106</v>
      </c>
    </row>
    <row r="2569" spans="1:28" x14ac:dyDescent="0.3">
      <c r="A2569" t="s">
        <v>1580</v>
      </c>
      <c r="B2569">
        <v>4</v>
      </c>
      <c r="C2569">
        <v>60</v>
      </c>
      <c r="D2569">
        <v>247</v>
      </c>
      <c r="E2569" t="s">
        <v>456</v>
      </c>
      <c r="F2569" s="12">
        <v>45715</v>
      </c>
      <c r="G2569" t="s">
        <v>390</v>
      </c>
      <c r="H2569" s="12">
        <v>45715</v>
      </c>
      <c r="I2569" t="s">
        <v>402</v>
      </c>
      <c r="J2569" t="s">
        <v>458</v>
      </c>
      <c r="K2569">
        <v>2</v>
      </c>
      <c r="L2569">
        <v>56.3</v>
      </c>
      <c r="M2569">
        <v>56.2</v>
      </c>
      <c r="P2569" t="s">
        <v>106</v>
      </c>
      <c r="Q2569" t="s">
        <v>106</v>
      </c>
      <c r="R2569" t="s">
        <v>106</v>
      </c>
      <c r="S2569" t="s">
        <v>2755</v>
      </c>
      <c r="T2569" t="s">
        <v>1650</v>
      </c>
      <c r="U2569" t="s">
        <v>1351</v>
      </c>
      <c r="V2569" t="s">
        <v>106</v>
      </c>
      <c r="W2569" t="s">
        <v>557</v>
      </c>
      <c r="X2569" t="s">
        <v>106</v>
      </c>
      <c r="Y2569" t="s">
        <v>108</v>
      </c>
      <c r="Z2569" t="s">
        <v>104</v>
      </c>
      <c r="AA2569" t="s">
        <v>935</v>
      </c>
      <c r="AB2569" t="s">
        <v>106</v>
      </c>
    </row>
    <row r="2570" spans="1:28" x14ac:dyDescent="0.3">
      <c r="A2570" t="s">
        <v>1580</v>
      </c>
      <c r="B2570">
        <v>4</v>
      </c>
      <c r="C2570">
        <v>60</v>
      </c>
      <c r="D2570">
        <v>242</v>
      </c>
      <c r="E2570" t="s">
        <v>456</v>
      </c>
      <c r="F2570" s="12">
        <v>45715</v>
      </c>
      <c r="G2570" t="s">
        <v>324</v>
      </c>
      <c r="H2570" s="12">
        <v>45715</v>
      </c>
      <c r="I2570" t="s">
        <v>1283</v>
      </c>
      <c r="J2570" t="s">
        <v>458</v>
      </c>
      <c r="K2570">
        <v>2</v>
      </c>
      <c r="L2570">
        <v>53.6</v>
      </c>
      <c r="M2570">
        <v>53.8</v>
      </c>
      <c r="P2570" t="s">
        <v>106</v>
      </c>
      <c r="Q2570" t="s">
        <v>106</v>
      </c>
      <c r="R2570" t="s">
        <v>106</v>
      </c>
      <c r="S2570" t="s">
        <v>2646</v>
      </c>
      <c r="T2570" t="s">
        <v>1041</v>
      </c>
      <c r="U2570" t="s">
        <v>1418</v>
      </c>
      <c r="V2570" t="s">
        <v>106</v>
      </c>
      <c r="W2570" t="s">
        <v>954</v>
      </c>
      <c r="X2570" t="s">
        <v>106</v>
      </c>
      <c r="Y2570" t="s">
        <v>108</v>
      </c>
      <c r="Z2570" t="s">
        <v>104</v>
      </c>
      <c r="AA2570" t="s">
        <v>935</v>
      </c>
      <c r="AB2570" t="s">
        <v>2241</v>
      </c>
    </row>
    <row r="2571" spans="1:28" x14ac:dyDescent="0.3">
      <c r="A2571" t="s">
        <v>1580</v>
      </c>
      <c r="B2571">
        <v>4</v>
      </c>
      <c r="C2571">
        <v>60</v>
      </c>
      <c r="D2571">
        <v>241</v>
      </c>
      <c r="E2571" t="s">
        <v>456</v>
      </c>
      <c r="F2571" s="12">
        <v>45715</v>
      </c>
      <c r="G2571" t="s">
        <v>704</v>
      </c>
      <c r="H2571" s="12">
        <v>45715</v>
      </c>
      <c r="I2571" t="s">
        <v>1283</v>
      </c>
      <c r="J2571" t="s">
        <v>458</v>
      </c>
      <c r="K2571">
        <v>2</v>
      </c>
      <c r="L2571">
        <v>55.3</v>
      </c>
      <c r="M2571">
        <v>55.4</v>
      </c>
      <c r="P2571" t="s">
        <v>106</v>
      </c>
      <c r="Q2571" t="s">
        <v>106</v>
      </c>
      <c r="R2571" t="s">
        <v>106</v>
      </c>
      <c r="S2571" t="s">
        <v>1983</v>
      </c>
      <c r="T2571" t="s">
        <v>2200</v>
      </c>
      <c r="U2571" t="s">
        <v>1604</v>
      </c>
      <c r="V2571" t="s">
        <v>106</v>
      </c>
      <c r="W2571" t="s">
        <v>954</v>
      </c>
      <c r="X2571" t="s">
        <v>106</v>
      </c>
      <c r="Y2571" t="s">
        <v>108</v>
      </c>
      <c r="Z2571" t="s">
        <v>104</v>
      </c>
      <c r="AA2571" t="s">
        <v>935</v>
      </c>
      <c r="AB2571" t="s">
        <v>106</v>
      </c>
    </row>
    <row r="2572" spans="1:28" x14ac:dyDescent="0.3">
      <c r="A2572" t="s">
        <v>1580</v>
      </c>
      <c r="B2572">
        <v>4</v>
      </c>
      <c r="C2572">
        <v>60</v>
      </c>
      <c r="D2572">
        <v>240</v>
      </c>
      <c r="E2572" t="s">
        <v>456</v>
      </c>
      <c r="F2572" s="12">
        <v>45715</v>
      </c>
      <c r="G2572" t="s">
        <v>847</v>
      </c>
      <c r="H2572" s="12">
        <v>45715</v>
      </c>
      <c r="I2572" t="s">
        <v>1283</v>
      </c>
      <c r="J2572" t="s">
        <v>458</v>
      </c>
      <c r="K2572">
        <v>2</v>
      </c>
      <c r="L2572">
        <v>56.2</v>
      </c>
      <c r="M2572">
        <v>56.8</v>
      </c>
      <c r="P2572" t="s">
        <v>106</v>
      </c>
      <c r="Q2572" t="s">
        <v>106</v>
      </c>
      <c r="R2572" t="s">
        <v>106</v>
      </c>
      <c r="S2572" t="s">
        <v>2231</v>
      </c>
      <c r="T2572" t="s">
        <v>1657</v>
      </c>
      <c r="U2572" t="s">
        <v>1411</v>
      </c>
      <c r="V2572" t="s">
        <v>106</v>
      </c>
      <c r="W2572" t="s">
        <v>954</v>
      </c>
      <c r="X2572" t="s">
        <v>106</v>
      </c>
      <c r="Y2572" t="s">
        <v>108</v>
      </c>
      <c r="Z2572" t="s">
        <v>104</v>
      </c>
      <c r="AA2572" t="s">
        <v>935</v>
      </c>
      <c r="AB2572" t="s">
        <v>106</v>
      </c>
    </row>
    <row r="2573" spans="1:28" x14ac:dyDescent="0.3">
      <c r="A2573" t="s">
        <v>1580</v>
      </c>
      <c r="B2573">
        <v>4</v>
      </c>
      <c r="C2573">
        <v>60</v>
      </c>
      <c r="D2573">
        <v>239</v>
      </c>
      <c r="E2573" t="s">
        <v>456</v>
      </c>
      <c r="F2573" s="12">
        <v>45715</v>
      </c>
      <c r="G2573" t="s">
        <v>559</v>
      </c>
      <c r="H2573" s="12">
        <v>45715</v>
      </c>
      <c r="I2573" t="s">
        <v>1283</v>
      </c>
      <c r="J2573" t="s">
        <v>458</v>
      </c>
      <c r="K2573">
        <v>2</v>
      </c>
      <c r="L2573">
        <v>54.7</v>
      </c>
      <c r="M2573">
        <v>55.6</v>
      </c>
      <c r="P2573" t="s">
        <v>106</v>
      </c>
      <c r="Q2573" t="s">
        <v>106</v>
      </c>
      <c r="R2573" t="s">
        <v>106</v>
      </c>
      <c r="S2573" t="s">
        <v>2553</v>
      </c>
      <c r="T2573" t="s">
        <v>882</v>
      </c>
      <c r="U2573" t="s">
        <v>1780</v>
      </c>
      <c r="V2573" t="s">
        <v>106</v>
      </c>
      <c r="W2573" t="s">
        <v>954</v>
      </c>
      <c r="X2573" t="s">
        <v>106</v>
      </c>
      <c r="Y2573" t="s">
        <v>108</v>
      </c>
      <c r="Z2573" t="s">
        <v>104</v>
      </c>
      <c r="AA2573" t="s">
        <v>935</v>
      </c>
      <c r="AB2573" t="s">
        <v>106</v>
      </c>
    </row>
    <row r="2574" spans="1:28" x14ac:dyDescent="0.3">
      <c r="A2574" t="s">
        <v>1580</v>
      </c>
      <c r="B2574">
        <v>4</v>
      </c>
      <c r="C2574">
        <v>60</v>
      </c>
      <c r="D2574">
        <v>232</v>
      </c>
      <c r="E2574" t="s">
        <v>456</v>
      </c>
      <c r="F2574" s="12">
        <v>45715</v>
      </c>
      <c r="G2574" t="s">
        <v>1429</v>
      </c>
      <c r="H2574" s="12">
        <v>45715</v>
      </c>
      <c r="I2574" t="s">
        <v>1457</v>
      </c>
      <c r="J2574" t="s">
        <v>477</v>
      </c>
      <c r="L2574">
        <v>62.1</v>
      </c>
      <c r="M2574">
        <v>62.5</v>
      </c>
      <c r="P2574" t="s">
        <v>106</v>
      </c>
      <c r="Q2574" t="s">
        <v>106</v>
      </c>
      <c r="R2574" t="s">
        <v>106</v>
      </c>
      <c r="S2574" t="s">
        <v>1373</v>
      </c>
      <c r="T2574" t="s">
        <v>875</v>
      </c>
      <c r="U2574" t="s">
        <v>1356</v>
      </c>
      <c r="V2574" t="s">
        <v>106</v>
      </c>
      <c r="W2574" t="s">
        <v>954</v>
      </c>
      <c r="X2574" t="s">
        <v>106</v>
      </c>
      <c r="Y2574" t="s">
        <v>108</v>
      </c>
      <c r="Z2574" t="s">
        <v>104</v>
      </c>
      <c r="AA2574" t="s">
        <v>935</v>
      </c>
      <c r="AB2574" t="s">
        <v>106</v>
      </c>
    </row>
    <row r="2575" spans="1:28" x14ac:dyDescent="0.3">
      <c r="A2575" t="s">
        <v>1580</v>
      </c>
      <c r="B2575">
        <v>4</v>
      </c>
      <c r="C2575">
        <v>60</v>
      </c>
      <c r="D2575">
        <v>231</v>
      </c>
      <c r="E2575" t="s">
        <v>456</v>
      </c>
      <c r="F2575" s="12">
        <v>45715</v>
      </c>
      <c r="G2575" t="s">
        <v>1770</v>
      </c>
      <c r="H2575" s="12">
        <v>45715</v>
      </c>
      <c r="I2575" t="s">
        <v>1457</v>
      </c>
      <c r="J2575" t="s">
        <v>477</v>
      </c>
      <c r="L2575">
        <v>57.9</v>
      </c>
      <c r="M2575">
        <v>57.9</v>
      </c>
      <c r="P2575" t="s">
        <v>106</v>
      </c>
      <c r="Q2575" t="s">
        <v>106</v>
      </c>
      <c r="R2575" t="s">
        <v>106</v>
      </c>
      <c r="S2575" t="s">
        <v>2755</v>
      </c>
      <c r="T2575" t="s">
        <v>882</v>
      </c>
      <c r="U2575" t="s">
        <v>1738</v>
      </c>
      <c r="V2575" t="s">
        <v>106</v>
      </c>
      <c r="W2575" t="s">
        <v>954</v>
      </c>
      <c r="X2575" t="s">
        <v>106</v>
      </c>
      <c r="Y2575" t="s">
        <v>108</v>
      </c>
      <c r="Z2575" t="s">
        <v>104</v>
      </c>
      <c r="AA2575" t="s">
        <v>935</v>
      </c>
      <c r="AB2575" t="s">
        <v>106</v>
      </c>
    </row>
    <row r="2576" spans="1:28" x14ac:dyDescent="0.3">
      <c r="A2576" t="s">
        <v>1580</v>
      </c>
      <c r="B2576">
        <v>4</v>
      </c>
      <c r="C2576">
        <v>60</v>
      </c>
      <c r="D2576">
        <v>253</v>
      </c>
      <c r="E2576" t="s">
        <v>456</v>
      </c>
      <c r="F2576" s="12">
        <v>45715</v>
      </c>
      <c r="G2576" t="s">
        <v>687</v>
      </c>
      <c r="H2576" s="12">
        <v>45715</v>
      </c>
      <c r="I2576" t="s">
        <v>329</v>
      </c>
      <c r="J2576" t="s">
        <v>458</v>
      </c>
      <c r="K2576">
        <v>2</v>
      </c>
      <c r="L2576">
        <v>55.7</v>
      </c>
      <c r="M2576">
        <v>55.8</v>
      </c>
      <c r="P2576" t="s">
        <v>106</v>
      </c>
      <c r="Q2576" t="s">
        <v>106</v>
      </c>
      <c r="R2576" t="s">
        <v>106</v>
      </c>
      <c r="S2576" t="s">
        <v>1816</v>
      </c>
      <c r="T2576" t="s">
        <v>747</v>
      </c>
      <c r="U2576" t="s">
        <v>1738</v>
      </c>
      <c r="V2576" t="s">
        <v>106</v>
      </c>
      <c r="W2576" t="s">
        <v>557</v>
      </c>
      <c r="X2576" t="s">
        <v>106</v>
      </c>
      <c r="Y2576" t="s">
        <v>108</v>
      </c>
      <c r="Z2576" t="s">
        <v>104</v>
      </c>
      <c r="AA2576" t="s">
        <v>935</v>
      </c>
      <c r="AB2576" t="s">
        <v>106</v>
      </c>
    </row>
    <row r="2577" spans="1:28" x14ac:dyDescent="0.3">
      <c r="A2577" t="s">
        <v>1580</v>
      </c>
      <c r="B2577">
        <v>4</v>
      </c>
      <c r="C2577">
        <v>60</v>
      </c>
      <c r="D2577">
        <v>268</v>
      </c>
      <c r="E2577" t="s">
        <v>456</v>
      </c>
      <c r="F2577" s="12">
        <v>45715</v>
      </c>
      <c r="G2577" t="s">
        <v>2165</v>
      </c>
      <c r="H2577" s="12">
        <v>45715</v>
      </c>
      <c r="I2577" t="s">
        <v>1337</v>
      </c>
      <c r="J2577" t="s">
        <v>1522</v>
      </c>
      <c r="K2577">
        <v>2</v>
      </c>
      <c r="L2577">
        <v>59.7</v>
      </c>
      <c r="M2577">
        <v>60.8</v>
      </c>
      <c r="P2577" t="s">
        <v>106</v>
      </c>
      <c r="Q2577" t="s">
        <v>106</v>
      </c>
      <c r="R2577" t="s">
        <v>106</v>
      </c>
      <c r="S2577" t="s">
        <v>1798</v>
      </c>
      <c r="T2577" t="s">
        <v>1090</v>
      </c>
      <c r="U2577" t="s">
        <v>1483</v>
      </c>
      <c r="V2577" t="s">
        <v>106</v>
      </c>
      <c r="W2577" t="s">
        <v>476</v>
      </c>
      <c r="X2577" t="s">
        <v>106</v>
      </c>
      <c r="Y2577" t="s">
        <v>108</v>
      </c>
      <c r="Z2577" t="s">
        <v>104</v>
      </c>
      <c r="AA2577" t="s">
        <v>935</v>
      </c>
      <c r="AB2577" t="s">
        <v>106</v>
      </c>
    </row>
    <row r="2578" spans="1:28" x14ac:dyDescent="0.3">
      <c r="A2578" t="s">
        <v>1580</v>
      </c>
      <c r="B2578">
        <v>2</v>
      </c>
      <c r="C2578">
        <v>15</v>
      </c>
      <c r="D2578">
        <v>282</v>
      </c>
      <c r="E2578" t="s">
        <v>456</v>
      </c>
      <c r="F2578" s="12">
        <v>45716</v>
      </c>
      <c r="G2578" t="s">
        <v>554</v>
      </c>
      <c r="H2578" s="12">
        <v>45716</v>
      </c>
      <c r="I2578" t="s">
        <v>2099</v>
      </c>
      <c r="J2578" t="s">
        <v>458</v>
      </c>
      <c r="K2578">
        <v>2</v>
      </c>
      <c r="L2578">
        <v>13.5</v>
      </c>
      <c r="M2578">
        <v>13.6</v>
      </c>
      <c r="P2578" t="s">
        <v>106</v>
      </c>
      <c r="Q2578" t="s">
        <v>106</v>
      </c>
      <c r="R2578" t="s">
        <v>106</v>
      </c>
      <c r="S2578" t="s">
        <v>2144</v>
      </c>
      <c r="T2578" t="s">
        <v>937</v>
      </c>
      <c r="U2578" t="s">
        <v>1539</v>
      </c>
      <c r="V2578" t="s">
        <v>106</v>
      </c>
      <c r="W2578" t="s">
        <v>476</v>
      </c>
      <c r="X2578" t="s">
        <v>106</v>
      </c>
      <c r="Y2578" t="s">
        <v>108</v>
      </c>
      <c r="Z2578" t="s">
        <v>109</v>
      </c>
      <c r="AA2578" t="s">
        <v>935</v>
      </c>
      <c r="AB2578" t="s">
        <v>106</v>
      </c>
    </row>
    <row r="2579" spans="1:28" x14ac:dyDescent="0.3">
      <c r="A2579" t="s">
        <v>1580</v>
      </c>
      <c r="B2579">
        <v>2</v>
      </c>
      <c r="C2579">
        <v>15</v>
      </c>
      <c r="D2579">
        <v>283</v>
      </c>
      <c r="E2579" t="s">
        <v>456</v>
      </c>
      <c r="F2579" s="12">
        <v>45716</v>
      </c>
      <c r="G2579" t="s">
        <v>2246</v>
      </c>
      <c r="H2579" s="12">
        <v>45716</v>
      </c>
      <c r="I2579" t="s">
        <v>2099</v>
      </c>
      <c r="J2579" t="s">
        <v>458</v>
      </c>
      <c r="K2579">
        <v>2</v>
      </c>
      <c r="L2579">
        <v>15</v>
      </c>
      <c r="M2579">
        <v>15.2</v>
      </c>
      <c r="P2579" t="s">
        <v>106</v>
      </c>
      <c r="Q2579" t="s">
        <v>106</v>
      </c>
      <c r="R2579" t="s">
        <v>106</v>
      </c>
      <c r="S2579" t="s">
        <v>2247</v>
      </c>
      <c r="T2579" t="s">
        <v>1214</v>
      </c>
      <c r="U2579" t="s">
        <v>1353</v>
      </c>
      <c r="V2579" t="s">
        <v>106</v>
      </c>
      <c r="W2579" t="s">
        <v>476</v>
      </c>
      <c r="X2579" t="s">
        <v>106</v>
      </c>
      <c r="Y2579" t="s">
        <v>108</v>
      </c>
      <c r="Z2579" t="s">
        <v>109</v>
      </c>
      <c r="AA2579" t="s">
        <v>935</v>
      </c>
      <c r="AB2579" t="s">
        <v>106</v>
      </c>
    </row>
    <row r="2580" spans="1:28" x14ac:dyDescent="0.3">
      <c r="A2580" t="s">
        <v>1580</v>
      </c>
      <c r="B2580">
        <v>2</v>
      </c>
      <c r="C2580">
        <v>15</v>
      </c>
      <c r="D2580">
        <v>286</v>
      </c>
      <c r="E2580" t="s">
        <v>456</v>
      </c>
      <c r="F2580" s="12">
        <v>45716</v>
      </c>
      <c r="G2580" t="s">
        <v>1799</v>
      </c>
      <c r="H2580" s="12">
        <v>45716</v>
      </c>
      <c r="I2580" t="s">
        <v>1770</v>
      </c>
      <c r="J2580" t="s">
        <v>458</v>
      </c>
      <c r="K2580">
        <v>2</v>
      </c>
      <c r="L2580">
        <v>13.3</v>
      </c>
      <c r="M2580">
        <v>13.6</v>
      </c>
      <c r="P2580" t="s">
        <v>106</v>
      </c>
      <c r="Q2580" t="s">
        <v>106</v>
      </c>
      <c r="R2580" t="s">
        <v>106</v>
      </c>
      <c r="S2580" t="s">
        <v>2248</v>
      </c>
      <c r="T2580" t="s">
        <v>1046</v>
      </c>
      <c r="U2580" t="s">
        <v>1600</v>
      </c>
      <c r="V2580" t="s">
        <v>106</v>
      </c>
      <c r="W2580" t="s">
        <v>557</v>
      </c>
      <c r="X2580" t="s">
        <v>106</v>
      </c>
      <c r="Y2580" t="s">
        <v>108</v>
      </c>
      <c r="Z2580" t="s">
        <v>109</v>
      </c>
      <c r="AA2580" t="s">
        <v>935</v>
      </c>
      <c r="AB2580" t="s">
        <v>106</v>
      </c>
    </row>
    <row r="2581" spans="1:28" x14ac:dyDescent="0.3">
      <c r="A2581" t="s">
        <v>1580</v>
      </c>
      <c r="B2581">
        <v>2</v>
      </c>
      <c r="C2581">
        <v>15</v>
      </c>
      <c r="D2581">
        <v>287</v>
      </c>
      <c r="E2581" t="s">
        <v>456</v>
      </c>
      <c r="F2581" s="12">
        <v>45716</v>
      </c>
      <c r="G2581" t="s">
        <v>1636</v>
      </c>
      <c r="H2581" s="12">
        <v>45716</v>
      </c>
      <c r="I2581" t="s">
        <v>1770</v>
      </c>
      <c r="J2581" t="s">
        <v>458</v>
      </c>
      <c r="K2581">
        <v>2</v>
      </c>
      <c r="L2581">
        <v>13.1</v>
      </c>
      <c r="M2581">
        <v>13.4</v>
      </c>
      <c r="P2581" t="s">
        <v>106</v>
      </c>
      <c r="Q2581" t="s">
        <v>106</v>
      </c>
      <c r="R2581" t="s">
        <v>106</v>
      </c>
      <c r="S2581" t="s">
        <v>1711</v>
      </c>
      <c r="T2581" t="s">
        <v>645</v>
      </c>
      <c r="U2581" t="s">
        <v>1410</v>
      </c>
      <c r="V2581" t="s">
        <v>106</v>
      </c>
      <c r="W2581" t="s">
        <v>557</v>
      </c>
      <c r="X2581" t="s">
        <v>106</v>
      </c>
      <c r="Y2581" t="s">
        <v>108</v>
      </c>
      <c r="Z2581" t="s">
        <v>109</v>
      </c>
      <c r="AA2581" t="s">
        <v>935</v>
      </c>
      <c r="AB2581" t="s">
        <v>106</v>
      </c>
    </row>
    <row r="2582" spans="1:28" x14ac:dyDescent="0.3">
      <c r="A2582" t="s">
        <v>1580</v>
      </c>
      <c r="B2582">
        <v>2</v>
      </c>
      <c r="C2582">
        <v>15</v>
      </c>
      <c r="D2582">
        <v>292</v>
      </c>
      <c r="E2582" t="s">
        <v>456</v>
      </c>
      <c r="F2582" s="12">
        <v>45716</v>
      </c>
      <c r="G2582" t="s">
        <v>1694</v>
      </c>
      <c r="H2582" s="12">
        <v>45716</v>
      </c>
      <c r="I2582" t="s">
        <v>1052</v>
      </c>
      <c r="J2582" t="s">
        <v>458</v>
      </c>
      <c r="K2582">
        <v>2</v>
      </c>
      <c r="L2582">
        <v>12.7</v>
      </c>
      <c r="M2582">
        <v>12.8</v>
      </c>
      <c r="P2582" t="s">
        <v>106</v>
      </c>
      <c r="Q2582" t="s">
        <v>106</v>
      </c>
      <c r="R2582" t="s">
        <v>106</v>
      </c>
      <c r="S2582" t="s">
        <v>1630</v>
      </c>
      <c r="T2582" t="s">
        <v>1516</v>
      </c>
      <c r="U2582" t="s">
        <v>1736</v>
      </c>
      <c r="V2582" t="s">
        <v>106</v>
      </c>
      <c r="W2582" t="s">
        <v>557</v>
      </c>
      <c r="X2582" t="s">
        <v>106</v>
      </c>
      <c r="Y2582" t="s">
        <v>108</v>
      </c>
      <c r="Z2582" t="s">
        <v>109</v>
      </c>
      <c r="AA2582" t="s">
        <v>935</v>
      </c>
      <c r="AB2582" t="s">
        <v>106</v>
      </c>
    </row>
    <row r="2583" spans="1:28" x14ac:dyDescent="0.3">
      <c r="A2583" t="s">
        <v>1580</v>
      </c>
      <c r="B2583">
        <v>2</v>
      </c>
      <c r="C2583">
        <v>15</v>
      </c>
      <c r="D2583">
        <v>293</v>
      </c>
      <c r="E2583" t="s">
        <v>456</v>
      </c>
      <c r="F2583" s="12">
        <v>45716</v>
      </c>
      <c r="G2583" t="s">
        <v>751</v>
      </c>
      <c r="H2583" s="12">
        <v>45716</v>
      </c>
      <c r="I2583" t="s">
        <v>1052</v>
      </c>
      <c r="J2583" t="s">
        <v>458</v>
      </c>
      <c r="K2583">
        <v>2</v>
      </c>
      <c r="L2583">
        <v>14.8</v>
      </c>
      <c r="M2583">
        <v>14.7</v>
      </c>
      <c r="P2583" t="s">
        <v>106</v>
      </c>
      <c r="Q2583" t="s">
        <v>106</v>
      </c>
      <c r="R2583" t="s">
        <v>106</v>
      </c>
      <c r="S2583" t="s">
        <v>2249</v>
      </c>
      <c r="T2583" t="s">
        <v>829</v>
      </c>
      <c r="U2583" t="s">
        <v>1359</v>
      </c>
      <c r="V2583" t="s">
        <v>106</v>
      </c>
      <c r="W2583" t="s">
        <v>557</v>
      </c>
      <c r="X2583" t="s">
        <v>106</v>
      </c>
      <c r="Y2583" t="s">
        <v>108</v>
      </c>
      <c r="Z2583" t="s">
        <v>109</v>
      </c>
      <c r="AA2583" t="s">
        <v>935</v>
      </c>
      <c r="AB2583" t="s">
        <v>106</v>
      </c>
    </row>
    <row r="2584" spans="1:28" x14ac:dyDescent="0.3">
      <c r="A2584" t="s">
        <v>1580</v>
      </c>
      <c r="B2584">
        <v>3</v>
      </c>
      <c r="C2584">
        <v>35</v>
      </c>
      <c r="D2584">
        <v>278</v>
      </c>
      <c r="E2584" t="s">
        <v>456</v>
      </c>
      <c r="F2584" s="12">
        <v>45716</v>
      </c>
      <c r="G2584" t="s">
        <v>1007</v>
      </c>
      <c r="H2584" s="12">
        <v>45716</v>
      </c>
      <c r="I2584" t="s">
        <v>2099</v>
      </c>
      <c r="J2584" t="s">
        <v>458</v>
      </c>
      <c r="K2584">
        <v>2</v>
      </c>
      <c r="L2584">
        <v>32.6</v>
      </c>
      <c r="M2584">
        <v>32.799999999999997</v>
      </c>
      <c r="P2584" t="s">
        <v>106</v>
      </c>
      <c r="Q2584" t="s">
        <v>106</v>
      </c>
      <c r="R2584" t="s">
        <v>106</v>
      </c>
      <c r="S2584" t="s">
        <v>2248</v>
      </c>
      <c r="T2584" t="s">
        <v>934</v>
      </c>
      <c r="U2584" t="s">
        <v>1359</v>
      </c>
      <c r="V2584" t="s">
        <v>106</v>
      </c>
      <c r="W2584" t="s">
        <v>476</v>
      </c>
      <c r="X2584" t="s">
        <v>106</v>
      </c>
      <c r="Y2584" t="s">
        <v>108</v>
      </c>
      <c r="Z2584" t="s">
        <v>108</v>
      </c>
      <c r="AA2584" t="s">
        <v>935</v>
      </c>
      <c r="AB2584" t="s">
        <v>106</v>
      </c>
    </row>
    <row r="2585" spans="1:28" x14ac:dyDescent="0.3">
      <c r="A2585" t="s">
        <v>1580</v>
      </c>
      <c r="B2585">
        <v>3</v>
      </c>
      <c r="C2585">
        <v>35</v>
      </c>
      <c r="D2585">
        <v>284</v>
      </c>
      <c r="E2585" t="s">
        <v>456</v>
      </c>
      <c r="F2585" s="12">
        <v>45716</v>
      </c>
      <c r="G2585" t="s">
        <v>2304</v>
      </c>
      <c r="H2585" s="12">
        <v>45716</v>
      </c>
      <c r="I2585" t="s">
        <v>1770</v>
      </c>
      <c r="J2585" t="s">
        <v>458</v>
      </c>
      <c r="K2585">
        <v>2</v>
      </c>
      <c r="L2585">
        <v>31.5</v>
      </c>
      <c r="M2585">
        <v>33</v>
      </c>
      <c r="P2585" t="s">
        <v>106</v>
      </c>
      <c r="Q2585" t="s">
        <v>106</v>
      </c>
      <c r="R2585" t="s">
        <v>106</v>
      </c>
      <c r="S2585" t="s">
        <v>1814</v>
      </c>
      <c r="T2585" t="s">
        <v>828</v>
      </c>
      <c r="U2585" t="s">
        <v>1482</v>
      </c>
      <c r="V2585" t="s">
        <v>106</v>
      </c>
      <c r="W2585" t="s">
        <v>557</v>
      </c>
      <c r="X2585" t="s">
        <v>106</v>
      </c>
      <c r="Y2585" t="s">
        <v>108</v>
      </c>
      <c r="Z2585" t="s">
        <v>108</v>
      </c>
      <c r="AA2585" t="s">
        <v>935</v>
      </c>
      <c r="AB2585" t="s">
        <v>106</v>
      </c>
    </row>
    <row r="2586" spans="1:28" x14ac:dyDescent="0.3">
      <c r="A2586" t="s">
        <v>1580</v>
      </c>
      <c r="B2586">
        <v>3</v>
      </c>
      <c r="C2586">
        <v>35</v>
      </c>
      <c r="D2586">
        <v>285</v>
      </c>
      <c r="E2586" t="s">
        <v>456</v>
      </c>
      <c r="F2586" s="12">
        <v>45716</v>
      </c>
      <c r="G2586" t="s">
        <v>2304</v>
      </c>
      <c r="H2586" s="12">
        <v>45716</v>
      </c>
      <c r="I2586" t="s">
        <v>1770</v>
      </c>
      <c r="J2586" t="s">
        <v>458</v>
      </c>
      <c r="K2586">
        <v>2</v>
      </c>
      <c r="L2586">
        <v>31.5</v>
      </c>
      <c r="M2586">
        <v>33</v>
      </c>
      <c r="P2586" t="s">
        <v>106</v>
      </c>
      <c r="Q2586" t="s">
        <v>106</v>
      </c>
      <c r="R2586" t="s">
        <v>106</v>
      </c>
      <c r="S2586" t="s">
        <v>1912</v>
      </c>
      <c r="T2586" t="s">
        <v>937</v>
      </c>
      <c r="U2586" t="s">
        <v>1596</v>
      </c>
      <c r="V2586" t="s">
        <v>106</v>
      </c>
      <c r="W2586" t="s">
        <v>557</v>
      </c>
      <c r="X2586" t="s">
        <v>106</v>
      </c>
      <c r="Y2586" t="s">
        <v>108</v>
      </c>
      <c r="Z2586" t="s">
        <v>108</v>
      </c>
      <c r="AA2586" t="s">
        <v>935</v>
      </c>
      <c r="AB2586" t="s">
        <v>106</v>
      </c>
    </row>
    <row r="2587" spans="1:28" x14ac:dyDescent="0.3">
      <c r="A2587" t="s">
        <v>1580</v>
      </c>
      <c r="B2587">
        <v>3</v>
      </c>
      <c r="C2587">
        <v>35</v>
      </c>
      <c r="D2587">
        <v>290</v>
      </c>
      <c r="E2587" t="s">
        <v>456</v>
      </c>
      <c r="F2587" s="12">
        <v>45716</v>
      </c>
      <c r="G2587" t="s">
        <v>1737</v>
      </c>
      <c r="H2587" s="12">
        <v>45716</v>
      </c>
      <c r="I2587" t="s">
        <v>1052</v>
      </c>
      <c r="J2587" t="s">
        <v>458</v>
      </c>
      <c r="K2587">
        <v>2</v>
      </c>
      <c r="L2587">
        <v>32.299999999999997</v>
      </c>
      <c r="M2587">
        <v>33</v>
      </c>
      <c r="P2587" t="s">
        <v>106</v>
      </c>
      <c r="Q2587" t="s">
        <v>106</v>
      </c>
      <c r="R2587" t="s">
        <v>106</v>
      </c>
      <c r="S2587" t="s">
        <v>1884</v>
      </c>
      <c r="T2587" t="s">
        <v>1619</v>
      </c>
      <c r="U2587" t="s">
        <v>1736</v>
      </c>
      <c r="V2587" t="s">
        <v>106</v>
      </c>
      <c r="W2587" t="s">
        <v>557</v>
      </c>
      <c r="X2587" t="s">
        <v>106</v>
      </c>
      <c r="Y2587" t="s">
        <v>108</v>
      </c>
      <c r="Z2587" t="s">
        <v>108</v>
      </c>
      <c r="AA2587" t="s">
        <v>935</v>
      </c>
      <c r="AB2587" t="s">
        <v>106</v>
      </c>
    </row>
    <row r="2588" spans="1:28" x14ac:dyDescent="0.3">
      <c r="A2588" t="s">
        <v>1580</v>
      </c>
      <c r="B2588">
        <v>3</v>
      </c>
      <c r="C2588">
        <v>35</v>
      </c>
      <c r="D2588">
        <v>291</v>
      </c>
      <c r="E2588" t="s">
        <v>456</v>
      </c>
      <c r="F2588" s="12">
        <v>45716</v>
      </c>
      <c r="G2588" t="s">
        <v>2487</v>
      </c>
      <c r="H2588" s="12">
        <v>45716</v>
      </c>
      <c r="I2588" t="s">
        <v>1052</v>
      </c>
      <c r="J2588" t="s">
        <v>458</v>
      </c>
      <c r="K2588">
        <v>2</v>
      </c>
      <c r="L2588">
        <v>33.1</v>
      </c>
      <c r="M2588">
        <v>33.200000000000003</v>
      </c>
      <c r="P2588" t="s">
        <v>106</v>
      </c>
      <c r="Q2588" t="s">
        <v>106</v>
      </c>
      <c r="R2588" t="s">
        <v>106</v>
      </c>
      <c r="S2588" t="s">
        <v>1912</v>
      </c>
      <c r="T2588" t="s">
        <v>1510</v>
      </c>
      <c r="U2588" t="s">
        <v>1626</v>
      </c>
      <c r="V2588" t="s">
        <v>106</v>
      </c>
      <c r="W2588" t="s">
        <v>557</v>
      </c>
      <c r="X2588" t="s">
        <v>106</v>
      </c>
      <c r="Y2588" t="s">
        <v>108</v>
      </c>
      <c r="Z2588" t="s">
        <v>108</v>
      </c>
      <c r="AA2588" t="s">
        <v>935</v>
      </c>
      <c r="AB2588" t="s">
        <v>106</v>
      </c>
    </row>
    <row r="2589" spans="1:28" x14ac:dyDescent="0.3">
      <c r="A2589" t="s">
        <v>1580</v>
      </c>
      <c r="B2589">
        <v>3</v>
      </c>
      <c r="C2589">
        <v>35</v>
      </c>
      <c r="D2589">
        <v>279</v>
      </c>
      <c r="E2589" t="s">
        <v>456</v>
      </c>
      <c r="F2589" s="12">
        <v>45716</v>
      </c>
      <c r="G2589" t="s">
        <v>1007</v>
      </c>
      <c r="H2589" s="12">
        <v>45716</v>
      </c>
      <c r="I2589" t="s">
        <v>2099</v>
      </c>
      <c r="J2589" t="s">
        <v>458</v>
      </c>
      <c r="K2589">
        <v>2</v>
      </c>
      <c r="L2589">
        <v>35.299999999999997</v>
      </c>
      <c r="M2589">
        <v>35.6</v>
      </c>
      <c r="P2589" t="s">
        <v>106</v>
      </c>
      <c r="Q2589" t="s">
        <v>106</v>
      </c>
      <c r="R2589" t="s">
        <v>106</v>
      </c>
      <c r="S2589" t="s">
        <v>2247</v>
      </c>
      <c r="T2589" t="s">
        <v>2200</v>
      </c>
      <c r="U2589" t="s">
        <v>1483</v>
      </c>
      <c r="V2589" t="s">
        <v>106</v>
      </c>
      <c r="W2589" t="s">
        <v>476</v>
      </c>
      <c r="X2589" t="s">
        <v>106</v>
      </c>
      <c r="Y2589" t="s">
        <v>108</v>
      </c>
      <c r="Z2589" t="s">
        <v>108</v>
      </c>
      <c r="AA2589" t="s">
        <v>935</v>
      </c>
      <c r="AB2589" t="s">
        <v>106</v>
      </c>
    </row>
    <row r="2590" spans="1:28" x14ac:dyDescent="0.3">
      <c r="A2590" t="s">
        <v>1580</v>
      </c>
      <c r="B2590">
        <v>4</v>
      </c>
      <c r="C2590">
        <v>60</v>
      </c>
      <c r="D2590">
        <v>288</v>
      </c>
      <c r="E2590" t="s">
        <v>456</v>
      </c>
      <c r="F2590" s="12">
        <v>45716</v>
      </c>
      <c r="G2590" t="s">
        <v>2112</v>
      </c>
      <c r="H2590" s="12">
        <v>45716</v>
      </c>
      <c r="I2590" t="s">
        <v>1770</v>
      </c>
      <c r="J2590" t="s">
        <v>458</v>
      </c>
      <c r="K2590">
        <v>2</v>
      </c>
      <c r="L2590">
        <v>56.2</v>
      </c>
      <c r="M2590">
        <v>55.9</v>
      </c>
      <c r="P2590" t="s">
        <v>106</v>
      </c>
      <c r="Q2590" t="s">
        <v>106</v>
      </c>
      <c r="R2590" t="s">
        <v>106</v>
      </c>
      <c r="S2590" t="s">
        <v>2147</v>
      </c>
      <c r="T2590" t="s">
        <v>1558</v>
      </c>
      <c r="U2590" t="s">
        <v>1738</v>
      </c>
      <c r="V2590" t="s">
        <v>106</v>
      </c>
      <c r="W2590" t="s">
        <v>557</v>
      </c>
      <c r="X2590" t="s">
        <v>106</v>
      </c>
      <c r="Y2590" t="s">
        <v>108</v>
      </c>
      <c r="Z2590" t="s">
        <v>104</v>
      </c>
      <c r="AA2590" t="s">
        <v>935</v>
      </c>
      <c r="AB2590" t="s">
        <v>106</v>
      </c>
    </row>
    <row r="2591" spans="1:28" x14ac:dyDescent="0.3">
      <c r="A2591" t="s">
        <v>1580</v>
      </c>
      <c r="B2591">
        <v>4</v>
      </c>
      <c r="C2591">
        <v>60</v>
      </c>
      <c r="D2591">
        <v>281</v>
      </c>
      <c r="E2591" t="s">
        <v>456</v>
      </c>
      <c r="F2591" s="12">
        <v>45716</v>
      </c>
      <c r="G2591" t="s">
        <v>1024</v>
      </c>
      <c r="H2591" s="12">
        <v>45716</v>
      </c>
      <c r="I2591" t="s">
        <v>2099</v>
      </c>
      <c r="J2591" t="s">
        <v>458</v>
      </c>
      <c r="K2591">
        <v>2</v>
      </c>
      <c r="L2591">
        <v>55.1</v>
      </c>
      <c r="M2591">
        <v>55.4</v>
      </c>
      <c r="P2591" t="s">
        <v>106</v>
      </c>
      <c r="Q2591" t="s">
        <v>106</v>
      </c>
      <c r="R2591" t="s">
        <v>106</v>
      </c>
      <c r="S2591" t="s">
        <v>1711</v>
      </c>
      <c r="T2591" t="s">
        <v>2148</v>
      </c>
      <c r="U2591" t="s">
        <v>1590</v>
      </c>
      <c r="V2591" t="s">
        <v>106</v>
      </c>
      <c r="W2591" t="s">
        <v>476</v>
      </c>
      <c r="X2591" t="s">
        <v>106</v>
      </c>
      <c r="Y2591" t="s">
        <v>108</v>
      </c>
      <c r="Z2591" t="s">
        <v>104</v>
      </c>
      <c r="AA2591" t="s">
        <v>935</v>
      </c>
      <c r="AB2591" t="s">
        <v>106</v>
      </c>
    </row>
    <row r="2592" spans="1:28" x14ac:dyDescent="0.3">
      <c r="A2592" t="s">
        <v>1580</v>
      </c>
      <c r="B2592">
        <v>4</v>
      </c>
      <c r="C2592">
        <v>60</v>
      </c>
      <c r="D2592">
        <v>295</v>
      </c>
      <c r="E2592" t="s">
        <v>456</v>
      </c>
      <c r="F2592" s="12">
        <v>45716</v>
      </c>
      <c r="G2592" t="s">
        <v>863</v>
      </c>
      <c r="H2592" s="12">
        <v>45716</v>
      </c>
      <c r="I2592" t="s">
        <v>1052</v>
      </c>
      <c r="J2592" t="s">
        <v>458</v>
      </c>
      <c r="K2592">
        <v>2</v>
      </c>
      <c r="L2592">
        <v>60</v>
      </c>
      <c r="M2592">
        <v>60</v>
      </c>
      <c r="P2592" t="s">
        <v>106</v>
      </c>
      <c r="Q2592" t="s">
        <v>106</v>
      </c>
      <c r="R2592" t="s">
        <v>106</v>
      </c>
      <c r="S2592" t="s">
        <v>2137</v>
      </c>
      <c r="T2592" t="s">
        <v>2645</v>
      </c>
      <c r="U2592" t="s">
        <v>2498</v>
      </c>
      <c r="V2592" t="s">
        <v>106</v>
      </c>
      <c r="W2592" t="s">
        <v>557</v>
      </c>
      <c r="X2592" t="s">
        <v>106</v>
      </c>
      <c r="Y2592" t="s">
        <v>108</v>
      </c>
      <c r="Z2592" t="s">
        <v>104</v>
      </c>
      <c r="AA2592" t="s">
        <v>935</v>
      </c>
      <c r="AB2592" t="s">
        <v>106</v>
      </c>
    </row>
    <row r="2593" spans="1:28" x14ac:dyDescent="0.3">
      <c r="A2593" t="s">
        <v>1580</v>
      </c>
      <c r="B2593">
        <v>4</v>
      </c>
      <c r="C2593">
        <v>60</v>
      </c>
      <c r="D2593">
        <v>280</v>
      </c>
      <c r="E2593" t="s">
        <v>456</v>
      </c>
      <c r="F2593" s="12">
        <v>45716</v>
      </c>
      <c r="G2593" t="s">
        <v>1017</v>
      </c>
      <c r="H2593" s="12">
        <v>45716</v>
      </c>
      <c r="I2593" t="s">
        <v>2099</v>
      </c>
      <c r="J2593" t="s">
        <v>458</v>
      </c>
      <c r="K2593">
        <v>2</v>
      </c>
      <c r="L2593">
        <v>53.4</v>
      </c>
      <c r="M2593">
        <v>53.4</v>
      </c>
      <c r="P2593" t="s">
        <v>106</v>
      </c>
      <c r="Q2593" t="s">
        <v>106</v>
      </c>
      <c r="R2593" t="s">
        <v>106</v>
      </c>
      <c r="S2593" t="s">
        <v>2281</v>
      </c>
      <c r="T2593" t="s">
        <v>1509</v>
      </c>
      <c r="U2593" t="s">
        <v>1590</v>
      </c>
      <c r="V2593" t="s">
        <v>106</v>
      </c>
      <c r="W2593" t="s">
        <v>476</v>
      </c>
      <c r="X2593" t="s">
        <v>106</v>
      </c>
      <c r="Y2593" t="s">
        <v>108</v>
      </c>
      <c r="Z2593" t="s">
        <v>104</v>
      </c>
      <c r="AA2593" t="s">
        <v>935</v>
      </c>
      <c r="AB2593" t="s">
        <v>106</v>
      </c>
    </row>
    <row r="2594" spans="1:28" x14ac:dyDescent="0.3">
      <c r="A2594" t="s">
        <v>1580</v>
      </c>
      <c r="B2594">
        <v>4</v>
      </c>
      <c r="C2594">
        <v>60</v>
      </c>
      <c r="D2594">
        <v>294</v>
      </c>
      <c r="E2594" t="s">
        <v>456</v>
      </c>
      <c r="F2594" s="12">
        <v>45716</v>
      </c>
      <c r="G2594" t="s">
        <v>588</v>
      </c>
      <c r="H2594" s="12">
        <v>45716</v>
      </c>
      <c r="I2594" t="s">
        <v>1052</v>
      </c>
      <c r="J2594" t="s">
        <v>458</v>
      </c>
      <c r="K2594">
        <v>2</v>
      </c>
      <c r="L2594">
        <v>57.2</v>
      </c>
      <c r="M2594">
        <v>57.5</v>
      </c>
      <c r="P2594" t="s">
        <v>106</v>
      </c>
      <c r="Q2594" t="s">
        <v>106</v>
      </c>
      <c r="R2594" t="s">
        <v>106</v>
      </c>
      <c r="S2594" t="s">
        <v>2137</v>
      </c>
      <c r="T2594" t="s">
        <v>1569</v>
      </c>
      <c r="U2594" t="s">
        <v>700</v>
      </c>
      <c r="V2594" t="s">
        <v>106</v>
      </c>
      <c r="W2594" t="s">
        <v>557</v>
      </c>
      <c r="X2594" t="s">
        <v>106</v>
      </c>
      <c r="Y2594" t="s">
        <v>108</v>
      </c>
      <c r="Z2594" t="s">
        <v>104</v>
      </c>
      <c r="AA2594" t="s">
        <v>935</v>
      </c>
      <c r="AB2594" t="s">
        <v>106</v>
      </c>
    </row>
    <row r="2595" spans="1:28" x14ac:dyDescent="0.3">
      <c r="A2595" t="s">
        <v>1580</v>
      </c>
      <c r="B2595">
        <v>4</v>
      </c>
      <c r="C2595">
        <v>60</v>
      </c>
      <c r="D2595">
        <v>289</v>
      </c>
      <c r="E2595" t="s">
        <v>456</v>
      </c>
      <c r="F2595" s="12">
        <v>45716</v>
      </c>
      <c r="G2595" t="s">
        <v>1559</v>
      </c>
      <c r="H2595" s="12">
        <v>45716</v>
      </c>
      <c r="I2595" t="s">
        <v>1770</v>
      </c>
      <c r="J2595" t="s">
        <v>458</v>
      </c>
      <c r="K2595">
        <v>2</v>
      </c>
      <c r="L2595">
        <v>54</v>
      </c>
      <c r="M2595">
        <v>59</v>
      </c>
      <c r="P2595" t="s">
        <v>106</v>
      </c>
      <c r="Q2595" t="s">
        <v>106</v>
      </c>
      <c r="R2595" t="s">
        <v>106</v>
      </c>
      <c r="S2595" t="s">
        <v>1867</v>
      </c>
      <c r="T2595" t="s">
        <v>828</v>
      </c>
      <c r="U2595" t="s">
        <v>391</v>
      </c>
      <c r="V2595" t="s">
        <v>106</v>
      </c>
      <c r="W2595" t="s">
        <v>557</v>
      </c>
      <c r="X2595" t="s">
        <v>106</v>
      </c>
      <c r="Y2595" t="s">
        <v>108</v>
      </c>
      <c r="Z2595" t="s">
        <v>104</v>
      </c>
      <c r="AA2595" t="s">
        <v>935</v>
      </c>
      <c r="AB2595" t="s">
        <v>106</v>
      </c>
    </row>
    <row r="2596" spans="1:28" x14ac:dyDescent="0.3">
      <c r="A2596" t="s">
        <v>1313</v>
      </c>
      <c r="B2596">
        <v>1</v>
      </c>
      <c r="C2596">
        <v>0</v>
      </c>
      <c r="D2596">
        <v>8</v>
      </c>
      <c r="E2596" t="s">
        <v>110</v>
      </c>
      <c r="F2596" s="12">
        <v>45735</v>
      </c>
      <c r="G2596" t="s">
        <v>947</v>
      </c>
      <c r="H2596" s="12">
        <v>45735</v>
      </c>
      <c r="I2596" t="s">
        <v>930</v>
      </c>
      <c r="J2596" t="s">
        <v>425</v>
      </c>
      <c r="L2596">
        <v>0</v>
      </c>
      <c r="M2596">
        <v>0</v>
      </c>
      <c r="P2596" t="s">
        <v>106</v>
      </c>
      <c r="Q2596" t="s">
        <v>106</v>
      </c>
      <c r="R2596" t="s">
        <v>106</v>
      </c>
      <c r="S2596" t="s">
        <v>106</v>
      </c>
      <c r="T2596" t="s">
        <v>809</v>
      </c>
      <c r="U2596" t="s">
        <v>106</v>
      </c>
      <c r="V2596" t="s">
        <v>106</v>
      </c>
      <c r="W2596" t="s">
        <v>443</v>
      </c>
      <c r="X2596" t="s">
        <v>106</v>
      </c>
      <c r="Y2596" t="s">
        <v>108</v>
      </c>
      <c r="Z2596" t="s">
        <v>105</v>
      </c>
      <c r="AA2596" t="s">
        <v>935</v>
      </c>
      <c r="AB2596" t="s">
        <v>106</v>
      </c>
    </row>
    <row r="2597" spans="1:28" x14ac:dyDescent="0.3">
      <c r="A2597" t="s">
        <v>1635</v>
      </c>
      <c r="B2597">
        <v>1</v>
      </c>
      <c r="C2597">
        <v>0</v>
      </c>
      <c r="D2597">
        <v>9</v>
      </c>
      <c r="E2597" t="s">
        <v>1487</v>
      </c>
      <c r="F2597" s="12">
        <v>45735</v>
      </c>
      <c r="G2597" t="s">
        <v>336</v>
      </c>
      <c r="H2597" s="12">
        <v>45735</v>
      </c>
      <c r="I2597" t="s">
        <v>1636</v>
      </c>
      <c r="J2597" t="s">
        <v>425</v>
      </c>
      <c r="L2597">
        <v>0</v>
      </c>
      <c r="M2597">
        <v>0</v>
      </c>
      <c r="P2597" t="s">
        <v>106</v>
      </c>
      <c r="Q2597" t="s">
        <v>106</v>
      </c>
      <c r="R2597" t="s">
        <v>106</v>
      </c>
      <c r="S2597" t="s">
        <v>1637</v>
      </c>
      <c r="T2597" t="s">
        <v>1638</v>
      </c>
      <c r="U2597" t="s">
        <v>106</v>
      </c>
      <c r="V2597" t="s">
        <v>106</v>
      </c>
      <c r="W2597" t="s">
        <v>443</v>
      </c>
      <c r="X2597" t="s">
        <v>106</v>
      </c>
      <c r="Y2597" t="s">
        <v>108</v>
      </c>
      <c r="Z2597" t="s">
        <v>105</v>
      </c>
      <c r="AA2597" t="s">
        <v>106</v>
      </c>
      <c r="AB2597" t="s">
        <v>1639</v>
      </c>
    </row>
    <row r="2598" spans="1:28" x14ac:dyDescent="0.3">
      <c r="A2598" t="s">
        <v>1313</v>
      </c>
      <c r="B2598">
        <v>1</v>
      </c>
      <c r="C2598">
        <v>0</v>
      </c>
      <c r="D2598">
        <v>7</v>
      </c>
      <c r="E2598" t="s">
        <v>110</v>
      </c>
      <c r="F2598" s="12">
        <v>45735</v>
      </c>
      <c r="G2598" t="s">
        <v>947</v>
      </c>
      <c r="H2598" s="12">
        <v>45735</v>
      </c>
      <c r="I2598" t="s">
        <v>930</v>
      </c>
      <c r="J2598" t="s">
        <v>425</v>
      </c>
      <c r="L2598">
        <v>0</v>
      </c>
      <c r="M2598">
        <v>0</v>
      </c>
      <c r="P2598" t="s">
        <v>106</v>
      </c>
      <c r="Q2598" t="s">
        <v>106</v>
      </c>
      <c r="R2598" t="s">
        <v>106</v>
      </c>
      <c r="S2598" t="s">
        <v>948</v>
      </c>
      <c r="T2598" t="s">
        <v>949</v>
      </c>
      <c r="U2598" t="s">
        <v>106</v>
      </c>
      <c r="V2598" t="s">
        <v>106</v>
      </c>
      <c r="W2598" t="s">
        <v>443</v>
      </c>
      <c r="X2598" t="s">
        <v>106</v>
      </c>
      <c r="Y2598" t="s">
        <v>108</v>
      </c>
      <c r="Z2598" t="s">
        <v>105</v>
      </c>
      <c r="AA2598" t="s">
        <v>935</v>
      </c>
      <c r="AB2598" t="s">
        <v>106</v>
      </c>
    </row>
    <row r="2599" spans="1:28" x14ac:dyDescent="0.3">
      <c r="A2599" t="s">
        <v>1635</v>
      </c>
      <c r="B2599">
        <v>1</v>
      </c>
      <c r="C2599">
        <v>0</v>
      </c>
      <c r="D2599">
        <v>10</v>
      </c>
      <c r="E2599" t="s">
        <v>1487</v>
      </c>
      <c r="F2599" s="12">
        <v>45735</v>
      </c>
      <c r="G2599" t="s">
        <v>336</v>
      </c>
      <c r="H2599" s="12">
        <v>45735</v>
      </c>
      <c r="I2599" t="s">
        <v>1636</v>
      </c>
      <c r="J2599" t="s">
        <v>425</v>
      </c>
      <c r="L2599">
        <v>0</v>
      </c>
      <c r="M2599">
        <v>0</v>
      </c>
      <c r="P2599" t="s">
        <v>106</v>
      </c>
      <c r="Q2599" t="s">
        <v>106</v>
      </c>
      <c r="R2599" t="s">
        <v>106</v>
      </c>
      <c r="S2599" t="s">
        <v>1640</v>
      </c>
      <c r="T2599" t="s">
        <v>1641</v>
      </c>
      <c r="U2599" t="s">
        <v>106</v>
      </c>
      <c r="V2599" t="s">
        <v>106</v>
      </c>
      <c r="W2599" t="s">
        <v>443</v>
      </c>
      <c r="X2599" t="s">
        <v>106</v>
      </c>
      <c r="Y2599" t="s">
        <v>108</v>
      </c>
      <c r="Z2599" t="s">
        <v>105</v>
      </c>
      <c r="AA2599" t="s">
        <v>106</v>
      </c>
      <c r="AB2599" t="s">
        <v>106</v>
      </c>
    </row>
    <row r="2600" spans="1:28" x14ac:dyDescent="0.3">
      <c r="A2600" t="s">
        <v>1635</v>
      </c>
      <c r="B2600">
        <v>1</v>
      </c>
      <c r="C2600">
        <v>0</v>
      </c>
      <c r="D2600">
        <v>11</v>
      </c>
      <c r="E2600" t="s">
        <v>1487</v>
      </c>
      <c r="F2600" s="12">
        <v>45735</v>
      </c>
      <c r="G2600" t="s">
        <v>336</v>
      </c>
      <c r="H2600" s="12">
        <v>45735</v>
      </c>
      <c r="I2600" t="s">
        <v>1636</v>
      </c>
      <c r="J2600" t="s">
        <v>425</v>
      </c>
      <c r="L2600">
        <v>0</v>
      </c>
      <c r="M2600">
        <v>0</v>
      </c>
      <c r="P2600" t="s">
        <v>106</v>
      </c>
      <c r="Q2600" t="s">
        <v>106</v>
      </c>
      <c r="R2600" t="s">
        <v>106</v>
      </c>
      <c r="S2600" t="s">
        <v>106</v>
      </c>
      <c r="T2600" t="s">
        <v>1619</v>
      </c>
      <c r="U2600" t="s">
        <v>106</v>
      </c>
      <c r="V2600" t="s">
        <v>106</v>
      </c>
      <c r="W2600" t="s">
        <v>443</v>
      </c>
      <c r="X2600" t="s">
        <v>106</v>
      </c>
      <c r="Y2600" t="s">
        <v>108</v>
      </c>
      <c r="Z2600" t="s">
        <v>105</v>
      </c>
      <c r="AA2600" t="s">
        <v>106</v>
      </c>
      <c r="AB2600" t="s">
        <v>106</v>
      </c>
    </row>
    <row r="2601" spans="1:28" x14ac:dyDescent="0.3">
      <c r="A2601" t="s">
        <v>1313</v>
      </c>
      <c r="B2601">
        <v>2</v>
      </c>
      <c r="C2601">
        <v>15</v>
      </c>
      <c r="D2601">
        <v>1</v>
      </c>
      <c r="E2601" t="s">
        <v>110</v>
      </c>
      <c r="F2601" s="12">
        <v>45735</v>
      </c>
      <c r="G2601" t="s">
        <v>460</v>
      </c>
      <c r="H2601" s="12">
        <v>45735</v>
      </c>
      <c r="I2601" t="s">
        <v>930</v>
      </c>
      <c r="J2601" t="s">
        <v>425</v>
      </c>
      <c r="L2601">
        <v>16.3</v>
      </c>
      <c r="M2601">
        <v>16.399999999999999</v>
      </c>
      <c r="P2601" t="s">
        <v>106</v>
      </c>
      <c r="Q2601" t="s">
        <v>106</v>
      </c>
      <c r="R2601" t="s">
        <v>106</v>
      </c>
      <c r="S2601" t="s">
        <v>933</v>
      </c>
      <c r="T2601" t="s">
        <v>934</v>
      </c>
      <c r="U2601" t="s">
        <v>106</v>
      </c>
      <c r="V2601" t="s">
        <v>106</v>
      </c>
      <c r="W2601" t="s">
        <v>443</v>
      </c>
      <c r="X2601" t="s">
        <v>106</v>
      </c>
      <c r="Y2601" t="s">
        <v>108</v>
      </c>
      <c r="Z2601" t="s">
        <v>109</v>
      </c>
      <c r="AA2601" t="s">
        <v>935</v>
      </c>
      <c r="AB2601" t="s">
        <v>936</v>
      </c>
    </row>
    <row r="2602" spans="1:28" x14ac:dyDescent="0.3">
      <c r="A2602" t="s">
        <v>1635</v>
      </c>
      <c r="B2602">
        <v>2</v>
      </c>
      <c r="C2602">
        <v>15</v>
      </c>
      <c r="D2602">
        <v>2</v>
      </c>
      <c r="E2602" t="s">
        <v>110</v>
      </c>
      <c r="F2602" s="12">
        <v>45735</v>
      </c>
      <c r="G2602" t="s">
        <v>2250</v>
      </c>
      <c r="H2602" s="12">
        <v>45735</v>
      </c>
      <c r="I2602" t="s">
        <v>1636</v>
      </c>
      <c r="J2602" t="s">
        <v>425</v>
      </c>
      <c r="L2602">
        <v>16.600000000000001</v>
      </c>
      <c r="M2602">
        <v>17.100000000000001</v>
      </c>
      <c r="P2602" t="s">
        <v>106</v>
      </c>
      <c r="Q2602" t="s">
        <v>106</v>
      </c>
      <c r="R2602" t="s">
        <v>106</v>
      </c>
      <c r="S2602" t="s">
        <v>965</v>
      </c>
      <c r="T2602" t="s">
        <v>2251</v>
      </c>
      <c r="U2602" t="s">
        <v>106</v>
      </c>
      <c r="V2602" t="s">
        <v>106</v>
      </c>
      <c r="W2602" t="s">
        <v>443</v>
      </c>
      <c r="X2602" t="s">
        <v>106</v>
      </c>
      <c r="Y2602" t="s">
        <v>108</v>
      </c>
      <c r="Z2602" t="s">
        <v>109</v>
      </c>
      <c r="AA2602" t="s">
        <v>106</v>
      </c>
      <c r="AB2602" t="s">
        <v>106</v>
      </c>
    </row>
    <row r="2603" spans="1:28" x14ac:dyDescent="0.3">
      <c r="A2603" t="s">
        <v>1635</v>
      </c>
      <c r="B2603">
        <v>2</v>
      </c>
      <c r="C2603">
        <v>15</v>
      </c>
      <c r="D2603">
        <v>1</v>
      </c>
      <c r="E2603" t="s">
        <v>110</v>
      </c>
      <c r="F2603" s="12">
        <v>45735</v>
      </c>
      <c r="G2603" t="s">
        <v>2252</v>
      </c>
      <c r="H2603" s="12">
        <v>45735</v>
      </c>
      <c r="I2603" t="s">
        <v>1636</v>
      </c>
      <c r="J2603" t="s">
        <v>425</v>
      </c>
      <c r="L2603">
        <v>14.2</v>
      </c>
      <c r="M2603">
        <v>14.3</v>
      </c>
      <c r="P2603" t="s">
        <v>106</v>
      </c>
      <c r="Q2603" t="s">
        <v>106</v>
      </c>
      <c r="R2603" t="s">
        <v>106</v>
      </c>
      <c r="S2603" t="s">
        <v>995</v>
      </c>
      <c r="T2603" t="s">
        <v>1105</v>
      </c>
      <c r="U2603" t="s">
        <v>106</v>
      </c>
      <c r="V2603" t="s">
        <v>106</v>
      </c>
      <c r="W2603" t="s">
        <v>443</v>
      </c>
      <c r="X2603" t="s">
        <v>106</v>
      </c>
      <c r="Y2603" t="s">
        <v>108</v>
      </c>
      <c r="Z2603" t="s">
        <v>109</v>
      </c>
      <c r="AA2603" t="s">
        <v>106</v>
      </c>
      <c r="AB2603" t="s">
        <v>106</v>
      </c>
    </row>
    <row r="2604" spans="1:28" x14ac:dyDescent="0.3">
      <c r="A2604" t="s">
        <v>1635</v>
      </c>
      <c r="B2604">
        <v>2</v>
      </c>
      <c r="C2604">
        <v>15</v>
      </c>
      <c r="D2604">
        <v>12</v>
      </c>
      <c r="E2604" t="s">
        <v>308</v>
      </c>
      <c r="F2604" s="12">
        <v>45735</v>
      </c>
      <c r="G2604" t="s">
        <v>376</v>
      </c>
      <c r="H2604" s="12">
        <v>45735</v>
      </c>
      <c r="I2604" t="s">
        <v>1636</v>
      </c>
      <c r="J2604" t="s">
        <v>425</v>
      </c>
      <c r="L2604">
        <v>10.8</v>
      </c>
      <c r="M2604">
        <v>11.2</v>
      </c>
      <c r="P2604" t="s">
        <v>106</v>
      </c>
      <c r="Q2604" t="s">
        <v>106</v>
      </c>
      <c r="R2604" t="s">
        <v>106</v>
      </c>
      <c r="S2604" t="s">
        <v>106</v>
      </c>
      <c r="T2604" t="s">
        <v>1467</v>
      </c>
      <c r="U2604" t="s">
        <v>106</v>
      </c>
      <c r="V2604" t="s">
        <v>106</v>
      </c>
      <c r="W2604" t="s">
        <v>443</v>
      </c>
      <c r="X2604" t="s">
        <v>106</v>
      </c>
      <c r="Y2604" t="s">
        <v>108</v>
      </c>
      <c r="Z2604" t="s">
        <v>109</v>
      </c>
      <c r="AA2604" t="s">
        <v>106</v>
      </c>
      <c r="AB2604" t="s">
        <v>106</v>
      </c>
    </row>
    <row r="2605" spans="1:28" x14ac:dyDescent="0.3">
      <c r="A2605" t="s">
        <v>1635</v>
      </c>
      <c r="B2605">
        <v>2</v>
      </c>
      <c r="C2605">
        <v>15</v>
      </c>
      <c r="D2605">
        <v>13</v>
      </c>
      <c r="E2605" t="s">
        <v>308</v>
      </c>
      <c r="F2605" s="12">
        <v>45735</v>
      </c>
      <c r="G2605" t="s">
        <v>447</v>
      </c>
      <c r="H2605" s="12">
        <v>45735</v>
      </c>
      <c r="I2605" t="s">
        <v>1636</v>
      </c>
      <c r="J2605" t="s">
        <v>425</v>
      </c>
      <c r="L2605">
        <v>13.5</v>
      </c>
      <c r="M2605">
        <v>14.1</v>
      </c>
      <c r="P2605" t="s">
        <v>106</v>
      </c>
      <c r="Q2605" t="s">
        <v>106</v>
      </c>
      <c r="R2605" t="s">
        <v>106</v>
      </c>
      <c r="S2605" t="s">
        <v>1598</v>
      </c>
      <c r="T2605" t="s">
        <v>1712</v>
      </c>
      <c r="U2605" t="s">
        <v>106</v>
      </c>
      <c r="V2605" t="s">
        <v>106</v>
      </c>
      <c r="W2605" t="s">
        <v>443</v>
      </c>
      <c r="X2605" t="s">
        <v>106</v>
      </c>
      <c r="Y2605" t="s">
        <v>108</v>
      </c>
      <c r="Z2605" t="s">
        <v>109</v>
      </c>
      <c r="AA2605" t="s">
        <v>106</v>
      </c>
      <c r="AB2605" t="s">
        <v>106</v>
      </c>
    </row>
    <row r="2606" spans="1:28" x14ac:dyDescent="0.3">
      <c r="A2606" t="s">
        <v>1313</v>
      </c>
      <c r="B2606">
        <v>2</v>
      </c>
      <c r="C2606">
        <v>15</v>
      </c>
      <c r="D2606">
        <v>2</v>
      </c>
      <c r="E2606" t="s">
        <v>110</v>
      </c>
      <c r="F2606" s="12">
        <v>45735</v>
      </c>
      <c r="G2606" t="s">
        <v>460</v>
      </c>
      <c r="H2606" s="12">
        <v>45735</v>
      </c>
      <c r="I2606" t="s">
        <v>930</v>
      </c>
      <c r="J2606" t="s">
        <v>425</v>
      </c>
      <c r="L2606">
        <v>16</v>
      </c>
      <c r="M2606">
        <v>16</v>
      </c>
      <c r="P2606" t="s">
        <v>106</v>
      </c>
      <c r="Q2606" t="s">
        <v>106</v>
      </c>
      <c r="R2606" t="s">
        <v>106</v>
      </c>
      <c r="S2606" t="s">
        <v>106</v>
      </c>
      <c r="T2606" t="s">
        <v>937</v>
      </c>
      <c r="U2606" t="s">
        <v>106</v>
      </c>
      <c r="V2606" t="s">
        <v>106</v>
      </c>
      <c r="W2606" t="s">
        <v>443</v>
      </c>
      <c r="X2606" t="s">
        <v>106</v>
      </c>
      <c r="Y2606" t="s">
        <v>108</v>
      </c>
      <c r="Z2606" t="s">
        <v>109</v>
      </c>
      <c r="AA2606" t="s">
        <v>935</v>
      </c>
      <c r="AB2606" t="s">
        <v>106</v>
      </c>
    </row>
    <row r="2607" spans="1:28" x14ac:dyDescent="0.3">
      <c r="A2607" t="s">
        <v>1635</v>
      </c>
      <c r="B2607">
        <v>2</v>
      </c>
      <c r="C2607">
        <v>15</v>
      </c>
      <c r="D2607">
        <v>14</v>
      </c>
      <c r="E2607" t="s">
        <v>308</v>
      </c>
      <c r="F2607" s="12">
        <v>45735</v>
      </c>
      <c r="G2607" t="s">
        <v>447</v>
      </c>
      <c r="H2607" s="12">
        <v>45735</v>
      </c>
      <c r="I2607" t="s">
        <v>1636</v>
      </c>
      <c r="J2607" t="s">
        <v>425</v>
      </c>
      <c r="L2607">
        <v>14</v>
      </c>
      <c r="M2607">
        <v>14.6</v>
      </c>
      <c r="P2607" t="s">
        <v>106</v>
      </c>
      <c r="Q2607" t="s">
        <v>106</v>
      </c>
      <c r="R2607" t="s">
        <v>106</v>
      </c>
      <c r="S2607" t="s">
        <v>1640</v>
      </c>
      <c r="T2607" t="s">
        <v>749</v>
      </c>
      <c r="U2607" t="s">
        <v>106</v>
      </c>
      <c r="V2607" t="s">
        <v>106</v>
      </c>
      <c r="W2607" t="s">
        <v>443</v>
      </c>
      <c r="X2607" t="s">
        <v>106</v>
      </c>
      <c r="Y2607" t="s">
        <v>108</v>
      </c>
      <c r="Z2607" t="s">
        <v>109</v>
      </c>
      <c r="AA2607" t="s">
        <v>106</v>
      </c>
      <c r="AB2607" t="s">
        <v>106</v>
      </c>
    </row>
    <row r="2608" spans="1:28" x14ac:dyDescent="0.3">
      <c r="A2608" t="s">
        <v>1635</v>
      </c>
      <c r="B2608">
        <v>3</v>
      </c>
      <c r="C2608">
        <v>35</v>
      </c>
      <c r="D2608">
        <v>4</v>
      </c>
      <c r="E2608" t="s">
        <v>110</v>
      </c>
      <c r="F2608" s="12">
        <v>45735</v>
      </c>
      <c r="G2608" t="s">
        <v>679</v>
      </c>
      <c r="H2608" s="12">
        <v>45735</v>
      </c>
      <c r="I2608" t="s">
        <v>1636</v>
      </c>
      <c r="J2608" t="s">
        <v>425</v>
      </c>
      <c r="L2608">
        <v>37.799999999999997</v>
      </c>
      <c r="M2608">
        <v>38.200000000000003</v>
      </c>
      <c r="P2608" t="s">
        <v>106</v>
      </c>
      <c r="Q2608" t="s">
        <v>106</v>
      </c>
      <c r="R2608" t="s">
        <v>106</v>
      </c>
      <c r="S2608" t="s">
        <v>1269</v>
      </c>
      <c r="T2608" t="s">
        <v>1509</v>
      </c>
      <c r="U2608" t="s">
        <v>106</v>
      </c>
      <c r="V2608" t="s">
        <v>106</v>
      </c>
      <c r="W2608" t="s">
        <v>443</v>
      </c>
      <c r="X2608" t="s">
        <v>106</v>
      </c>
      <c r="Y2608" t="s">
        <v>108</v>
      </c>
      <c r="Z2608" t="s">
        <v>108</v>
      </c>
      <c r="AA2608" t="s">
        <v>106</v>
      </c>
      <c r="AB2608" t="s">
        <v>106</v>
      </c>
    </row>
    <row r="2609" spans="1:28" x14ac:dyDescent="0.3">
      <c r="A2609" t="s">
        <v>1635</v>
      </c>
      <c r="B2609">
        <v>3</v>
      </c>
      <c r="C2609">
        <v>35</v>
      </c>
      <c r="D2609">
        <v>5</v>
      </c>
      <c r="E2609" t="s">
        <v>110</v>
      </c>
      <c r="F2609" s="12">
        <v>45735</v>
      </c>
      <c r="G2609" t="s">
        <v>788</v>
      </c>
      <c r="H2609" s="12">
        <v>45735</v>
      </c>
      <c r="I2609" t="s">
        <v>1636</v>
      </c>
      <c r="J2609" t="s">
        <v>425</v>
      </c>
      <c r="L2609">
        <v>38.4</v>
      </c>
      <c r="M2609">
        <v>38.700000000000003</v>
      </c>
      <c r="P2609" t="s">
        <v>106</v>
      </c>
      <c r="Q2609" t="s">
        <v>106</v>
      </c>
      <c r="R2609" t="s">
        <v>106</v>
      </c>
      <c r="S2609" t="s">
        <v>2274</v>
      </c>
      <c r="T2609" t="s">
        <v>1438</v>
      </c>
      <c r="U2609" t="s">
        <v>106</v>
      </c>
      <c r="V2609" t="s">
        <v>106</v>
      </c>
      <c r="W2609" t="s">
        <v>443</v>
      </c>
      <c r="X2609" t="s">
        <v>106</v>
      </c>
      <c r="Y2609" t="s">
        <v>108</v>
      </c>
      <c r="Z2609" t="s">
        <v>108</v>
      </c>
      <c r="AA2609" t="s">
        <v>106</v>
      </c>
      <c r="AB2609" t="s">
        <v>106</v>
      </c>
    </row>
    <row r="2610" spans="1:28" x14ac:dyDescent="0.3">
      <c r="A2610" t="s">
        <v>1313</v>
      </c>
      <c r="B2610">
        <v>3</v>
      </c>
      <c r="C2610">
        <v>35</v>
      </c>
      <c r="D2610">
        <v>4</v>
      </c>
      <c r="E2610" t="s">
        <v>110</v>
      </c>
      <c r="F2610" s="12">
        <v>45735</v>
      </c>
      <c r="G2610" t="s">
        <v>826</v>
      </c>
      <c r="H2610" s="12">
        <v>45735</v>
      </c>
      <c r="I2610" t="s">
        <v>930</v>
      </c>
      <c r="J2610" t="s">
        <v>425</v>
      </c>
      <c r="L2610">
        <v>37.9</v>
      </c>
      <c r="M2610">
        <v>37.9</v>
      </c>
      <c r="P2610" t="s">
        <v>106</v>
      </c>
      <c r="Q2610" t="s">
        <v>106</v>
      </c>
      <c r="R2610" t="s">
        <v>106</v>
      </c>
      <c r="S2610" t="s">
        <v>106</v>
      </c>
      <c r="T2610" t="s">
        <v>942</v>
      </c>
      <c r="U2610" t="s">
        <v>106</v>
      </c>
      <c r="V2610" t="s">
        <v>106</v>
      </c>
      <c r="W2610" t="s">
        <v>443</v>
      </c>
      <c r="X2610" t="s">
        <v>106</v>
      </c>
      <c r="Y2610" t="s">
        <v>108</v>
      </c>
      <c r="Z2610" t="s">
        <v>108</v>
      </c>
      <c r="AA2610" t="s">
        <v>935</v>
      </c>
      <c r="AB2610" t="s">
        <v>106</v>
      </c>
    </row>
    <row r="2611" spans="1:28" x14ac:dyDescent="0.3">
      <c r="A2611" t="s">
        <v>1313</v>
      </c>
      <c r="B2611">
        <v>3</v>
      </c>
      <c r="C2611">
        <v>35</v>
      </c>
      <c r="D2611">
        <v>3</v>
      </c>
      <c r="E2611" t="s">
        <v>110</v>
      </c>
      <c r="F2611" s="12">
        <v>45735</v>
      </c>
      <c r="G2611" t="s">
        <v>856</v>
      </c>
      <c r="H2611" s="12">
        <v>45735</v>
      </c>
      <c r="I2611" t="s">
        <v>930</v>
      </c>
      <c r="J2611" t="s">
        <v>425</v>
      </c>
      <c r="L2611">
        <v>38.200000000000003</v>
      </c>
      <c r="M2611">
        <v>38.5</v>
      </c>
      <c r="P2611" t="s">
        <v>106</v>
      </c>
      <c r="Q2611" t="s">
        <v>106</v>
      </c>
      <c r="R2611" t="s">
        <v>106</v>
      </c>
      <c r="S2611" t="s">
        <v>933</v>
      </c>
      <c r="T2611" t="s">
        <v>940</v>
      </c>
      <c r="U2611" t="s">
        <v>106</v>
      </c>
      <c r="V2611" t="s">
        <v>106</v>
      </c>
      <c r="W2611" t="s">
        <v>443</v>
      </c>
      <c r="X2611" t="s">
        <v>106</v>
      </c>
      <c r="Y2611" t="s">
        <v>108</v>
      </c>
      <c r="Z2611" t="s">
        <v>108</v>
      </c>
      <c r="AA2611" t="s">
        <v>935</v>
      </c>
      <c r="AB2611" t="s">
        <v>106</v>
      </c>
    </row>
    <row r="2612" spans="1:28" x14ac:dyDescent="0.3">
      <c r="A2612" t="s">
        <v>1635</v>
      </c>
      <c r="B2612">
        <v>3</v>
      </c>
      <c r="C2612">
        <v>35</v>
      </c>
      <c r="D2612">
        <v>3</v>
      </c>
      <c r="E2612" t="s">
        <v>308</v>
      </c>
      <c r="F2612" s="12">
        <v>45735</v>
      </c>
      <c r="G2612" t="s">
        <v>1696</v>
      </c>
      <c r="H2612" s="12">
        <v>45735</v>
      </c>
      <c r="I2612" t="s">
        <v>1636</v>
      </c>
      <c r="J2612" t="s">
        <v>425</v>
      </c>
      <c r="L2612">
        <v>36.1</v>
      </c>
      <c r="M2612">
        <v>36.700000000000003</v>
      </c>
      <c r="P2612" t="s">
        <v>106</v>
      </c>
      <c r="Q2612" t="s">
        <v>106</v>
      </c>
      <c r="R2612" t="s">
        <v>106</v>
      </c>
      <c r="S2612" t="s">
        <v>106</v>
      </c>
      <c r="T2612" t="s">
        <v>1523</v>
      </c>
      <c r="U2612" t="s">
        <v>106</v>
      </c>
      <c r="V2612" t="s">
        <v>106</v>
      </c>
      <c r="W2612" t="s">
        <v>443</v>
      </c>
      <c r="X2612" t="s">
        <v>106</v>
      </c>
      <c r="Y2612" t="s">
        <v>108</v>
      </c>
      <c r="Z2612" t="s">
        <v>108</v>
      </c>
      <c r="AA2612" t="s">
        <v>106</v>
      </c>
      <c r="AB2612" t="s">
        <v>106</v>
      </c>
    </row>
    <row r="2613" spans="1:28" x14ac:dyDescent="0.3">
      <c r="A2613" t="s">
        <v>1635</v>
      </c>
      <c r="B2613">
        <v>4</v>
      </c>
      <c r="C2613">
        <v>60</v>
      </c>
      <c r="D2613">
        <v>7</v>
      </c>
      <c r="E2613" t="s">
        <v>110</v>
      </c>
      <c r="F2613" s="12">
        <v>45735</v>
      </c>
      <c r="G2613" t="s">
        <v>1643</v>
      </c>
      <c r="H2613" s="12">
        <v>45735</v>
      </c>
      <c r="I2613" t="s">
        <v>1636</v>
      </c>
      <c r="J2613" t="s">
        <v>425</v>
      </c>
      <c r="L2613">
        <v>64.3</v>
      </c>
      <c r="M2613">
        <v>64.2</v>
      </c>
      <c r="P2613" t="s">
        <v>106</v>
      </c>
      <c r="Q2613" t="s">
        <v>106</v>
      </c>
      <c r="R2613" t="s">
        <v>106</v>
      </c>
      <c r="S2613" t="s">
        <v>2607</v>
      </c>
      <c r="T2613" t="s">
        <v>1625</v>
      </c>
      <c r="U2613" t="s">
        <v>106</v>
      </c>
      <c r="V2613" t="s">
        <v>106</v>
      </c>
      <c r="W2613" t="s">
        <v>443</v>
      </c>
      <c r="X2613" t="s">
        <v>106</v>
      </c>
      <c r="Y2613" t="s">
        <v>108</v>
      </c>
      <c r="Z2613" t="s">
        <v>104</v>
      </c>
      <c r="AA2613" t="s">
        <v>106</v>
      </c>
      <c r="AB2613" t="s">
        <v>106</v>
      </c>
    </row>
    <row r="2614" spans="1:28" x14ac:dyDescent="0.3">
      <c r="A2614" t="s">
        <v>1635</v>
      </c>
      <c r="B2614">
        <v>4</v>
      </c>
      <c r="C2614">
        <v>60</v>
      </c>
      <c r="D2614">
        <v>8</v>
      </c>
      <c r="E2614" t="s">
        <v>110</v>
      </c>
      <c r="F2614" s="12">
        <v>45735</v>
      </c>
      <c r="G2614" t="s">
        <v>1469</v>
      </c>
      <c r="H2614" s="12">
        <v>45735</v>
      </c>
      <c r="I2614" t="s">
        <v>1636</v>
      </c>
      <c r="J2614" t="s">
        <v>425</v>
      </c>
      <c r="L2614">
        <v>63.1</v>
      </c>
      <c r="M2614">
        <v>62.4</v>
      </c>
      <c r="P2614" t="s">
        <v>106</v>
      </c>
      <c r="Q2614" t="s">
        <v>106</v>
      </c>
      <c r="R2614" t="s">
        <v>106</v>
      </c>
      <c r="S2614" t="s">
        <v>2551</v>
      </c>
      <c r="T2614" t="s">
        <v>1625</v>
      </c>
      <c r="U2614" t="s">
        <v>106</v>
      </c>
      <c r="V2614" t="s">
        <v>106</v>
      </c>
      <c r="W2614" t="s">
        <v>443</v>
      </c>
      <c r="X2614" t="s">
        <v>106</v>
      </c>
      <c r="Y2614" t="s">
        <v>108</v>
      </c>
      <c r="Z2614" t="s">
        <v>104</v>
      </c>
      <c r="AA2614" t="s">
        <v>106</v>
      </c>
      <c r="AB2614" t="s">
        <v>106</v>
      </c>
    </row>
    <row r="2615" spans="1:28" x14ac:dyDescent="0.3">
      <c r="A2615" t="s">
        <v>1635</v>
      </c>
      <c r="B2615">
        <v>4</v>
      </c>
      <c r="C2615">
        <v>60</v>
      </c>
      <c r="D2615">
        <v>6</v>
      </c>
      <c r="E2615" t="s">
        <v>308</v>
      </c>
      <c r="F2615" s="12">
        <v>45735</v>
      </c>
      <c r="G2615" t="s">
        <v>1607</v>
      </c>
      <c r="H2615" s="12">
        <v>45735</v>
      </c>
      <c r="I2615" t="s">
        <v>1636</v>
      </c>
      <c r="J2615" t="s">
        <v>425</v>
      </c>
      <c r="L2615">
        <v>59.5</v>
      </c>
      <c r="M2615">
        <v>59.8</v>
      </c>
      <c r="P2615" t="s">
        <v>106</v>
      </c>
      <c r="Q2615" t="s">
        <v>106</v>
      </c>
      <c r="R2615" t="s">
        <v>106</v>
      </c>
      <c r="S2615" t="s">
        <v>106</v>
      </c>
      <c r="T2615" t="s">
        <v>1622</v>
      </c>
      <c r="U2615" t="s">
        <v>106</v>
      </c>
      <c r="V2615" t="s">
        <v>106</v>
      </c>
      <c r="W2615" t="s">
        <v>443</v>
      </c>
      <c r="X2615" t="s">
        <v>106</v>
      </c>
      <c r="Y2615" t="s">
        <v>108</v>
      </c>
      <c r="Z2615" t="s">
        <v>104</v>
      </c>
      <c r="AA2615" t="s">
        <v>106</v>
      </c>
      <c r="AB2615" t="s">
        <v>106</v>
      </c>
    </row>
    <row r="2616" spans="1:28" x14ac:dyDescent="0.3">
      <c r="A2616" t="s">
        <v>1313</v>
      </c>
      <c r="B2616">
        <v>4</v>
      </c>
      <c r="C2616">
        <v>60</v>
      </c>
      <c r="D2616">
        <v>6</v>
      </c>
      <c r="E2616" t="s">
        <v>110</v>
      </c>
      <c r="F2616" s="12">
        <v>45735</v>
      </c>
      <c r="G2616" t="s">
        <v>131</v>
      </c>
      <c r="H2616" s="12">
        <v>45735</v>
      </c>
      <c r="I2616" t="s">
        <v>930</v>
      </c>
      <c r="J2616" t="s">
        <v>425</v>
      </c>
      <c r="L2616">
        <v>64.8</v>
      </c>
      <c r="M2616">
        <v>64.599999999999994</v>
      </c>
      <c r="P2616" t="s">
        <v>106</v>
      </c>
      <c r="Q2616" t="s">
        <v>106</v>
      </c>
      <c r="R2616" t="s">
        <v>106</v>
      </c>
      <c r="S2616" t="s">
        <v>106</v>
      </c>
      <c r="T2616" t="s">
        <v>638</v>
      </c>
      <c r="U2616" t="s">
        <v>106</v>
      </c>
      <c r="V2616" t="s">
        <v>106</v>
      </c>
      <c r="W2616" t="s">
        <v>443</v>
      </c>
      <c r="X2616" t="s">
        <v>106</v>
      </c>
      <c r="Y2616" t="s">
        <v>108</v>
      </c>
      <c r="Z2616" t="s">
        <v>104</v>
      </c>
      <c r="AA2616" t="s">
        <v>935</v>
      </c>
      <c r="AB2616" t="s">
        <v>106</v>
      </c>
    </row>
    <row r="2617" spans="1:28" x14ac:dyDescent="0.3">
      <c r="A2617" t="s">
        <v>1313</v>
      </c>
      <c r="B2617">
        <v>4</v>
      </c>
      <c r="C2617">
        <v>60</v>
      </c>
      <c r="D2617">
        <v>5</v>
      </c>
      <c r="E2617" t="s">
        <v>110</v>
      </c>
      <c r="F2617" s="12">
        <v>45735</v>
      </c>
      <c r="G2617" t="s">
        <v>131</v>
      </c>
      <c r="H2617" s="12">
        <v>45735</v>
      </c>
      <c r="I2617" t="s">
        <v>930</v>
      </c>
      <c r="J2617" t="s">
        <v>425</v>
      </c>
      <c r="L2617">
        <v>64.8</v>
      </c>
      <c r="M2617">
        <v>64.599999999999994</v>
      </c>
      <c r="P2617" t="s">
        <v>106</v>
      </c>
      <c r="Q2617" t="s">
        <v>106</v>
      </c>
      <c r="R2617" t="s">
        <v>106</v>
      </c>
      <c r="S2617" t="s">
        <v>945</v>
      </c>
      <c r="T2617" t="s">
        <v>946</v>
      </c>
      <c r="U2617" t="s">
        <v>106</v>
      </c>
      <c r="V2617" t="s">
        <v>106</v>
      </c>
      <c r="W2617" t="s">
        <v>443</v>
      </c>
      <c r="X2617" t="s">
        <v>106</v>
      </c>
      <c r="Y2617" t="s">
        <v>108</v>
      </c>
      <c r="Z2617" t="s">
        <v>104</v>
      </c>
      <c r="AA2617" t="s">
        <v>935</v>
      </c>
      <c r="AB2617" t="s">
        <v>106</v>
      </c>
    </row>
    <row r="2618" spans="1:28" x14ac:dyDescent="0.3">
      <c r="A2618" t="s">
        <v>1635</v>
      </c>
      <c r="B2618">
        <v>1</v>
      </c>
      <c r="C2618">
        <v>0</v>
      </c>
      <c r="D2618">
        <v>52</v>
      </c>
      <c r="E2618" t="s">
        <v>1487</v>
      </c>
      <c r="F2618" s="12">
        <v>45740</v>
      </c>
      <c r="G2618" t="s">
        <v>1441</v>
      </c>
      <c r="H2618" s="12">
        <v>45740</v>
      </c>
      <c r="I2618" t="s">
        <v>848</v>
      </c>
      <c r="J2618" t="s">
        <v>477</v>
      </c>
      <c r="K2618">
        <v>2</v>
      </c>
      <c r="L2618">
        <v>0</v>
      </c>
      <c r="M2618">
        <v>0</v>
      </c>
      <c r="P2618" t="s">
        <v>106</v>
      </c>
      <c r="Q2618" t="s">
        <v>106</v>
      </c>
      <c r="R2618" t="s">
        <v>106</v>
      </c>
      <c r="S2618" t="s">
        <v>106</v>
      </c>
      <c r="T2618" t="s">
        <v>1084</v>
      </c>
      <c r="U2618" t="s">
        <v>1591</v>
      </c>
      <c r="V2618" t="s">
        <v>106</v>
      </c>
      <c r="W2618" t="s">
        <v>954</v>
      </c>
      <c r="X2618" t="s">
        <v>106</v>
      </c>
      <c r="Y2618" t="s">
        <v>108</v>
      </c>
      <c r="Z2618" t="s">
        <v>105</v>
      </c>
      <c r="AA2618" t="s">
        <v>106</v>
      </c>
      <c r="AB2618" t="s">
        <v>106</v>
      </c>
    </row>
    <row r="2619" spans="1:28" x14ac:dyDescent="0.3">
      <c r="A2619" t="s">
        <v>1635</v>
      </c>
      <c r="B2619">
        <v>1</v>
      </c>
      <c r="C2619">
        <v>0</v>
      </c>
      <c r="D2619">
        <v>39</v>
      </c>
      <c r="E2619" t="s">
        <v>456</v>
      </c>
      <c r="F2619" s="12">
        <v>45740</v>
      </c>
      <c r="G2619" t="s">
        <v>1642</v>
      </c>
      <c r="H2619" s="12">
        <v>45740</v>
      </c>
      <c r="I2619" t="s">
        <v>1643</v>
      </c>
      <c r="J2619" t="s">
        <v>477</v>
      </c>
      <c r="K2619">
        <v>2</v>
      </c>
      <c r="L2619">
        <v>0</v>
      </c>
      <c r="M2619">
        <v>0</v>
      </c>
      <c r="P2619" t="s">
        <v>106</v>
      </c>
      <c r="Q2619" t="s">
        <v>106</v>
      </c>
      <c r="R2619" t="s">
        <v>106</v>
      </c>
      <c r="S2619" t="s">
        <v>1541</v>
      </c>
      <c r="T2619" t="s">
        <v>1235</v>
      </c>
      <c r="U2619" t="s">
        <v>1477</v>
      </c>
      <c r="V2619" t="s">
        <v>106</v>
      </c>
      <c r="W2619" t="s">
        <v>954</v>
      </c>
      <c r="X2619" t="s">
        <v>106</v>
      </c>
      <c r="Y2619" t="s">
        <v>108</v>
      </c>
      <c r="Z2619" t="s">
        <v>105</v>
      </c>
      <c r="AA2619" t="s">
        <v>106</v>
      </c>
      <c r="AB2619" t="s">
        <v>106</v>
      </c>
    </row>
    <row r="2620" spans="1:28" x14ac:dyDescent="0.3">
      <c r="A2620" t="s">
        <v>1635</v>
      </c>
      <c r="B2620">
        <v>1</v>
      </c>
      <c r="C2620">
        <v>0</v>
      </c>
      <c r="D2620">
        <v>51</v>
      </c>
      <c r="E2620" t="s">
        <v>1487</v>
      </c>
      <c r="F2620" s="12">
        <v>45740</v>
      </c>
      <c r="G2620" t="s">
        <v>1644</v>
      </c>
      <c r="H2620" s="12">
        <v>45740</v>
      </c>
      <c r="I2620" t="s">
        <v>848</v>
      </c>
      <c r="J2620" t="s">
        <v>477</v>
      </c>
      <c r="K2620">
        <v>2</v>
      </c>
      <c r="L2620">
        <v>0</v>
      </c>
      <c r="M2620">
        <v>0</v>
      </c>
      <c r="P2620" t="s">
        <v>106</v>
      </c>
      <c r="Q2620" t="s">
        <v>106</v>
      </c>
      <c r="R2620" t="s">
        <v>106</v>
      </c>
      <c r="S2620" t="s">
        <v>106</v>
      </c>
      <c r="T2620" t="s">
        <v>775</v>
      </c>
      <c r="U2620" t="s">
        <v>430</v>
      </c>
      <c r="V2620" t="s">
        <v>106</v>
      </c>
      <c r="W2620" t="s">
        <v>954</v>
      </c>
      <c r="X2620" t="s">
        <v>106</v>
      </c>
      <c r="Y2620" t="s">
        <v>108</v>
      </c>
      <c r="Z2620" t="s">
        <v>105</v>
      </c>
      <c r="AA2620" t="s">
        <v>106</v>
      </c>
      <c r="AB2620" t="s">
        <v>106</v>
      </c>
    </row>
    <row r="2621" spans="1:28" x14ac:dyDescent="0.3">
      <c r="A2621" t="s">
        <v>1635</v>
      </c>
      <c r="B2621">
        <v>1</v>
      </c>
      <c r="C2621">
        <v>0</v>
      </c>
      <c r="D2621">
        <v>71</v>
      </c>
      <c r="E2621" t="s">
        <v>456</v>
      </c>
      <c r="F2621" s="12">
        <v>45740</v>
      </c>
      <c r="G2621" t="s">
        <v>1645</v>
      </c>
      <c r="H2621" s="12">
        <v>45740</v>
      </c>
      <c r="I2621" t="s">
        <v>1646</v>
      </c>
      <c r="J2621" t="s">
        <v>471</v>
      </c>
      <c r="K2621">
        <v>2</v>
      </c>
      <c r="L2621">
        <v>0</v>
      </c>
      <c r="M2621">
        <v>0</v>
      </c>
      <c r="P2621" t="s">
        <v>106</v>
      </c>
      <c r="Q2621" t="s">
        <v>106</v>
      </c>
      <c r="R2621" t="s">
        <v>106</v>
      </c>
      <c r="S2621" t="s">
        <v>1079</v>
      </c>
      <c r="T2621" t="s">
        <v>756</v>
      </c>
      <c r="U2621" t="s">
        <v>395</v>
      </c>
      <c r="V2621" t="s">
        <v>106</v>
      </c>
      <c r="W2621" t="s">
        <v>443</v>
      </c>
      <c r="X2621" t="s">
        <v>106</v>
      </c>
      <c r="Y2621" t="s">
        <v>108</v>
      </c>
      <c r="Z2621" t="s">
        <v>105</v>
      </c>
      <c r="AA2621" t="s">
        <v>1647</v>
      </c>
      <c r="AB2621" t="s">
        <v>106</v>
      </c>
    </row>
    <row r="2622" spans="1:28" x14ac:dyDescent="0.3">
      <c r="A2622" t="s">
        <v>1635</v>
      </c>
      <c r="B2622">
        <v>1</v>
      </c>
      <c r="C2622">
        <v>0</v>
      </c>
      <c r="D2622">
        <v>38</v>
      </c>
      <c r="E2622" t="s">
        <v>456</v>
      </c>
      <c r="F2622" s="12">
        <v>45740</v>
      </c>
      <c r="G2622" t="s">
        <v>1648</v>
      </c>
      <c r="H2622" s="12">
        <v>45740</v>
      </c>
      <c r="I2622" t="s">
        <v>1643</v>
      </c>
      <c r="J2622" t="s">
        <v>477</v>
      </c>
      <c r="K2622">
        <v>2</v>
      </c>
      <c r="L2622">
        <v>0</v>
      </c>
      <c r="M2622">
        <v>0</v>
      </c>
      <c r="P2622" t="s">
        <v>106</v>
      </c>
      <c r="Q2622" t="s">
        <v>106</v>
      </c>
      <c r="R2622" t="s">
        <v>106</v>
      </c>
      <c r="S2622" t="s">
        <v>1649</v>
      </c>
      <c r="T2622" t="s">
        <v>1650</v>
      </c>
      <c r="U2622" t="s">
        <v>1651</v>
      </c>
      <c r="V2622" t="s">
        <v>106</v>
      </c>
      <c r="W2622" t="s">
        <v>954</v>
      </c>
      <c r="X2622" t="s">
        <v>106</v>
      </c>
      <c r="Y2622" t="s">
        <v>108</v>
      </c>
      <c r="Z2622" t="s">
        <v>105</v>
      </c>
      <c r="AA2622" t="s">
        <v>106</v>
      </c>
      <c r="AB2622" t="s">
        <v>106</v>
      </c>
    </row>
    <row r="2623" spans="1:28" x14ac:dyDescent="0.3">
      <c r="A2623" t="s">
        <v>1635</v>
      </c>
      <c r="B2623">
        <v>2</v>
      </c>
      <c r="C2623">
        <v>15</v>
      </c>
      <c r="D2623">
        <v>26</v>
      </c>
      <c r="E2623" t="s">
        <v>456</v>
      </c>
      <c r="F2623" s="12">
        <v>45740</v>
      </c>
      <c r="G2623" t="s">
        <v>499</v>
      </c>
      <c r="H2623" s="12">
        <v>45740</v>
      </c>
      <c r="I2623" t="s">
        <v>693</v>
      </c>
      <c r="J2623" t="s">
        <v>477</v>
      </c>
      <c r="K2623">
        <v>2</v>
      </c>
      <c r="L2623">
        <v>16.600000000000001</v>
      </c>
      <c r="M2623">
        <v>16.600000000000001</v>
      </c>
      <c r="P2623" t="s">
        <v>106</v>
      </c>
      <c r="Q2623" t="s">
        <v>106</v>
      </c>
      <c r="R2623" t="s">
        <v>106</v>
      </c>
      <c r="S2623" t="s">
        <v>2160</v>
      </c>
      <c r="T2623" t="s">
        <v>1242</v>
      </c>
      <c r="U2623" t="s">
        <v>1651</v>
      </c>
      <c r="V2623" t="s">
        <v>106</v>
      </c>
      <c r="W2623" t="s">
        <v>954</v>
      </c>
      <c r="X2623" t="s">
        <v>106</v>
      </c>
      <c r="Y2623" t="s">
        <v>108</v>
      </c>
      <c r="Z2623" t="s">
        <v>109</v>
      </c>
      <c r="AA2623" t="s">
        <v>1652</v>
      </c>
      <c r="AB2623" t="s">
        <v>106</v>
      </c>
    </row>
    <row r="2624" spans="1:28" x14ac:dyDescent="0.3">
      <c r="A2624" t="s">
        <v>1635</v>
      </c>
      <c r="B2624">
        <v>2</v>
      </c>
      <c r="C2624">
        <v>15</v>
      </c>
      <c r="D2624">
        <v>87</v>
      </c>
      <c r="E2624" t="s">
        <v>456</v>
      </c>
      <c r="F2624" s="12">
        <v>45740</v>
      </c>
      <c r="G2624" t="s">
        <v>2253</v>
      </c>
      <c r="H2624" s="12">
        <v>45740</v>
      </c>
      <c r="I2624" t="s">
        <v>822</v>
      </c>
      <c r="J2624" t="s">
        <v>471</v>
      </c>
      <c r="K2624">
        <v>2</v>
      </c>
      <c r="L2624">
        <v>17.7</v>
      </c>
      <c r="M2624">
        <v>17.7</v>
      </c>
      <c r="P2624" t="s">
        <v>106</v>
      </c>
      <c r="Q2624" t="s">
        <v>106</v>
      </c>
      <c r="R2624" t="s">
        <v>106</v>
      </c>
      <c r="S2624" t="s">
        <v>106</v>
      </c>
      <c r="T2624" t="s">
        <v>993</v>
      </c>
      <c r="U2624" t="s">
        <v>427</v>
      </c>
      <c r="V2624" t="s">
        <v>106</v>
      </c>
      <c r="W2624" t="s">
        <v>443</v>
      </c>
      <c r="X2624" t="s">
        <v>106</v>
      </c>
      <c r="Y2624" t="s">
        <v>108</v>
      </c>
      <c r="Z2624" t="s">
        <v>109</v>
      </c>
      <c r="AA2624" t="s">
        <v>1647</v>
      </c>
      <c r="AB2624" t="s">
        <v>106</v>
      </c>
    </row>
    <row r="2625" spans="1:28" x14ac:dyDescent="0.3">
      <c r="A2625" t="s">
        <v>1635</v>
      </c>
      <c r="B2625">
        <v>2</v>
      </c>
      <c r="C2625">
        <v>15</v>
      </c>
      <c r="D2625">
        <v>75</v>
      </c>
      <c r="E2625" t="s">
        <v>456</v>
      </c>
      <c r="F2625" s="12">
        <v>45740</v>
      </c>
      <c r="G2625" t="s">
        <v>2074</v>
      </c>
      <c r="H2625" s="12">
        <v>45740</v>
      </c>
      <c r="I2625" t="s">
        <v>1178</v>
      </c>
      <c r="J2625" t="s">
        <v>471</v>
      </c>
      <c r="K2625">
        <v>2</v>
      </c>
      <c r="L2625">
        <v>15.8</v>
      </c>
      <c r="M2625">
        <v>15.8</v>
      </c>
      <c r="P2625" t="s">
        <v>106</v>
      </c>
      <c r="Q2625" t="s">
        <v>106</v>
      </c>
      <c r="R2625" t="s">
        <v>106</v>
      </c>
      <c r="S2625" t="s">
        <v>106</v>
      </c>
      <c r="T2625" t="s">
        <v>1090</v>
      </c>
      <c r="U2625" t="s">
        <v>427</v>
      </c>
      <c r="V2625" t="s">
        <v>106</v>
      </c>
      <c r="W2625" t="s">
        <v>443</v>
      </c>
      <c r="X2625" t="s">
        <v>106</v>
      </c>
      <c r="Y2625" t="s">
        <v>108</v>
      </c>
      <c r="Z2625" t="s">
        <v>108</v>
      </c>
      <c r="AA2625" t="s">
        <v>1647</v>
      </c>
      <c r="AB2625" t="s">
        <v>106</v>
      </c>
    </row>
    <row r="2626" spans="1:28" x14ac:dyDescent="0.3">
      <c r="A2626" t="s">
        <v>1635</v>
      </c>
      <c r="B2626">
        <v>2</v>
      </c>
      <c r="C2626">
        <v>15</v>
      </c>
      <c r="D2626">
        <v>74</v>
      </c>
      <c r="E2626" t="s">
        <v>456</v>
      </c>
      <c r="F2626" s="12">
        <v>45740</v>
      </c>
      <c r="G2626" t="s">
        <v>496</v>
      </c>
      <c r="H2626" s="12">
        <v>45740</v>
      </c>
      <c r="I2626" t="s">
        <v>1178</v>
      </c>
      <c r="J2626" t="s">
        <v>471</v>
      </c>
      <c r="K2626">
        <v>2</v>
      </c>
      <c r="L2626">
        <v>15.9</v>
      </c>
      <c r="M2626">
        <v>16.100000000000001</v>
      </c>
      <c r="P2626" t="s">
        <v>106</v>
      </c>
      <c r="Q2626" t="s">
        <v>106</v>
      </c>
      <c r="R2626" t="s">
        <v>106</v>
      </c>
      <c r="S2626" t="s">
        <v>2164</v>
      </c>
      <c r="T2626" t="s">
        <v>2254</v>
      </c>
      <c r="U2626" t="s">
        <v>1411</v>
      </c>
      <c r="V2626" t="s">
        <v>106</v>
      </c>
      <c r="W2626" t="s">
        <v>443</v>
      </c>
      <c r="X2626" t="s">
        <v>106</v>
      </c>
      <c r="Y2626" t="s">
        <v>108</v>
      </c>
      <c r="Z2626" t="s">
        <v>108</v>
      </c>
      <c r="AA2626" t="s">
        <v>1647</v>
      </c>
      <c r="AB2626" t="s">
        <v>106</v>
      </c>
    </row>
    <row r="2627" spans="1:28" x14ac:dyDescent="0.3">
      <c r="A2627" t="s">
        <v>1635</v>
      </c>
      <c r="B2627">
        <v>2</v>
      </c>
      <c r="C2627">
        <v>15</v>
      </c>
      <c r="D2627">
        <v>44</v>
      </c>
      <c r="E2627" t="s">
        <v>456</v>
      </c>
      <c r="F2627" s="12">
        <v>45740</v>
      </c>
      <c r="G2627" t="s">
        <v>531</v>
      </c>
      <c r="H2627" s="12">
        <v>45740</v>
      </c>
      <c r="I2627" t="s">
        <v>1642</v>
      </c>
      <c r="J2627" t="s">
        <v>477</v>
      </c>
      <c r="K2627">
        <v>2</v>
      </c>
      <c r="L2627">
        <v>14.8</v>
      </c>
      <c r="M2627">
        <v>14.8</v>
      </c>
      <c r="P2627" t="s">
        <v>106</v>
      </c>
      <c r="Q2627" t="s">
        <v>106</v>
      </c>
      <c r="R2627" t="s">
        <v>106</v>
      </c>
      <c r="S2627" t="s">
        <v>1789</v>
      </c>
      <c r="T2627" t="s">
        <v>2024</v>
      </c>
      <c r="U2627" t="s">
        <v>430</v>
      </c>
      <c r="V2627" t="s">
        <v>106</v>
      </c>
      <c r="W2627" t="s">
        <v>954</v>
      </c>
      <c r="X2627" t="s">
        <v>106</v>
      </c>
      <c r="Y2627" t="s">
        <v>108</v>
      </c>
      <c r="Z2627" t="s">
        <v>109</v>
      </c>
      <c r="AA2627" t="s">
        <v>1652</v>
      </c>
      <c r="AB2627" t="s">
        <v>106</v>
      </c>
    </row>
    <row r="2628" spans="1:28" x14ac:dyDescent="0.3">
      <c r="A2628" t="s">
        <v>1635</v>
      </c>
      <c r="B2628">
        <v>2</v>
      </c>
      <c r="C2628">
        <v>15</v>
      </c>
      <c r="D2628">
        <v>34</v>
      </c>
      <c r="E2628" t="s">
        <v>456</v>
      </c>
      <c r="F2628" s="12">
        <v>45740</v>
      </c>
      <c r="G2628" t="s">
        <v>313</v>
      </c>
      <c r="H2628" s="12">
        <v>45740</v>
      </c>
      <c r="I2628" t="s">
        <v>1643</v>
      </c>
      <c r="J2628" t="s">
        <v>477</v>
      </c>
      <c r="K2628">
        <v>2</v>
      </c>
      <c r="L2628">
        <v>16.3</v>
      </c>
      <c r="M2628">
        <v>16.399999999999999</v>
      </c>
      <c r="P2628" t="s">
        <v>106</v>
      </c>
      <c r="Q2628" t="s">
        <v>106</v>
      </c>
      <c r="R2628" t="s">
        <v>106</v>
      </c>
      <c r="S2628" t="s">
        <v>1834</v>
      </c>
      <c r="T2628" t="s">
        <v>1022</v>
      </c>
      <c r="U2628" t="s">
        <v>1477</v>
      </c>
      <c r="V2628" t="s">
        <v>106</v>
      </c>
      <c r="W2628" t="s">
        <v>954</v>
      </c>
      <c r="X2628" t="s">
        <v>106</v>
      </c>
      <c r="Y2628" t="s">
        <v>108</v>
      </c>
      <c r="Z2628" t="s">
        <v>109</v>
      </c>
      <c r="AA2628" t="s">
        <v>1652</v>
      </c>
      <c r="AB2628" t="s">
        <v>106</v>
      </c>
    </row>
    <row r="2629" spans="1:28" x14ac:dyDescent="0.3">
      <c r="A2629" t="s">
        <v>1635</v>
      </c>
      <c r="B2629">
        <v>2</v>
      </c>
      <c r="C2629">
        <v>15</v>
      </c>
      <c r="D2629">
        <v>70</v>
      </c>
      <c r="E2629" t="s">
        <v>456</v>
      </c>
      <c r="F2629" s="12">
        <v>45740</v>
      </c>
      <c r="G2629" t="s">
        <v>1741</v>
      </c>
      <c r="H2629" s="12">
        <v>45740</v>
      </c>
      <c r="I2629" t="s">
        <v>1646</v>
      </c>
      <c r="J2629" t="s">
        <v>471</v>
      </c>
      <c r="K2629">
        <v>2</v>
      </c>
      <c r="L2629">
        <v>16.600000000000001</v>
      </c>
      <c r="M2629">
        <v>16.899999999999999</v>
      </c>
      <c r="P2629" t="s">
        <v>106</v>
      </c>
      <c r="Q2629" t="s">
        <v>106</v>
      </c>
      <c r="R2629" t="s">
        <v>106</v>
      </c>
      <c r="S2629" t="s">
        <v>1658</v>
      </c>
      <c r="T2629" t="s">
        <v>1131</v>
      </c>
      <c r="U2629" t="s">
        <v>1591</v>
      </c>
      <c r="V2629" t="s">
        <v>106</v>
      </c>
      <c r="W2629" t="s">
        <v>443</v>
      </c>
      <c r="X2629" t="s">
        <v>106</v>
      </c>
      <c r="Y2629" t="s">
        <v>108</v>
      </c>
      <c r="Z2629" t="s">
        <v>109</v>
      </c>
      <c r="AA2629" t="s">
        <v>106</v>
      </c>
      <c r="AB2629" t="s">
        <v>106</v>
      </c>
    </row>
    <row r="2630" spans="1:28" x14ac:dyDescent="0.3">
      <c r="A2630" t="s">
        <v>1635</v>
      </c>
      <c r="B2630">
        <v>2</v>
      </c>
      <c r="C2630">
        <v>15</v>
      </c>
      <c r="D2630">
        <v>69</v>
      </c>
      <c r="E2630" t="s">
        <v>456</v>
      </c>
      <c r="F2630" s="12">
        <v>45740</v>
      </c>
      <c r="G2630" t="s">
        <v>2031</v>
      </c>
      <c r="H2630" s="12">
        <v>45740</v>
      </c>
      <c r="I2630" t="s">
        <v>1646</v>
      </c>
      <c r="J2630" t="s">
        <v>471</v>
      </c>
      <c r="K2630">
        <v>2</v>
      </c>
      <c r="L2630">
        <v>15.6</v>
      </c>
      <c r="M2630">
        <v>15.7</v>
      </c>
      <c r="P2630" t="s">
        <v>106</v>
      </c>
      <c r="Q2630" t="s">
        <v>106</v>
      </c>
      <c r="R2630" t="s">
        <v>106</v>
      </c>
      <c r="S2630" t="s">
        <v>106</v>
      </c>
      <c r="T2630" t="s">
        <v>1235</v>
      </c>
      <c r="U2630" t="s">
        <v>1418</v>
      </c>
      <c r="V2630" t="s">
        <v>106</v>
      </c>
      <c r="W2630" t="s">
        <v>443</v>
      </c>
      <c r="X2630" t="s">
        <v>106</v>
      </c>
      <c r="Y2630" t="s">
        <v>108</v>
      </c>
      <c r="Z2630" t="s">
        <v>109</v>
      </c>
      <c r="AA2630" t="s">
        <v>106</v>
      </c>
      <c r="AB2630" t="s">
        <v>106</v>
      </c>
    </row>
    <row r="2631" spans="1:28" x14ac:dyDescent="0.3">
      <c r="A2631" t="s">
        <v>1635</v>
      </c>
      <c r="B2631">
        <v>2</v>
      </c>
      <c r="C2631">
        <v>15</v>
      </c>
      <c r="D2631">
        <v>45</v>
      </c>
      <c r="E2631" t="s">
        <v>456</v>
      </c>
      <c r="F2631" s="12">
        <v>45740</v>
      </c>
      <c r="G2631" t="s">
        <v>531</v>
      </c>
      <c r="H2631" s="12">
        <v>45740</v>
      </c>
      <c r="I2631" t="s">
        <v>1642</v>
      </c>
      <c r="J2631" t="s">
        <v>477</v>
      </c>
      <c r="K2631">
        <v>2</v>
      </c>
      <c r="L2631">
        <v>16.100000000000001</v>
      </c>
      <c r="M2631">
        <v>16.2</v>
      </c>
      <c r="P2631" t="s">
        <v>106</v>
      </c>
      <c r="Q2631" t="s">
        <v>106</v>
      </c>
      <c r="R2631" t="s">
        <v>106</v>
      </c>
      <c r="S2631" t="s">
        <v>2162</v>
      </c>
      <c r="T2631" t="s">
        <v>1529</v>
      </c>
      <c r="U2631" t="s">
        <v>1345</v>
      </c>
      <c r="V2631" t="s">
        <v>106</v>
      </c>
      <c r="W2631" t="s">
        <v>954</v>
      </c>
      <c r="X2631" t="s">
        <v>106</v>
      </c>
      <c r="Y2631" t="s">
        <v>108</v>
      </c>
      <c r="Z2631" t="s">
        <v>109</v>
      </c>
      <c r="AA2631" t="s">
        <v>1652</v>
      </c>
      <c r="AB2631" t="s">
        <v>106</v>
      </c>
    </row>
    <row r="2632" spans="1:28" x14ac:dyDescent="0.3">
      <c r="A2632" t="s">
        <v>1635</v>
      </c>
      <c r="B2632">
        <v>2</v>
      </c>
      <c r="C2632">
        <v>15</v>
      </c>
      <c r="D2632">
        <v>33</v>
      </c>
      <c r="E2632" t="s">
        <v>456</v>
      </c>
      <c r="F2632" s="12">
        <v>45740</v>
      </c>
      <c r="G2632" t="s">
        <v>313</v>
      </c>
      <c r="H2632" s="12">
        <v>45740</v>
      </c>
      <c r="I2632" t="s">
        <v>1643</v>
      </c>
      <c r="J2632" t="s">
        <v>477</v>
      </c>
      <c r="K2632">
        <v>2</v>
      </c>
      <c r="L2632">
        <v>16.3</v>
      </c>
      <c r="M2632">
        <v>16.3</v>
      </c>
      <c r="P2632" t="s">
        <v>106</v>
      </c>
      <c r="Q2632" t="s">
        <v>106</v>
      </c>
      <c r="R2632" t="s">
        <v>106</v>
      </c>
      <c r="S2632" t="s">
        <v>1563</v>
      </c>
      <c r="T2632" t="s">
        <v>1131</v>
      </c>
      <c r="U2632" t="s">
        <v>1591</v>
      </c>
      <c r="V2632" t="s">
        <v>106</v>
      </c>
      <c r="W2632" t="s">
        <v>954</v>
      </c>
      <c r="X2632" t="s">
        <v>106</v>
      </c>
      <c r="Y2632" t="s">
        <v>108</v>
      </c>
      <c r="Z2632" t="s">
        <v>109</v>
      </c>
      <c r="AA2632" t="s">
        <v>1652</v>
      </c>
      <c r="AB2632" t="s">
        <v>106</v>
      </c>
    </row>
    <row r="2633" spans="1:28" x14ac:dyDescent="0.3">
      <c r="A2633" t="s">
        <v>1635</v>
      </c>
      <c r="B2633">
        <v>2</v>
      </c>
      <c r="C2633">
        <v>15</v>
      </c>
      <c r="D2633">
        <v>64</v>
      </c>
      <c r="E2633" t="s">
        <v>456</v>
      </c>
      <c r="F2633" s="12">
        <v>45740</v>
      </c>
      <c r="G2633" t="s">
        <v>1258</v>
      </c>
      <c r="H2633" s="12">
        <v>45740</v>
      </c>
      <c r="I2633" t="s">
        <v>582</v>
      </c>
      <c r="J2633" t="s">
        <v>1363</v>
      </c>
      <c r="K2633">
        <v>2</v>
      </c>
      <c r="L2633">
        <v>18</v>
      </c>
      <c r="M2633">
        <v>18</v>
      </c>
      <c r="P2633" t="s">
        <v>106</v>
      </c>
      <c r="Q2633" t="s">
        <v>106</v>
      </c>
      <c r="R2633" t="s">
        <v>106</v>
      </c>
      <c r="S2633" t="s">
        <v>1777</v>
      </c>
      <c r="T2633" t="s">
        <v>1876</v>
      </c>
      <c r="U2633" t="s">
        <v>1651</v>
      </c>
      <c r="V2633" t="s">
        <v>106</v>
      </c>
      <c r="W2633" t="s">
        <v>443</v>
      </c>
      <c r="X2633" t="s">
        <v>106</v>
      </c>
      <c r="Y2633" t="s">
        <v>108</v>
      </c>
      <c r="Z2633" t="s">
        <v>104</v>
      </c>
      <c r="AA2633" t="s">
        <v>106</v>
      </c>
      <c r="AB2633" t="s">
        <v>106</v>
      </c>
    </row>
    <row r="2634" spans="1:28" x14ac:dyDescent="0.3">
      <c r="A2634" t="s">
        <v>1635</v>
      </c>
      <c r="B2634">
        <v>2</v>
      </c>
      <c r="C2634">
        <v>15</v>
      </c>
      <c r="D2634">
        <v>86</v>
      </c>
      <c r="E2634" t="s">
        <v>456</v>
      </c>
      <c r="F2634" s="12">
        <v>45740</v>
      </c>
      <c r="G2634" t="s">
        <v>2090</v>
      </c>
      <c r="H2634" s="12">
        <v>45740</v>
      </c>
      <c r="I2634" t="s">
        <v>822</v>
      </c>
      <c r="J2634" t="s">
        <v>471</v>
      </c>
      <c r="K2634">
        <v>2</v>
      </c>
      <c r="L2634">
        <v>17</v>
      </c>
      <c r="M2634">
        <v>17</v>
      </c>
      <c r="P2634" t="s">
        <v>106</v>
      </c>
      <c r="Q2634" t="s">
        <v>106</v>
      </c>
      <c r="R2634" t="s">
        <v>106</v>
      </c>
      <c r="S2634" t="s">
        <v>2255</v>
      </c>
      <c r="T2634" t="s">
        <v>1063</v>
      </c>
      <c r="U2634" t="s">
        <v>391</v>
      </c>
      <c r="V2634" t="s">
        <v>106</v>
      </c>
      <c r="W2634" t="s">
        <v>443</v>
      </c>
      <c r="X2634" t="s">
        <v>106</v>
      </c>
      <c r="Y2634" t="s">
        <v>108</v>
      </c>
      <c r="Z2634" t="s">
        <v>109</v>
      </c>
      <c r="AA2634" t="s">
        <v>1647</v>
      </c>
      <c r="AB2634" t="s">
        <v>106</v>
      </c>
    </row>
    <row r="2635" spans="1:28" x14ac:dyDescent="0.3">
      <c r="A2635" t="s">
        <v>1635</v>
      </c>
      <c r="B2635">
        <v>2</v>
      </c>
      <c r="C2635">
        <v>15</v>
      </c>
      <c r="D2635">
        <v>63</v>
      </c>
      <c r="E2635" t="s">
        <v>456</v>
      </c>
      <c r="F2635" s="12">
        <v>45740</v>
      </c>
      <c r="G2635" t="s">
        <v>1258</v>
      </c>
      <c r="H2635" s="12">
        <v>45740</v>
      </c>
      <c r="I2635" t="s">
        <v>582</v>
      </c>
      <c r="J2635" t="s">
        <v>1363</v>
      </c>
      <c r="K2635">
        <v>2</v>
      </c>
      <c r="L2635">
        <v>15.4</v>
      </c>
      <c r="M2635">
        <v>15.5</v>
      </c>
      <c r="P2635" t="s">
        <v>106</v>
      </c>
      <c r="Q2635" t="s">
        <v>106</v>
      </c>
      <c r="R2635" t="s">
        <v>106</v>
      </c>
      <c r="S2635" t="s">
        <v>1777</v>
      </c>
      <c r="T2635" t="s">
        <v>2254</v>
      </c>
      <c r="U2635" t="s">
        <v>361</v>
      </c>
      <c r="V2635" t="s">
        <v>106</v>
      </c>
      <c r="W2635" t="s">
        <v>443</v>
      </c>
      <c r="X2635" t="s">
        <v>106</v>
      </c>
      <c r="Y2635" t="s">
        <v>108</v>
      </c>
      <c r="Z2635" t="s">
        <v>104</v>
      </c>
      <c r="AA2635" t="s">
        <v>106</v>
      </c>
      <c r="AB2635" t="s">
        <v>106</v>
      </c>
    </row>
    <row r="2636" spans="1:28" x14ac:dyDescent="0.3">
      <c r="A2636" t="s">
        <v>1635</v>
      </c>
      <c r="B2636">
        <v>2</v>
      </c>
      <c r="C2636">
        <v>15</v>
      </c>
      <c r="D2636">
        <v>58</v>
      </c>
      <c r="E2636" t="s">
        <v>456</v>
      </c>
      <c r="F2636" s="12">
        <v>45740</v>
      </c>
      <c r="G2636" t="s">
        <v>739</v>
      </c>
      <c r="H2636" s="12">
        <v>45740</v>
      </c>
      <c r="I2636" t="s">
        <v>583</v>
      </c>
      <c r="J2636" t="s">
        <v>471</v>
      </c>
      <c r="K2636">
        <v>2</v>
      </c>
      <c r="L2636">
        <v>15.6</v>
      </c>
      <c r="M2636">
        <v>15.5</v>
      </c>
      <c r="P2636" t="s">
        <v>106</v>
      </c>
      <c r="Q2636" t="s">
        <v>106</v>
      </c>
      <c r="R2636" t="s">
        <v>106</v>
      </c>
      <c r="S2636" t="s">
        <v>2164</v>
      </c>
      <c r="T2636" t="s">
        <v>1899</v>
      </c>
      <c r="U2636" t="s">
        <v>1359</v>
      </c>
      <c r="V2636" t="s">
        <v>106</v>
      </c>
      <c r="W2636" t="s">
        <v>476</v>
      </c>
      <c r="X2636" t="s">
        <v>106</v>
      </c>
      <c r="Y2636" t="s">
        <v>108</v>
      </c>
      <c r="Z2636" t="s">
        <v>109</v>
      </c>
      <c r="AA2636" t="s">
        <v>106</v>
      </c>
      <c r="AB2636" t="s">
        <v>106</v>
      </c>
    </row>
    <row r="2637" spans="1:28" x14ac:dyDescent="0.3">
      <c r="A2637" t="s">
        <v>1635</v>
      </c>
      <c r="B2637">
        <v>2</v>
      </c>
      <c r="C2637">
        <v>15</v>
      </c>
      <c r="D2637">
        <v>57</v>
      </c>
      <c r="E2637" t="s">
        <v>456</v>
      </c>
      <c r="F2637" s="12">
        <v>45740</v>
      </c>
      <c r="G2637" t="s">
        <v>365</v>
      </c>
      <c r="H2637" s="12">
        <v>45740</v>
      </c>
      <c r="I2637" t="s">
        <v>583</v>
      </c>
      <c r="J2637" t="s">
        <v>471</v>
      </c>
      <c r="K2637">
        <v>2</v>
      </c>
      <c r="L2637">
        <v>14.3</v>
      </c>
      <c r="M2637">
        <v>14.4</v>
      </c>
      <c r="P2637" t="s">
        <v>106</v>
      </c>
      <c r="Q2637" t="s">
        <v>106</v>
      </c>
      <c r="R2637" t="s">
        <v>106</v>
      </c>
      <c r="S2637" t="s">
        <v>1628</v>
      </c>
      <c r="T2637" t="s">
        <v>1145</v>
      </c>
      <c r="U2637" t="s">
        <v>429</v>
      </c>
      <c r="V2637" t="s">
        <v>106</v>
      </c>
      <c r="W2637" t="s">
        <v>476</v>
      </c>
      <c r="X2637" t="s">
        <v>106</v>
      </c>
      <c r="Y2637" t="s">
        <v>108</v>
      </c>
      <c r="Z2637" t="s">
        <v>109</v>
      </c>
      <c r="AA2637" t="s">
        <v>106</v>
      </c>
      <c r="AB2637" t="s">
        <v>106</v>
      </c>
    </row>
    <row r="2638" spans="1:28" x14ac:dyDescent="0.3">
      <c r="A2638" t="s">
        <v>1635</v>
      </c>
      <c r="B2638">
        <v>2</v>
      </c>
      <c r="C2638">
        <v>15</v>
      </c>
      <c r="D2638">
        <v>49</v>
      </c>
      <c r="E2638" t="s">
        <v>456</v>
      </c>
      <c r="F2638" s="12">
        <v>45740</v>
      </c>
      <c r="G2638" t="s">
        <v>1676</v>
      </c>
      <c r="H2638" s="12">
        <v>45740</v>
      </c>
      <c r="I2638" t="s">
        <v>848</v>
      </c>
      <c r="J2638" t="s">
        <v>477</v>
      </c>
      <c r="K2638">
        <v>2</v>
      </c>
      <c r="L2638">
        <v>14.4</v>
      </c>
      <c r="M2638">
        <v>14.5</v>
      </c>
      <c r="P2638" t="s">
        <v>106</v>
      </c>
      <c r="Q2638" t="s">
        <v>106</v>
      </c>
      <c r="R2638" t="s">
        <v>106</v>
      </c>
      <c r="S2638" t="s">
        <v>1658</v>
      </c>
      <c r="T2638" t="s">
        <v>989</v>
      </c>
      <c r="U2638" t="s">
        <v>1604</v>
      </c>
      <c r="V2638" t="s">
        <v>106</v>
      </c>
      <c r="W2638" t="s">
        <v>954</v>
      </c>
      <c r="X2638" t="s">
        <v>106</v>
      </c>
      <c r="Y2638" t="s">
        <v>108</v>
      </c>
      <c r="Z2638" t="s">
        <v>109</v>
      </c>
      <c r="AA2638" t="s">
        <v>1652</v>
      </c>
      <c r="AB2638" t="s">
        <v>106</v>
      </c>
    </row>
    <row r="2639" spans="1:28" x14ac:dyDescent="0.3">
      <c r="A2639" t="s">
        <v>1635</v>
      </c>
      <c r="B2639">
        <v>2</v>
      </c>
      <c r="C2639">
        <v>15</v>
      </c>
      <c r="D2639">
        <v>81</v>
      </c>
      <c r="E2639" t="s">
        <v>456</v>
      </c>
      <c r="F2639" s="12">
        <v>45740</v>
      </c>
      <c r="G2639" t="s">
        <v>1582</v>
      </c>
      <c r="H2639" s="12">
        <v>45740</v>
      </c>
      <c r="I2639" t="s">
        <v>1178</v>
      </c>
      <c r="J2639" t="s">
        <v>471</v>
      </c>
      <c r="K2639">
        <v>2</v>
      </c>
      <c r="L2639">
        <v>17.5</v>
      </c>
      <c r="M2639">
        <v>17.600000000000001</v>
      </c>
      <c r="P2639" t="s">
        <v>106</v>
      </c>
      <c r="Q2639" t="s">
        <v>106</v>
      </c>
      <c r="R2639" t="s">
        <v>106</v>
      </c>
      <c r="S2639" t="s">
        <v>106</v>
      </c>
      <c r="T2639" t="s">
        <v>1057</v>
      </c>
      <c r="U2639" t="s">
        <v>1483</v>
      </c>
      <c r="V2639" t="s">
        <v>106</v>
      </c>
      <c r="W2639" t="s">
        <v>443</v>
      </c>
      <c r="X2639" t="s">
        <v>106</v>
      </c>
      <c r="Y2639" t="s">
        <v>108</v>
      </c>
      <c r="Z2639" t="s">
        <v>104</v>
      </c>
      <c r="AA2639" t="s">
        <v>1647</v>
      </c>
      <c r="AB2639" t="s">
        <v>106</v>
      </c>
    </row>
    <row r="2640" spans="1:28" x14ac:dyDescent="0.3">
      <c r="A2640" t="s">
        <v>1635</v>
      </c>
      <c r="B2640">
        <v>2</v>
      </c>
      <c r="C2640">
        <v>15</v>
      </c>
      <c r="D2640">
        <v>25</v>
      </c>
      <c r="E2640" t="s">
        <v>456</v>
      </c>
      <c r="F2640" s="12">
        <v>45740</v>
      </c>
      <c r="G2640" t="s">
        <v>501</v>
      </c>
      <c r="H2640" s="12">
        <v>45740</v>
      </c>
      <c r="I2640" t="s">
        <v>693</v>
      </c>
      <c r="J2640" t="s">
        <v>477</v>
      </c>
      <c r="K2640">
        <v>2</v>
      </c>
      <c r="L2640">
        <v>16</v>
      </c>
      <c r="M2640">
        <v>16</v>
      </c>
      <c r="P2640" t="s">
        <v>106</v>
      </c>
      <c r="Q2640" t="s">
        <v>106</v>
      </c>
      <c r="R2640" t="s">
        <v>106</v>
      </c>
      <c r="S2640" t="s">
        <v>1649</v>
      </c>
      <c r="T2640" t="s">
        <v>1650</v>
      </c>
      <c r="U2640" t="s">
        <v>1780</v>
      </c>
      <c r="V2640" t="s">
        <v>106</v>
      </c>
      <c r="W2640" t="s">
        <v>954</v>
      </c>
      <c r="X2640" t="s">
        <v>106</v>
      </c>
      <c r="Y2640" t="s">
        <v>108</v>
      </c>
      <c r="Z2640" t="s">
        <v>109</v>
      </c>
      <c r="AA2640" t="s">
        <v>1652</v>
      </c>
      <c r="AB2640" t="s">
        <v>106</v>
      </c>
    </row>
    <row r="2641" spans="1:28" x14ac:dyDescent="0.3">
      <c r="A2641" t="s">
        <v>1635</v>
      </c>
      <c r="B2641">
        <v>2</v>
      </c>
      <c r="C2641">
        <v>15</v>
      </c>
      <c r="D2641">
        <v>50</v>
      </c>
      <c r="E2641" t="s">
        <v>456</v>
      </c>
      <c r="F2641" s="12">
        <v>45740</v>
      </c>
      <c r="G2641" t="s">
        <v>1676</v>
      </c>
      <c r="H2641" s="12">
        <v>45740</v>
      </c>
      <c r="I2641" t="s">
        <v>848</v>
      </c>
      <c r="J2641" t="s">
        <v>477</v>
      </c>
      <c r="K2641">
        <v>2</v>
      </c>
      <c r="L2641">
        <v>15.8</v>
      </c>
      <c r="M2641">
        <v>15.9</v>
      </c>
      <c r="P2641" t="s">
        <v>106</v>
      </c>
      <c r="Q2641" t="s">
        <v>106</v>
      </c>
      <c r="R2641" t="s">
        <v>106</v>
      </c>
      <c r="S2641" t="s">
        <v>1514</v>
      </c>
      <c r="T2641" t="s">
        <v>760</v>
      </c>
      <c r="U2641" t="s">
        <v>1477</v>
      </c>
      <c r="V2641" t="s">
        <v>106</v>
      </c>
      <c r="W2641" t="s">
        <v>954</v>
      </c>
      <c r="X2641" t="s">
        <v>106</v>
      </c>
      <c r="Y2641" t="s">
        <v>108</v>
      </c>
      <c r="Z2641" t="s">
        <v>109</v>
      </c>
      <c r="AA2641" t="s">
        <v>1652</v>
      </c>
      <c r="AB2641" t="s">
        <v>106</v>
      </c>
    </row>
    <row r="2642" spans="1:28" x14ac:dyDescent="0.3">
      <c r="A2642" t="s">
        <v>1635</v>
      </c>
      <c r="B2642">
        <v>3</v>
      </c>
      <c r="C2642">
        <v>35</v>
      </c>
      <c r="D2642">
        <v>54</v>
      </c>
      <c r="E2642" t="s">
        <v>456</v>
      </c>
      <c r="F2642" s="12">
        <v>45740</v>
      </c>
      <c r="G2642" t="s">
        <v>1127</v>
      </c>
      <c r="H2642" s="12">
        <v>45740</v>
      </c>
      <c r="I2642" t="s">
        <v>583</v>
      </c>
      <c r="J2642" t="s">
        <v>471</v>
      </c>
      <c r="K2642">
        <v>2</v>
      </c>
      <c r="L2642">
        <v>38.700000000000003</v>
      </c>
      <c r="M2642">
        <v>39</v>
      </c>
      <c r="P2642" t="s">
        <v>106</v>
      </c>
      <c r="Q2642" t="s">
        <v>106</v>
      </c>
      <c r="R2642" t="s">
        <v>106</v>
      </c>
      <c r="S2642" t="s">
        <v>1490</v>
      </c>
      <c r="T2642" t="s">
        <v>1443</v>
      </c>
      <c r="U2642" t="s">
        <v>429</v>
      </c>
      <c r="V2642" t="s">
        <v>106</v>
      </c>
      <c r="W2642" t="s">
        <v>476</v>
      </c>
      <c r="X2642" t="s">
        <v>106</v>
      </c>
      <c r="Y2642" t="s">
        <v>108</v>
      </c>
      <c r="Z2642" t="s">
        <v>108</v>
      </c>
      <c r="AA2642" t="s">
        <v>106</v>
      </c>
      <c r="AB2642" t="s">
        <v>106</v>
      </c>
    </row>
    <row r="2643" spans="1:28" x14ac:dyDescent="0.3">
      <c r="A2643" t="s">
        <v>1635</v>
      </c>
      <c r="B2643">
        <v>3</v>
      </c>
      <c r="C2643">
        <v>35</v>
      </c>
      <c r="D2643">
        <v>30</v>
      </c>
      <c r="E2643" t="s">
        <v>456</v>
      </c>
      <c r="F2643" s="12">
        <v>45740</v>
      </c>
      <c r="G2643" t="s">
        <v>400</v>
      </c>
      <c r="H2643" s="12">
        <v>45740</v>
      </c>
      <c r="I2643" t="s">
        <v>1643</v>
      </c>
      <c r="J2643" t="s">
        <v>477</v>
      </c>
      <c r="K2643">
        <v>2</v>
      </c>
      <c r="L2643">
        <v>38.9</v>
      </c>
      <c r="M2643">
        <v>39</v>
      </c>
      <c r="P2643" t="s">
        <v>106</v>
      </c>
      <c r="Q2643" t="s">
        <v>106</v>
      </c>
      <c r="R2643" t="s">
        <v>106</v>
      </c>
      <c r="S2643" t="s">
        <v>1873</v>
      </c>
      <c r="T2643" t="s">
        <v>1090</v>
      </c>
      <c r="U2643" t="s">
        <v>369</v>
      </c>
      <c r="V2643" t="s">
        <v>106</v>
      </c>
      <c r="W2643" t="s">
        <v>954</v>
      </c>
      <c r="X2643" t="s">
        <v>106</v>
      </c>
      <c r="Y2643" t="s">
        <v>108</v>
      </c>
      <c r="Z2643" t="s">
        <v>108</v>
      </c>
      <c r="AA2643" t="s">
        <v>1652</v>
      </c>
      <c r="AB2643" t="s">
        <v>106</v>
      </c>
    </row>
    <row r="2644" spans="1:28" x14ac:dyDescent="0.3">
      <c r="A2644" t="s">
        <v>1635</v>
      </c>
      <c r="B2644">
        <v>3</v>
      </c>
      <c r="C2644">
        <v>35</v>
      </c>
      <c r="D2644">
        <v>28</v>
      </c>
      <c r="E2644" t="s">
        <v>456</v>
      </c>
      <c r="F2644" s="12">
        <v>45740</v>
      </c>
      <c r="G2644" t="s">
        <v>2105</v>
      </c>
      <c r="H2644" s="12">
        <v>45740</v>
      </c>
      <c r="I2644" t="s">
        <v>693</v>
      </c>
      <c r="J2644" t="s">
        <v>477</v>
      </c>
      <c r="K2644">
        <v>2</v>
      </c>
      <c r="L2644">
        <v>37.1</v>
      </c>
      <c r="M2644">
        <v>37.200000000000003</v>
      </c>
      <c r="P2644" t="s">
        <v>106</v>
      </c>
      <c r="Q2644" t="s">
        <v>106</v>
      </c>
      <c r="R2644" t="s">
        <v>106</v>
      </c>
      <c r="S2644" t="s">
        <v>1794</v>
      </c>
      <c r="T2644" t="s">
        <v>1235</v>
      </c>
      <c r="U2644" t="s">
        <v>1477</v>
      </c>
      <c r="V2644" t="s">
        <v>106</v>
      </c>
      <c r="W2644" t="s">
        <v>954</v>
      </c>
      <c r="X2644" t="s">
        <v>106</v>
      </c>
      <c r="Y2644" t="s">
        <v>108</v>
      </c>
      <c r="Z2644" t="s">
        <v>108</v>
      </c>
      <c r="AA2644" t="s">
        <v>1652</v>
      </c>
      <c r="AB2644" t="s">
        <v>106</v>
      </c>
    </row>
    <row r="2645" spans="1:28" x14ac:dyDescent="0.3">
      <c r="A2645" t="s">
        <v>1635</v>
      </c>
      <c r="B2645">
        <v>3</v>
      </c>
      <c r="C2645">
        <v>35</v>
      </c>
      <c r="D2645">
        <v>29</v>
      </c>
      <c r="E2645" t="s">
        <v>456</v>
      </c>
      <c r="F2645" s="12">
        <v>45740</v>
      </c>
      <c r="G2645" t="s">
        <v>805</v>
      </c>
      <c r="H2645" s="12">
        <v>45740</v>
      </c>
      <c r="I2645" t="s">
        <v>1643</v>
      </c>
      <c r="J2645" t="s">
        <v>477</v>
      </c>
      <c r="K2645">
        <v>2</v>
      </c>
      <c r="L2645">
        <v>37</v>
      </c>
      <c r="M2645">
        <v>37</v>
      </c>
      <c r="P2645" t="s">
        <v>106</v>
      </c>
      <c r="Q2645" t="s">
        <v>106</v>
      </c>
      <c r="R2645" t="s">
        <v>106</v>
      </c>
      <c r="S2645" t="s">
        <v>2166</v>
      </c>
      <c r="T2645" t="s">
        <v>1242</v>
      </c>
      <c r="U2645" t="s">
        <v>703</v>
      </c>
      <c r="V2645" t="s">
        <v>106</v>
      </c>
      <c r="W2645" t="s">
        <v>954</v>
      </c>
      <c r="X2645" t="s">
        <v>106</v>
      </c>
      <c r="Y2645" t="s">
        <v>108</v>
      </c>
      <c r="Z2645" t="s">
        <v>108</v>
      </c>
      <c r="AA2645" t="s">
        <v>1652</v>
      </c>
      <c r="AB2645" t="s">
        <v>106</v>
      </c>
    </row>
    <row r="2646" spans="1:28" x14ac:dyDescent="0.3">
      <c r="A2646" t="s">
        <v>1635</v>
      </c>
      <c r="B2646">
        <v>3</v>
      </c>
      <c r="C2646">
        <v>35</v>
      </c>
      <c r="D2646">
        <v>27</v>
      </c>
      <c r="E2646" t="s">
        <v>456</v>
      </c>
      <c r="F2646" s="12">
        <v>45740</v>
      </c>
      <c r="G2646" t="s">
        <v>1761</v>
      </c>
      <c r="H2646" s="12">
        <v>45740</v>
      </c>
      <c r="I2646" t="s">
        <v>693</v>
      </c>
      <c r="J2646" t="s">
        <v>477</v>
      </c>
      <c r="K2646">
        <v>2</v>
      </c>
      <c r="L2646">
        <v>38</v>
      </c>
      <c r="M2646">
        <v>38.1</v>
      </c>
      <c r="P2646" t="s">
        <v>106</v>
      </c>
      <c r="Q2646" t="s">
        <v>106</v>
      </c>
      <c r="R2646" t="s">
        <v>106</v>
      </c>
      <c r="S2646" t="s">
        <v>1628</v>
      </c>
      <c r="T2646" t="s">
        <v>937</v>
      </c>
      <c r="U2646" t="s">
        <v>708</v>
      </c>
      <c r="V2646" t="s">
        <v>106</v>
      </c>
      <c r="W2646" t="s">
        <v>954</v>
      </c>
      <c r="X2646" t="s">
        <v>106</v>
      </c>
      <c r="Y2646" t="s">
        <v>108</v>
      </c>
      <c r="Z2646" t="s">
        <v>108</v>
      </c>
      <c r="AA2646" t="s">
        <v>1652</v>
      </c>
      <c r="AB2646" t="s">
        <v>106</v>
      </c>
    </row>
    <row r="2647" spans="1:28" x14ac:dyDescent="0.3">
      <c r="A2647" t="s">
        <v>1635</v>
      </c>
      <c r="B2647">
        <v>3</v>
      </c>
      <c r="C2647">
        <v>35</v>
      </c>
      <c r="D2647">
        <v>22</v>
      </c>
      <c r="E2647" t="s">
        <v>456</v>
      </c>
      <c r="F2647" s="12">
        <v>45740</v>
      </c>
      <c r="G2647" t="s">
        <v>553</v>
      </c>
      <c r="H2647" s="12">
        <v>45740</v>
      </c>
      <c r="I2647" t="s">
        <v>693</v>
      </c>
      <c r="J2647" t="s">
        <v>477</v>
      </c>
      <c r="K2647">
        <v>2</v>
      </c>
      <c r="L2647">
        <v>46.8</v>
      </c>
      <c r="M2647">
        <v>47.2</v>
      </c>
      <c r="P2647" t="s">
        <v>106</v>
      </c>
      <c r="Q2647" t="s">
        <v>106</v>
      </c>
      <c r="R2647" t="s">
        <v>106</v>
      </c>
      <c r="S2647" t="s">
        <v>1507</v>
      </c>
      <c r="T2647" t="s">
        <v>996</v>
      </c>
      <c r="U2647" t="s">
        <v>429</v>
      </c>
      <c r="V2647" t="s">
        <v>106</v>
      </c>
      <c r="W2647" t="s">
        <v>954</v>
      </c>
      <c r="X2647" t="s">
        <v>106</v>
      </c>
      <c r="Y2647" t="s">
        <v>108</v>
      </c>
      <c r="Z2647" t="s">
        <v>108</v>
      </c>
      <c r="AA2647" t="s">
        <v>1652</v>
      </c>
      <c r="AB2647" t="s">
        <v>2579</v>
      </c>
    </row>
    <row r="2648" spans="1:28" x14ac:dyDescent="0.3">
      <c r="A2648" t="s">
        <v>1635</v>
      </c>
      <c r="B2648">
        <v>3</v>
      </c>
      <c r="C2648">
        <v>35</v>
      </c>
      <c r="D2648">
        <v>21</v>
      </c>
      <c r="E2648" t="s">
        <v>456</v>
      </c>
      <c r="F2648" s="12">
        <v>45740</v>
      </c>
      <c r="G2648" t="s">
        <v>399</v>
      </c>
      <c r="H2648" s="12">
        <v>45740</v>
      </c>
      <c r="I2648" t="s">
        <v>693</v>
      </c>
      <c r="J2648" t="s">
        <v>477</v>
      </c>
      <c r="K2648">
        <v>2</v>
      </c>
      <c r="L2648">
        <v>41.1</v>
      </c>
      <c r="M2648">
        <v>41.1</v>
      </c>
      <c r="P2648" t="s">
        <v>106</v>
      </c>
      <c r="Q2648" t="s">
        <v>106</v>
      </c>
      <c r="R2648" t="s">
        <v>106</v>
      </c>
      <c r="S2648" t="s">
        <v>1816</v>
      </c>
      <c r="T2648" t="s">
        <v>1561</v>
      </c>
      <c r="U2648" t="s">
        <v>1651</v>
      </c>
      <c r="V2648" t="s">
        <v>106</v>
      </c>
      <c r="W2648" t="s">
        <v>954</v>
      </c>
      <c r="X2648" t="s">
        <v>106</v>
      </c>
      <c r="Y2648" t="s">
        <v>108</v>
      </c>
      <c r="Z2648" t="s">
        <v>108</v>
      </c>
      <c r="AA2648" t="s">
        <v>1652</v>
      </c>
      <c r="AB2648" t="s">
        <v>2580</v>
      </c>
    </row>
    <row r="2649" spans="1:28" x14ac:dyDescent="0.3">
      <c r="A2649" t="s">
        <v>1635</v>
      </c>
      <c r="B2649">
        <v>3</v>
      </c>
      <c r="C2649">
        <v>35</v>
      </c>
      <c r="D2649">
        <v>83</v>
      </c>
      <c r="E2649" t="s">
        <v>456</v>
      </c>
      <c r="F2649" s="12">
        <v>45740</v>
      </c>
      <c r="G2649" t="s">
        <v>2581</v>
      </c>
      <c r="H2649" s="12">
        <v>45740</v>
      </c>
      <c r="I2649" t="s">
        <v>822</v>
      </c>
      <c r="J2649" t="s">
        <v>471</v>
      </c>
      <c r="K2649">
        <v>2</v>
      </c>
      <c r="L2649">
        <v>39.200000000000003</v>
      </c>
      <c r="M2649">
        <v>38.700000000000003</v>
      </c>
      <c r="P2649" t="s">
        <v>106</v>
      </c>
      <c r="Q2649" t="s">
        <v>106</v>
      </c>
      <c r="R2649" t="s">
        <v>106</v>
      </c>
      <c r="S2649" t="s">
        <v>106</v>
      </c>
      <c r="T2649" t="s">
        <v>1217</v>
      </c>
      <c r="U2649" t="s">
        <v>430</v>
      </c>
      <c r="V2649" t="s">
        <v>106</v>
      </c>
      <c r="W2649" t="s">
        <v>443</v>
      </c>
      <c r="X2649" t="s">
        <v>106</v>
      </c>
      <c r="Y2649" t="s">
        <v>108</v>
      </c>
      <c r="Z2649" t="s">
        <v>108</v>
      </c>
      <c r="AA2649" t="s">
        <v>1647</v>
      </c>
      <c r="AB2649" t="s">
        <v>106</v>
      </c>
    </row>
    <row r="2650" spans="1:28" x14ac:dyDescent="0.3">
      <c r="A2650" t="s">
        <v>1635</v>
      </c>
      <c r="B2650">
        <v>3</v>
      </c>
      <c r="C2650">
        <v>35</v>
      </c>
      <c r="D2650">
        <v>35</v>
      </c>
      <c r="E2650" t="s">
        <v>456</v>
      </c>
      <c r="F2650" s="12">
        <v>45740</v>
      </c>
      <c r="G2650" t="s">
        <v>363</v>
      </c>
      <c r="H2650" s="12">
        <v>45740</v>
      </c>
      <c r="I2650" t="s">
        <v>1643</v>
      </c>
      <c r="J2650" t="s">
        <v>477</v>
      </c>
      <c r="K2650">
        <v>2</v>
      </c>
      <c r="L2650">
        <v>38</v>
      </c>
      <c r="M2650">
        <v>38.200000000000003</v>
      </c>
      <c r="P2650" t="s">
        <v>106</v>
      </c>
      <c r="Q2650" t="s">
        <v>106</v>
      </c>
      <c r="R2650" t="s">
        <v>106</v>
      </c>
      <c r="S2650" t="s">
        <v>106</v>
      </c>
      <c r="T2650" t="s">
        <v>996</v>
      </c>
      <c r="U2650" t="s">
        <v>1780</v>
      </c>
      <c r="V2650" t="s">
        <v>106</v>
      </c>
      <c r="W2650" t="s">
        <v>954</v>
      </c>
      <c r="X2650" t="s">
        <v>106</v>
      </c>
      <c r="Y2650" t="s">
        <v>108</v>
      </c>
      <c r="Z2650" t="s">
        <v>108</v>
      </c>
      <c r="AA2650" t="s">
        <v>1652</v>
      </c>
      <c r="AB2650" t="s">
        <v>106</v>
      </c>
    </row>
    <row r="2651" spans="1:28" x14ac:dyDescent="0.3">
      <c r="A2651" t="s">
        <v>1635</v>
      </c>
      <c r="B2651">
        <v>3</v>
      </c>
      <c r="C2651">
        <v>35</v>
      </c>
      <c r="D2651">
        <v>37</v>
      </c>
      <c r="E2651" t="s">
        <v>456</v>
      </c>
      <c r="F2651" s="12">
        <v>45740</v>
      </c>
      <c r="G2651" t="s">
        <v>431</v>
      </c>
      <c r="H2651" s="12">
        <v>45740</v>
      </c>
      <c r="I2651" t="s">
        <v>1643</v>
      </c>
      <c r="J2651" t="s">
        <v>477</v>
      </c>
      <c r="K2651">
        <v>2</v>
      </c>
      <c r="L2651">
        <v>37.200000000000003</v>
      </c>
      <c r="M2651">
        <v>37.299999999999997</v>
      </c>
      <c r="P2651" t="s">
        <v>106</v>
      </c>
      <c r="Q2651" t="s">
        <v>106</v>
      </c>
      <c r="R2651" t="s">
        <v>106</v>
      </c>
      <c r="S2651" t="s">
        <v>1717</v>
      </c>
      <c r="T2651" t="s">
        <v>776</v>
      </c>
      <c r="U2651" t="s">
        <v>1468</v>
      </c>
      <c r="V2651" t="s">
        <v>106</v>
      </c>
      <c r="W2651" t="s">
        <v>954</v>
      </c>
      <c r="X2651" t="s">
        <v>106</v>
      </c>
      <c r="Y2651" t="s">
        <v>108</v>
      </c>
      <c r="Z2651" t="s">
        <v>108</v>
      </c>
      <c r="AA2651" t="s">
        <v>1652</v>
      </c>
      <c r="AB2651" t="s">
        <v>2582</v>
      </c>
    </row>
    <row r="2652" spans="1:28" x14ac:dyDescent="0.3">
      <c r="A2652" t="s">
        <v>1635</v>
      </c>
      <c r="B2652">
        <v>3</v>
      </c>
      <c r="C2652">
        <v>35</v>
      </c>
      <c r="D2652">
        <v>82</v>
      </c>
      <c r="E2652" t="s">
        <v>456</v>
      </c>
      <c r="F2652" s="12">
        <v>45740</v>
      </c>
      <c r="G2652" t="s">
        <v>2583</v>
      </c>
      <c r="H2652" s="12">
        <v>45740</v>
      </c>
      <c r="I2652" t="s">
        <v>822</v>
      </c>
      <c r="J2652" t="s">
        <v>471</v>
      </c>
      <c r="K2652">
        <v>2</v>
      </c>
      <c r="L2652">
        <v>38.200000000000003</v>
      </c>
      <c r="M2652">
        <v>38.299999999999997</v>
      </c>
      <c r="P2652" t="s">
        <v>106</v>
      </c>
      <c r="Q2652" t="s">
        <v>106</v>
      </c>
      <c r="R2652" t="s">
        <v>106</v>
      </c>
      <c r="S2652" t="s">
        <v>1792</v>
      </c>
      <c r="T2652" t="s">
        <v>1090</v>
      </c>
      <c r="U2652" t="s">
        <v>1604</v>
      </c>
      <c r="V2652" t="s">
        <v>106</v>
      </c>
      <c r="W2652" t="s">
        <v>443</v>
      </c>
      <c r="X2652" t="s">
        <v>106</v>
      </c>
      <c r="Y2652" t="s">
        <v>108</v>
      </c>
      <c r="Z2652" t="s">
        <v>108</v>
      </c>
      <c r="AA2652" t="s">
        <v>1647</v>
      </c>
      <c r="AB2652" t="s">
        <v>106</v>
      </c>
    </row>
    <row r="2653" spans="1:28" x14ac:dyDescent="0.3">
      <c r="A2653" t="s">
        <v>1635</v>
      </c>
      <c r="B2653">
        <v>3</v>
      </c>
      <c r="C2653">
        <v>35</v>
      </c>
      <c r="D2653">
        <v>15</v>
      </c>
      <c r="E2653" t="s">
        <v>308</v>
      </c>
      <c r="F2653" s="12">
        <v>45740</v>
      </c>
      <c r="G2653" t="s">
        <v>2245</v>
      </c>
      <c r="H2653" s="12">
        <v>45740</v>
      </c>
      <c r="I2653" t="s">
        <v>106</v>
      </c>
      <c r="J2653" t="s">
        <v>106</v>
      </c>
      <c r="L2653">
        <v>36.6</v>
      </c>
      <c r="M2653">
        <v>36.700000000000003</v>
      </c>
      <c r="P2653" t="s">
        <v>106</v>
      </c>
      <c r="Q2653" t="s">
        <v>106</v>
      </c>
      <c r="R2653" t="s">
        <v>106</v>
      </c>
      <c r="S2653" t="s">
        <v>106</v>
      </c>
      <c r="T2653" t="s">
        <v>996</v>
      </c>
      <c r="U2653" t="s">
        <v>1651</v>
      </c>
      <c r="V2653" t="s">
        <v>106</v>
      </c>
      <c r="W2653" t="s">
        <v>954</v>
      </c>
      <c r="X2653" t="s">
        <v>106</v>
      </c>
      <c r="Y2653" t="s">
        <v>108</v>
      </c>
      <c r="Z2653" t="s">
        <v>108</v>
      </c>
      <c r="AA2653" t="s">
        <v>1652</v>
      </c>
      <c r="AB2653" t="s">
        <v>106</v>
      </c>
    </row>
    <row r="2654" spans="1:28" x14ac:dyDescent="0.3">
      <c r="A2654" t="s">
        <v>1635</v>
      </c>
      <c r="B2654">
        <v>3</v>
      </c>
      <c r="C2654">
        <v>35</v>
      </c>
      <c r="D2654">
        <v>79</v>
      </c>
      <c r="E2654" t="s">
        <v>456</v>
      </c>
      <c r="F2654" s="12">
        <v>45740</v>
      </c>
      <c r="G2654" t="s">
        <v>2167</v>
      </c>
      <c r="H2654" s="12">
        <v>45740</v>
      </c>
      <c r="I2654" t="s">
        <v>1178</v>
      </c>
      <c r="J2654" t="s">
        <v>471</v>
      </c>
      <c r="K2654">
        <v>2</v>
      </c>
      <c r="L2654">
        <v>38.4</v>
      </c>
      <c r="M2654">
        <v>38.6</v>
      </c>
      <c r="P2654" t="s">
        <v>106</v>
      </c>
      <c r="Q2654" t="s">
        <v>106</v>
      </c>
      <c r="R2654" t="s">
        <v>106</v>
      </c>
      <c r="S2654" t="s">
        <v>106</v>
      </c>
      <c r="T2654" t="s">
        <v>1105</v>
      </c>
      <c r="U2654" t="s">
        <v>1351</v>
      </c>
      <c r="V2654" t="s">
        <v>106</v>
      </c>
      <c r="W2654" t="s">
        <v>443</v>
      </c>
      <c r="X2654" t="s">
        <v>106</v>
      </c>
      <c r="Y2654" t="s">
        <v>108</v>
      </c>
      <c r="Z2654" t="s">
        <v>108</v>
      </c>
      <c r="AA2654" t="s">
        <v>1647</v>
      </c>
      <c r="AB2654" t="s">
        <v>106</v>
      </c>
    </row>
    <row r="2655" spans="1:28" x14ac:dyDescent="0.3">
      <c r="A2655" t="s">
        <v>1635</v>
      </c>
      <c r="B2655">
        <v>3</v>
      </c>
      <c r="C2655">
        <v>35</v>
      </c>
      <c r="D2655">
        <v>36</v>
      </c>
      <c r="E2655" t="s">
        <v>456</v>
      </c>
      <c r="F2655" s="12">
        <v>45740</v>
      </c>
      <c r="G2655" t="s">
        <v>823</v>
      </c>
      <c r="H2655" s="12">
        <v>45740</v>
      </c>
      <c r="I2655" t="s">
        <v>1643</v>
      </c>
      <c r="J2655" t="s">
        <v>477</v>
      </c>
      <c r="K2655">
        <v>2</v>
      </c>
      <c r="L2655">
        <v>35.299999999999997</v>
      </c>
      <c r="M2655">
        <v>35.299999999999997</v>
      </c>
      <c r="P2655" t="s">
        <v>106</v>
      </c>
      <c r="Q2655" t="s">
        <v>106</v>
      </c>
      <c r="R2655" t="s">
        <v>106</v>
      </c>
      <c r="S2655" t="s">
        <v>2133</v>
      </c>
      <c r="T2655" t="s">
        <v>1141</v>
      </c>
      <c r="U2655" t="s">
        <v>1415</v>
      </c>
      <c r="V2655" t="s">
        <v>106</v>
      </c>
      <c r="W2655" t="s">
        <v>954</v>
      </c>
      <c r="X2655" t="s">
        <v>106</v>
      </c>
      <c r="Y2655" t="s">
        <v>108</v>
      </c>
      <c r="Z2655" t="s">
        <v>108</v>
      </c>
      <c r="AA2655" t="s">
        <v>1652</v>
      </c>
      <c r="AB2655" t="s">
        <v>2582</v>
      </c>
    </row>
    <row r="2656" spans="1:28" x14ac:dyDescent="0.3">
      <c r="A2656" t="s">
        <v>1635</v>
      </c>
      <c r="B2656">
        <v>3</v>
      </c>
      <c r="C2656">
        <v>35</v>
      </c>
      <c r="D2656">
        <v>41</v>
      </c>
      <c r="E2656" t="s">
        <v>456</v>
      </c>
      <c r="F2656" s="12">
        <v>45740</v>
      </c>
      <c r="G2656" t="s">
        <v>621</v>
      </c>
      <c r="H2656" s="12">
        <v>45740</v>
      </c>
      <c r="I2656" t="s">
        <v>1642</v>
      </c>
      <c r="J2656" t="s">
        <v>477</v>
      </c>
      <c r="K2656">
        <v>2</v>
      </c>
      <c r="L2656">
        <v>40.700000000000003</v>
      </c>
      <c r="M2656">
        <v>40.6</v>
      </c>
      <c r="P2656" t="s">
        <v>106</v>
      </c>
      <c r="Q2656" t="s">
        <v>106</v>
      </c>
      <c r="R2656" t="s">
        <v>106</v>
      </c>
      <c r="S2656" t="s">
        <v>1873</v>
      </c>
      <c r="T2656" t="s">
        <v>1931</v>
      </c>
      <c r="U2656" t="s">
        <v>395</v>
      </c>
      <c r="V2656" t="s">
        <v>106</v>
      </c>
      <c r="W2656" t="s">
        <v>954</v>
      </c>
      <c r="X2656" t="s">
        <v>106</v>
      </c>
      <c r="Y2656" t="s">
        <v>108</v>
      </c>
      <c r="Z2656" t="s">
        <v>108</v>
      </c>
      <c r="AA2656" t="s">
        <v>1652</v>
      </c>
      <c r="AB2656" t="s">
        <v>106</v>
      </c>
    </row>
    <row r="2657" spans="1:28" x14ac:dyDescent="0.3">
      <c r="A2657" t="s">
        <v>1635</v>
      </c>
      <c r="B2657">
        <v>3</v>
      </c>
      <c r="C2657">
        <v>35</v>
      </c>
      <c r="D2657">
        <v>16</v>
      </c>
      <c r="E2657" t="s">
        <v>308</v>
      </c>
      <c r="F2657" s="12">
        <v>45740</v>
      </c>
      <c r="G2657" t="s">
        <v>2136</v>
      </c>
      <c r="H2657" s="12">
        <v>45740</v>
      </c>
      <c r="I2657" t="s">
        <v>106</v>
      </c>
      <c r="J2657" t="s">
        <v>106</v>
      </c>
      <c r="L2657">
        <v>36.4</v>
      </c>
      <c r="M2657">
        <v>36.6</v>
      </c>
      <c r="P2657" t="s">
        <v>106</v>
      </c>
      <c r="Q2657" t="s">
        <v>106</v>
      </c>
      <c r="R2657" t="s">
        <v>106</v>
      </c>
      <c r="S2657" t="s">
        <v>106</v>
      </c>
      <c r="T2657" t="s">
        <v>1090</v>
      </c>
      <c r="U2657" t="s">
        <v>395</v>
      </c>
      <c r="V2657" t="s">
        <v>106</v>
      </c>
      <c r="W2657" t="s">
        <v>954</v>
      </c>
      <c r="X2657" t="s">
        <v>106</v>
      </c>
      <c r="Y2657" t="s">
        <v>108</v>
      </c>
      <c r="Z2657" t="s">
        <v>108</v>
      </c>
      <c r="AA2657" t="s">
        <v>1652</v>
      </c>
      <c r="AB2657" t="s">
        <v>106</v>
      </c>
    </row>
    <row r="2658" spans="1:28" x14ac:dyDescent="0.3">
      <c r="A2658" t="s">
        <v>1635</v>
      </c>
      <c r="B2658">
        <v>3</v>
      </c>
      <c r="C2658">
        <v>35</v>
      </c>
      <c r="D2658">
        <v>40</v>
      </c>
      <c r="E2658" t="s">
        <v>456</v>
      </c>
      <c r="F2658" s="12">
        <v>45740</v>
      </c>
      <c r="G2658" t="s">
        <v>698</v>
      </c>
      <c r="H2658" s="12">
        <v>45740</v>
      </c>
      <c r="I2658" t="s">
        <v>1642</v>
      </c>
      <c r="J2658" t="s">
        <v>477</v>
      </c>
      <c r="K2658">
        <v>2</v>
      </c>
      <c r="L2658">
        <v>38.200000000000003</v>
      </c>
      <c r="M2658">
        <v>38.4</v>
      </c>
      <c r="P2658" t="s">
        <v>106</v>
      </c>
      <c r="Q2658" t="s">
        <v>106</v>
      </c>
      <c r="R2658" t="s">
        <v>106</v>
      </c>
      <c r="S2658" t="s">
        <v>1579</v>
      </c>
      <c r="T2658" t="s">
        <v>1235</v>
      </c>
      <c r="U2658" t="s">
        <v>841</v>
      </c>
      <c r="V2658" t="s">
        <v>106</v>
      </c>
      <c r="W2658" t="s">
        <v>954</v>
      </c>
      <c r="X2658" t="s">
        <v>106</v>
      </c>
      <c r="Y2658" t="s">
        <v>108</v>
      </c>
      <c r="Z2658" t="s">
        <v>108</v>
      </c>
      <c r="AA2658" t="s">
        <v>1652</v>
      </c>
      <c r="AB2658" t="s">
        <v>106</v>
      </c>
    </row>
    <row r="2659" spans="1:28" x14ac:dyDescent="0.3">
      <c r="A2659" t="s">
        <v>1635</v>
      </c>
      <c r="B2659">
        <v>3</v>
      </c>
      <c r="C2659">
        <v>35</v>
      </c>
      <c r="D2659">
        <v>53</v>
      </c>
      <c r="E2659" t="s">
        <v>456</v>
      </c>
      <c r="F2659" s="12">
        <v>45740</v>
      </c>
      <c r="G2659" t="s">
        <v>569</v>
      </c>
      <c r="H2659" s="12">
        <v>45740</v>
      </c>
      <c r="I2659" t="s">
        <v>583</v>
      </c>
      <c r="J2659" t="s">
        <v>471</v>
      </c>
      <c r="K2659">
        <v>2</v>
      </c>
      <c r="L2659">
        <v>35.700000000000003</v>
      </c>
      <c r="M2659">
        <v>35.700000000000003</v>
      </c>
      <c r="P2659" t="s">
        <v>106</v>
      </c>
      <c r="Q2659" t="s">
        <v>106</v>
      </c>
      <c r="R2659" t="s">
        <v>106</v>
      </c>
      <c r="S2659" t="s">
        <v>1514</v>
      </c>
      <c r="T2659" t="s">
        <v>750</v>
      </c>
      <c r="U2659" t="s">
        <v>429</v>
      </c>
      <c r="V2659" t="s">
        <v>106</v>
      </c>
      <c r="W2659" t="s">
        <v>476</v>
      </c>
      <c r="X2659" t="s">
        <v>106</v>
      </c>
      <c r="Y2659" t="s">
        <v>108</v>
      </c>
      <c r="Z2659" t="s">
        <v>108</v>
      </c>
      <c r="AA2659" t="s">
        <v>106</v>
      </c>
      <c r="AB2659" t="s">
        <v>106</v>
      </c>
    </row>
    <row r="2660" spans="1:28" x14ac:dyDescent="0.3">
      <c r="A2660" t="s">
        <v>1635</v>
      </c>
      <c r="B2660">
        <v>3</v>
      </c>
      <c r="C2660">
        <v>35</v>
      </c>
      <c r="D2660">
        <v>59</v>
      </c>
      <c r="E2660" t="s">
        <v>456</v>
      </c>
      <c r="F2660" s="12">
        <v>45740</v>
      </c>
      <c r="G2660" t="s">
        <v>1152</v>
      </c>
      <c r="H2660" s="12">
        <v>45740</v>
      </c>
      <c r="I2660" t="s">
        <v>582</v>
      </c>
      <c r="J2660" t="s">
        <v>1363</v>
      </c>
      <c r="K2660">
        <v>2</v>
      </c>
      <c r="L2660">
        <v>37.9</v>
      </c>
      <c r="M2660">
        <v>37.9</v>
      </c>
      <c r="P2660" t="s">
        <v>106</v>
      </c>
      <c r="Q2660" t="s">
        <v>106</v>
      </c>
      <c r="R2660" t="s">
        <v>106</v>
      </c>
      <c r="S2660" t="s">
        <v>1399</v>
      </c>
      <c r="T2660" t="s">
        <v>1041</v>
      </c>
      <c r="U2660" t="s">
        <v>1651</v>
      </c>
      <c r="V2660" t="s">
        <v>106</v>
      </c>
      <c r="W2660" t="s">
        <v>443</v>
      </c>
      <c r="X2660" t="s">
        <v>106</v>
      </c>
      <c r="Y2660" t="s">
        <v>108</v>
      </c>
      <c r="Z2660" t="s">
        <v>108</v>
      </c>
      <c r="AA2660" t="s">
        <v>106</v>
      </c>
      <c r="AB2660" t="s">
        <v>106</v>
      </c>
    </row>
    <row r="2661" spans="1:28" x14ac:dyDescent="0.3">
      <c r="A2661" t="s">
        <v>1635</v>
      </c>
      <c r="B2661">
        <v>3</v>
      </c>
      <c r="C2661">
        <v>35</v>
      </c>
      <c r="D2661">
        <v>73</v>
      </c>
      <c r="E2661" t="s">
        <v>456</v>
      </c>
      <c r="F2661" s="12">
        <v>45740</v>
      </c>
      <c r="G2661" t="s">
        <v>950</v>
      </c>
      <c r="H2661" s="12">
        <v>45740</v>
      </c>
      <c r="I2661" t="s">
        <v>1178</v>
      </c>
      <c r="J2661" t="s">
        <v>471</v>
      </c>
      <c r="K2661">
        <v>2</v>
      </c>
      <c r="L2661">
        <v>38</v>
      </c>
      <c r="M2661">
        <v>38.4</v>
      </c>
      <c r="P2661" t="s">
        <v>106</v>
      </c>
      <c r="Q2661" t="s">
        <v>106</v>
      </c>
      <c r="R2661" t="s">
        <v>106</v>
      </c>
      <c r="S2661" t="s">
        <v>2356</v>
      </c>
      <c r="T2661" t="s">
        <v>1090</v>
      </c>
      <c r="U2661" t="s">
        <v>1345</v>
      </c>
      <c r="V2661" t="s">
        <v>106</v>
      </c>
      <c r="W2661" t="s">
        <v>443</v>
      </c>
      <c r="X2661" t="s">
        <v>106</v>
      </c>
      <c r="Y2661" t="s">
        <v>108</v>
      </c>
      <c r="Z2661" t="s">
        <v>108</v>
      </c>
      <c r="AA2661" t="s">
        <v>1647</v>
      </c>
      <c r="AB2661" t="s">
        <v>106</v>
      </c>
    </row>
    <row r="2662" spans="1:28" x14ac:dyDescent="0.3">
      <c r="A2662" t="s">
        <v>1635</v>
      </c>
      <c r="B2662">
        <v>3</v>
      </c>
      <c r="C2662">
        <v>35</v>
      </c>
      <c r="D2662">
        <v>65</v>
      </c>
      <c r="E2662" t="s">
        <v>456</v>
      </c>
      <c r="F2662" s="12">
        <v>45740</v>
      </c>
      <c r="G2662" t="s">
        <v>1741</v>
      </c>
      <c r="H2662" s="12">
        <v>45740</v>
      </c>
      <c r="I2662" t="s">
        <v>1646</v>
      </c>
      <c r="J2662" t="s">
        <v>471</v>
      </c>
      <c r="K2662">
        <v>2</v>
      </c>
      <c r="L2662">
        <v>38.700000000000003</v>
      </c>
      <c r="M2662">
        <v>38.700000000000003</v>
      </c>
      <c r="P2662" t="s">
        <v>106</v>
      </c>
      <c r="Q2662" t="s">
        <v>106</v>
      </c>
      <c r="R2662" t="s">
        <v>106</v>
      </c>
      <c r="S2662" t="s">
        <v>106</v>
      </c>
      <c r="T2662" t="s">
        <v>1876</v>
      </c>
      <c r="U2662" t="s">
        <v>1780</v>
      </c>
      <c r="V2662" t="s">
        <v>106</v>
      </c>
      <c r="W2662" t="s">
        <v>443</v>
      </c>
      <c r="X2662" t="s">
        <v>106</v>
      </c>
      <c r="Y2662" t="s">
        <v>108</v>
      </c>
      <c r="Z2662" t="s">
        <v>108</v>
      </c>
      <c r="AA2662" t="s">
        <v>1652</v>
      </c>
      <c r="AB2662" t="s">
        <v>106</v>
      </c>
    </row>
    <row r="2663" spans="1:28" x14ac:dyDescent="0.3">
      <c r="A2663" t="s">
        <v>1635</v>
      </c>
      <c r="B2663">
        <v>3</v>
      </c>
      <c r="C2663">
        <v>35</v>
      </c>
      <c r="D2663">
        <v>72</v>
      </c>
      <c r="E2663" t="s">
        <v>456</v>
      </c>
      <c r="F2663" s="12">
        <v>45740</v>
      </c>
      <c r="G2663" t="s">
        <v>950</v>
      </c>
      <c r="H2663" s="12">
        <v>45740</v>
      </c>
      <c r="I2663" t="s">
        <v>1178</v>
      </c>
      <c r="J2663" t="s">
        <v>471</v>
      </c>
      <c r="K2663">
        <v>2</v>
      </c>
      <c r="L2663">
        <v>38.6</v>
      </c>
      <c r="M2663">
        <v>38.799999999999997</v>
      </c>
      <c r="P2663" t="s">
        <v>106</v>
      </c>
      <c r="Q2663" t="s">
        <v>106</v>
      </c>
      <c r="R2663" t="s">
        <v>106</v>
      </c>
      <c r="S2663" t="s">
        <v>106</v>
      </c>
      <c r="T2663" t="s">
        <v>1208</v>
      </c>
      <c r="U2663" t="s">
        <v>1418</v>
      </c>
      <c r="V2663" t="s">
        <v>106</v>
      </c>
      <c r="W2663" t="s">
        <v>443</v>
      </c>
      <c r="X2663" t="s">
        <v>106</v>
      </c>
      <c r="Y2663" t="s">
        <v>108</v>
      </c>
      <c r="Z2663" t="s">
        <v>108</v>
      </c>
      <c r="AA2663" t="s">
        <v>1647</v>
      </c>
      <c r="AB2663" t="s">
        <v>106</v>
      </c>
    </row>
    <row r="2664" spans="1:28" x14ac:dyDescent="0.3">
      <c r="A2664" t="s">
        <v>1635</v>
      </c>
      <c r="B2664">
        <v>3</v>
      </c>
      <c r="C2664">
        <v>35</v>
      </c>
      <c r="D2664">
        <v>46</v>
      </c>
      <c r="E2664" t="s">
        <v>456</v>
      </c>
      <c r="F2664" s="12">
        <v>45740</v>
      </c>
      <c r="G2664" t="s">
        <v>2584</v>
      </c>
      <c r="H2664" s="12">
        <v>45740</v>
      </c>
      <c r="I2664" t="s">
        <v>848</v>
      </c>
      <c r="J2664" t="s">
        <v>477</v>
      </c>
      <c r="K2664">
        <v>2</v>
      </c>
      <c r="L2664">
        <v>36.6</v>
      </c>
      <c r="M2664">
        <v>36.700000000000003</v>
      </c>
      <c r="P2664" t="s">
        <v>106</v>
      </c>
      <c r="Q2664" t="s">
        <v>106</v>
      </c>
      <c r="R2664" t="s">
        <v>106</v>
      </c>
      <c r="S2664" t="s">
        <v>1816</v>
      </c>
      <c r="T2664" t="s">
        <v>1899</v>
      </c>
      <c r="U2664" t="s">
        <v>427</v>
      </c>
      <c r="V2664" t="s">
        <v>106</v>
      </c>
      <c r="W2664" t="s">
        <v>954</v>
      </c>
      <c r="X2664" t="s">
        <v>106</v>
      </c>
      <c r="Y2664" t="s">
        <v>108</v>
      </c>
      <c r="Z2664" t="s">
        <v>108</v>
      </c>
      <c r="AA2664" t="s">
        <v>1652</v>
      </c>
      <c r="AB2664" t="s">
        <v>1201</v>
      </c>
    </row>
    <row r="2665" spans="1:28" x14ac:dyDescent="0.3">
      <c r="A2665" t="s">
        <v>1635</v>
      </c>
      <c r="B2665">
        <v>3</v>
      </c>
      <c r="C2665">
        <v>35</v>
      </c>
      <c r="D2665">
        <v>66</v>
      </c>
      <c r="E2665" t="s">
        <v>456</v>
      </c>
      <c r="F2665" s="12">
        <v>45740</v>
      </c>
      <c r="G2665" t="s">
        <v>1741</v>
      </c>
      <c r="H2665" s="12">
        <v>45740</v>
      </c>
      <c r="I2665" t="s">
        <v>1646</v>
      </c>
      <c r="J2665" t="s">
        <v>471</v>
      </c>
      <c r="K2665">
        <v>2</v>
      </c>
      <c r="L2665">
        <v>38</v>
      </c>
      <c r="M2665">
        <v>38</v>
      </c>
      <c r="P2665" t="s">
        <v>106</v>
      </c>
      <c r="Q2665" t="s">
        <v>106</v>
      </c>
      <c r="R2665" t="s">
        <v>106</v>
      </c>
      <c r="S2665" t="s">
        <v>1367</v>
      </c>
      <c r="T2665" t="s">
        <v>1530</v>
      </c>
      <c r="U2665" t="s">
        <v>1651</v>
      </c>
      <c r="V2665" t="s">
        <v>106</v>
      </c>
      <c r="W2665" t="s">
        <v>443</v>
      </c>
      <c r="X2665" t="s">
        <v>106</v>
      </c>
      <c r="Y2665" t="s">
        <v>108</v>
      </c>
      <c r="Z2665" t="s">
        <v>108</v>
      </c>
      <c r="AA2665" t="s">
        <v>1652</v>
      </c>
      <c r="AB2665" t="s">
        <v>106</v>
      </c>
    </row>
    <row r="2666" spans="1:28" x14ac:dyDescent="0.3">
      <c r="A2666" t="s">
        <v>1635</v>
      </c>
      <c r="B2666">
        <v>3</v>
      </c>
      <c r="C2666">
        <v>35</v>
      </c>
      <c r="D2666">
        <v>60</v>
      </c>
      <c r="E2666" t="s">
        <v>456</v>
      </c>
      <c r="F2666" s="12">
        <v>45740</v>
      </c>
      <c r="G2666" t="s">
        <v>1157</v>
      </c>
      <c r="H2666" s="12">
        <v>45740</v>
      </c>
      <c r="I2666" t="s">
        <v>582</v>
      </c>
      <c r="J2666" t="s">
        <v>1363</v>
      </c>
      <c r="K2666">
        <v>2</v>
      </c>
      <c r="L2666">
        <v>38.200000000000003</v>
      </c>
      <c r="M2666">
        <v>38.200000000000003</v>
      </c>
      <c r="P2666" t="s">
        <v>106</v>
      </c>
      <c r="Q2666" t="s">
        <v>106</v>
      </c>
      <c r="R2666" t="s">
        <v>106</v>
      </c>
      <c r="S2666" t="s">
        <v>1399</v>
      </c>
      <c r="T2666" t="s">
        <v>609</v>
      </c>
      <c r="U2666" t="s">
        <v>1780</v>
      </c>
      <c r="V2666" t="s">
        <v>106</v>
      </c>
      <c r="W2666" t="s">
        <v>443</v>
      </c>
      <c r="X2666" t="s">
        <v>106</v>
      </c>
      <c r="Y2666" t="s">
        <v>108</v>
      </c>
      <c r="Z2666" t="s">
        <v>108</v>
      </c>
      <c r="AA2666" t="s">
        <v>106</v>
      </c>
      <c r="AB2666" t="s">
        <v>106</v>
      </c>
    </row>
    <row r="2667" spans="1:28" x14ac:dyDescent="0.3">
      <c r="A2667" t="s">
        <v>1635</v>
      </c>
      <c r="B2667">
        <v>4</v>
      </c>
      <c r="C2667">
        <v>60</v>
      </c>
      <c r="D2667">
        <v>84</v>
      </c>
      <c r="E2667" t="s">
        <v>456</v>
      </c>
      <c r="F2667" s="12">
        <v>45740</v>
      </c>
      <c r="G2667" t="s">
        <v>2581</v>
      </c>
      <c r="H2667" s="12">
        <v>45740</v>
      </c>
      <c r="I2667" t="s">
        <v>822</v>
      </c>
      <c r="J2667" t="s">
        <v>471</v>
      </c>
      <c r="K2667">
        <v>2</v>
      </c>
      <c r="L2667">
        <v>59.3</v>
      </c>
      <c r="M2667">
        <v>59.2</v>
      </c>
      <c r="P2667" t="s">
        <v>106</v>
      </c>
      <c r="Q2667" t="s">
        <v>106</v>
      </c>
      <c r="R2667" t="s">
        <v>106</v>
      </c>
      <c r="S2667" t="s">
        <v>2120</v>
      </c>
      <c r="T2667" t="s">
        <v>1105</v>
      </c>
      <c r="U2667" t="s">
        <v>1651</v>
      </c>
      <c r="V2667" t="s">
        <v>106</v>
      </c>
      <c r="W2667" t="s">
        <v>443</v>
      </c>
      <c r="X2667" t="s">
        <v>106</v>
      </c>
      <c r="Y2667" t="s">
        <v>108</v>
      </c>
      <c r="Z2667" t="s">
        <v>104</v>
      </c>
      <c r="AA2667" t="s">
        <v>1647</v>
      </c>
      <c r="AB2667" t="s">
        <v>106</v>
      </c>
    </row>
    <row r="2668" spans="1:28" x14ac:dyDescent="0.3">
      <c r="A2668" t="s">
        <v>1635</v>
      </c>
      <c r="B2668">
        <v>4</v>
      </c>
      <c r="C2668">
        <v>60</v>
      </c>
      <c r="D2668">
        <v>85</v>
      </c>
      <c r="E2668" t="s">
        <v>456</v>
      </c>
      <c r="F2668" s="12">
        <v>45740</v>
      </c>
      <c r="G2668" t="s">
        <v>1861</v>
      </c>
      <c r="H2668" s="12">
        <v>45740</v>
      </c>
      <c r="I2668" t="s">
        <v>822</v>
      </c>
      <c r="J2668" t="s">
        <v>471</v>
      </c>
      <c r="K2668">
        <v>2</v>
      </c>
      <c r="L2668">
        <v>63.4</v>
      </c>
      <c r="M2668">
        <v>63.6</v>
      </c>
      <c r="P2668" t="s">
        <v>106</v>
      </c>
      <c r="Q2668" t="s">
        <v>106</v>
      </c>
      <c r="R2668" t="s">
        <v>106</v>
      </c>
      <c r="S2668" t="s">
        <v>106</v>
      </c>
      <c r="T2668" t="s">
        <v>1585</v>
      </c>
      <c r="U2668" t="s">
        <v>427</v>
      </c>
      <c r="V2668" t="s">
        <v>106</v>
      </c>
      <c r="W2668" t="s">
        <v>443</v>
      </c>
      <c r="X2668" t="s">
        <v>106</v>
      </c>
      <c r="Y2668" t="s">
        <v>108</v>
      </c>
      <c r="Z2668" t="s">
        <v>104</v>
      </c>
      <c r="AA2668" t="s">
        <v>1647</v>
      </c>
      <c r="AB2668" t="s">
        <v>106</v>
      </c>
    </row>
    <row r="2669" spans="1:28" x14ac:dyDescent="0.3">
      <c r="A2669" t="s">
        <v>1635</v>
      </c>
      <c r="B2669">
        <v>4</v>
      </c>
      <c r="C2669">
        <v>60</v>
      </c>
      <c r="D2669">
        <v>78</v>
      </c>
      <c r="E2669" t="s">
        <v>456</v>
      </c>
      <c r="F2669" s="12">
        <v>45740</v>
      </c>
      <c r="G2669" t="s">
        <v>2711</v>
      </c>
      <c r="H2669" s="12">
        <v>45740</v>
      </c>
      <c r="I2669" t="s">
        <v>1178</v>
      </c>
      <c r="J2669" t="s">
        <v>471</v>
      </c>
      <c r="K2669">
        <v>2</v>
      </c>
      <c r="L2669">
        <v>63.1</v>
      </c>
      <c r="M2669">
        <v>63.3</v>
      </c>
      <c r="P2669" t="s">
        <v>106</v>
      </c>
      <c r="Q2669" t="s">
        <v>106</v>
      </c>
      <c r="R2669" t="s">
        <v>106</v>
      </c>
      <c r="S2669" t="s">
        <v>1383</v>
      </c>
      <c r="T2669" t="s">
        <v>1214</v>
      </c>
      <c r="U2669" t="s">
        <v>1351</v>
      </c>
      <c r="V2669" t="s">
        <v>106</v>
      </c>
      <c r="W2669" t="s">
        <v>443</v>
      </c>
      <c r="X2669" t="s">
        <v>106</v>
      </c>
      <c r="Y2669" t="s">
        <v>108</v>
      </c>
      <c r="Z2669" t="s">
        <v>104</v>
      </c>
      <c r="AA2669" t="s">
        <v>1647</v>
      </c>
      <c r="AB2669" t="s">
        <v>106</v>
      </c>
    </row>
    <row r="2670" spans="1:28" x14ac:dyDescent="0.3">
      <c r="A2670" t="s">
        <v>1635</v>
      </c>
      <c r="B2670">
        <v>4</v>
      </c>
      <c r="C2670">
        <v>60</v>
      </c>
      <c r="D2670">
        <v>77</v>
      </c>
      <c r="E2670" t="s">
        <v>456</v>
      </c>
      <c r="F2670" s="12">
        <v>45740</v>
      </c>
      <c r="G2670" t="s">
        <v>2074</v>
      </c>
      <c r="H2670" s="12">
        <v>45740</v>
      </c>
      <c r="I2670" t="s">
        <v>1178</v>
      </c>
      <c r="J2670" t="s">
        <v>471</v>
      </c>
      <c r="K2670">
        <v>2</v>
      </c>
      <c r="L2670">
        <v>64.8</v>
      </c>
      <c r="M2670">
        <v>64.400000000000006</v>
      </c>
      <c r="P2670" t="s">
        <v>106</v>
      </c>
      <c r="Q2670" t="s">
        <v>106</v>
      </c>
      <c r="R2670" t="s">
        <v>106</v>
      </c>
      <c r="S2670" t="s">
        <v>106</v>
      </c>
      <c r="T2670" t="s">
        <v>875</v>
      </c>
      <c r="U2670" t="s">
        <v>429</v>
      </c>
      <c r="V2670" t="s">
        <v>106</v>
      </c>
      <c r="W2670" t="s">
        <v>443</v>
      </c>
      <c r="X2670" t="s">
        <v>106</v>
      </c>
      <c r="Y2670" t="s">
        <v>108</v>
      </c>
      <c r="Z2670" t="s">
        <v>108</v>
      </c>
      <c r="AA2670" t="s">
        <v>1647</v>
      </c>
      <c r="AB2670" t="s">
        <v>106</v>
      </c>
    </row>
    <row r="2671" spans="1:28" x14ac:dyDescent="0.3">
      <c r="A2671" t="s">
        <v>1635</v>
      </c>
      <c r="B2671">
        <v>4</v>
      </c>
      <c r="C2671">
        <v>60</v>
      </c>
      <c r="D2671">
        <v>76</v>
      </c>
      <c r="E2671" t="s">
        <v>456</v>
      </c>
      <c r="F2671" s="12">
        <v>45740</v>
      </c>
      <c r="G2671" t="s">
        <v>2074</v>
      </c>
      <c r="H2671" s="12">
        <v>45740</v>
      </c>
      <c r="I2671" t="s">
        <v>1178</v>
      </c>
      <c r="J2671" t="s">
        <v>471</v>
      </c>
      <c r="K2671">
        <v>2</v>
      </c>
      <c r="L2671">
        <v>64</v>
      </c>
      <c r="M2671">
        <v>64.5</v>
      </c>
      <c r="P2671" t="s">
        <v>106</v>
      </c>
      <c r="Q2671" t="s">
        <v>106</v>
      </c>
      <c r="R2671" t="s">
        <v>106</v>
      </c>
      <c r="S2671" t="s">
        <v>1383</v>
      </c>
      <c r="T2671" t="s">
        <v>961</v>
      </c>
      <c r="U2671" t="s">
        <v>905</v>
      </c>
      <c r="V2671" t="s">
        <v>106</v>
      </c>
      <c r="W2671" t="s">
        <v>443</v>
      </c>
      <c r="X2671" t="s">
        <v>106</v>
      </c>
      <c r="Y2671" t="s">
        <v>108</v>
      </c>
      <c r="Z2671" t="s">
        <v>108</v>
      </c>
      <c r="AA2671" t="s">
        <v>1647</v>
      </c>
      <c r="AB2671" t="s">
        <v>106</v>
      </c>
    </row>
    <row r="2672" spans="1:28" x14ac:dyDescent="0.3">
      <c r="A2672" t="s">
        <v>1635</v>
      </c>
      <c r="B2672">
        <v>4</v>
      </c>
      <c r="C2672">
        <v>60</v>
      </c>
      <c r="D2672">
        <v>80</v>
      </c>
      <c r="E2672" t="s">
        <v>456</v>
      </c>
      <c r="F2672" s="12">
        <v>45740</v>
      </c>
      <c r="G2672" t="s">
        <v>1582</v>
      </c>
      <c r="H2672" s="12">
        <v>45740</v>
      </c>
      <c r="I2672" t="s">
        <v>1178</v>
      </c>
      <c r="J2672" t="s">
        <v>471</v>
      </c>
      <c r="K2672">
        <v>2</v>
      </c>
      <c r="L2672">
        <v>63</v>
      </c>
      <c r="M2672">
        <v>63.9</v>
      </c>
      <c r="P2672" t="s">
        <v>106</v>
      </c>
      <c r="Q2672" t="s">
        <v>106</v>
      </c>
      <c r="R2672" t="s">
        <v>106</v>
      </c>
      <c r="S2672" t="s">
        <v>106</v>
      </c>
      <c r="T2672" t="s">
        <v>777</v>
      </c>
      <c r="U2672" t="s">
        <v>1353</v>
      </c>
      <c r="V2672" t="s">
        <v>106</v>
      </c>
      <c r="W2672" t="s">
        <v>443</v>
      </c>
      <c r="X2672" t="s">
        <v>106</v>
      </c>
      <c r="Y2672" t="s">
        <v>108</v>
      </c>
      <c r="Z2672" t="s">
        <v>104</v>
      </c>
      <c r="AA2672" t="s">
        <v>1647</v>
      </c>
      <c r="AB2672" t="s">
        <v>106</v>
      </c>
    </row>
    <row r="2673" spans="1:28" x14ac:dyDescent="0.3">
      <c r="A2673" t="s">
        <v>1635</v>
      </c>
      <c r="B2673">
        <v>4</v>
      </c>
      <c r="C2673">
        <v>60</v>
      </c>
      <c r="D2673">
        <v>68</v>
      </c>
      <c r="E2673" t="s">
        <v>456</v>
      </c>
      <c r="F2673" s="12">
        <v>45740</v>
      </c>
      <c r="G2673" t="s">
        <v>1979</v>
      </c>
      <c r="H2673" s="12">
        <v>45740</v>
      </c>
      <c r="I2673" t="s">
        <v>1646</v>
      </c>
      <c r="J2673" t="s">
        <v>471</v>
      </c>
      <c r="K2673">
        <v>2</v>
      </c>
      <c r="L2673">
        <v>62.3</v>
      </c>
      <c r="M2673">
        <v>62.3</v>
      </c>
      <c r="P2673" t="s">
        <v>106</v>
      </c>
      <c r="Q2673" t="s">
        <v>106</v>
      </c>
      <c r="R2673" t="s">
        <v>106</v>
      </c>
      <c r="S2673" t="s">
        <v>1964</v>
      </c>
      <c r="T2673" t="s">
        <v>981</v>
      </c>
      <c r="U2673" t="s">
        <v>429</v>
      </c>
      <c r="V2673" t="s">
        <v>106</v>
      </c>
      <c r="W2673" t="s">
        <v>443</v>
      </c>
      <c r="X2673" t="s">
        <v>106</v>
      </c>
      <c r="Y2673" t="s">
        <v>108</v>
      </c>
      <c r="Z2673" t="s">
        <v>104</v>
      </c>
      <c r="AA2673" t="s">
        <v>1652</v>
      </c>
      <c r="AB2673" t="s">
        <v>106</v>
      </c>
    </row>
    <row r="2674" spans="1:28" x14ac:dyDescent="0.3">
      <c r="A2674" t="s">
        <v>1635</v>
      </c>
      <c r="B2674">
        <v>4</v>
      </c>
      <c r="C2674">
        <v>60</v>
      </c>
      <c r="D2674">
        <v>42</v>
      </c>
      <c r="E2674" t="s">
        <v>456</v>
      </c>
      <c r="F2674" s="12">
        <v>45740</v>
      </c>
      <c r="G2674" t="s">
        <v>468</v>
      </c>
      <c r="H2674" s="12">
        <v>45740</v>
      </c>
      <c r="I2674" t="s">
        <v>1642</v>
      </c>
      <c r="J2674" t="s">
        <v>477</v>
      </c>
      <c r="K2674">
        <v>2</v>
      </c>
      <c r="L2674">
        <v>58.9</v>
      </c>
      <c r="M2674">
        <v>61.5</v>
      </c>
      <c r="P2674" t="s">
        <v>106</v>
      </c>
      <c r="Q2674" t="s">
        <v>106</v>
      </c>
      <c r="R2674" t="s">
        <v>106</v>
      </c>
      <c r="S2674" t="s">
        <v>1579</v>
      </c>
      <c r="T2674" t="s">
        <v>1931</v>
      </c>
      <c r="U2674" t="s">
        <v>1477</v>
      </c>
      <c r="V2674" t="s">
        <v>106</v>
      </c>
      <c r="W2674" t="s">
        <v>954</v>
      </c>
      <c r="X2674" t="s">
        <v>106</v>
      </c>
      <c r="Y2674" t="s">
        <v>108</v>
      </c>
      <c r="Z2674" t="s">
        <v>104</v>
      </c>
      <c r="AA2674" t="s">
        <v>1652</v>
      </c>
      <c r="AB2674" t="s">
        <v>106</v>
      </c>
    </row>
    <row r="2675" spans="1:28" x14ac:dyDescent="0.3">
      <c r="A2675" t="s">
        <v>1635</v>
      </c>
      <c r="B2675">
        <v>4</v>
      </c>
      <c r="C2675">
        <v>60</v>
      </c>
      <c r="D2675">
        <v>62</v>
      </c>
      <c r="E2675" t="s">
        <v>456</v>
      </c>
      <c r="F2675" s="12">
        <v>45740</v>
      </c>
      <c r="G2675" t="s">
        <v>1258</v>
      </c>
      <c r="H2675" s="12">
        <v>45740</v>
      </c>
      <c r="I2675" t="s">
        <v>582</v>
      </c>
      <c r="J2675" t="s">
        <v>1363</v>
      </c>
      <c r="K2675">
        <v>2</v>
      </c>
      <c r="L2675">
        <v>64.2</v>
      </c>
      <c r="M2675">
        <v>63.7</v>
      </c>
      <c r="P2675" t="s">
        <v>106</v>
      </c>
      <c r="Q2675" t="s">
        <v>106</v>
      </c>
      <c r="R2675" t="s">
        <v>106</v>
      </c>
      <c r="S2675" t="s">
        <v>1964</v>
      </c>
      <c r="T2675" t="s">
        <v>1217</v>
      </c>
      <c r="U2675" t="s">
        <v>395</v>
      </c>
      <c r="V2675" t="s">
        <v>106</v>
      </c>
      <c r="W2675" t="s">
        <v>443</v>
      </c>
      <c r="X2675" t="s">
        <v>106</v>
      </c>
      <c r="Y2675" t="s">
        <v>108</v>
      </c>
      <c r="Z2675" t="s">
        <v>104</v>
      </c>
      <c r="AA2675" t="s">
        <v>106</v>
      </c>
      <c r="AB2675" t="s">
        <v>106</v>
      </c>
    </row>
    <row r="2676" spans="1:28" x14ac:dyDescent="0.3">
      <c r="A2676" t="s">
        <v>1635</v>
      </c>
      <c r="B2676">
        <v>4</v>
      </c>
      <c r="C2676">
        <v>60</v>
      </c>
      <c r="D2676">
        <v>17</v>
      </c>
      <c r="E2676" t="s">
        <v>308</v>
      </c>
      <c r="F2676" s="12">
        <v>45740</v>
      </c>
      <c r="G2676" t="s">
        <v>2213</v>
      </c>
      <c r="H2676" s="12">
        <v>45740</v>
      </c>
      <c r="I2676" t="s">
        <v>106</v>
      </c>
      <c r="J2676" t="s">
        <v>106</v>
      </c>
      <c r="L2676">
        <v>58.7</v>
      </c>
      <c r="M2676">
        <v>59.6</v>
      </c>
      <c r="P2676" t="s">
        <v>106</v>
      </c>
      <c r="Q2676" t="s">
        <v>106</v>
      </c>
      <c r="R2676" t="s">
        <v>106</v>
      </c>
      <c r="S2676" t="s">
        <v>106</v>
      </c>
      <c r="T2676" t="s">
        <v>523</v>
      </c>
      <c r="U2676" t="s">
        <v>1415</v>
      </c>
      <c r="V2676" t="s">
        <v>106</v>
      </c>
      <c r="W2676" t="s">
        <v>954</v>
      </c>
      <c r="X2676" t="s">
        <v>106</v>
      </c>
      <c r="Y2676" t="s">
        <v>108</v>
      </c>
      <c r="Z2676" t="s">
        <v>104</v>
      </c>
      <c r="AA2676" t="s">
        <v>1652</v>
      </c>
      <c r="AB2676" t="s">
        <v>106</v>
      </c>
    </row>
    <row r="2677" spans="1:28" x14ac:dyDescent="0.3">
      <c r="A2677" t="s">
        <v>1635</v>
      </c>
      <c r="B2677">
        <v>4</v>
      </c>
      <c r="C2677">
        <v>60</v>
      </c>
      <c r="D2677">
        <v>18</v>
      </c>
      <c r="E2677" t="s">
        <v>308</v>
      </c>
      <c r="F2677" s="12">
        <v>45740</v>
      </c>
      <c r="G2677" t="s">
        <v>1429</v>
      </c>
      <c r="H2677" s="12">
        <v>45740</v>
      </c>
      <c r="I2677" t="s">
        <v>106</v>
      </c>
      <c r="J2677" t="s">
        <v>106</v>
      </c>
      <c r="L2677">
        <v>60.3</v>
      </c>
      <c r="M2677">
        <v>61.5</v>
      </c>
      <c r="P2677" t="s">
        <v>106</v>
      </c>
      <c r="Q2677" t="s">
        <v>106</v>
      </c>
      <c r="R2677" t="s">
        <v>106</v>
      </c>
      <c r="S2677" t="s">
        <v>106</v>
      </c>
      <c r="T2677" t="s">
        <v>1000</v>
      </c>
      <c r="U2677" t="s">
        <v>1651</v>
      </c>
      <c r="V2677" t="s">
        <v>106</v>
      </c>
      <c r="W2677" t="s">
        <v>954</v>
      </c>
      <c r="X2677" t="s">
        <v>106</v>
      </c>
      <c r="Y2677" t="s">
        <v>108</v>
      </c>
      <c r="Z2677" t="s">
        <v>104</v>
      </c>
      <c r="AA2677" t="s">
        <v>1652</v>
      </c>
      <c r="AB2677" t="s">
        <v>106</v>
      </c>
    </row>
    <row r="2678" spans="1:28" x14ac:dyDescent="0.3">
      <c r="A2678" t="s">
        <v>1635</v>
      </c>
      <c r="B2678">
        <v>4</v>
      </c>
      <c r="C2678">
        <v>60</v>
      </c>
      <c r="D2678">
        <v>67</v>
      </c>
      <c r="E2678" t="s">
        <v>456</v>
      </c>
      <c r="F2678" s="12">
        <v>45740</v>
      </c>
      <c r="G2678" t="s">
        <v>1979</v>
      </c>
      <c r="H2678" s="12">
        <v>45740</v>
      </c>
      <c r="I2678" t="s">
        <v>1646</v>
      </c>
      <c r="J2678" t="s">
        <v>471</v>
      </c>
      <c r="K2678">
        <v>2</v>
      </c>
      <c r="L2678">
        <v>61.8</v>
      </c>
      <c r="M2678">
        <v>61.4</v>
      </c>
      <c r="P2678" t="s">
        <v>106</v>
      </c>
      <c r="Q2678" t="s">
        <v>106</v>
      </c>
      <c r="R2678" t="s">
        <v>106</v>
      </c>
      <c r="S2678" t="s">
        <v>106</v>
      </c>
      <c r="T2678" t="s">
        <v>981</v>
      </c>
      <c r="U2678" t="s">
        <v>1780</v>
      </c>
      <c r="V2678" t="s">
        <v>106</v>
      </c>
      <c r="W2678" t="s">
        <v>443</v>
      </c>
      <c r="X2678" t="s">
        <v>106</v>
      </c>
      <c r="Y2678" t="s">
        <v>108</v>
      </c>
      <c r="Z2678" t="s">
        <v>104</v>
      </c>
      <c r="AA2678" t="s">
        <v>1652</v>
      </c>
      <c r="AB2678" t="s">
        <v>106</v>
      </c>
    </row>
    <row r="2679" spans="1:28" x14ac:dyDescent="0.3">
      <c r="A2679" t="s">
        <v>1635</v>
      </c>
      <c r="B2679">
        <v>4</v>
      </c>
      <c r="C2679">
        <v>60</v>
      </c>
      <c r="D2679">
        <v>24</v>
      </c>
      <c r="E2679" t="s">
        <v>456</v>
      </c>
      <c r="F2679" s="12">
        <v>45740</v>
      </c>
      <c r="G2679" t="s">
        <v>501</v>
      </c>
      <c r="H2679" s="12">
        <v>45740</v>
      </c>
      <c r="I2679" t="s">
        <v>693</v>
      </c>
      <c r="J2679" t="s">
        <v>477</v>
      </c>
      <c r="K2679">
        <v>2</v>
      </c>
      <c r="L2679">
        <v>63.1</v>
      </c>
      <c r="M2679">
        <v>63.9</v>
      </c>
      <c r="P2679" t="s">
        <v>106</v>
      </c>
      <c r="Q2679" t="s">
        <v>106</v>
      </c>
      <c r="R2679" t="s">
        <v>106</v>
      </c>
      <c r="S2679" t="s">
        <v>1816</v>
      </c>
      <c r="T2679" t="s">
        <v>1145</v>
      </c>
      <c r="U2679" t="s">
        <v>1415</v>
      </c>
      <c r="V2679" t="s">
        <v>106</v>
      </c>
      <c r="W2679" t="s">
        <v>954</v>
      </c>
      <c r="X2679" t="s">
        <v>106</v>
      </c>
      <c r="Y2679" t="s">
        <v>108</v>
      </c>
      <c r="Z2679" t="s">
        <v>104</v>
      </c>
      <c r="AA2679" t="s">
        <v>1652</v>
      </c>
      <c r="AB2679" t="s">
        <v>106</v>
      </c>
    </row>
    <row r="2680" spans="1:28" x14ac:dyDescent="0.3">
      <c r="A2680" t="s">
        <v>1635</v>
      </c>
      <c r="B2680">
        <v>4</v>
      </c>
      <c r="C2680">
        <v>60</v>
      </c>
      <c r="D2680">
        <v>32</v>
      </c>
      <c r="E2680" t="s">
        <v>456</v>
      </c>
      <c r="F2680" s="12">
        <v>45740</v>
      </c>
      <c r="G2680" t="s">
        <v>142</v>
      </c>
      <c r="H2680" s="12">
        <v>45740</v>
      </c>
      <c r="I2680" t="s">
        <v>1643</v>
      </c>
      <c r="J2680" t="s">
        <v>477</v>
      </c>
      <c r="K2680">
        <v>2</v>
      </c>
      <c r="L2680">
        <v>64.400000000000006</v>
      </c>
      <c r="M2680">
        <v>64</v>
      </c>
      <c r="P2680" t="s">
        <v>106</v>
      </c>
      <c r="Q2680" t="s">
        <v>106</v>
      </c>
      <c r="R2680" t="s">
        <v>106</v>
      </c>
      <c r="S2680" t="s">
        <v>1654</v>
      </c>
      <c r="T2680" t="s">
        <v>1565</v>
      </c>
      <c r="U2680" t="s">
        <v>430</v>
      </c>
      <c r="V2680" t="s">
        <v>106</v>
      </c>
      <c r="W2680" t="s">
        <v>954</v>
      </c>
      <c r="X2680" t="s">
        <v>106</v>
      </c>
      <c r="Y2680" t="s">
        <v>108</v>
      </c>
      <c r="Z2680" t="s">
        <v>104</v>
      </c>
      <c r="AA2680" t="s">
        <v>1652</v>
      </c>
      <c r="AB2680" t="s">
        <v>106</v>
      </c>
    </row>
    <row r="2681" spans="1:28" x14ac:dyDescent="0.3">
      <c r="A2681" t="s">
        <v>1635</v>
      </c>
      <c r="B2681">
        <v>4</v>
      </c>
      <c r="C2681">
        <v>60</v>
      </c>
      <c r="D2681">
        <v>23</v>
      </c>
      <c r="E2681" t="s">
        <v>456</v>
      </c>
      <c r="F2681" s="12">
        <v>45740</v>
      </c>
      <c r="G2681" t="s">
        <v>2465</v>
      </c>
      <c r="H2681" s="12">
        <v>45740</v>
      </c>
      <c r="I2681" t="s">
        <v>693</v>
      </c>
      <c r="J2681" t="s">
        <v>477</v>
      </c>
      <c r="K2681">
        <v>2</v>
      </c>
      <c r="L2681">
        <v>63.3</v>
      </c>
      <c r="M2681">
        <v>63.9</v>
      </c>
      <c r="P2681" t="s">
        <v>106</v>
      </c>
      <c r="Q2681" t="s">
        <v>106</v>
      </c>
      <c r="R2681" t="s">
        <v>106</v>
      </c>
      <c r="S2681" t="s">
        <v>1570</v>
      </c>
      <c r="T2681" t="s">
        <v>1523</v>
      </c>
      <c r="U2681" t="s">
        <v>1468</v>
      </c>
      <c r="V2681" t="s">
        <v>106</v>
      </c>
      <c r="W2681" t="s">
        <v>954</v>
      </c>
      <c r="X2681" t="s">
        <v>106</v>
      </c>
      <c r="Y2681" t="s">
        <v>108</v>
      </c>
      <c r="Z2681" t="s">
        <v>104</v>
      </c>
      <c r="AA2681" t="s">
        <v>1652</v>
      </c>
      <c r="AB2681" t="s">
        <v>106</v>
      </c>
    </row>
    <row r="2682" spans="1:28" x14ac:dyDescent="0.3">
      <c r="A2682" t="s">
        <v>1635</v>
      </c>
      <c r="B2682">
        <v>4</v>
      </c>
      <c r="C2682">
        <v>60</v>
      </c>
      <c r="D2682">
        <v>47</v>
      </c>
      <c r="E2682" t="s">
        <v>456</v>
      </c>
      <c r="F2682" s="12">
        <v>45740</v>
      </c>
      <c r="G2682" t="s">
        <v>1937</v>
      </c>
      <c r="H2682" s="12">
        <v>45740</v>
      </c>
      <c r="I2682" t="s">
        <v>848</v>
      </c>
      <c r="J2682" t="s">
        <v>477</v>
      </c>
      <c r="K2682">
        <v>2</v>
      </c>
      <c r="L2682">
        <v>59.5</v>
      </c>
      <c r="M2682">
        <v>59.4</v>
      </c>
      <c r="P2682" t="s">
        <v>106</v>
      </c>
      <c r="Q2682" t="s">
        <v>106</v>
      </c>
      <c r="R2682" t="s">
        <v>106</v>
      </c>
      <c r="S2682" t="s">
        <v>1490</v>
      </c>
      <c r="T2682" t="s">
        <v>961</v>
      </c>
      <c r="U2682" t="s">
        <v>1604</v>
      </c>
      <c r="V2682" t="s">
        <v>106</v>
      </c>
      <c r="W2682" t="s">
        <v>954</v>
      </c>
      <c r="X2682" t="s">
        <v>106</v>
      </c>
      <c r="Y2682" t="s">
        <v>108</v>
      </c>
      <c r="Z2682" t="s">
        <v>104</v>
      </c>
      <c r="AA2682" t="s">
        <v>1652</v>
      </c>
      <c r="AB2682" t="s">
        <v>106</v>
      </c>
    </row>
    <row r="2683" spans="1:28" x14ac:dyDescent="0.3">
      <c r="A2683" t="s">
        <v>1635</v>
      </c>
      <c r="B2683">
        <v>4</v>
      </c>
      <c r="C2683">
        <v>60</v>
      </c>
      <c r="D2683">
        <v>48</v>
      </c>
      <c r="E2683" t="s">
        <v>456</v>
      </c>
      <c r="F2683" s="12">
        <v>45740</v>
      </c>
      <c r="G2683" t="s">
        <v>1428</v>
      </c>
      <c r="H2683" s="12">
        <v>45740</v>
      </c>
      <c r="I2683" t="s">
        <v>848</v>
      </c>
      <c r="J2683" t="s">
        <v>477</v>
      </c>
      <c r="K2683">
        <v>2</v>
      </c>
      <c r="L2683">
        <v>61.4</v>
      </c>
      <c r="M2683">
        <v>61</v>
      </c>
      <c r="P2683" t="s">
        <v>106</v>
      </c>
      <c r="Q2683" t="s">
        <v>106</v>
      </c>
      <c r="R2683" t="s">
        <v>106</v>
      </c>
      <c r="S2683" t="s">
        <v>2164</v>
      </c>
      <c r="T2683" t="s">
        <v>1022</v>
      </c>
      <c r="U2683" t="s">
        <v>1651</v>
      </c>
      <c r="V2683" t="s">
        <v>106</v>
      </c>
      <c r="W2683" t="s">
        <v>954</v>
      </c>
      <c r="X2683" t="s">
        <v>106</v>
      </c>
      <c r="Y2683" t="s">
        <v>108</v>
      </c>
      <c r="Z2683" t="s">
        <v>104</v>
      </c>
      <c r="AA2683" t="s">
        <v>1652</v>
      </c>
      <c r="AB2683" t="s">
        <v>106</v>
      </c>
    </row>
    <row r="2684" spans="1:28" x14ac:dyDescent="0.3">
      <c r="A2684" t="s">
        <v>1635</v>
      </c>
      <c r="B2684">
        <v>4</v>
      </c>
      <c r="C2684">
        <v>60</v>
      </c>
      <c r="D2684">
        <v>55</v>
      </c>
      <c r="E2684" t="s">
        <v>456</v>
      </c>
      <c r="F2684" s="12">
        <v>45740</v>
      </c>
      <c r="G2684" t="s">
        <v>318</v>
      </c>
      <c r="H2684" s="12">
        <v>45740</v>
      </c>
      <c r="I2684" t="s">
        <v>583</v>
      </c>
      <c r="J2684" t="s">
        <v>471</v>
      </c>
      <c r="K2684">
        <v>2</v>
      </c>
      <c r="L2684">
        <v>62.3</v>
      </c>
      <c r="M2684">
        <v>62</v>
      </c>
      <c r="P2684" t="s">
        <v>106</v>
      </c>
      <c r="Q2684" t="s">
        <v>106</v>
      </c>
      <c r="R2684" t="s">
        <v>106</v>
      </c>
      <c r="S2684" t="s">
        <v>1777</v>
      </c>
      <c r="T2684" t="s">
        <v>1931</v>
      </c>
      <c r="U2684" t="s">
        <v>1591</v>
      </c>
      <c r="V2684" t="s">
        <v>106</v>
      </c>
      <c r="W2684" t="s">
        <v>476</v>
      </c>
      <c r="X2684" t="s">
        <v>106</v>
      </c>
      <c r="Y2684" t="s">
        <v>108</v>
      </c>
      <c r="Z2684" t="s">
        <v>104</v>
      </c>
      <c r="AA2684" t="s">
        <v>106</v>
      </c>
      <c r="AB2684" t="s">
        <v>106</v>
      </c>
    </row>
    <row r="2685" spans="1:28" x14ac:dyDescent="0.3">
      <c r="A2685" t="s">
        <v>1635</v>
      </c>
      <c r="B2685">
        <v>4</v>
      </c>
      <c r="C2685">
        <v>60</v>
      </c>
      <c r="D2685">
        <v>56</v>
      </c>
      <c r="E2685" t="s">
        <v>456</v>
      </c>
      <c r="F2685" s="12">
        <v>45740</v>
      </c>
      <c r="G2685" t="s">
        <v>318</v>
      </c>
      <c r="H2685" s="12">
        <v>45740</v>
      </c>
      <c r="I2685" t="s">
        <v>583</v>
      </c>
      <c r="J2685" t="s">
        <v>471</v>
      </c>
      <c r="K2685">
        <v>2</v>
      </c>
      <c r="L2685">
        <v>64.2</v>
      </c>
      <c r="M2685">
        <v>64.2</v>
      </c>
      <c r="P2685" t="s">
        <v>106</v>
      </c>
      <c r="Q2685" t="s">
        <v>106</v>
      </c>
      <c r="R2685" t="s">
        <v>106</v>
      </c>
      <c r="S2685" t="s">
        <v>2201</v>
      </c>
      <c r="T2685" t="s">
        <v>1069</v>
      </c>
      <c r="U2685" t="s">
        <v>1591</v>
      </c>
      <c r="V2685" t="s">
        <v>106</v>
      </c>
      <c r="W2685" t="s">
        <v>476</v>
      </c>
      <c r="X2685" t="s">
        <v>106</v>
      </c>
      <c r="Y2685" t="s">
        <v>108</v>
      </c>
      <c r="Z2685" t="s">
        <v>104</v>
      </c>
      <c r="AA2685" t="s">
        <v>106</v>
      </c>
      <c r="AB2685" t="s">
        <v>106</v>
      </c>
    </row>
    <row r="2686" spans="1:28" x14ac:dyDescent="0.3">
      <c r="A2686" t="s">
        <v>1635</v>
      </c>
      <c r="B2686">
        <v>4</v>
      </c>
      <c r="C2686">
        <v>60</v>
      </c>
      <c r="D2686">
        <v>61</v>
      </c>
      <c r="E2686" t="s">
        <v>456</v>
      </c>
      <c r="F2686" s="12">
        <v>45740</v>
      </c>
      <c r="G2686" t="s">
        <v>1258</v>
      </c>
      <c r="H2686" s="12">
        <v>45740</v>
      </c>
      <c r="I2686" t="s">
        <v>582</v>
      </c>
      <c r="J2686" t="s">
        <v>1363</v>
      </c>
      <c r="K2686">
        <v>2</v>
      </c>
      <c r="L2686">
        <v>63.1</v>
      </c>
      <c r="M2686">
        <v>62.1</v>
      </c>
      <c r="P2686" t="s">
        <v>106</v>
      </c>
      <c r="Q2686" t="s">
        <v>106</v>
      </c>
      <c r="R2686" t="s">
        <v>106</v>
      </c>
      <c r="S2686" t="s">
        <v>2162</v>
      </c>
      <c r="T2686" t="s">
        <v>1041</v>
      </c>
      <c r="U2686" t="s">
        <v>1418</v>
      </c>
      <c r="V2686" t="s">
        <v>106</v>
      </c>
      <c r="W2686" t="s">
        <v>443</v>
      </c>
      <c r="X2686" t="s">
        <v>106</v>
      </c>
      <c r="Y2686" t="s">
        <v>108</v>
      </c>
      <c r="Z2686" t="s">
        <v>104</v>
      </c>
      <c r="AA2686" t="s">
        <v>106</v>
      </c>
      <c r="AB2686" t="s">
        <v>106</v>
      </c>
    </row>
    <row r="2687" spans="1:28" x14ac:dyDescent="0.3">
      <c r="A2687" t="s">
        <v>1635</v>
      </c>
      <c r="B2687">
        <v>4</v>
      </c>
      <c r="C2687">
        <v>60</v>
      </c>
      <c r="D2687">
        <v>43</v>
      </c>
      <c r="E2687" t="s">
        <v>456</v>
      </c>
      <c r="F2687" s="12">
        <v>45740</v>
      </c>
      <c r="G2687" t="s">
        <v>2756</v>
      </c>
      <c r="H2687" s="12">
        <v>45740</v>
      </c>
      <c r="I2687" t="s">
        <v>1642</v>
      </c>
      <c r="J2687" t="s">
        <v>477</v>
      </c>
      <c r="K2687">
        <v>2</v>
      </c>
      <c r="L2687">
        <v>64.900000000000006</v>
      </c>
      <c r="M2687">
        <v>64.599999999999994</v>
      </c>
      <c r="P2687" t="s">
        <v>106</v>
      </c>
      <c r="Q2687" t="s">
        <v>106</v>
      </c>
      <c r="R2687" t="s">
        <v>106</v>
      </c>
      <c r="S2687" t="s">
        <v>1714</v>
      </c>
      <c r="T2687" t="s">
        <v>1931</v>
      </c>
      <c r="U2687" t="s">
        <v>395</v>
      </c>
      <c r="V2687" t="s">
        <v>106</v>
      </c>
      <c r="W2687" t="s">
        <v>954</v>
      </c>
      <c r="X2687" t="s">
        <v>106</v>
      </c>
      <c r="Y2687" t="s">
        <v>108</v>
      </c>
      <c r="Z2687" t="s">
        <v>104</v>
      </c>
      <c r="AA2687" t="s">
        <v>1652</v>
      </c>
      <c r="AB2687" t="s">
        <v>106</v>
      </c>
    </row>
    <row r="2688" spans="1:28" x14ac:dyDescent="0.3">
      <c r="A2688" t="s">
        <v>1635</v>
      </c>
      <c r="B2688">
        <v>4</v>
      </c>
      <c r="C2688">
        <v>60</v>
      </c>
      <c r="D2688">
        <v>31</v>
      </c>
      <c r="E2688" t="s">
        <v>456</v>
      </c>
      <c r="F2688" s="12">
        <v>45740</v>
      </c>
      <c r="G2688" t="s">
        <v>422</v>
      </c>
      <c r="H2688" s="12">
        <v>45740</v>
      </c>
      <c r="I2688" t="s">
        <v>1643</v>
      </c>
      <c r="J2688" t="s">
        <v>477</v>
      </c>
      <c r="K2688">
        <v>2</v>
      </c>
      <c r="L2688">
        <v>59.8</v>
      </c>
      <c r="M2688">
        <v>60</v>
      </c>
      <c r="P2688" t="s">
        <v>106</v>
      </c>
      <c r="Q2688" t="s">
        <v>106</v>
      </c>
      <c r="R2688" t="s">
        <v>106</v>
      </c>
      <c r="S2688" t="s">
        <v>1649</v>
      </c>
      <c r="T2688" t="s">
        <v>1101</v>
      </c>
      <c r="U2688" t="s">
        <v>429</v>
      </c>
      <c r="V2688" t="s">
        <v>106</v>
      </c>
      <c r="W2688" t="s">
        <v>954</v>
      </c>
      <c r="X2688" t="s">
        <v>106</v>
      </c>
      <c r="Y2688" t="s">
        <v>108</v>
      </c>
      <c r="Z2688" t="s">
        <v>104</v>
      </c>
      <c r="AA2688" t="s">
        <v>1652</v>
      </c>
      <c r="AB2688" t="s">
        <v>106</v>
      </c>
    </row>
    <row r="2689" spans="1:28" x14ac:dyDescent="0.3">
      <c r="A2689" t="s">
        <v>1635</v>
      </c>
      <c r="B2689">
        <v>1</v>
      </c>
      <c r="C2689">
        <v>0</v>
      </c>
      <c r="D2689">
        <v>128</v>
      </c>
      <c r="E2689" t="s">
        <v>456</v>
      </c>
      <c r="F2689" s="12">
        <v>45741</v>
      </c>
      <c r="G2689" t="s">
        <v>1152</v>
      </c>
      <c r="H2689" s="12">
        <v>45741</v>
      </c>
      <c r="I2689" t="s">
        <v>542</v>
      </c>
      <c r="J2689" t="s">
        <v>1363</v>
      </c>
      <c r="K2689">
        <v>2</v>
      </c>
      <c r="L2689">
        <v>0</v>
      </c>
      <c r="M2689">
        <v>0</v>
      </c>
      <c r="P2689" t="s">
        <v>106</v>
      </c>
      <c r="Q2689" t="s">
        <v>106</v>
      </c>
      <c r="R2689" t="s">
        <v>106</v>
      </c>
      <c r="S2689" t="s">
        <v>106</v>
      </c>
      <c r="T2689" t="s">
        <v>1377</v>
      </c>
      <c r="U2689" t="s">
        <v>391</v>
      </c>
      <c r="V2689" t="s">
        <v>106</v>
      </c>
      <c r="W2689" t="s">
        <v>954</v>
      </c>
      <c r="X2689" t="s">
        <v>106</v>
      </c>
      <c r="Y2689" t="s">
        <v>108</v>
      </c>
      <c r="Z2689" t="s">
        <v>105</v>
      </c>
      <c r="AA2689" t="s">
        <v>1652</v>
      </c>
      <c r="AB2689" t="s">
        <v>106</v>
      </c>
    </row>
    <row r="2690" spans="1:28" x14ac:dyDescent="0.3">
      <c r="A2690" t="s">
        <v>1635</v>
      </c>
      <c r="B2690">
        <v>1</v>
      </c>
      <c r="C2690">
        <v>0</v>
      </c>
      <c r="D2690">
        <v>127</v>
      </c>
      <c r="E2690" t="s">
        <v>456</v>
      </c>
      <c r="F2690" s="12">
        <v>45741</v>
      </c>
      <c r="G2690" t="s">
        <v>1653</v>
      </c>
      <c r="H2690" s="12">
        <v>45741</v>
      </c>
      <c r="I2690" t="s">
        <v>542</v>
      </c>
      <c r="J2690" t="s">
        <v>1363</v>
      </c>
      <c r="K2690">
        <v>2</v>
      </c>
      <c r="L2690">
        <v>0</v>
      </c>
      <c r="M2690">
        <v>0</v>
      </c>
      <c r="P2690" t="s">
        <v>106</v>
      </c>
      <c r="Q2690" t="s">
        <v>106</v>
      </c>
      <c r="R2690" t="s">
        <v>106</v>
      </c>
      <c r="S2690" t="s">
        <v>106</v>
      </c>
      <c r="T2690" t="s">
        <v>1555</v>
      </c>
      <c r="U2690" t="s">
        <v>1539</v>
      </c>
      <c r="V2690" t="s">
        <v>106</v>
      </c>
      <c r="W2690" t="s">
        <v>954</v>
      </c>
      <c r="X2690" t="s">
        <v>106</v>
      </c>
      <c r="Y2690" t="s">
        <v>108</v>
      </c>
      <c r="Z2690" t="s">
        <v>105</v>
      </c>
      <c r="AA2690" t="s">
        <v>1652</v>
      </c>
      <c r="AB2690" t="s">
        <v>1611</v>
      </c>
    </row>
    <row r="2691" spans="1:28" x14ac:dyDescent="0.3">
      <c r="A2691" t="s">
        <v>1635</v>
      </c>
      <c r="B2691">
        <v>1</v>
      </c>
      <c r="C2691">
        <v>0</v>
      </c>
      <c r="D2691">
        <v>100</v>
      </c>
      <c r="E2691" t="s">
        <v>456</v>
      </c>
      <c r="F2691" s="12">
        <v>45741</v>
      </c>
      <c r="G2691" t="s">
        <v>845</v>
      </c>
      <c r="H2691" s="12">
        <v>45741</v>
      </c>
      <c r="I2691" t="s">
        <v>1029</v>
      </c>
      <c r="J2691" t="s">
        <v>458</v>
      </c>
      <c r="K2691">
        <v>2</v>
      </c>
      <c r="L2691">
        <v>0</v>
      </c>
      <c r="M2691">
        <v>0</v>
      </c>
      <c r="P2691" t="s">
        <v>106</v>
      </c>
      <c r="Q2691" t="s">
        <v>106</v>
      </c>
      <c r="R2691" t="s">
        <v>106</v>
      </c>
      <c r="S2691" t="s">
        <v>1654</v>
      </c>
      <c r="T2691" t="s">
        <v>756</v>
      </c>
      <c r="U2691" t="s">
        <v>106</v>
      </c>
      <c r="V2691" t="s">
        <v>106</v>
      </c>
      <c r="W2691" t="s">
        <v>443</v>
      </c>
      <c r="X2691" t="s">
        <v>106</v>
      </c>
      <c r="Y2691" t="s">
        <v>108</v>
      </c>
      <c r="Z2691" t="s">
        <v>105</v>
      </c>
      <c r="AA2691" t="s">
        <v>1652</v>
      </c>
      <c r="AB2691" t="s">
        <v>106</v>
      </c>
    </row>
    <row r="2692" spans="1:28" x14ac:dyDescent="0.3">
      <c r="A2692" t="s">
        <v>1635</v>
      </c>
      <c r="B2692">
        <v>1</v>
      </c>
      <c r="C2692">
        <v>0</v>
      </c>
      <c r="D2692">
        <v>113</v>
      </c>
      <c r="E2692" t="s">
        <v>456</v>
      </c>
      <c r="F2692" s="12">
        <v>45741</v>
      </c>
      <c r="G2692" t="s">
        <v>1642</v>
      </c>
      <c r="H2692" s="12">
        <v>45741</v>
      </c>
      <c r="I2692" t="s">
        <v>1655</v>
      </c>
      <c r="J2692" t="s">
        <v>458</v>
      </c>
      <c r="K2692">
        <v>2</v>
      </c>
      <c r="L2692">
        <v>0.1</v>
      </c>
      <c r="M2692">
        <v>0</v>
      </c>
      <c r="P2692" t="s">
        <v>106</v>
      </c>
      <c r="Q2692" t="s">
        <v>106</v>
      </c>
      <c r="R2692" t="s">
        <v>106</v>
      </c>
      <c r="S2692" t="s">
        <v>1656</v>
      </c>
      <c r="T2692" t="s">
        <v>1657</v>
      </c>
      <c r="U2692" t="s">
        <v>1345</v>
      </c>
      <c r="V2692" t="s">
        <v>106</v>
      </c>
      <c r="W2692" t="s">
        <v>557</v>
      </c>
      <c r="X2692" t="s">
        <v>106</v>
      </c>
      <c r="Y2692" t="s">
        <v>108</v>
      </c>
      <c r="Z2692" t="s">
        <v>105</v>
      </c>
      <c r="AA2692" t="s">
        <v>1652</v>
      </c>
      <c r="AB2692" t="s">
        <v>106</v>
      </c>
    </row>
    <row r="2693" spans="1:28" x14ac:dyDescent="0.3">
      <c r="A2693" t="s">
        <v>1635</v>
      </c>
      <c r="B2693">
        <v>1</v>
      </c>
      <c r="C2693">
        <v>0</v>
      </c>
      <c r="D2693">
        <v>114</v>
      </c>
      <c r="E2693" t="s">
        <v>456</v>
      </c>
      <c r="F2693" s="12">
        <v>45741</v>
      </c>
      <c r="G2693" t="s">
        <v>378</v>
      </c>
      <c r="H2693" s="12">
        <v>45741</v>
      </c>
      <c r="I2693" t="s">
        <v>1655</v>
      </c>
      <c r="J2693" t="s">
        <v>458</v>
      </c>
      <c r="K2693">
        <v>2</v>
      </c>
      <c r="L2693">
        <v>0</v>
      </c>
      <c r="M2693">
        <v>0</v>
      </c>
      <c r="P2693" t="s">
        <v>106</v>
      </c>
      <c r="Q2693" t="s">
        <v>106</v>
      </c>
      <c r="R2693" t="s">
        <v>106</v>
      </c>
      <c r="S2693" t="s">
        <v>1658</v>
      </c>
      <c r="T2693" t="s">
        <v>1659</v>
      </c>
      <c r="U2693" t="s">
        <v>1345</v>
      </c>
      <c r="V2693" t="s">
        <v>106</v>
      </c>
      <c r="W2693" t="s">
        <v>557</v>
      </c>
      <c r="X2693" t="s">
        <v>106</v>
      </c>
      <c r="Y2693" t="s">
        <v>108</v>
      </c>
      <c r="Z2693" t="s">
        <v>105</v>
      </c>
      <c r="AA2693" t="s">
        <v>1652</v>
      </c>
      <c r="AB2693" t="s">
        <v>106</v>
      </c>
    </row>
    <row r="2694" spans="1:28" x14ac:dyDescent="0.3">
      <c r="A2694" t="s">
        <v>1635</v>
      </c>
      <c r="B2694">
        <v>2</v>
      </c>
      <c r="C2694">
        <v>15</v>
      </c>
      <c r="D2694">
        <v>105</v>
      </c>
      <c r="E2694" t="s">
        <v>456</v>
      </c>
      <c r="F2694" s="12">
        <v>45741</v>
      </c>
      <c r="G2694" t="s">
        <v>2256</v>
      </c>
      <c r="H2694" s="12">
        <v>45741</v>
      </c>
      <c r="I2694" t="s">
        <v>863</v>
      </c>
      <c r="J2694" t="s">
        <v>458</v>
      </c>
      <c r="K2694">
        <v>2</v>
      </c>
      <c r="L2694">
        <v>14.2</v>
      </c>
      <c r="M2694">
        <v>14.4</v>
      </c>
      <c r="P2694" t="s">
        <v>106</v>
      </c>
      <c r="Q2694" t="s">
        <v>106</v>
      </c>
      <c r="R2694" t="s">
        <v>106</v>
      </c>
      <c r="S2694" t="s">
        <v>1758</v>
      </c>
      <c r="T2694" t="s">
        <v>1046</v>
      </c>
      <c r="U2694" t="s">
        <v>141</v>
      </c>
      <c r="V2694" t="s">
        <v>106</v>
      </c>
      <c r="W2694" t="s">
        <v>557</v>
      </c>
      <c r="X2694" t="s">
        <v>106</v>
      </c>
      <c r="Y2694" t="s">
        <v>108</v>
      </c>
      <c r="Z2694" t="s">
        <v>109</v>
      </c>
      <c r="AA2694" t="s">
        <v>1652</v>
      </c>
      <c r="AB2694" t="s">
        <v>106</v>
      </c>
    </row>
    <row r="2695" spans="1:28" x14ac:dyDescent="0.3">
      <c r="A2695" t="s">
        <v>1635</v>
      </c>
      <c r="B2695">
        <v>2</v>
      </c>
      <c r="C2695">
        <v>15</v>
      </c>
      <c r="D2695">
        <v>125</v>
      </c>
      <c r="E2695" t="s">
        <v>456</v>
      </c>
      <c r="F2695" s="12">
        <v>45741</v>
      </c>
      <c r="G2695" t="s">
        <v>681</v>
      </c>
      <c r="H2695" s="12">
        <v>45741</v>
      </c>
      <c r="I2695" t="s">
        <v>542</v>
      </c>
      <c r="J2695" t="s">
        <v>1363</v>
      </c>
      <c r="K2695">
        <v>2</v>
      </c>
      <c r="L2695">
        <v>16.2</v>
      </c>
      <c r="M2695">
        <v>16.3</v>
      </c>
      <c r="P2695" t="s">
        <v>106</v>
      </c>
      <c r="Q2695" t="s">
        <v>106</v>
      </c>
      <c r="R2695" t="s">
        <v>106</v>
      </c>
      <c r="S2695" t="s">
        <v>2257</v>
      </c>
      <c r="T2695" t="s">
        <v>756</v>
      </c>
      <c r="U2695" t="s">
        <v>429</v>
      </c>
      <c r="V2695" t="s">
        <v>106</v>
      </c>
      <c r="W2695" t="s">
        <v>954</v>
      </c>
      <c r="X2695" t="s">
        <v>106</v>
      </c>
      <c r="Y2695" t="s">
        <v>108</v>
      </c>
      <c r="Z2695" t="s">
        <v>109</v>
      </c>
      <c r="AA2695" t="s">
        <v>1652</v>
      </c>
      <c r="AB2695" t="s">
        <v>1201</v>
      </c>
    </row>
    <row r="2696" spans="1:28" x14ac:dyDescent="0.3">
      <c r="A2696" t="s">
        <v>1635</v>
      </c>
      <c r="B2696">
        <v>2</v>
      </c>
      <c r="C2696">
        <v>15</v>
      </c>
      <c r="D2696">
        <v>92</v>
      </c>
      <c r="E2696" t="s">
        <v>456</v>
      </c>
      <c r="F2696" s="12">
        <v>45741</v>
      </c>
      <c r="G2696" t="s">
        <v>2235</v>
      </c>
      <c r="H2696" s="12">
        <v>45741</v>
      </c>
      <c r="I2696" t="s">
        <v>539</v>
      </c>
      <c r="J2696" t="s">
        <v>458</v>
      </c>
      <c r="K2696">
        <v>2</v>
      </c>
      <c r="L2696">
        <v>16.600000000000001</v>
      </c>
      <c r="M2696">
        <v>16.3</v>
      </c>
      <c r="P2696" t="s">
        <v>106</v>
      </c>
      <c r="Q2696" t="s">
        <v>106</v>
      </c>
      <c r="R2696" t="s">
        <v>106</v>
      </c>
      <c r="S2696" t="s">
        <v>106</v>
      </c>
      <c r="T2696" t="s">
        <v>1214</v>
      </c>
      <c r="U2696" t="s">
        <v>1780</v>
      </c>
      <c r="V2696" t="s">
        <v>106</v>
      </c>
      <c r="W2696" t="s">
        <v>443</v>
      </c>
      <c r="X2696" t="s">
        <v>106</v>
      </c>
      <c r="Y2696" t="s">
        <v>108</v>
      </c>
      <c r="Z2696" t="s">
        <v>109</v>
      </c>
      <c r="AA2696" t="s">
        <v>2258</v>
      </c>
      <c r="AB2696" t="s">
        <v>106</v>
      </c>
    </row>
    <row r="2697" spans="1:28" x14ac:dyDescent="0.3">
      <c r="A2697" t="s">
        <v>1635</v>
      </c>
      <c r="B2697">
        <v>2</v>
      </c>
      <c r="C2697">
        <v>15</v>
      </c>
      <c r="D2697">
        <v>93</v>
      </c>
      <c r="E2697" t="s">
        <v>456</v>
      </c>
      <c r="F2697" s="12">
        <v>45741</v>
      </c>
      <c r="G2697" t="s">
        <v>2234</v>
      </c>
      <c r="H2697" s="12">
        <v>45741</v>
      </c>
      <c r="I2697" t="s">
        <v>539</v>
      </c>
      <c r="J2697" t="s">
        <v>458</v>
      </c>
      <c r="K2697">
        <v>2</v>
      </c>
      <c r="L2697">
        <v>16.5</v>
      </c>
      <c r="M2697">
        <v>16.5</v>
      </c>
      <c r="P2697" t="s">
        <v>106</v>
      </c>
      <c r="Q2697" t="s">
        <v>106</v>
      </c>
      <c r="R2697" t="s">
        <v>106</v>
      </c>
      <c r="S2697" t="s">
        <v>1964</v>
      </c>
      <c r="T2697" t="s">
        <v>1403</v>
      </c>
      <c r="U2697" t="s">
        <v>1604</v>
      </c>
      <c r="V2697" t="s">
        <v>106</v>
      </c>
      <c r="W2697" t="s">
        <v>443</v>
      </c>
      <c r="X2697" t="s">
        <v>106</v>
      </c>
      <c r="Y2697" t="s">
        <v>108</v>
      </c>
      <c r="Z2697" t="s">
        <v>109</v>
      </c>
      <c r="AA2697" t="s">
        <v>2258</v>
      </c>
      <c r="AB2697" t="s">
        <v>106</v>
      </c>
    </row>
    <row r="2698" spans="1:28" x14ac:dyDescent="0.3">
      <c r="A2698" t="s">
        <v>1635</v>
      </c>
      <c r="B2698">
        <v>2</v>
      </c>
      <c r="C2698">
        <v>15</v>
      </c>
      <c r="D2698">
        <v>119</v>
      </c>
      <c r="E2698" t="s">
        <v>456</v>
      </c>
      <c r="F2698" s="12">
        <v>45741</v>
      </c>
      <c r="G2698" t="s">
        <v>1937</v>
      </c>
      <c r="H2698" s="12">
        <v>45741</v>
      </c>
      <c r="I2698" t="s">
        <v>1518</v>
      </c>
      <c r="J2698" t="s">
        <v>458</v>
      </c>
      <c r="K2698">
        <v>2</v>
      </c>
      <c r="L2698">
        <v>16.8</v>
      </c>
      <c r="M2698">
        <v>16.8</v>
      </c>
      <c r="P2698" t="s">
        <v>106</v>
      </c>
      <c r="Q2698" t="s">
        <v>106</v>
      </c>
      <c r="R2698" t="s">
        <v>106</v>
      </c>
      <c r="S2698" t="s">
        <v>106</v>
      </c>
      <c r="T2698" t="s">
        <v>1090</v>
      </c>
      <c r="U2698" t="s">
        <v>430</v>
      </c>
      <c r="V2698" t="s">
        <v>106</v>
      </c>
      <c r="W2698" t="s">
        <v>557</v>
      </c>
      <c r="X2698" t="s">
        <v>106</v>
      </c>
      <c r="Y2698" t="s">
        <v>108</v>
      </c>
      <c r="Z2698" t="s">
        <v>109</v>
      </c>
      <c r="AA2698" t="s">
        <v>1652</v>
      </c>
      <c r="AB2698" t="s">
        <v>106</v>
      </c>
    </row>
    <row r="2699" spans="1:28" x14ac:dyDescent="0.3">
      <c r="A2699" t="s">
        <v>1635</v>
      </c>
      <c r="B2699">
        <v>2</v>
      </c>
      <c r="C2699">
        <v>15</v>
      </c>
      <c r="D2699">
        <v>120</v>
      </c>
      <c r="E2699" t="s">
        <v>456</v>
      </c>
      <c r="F2699" s="12">
        <v>45741</v>
      </c>
      <c r="G2699" t="s">
        <v>1937</v>
      </c>
      <c r="H2699" s="12">
        <v>45741</v>
      </c>
      <c r="I2699" t="s">
        <v>1518</v>
      </c>
      <c r="J2699" t="s">
        <v>458</v>
      </c>
      <c r="K2699">
        <v>2</v>
      </c>
      <c r="L2699">
        <v>16.8</v>
      </c>
      <c r="M2699">
        <v>16.899999999999999</v>
      </c>
      <c r="P2699" t="s">
        <v>106</v>
      </c>
      <c r="Q2699" t="s">
        <v>106</v>
      </c>
      <c r="R2699" t="s">
        <v>106</v>
      </c>
      <c r="S2699" t="s">
        <v>1816</v>
      </c>
      <c r="T2699" t="s">
        <v>1899</v>
      </c>
      <c r="U2699" t="s">
        <v>1411</v>
      </c>
      <c r="V2699" t="s">
        <v>106</v>
      </c>
      <c r="W2699" t="s">
        <v>557</v>
      </c>
      <c r="X2699" t="s">
        <v>106</v>
      </c>
      <c r="Y2699" t="s">
        <v>108</v>
      </c>
      <c r="Z2699" t="s">
        <v>109</v>
      </c>
      <c r="AA2699" t="s">
        <v>1652</v>
      </c>
      <c r="AB2699" t="s">
        <v>106</v>
      </c>
    </row>
    <row r="2700" spans="1:28" x14ac:dyDescent="0.3">
      <c r="A2700" t="s">
        <v>1635</v>
      </c>
      <c r="B2700">
        <v>2</v>
      </c>
      <c r="C2700">
        <v>15</v>
      </c>
      <c r="D2700">
        <v>98</v>
      </c>
      <c r="E2700" t="s">
        <v>456</v>
      </c>
      <c r="F2700" s="12">
        <v>45741</v>
      </c>
      <c r="G2700" t="s">
        <v>709</v>
      </c>
      <c r="H2700" s="12">
        <v>45741</v>
      </c>
      <c r="I2700" t="s">
        <v>1029</v>
      </c>
      <c r="J2700" t="s">
        <v>458</v>
      </c>
      <c r="K2700">
        <v>2</v>
      </c>
      <c r="L2700">
        <v>15.8</v>
      </c>
      <c r="M2700">
        <v>15.8</v>
      </c>
      <c r="P2700" t="s">
        <v>106</v>
      </c>
      <c r="Q2700" t="s">
        <v>106</v>
      </c>
      <c r="R2700" t="s">
        <v>106</v>
      </c>
      <c r="S2700" t="s">
        <v>106</v>
      </c>
      <c r="T2700" t="s">
        <v>993</v>
      </c>
      <c r="U2700" t="s">
        <v>429</v>
      </c>
      <c r="V2700" t="s">
        <v>106</v>
      </c>
      <c r="W2700" t="s">
        <v>443</v>
      </c>
      <c r="X2700" t="s">
        <v>106</v>
      </c>
      <c r="Y2700" t="s">
        <v>108</v>
      </c>
      <c r="Z2700" t="s">
        <v>109</v>
      </c>
      <c r="AA2700" t="s">
        <v>1652</v>
      </c>
      <c r="AB2700" t="s">
        <v>106</v>
      </c>
    </row>
    <row r="2701" spans="1:28" x14ac:dyDescent="0.3">
      <c r="A2701" t="s">
        <v>1635</v>
      </c>
      <c r="B2701">
        <v>2</v>
      </c>
      <c r="C2701">
        <v>15</v>
      </c>
      <c r="D2701">
        <v>112</v>
      </c>
      <c r="E2701" t="s">
        <v>456</v>
      </c>
      <c r="F2701" s="12">
        <v>45741</v>
      </c>
      <c r="G2701" t="s">
        <v>1648</v>
      </c>
      <c r="H2701" s="12">
        <v>45741</v>
      </c>
      <c r="I2701" t="s">
        <v>1655</v>
      </c>
      <c r="J2701" t="s">
        <v>458</v>
      </c>
      <c r="K2701">
        <v>2</v>
      </c>
      <c r="L2701">
        <v>16.2</v>
      </c>
      <c r="M2701">
        <v>16.3</v>
      </c>
      <c r="P2701" t="s">
        <v>106</v>
      </c>
      <c r="Q2701" t="s">
        <v>106</v>
      </c>
      <c r="R2701" t="s">
        <v>106</v>
      </c>
      <c r="S2701" t="s">
        <v>1658</v>
      </c>
      <c r="T2701" t="s">
        <v>2059</v>
      </c>
      <c r="U2701" t="s">
        <v>141</v>
      </c>
      <c r="V2701" t="s">
        <v>106</v>
      </c>
      <c r="W2701" t="s">
        <v>557</v>
      </c>
      <c r="X2701" t="s">
        <v>106</v>
      </c>
      <c r="Y2701" t="s">
        <v>108</v>
      </c>
      <c r="Z2701" t="s">
        <v>109</v>
      </c>
      <c r="AA2701" t="s">
        <v>1652</v>
      </c>
      <c r="AB2701" t="s">
        <v>106</v>
      </c>
    </row>
    <row r="2702" spans="1:28" x14ac:dyDescent="0.3">
      <c r="A2702" t="s">
        <v>1635</v>
      </c>
      <c r="B2702">
        <v>2</v>
      </c>
      <c r="C2702">
        <v>15</v>
      </c>
      <c r="D2702">
        <v>99</v>
      </c>
      <c r="E2702" t="s">
        <v>456</v>
      </c>
      <c r="F2702" s="12">
        <v>45741</v>
      </c>
      <c r="G2702" t="s">
        <v>709</v>
      </c>
      <c r="H2702" s="12">
        <v>45741</v>
      </c>
      <c r="I2702" t="s">
        <v>1029</v>
      </c>
      <c r="J2702" t="s">
        <v>458</v>
      </c>
      <c r="K2702">
        <v>2</v>
      </c>
      <c r="L2702">
        <v>15.2</v>
      </c>
      <c r="M2702">
        <v>15.3</v>
      </c>
      <c r="P2702" t="s">
        <v>106</v>
      </c>
      <c r="Q2702" t="s">
        <v>106</v>
      </c>
      <c r="R2702" t="s">
        <v>106</v>
      </c>
      <c r="S2702" t="s">
        <v>1507</v>
      </c>
      <c r="T2702" t="s">
        <v>1141</v>
      </c>
      <c r="U2702" t="s">
        <v>1780</v>
      </c>
      <c r="V2702" t="s">
        <v>106</v>
      </c>
      <c r="W2702" t="s">
        <v>443</v>
      </c>
      <c r="X2702" t="s">
        <v>106</v>
      </c>
      <c r="Y2702" t="s">
        <v>108</v>
      </c>
      <c r="Z2702" t="s">
        <v>109</v>
      </c>
      <c r="AA2702" t="s">
        <v>1652</v>
      </c>
      <c r="AB2702" t="s">
        <v>106</v>
      </c>
    </row>
    <row r="2703" spans="1:28" x14ac:dyDescent="0.3">
      <c r="A2703" t="s">
        <v>1635</v>
      </c>
      <c r="B2703">
        <v>2</v>
      </c>
      <c r="C2703">
        <v>15</v>
      </c>
      <c r="D2703">
        <v>106</v>
      </c>
      <c r="E2703" t="s">
        <v>456</v>
      </c>
      <c r="F2703" s="12">
        <v>45741</v>
      </c>
      <c r="G2703" t="s">
        <v>417</v>
      </c>
      <c r="H2703" s="12">
        <v>45741</v>
      </c>
      <c r="I2703" t="s">
        <v>863</v>
      </c>
      <c r="J2703" t="s">
        <v>458</v>
      </c>
      <c r="K2703">
        <v>2</v>
      </c>
      <c r="L2703">
        <v>16</v>
      </c>
      <c r="M2703">
        <v>15.8</v>
      </c>
      <c r="P2703" t="s">
        <v>106</v>
      </c>
      <c r="Q2703" t="s">
        <v>106</v>
      </c>
      <c r="R2703" t="s">
        <v>106</v>
      </c>
      <c r="S2703" t="s">
        <v>1335</v>
      </c>
      <c r="T2703" t="s">
        <v>872</v>
      </c>
      <c r="U2703" t="s">
        <v>138</v>
      </c>
      <c r="V2703" t="s">
        <v>106</v>
      </c>
      <c r="W2703" t="s">
        <v>557</v>
      </c>
      <c r="X2703" t="s">
        <v>106</v>
      </c>
      <c r="Y2703" t="s">
        <v>108</v>
      </c>
      <c r="Z2703" t="s">
        <v>109</v>
      </c>
      <c r="AA2703" t="s">
        <v>1652</v>
      </c>
      <c r="AB2703" t="s">
        <v>106</v>
      </c>
    </row>
    <row r="2704" spans="1:28" x14ac:dyDescent="0.3">
      <c r="A2704" t="s">
        <v>1635</v>
      </c>
      <c r="B2704">
        <v>2</v>
      </c>
      <c r="C2704">
        <v>15</v>
      </c>
      <c r="D2704">
        <v>140</v>
      </c>
      <c r="E2704" t="s">
        <v>456</v>
      </c>
      <c r="F2704" s="12">
        <v>45741</v>
      </c>
      <c r="G2704" t="s">
        <v>951</v>
      </c>
      <c r="H2704" s="12">
        <v>45741</v>
      </c>
      <c r="I2704" t="s">
        <v>1979</v>
      </c>
      <c r="J2704" t="s">
        <v>1363</v>
      </c>
      <c r="K2704">
        <v>2</v>
      </c>
      <c r="L2704">
        <v>16.3</v>
      </c>
      <c r="M2704">
        <v>16.3</v>
      </c>
      <c r="P2704" t="s">
        <v>106</v>
      </c>
      <c r="Q2704" t="s">
        <v>106</v>
      </c>
      <c r="R2704" t="s">
        <v>106</v>
      </c>
      <c r="S2704" t="s">
        <v>106</v>
      </c>
      <c r="T2704" t="s">
        <v>1046</v>
      </c>
      <c r="U2704" t="s">
        <v>430</v>
      </c>
      <c r="V2704" t="s">
        <v>106</v>
      </c>
      <c r="W2704" t="s">
        <v>954</v>
      </c>
      <c r="X2704" t="s">
        <v>106</v>
      </c>
      <c r="Y2704" t="s">
        <v>108</v>
      </c>
      <c r="Z2704" t="s">
        <v>109</v>
      </c>
      <c r="AA2704" t="s">
        <v>1652</v>
      </c>
      <c r="AB2704" t="s">
        <v>106</v>
      </c>
    </row>
    <row r="2705" spans="1:28" x14ac:dyDescent="0.3">
      <c r="A2705" t="s">
        <v>1635</v>
      </c>
      <c r="B2705">
        <v>2</v>
      </c>
      <c r="C2705">
        <v>15</v>
      </c>
      <c r="D2705">
        <v>132</v>
      </c>
      <c r="E2705" t="s">
        <v>456</v>
      </c>
      <c r="F2705" s="12">
        <v>45741</v>
      </c>
      <c r="G2705" t="s">
        <v>826</v>
      </c>
      <c r="H2705" s="12">
        <v>45741</v>
      </c>
      <c r="I2705" t="s">
        <v>1434</v>
      </c>
      <c r="J2705" t="s">
        <v>1363</v>
      </c>
      <c r="K2705">
        <v>2</v>
      </c>
      <c r="L2705">
        <v>15.1</v>
      </c>
      <c r="M2705">
        <v>15.2</v>
      </c>
      <c r="P2705" t="s">
        <v>106</v>
      </c>
      <c r="Q2705" t="s">
        <v>106</v>
      </c>
      <c r="R2705" t="s">
        <v>106</v>
      </c>
      <c r="S2705" t="s">
        <v>2259</v>
      </c>
      <c r="T2705" t="s">
        <v>2260</v>
      </c>
      <c r="U2705" t="s">
        <v>1415</v>
      </c>
      <c r="V2705" t="s">
        <v>106</v>
      </c>
      <c r="W2705" t="s">
        <v>557</v>
      </c>
      <c r="X2705" t="s">
        <v>106</v>
      </c>
      <c r="Y2705" t="s">
        <v>108</v>
      </c>
      <c r="Z2705" t="s">
        <v>109</v>
      </c>
      <c r="AA2705" t="s">
        <v>1652</v>
      </c>
      <c r="AB2705" t="s">
        <v>106</v>
      </c>
    </row>
    <row r="2706" spans="1:28" x14ac:dyDescent="0.3">
      <c r="A2706" t="s">
        <v>1635</v>
      </c>
      <c r="B2706">
        <v>2</v>
      </c>
      <c r="C2706">
        <v>15</v>
      </c>
      <c r="D2706">
        <v>133</v>
      </c>
      <c r="E2706" t="s">
        <v>456</v>
      </c>
      <c r="F2706" s="12">
        <v>45741</v>
      </c>
      <c r="G2706" t="s">
        <v>131</v>
      </c>
      <c r="H2706" s="12">
        <v>45741</v>
      </c>
      <c r="I2706" t="s">
        <v>1434</v>
      </c>
      <c r="J2706" t="s">
        <v>1363</v>
      </c>
      <c r="K2706">
        <v>2</v>
      </c>
      <c r="L2706">
        <v>16.7</v>
      </c>
      <c r="M2706">
        <v>16.600000000000001</v>
      </c>
      <c r="P2706" t="s">
        <v>106</v>
      </c>
      <c r="Q2706" t="s">
        <v>106</v>
      </c>
      <c r="R2706" t="s">
        <v>106</v>
      </c>
      <c r="S2706" t="s">
        <v>2207</v>
      </c>
      <c r="T2706" t="s">
        <v>2059</v>
      </c>
      <c r="U2706" t="s">
        <v>1415</v>
      </c>
      <c r="V2706" t="s">
        <v>106</v>
      </c>
      <c r="W2706" t="s">
        <v>557</v>
      </c>
      <c r="X2706" t="s">
        <v>106</v>
      </c>
      <c r="Y2706" t="s">
        <v>108</v>
      </c>
      <c r="Z2706" t="s">
        <v>109</v>
      </c>
      <c r="AA2706" t="s">
        <v>1652</v>
      </c>
      <c r="AB2706" t="s">
        <v>106</v>
      </c>
    </row>
    <row r="2707" spans="1:28" x14ac:dyDescent="0.3">
      <c r="A2707" t="s">
        <v>1635</v>
      </c>
      <c r="B2707">
        <v>2</v>
      </c>
      <c r="C2707">
        <v>15</v>
      </c>
      <c r="D2707">
        <v>111</v>
      </c>
      <c r="E2707" t="s">
        <v>456</v>
      </c>
      <c r="F2707" s="12">
        <v>45741</v>
      </c>
      <c r="G2707" t="s">
        <v>1648</v>
      </c>
      <c r="H2707" s="12">
        <v>45741</v>
      </c>
      <c r="I2707" t="s">
        <v>1655</v>
      </c>
      <c r="J2707" t="s">
        <v>458</v>
      </c>
      <c r="K2707">
        <v>2</v>
      </c>
      <c r="L2707">
        <v>16.100000000000001</v>
      </c>
      <c r="M2707">
        <v>16.3</v>
      </c>
      <c r="P2707" t="s">
        <v>106</v>
      </c>
      <c r="Q2707" t="s">
        <v>106</v>
      </c>
      <c r="R2707" t="s">
        <v>106</v>
      </c>
      <c r="S2707" t="s">
        <v>1579</v>
      </c>
      <c r="T2707" t="s">
        <v>523</v>
      </c>
      <c r="U2707" t="s">
        <v>841</v>
      </c>
      <c r="V2707" t="s">
        <v>106</v>
      </c>
      <c r="W2707" t="s">
        <v>557</v>
      </c>
      <c r="X2707" t="s">
        <v>106</v>
      </c>
      <c r="Y2707" t="s">
        <v>108</v>
      </c>
      <c r="Z2707" t="s">
        <v>109</v>
      </c>
      <c r="AA2707" t="s">
        <v>1652</v>
      </c>
      <c r="AB2707" t="s">
        <v>106</v>
      </c>
    </row>
    <row r="2708" spans="1:28" x14ac:dyDescent="0.3">
      <c r="A2708" t="s">
        <v>1635</v>
      </c>
      <c r="B2708">
        <v>2</v>
      </c>
      <c r="C2708">
        <v>15</v>
      </c>
      <c r="D2708">
        <v>157</v>
      </c>
      <c r="E2708" t="s">
        <v>2261</v>
      </c>
      <c r="F2708" s="12">
        <v>45741</v>
      </c>
      <c r="G2708" t="s">
        <v>2262</v>
      </c>
      <c r="H2708" s="12">
        <v>45741</v>
      </c>
      <c r="I2708" t="s">
        <v>950</v>
      </c>
      <c r="J2708" t="s">
        <v>1363</v>
      </c>
      <c r="K2708">
        <v>2</v>
      </c>
      <c r="L2708">
        <v>17.3</v>
      </c>
      <c r="M2708">
        <v>17.399999999999999</v>
      </c>
      <c r="P2708" t="s">
        <v>106</v>
      </c>
      <c r="Q2708" t="s">
        <v>106</v>
      </c>
      <c r="R2708" t="s">
        <v>106</v>
      </c>
      <c r="S2708" t="s">
        <v>1595</v>
      </c>
      <c r="T2708" t="s">
        <v>1242</v>
      </c>
      <c r="U2708" t="s">
        <v>382</v>
      </c>
      <c r="V2708" t="s">
        <v>106</v>
      </c>
      <c r="W2708" t="s">
        <v>954</v>
      </c>
      <c r="X2708" t="s">
        <v>106</v>
      </c>
      <c r="Y2708" t="s">
        <v>108</v>
      </c>
      <c r="Z2708" t="s">
        <v>109</v>
      </c>
      <c r="AA2708" t="s">
        <v>1652</v>
      </c>
      <c r="AB2708" t="s">
        <v>106</v>
      </c>
    </row>
    <row r="2709" spans="1:28" x14ac:dyDescent="0.3">
      <c r="A2709" t="s">
        <v>1635</v>
      </c>
      <c r="B2709">
        <v>2</v>
      </c>
      <c r="C2709">
        <v>15</v>
      </c>
      <c r="D2709">
        <v>126</v>
      </c>
      <c r="E2709" t="s">
        <v>456</v>
      </c>
      <c r="F2709" s="12">
        <v>45741</v>
      </c>
      <c r="G2709" t="s">
        <v>833</v>
      </c>
      <c r="H2709" s="12">
        <v>45741</v>
      </c>
      <c r="I2709" t="s">
        <v>542</v>
      </c>
      <c r="J2709" t="s">
        <v>1363</v>
      </c>
      <c r="K2709">
        <v>2</v>
      </c>
      <c r="L2709">
        <v>16.600000000000001</v>
      </c>
      <c r="M2709">
        <v>16.600000000000001</v>
      </c>
      <c r="P2709" t="s">
        <v>106</v>
      </c>
      <c r="Q2709" t="s">
        <v>106</v>
      </c>
      <c r="R2709" t="s">
        <v>106</v>
      </c>
      <c r="S2709" t="s">
        <v>2220</v>
      </c>
      <c r="T2709" t="s">
        <v>971</v>
      </c>
      <c r="U2709" t="s">
        <v>708</v>
      </c>
      <c r="V2709" t="s">
        <v>106</v>
      </c>
      <c r="W2709" t="s">
        <v>954</v>
      </c>
      <c r="X2709" t="s">
        <v>106</v>
      </c>
      <c r="Y2709" t="s">
        <v>108</v>
      </c>
      <c r="Z2709" t="s">
        <v>109</v>
      </c>
      <c r="AA2709" t="s">
        <v>1652</v>
      </c>
      <c r="AB2709" t="s">
        <v>106</v>
      </c>
    </row>
    <row r="2710" spans="1:28" x14ac:dyDescent="0.3">
      <c r="A2710" t="s">
        <v>1635</v>
      </c>
      <c r="B2710">
        <v>2</v>
      </c>
      <c r="C2710">
        <v>15</v>
      </c>
      <c r="D2710">
        <v>141</v>
      </c>
      <c r="E2710" t="s">
        <v>456</v>
      </c>
      <c r="F2710" s="12">
        <v>45741</v>
      </c>
      <c r="G2710" t="s">
        <v>1537</v>
      </c>
      <c r="H2710" s="12">
        <v>45741</v>
      </c>
      <c r="I2710" t="s">
        <v>1979</v>
      </c>
      <c r="J2710" t="s">
        <v>1363</v>
      </c>
      <c r="K2710">
        <v>2</v>
      </c>
      <c r="L2710">
        <v>16.8</v>
      </c>
      <c r="M2710">
        <v>16.899999999999999</v>
      </c>
      <c r="P2710" t="s">
        <v>106</v>
      </c>
      <c r="Q2710" t="s">
        <v>106</v>
      </c>
      <c r="R2710" t="s">
        <v>106</v>
      </c>
      <c r="S2710" t="s">
        <v>106</v>
      </c>
      <c r="T2710" t="s">
        <v>1475</v>
      </c>
      <c r="U2710" t="s">
        <v>1411</v>
      </c>
      <c r="V2710" t="s">
        <v>106</v>
      </c>
      <c r="W2710" t="s">
        <v>954</v>
      </c>
      <c r="X2710" t="s">
        <v>106</v>
      </c>
      <c r="Y2710" t="s">
        <v>108</v>
      </c>
      <c r="Z2710" t="s">
        <v>109</v>
      </c>
      <c r="AA2710" t="s">
        <v>1652</v>
      </c>
      <c r="AB2710" t="s">
        <v>106</v>
      </c>
    </row>
    <row r="2711" spans="1:28" x14ac:dyDescent="0.3">
      <c r="A2711" t="s">
        <v>1635</v>
      </c>
      <c r="B2711">
        <v>3</v>
      </c>
      <c r="C2711">
        <v>35</v>
      </c>
      <c r="D2711">
        <v>137</v>
      </c>
      <c r="E2711" t="s">
        <v>456</v>
      </c>
      <c r="F2711" s="12">
        <v>45741</v>
      </c>
      <c r="G2711" t="s">
        <v>2020</v>
      </c>
      <c r="H2711" s="12">
        <v>45741</v>
      </c>
      <c r="I2711" t="s">
        <v>1979</v>
      </c>
      <c r="J2711" t="s">
        <v>1363</v>
      </c>
      <c r="K2711">
        <v>2</v>
      </c>
      <c r="L2711">
        <v>40.9</v>
      </c>
      <c r="M2711">
        <v>41.3</v>
      </c>
      <c r="P2711" t="s">
        <v>106</v>
      </c>
      <c r="Q2711" t="s">
        <v>106</v>
      </c>
      <c r="R2711" t="s">
        <v>106</v>
      </c>
      <c r="S2711" t="s">
        <v>106</v>
      </c>
      <c r="T2711" t="s">
        <v>993</v>
      </c>
      <c r="U2711" t="s">
        <v>1382</v>
      </c>
      <c r="V2711" t="s">
        <v>106</v>
      </c>
      <c r="W2711" t="s">
        <v>954</v>
      </c>
      <c r="X2711" t="s">
        <v>106</v>
      </c>
      <c r="Y2711" t="s">
        <v>108</v>
      </c>
      <c r="Z2711" t="s">
        <v>108</v>
      </c>
      <c r="AA2711" t="s">
        <v>1652</v>
      </c>
      <c r="AB2711" t="s">
        <v>106</v>
      </c>
    </row>
    <row r="2712" spans="1:28" x14ac:dyDescent="0.3">
      <c r="A2712" t="s">
        <v>1635</v>
      </c>
      <c r="B2712">
        <v>3</v>
      </c>
      <c r="C2712">
        <v>35</v>
      </c>
      <c r="D2712">
        <v>115</v>
      </c>
      <c r="E2712" t="s">
        <v>456</v>
      </c>
      <c r="F2712" s="12">
        <v>45741</v>
      </c>
      <c r="G2712" t="s">
        <v>854</v>
      </c>
      <c r="H2712" s="12">
        <v>45741</v>
      </c>
      <c r="I2712" t="s">
        <v>1518</v>
      </c>
      <c r="J2712" t="s">
        <v>458</v>
      </c>
      <c r="K2712">
        <v>2</v>
      </c>
      <c r="L2712">
        <v>38.700000000000003</v>
      </c>
      <c r="M2712">
        <v>38.5</v>
      </c>
      <c r="P2712" t="s">
        <v>106</v>
      </c>
      <c r="Q2712" t="s">
        <v>106</v>
      </c>
      <c r="R2712" t="s">
        <v>106</v>
      </c>
      <c r="S2712" t="s">
        <v>106</v>
      </c>
      <c r="T2712" t="s">
        <v>2059</v>
      </c>
      <c r="U2712" t="s">
        <v>1615</v>
      </c>
      <c r="V2712" t="s">
        <v>106</v>
      </c>
      <c r="W2712" t="s">
        <v>557</v>
      </c>
      <c r="X2712" t="s">
        <v>106</v>
      </c>
      <c r="Y2712" t="s">
        <v>108</v>
      </c>
      <c r="Z2712" t="s">
        <v>108</v>
      </c>
      <c r="AA2712" t="s">
        <v>106</v>
      </c>
      <c r="AB2712" t="s">
        <v>106</v>
      </c>
    </row>
    <row r="2713" spans="1:28" x14ac:dyDescent="0.3">
      <c r="A2713" t="s">
        <v>1635</v>
      </c>
      <c r="B2713">
        <v>3</v>
      </c>
      <c r="C2713">
        <v>35</v>
      </c>
      <c r="D2713">
        <v>108</v>
      </c>
      <c r="E2713" t="s">
        <v>456</v>
      </c>
      <c r="F2713" s="12">
        <v>45741</v>
      </c>
      <c r="G2713" t="s">
        <v>622</v>
      </c>
      <c r="H2713" s="12">
        <v>45741</v>
      </c>
      <c r="I2713" t="s">
        <v>1655</v>
      </c>
      <c r="J2713" t="s">
        <v>458</v>
      </c>
      <c r="K2713">
        <v>2</v>
      </c>
      <c r="L2713">
        <v>38.200000000000003</v>
      </c>
      <c r="M2713">
        <v>38.299999999999997</v>
      </c>
      <c r="P2713" t="s">
        <v>106</v>
      </c>
      <c r="Q2713" t="s">
        <v>106</v>
      </c>
      <c r="R2713" t="s">
        <v>106</v>
      </c>
      <c r="S2713" t="s">
        <v>1335</v>
      </c>
      <c r="T2713" t="s">
        <v>942</v>
      </c>
      <c r="U2713" t="s">
        <v>1591</v>
      </c>
      <c r="V2713" t="s">
        <v>106</v>
      </c>
      <c r="W2713" t="s">
        <v>557</v>
      </c>
      <c r="X2713" t="s">
        <v>106</v>
      </c>
      <c r="Y2713" t="s">
        <v>108</v>
      </c>
      <c r="Z2713" t="s">
        <v>108</v>
      </c>
      <c r="AA2713" t="s">
        <v>1652</v>
      </c>
      <c r="AB2713" t="s">
        <v>106</v>
      </c>
    </row>
    <row r="2714" spans="1:28" x14ac:dyDescent="0.3">
      <c r="A2714" t="s">
        <v>1635</v>
      </c>
      <c r="B2714">
        <v>3</v>
      </c>
      <c r="C2714">
        <v>35</v>
      </c>
      <c r="D2714">
        <v>153</v>
      </c>
      <c r="E2714" t="s">
        <v>2585</v>
      </c>
      <c r="F2714" s="12">
        <v>45741</v>
      </c>
      <c r="G2714" t="s">
        <v>820</v>
      </c>
      <c r="H2714" s="12">
        <v>45741</v>
      </c>
      <c r="I2714" t="s">
        <v>950</v>
      </c>
      <c r="J2714" t="s">
        <v>1363</v>
      </c>
      <c r="K2714">
        <v>2</v>
      </c>
      <c r="L2714">
        <v>40.5</v>
      </c>
      <c r="M2714">
        <v>40.5</v>
      </c>
      <c r="P2714" t="s">
        <v>106</v>
      </c>
      <c r="Q2714" t="s">
        <v>106</v>
      </c>
      <c r="R2714" t="s">
        <v>106</v>
      </c>
      <c r="S2714" t="s">
        <v>1238</v>
      </c>
      <c r="T2714" t="s">
        <v>828</v>
      </c>
      <c r="U2714" t="s">
        <v>701</v>
      </c>
      <c r="V2714" t="s">
        <v>106</v>
      </c>
      <c r="W2714" t="s">
        <v>954</v>
      </c>
      <c r="X2714" t="s">
        <v>106</v>
      </c>
      <c r="Y2714" t="s">
        <v>108</v>
      </c>
      <c r="Z2714" t="s">
        <v>108</v>
      </c>
      <c r="AA2714" t="s">
        <v>955</v>
      </c>
      <c r="AB2714" t="s">
        <v>106</v>
      </c>
    </row>
    <row r="2715" spans="1:28" x14ac:dyDescent="0.3">
      <c r="A2715" t="s">
        <v>1635</v>
      </c>
      <c r="B2715">
        <v>3</v>
      </c>
      <c r="C2715">
        <v>35</v>
      </c>
      <c r="D2715">
        <v>154</v>
      </c>
      <c r="E2715" t="s">
        <v>2586</v>
      </c>
      <c r="F2715" s="12">
        <v>45741</v>
      </c>
      <c r="G2715" t="s">
        <v>985</v>
      </c>
      <c r="H2715" s="12">
        <v>45741</v>
      </c>
      <c r="I2715" t="s">
        <v>950</v>
      </c>
      <c r="J2715" t="s">
        <v>1363</v>
      </c>
      <c r="K2715">
        <v>2</v>
      </c>
      <c r="L2715">
        <v>36</v>
      </c>
      <c r="M2715">
        <v>36.1</v>
      </c>
      <c r="P2715" t="s">
        <v>106</v>
      </c>
      <c r="Q2715" t="s">
        <v>106</v>
      </c>
      <c r="R2715" t="s">
        <v>106</v>
      </c>
      <c r="S2715" t="s">
        <v>2237</v>
      </c>
      <c r="T2715" t="s">
        <v>1120</v>
      </c>
      <c r="U2715" t="s">
        <v>825</v>
      </c>
      <c r="V2715" t="s">
        <v>106</v>
      </c>
      <c r="W2715" t="s">
        <v>954</v>
      </c>
      <c r="X2715" t="s">
        <v>106</v>
      </c>
      <c r="Y2715" t="s">
        <v>108</v>
      </c>
      <c r="Z2715" t="s">
        <v>108</v>
      </c>
      <c r="AA2715" t="s">
        <v>955</v>
      </c>
      <c r="AB2715" t="s">
        <v>2587</v>
      </c>
    </row>
    <row r="2716" spans="1:28" x14ac:dyDescent="0.3">
      <c r="A2716" t="s">
        <v>1635</v>
      </c>
      <c r="B2716">
        <v>3</v>
      </c>
      <c r="C2716">
        <v>35</v>
      </c>
      <c r="D2716">
        <v>107</v>
      </c>
      <c r="E2716" t="s">
        <v>456</v>
      </c>
      <c r="F2716" s="12">
        <v>45741</v>
      </c>
      <c r="G2716" t="s">
        <v>437</v>
      </c>
      <c r="H2716" s="12">
        <v>45741</v>
      </c>
      <c r="I2716" t="s">
        <v>1655</v>
      </c>
      <c r="J2716" t="s">
        <v>458</v>
      </c>
      <c r="K2716">
        <v>2</v>
      </c>
      <c r="L2716">
        <v>37.700000000000003</v>
      </c>
      <c r="M2716">
        <v>37.700000000000003</v>
      </c>
      <c r="P2716" t="s">
        <v>106</v>
      </c>
      <c r="Q2716" t="s">
        <v>106</v>
      </c>
      <c r="R2716" t="s">
        <v>106</v>
      </c>
      <c r="S2716" t="s">
        <v>2160</v>
      </c>
      <c r="T2716" t="s">
        <v>1046</v>
      </c>
      <c r="U2716" t="s">
        <v>1411</v>
      </c>
      <c r="V2716" t="s">
        <v>106</v>
      </c>
      <c r="W2716" t="s">
        <v>557</v>
      </c>
      <c r="X2716" t="s">
        <v>106</v>
      </c>
      <c r="Y2716" t="s">
        <v>108</v>
      </c>
      <c r="Z2716" t="s">
        <v>108</v>
      </c>
      <c r="AA2716" t="s">
        <v>1652</v>
      </c>
      <c r="AB2716" t="s">
        <v>106</v>
      </c>
    </row>
    <row r="2717" spans="1:28" x14ac:dyDescent="0.3">
      <c r="A2717" t="s">
        <v>1635</v>
      </c>
      <c r="B2717">
        <v>3</v>
      </c>
      <c r="C2717">
        <v>35</v>
      </c>
      <c r="D2717">
        <v>155</v>
      </c>
      <c r="E2717" t="s">
        <v>2586</v>
      </c>
      <c r="F2717" s="12">
        <v>45741</v>
      </c>
      <c r="G2717" t="s">
        <v>985</v>
      </c>
      <c r="H2717" s="12">
        <v>45741</v>
      </c>
      <c r="I2717" t="s">
        <v>950</v>
      </c>
      <c r="J2717" t="s">
        <v>1363</v>
      </c>
      <c r="K2717">
        <v>2</v>
      </c>
      <c r="L2717">
        <v>38.700000000000003</v>
      </c>
      <c r="M2717">
        <v>38.9</v>
      </c>
      <c r="P2717" t="s">
        <v>106</v>
      </c>
      <c r="Q2717" t="s">
        <v>106</v>
      </c>
      <c r="R2717" t="s">
        <v>106</v>
      </c>
      <c r="S2717" t="s">
        <v>2208</v>
      </c>
      <c r="T2717" t="s">
        <v>1131</v>
      </c>
      <c r="U2717" t="s">
        <v>825</v>
      </c>
      <c r="V2717" t="s">
        <v>106</v>
      </c>
      <c r="W2717" t="s">
        <v>954</v>
      </c>
      <c r="X2717" t="s">
        <v>106</v>
      </c>
      <c r="Y2717" t="s">
        <v>108</v>
      </c>
      <c r="Z2717" t="s">
        <v>108</v>
      </c>
      <c r="AA2717" t="s">
        <v>955</v>
      </c>
      <c r="AB2717" t="s">
        <v>106</v>
      </c>
    </row>
    <row r="2718" spans="1:28" x14ac:dyDescent="0.3">
      <c r="A2718" t="s">
        <v>1635</v>
      </c>
      <c r="B2718">
        <v>3</v>
      </c>
      <c r="C2718">
        <v>35</v>
      </c>
      <c r="D2718">
        <v>152</v>
      </c>
      <c r="E2718" t="s">
        <v>2585</v>
      </c>
      <c r="F2718" s="12">
        <v>45741</v>
      </c>
      <c r="G2718" t="s">
        <v>818</v>
      </c>
      <c r="H2718" s="12">
        <v>45741</v>
      </c>
      <c r="I2718" t="s">
        <v>950</v>
      </c>
      <c r="J2718" t="s">
        <v>1363</v>
      </c>
      <c r="K2718">
        <v>2</v>
      </c>
      <c r="L2718">
        <v>40.700000000000003</v>
      </c>
      <c r="M2718">
        <v>40.799999999999997</v>
      </c>
      <c r="P2718" t="s">
        <v>106</v>
      </c>
      <c r="Q2718" t="s">
        <v>106</v>
      </c>
      <c r="R2718" t="s">
        <v>106</v>
      </c>
      <c r="S2718" t="s">
        <v>1269</v>
      </c>
      <c r="T2718" t="s">
        <v>1530</v>
      </c>
      <c r="U2718" t="s">
        <v>701</v>
      </c>
      <c r="V2718" t="s">
        <v>106</v>
      </c>
      <c r="W2718" t="s">
        <v>954</v>
      </c>
      <c r="X2718" t="s">
        <v>106</v>
      </c>
      <c r="Y2718" t="s">
        <v>108</v>
      </c>
      <c r="Z2718" t="s">
        <v>108</v>
      </c>
      <c r="AA2718" t="s">
        <v>955</v>
      </c>
      <c r="AB2718" t="s">
        <v>2588</v>
      </c>
    </row>
    <row r="2719" spans="1:28" x14ac:dyDescent="0.3">
      <c r="A2719" t="s">
        <v>1635</v>
      </c>
      <c r="B2719">
        <v>3</v>
      </c>
      <c r="C2719">
        <v>35</v>
      </c>
      <c r="D2719">
        <v>151</v>
      </c>
      <c r="E2719" t="s">
        <v>456</v>
      </c>
      <c r="F2719" s="12">
        <v>45741</v>
      </c>
      <c r="G2719" t="s">
        <v>1528</v>
      </c>
      <c r="H2719" s="12">
        <v>45741</v>
      </c>
      <c r="I2719" t="s">
        <v>950</v>
      </c>
      <c r="J2719" t="s">
        <v>1363</v>
      </c>
      <c r="K2719">
        <v>2</v>
      </c>
      <c r="L2719">
        <v>39</v>
      </c>
      <c r="M2719">
        <v>39.200000000000003</v>
      </c>
      <c r="P2719" t="s">
        <v>106</v>
      </c>
      <c r="Q2719" t="s">
        <v>106</v>
      </c>
      <c r="R2719" t="s">
        <v>106</v>
      </c>
      <c r="S2719" t="s">
        <v>2550</v>
      </c>
      <c r="T2719" t="s">
        <v>1000</v>
      </c>
      <c r="U2719" t="s">
        <v>1604</v>
      </c>
      <c r="V2719" t="s">
        <v>106</v>
      </c>
      <c r="W2719" t="s">
        <v>954</v>
      </c>
      <c r="X2719" t="s">
        <v>106</v>
      </c>
      <c r="Y2719" t="s">
        <v>108</v>
      </c>
      <c r="Z2719" t="s">
        <v>108</v>
      </c>
      <c r="AA2719" t="s">
        <v>955</v>
      </c>
      <c r="AB2719" t="s">
        <v>2589</v>
      </c>
    </row>
    <row r="2720" spans="1:28" x14ac:dyDescent="0.3">
      <c r="A2720" t="s">
        <v>1635</v>
      </c>
      <c r="B2720">
        <v>3</v>
      </c>
      <c r="C2720">
        <v>35</v>
      </c>
      <c r="D2720">
        <v>147</v>
      </c>
      <c r="E2720" t="s">
        <v>456</v>
      </c>
      <c r="F2720" s="12">
        <v>45741</v>
      </c>
      <c r="G2720" t="s">
        <v>2590</v>
      </c>
      <c r="H2720" s="12">
        <v>45741</v>
      </c>
      <c r="I2720" t="s">
        <v>950</v>
      </c>
      <c r="J2720" t="s">
        <v>1363</v>
      </c>
      <c r="K2720">
        <v>2</v>
      </c>
      <c r="L2720">
        <v>41.5</v>
      </c>
      <c r="M2720">
        <v>41.6</v>
      </c>
      <c r="P2720" t="s">
        <v>106</v>
      </c>
      <c r="Q2720" t="s">
        <v>106</v>
      </c>
      <c r="R2720" t="s">
        <v>106</v>
      </c>
      <c r="S2720" t="s">
        <v>2591</v>
      </c>
      <c r="T2720" t="s">
        <v>1141</v>
      </c>
      <c r="U2720" t="s">
        <v>429</v>
      </c>
      <c r="V2720" t="s">
        <v>106</v>
      </c>
      <c r="W2720" t="s">
        <v>954</v>
      </c>
      <c r="X2720" t="s">
        <v>106</v>
      </c>
      <c r="Y2720" t="s">
        <v>108</v>
      </c>
      <c r="Z2720" t="s">
        <v>108</v>
      </c>
      <c r="AA2720" t="s">
        <v>955</v>
      </c>
      <c r="AB2720" t="s">
        <v>106</v>
      </c>
    </row>
    <row r="2721" spans="1:28" x14ac:dyDescent="0.3">
      <c r="A2721" t="s">
        <v>1635</v>
      </c>
      <c r="B2721">
        <v>3</v>
      </c>
      <c r="C2721">
        <v>35</v>
      </c>
      <c r="D2721">
        <v>116</v>
      </c>
      <c r="E2721" t="s">
        <v>456</v>
      </c>
      <c r="F2721" s="12">
        <v>45741</v>
      </c>
      <c r="G2721" t="s">
        <v>2584</v>
      </c>
      <c r="H2721" s="12">
        <v>45741</v>
      </c>
      <c r="I2721" t="s">
        <v>1518</v>
      </c>
      <c r="J2721" t="s">
        <v>458</v>
      </c>
      <c r="K2721">
        <v>2</v>
      </c>
      <c r="L2721">
        <v>38.299999999999997</v>
      </c>
      <c r="M2721">
        <v>38.4</v>
      </c>
      <c r="P2721" t="s">
        <v>106</v>
      </c>
      <c r="Q2721" t="s">
        <v>106</v>
      </c>
      <c r="R2721" t="s">
        <v>106</v>
      </c>
      <c r="S2721" t="s">
        <v>2160</v>
      </c>
      <c r="T2721" t="s">
        <v>1090</v>
      </c>
      <c r="U2721" t="s">
        <v>1591</v>
      </c>
      <c r="V2721" t="s">
        <v>106</v>
      </c>
      <c r="W2721" t="s">
        <v>557</v>
      </c>
      <c r="X2721" t="s">
        <v>106</v>
      </c>
      <c r="Y2721" t="s">
        <v>108</v>
      </c>
      <c r="Z2721" t="s">
        <v>108</v>
      </c>
      <c r="AA2721" t="s">
        <v>106</v>
      </c>
      <c r="AB2721" t="s">
        <v>106</v>
      </c>
    </row>
    <row r="2722" spans="1:28" x14ac:dyDescent="0.3">
      <c r="A2722" t="s">
        <v>1635</v>
      </c>
      <c r="B2722">
        <v>3</v>
      </c>
      <c r="C2722">
        <v>35</v>
      </c>
      <c r="D2722">
        <v>146</v>
      </c>
      <c r="E2722" t="s">
        <v>456</v>
      </c>
      <c r="F2722" s="12">
        <v>45741</v>
      </c>
      <c r="G2722" t="s">
        <v>2590</v>
      </c>
      <c r="H2722" s="12">
        <v>45741</v>
      </c>
      <c r="I2722" t="s">
        <v>950</v>
      </c>
      <c r="J2722" t="s">
        <v>1363</v>
      </c>
      <c r="K2722">
        <v>2</v>
      </c>
      <c r="L2722">
        <v>39.9</v>
      </c>
      <c r="M2722">
        <v>39.9</v>
      </c>
      <c r="P2722" t="s">
        <v>106</v>
      </c>
      <c r="Q2722" t="s">
        <v>106</v>
      </c>
      <c r="R2722" t="s">
        <v>106</v>
      </c>
      <c r="S2722" t="s">
        <v>2551</v>
      </c>
      <c r="T2722" t="s">
        <v>1467</v>
      </c>
      <c r="U2722" t="s">
        <v>905</v>
      </c>
      <c r="V2722" t="s">
        <v>106</v>
      </c>
      <c r="W2722" t="s">
        <v>954</v>
      </c>
      <c r="X2722" t="s">
        <v>106</v>
      </c>
      <c r="Y2722" t="s">
        <v>108</v>
      </c>
      <c r="Z2722" t="s">
        <v>108</v>
      </c>
      <c r="AA2722" t="s">
        <v>955</v>
      </c>
      <c r="AB2722" t="s">
        <v>106</v>
      </c>
    </row>
    <row r="2723" spans="1:28" x14ac:dyDescent="0.3">
      <c r="A2723" t="s">
        <v>1635</v>
      </c>
      <c r="B2723">
        <v>3</v>
      </c>
      <c r="C2723">
        <v>35</v>
      </c>
      <c r="D2723">
        <v>121</v>
      </c>
      <c r="E2723" t="s">
        <v>456</v>
      </c>
      <c r="F2723" s="12">
        <v>45741</v>
      </c>
      <c r="G2723" t="s">
        <v>461</v>
      </c>
      <c r="H2723" s="12">
        <v>45741</v>
      </c>
      <c r="I2723" t="s">
        <v>542</v>
      </c>
      <c r="J2723" t="s">
        <v>1363</v>
      </c>
      <c r="K2723">
        <v>2</v>
      </c>
      <c r="L2723">
        <v>38</v>
      </c>
      <c r="M2723">
        <v>38.1</v>
      </c>
      <c r="P2723" t="s">
        <v>106</v>
      </c>
      <c r="Q2723" t="s">
        <v>106</v>
      </c>
      <c r="R2723" t="s">
        <v>106</v>
      </c>
      <c r="S2723" t="s">
        <v>2592</v>
      </c>
      <c r="T2723" t="s">
        <v>1385</v>
      </c>
      <c r="U2723" t="s">
        <v>391</v>
      </c>
      <c r="V2723" t="s">
        <v>106</v>
      </c>
      <c r="W2723" t="s">
        <v>954</v>
      </c>
      <c r="X2723" t="s">
        <v>106</v>
      </c>
      <c r="Y2723" t="s">
        <v>108</v>
      </c>
      <c r="Z2723" t="s">
        <v>108</v>
      </c>
      <c r="AA2723" t="s">
        <v>1652</v>
      </c>
      <c r="AB2723" t="s">
        <v>106</v>
      </c>
    </row>
    <row r="2724" spans="1:28" x14ac:dyDescent="0.3">
      <c r="A2724" t="s">
        <v>1635</v>
      </c>
      <c r="B2724">
        <v>3</v>
      </c>
      <c r="C2724">
        <v>35</v>
      </c>
      <c r="D2724">
        <v>122</v>
      </c>
      <c r="E2724" t="s">
        <v>456</v>
      </c>
      <c r="F2724" s="12">
        <v>45741</v>
      </c>
      <c r="G2724" t="s">
        <v>461</v>
      </c>
      <c r="H2724" s="12">
        <v>45741</v>
      </c>
      <c r="I2724" t="s">
        <v>542</v>
      </c>
      <c r="J2724" t="s">
        <v>1363</v>
      </c>
      <c r="K2724">
        <v>2</v>
      </c>
      <c r="L2724">
        <v>39</v>
      </c>
      <c r="M2724">
        <v>39.200000000000003</v>
      </c>
      <c r="P2724" t="s">
        <v>106</v>
      </c>
      <c r="Q2724" t="s">
        <v>106</v>
      </c>
      <c r="R2724" t="s">
        <v>106</v>
      </c>
      <c r="S2724" t="s">
        <v>2192</v>
      </c>
      <c r="T2724" t="s">
        <v>1141</v>
      </c>
      <c r="U2724" t="s">
        <v>1591</v>
      </c>
      <c r="V2724" t="s">
        <v>106</v>
      </c>
      <c r="W2724" t="s">
        <v>954</v>
      </c>
      <c r="X2724" t="s">
        <v>106</v>
      </c>
      <c r="Y2724" t="s">
        <v>108</v>
      </c>
      <c r="Z2724" t="s">
        <v>108</v>
      </c>
      <c r="AA2724" t="s">
        <v>1652</v>
      </c>
      <c r="AB2724" t="s">
        <v>106</v>
      </c>
    </row>
    <row r="2725" spans="1:28" x14ac:dyDescent="0.3">
      <c r="A2725" t="s">
        <v>1635</v>
      </c>
      <c r="B2725">
        <v>3</v>
      </c>
      <c r="C2725">
        <v>35</v>
      </c>
      <c r="D2725">
        <v>158</v>
      </c>
      <c r="E2725" t="s">
        <v>2586</v>
      </c>
      <c r="F2725" s="12">
        <v>45741</v>
      </c>
      <c r="G2725" t="s">
        <v>2593</v>
      </c>
      <c r="H2725" s="12">
        <v>45741</v>
      </c>
      <c r="I2725" t="s">
        <v>950</v>
      </c>
      <c r="J2725" t="s">
        <v>1363</v>
      </c>
      <c r="K2725">
        <v>2</v>
      </c>
      <c r="L2725">
        <v>39.799999999999997</v>
      </c>
      <c r="M2725">
        <v>40</v>
      </c>
      <c r="P2725" t="s">
        <v>106</v>
      </c>
      <c r="Q2725" t="s">
        <v>106</v>
      </c>
      <c r="R2725" t="s">
        <v>106</v>
      </c>
      <c r="S2725" t="s">
        <v>106</v>
      </c>
      <c r="T2725" t="s">
        <v>1084</v>
      </c>
      <c r="U2725" t="s">
        <v>825</v>
      </c>
      <c r="V2725" t="s">
        <v>106</v>
      </c>
      <c r="W2725" t="s">
        <v>954</v>
      </c>
      <c r="X2725" t="s">
        <v>106</v>
      </c>
      <c r="Y2725" t="s">
        <v>108</v>
      </c>
      <c r="Z2725" t="s">
        <v>108</v>
      </c>
      <c r="AA2725" t="s">
        <v>955</v>
      </c>
      <c r="AB2725" t="s">
        <v>2594</v>
      </c>
    </row>
    <row r="2726" spans="1:28" x14ac:dyDescent="0.3">
      <c r="A2726" t="s">
        <v>1635</v>
      </c>
      <c r="B2726">
        <v>3</v>
      </c>
      <c r="C2726">
        <v>35</v>
      </c>
      <c r="D2726">
        <v>144</v>
      </c>
      <c r="E2726" t="s">
        <v>308</v>
      </c>
      <c r="F2726" s="12">
        <v>45741</v>
      </c>
      <c r="G2726" t="s">
        <v>2445</v>
      </c>
      <c r="H2726" s="12">
        <v>45741</v>
      </c>
      <c r="I2726" t="s">
        <v>1979</v>
      </c>
      <c r="J2726" t="s">
        <v>1363</v>
      </c>
      <c r="K2726">
        <v>2</v>
      </c>
      <c r="L2726">
        <v>37.799999999999997</v>
      </c>
      <c r="M2726">
        <v>37.799999999999997</v>
      </c>
      <c r="P2726" t="s">
        <v>106</v>
      </c>
      <c r="Q2726" t="s">
        <v>106</v>
      </c>
      <c r="R2726" t="s">
        <v>106</v>
      </c>
      <c r="S2726" t="s">
        <v>1939</v>
      </c>
      <c r="T2726" t="s">
        <v>934</v>
      </c>
      <c r="U2726" t="s">
        <v>1415</v>
      </c>
      <c r="V2726" t="s">
        <v>106</v>
      </c>
      <c r="W2726" t="s">
        <v>954</v>
      </c>
      <c r="X2726" t="s">
        <v>106</v>
      </c>
      <c r="Y2726" t="s">
        <v>108</v>
      </c>
      <c r="Z2726" t="s">
        <v>108</v>
      </c>
      <c r="AA2726" t="s">
        <v>955</v>
      </c>
      <c r="AB2726" t="s">
        <v>106</v>
      </c>
    </row>
    <row r="2727" spans="1:28" x14ac:dyDescent="0.3">
      <c r="A2727" t="s">
        <v>1635</v>
      </c>
      <c r="B2727">
        <v>3</v>
      </c>
      <c r="C2727">
        <v>35</v>
      </c>
      <c r="D2727">
        <v>143</v>
      </c>
      <c r="E2727" t="s">
        <v>456</v>
      </c>
      <c r="F2727" s="12">
        <v>45741</v>
      </c>
      <c r="G2727" t="s">
        <v>2092</v>
      </c>
      <c r="H2727" s="12">
        <v>45741</v>
      </c>
      <c r="I2727" t="s">
        <v>1979</v>
      </c>
      <c r="J2727" t="s">
        <v>1363</v>
      </c>
      <c r="K2727">
        <v>2</v>
      </c>
      <c r="L2727">
        <v>39.1</v>
      </c>
      <c r="M2727">
        <v>39.299999999999997</v>
      </c>
      <c r="P2727" t="s">
        <v>106</v>
      </c>
      <c r="Q2727" t="s">
        <v>106</v>
      </c>
      <c r="R2727" t="s">
        <v>106</v>
      </c>
      <c r="S2727" t="s">
        <v>106</v>
      </c>
      <c r="T2727" t="s">
        <v>1385</v>
      </c>
      <c r="U2727" t="s">
        <v>429</v>
      </c>
      <c r="V2727" t="s">
        <v>106</v>
      </c>
      <c r="W2727" t="s">
        <v>954</v>
      </c>
      <c r="X2727" t="s">
        <v>106</v>
      </c>
      <c r="Y2727" t="s">
        <v>108</v>
      </c>
      <c r="Z2727" t="s">
        <v>108</v>
      </c>
      <c r="AA2727" t="s">
        <v>1652</v>
      </c>
      <c r="AB2727" t="s">
        <v>106</v>
      </c>
    </row>
    <row r="2728" spans="1:28" x14ac:dyDescent="0.3">
      <c r="A2728" t="s">
        <v>1635</v>
      </c>
      <c r="B2728">
        <v>3</v>
      </c>
      <c r="C2728">
        <v>35</v>
      </c>
      <c r="D2728">
        <v>136</v>
      </c>
      <c r="E2728" t="s">
        <v>456</v>
      </c>
      <c r="F2728" s="12">
        <v>45741</v>
      </c>
      <c r="G2728" t="s">
        <v>2020</v>
      </c>
      <c r="H2728" s="12">
        <v>45741</v>
      </c>
      <c r="I2728" t="s">
        <v>1979</v>
      </c>
      <c r="J2728" t="s">
        <v>1363</v>
      </c>
      <c r="K2728">
        <v>2</v>
      </c>
      <c r="L2728">
        <v>39.4</v>
      </c>
      <c r="M2728">
        <v>39.700000000000003</v>
      </c>
      <c r="P2728" t="s">
        <v>106</v>
      </c>
      <c r="Q2728" t="s">
        <v>106</v>
      </c>
      <c r="R2728" t="s">
        <v>106</v>
      </c>
      <c r="S2728" t="s">
        <v>106</v>
      </c>
      <c r="T2728" t="s">
        <v>523</v>
      </c>
      <c r="U2728" t="s">
        <v>1615</v>
      </c>
      <c r="V2728" t="s">
        <v>106</v>
      </c>
      <c r="W2728" t="s">
        <v>954</v>
      </c>
      <c r="X2728" t="s">
        <v>106</v>
      </c>
      <c r="Y2728" t="s">
        <v>108</v>
      </c>
      <c r="Z2728" t="s">
        <v>108</v>
      </c>
      <c r="AA2728" t="s">
        <v>1652</v>
      </c>
      <c r="AB2728" t="s">
        <v>2595</v>
      </c>
    </row>
    <row r="2729" spans="1:28" x14ac:dyDescent="0.3">
      <c r="A2729" t="s">
        <v>1635</v>
      </c>
      <c r="B2729">
        <v>3</v>
      </c>
      <c r="C2729">
        <v>35</v>
      </c>
      <c r="D2729">
        <v>129</v>
      </c>
      <c r="E2729" t="s">
        <v>456</v>
      </c>
      <c r="F2729" s="12">
        <v>45741</v>
      </c>
      <c r="G2729" t="s">
        <v>512</v>
      </c>
      <c r="H2729" s="12">
        <v>45741</v>
      </c>
      <c r="I2729" t="s">
        <v>542</v>
      </c>
      <c r="J2729" t="s">
        <v>1363</v>
      </c>
      <c r="K2729">
        <v>2</v>
      </c>
      <c r="L2729">
        <v>38.5</v>
      </c>
      <c r="M2729">
        <v>38.6</v>
      </c>
      <c r="P2729" t="s">
        <v>106</v>
      </c>
      <c r="Q2729" t="s">
        <v>106</v>
      </c>
      <c r="R2729" t="s">
        <v>106</v>
      </c>
      <c r="S2729" t="s">
        <v>106</v>
      </c>
      <c r="T2729" t="s">
        <v>1101</v>
      </c>
      <c r="U2729" t="s">
        <v>1591</v>
      </c>
      <c r="V2729" t="s">
        <v>106</v>
      </c>
      <c r="W2729" t="s">
        <v>954</v>
      </c>
      <c r="X2729" t="s">
        <v>106</v>
      </c>
      <c r="Y2729" t="s">
        <v>108</v>
      </c>
      <c r="Z2729" t="s">
        <v>108</v>
      </c>
      <c r="AA2729" t="s">
        <v>1652</v>
      </c>
      <c r="AB2729" t="s">
        <v>106</v>
      </c>
    </row>
    <row r="2730" spans="1:28" x14ac:dyDescent="0.3">
      <c r="A2730" t="s">
        <v>1635</v>
      </c>
      <c r="B2730">
        <v>3</v>
      </c>
      <c r="C2730">
        <v>35</v>
      </c>
      <c r="D2730">
        <v>142</v>
      </c>
      <c r="E2730" t="s">
        <v>456</v>
      </c>
      <c r="F2730" s="12">
        <v>45741</v>
      </c>
      <c r="G2730" t="s">
        <v>1599</v>
      </c>
      <c r="H2730" s="12">
        <v>45741</v>
      </c>
      <c r="I2730" t="s">
        <v>1979</v>
      </c>
      <c r="J2730" t="s">
        <v>1363</v>
      </c>
      <c r="K2730">
        <v>2</v>
      </c>
      <c r="L2730">
        <v>38.5</v>
      </c>
      <c r="M2730">
        <v>38.6</v>
      </c>
      <c r="P2730" t="s">
        <v>106</v>
      </c>
      <c r="Q2730" t="s">
        <v>106</v>
      </c>
      <c r="R2730" t="s">
        <v>106</v>
      </c>
      <c r="S2730" t="s">
        <v>106</v>
      </c>
      <c r="T2730" t="s">
        <v>1523</v>
      </c>
      <c r="U2730" t="s">
        <v>905</v>
      </c>
      <c r="V2730" t="s">
        <v>106</v>
      </c>
      <c r="W2730" t="s">
        <v>954</v>
      </c>
      <c r="X2730" t="s">
        <v>106</v>
      </c>
      <c r="Y2730" t="s">
        <v>108</v>
      </c>
      <c r="Z2730" t="s">
        <v>108</v>
      </c>
      <c r="AA2730" t="s">
        <v>1652</v>
      </c>
      <c r="AB2730" t="s">
        <v>106</v>
      </c>
    </row>
    <row r="2731" spans="1:28" x14ac:dyDescent="0.3">
      <c r="A2731" t="s">
        <v>1635</v>
      </c>
      <c r="B2731">
        <v>3</v>
      </c>
      <c r="C2731">
        <v>35</v>
      </c>
      <c r="D2731">
        <v>150</v>
      </c>
      <c r="E2731" t="s">
        <v>456</v>
      </c>
      <c r="F2731" s="12">
        <v>45741</v>
      </c>
      <c r="G2731" t="s">
        <v>2172</v>
      </c>
      <c r="H2731" s="12">
        <v>45741</v>
      </c>
      <c r="I2731" t="s">
        <v>950</v>
      </c>
      <c r="J2731" t="s">
        <v>1363</v>
      </c>
      <c r="K2731">
        <v>2</v>
      </c>
      <c r="L2731">
        <v>39.799999999999997</v>
      </c>
      <c r="M2731">
        <v>39.799999999999997</v>
      </c>
      <c r="P2731" t="s">
        <v>106</v>
      </c>
      <c r="Q2731" t="s">
        <v>106</v>
      </c>
      <c r="R2731" t="s">
        <v>106</v>
      </c>
      <c r="S2731" t="s">
        <v>2596</v>
      </c>
      <c r="T2731" t="s">
        <v>882</v>
      </c>
      <c r="U2731" t="s">
        <v>141</v>
      </c>
      <c r="V2731" t="s">
        <v>106</v>
      </c>
      <c r="W2731" t="s">
        <v>954</v>
      </c>
      <c r="X2731" t="s">
        <v>106</v>
      </c>
      <c r="Y2731" t="s">
        <v>108</v>
      </c>
      <c r="Z2731" t="s">
        <v>108</v>
      </c>
      <c r="AA2731" t="s">
        <v>955</v>
      </c>
      <c r="AB2731" t="s">
        <v>2589</v>
      </c>
    </row>
    <row r="2732" spans="1:28" x14ac:dyDescent="0.3">
      <c r="A2732" t="s">
        <v>1635</v>
      </c>
      <c r="B2732">
        <v>3</v>
      </c>
      <c r="C2732">
        <v>35</v>
      </c>
      <c r="D2732">
        <v>159</v>
      </c>
      <c r="E2732" t="s">
        <v>2586</v>
      </c>
      <c r="F2732" s="12">
        <v>45741</v>
      </c>
      <c r="G2732" t="s">
        <v>2593</v>
      </c>
      <c r="H2732" s="12">
        <v>45741</v>
      </c>
      <c r="I2732" t="s">
        <v>950</v>
      </c>
      <c r="J2732" t="s">
        <v>1363</v>
      </c>
      <c r="K2732">
        <v>2</v>
      </c>
      <c r="L2732">
        <v>18.899999999999999</v>
      </c>
      <c r="M2732">
        <v>18.899999999999999</v>
      </c>
      <c r="P2732" t="s">
        <v>106</v>
      </c>
      <c r="Q2732" t="s">
        <v>106</v>
      </c>
      <c r="R2732" t="s">
        <v>106</v>
      </c>
      <c r="S2732" t="s">
        <v>106</v>
      </c>
      <c r="T2732" t="s">
        <v>940</v>
      </c>
      <c r="U2732" t="s">
        <v>825</v>
      </c>
      <c r="V2732" t="s">
        <v>106</v>
      </c>
      <c r="W2732" t="s">
        <v>954</v>
      </c>
      <c r="X2732" t="s">
        <v>106</v>
      </c>
      <c r="Y2732" t="s">
        <v>108</v>
      </c>
      <c r="Z2732" t="s">
        <v>108</v>
      </c>
      <c r="AA2732" t="s">
        <v>955</v>
      </c>
      <c r="AB2732" t="s">
        <v>2594</v>
      </c>
    </row>
    <row r="2733" spans="1:28" x14ac:dyDescent="0.3">
      <c r="A2733" t="s">
        <v>1635</v>
      </c>
      <c r="B2733">
        <v>3</v>
      </c>
      <c r="C2733">
        <v>35</v>
      </c>
      <c r="D2733">
        <v>145</v>
      </c>
      <c r="E2733" t="s">
        <v>308</v>
      </c>
      <c r="F2733" s="12">
        <v>45741</v>
      </c>
      <c r="G2733" t="s">
        <v>1829</v>
      </c>
      <c r="H2733" s="12">
        <v>45741</v>
      </c>
      <c r="I2733" t="s">
        <v>1979</v>
      </c>
      <c r="J2733" t="s">
        <v>1363</v>
      </c>
      <c r="K2733">
        <v>2</v>
      </c>
      <c r="L2733">
        <v>38.1</v>
      </c>
      <c r="M2733">
        <v>38.5</v>
      </c>
      <c r="P2733" t="s">
        <v>106</v>
      </c>
      <c r="Q2733" t="s">
        <v>106</v>
      </c>
      <c r="R2733" t="s">
        <v>106</v>
      </c>
      <c r="S2733" t="s">
        <v>2561</v>
      </c>
      <c r="T2733" t="s">
        <v>1606</v>
      </c>
      <c r="U2733" t="s">
        <v>708</v>
      </c>
      <c r="V2733" t="s">
        <v>106</v>
      </c>
      <c r="W2733" t="s">
        <v>954</v>
      </c>
      <c r="X2733" t="s">
        <v>106</v>
      </c>
      <c r="Y2733" t="s">
        <v>108</v>
      </c>
      <c r="Z2733" t="s">
        <v>108</v>
      </c>
      <c r="AA2733" t="s">
        <v>955</v>
      </c>
      <c r="AB2733" t="s">
        <v>106</v>
      </c>
    </row>
    <row r="2734" spans="1:28" x14ac:dyDescent="0.3">
      <c r="A2734" t="s">
        <v>1635</v>
      </c>
      <c r="B2734">
        <v>3</v>
      </c>
      <c r="C2734">
        <v>35</v>
      </c>
      <c r="D2734">
        <v>130</v>
      </c>
      <c r="E2734" t="s">
        <v>456</v>
      </c>
      <c r="F2734" s="12">
        <v>45741</v>
      </c>
      <c r="G2734" t="s">
        <v>460</v>
      </c>
      <c r="H2734" s="12">
        <v>45741</v>
      </c>
      <c r="I2734" t="s">
        <v>1434</v>
      </c>
      <c r="J2734" t="s">
        <v>1363</v>
      </c>
      <c r="K2734">
        <v>2</v>
      </c>
      <c r="L2734">
        <v>38.1</v>
      </c>
      <c r="M2734">
        <v>38.1</v>
      </c>
      <c r="P2734" t="s">
        <v>106</v>
      </c>
      <c r="Q2734" t="s">
        <v>106</v>
      </c>
      <c r="R2734" t="s">
        <v>106</v>
      </c>
      <c r="S2734" t="s">
        <v>1595</v>
      </c>
      <c r="T2734" t="s">
        <v>882</v>
      </c>
      <c r="U2734" t="s">
        <v>905</v>
      </c>
      <c r="V2734" t="s">
        <v>106</v>
      </c>
      <c r="W2734" t="s">
        <v>557</v>
      </c>
      <c r="X2734" t="s">
        <v>106</v>
      </c>
      <c r="Y2734" t="s">
        <v>108</v>
      </c>
      <c r="Z2734" t="s">
        <v>108</v>
      </c>
      <c r="AA2734" t="s">
        <v>1652</v>
      </c>
      <c r="AB2734" t="s">
        <v>106</v>
      </c>
    </row>
    <row r="2735" spans="1:28" x14ac:dyDescent="0.3">
      <c r="A2735" t="s">
        <v>1635</v>
      </c>
      <c r="B2735">
        <v>3</v>
      </c>
      <c r="C2735">
        <v>35</v>
      </c>
      <c r="D2735">
        <v>102</v>
      </c>
      <c r="E2735" t="s">
        <v>456</v>
      </c>
      <c r="F2735" s="12">
        <v>45741</v>
      </c>
      <c r="G2735" t="s">
        <v>2161</v>
      </c>
      <c r="H2735" s="12">
        <v>45741</v>
      </c>
      <c r="I2735" t="s">
        <v>863</v>
      </c>
      <c r="J2735" t="s">
        <v>458</v>
      </c>
      <c r="K2735">
        <v>2</v>
      </c>
      <c r="L2735">
        <v>37.1</v>
      </c>
      <c r="M2735">
        <v>37.200000000000003</v>
      </c>
      <c r="P2735" t="s">
        <v>106</v>
      </c>
      <c r="Q2735" t="s">
        <v>106</v>
      </c>
      <c r="R2735" t="s">
        <v>106</v>
      </c>
      <c r="S2735" t="s">
        <v>1383</v>
      </c>
      <c r="T2735" t="s">
        <v>1155</v>
      </c>
      <c r="U2735" t="s">
        <v>841</v>
      </c>
      <c r="V2735" t="s">
        <v>106</v>
      </c>
      <c r="W2735" t="s">
        <v>557</v>
      </c>
      <c r="X2735" t="s">
        <v>106</v>
      </c>
      <c r="Y2735" t="s">
        <v>108</v>
      </c>
      <c r="Z2735" t="s">
        <v>108</v>
      </c>
      <c r="AA2735" t="s">
        <v>1652</v>
      </c>
      <c r="AB2735" t="s">
        <v>106</v>
      </c>
    </row>
    <row r="2736" spans="1:28" x14ac:dyDescent="0.3">
      <c r="A2736" t="s">
        <v>1635</v>
      </c>
      <c r="B2736">
        <v>3</v>
      </c>
      <c r="C2736">
        <v>35</v>
      </c>
      <c r="D2736">
        <v>88</v>
      </c>
      <c r="E2736" t="s">
        <v>456</v>
      </c>
      <c r="F2736" s="12">
        <v>45741</v>
      </c>
      <c r="G2736" t="s">
        <v>2597</v>
      </c>
      <c r="H2736" s="12">
        <v>45741</v>
      </c>
      <c r="I2736" t="s">
        <v>539</v>
      </c>
      <c r="J2736" t="s">
        <v>458</v>
      </c>
      <c r="K2736">
        <v>2</v>
      </c>
      <c r="L2736">
        <v>38.6</v>
      </c>
      <c r="M2736">
        <v>38.700000000000003</v>
      </c>
      <c r="P2736" t="s">
        <v>106</v>
      </c>
      <c r="Q2736" t="s">
        <v>106</v>
      </c>
      <c r="R2736" t="s">
        <v>106</v>
      </c>
      <c r="S2736" t="s">
        <v>106</v>
      </c>
      <c r="T2736" t="s">
        <v>1022</v>
      </c>
      <c r="U2736" t="s">
        <v>841</v>
      </c>
      <c r="V2736" t="s">
        <v>106</v>
      </c>
      <c r="W2736" t="s">
        <v>443</v>
      </c>
      <c r="X2736" t="s">
        <v>106</v>
      </c>
      <c r="Y2736" t="s">
        <v>108</v>
      </c>
      <c r="Z2736" t="s">
        <v>108</v>
      </c>
      <c r="AA2736" t="s">
        <v>2258</v>
      </c>
      <c r="AB2736" t="s">
        <v>106</v>
      </c>
    </row>
    <row r="2737" spans="1:28" x14ac:dyDescent="0.3">
      <c r="A2737" t="s">
        <v>1635</v>
      </c>
      <c r="B2737">
        <v>3</v>
      </c>
      <c r="C2737">
        <v>35</v>
      </c>
      <c r="D2737">
        <v>131</v>
      </c>
      <c r="E2737" t="s">
        <v>456</v>
      </c>
      <c r="F2737" s="12">
        <v>45741</v>
      </c>
      <c r="G2737" t="s">
        <v>460</v>
      </c>
      <c r="H2737" s="12">
        <v>45741</v>
      </c>
      <c r="I2737" t="s">
        <v>1434</v>
      </c>
      <c r="J2737" t="s">
        <v>1363</v>
      </c>
      <c r="K2737">
        <v>2</v>
      </c>
      <c r="L2737">
        <v>38.299999999999997</v>
      </c>
      <c r="M2737">
        <v>38.299999999999997</v>
      </c>
      <c r="P2737" t="s">
        <v>106</v>
      </c>
      <c r="Q2737" t="s">
        <v>106</v>
      </c>
      <c r="R2737" t="s">
        <v>106</v>
      </c>
      <c r="S2737" t="s">
        <v>2208</v>
      </c>
      <c r="T2737" t="s">
        <v>1659</v>
      </c>
      <c r="U2737" t="s">
        <v>427</v>
      </c>
      <c r="V2737" t="s">
        <v>106</v>
      </c>
      <c r="W2737" t="s">
        <v>557</v>
      </c>
      <c r="X2737" t="s">
        <v>106</v>
      </c>
      <c r="Y2737" t="s">
        <v>108</v>
      </c>
      <c r="Z2737" t="s">
        <v>108</v>
      </c>
      <c r="AA2737" t="s">
        <v>1652</v>
      </c>
      <c r="AB2737" t="s">
        <v>106</v>
      </c>
    </row>
    <row r="2738" spans="1:28" x14ac:dyDescent="0.3">
      <c r="A2738" t="s">
        <v>1635</v>
      </c>
      <c r="B2738">
        <v>3</v>
      </c>
      <c r="C2738">
        <v>35</v>
      </c>
      <c r="D2738">
        <v>89</v>
      </c>
      <c r="E2738" t="s">
        <v>456</v>
      </c>
      <c r="F2738" s="12">
        <v>45741</v>
      </c>
      <c r="G2738" t="s">
        <v>2597</v>
      </c>
      <c r="H2738" s="12">
        <v>45741</v>
      </c>
      <c r="I2738" t="s">
        <v>539</v>
      </c>
      <c r="J2738" t="s">
        <v>458</v>
      </c>
      <c r="K2738">
        <v>2</v>
      </c>
      <c r="L2738">
        <v>36.700000000000003</v>
      </c>
      <c r="M2738">
        <v>36.700000000000003</v>
      </c>
      <c r="P2738" t="s">
        <v>106</v>
      </c>
      <c r="Q2738" t="s">
        <v>106</v>
      </c>
      <c r="R2738" t="s">
        <v>106</v>
      </c>
      <c r="S2738" t="s">
        <v>1794</v>
      </c>
      <c r="T2738" t="s">
        <v>993</v>
      </c>
      <c r="U2738" t="s">
        <v>427</v>
      </c>
      <c r="V2738" t="s">
        <v>106</v>
      </c>
      <c r="W2738" t="s">
        <v>443</v>
      </c>
      <c r="X2738" t="s">
        <v>106</v>
      </c>
      <c r="Y2738" t="s">
        <v>108</v>
      </c>
      <c r="Z2738" t="s">
        <v>108</v>
      </c>
      <c r="AA2738" t="s">
        <v>2258</v>
      </c>
      <c r="AB2738" t="s">
        <v>106</v>
      </c>
    </row>
    <row r="2739" spans="1:28" x14ac:dyDescent="0.3">
      <c r="A2739" t="s">
        <v>1635</v>
      </c>
      <c r="B2739">
        <v>3</v>
      </c>
      <c r="C2739">
        <v>35</v>
      </c>
      <c r="D2739">
        <v>94</v>
      </c>
      <c r="E2739" t="s">
        <v>456</v>
      </c>
      <c r="F2739" s="12">
        <v>45741</v>
      </c>
      <c r="G2739" t="s">
        <v>1043</v>
      </c>
      <c r="H2739" s="12">
        <v>45741</v>
      </c>
      <c r="I2739" t="s">
        <v>1029</v>
      </c>
      <c r="J2739" t="s">
        <v>458</v>
      </c>
      <c r="K2739">
        <v>2</v>
      </c>
      <c r="L2739">
        <v>37.1</v>
      </c>
      <c r="M2739">
        <v>36.9</v>
      </c>
      <c r="P2739" t="s">
        <v>106</v>
      </c>
      <c r="Q2739" t="s">
        <v>106</v>
      </c>
      <c r="R2739" t="s">
        <v>106</v>
      </c>
      <c r="S2739" t="s">
        <v>106</v>
      </c>
      <c r="T2739" t="s">
        <v>1547</v>
      </c>
      <c r="U2739" t="s">
        <v>1651</v>
      </c>
      <c r="V2739" t="s">
        <v>106</v>
      </c>
      <c r="W2739" t="s">
        <v>443</v>
      </c>
      <c r="X2739" t="s">
        <v>106</v>
      </c>
      <c r="Y2739" t="s">
        <v>108</v>
      </c>
      <c r="Z2739" t="s">
        <v>108</v>
      </c>
      <c r="AA2739" t="s">
        <v>1652</v>
      </c>
      <c r="AB2739" t="s">
        <v>106</v>
      </c>
    </row>
    <row r="2740" spans="1:28" x14ac:dyDescent="0.3">
      <c r="A2740" t="s">
        <v>1635</v>
      </c>
      <c r="B2740">
        <v>3</v>
      </c>
      <c r="C2740">
        <v>35</v>
      </c>
      <c r="D2740">
        <v>101</v>
      </c>
      <c r="E2740" t="s">
        <v>456</v>
      </c>
      <c r="F2740" s="12">
        <v>45741</v>
      </c>
      <c r="G2740" t="s">
        <v>2170</v>
      </c>
      <c r="H2740" s="12">
        <v>45741</v>
      </c>
      <c r="I2740" t="s">
        <v>863</v>
      </c>
      <c r="J2740" t="s">
        <v>458</v>
      </c>
      <c r="K2740">
        <v>2</v>
      </c>
      <c r="L2740">
        <v>38</v>
      </c>
      <c r="M2740">
        <v>37.9</v>
      </c>
      <c r="P2740" t="s">
        <v>106</v>
      </c>
      <c r="Q2740" t="s">
        <v>106</v>
      </c>
      <c r="R2740" t="s">
        <v>106</v>
      </c>
      <c r="S2740" t="s">
        <v>1658</v>
      </c>
      <c r="T2740" t="s">
        <v>1097</v>
      </c>
      <c r="U2740" t="s">
        <v>1415</v>
      </c>
      <c r="V2740" t="s">
        <v>106</v>
      </c>
      <c r="W2740" t="s">
        <v>557</v>
      </c>
      <c r="X2740" t="s">
        <v>106</v>
      </c>
      <c r="Y2740" t="s">
        <v>108</v>
      </c>
      <c r="Z2740" t="s">
        <v>108</v>
      </c>
      <c r="AA2740" t="s">
        <v>1652</v>
      </c>
      <c r="AB2740" t="s">
        <v>106</v>
      </c>
    </row>
    <row r="2741" spans="1:28" x14ac:dyDescent="0.3">
      <c r="A2741" t="s">
        <v>1635</v>
      </c>
      <c r="B2741">
        <v>3</v>
      </c>
      <c r="C2741">
        <v>35</v>
      </c>
      <c r="D2741">
        <v>95</v>
      </c>
      <c r="E2741" t="s">
        <v>456</v>
      </c>
      <c r="F2741" s="12">
        <v>45741</v>
      </c>
      <c r="G2741" t="s">
        <v>1043</v>
      </c>
      <c r="H2741" s="12">
        <v>45741</v>
      </c>
      <c r="I2741" t="s">
        <v>1029</v>
      </c>
      <c r="J2741" t="s">
        <v>458</v>
      </c>
      <c r="K2741">
        <v>2</v>
      </c>
      <c r="L2741">
        <v>38.700000000000003</v>
      </c>
      <c r="M2741">
        <v>38.9</v>
      </c>
      <c r="P2741" t="s">
        <v>106</v>
      </c>
      <c r="Q2741" t="s">
        <v>106</v>
      </c>
      <c r="R2741" t="s">
        <v>106</v>
      </c>
      <c r="S2741" t="s">
        <v>1658</v>
      </c>
      <c r="T2741" t="s">
        <v>1555</v>
      </c>
      <c r="U2741" t="s">
        <v>1410</v>
      </c>
      <c r="V2741" t="s">
        <v>106</v>
      </c>
      <c r="W2741" t="s">
        <v>443</v>
      </c>
      <c r="X2741" t="s">
        <v>106</v>
      </c>
      <c r="Y2741" t="s">
        <v>108</v>
      </c>
      <c r="Z2741" t="s">
        <v>108</v>
      </c>
      <c r="AA2741" t="s">
        <v>1652</v>
      </c>
      <c r="AB2741" t="s">
        <v>106</v>
      </c>
    </row>
    <row r="2742" spans="1:28" x14ac:dyDescent="0.3">
      <c r="A2742" t="s">
        <v>1635</v>
      </c>
      <c r="B2742">
        <v>4</v>
      </c>
      <c r="C2742">
        <v>60</v>
      </c>
      <c r="D2742">
        <v>110</v>
      </c>
      <c r="E2742" t="s">
        <v>456</v>
      </c>
      <c r="F2742" s="12">
        <v>45741</v>
      </c>
      <c r="G2742" t="s">
        <v>388</v>
      </c>
      <c r="H2742" s="12">
        <v>45741</v>
      </c>
      <c r="I2742" t="s">
        <v>1655</v>
      </c>
      <c r="J2742" t="s">
        <v>458</v>
      </c>
      <c r="K2742">
        <v>2</v>
      </c>
      <c r="L2742">
        <v>61.2</v>
      </c>
      <c r="M2742">
        <v>61.3</v>
      </c>
      <c r="P2742" t="s">
        <v>106</v>
      </c>
      <c r="Q2742" t="s">
        <v>106</v>
      </c>
      <c r="R2742" t="s">
        <v>106</v>
      </c>
      <c r="S2742" t="s">
        <v>1427</v>
      </c>
      <c r="T2742" t="s">
        <v>961</v>
      </c>
      <c r="U2742" t="s">
        <v>1411</v>
      </c>
      <c r="V2742" t="s">
        <v>106</v>
      </c>
      <c r="W2742" t="s">
        <v>557</v>
      </c>
      <c r="X2742" t="s">
        <v>106</v>
      </c>
      <c r="Y2742" t="s">
        <v>108</v>
      </c>
      <c r="Z2742" t="s">
        <v>104</v>
      </c>
      <c r="AA2742" t="s">
        <v>1652</v>
      </c>
      <c r="AB2742" t="s">
        <v>106</v>
      </c>
    </row>
    <row r="2743" spans="1:28" x14ac:dyDescent="0.3">
      <c r="A2743" t="s">
        <v>1635</v>
      </c>
      <c r="B2743">
        <v>4</v>
      </c>
      <c r="C2743">
        <v>60</v>
      </c>
      <c r="D2743">
        <v>90</v>
      </c>
      <c r="E2743" t="s">
        <v>456</v>
      </c>
      <c r="F2743" s="12">
        <v>45741</v>
      </c>
      <c r="G2743" t="s">
        <v>2128</v>
      </c>
      <c r="H2743" s="12">
        <v>45741</v>
      </c>
      <c r="I2743" t="s">
        <v>539</v>
      </c>
      <c r="J2743" t="s">
        <v>458</v>
      </c>
      <c r="K2743">
        <v>2</v>
      </c>
      <c r="L2743">
        <v>64</v>
      </c>
      <c r="M2743">
        <v>64</v>
      </c>
      <c r="P2743" t="s">
        <v>106</v>
      </c>
      <c r="Q2743" t="s">
        <v>106</v>
      </c>
      <c r="R2743" t="s">
        <v>106</v>
      </c>
      <c r="S2743" t="s">
        <v>106</v>
      </c>
      <c r="T2743" t="s">
        <v>1589</v>
      </c>
      <c r="U2743" t="s">
        <v>429</v>
      </c>
      <c r="V2743" t="s">
        <v>106</v>
      </c>
      <c r="W2743" t="s">
        <v>443</v>
      </c>
      <c r="X2743" t="s">
        <v>106</v>
      </c>
      <c r="Y2743" t="s">
        <v>108</v>
      </c>
      <c r="Z2743" t="s">
        <v>104</v>
      </c>
      <c r="AA2743" t="s">
        <v>2258</v>
      </c>
      <c r="AB2743" t="s">
        <v>106</v>
      </c>
    </row>
    <row r="2744" spans="1:28" x14ac:dyDescent="0.3">
      <c r="A2744" t="s">
        <v>1635</v>
      </c>
      <c r="B2744">
        <v>4</v>
      </c>
      <c r="C2744">
        <v>60</v>
      </c>
      <c r="D2744">
        <v>91</v>
      </c>
      <c r="E2744" t="s">
        <v>456</v>
      </c>
      <c r="F2744" s="12">
        <v>45741</v>
      </c>
      <c r="G2744" t="s">
        <v>2128</v>
      </c>
      <c r="H2744" s="12">
        <v>45741</v>
      </c>
      <c r="I2744" t="s">
        <v>539</v>
      </c>
      <c r="J2744" t="s">
        <v>458</v>
      </c>
      <c r="K2744">
        <v>2</v>
      </c>
      <c r="L2744">
        <v>55.3</v>
      </c>
      <c r="M2744">
        <v>55.6</v>
      </c>
      <c r="P2744" t="s">
        <v>106</v>
      </c>
      <c r="Q2744" t="s">
        <v>106</v>
      </c>
      <c r="R2744" t="s">
        <v>106</v>
      </c>
      <c r="S2744" t="s">
        <v>1762</v>
      </c>
      <c r="T2744" t="s">
        <v>1235</v>
      </c>
      <c r="U2744" t="s">
        <v>1382</v>
      </c>
      <c r="V2744" t="s">
        <v>106</v>
      </c>
      <c r="W2744" t="s">
        <v>443</v>
      </c>
      <c r="X2744" t="s">
        <v>106</v>
      </c>
      <c r="Y2744" t="s">
        <v>108</v>
      </c>
      <c r="Z2744" t="s">
        <v>104</v>
      </c>
      <c r="AA2744" t="s">
        <v>2258</v>
      </c>
      <c r="AB2744" t="s">
        <v>106</v>
      </c>
    </row>
    <row r="2745" spans="1:28" x14ac:dyDescent="0.3">
      <c r="A2745" t="s">
        <v>1635</v>
      </c>
      <c r="B2745">
        <v>4</v>
      </c>
      <c r="C2745">
        <v>60</v>
      </c>
      <c r="D2745">
        <v>96</v>
      </c>
      <c r="E2745" t="s">
        <v>456</v>
      </c>
      <c r="F2745" s="12">
        <v>45741</v>
      </c>
      <c r="G2745" t="s">
        <v>1966</v>
      </c>
      <c r="H2745" s="12">
        <v>45741</v>
      </c>
      <c r="I2745" t="s">
        <v>1029</v>
      </c>
      <c r="J2745" t="s">
        <v>458</v>
      </c>
      <c r="K2745">
        <v>2</v>
      </c>
      <c r="L2745">
        <v>60.3</v>
      </c>
      <c r="M2745">
        <v>60.1</v>
      </c>
      <c r="P2745" t="s">
        <v>106</v>
      </c>
      <c r="Q2745" t="s">
        <v>106</v>
      </c>
      <c r="R2745" t="s">
        <v>106</v>
      </c>
      <c r="S2745" t="s">
        <v>106</v>
      </c>
      <c r="T2745" t="s">
        <v>1634</v>
      </c>
      <c r="U2745" t="s">
        <v>427</v>
      </c>
      <c r="V2745" t="s">
        <v>106</v>
      </c>
      <c r="W2745" t="s">
        <v>443</v>
      </c>
      <c r="X2745" t="s">
        <v>106</v>
      </c>
      <c r="Y2745" t="s">
        <v>108</v>
      </c>
      <c r="Z2745" t="s">
        <v>104</v>
      </c>
      <c r="AA2745" t="s">
        <v>1652</v>
      </c>
      <c r="AB2745" t="s">
        <v>106</v>
      </c>
    </row>
    <row r="2746" spans="1:28" x14ac:dyDescent="0.3">
      <c r="A2746" t="s">
        <v>1635</v>
      </c>
      <c r="B2746">
        <v>4</v>
      </c>
      <c r="C2746">
        <v>60</v>
      </c>
      <c r="D2746">
        <v>97</v>
      </c>
      <c r="E2746" t="s">
        <v>456</v>
      </c>
      <c r="F2746" s="12">
        <v>45741</v>
      </c>
      <c r="G2746" t="s">
        <v>1966</v>
      </c>
      <c r="H2746" s="12">
        <v>45741</v>
      </c>
      <c r="I2746" t="s">
        <v>1029</v>
      </c>
      <c r="J2746" t="s">
        <v>458</v>
      </c>
      <c r="K2746">
        <v>2</v>
      </c>
      <c r="L2746">
        <v>60.8</v>
      </c>
      <c r="M2746">
        <v>60.4</v>
      </c>
      <c r="P2746" t="s">
        <v>106</v>
      </c>
      <c r="Q2746" t="s">
        <v>106</v>
      </c>
      <c r="R2746" t="s">
        <v>106</v>
      </c>
      <c r="S2746" t="s">
        <v>1794</v>
      </c>
      <c r="T2746" t="s">
        <v>2059</v>
      </c>
      <c r="U2746" t="s">
        <v>708</v>
      </c>
      <c r="V2746" t="s">
        <v>106</v>
      </c>
      <c r="W2746" t="s">
        <v>443</v>
      </c>
      <c r="X2746" t="s">
        <v>106</v>
      </c>
      <c r="Y2746" t="s">
        <v>108</v>
      </c>
      <c r="Z2746" t="s">
        <v>104</v>
      </c>
      <c r="AA2746" t="s">
        <v>1652</v>
      </c>
      <c r="AB2746" t="s">
        <v>106</v>
      </c>
    </row>
    <row r="2747" spans="1:28" x14ac:dyDescent="0.3">
      <c r="A2747" t="s">
        <v>1635</v>
      </c>
      <c r="B2747">
        <v>4</v>
      </c>
      <c r="C2747">
        <v>60</v>
      </c>
      <c r="D2747">
        <v>103</v>
      </c>
      <c r="E2747" t="s">
        <v>456</v>
      </c>
      <c r="F2747" s="12">
        <v>45741</v>
      </c>
      <c r="G2747" t="s">
        <v>2720</v>
      </c>
      <c r="H2747" s="12">
        <v>45741</v>
      </c>
      <c r="I2747" t="s">
        <v>863</v>
      </c>
      <c r="J2747" t="s">
        <v>458</v>
      </c>
      <c r="K2747">
        <v>2</v>
      </c>
      <c r="L2747">
        <v>60.4</v>
      </c>
      <c r="M2747">
        <v>60.1</v>
      </c>
      <c r="P2747" t="s">
        <v>106</v>
      </c>
      <c r="Q2747" t="s">
        <v>106</v>
      </c>
      <c r="R2747" t="s">
        <v>106</v>
      </c>
      <c r="S2747" t="s">
        <v>1628</v>
      </c>
      <c r="T2747" t="s">
        <v>1523</v>
      </c>
      <c r="U2747" t="s">
        <v>430</v>
      </c>
      <c r="V2747" t="s">
        <v>106</v>
      </c>
      <c r="W2747" t="s">
        <v>557</v>
      </c>
      <c r="X2747" t="s">
        <v>106</v>
      </c>
      <c r="Y2747" t="s">
        <v>108</v>
      </c>
      <c r="Z2747" t="s">
        <v>104</v>
      </c>
      <c r="AA2747" t="s">
        <v>1652</v>
      </c>
      <c r="AB2747" t="s">
        <v>106</v>
      </c>
    </row>
    <row r="2748" spans="1:28" x14ac:dyDescent="0.3">
      <c r="A2748" t="s">
        <v>1635</v>
      </c>
      <c r="B2748">
        <v>4</v>
      </c>
      <c r="C2748">
        <v>60</v>
      </c>
      <c r="D2748">
        <v>104</v>
      </c>
      <c r="E2748" t="s">
        <v>456</v>
      </c>
      <c r="F2748" s="12">
        <v>45741</v>
      </c>
      <c r="G2748" t="s">
        <v>745</v>
      </c>
      <c r="H2748" s="12">
        <v>45741</v>
      </c>
      <c r="I2748" t="s">
        <v>863</v>
      </c>
      <c r="J2748" t="s">
        <v>458</v>
      </c>
      <c r="K2748">
        <v>2</v>
      </c>
      <c r="L2748">
        <v>62.4</v>
      </c>
      <c r="M2748">
        <v>62.3</v>
      </c>
      <c r="P2748" t="s">
        <v>106</v>
      </c>
      <c r="Q2748" t="s">
        <v>106</v>
      </c>
      <c r="R2748" t="s">
        <v>106</v>
      </c>
      <c r="S2748" t="s">
        <v>2239</v>
      </c>
      <c r="T2748" t="s">
        <v>1712</v>
      </c>
      <c r="U2748" t="s">
        <v>141</v>
      </c>
      <c r="V2748" t="s">
        <v>106</v>
      </c>
      <c r="W2748" t="s">
        <v>557</v>
      </c>
      <c r="X2748" t="s">
        <v>106</v>
      </c>
      <c r="Y2748" t="s">
        <v>108</v>
      </c>
      <c r="Z2748" t="s">
        <v>104</v>
      </c>
      <c r="AA2748" t="s">
        <v>1652</v>
      </c>
      <c r="AB2748" t="s">
        <v>106</v>
      </c>
    </row>
    <row r="2749" spans="1:28" x14ac:dyDescent="0.3">
      <c r="A2749" t="s">
        <v>1635</v>
      </c>
      <c r="B2749">
        <v>4</v>
      </c>
      <c r="C2749">
        <v>60</v>
      </c>
      <c r="D2749">
        <v>109</v>
      </c>
      <c r="E2749" t="s">
        <v>456</v>
      </c>
      <c r="F2749" s="12">
        <v>45741</v>
      </c>
      <c r="G2749" t="s">
        <v>388</v>
      </c>
      <c r="H2749" s="12">
        <v>45741</v>
      </c>
      <c r="I2749" t="s">
        <v>1655</v>
      </c>
      <c r="J2749" t="s">
        <v>458</v>
      </c>
      <c r="K2749">
        <v>2</v>
      </c>
      <c r="L2749">
        <v>56.9</v>
      </c>
      <c r="M2749">
        <v>56.8</v>
      </c>
      <c r="P2749" t="s">
        <v>106</v>
      </c>
      <c r="Q2749" t="s">
        <v>106</v>
      </c>
      <c r="R2749" t="s">
        <v>106</v>
      </c>
      <c r="S2749" t="s">
        <v>2164</v>
      </c>
      <c r="T2749" t="s">
        <v>1558</v>
      </c>
      <c r="U2749" t="s">
        <v>1477</v>
      </c>
      <c r="V2749" t="s">
        <v>106</v>
      </c>
      <c r="W2749" t="s">
        <v>557</v>
      </c>
      <c r="X2749" t="s">
        <v>106</v>
      </c>
      <c r="Y2749" t="s">
        <v>108</v>
      </c>
      <c r="Z2749" t="s">
        <v>104</v>
      </c>
      <c r="AA2749" t="s">
        <v>1652</v>
      </c>
      <c r="AB2749" t="s">
        <v>106</v>
      </c>
    </row>
    <row r="2750" spans="1:28" x14ac:dyDescent="0.3">
      <c r="A2750" t="s">
        <v>1635</v>
      </c>
      <c r="B2750">
        <v>4</v>
      </c>
      <c r="C2750">
        <v>60</v>
      </c>
      <c r="D2750">
        <v>117</v>
      </c>
      <c r="E2750" t="s">
        <v>456</v>
      </c>
      <c r="F2750" s="12">
        <v>45741</v>
      </c>
      <c r="G2750" t="s">
        <v>463</v>
      </c>
      <c r="H2750" s="12">
        <v>45741</v>
      </c>
      <c r="I2750" t="s">
        <v>1518</v>
      </c>
      <c r="J2750" t="s">
        <v>458</v>
      </c>
      <c r="K2750">
        <v>2</v>
      </c>
      <c r="L2750">
        <v>56.3</v>
      </c>
      <c r="M2750">
        <v>56.5</v>
      </c>
      <c r="P2750" t="s">
        <v>106</v>
      </c>
      <c r="Q2750" t="s">
        <v>106</v>
      </c>
      <c r="R2750" t="s">
        <v>106</v>
      </c>
      <c r="S2750" t="s">
        <v>106</v>
      </c>
      <c r="T2750" t="s">
        <v>1235</v>
      </c>
      <c r="U2750" t="s">
        <v>841</v>
      </c>
      <c r="V2750" t="s">
        <v>106</v>
      </c>
      <c r="W2750" t="s">
        <v>557</v>
      </c>
      <c r="X2750" t="s">
        <v>106</v>
      </c>
      <c r="Y2750" t="s">
        <v>108</v>
      </c>
      <c r="Z2750" t="s">
        <v>104</v>
      </c>
      <c r="AA2750" t="s">
        <v>1652</v>
      </c>
      <c r="AB2750" t="s">
        <v>106</v>
      </c>
    </row>
    <row r="2751" spans="1:28" x14ac:dyDescent="0.3">
      <c r="A2751" t="s">
        <v>1635</v>
      </c>
      <c r="B2751">
        <v>4</v>
      </c>
      <c r="C2751">
        <v>60</v>
      </c>
      <c r="D2751">
        <v>123</v>
      </c>
      <c r="E2751" t="s">
        <v>456</v>
      </c>
      <c r="F2751" s="12">
        <v>45741</v>
      </c>
      <c r="G2751" t="s">
        <v>2576</v>
      </c>
      <c r="H2751" s="12">
        <v>45741</v>
      </c>
      <c r="I2751" t="s">
        <v>542</v>
      </c>
      <c r="J2751" t="s">
        <v>1363</v>
      </c>
      <c r="K2751">
        <v>2</v>
      </c>
      <c r="L2751">
        <v>59.1</v>
      </c>
      <c r="M2751">
        <v>60.3</v>
      </c>
      <c r="P2751" t="s">
        <v>106</v>
      </c>
      <c r="Q2751" t="s">
        <v>106</v>
      </c>
      <c r="R2751" t="s">
        <v>106</v>
      </c>
      <c r="S2751" t="s">
        <v>2559</v>
      </c>
      <c r="T2751" t="s">
        <v>1141</v>
      </c>
      <c r="U2751" t="s">
        <v>1591</v>
      </c>
      <c r="V2751" t="s">
        <v>106</v>
      </c>
      <c r="W2751" t="s">
        <v>954</v>
      </c>
      <c r="X2751" t="s">
        <v>106</v>
      </c>
      <c r="Y2751" t="s">
        <v>108</v>
      </c>
      <c r="Z2751" t="s">
        <v>104</v>
      </c>
      <c r="AA2751" t="s">
        <v>1652</v>
      </c>
      <c r="AB2751" t="s">
        <v>106</v>
      </c>
    </row>
    <row r="2752" spans="1:28" x14ac:dyDescent="0.3">
      <c r="A2752" t="s">
        <v>1635</v>
      </c>
      <c r="B2752">
        <v>4</v>
      </c>
      <c r="C2752">
        <v>60</v>
      </c>
      <c r="D2752">
        <v>118</v>
      </c>
      <c r="E2752" t="s">
        <v>456</v>
      </c>
      <c r="F2752" s="12">
        <v>45741</v>
      </c>
      <c r="G2752" t="s">
        <v>463</v>
      </c>
      <c r="H2752" s="12">
        <v>45741</v>
      </c>
      <c r="I2752" t="s">
        <v>1518</v>
      </c>
      <c r="J2752" t="s">
        <v>458</v>
      </c>
      <c r="K2752">
        <v>2</v>
      </c>
      <c r="L2752">
        <v>58.5</v>
      </c>
      <c r="M2752">
        <v>58.6</v>
      </c>
      <c r="P2752" t="s">
        <v>106</v>
      </c>
      <c r="Q2752" t="s">
        <v>106</v>
      </c>
      <c r="R2752" t="s">
        <v>106</v>
      </c>
      <c r="S2752" t="s">
        <v>2162</v>
      </c>
      <c r="T2752" t="s">
        <v>996</v>
      </c>
      <c r="U2752" t="s">
        <v>1410</v>
      </c>
      <c r="V2752" t="s">
        <v>106</v>
      </c>
      <c r="W2752" t="s">
        <v>557</v>
      </c>
      <c r="X2752" t="s">
        <v>106</v>
      </c>
      <c r="Y2752" t="s">
        <v>108</v>
      </c>
      <c r="Z2752" t="s">
        <v>104</v>
      </c>
      <c r="AA2752" t="s">
        <v>1652</v>
      </c>
      <c r="AB2752" t="s">
        <v>106</v>
      </c>
    </row>
    <row r="2753" spans="1:28" x14ac:dyDescent="0.3">
      <c r="A2753" t="s">
        <v>1635</v>
      </c>
      <c r="B2753">
        <v>4</v>
      </c>
      <c r="C2753">
        <v>60</v>
      </c>
      <c r="D2753">
        <v>156</v>
      </c>
      <c r="E2753" t="s">
        <v>2757</v>
      </c>
      <c r="F2753" s="12">
        <v>45741</v>
      </c>
      <c r="G2753" t="s">
        <v>2497</v>
      </c>
      <c r="H2753" s="12">
        <v>45741</v>
      </c>
      <c r="I2753" t="s">
        <v>950</v>
      </c>
      <c r="J2753" t="s">
        <v>1363</v>
      </c>
      <c r="K2753">
        <v>2</v>
      </c>
      <c r="L2753">
        <v>57.9</v>
      </c>
      <c r="M2753">
        <v>58.1</v>
      </c>
      <c r="P2753" t="s">
        <v>106</v>
      </c>
      <c r="Q2753" t="s">
        <v>106</v>
      </c>
      <c r="R2753" t="s">
        <v>106</v>
      </c>
      <c r="S2753" t="s">
        <v>2205</v>
      </c>
      <c r="T2753" t="s">
        <v>1131</v>
      </c>
      <c r="U2753" t="s">
        <v>369</v>
      </c>
      <c r="V2753" t="s">
        <v>106</v>
      </c>
      <c r="W2753" t="s">
        <v>954</v>
      </c>
      <c r="X2753" t="s">
        <v>106</v>
      </c>
      <c r="Y2753" t="s">
        <v>108</v>
      </c>
      <c r="Z2753" t="s">
        <v>104</v>
      </c>
      <c r="AA2753" t="s">
        <v>1652</v>
      </c>
      <c r="AB2753" t="s">
        <v>2758</v>
      </c>
    </row>
    <row r="2754" spans="1:28" x14ac:dyDescent="0.3">
      <c r="A2754" t="s">
        <v>1635</v>
      </c>
      <c r="B2754">
        <v>4</v>
      </c>
      <c r="C2754">
        <v>60</v>
      </c>
      <c r="D2754">
        <v>149</v>
      </c>
      <c r="E2754" t="s">
        <v>456</v>
      </c>
      <c r="F2754" s="12">
        <v>45741</v>
      </c>
      <c r="G2754" t="s">
        <v>2153</v>
      </c>
      <c r="H2754" s="12">
        <v>45741</v>
      </c>
      <c r="I2754" t="s">
        <v>950</v>
      </c>
      <c r="J2754" t="s">
        <v>1363</v>
      </c>
      <c r="K2754">
        <v>2</v>
      </c>
      <c r="L2754">
        <v>63.5</v>
      </c>
      <c r="M2754">
        <v>63.6</v>
      </c>
      <c r="P2754" t="s">
        <v>106</v>
      </c>
      <c r="Q2754" t="s">
        <v>106</v>
      </c>
      <c r="R2754" t="s">
        <v>106</v>
      </c>
      <c r="S2754" t="s">
        <v>2551</v>
      </c>
      <c r="T2754" t="s">
        <v>1931</v>
      </c>
      <c r="U2754" t="s">
        <v>1591</v>
      </c>
      <c r="V2754" t="s">
        <v>106</v>
      </c>
      <c r="W2754" t="s">
        <v>954</v>
      </c>
      <c r="X2754" t="s">
        <v>106</v>
      </c>
      <c r="Y2754" t="s">
        <v>108</v>
      </c>
      <c r="Z2754" t="s">
        <v>104</v>
      </c>
      <c r="AA2754" t="s">
        <v>1652</v>
      </c>
      <c r="AB2754" t="s">
        <v>106</v>
      </c>
    </row>
    <row r="2755" spans="1:28" x14ac:dyDescent="0.3">
      <c r="A2755" t="s">
        <v>1635</v>
      </c>
      <c r="B2755">
        <v>4</v>
      </c>
      <c r="C2755">
        <v>60</v>
      </c>
      <c r="D2755">
        <v>148</v>
      </c>
      <c r="E2755" t="s">
        <v>456</v>
      </c>
      <c r="F2755" s="12">
        <v>45741</v>
      </c>
      <c r="G2755" t="s">
        <v>2154</v>
      </c>
      <c r="H2755" s="12">
        <v>45741</v>
      </c>
      <c r="I2755" t="s">
        <v>950</v>
      </c>
      <c r="J2755" t="s">
        <v>1363</v>
      </c>
      <c r="K2755">
        <v>2</v>
      </c>
      <c r="L2755">
        <v>60.6</v>
      </c>
      <c r="M2755">
        <v>61</v>
      </c>
      <c r="P2755" t="s">
        <v>106</v>
      </c>
      <c r="Q2755" t="s">
        <v>106</v>
      </c>
      <c r="R2755" t="s">
        <v>106</v>
      </c>
      <c r="S2755" t="s">
        <v>1983</v>
      </c>
      <c r="T2755" t="s">
        <v>1214</v>
      </c>
      <c r="U2755" t="s">
        <v>427</v>
      </c>
      <c r="V2755" t="s">
        <v>106</v>
      </c>
      <c r="W2755" t="s">
        <v>954</v>
      </c>
      <c r="X2755" t="s">
        <v>106</v>
      </c>
      <c r="Y2755" t="s">
        <v>108</v>
      </c>
      <c r="Z2755" t="s">
        <v>104</v>
      </c>
      <c r="AA2755" t="s">
        <v>1652</v>
      </c>
      <c r="AB2755" t="s">
        <v>2759</v>
      </c>
    </row>
    <row r="2756" spans="1:28" x14ac:dyDescent="0.3">
      <c r="A2756" t="s">
        <v>1635</v>
      </c>
      <c r="B2756">
        <v>4</v>
      </c>
      <c r="C2756">
        <v>60</v>
      </c>
      <c r="D2756">
        <v>139</v>
      </c>
      <c r="E2756" t="s">
        <v>456</v>
      </c>
      <c r="F2756" s="12">
        <v>45741</v>
      </c>
      <c r="G2756" t="s">
        <v>951</v>
      </c>
      <c r="H2756" s="12">
        <v>45741</v>
      </c>
      <c r="I2756" t="s">
        <v>1979</v>
      </c>
      <c r="J2756" t="s">
        <v>1363</v>
      </c>
      <c r="K2756">
        <v>2</v>
      </c>
      <c r="L2756">
        <v>63.4</v>
      </c>
      <c r="M2756">
        <v>63.6</v>
      </c>
      <c r="P2756" t="s">
        <v>106</v>
      </c>
      <c r="Q2756" t="s">
        <v>106</v>
      </c>
      <c r="R2756" t="s">
        <v>106</v>
      </c>
      <c r="S2756" t="s">
        <v>106</v>
      </c>
      <c r="T2756" t="s">
        <v>993</v>
      </c>
      <c r="U2756" t="s">
        <v>905</v>
      </c>
      <c r="V2756" t="s">
        <v>106</v>
      </c>
      <c r="W2756" t="s">
        <v>954</v>
      </c>
      <c r="X2756" t="s">
        <v>106</v>
      </c>
      <c r="Y2756" t="s">
        <v>108</v>
      </c>
      <c r="Z2756" t="s">
        <v>104</v>
      </c>
      <c r="AA2756" t="s">
        <v>1652</v>
      </c>
      <c r="AB2756" t="s">
        <v>106</v>
      </c>
    </row>
    <row r="2757" spans="1:28" x14ac:dyDescent="0.3">
      <c r="A2757" t="s">
        <v>1635</v>
      </c>
      <c r="B2757">
        <v>4</v>
      </c>
      <c r="C2757">
        <v>60</v>
      </c>
      <c r="D2757">
        <v>160</v>
      </c>
      <c r="E2757" t="s">
        <v>2586</v>
      </c>
      <c r="F2757" s="12">
        <v>45741</v>
      </c>
      <c r="G2757" t="s">
        <v>1767</v>
      </c>
      <c r="H2757" s="12">
        <v>45741</v>
      </c>
      <c r="I2757" t="s">
        <v>950</v>
      </c>
      <c r="J2757" t="s">
        <v>1363</v>
      </c>
      <c r="K2757">
        <v>2</v>
      </c>
      <c r="L2757">
        <v>67.5</v>
      </c>
      <c r="M2757">
        <v>69.099999999999994</v>
      </c>
      <c r="P2757" t="s">
        <v>106</v>
      </c>
      <c r="Q2757" t="s">
        <v>106</v>
      </c>
      <c r="R2757" t="s">
        <v>106</v>
      </c>
      <c r="S2757" t="s">
        <v>106</v>
      </c>
      <c r="T2757" t="s">
        <v>2087</v>
      </c>
      <c r="U2757" t="s">
        <v>825</v>
      </c>
      <c r="V2757" t="s">
        <v>106</v>
      </c>
      <c r="W2757" t="s">
        <v>954</v>
      </c>
      <c r="X2757" t="s">
        <v>106</v>
      </c>
      <c r="Y2757" t="s">
        <v>108</v>
      </c>
      <c r="Z2757" t="s">
        <v>104</v>
      </c>
      <c r="AA2757" t="s">
        <v>106</v>
      </c>
      <c r="AB2757" t="s">
        <v>2760</v>
      </c>
    </row>
    <row r="2758" spans="1:28" x14ac:dyDescent="0.3">
      <c r="A2758" t="s">
        <v>1635</v>
      </c>
      <c r="B2758">
        <v>4</v>
      </c>
      <c r="C2758">
        <v>60</v>
      </c>
      <c r="D2758">
        <v>135</v>
      </c>
      <c r="E2758" t="s">
        <v>456</v>
      </c>
      <c r="F2758" s="12">
        <v>45741</v>
      </c>
      <c r="G2758" t="s">
        <v>2384</v>
      </c>
      <c r="H2758" s="12">
        <v>45741</v>
      </c>
      <c r="I2758" t="s">
        <v>1434</v>
      </c>
      <c r="J2758" t="s">
        <v>1363</v>
      </c>
      <c r="K2758">
        <v>2</v>
      </c>
      <c r="L2758">
        <v>64.7</v>
      </c>
      <c r="M2758">
        <v>64.8</v>
      </c>
      <c r="P2758" t="s">
        <v>106</v>
      </c>
      <c r="Q2758" t="s">
        <v>106</v>
      </c>
      <c r="R2758" t="s">
        <v>106</v>
      </c>
      <c r="S2758" t="s">
        <v>2208</v>
      </c>
      <c r="T2758" t="s">
        <v>2024</v>
      </c>
      <c r="U2758" t="s">
        <v>427</v>
      </c>
      <c r="V2758" t="s">
        <v>106</v>
      </c>
      <c r="W2758" t="s">
        <v>557</v>
      </c>
      <c r="X2758" t="s">
        <v>106</v>
      </c>
      <c r="Y2758" t="s">
        <v>108</v>
      </c>
      <c r="Z2758" t="s">
        <v>104</v>
      </c>
      <c r="AA2758" t="s">
        <v>1652</v>
      </c>
      <c r="AB2758" t="s">
        <v>106</v>
      </c>
    </row>
    <row r="2759" spans="1:28" x14ac:dyDescent="0.3">
      <c r="A2759" t="s">
        <v>1635</v>
      </c>
      <c r="B2759">
        <v>4</v>
      </c>
      <c r="C2759">
        <v>60</v>
      </c>
      <c r="D2759">
        <v>138</v>
      </c>
      <c r="E2759" t="s">
        <v>456</v>
      </c>
      <c r="F2759" s="12">
        <v>45741</v>
      </c>
      <c r="G2759" t="s">
        <v>807</v>
      </c>
      <c r="H2759" s="12">
        <v>45741</v>
      </c>
      <c r="I2759" t="s">
        <v>1979</v>
      </c>
      <c r="J2759" t="s">
        <v>1363</v>
      </c>
      <c r="K2759">
        <v>2</v>
      </c>
      <c r="L2759">
        <v>62.2</v>
      </c>
      <c r="M2759">
        <v>62.8</v>
      </c>
      <c r="P2759" t="s">
        <v>106</v>
      </c>
      <c r="Q2759" t="s">
        <v>106</v>
      </c>
      <c r="R2759" t="s">
        <v>106</v>
      </c>
      <c r="S2759" t="s">
        <v>106</v>
      </c>
      <c r="T2759" t="s">
        <v>776</v>
      </c>
      <c r="U2759" t="s">
        <v>427</v>
      </c>
      <c r="V2759" t="s">
        <v>106</v>
      </c>
      <c r="W2759" t="s">
        <v>954</v>
      </c>
      <c r="X2759" t="s">
        <v>106</v>
      </c>
      <c r="Y2759" t="s">
        <v>108</v>
      </c>
      <c r="Z2759" t="s">
        <v>104</v>
      </c>
      <c r="AA2759" t="s">
        <v>1652</v>
      </c>
      <c r="AB2759" t="s">
        <v>106</v>
      </c>
    </row>
    <row r="2760" spans="1:28" x14ac:dyDescent="0.3">
      <c r="A2760" t="s">
        <v>1635</v>
      </c>
      <c r="B2760">
        <v>4</v>
      </c>
      <c r="C2760">
        <v>60</v>
      </c>
      <c r="D2760">
        <v>124</v>
      </c>
      <c r="E2760" t="s">
        <v>456</v>
      </c>
      <c r="F2760" s="12">
        <v>45741</v>
      </c>
      <c r="G2760" t="s">
        <v>2576</v>
      </c>
      <c r="H2760" s="12">
        <v>45741</v>
      </c>
      <c r="I2760" t="s">
        <v>542</v>
      </c>
      <c r="J2760" t="s">
        <v>1363</v>
      </c>
      <c r="K2760">
        <v>2</v>
      </c>
      <c r="L2760">
        <v>59.8</v>
      </c>
      <c r="M2760">
        <v>59.6</v>
      </c>
      <c r="P2760" t="s">
        <v>106</v>
      </c>
      <c r="Q2760" t="s">
        <v>106</v>
      </c>
      <c r="R2760" t="s">
        <v>106</v>
      </c>
      <c r="S2760" t="s">
        <v>2203</v>
      </c>
      <c r="T2760" t="s">
        <v>1069</v>
      </c>
      <c r="U2760" t="s">
        <v>1418</v>
      </c>
      <c r="V2760" t="s">
        <v>106</v>
      </c>
      <c r="W2760" t="s">
        <v>954</v>
      </c>
      <c r="X2760" t="s">
        <v>106</v>
      </c>
      <c r="Y2760" t="s">
        <v>108</v>
      </c>
      <c r="Z2760" t="s">
        <v>104</v>
      </c>
      <c r="AA2760" t="s">
        <v>1652</v>
      </c>
      <c r="AB2760" t="s">
        <v>106</v>
      </c>
    </row>
    <row r="2761" spans="1:28" x14ac:dyDescent="0.3">
      <c r="A2761" t="s">
        <v>1635</v>
      </c>
      <c r="B2761">
        <v>4</v>
      </c>
      <c r="C2761">
        <v>60</v>
      </c>
      <c r="D2761">
        <v>134</v>
      </c>
      <c r="E2761" t="s">
        <v>456</v>
      </c>
      <c r="F2761" s="12">
        <v>45741</v>
      </c>
      <c r="G2761" t="s">
        <v>137</v>
      </c>
      <c r="H2761" s="12">
        <v>45741</v>
      </c>
      <c r="I2761" t="s">
        <v>1434</v>
      </c>
      <c r="J2761" t="s">
        <v>1363</v>
      </c>
      <c r="K2761">
        <v>2</v>
      </c>
      <c r="L2761">
        <v>62.5</v>
      </c>
      <c r="M2761">
        <v>62.4</v>
      </c>
      <c r="P2761" t="s">
        <v>106</v>
      </c>
      <c r="Q2761" t="s">
        <v>106</v>
      </c>
      <c r="R2761" t="s">
        <v>106</v>
      </c>
      <c r="S2761" t="s">
        <v>2266</v>
      </c>
      <c r="T2761" t="s">
        <v>1438</v>
      </c>
      <c r="U2761" t="s">
        <v>1418</v>
      </c>
      <c r="V2761" t="s">
        <v>106</v>
      </c>
      <c r="W2761" t="s">
        <v>557</v>
      </c>
      <c r="X2761" t="s">
        <v>106</v>
      </c>
      <c r="Y2761" t="s">
        <v>108</v>
      </c>
      <c r="Z2761" t="s">
        <v>104</v>
      </c>
      <c r="AA2761" t="s">
        <v>1652</v>
      </c>
      <c r="AB2761" t="s">
        <v>106</v>
      </c>
    </row>
    <row r="2762" spans="1:28" x14ac:dyDescent="0.3">
      <c r="A2762" t="s">
        <v>1635</v>
      </c>
      <c r="B2762">
        <v>1</v>
      </c>
      <c r="C2762">
        <v>0</v>
      </c>
      <c r="D2762">
        <v>185</v>
      </c>
      <c r="E2762" t="s">
        <v>456</v>
      </c>
      <c r="F2762" s="12">
        <v>45742</v>
      </c>
      <c r="G2762" t="s">
        <v>635</v>
      </c>
      <c r="H2762" s="12">
        <v>45742</v>
      </c>
      <c r="I2762" t="s">
        <v>336</v>
      </c>
      <c r="J2762" t="s">
        <v>458</v>
      </c>
      <c r="K2762">
        <v>2</v>
      </c>
      <c r="L2762">
        <v>0</v>
      </c>
      <c r="M2762">
        <v>0</v>
      </c>
      <c r="P2762" t="s">
        <v>106</v>
      </c>
      <c r="Q2762" t="s">
        <v>106</v>
      </c>
      <c r="R2762" t="s">
        <v>106</v>
      </c>
      <c r="S2762" t="s">
        <v>1660</v>
      </c>
      <c r="T2762" t="s">
        <v>663</v>
      </c>
      <c r="U2762" t="s">
        <v>825</v>
      </c>
      <c r="V2762" t="s">
        <v>106</v>
      </c>
      <c r="W2762" t="s">
        <v>557</v>
      </c>
      <c r="X2762" t="s">
        <v>106</v>
      </c>
      <c r="Y2762" t="s">
        <v>108</v>
      </c>
      <c r="Z2762" t="s">
        <v>105</v>
      </c>
      <c r="AA2762" t="s">
        <v>955</v>
      </c>
      <c r="AB2762" t="s">
        <v>106</v>
      </c>
    </row>
    <row r="2763" spans="1:28" x14ac:dyDescent="0.3">
      <c r="A2763" t="s">
        <v>1635</v>
      </c>
      <c r="B2763">
        <v>1</v>
      </c>
      <c r="C2763">
        <v>0</v>
      </c>
      <c r="D2763">
        <v>186</v>
      </c>
      <c r="E2763" t="s">
        <v>456</v>
      </c>
      <c r="F2763" s="12">
        <v>45742</v>
      </c>
      <c r="G2763" t="s">
        <v>636</v>
      </c>
      <c r="H2763" s="12">
        <v>45742</v>
      </c>
      <c r="I2763" t="s">
        <v>336</v>
      </c>
      <c r="J2763" t="s">
        <v>458</v>
      </c>
      <c r="K2763">
        <v>2</v>
      </c>
      <c r="L2763">
        <v>0</v>
      </c>
      <c r="M2763">
        <v>0.1</v>
      </c>
      <c r="P2763" t="s">
        <v>106</v>
      </c>
      <c r="Q2763" t="s">
        <v>106</v>
      </c>
      <c r="R2763" t="s">
        <v>106</v>
      </c>
      <c r="S2763" t="s">
        <v>1096</v>
      </c>
      <c r="T2763" t="s">
        <v>1661</v>
      </c>
      <c r="U2763" t="s">
        <v>144</v>
      </c>
      <c r="V2763" t="s">
        <v>106</v>
      </c>
      <c r="W2763" t="s">
        <v>557</v>
      </c>
      <c r="X2763" t="s">
        <v>106</v>
      </c>
      <c r="Y2763" t="s">
        <v>108</v>
      </c>
      <c r="Z2763" t="s">
        <v>105</v>
      </c>
      <c r="AA2763" t="s">
        <v>955</v>
      </c>
      <c r="AB2763" t="s">
        <v>106</v>
      </c>
    </row>
    <row r="2764" spans="1:28" x14ac:dyDescent="0.3">
      <c r="A2764" t="s">
        <v>1635</v>
      </c>
      <c r="B2764">
        <v>2</v>
      </c>
      <c r="C2764">
        <v>15</v>
      </c>
      <c r="D2764">
        <v>172</v>
      </c>
      <c r="E2764" t="s">
        <v>456</v>
      </c>
      <c r="F2764" s="12">
        <v>45742</v>
      </c>
      <c r="G2764" t="s">
        <v>1283</v>
      </c>
      <c r="H2764" s="12">
        <v>45742</v>
      </c>
      <c r="I2764" t="s">
        <v>2263</v>
      </c>
      <c r="J2764" t="s">
        <v>458</v>
      </c>
      <c r="K2764">
        <v>2</v>
      </c>
      <c r="L2764">
        <v>15.1</v>
      </c>
      <c r="M2764">
        <v>15</v>
      </c>
      <c r="P2764" t="s">
        <v>106</v>
      </c>
      <c r="Q2764" t="s">
        <v>106</v>
      </c>
      <c r="R2764" t="s">
        <v>106</v>
      </c>
      <c r="S2764" t="s">
        <v>1595</v>
      </c>
      <c r="T2764" t="s">
        <v>2059</v>
      </c>
      <c r="U2764" t="s">
        <v>441</v>
      </c>
      <c r="V2764" t="s">
        <v>106</v>
      </c>
      <c r="W2764" t="s">
        <v>557</v>
      </c>
      <c r="X2764" t="s">
        <v>106</v>
      </c>
      <c r="Y2764" t="s">
        <v>108</v>
      </c>
      <c r="Z2764" t="s">
        <v>109</v>
      </c>
      <c r="AA2764" t="s">
        <v>955</v>
      </c>
      <c r="AB2764" t="s">
        <v>106</v>
      </c>
    </row>
    <row r="2765" spans="1:28" x14ac:dyDescent="0.3">
      <c r="A2765" t="s">
        <v>1635</v>
      </c>
      <c r="B2765">
        <v>2</v>
      </c>
      <c r="C2765">
        <v>15</v>
      </c>
      <c r="D2765">
        <v>164</v>
      </c>
      <c r="E2765" t="s">
        <v>456</v>
      </c>
      <c r="F2765" s="12">
        <v>45742</v>
      </c>
      <c r="G2765" t="s">
        <v>1010</v>
      </c>
      <c r="H2765" s="12">
        <v>45742</v>
      </c>
      <c r="I2765" t="s">
        <v>106</v>
      </c>
      <c r="J2765" t="s">
        <v>458</v>
      </c>
      <c r="K2765">
        <v>2</v>
      </c>
      <c r="L2765">
        <v>14.6</v>
      </c>
      <c r="M2765">
        <v>14.6</v>
      </c>
      <c r="P2765" t="s">
        <v>106</v>
      </c>
      <c r="Q2765" t="s">
        <v>106</v>
      </c>
      <c r="R2765" t="s">
        <v>106</v>
      </c>
      <c r="S2765" t="s">
        <v>106</v>
      </c>
      <c r="T2765" t="s">
        <v>1000</v>
      </c>
      <c r="U2765" t="s">
        <v>360</v>
      </c>
      <c r="V2765" t="s">
        <v>106</v>
      </c>
      <c r="W2765" t="s">
        <v>443</v>
      </c>
      <c r="X2765" t="s">
        <v>106</v>
      </c>
      <c r="Y2765" t="s">
        <v>108</v>
      </c>
      <c r="Z2765" t="s">
        <v>109</v>
      </c>
      <c r="AA2765" t="s">
        <v>106</v>
      </c>
      <c r="AB2765" t="s">
        <v>106</v>
      </c>
    </row>
    <row r="2766" spans="1:28" x14ac:dyDescent="0.3">
      <c r="A2766" t="s">
        <v>1635</v>
      </c>
      <c r="B2766">
        <v>2</v>
      </c>
      <c r="C2766">
        <v>15</v>
      </c>
      <c r="D2766">
        <v>163</v>
      </c>
      <c r="E2766" t="s">
        <v>456</v>
      </c>
      <c r="F2766" s="12">
        <v>45742</v>
      </c>
      <c r="G2766" t="s">
        <v>1007</v>
      </c>
      <c r="H2766" s="12">
        <v>45742</v>
      </c>
      <c r="I2766" t="s">
        <v>106</v>
      </c>
      <c r="J2766" t="s">
        <v>458</v>
      </c>
      <c r="K2766">
        <v>2</v>
      </c>
      <c r="L2766">
        <v>14</v>
      </c>
      <c r="M2766">
        <v>14.3</v>
      </c>
      <c r="P2766" t="s">
        <v>106</v>
      </c>
      <c r="Q2766" t="s">
        <v>106</v>
      </c>
      <c r="R2766" t="s">
        <v>106</v>
      </c>
      <c r="S2766" t="s">
        <v>2264</v>
      </c>
      <c r="T2766" t="s">
        <v>808</v>
      </c>
      <c r="U2766" t="s">
        <v>904</v>
      </c>
      <c r="V2766" t="s">
        <v>106</v>
      </c>
      <c r="W2766" t="s">
        <v>443</v>
      </c>
      <c r="X2766" t="s">
        <v>106</v>
      </c>
      <c r="Y2766" t="s">
        <v>108</v>
      </c>
      <c r="Z2766" t="s">
        <v>109</v>
      </c>
      <c r="AA2766" t="s">
        <v>106</v>
      </c>
      <c r="AB2766" t="s">
        <v>106</v>
      </c>
    </row>
    <row r="2767" spans="1:28" x14ac:dyDescent="0.3">
      <c r="A2767" t="s">
        <v>1635</v>
      </c>
      <c r="B2767">
        <v>2</v>
      </c>
      <c r="C2767">
        <v>15</v>
      </c>
      <c r="D2767">
        <v>222</v>
      </c>
      <c r="E2767" t="s">
        <v>456</v>
      </c>
      <c r="F2767" s="12">
        <v>45742</v>
      </c>
      <c r="G2767" t="s">
        <v>1502</v>
      </c>
      <c r="H2767" s="12">
        <v>45742</v>
      </c>
      <c r="I2767" t="s">
        <v>2265</v>
      </c>
      <c r="J2767" t="s">
        <v>471</v>
      </c>
      <c r="K2767">
        <v>2</v>
      </c>
      <c r="L2767">
        <v>16.5</v>
      </c>
      <c r="M2767">
        <v>16.5</v>
      </c>
      <c r="P2767" t="s">
        <v>106</v>
      </c>
      <c r="Q2767" t="s">
        <v>106</v>
      </c>
      <c r="R2767" t="s">
        <v>106</v>
      </c>
      <c r="S2767" t="s">
        <v>1048</v>
      </c>
      <c r="T2767" t="s">
        <v>1385</v>
      </c>
      <c r="U2767" t="s">
        <v>719</v>
      </c>
      <c r="V2767" t="s">
        <v>106</v>
      </c>
      <c r="W2767" t="s">
        <v>954</v>
      </c>
      <c r="X2767" t="s">
        <v>106</v>
      </c>
      <c r="Y2767" t="s">
        <v>108</v>
      </c>
      <c r="Z2767" t="s">
        <v>109</v>
      </c>
      <c r="AA2767" t="s">
        <v>966</v>
      </c>
      <c r="AB2767" t="s">
        <v>106</v>
      </c>
    </row>
    <row r="2768" spans="1:28" x14ac:dyDescent="0.3">
      <c r="A2768" t="s">
        <v>1635</v>
      </c>
      <c r="B2768">
        <v>2</v>
      </c>
      <c r="C2768">
        <v>15</v>
      </c>
      <c r="D2768">
        <v>204</v>
      </c>
      <c r="E2768" t="s">
        <v>456</v>
      </c>
      <c r="F2768" s="12">
        <v>45742</v>
      </c>
      <c r="G2768" t="s">
        <v>310</v>
      </c>
      <c r="H2768" s="12">
        <v>45742</v>
      </c>
      <c r="I2768" t="s">
        <v>883</v>
      </c>
      <c r="J2768" t="s">
        <v>1363</v>
      </c>
      <c r="K2768">
        <v>2</v>
      </c>
      <c r="L2768">
        <v>16.399999999999999</v>
      </c>
      <c r="M2768">
        <v>16.399999999999999</v>
      </c>
      <c r="P2768" t="s">
        <v>106</v>
      </c>
      <c r="Q2768" t="s">
        <v>106</v>
      </c>
      <c r="R2768" t="s">
        <v>106</v>
      </c>
      <c r="S2768" t="s">
        <v>1081</v>
      </c>
      <c r="T2768" t="s">
        <v>1876</v>
      </c>
      <c r="U2768" t="s">
        <v>360</v>
      </c>
      <c r="V2768" t="s">
        <v>106</v>
      </c>
      <c r="W2768" t="s">
        <v>954</v>
      </c>
      <c r="X2768" t="s">
        <v>106</v>
      </c>
      <c r="Y2768" t="s">
        <v>108</v>
      </c>
      <c r="Z2768" t="s">
        <v>109</v>
      </c>
      <c r="AA2768" t="s">
        <v>966</v>
      </c>
      <c r="AB2768" t="s">
        <v>106</v>
      </c>
    </row>
    <row r="2769" spans="1:28" x14ac:dyDescent="0.3">
      <c r="A2769" t="s">
        <v>1635</v>
      </c>
      <c r="B2769">
        <v>2</v>
      </c>
      <c r="C2769">
        <v>15</v>
      </c>
      <c r="D2769">
        <v>184</v>
      </c>
      <c r="E2769" t="s">
        <v>456</v>
      </c>
      <c r="F2769" s="12">
        <v>45742</v>
      </c>
      <c r="G2769" t="s">
        <v>503</v>
      </c>
      <c r="H2769" s="12">
        <v>45742</v>
      </c>
      <c r="I2769" t="s">
        <v>336</v>
      </c>
      <c r="J2769" t="s">
        <v>458</v>
      </c>
      <c r="K2769">
        <v>2</v>
      </c>
      <c r="L2769">
        <v>13.8</v>
      </c>
      <c r="M2769">
        <v>14</v>
      </c>
      <c r="P2769" t="s">
        <v>106</v>
      </c>
      <c r="Q2769" t="s">
        <v>106</v>
      </c>
      <c r="R2769" t="s">
        <v>106</v>
      </c>
      <c r="S2769" t="s">
        <v>1083</v>
      </c>
      <c r="T2769" t="s">
        <v>1475</v>
      </c>
      <c r="U2769" t="s">
        <v>382</v>
      </c>
      <c r="V2769" t="s">
        <v>106</v>
      </c>
      <c r="W2769" t="s">
        <v>557</v>
      </c>
      <c r="X2769" t="s">
        <v>106</v>
      </c>
      <c r="Y2769" t="s">
        <v>108</v>
      </c>
      <c r="Z2769" t="s">
        <v>109</v>
      </c>
      <c r="AA2769" t="s">
        <v>955</v>
      </c>
      <c r="AB2769" t="s">
        <v>106</v>
      </c>
    </row>
    <row r="2770" spans="1:28" x14ac:dyDescent="0.3">
      <c r="A2770" t="s">
        <v>1635</v>
      </c>
      <c r="B2770">
        <v>2</v>
      </c>
      <c r="C2770">
        <v>15</v>
      </c>
      <c r="D2770">
        <v>178</v>
      </c>
      <c r="E2770" t="s">
        <v>456</v>
      </c>
      <c r="F2770" s="12">
        <v>45742</v>
      </c>
      <c r="G2770" t="s">
        <v>1737</v>
      </c>
      <c r="H2770" s="12">
        <v>45742</v>
      </c>
      <c r="I2770" t="s">
        <v>693</v>
      </c>
      <c r="J2770" t="s">
        <v>458</v>
      </c>
      <c r="K2770">
        <v>2</v>
      </c>
      <c r="L2770">
        <v>16.3</v>
      </c>
      <c r="M2770">
        <v>16.399999999999999</v>
      </c>
      <c r="P2770" t="s">
        <v>106</v>
      </c>
      <c r="Q2770" t="s">
        <v>106</v>
      </c>
      <c r="R2770" t="s">
        <v>106</v>
      </c>
      <c r="S2770" t="s">
        <v>2266</v>
      </c>
      <c r="T2770" t="s">
        <v>616</v>
      </c>
      <c r="U2770" t="s">
        <v>426</v>
      </c>
      <c r="V2770" t="s">
        <v>106</v>
      </c>
      <c r="W2770" t="s">
        <v>557</v>
      </c>
      <c r="X2770" t="s">
        <v>106</v>
      </c>
      <c r="Y2770" t="s">
        <v>108</v>
      </c>
      <c r="Z2770" t="s">
        <v>109</v>
      </c>
      <c r="AA2770" t="s">
        <v>955</v>
      </c>
      <c r="AB2770" t="s">
        <v>106</v>
      </c>
    </row>
    <row r="2771" spans="1:28" x14ac:dyDescent="0.3">
      <c r="A2771" t="s">
        <v>1635</v>
      </c>
      <c r="B2771">
        <v>2</v>
      </c>
      <c r="C2771">
        <v>15</v>
      </c>
      <c r="D2771">
        <v>183</v>
      </c>
      <c r="E2771" t="s">
        <v>456</v>
      </c>
      <c r="F2771" s="12">
        <v>45742</v>
      </c>
      <c r="G2771" t="s">
        <v>503</v>
      </c>
      <c r="H2771" s="12">
        <v>45742</v>
      </c>
      <c r="I2771" t="s">
        <v>336</v>
      </c>
      <c r="J2771" t="s">
        <v>458</v>
      </c>
      <c r="K2771">
        <v>2</v>
      </c>
      <c r="L2771">
        <v>13.4</v>
      </c>
      <c r="M2771">
        <v>13.3</v>
      </c>
      <c r="P2771" t="s">
        <v>106</v>
      </c>
      <c r="Q2771" t="s">
        <v>106</v>
      </c>
      <c r="R2771" t="s">
        <v>106</v>
      </c>
      <c r="S2771" t="s">
        <v>2267</v>
      </c>
      <c r="T2771" t="s">
        <v>1016</v>
      </c>
      <c r="U2771" t="s">
        <v>144</v>
      </c>
      <c r="V2771" t="s">
        <v>106</v>
      </c>
      <c r="W2771" t="s">
        <v>557</v>
      </c>
      <c r="X2771" t="s">
        <v>106</v>
      </c>
      <c r="Y2771" t="s">
        <v>108</v>
      </c>
      <c r="Z2771" t="s">
        <v>109</v>
      </c>
      <c r="AA2771" t="s">
        <v>955</v>
      </c>
      <c r="AB2771" t="s">
        <v>106</v>
      </c>
    </row>
    <row r="2772" spans="1:28" x14ac:dyDescent="0.3">
      <c r="A2772" t="s">
        <v>1635</v>
      </c>
      <c r="B2772">
        <v>2</v>
      </c>
      <c r="C2772">
        <v>15</v>
      </c>
      <c r="D2772">
        <v>177</v>
      </c>
      <c r="E2772" t="s">
        <v>456</v>
      </c>
      <c r="F2772" s="12">
        <v>45742</v>
      </c>
      <c r="G2772" t="s">
        <v>2064</v>
      </c>
      <c r="H2772" s="12">
        <v>45742</v>
      </c>
      <c r="I2772" t="s">
        <v>693</v>
      </c>
      <c r="J2772" t="s">
        <v>458</v>
      </c>
      <c r="K2772">
        <v>2</v>
      </c>
      <c r="L2772">
        <v>15.9</v>
      </c>
      <c r="M2772">
        <v>15.8</v>
      </c>
      <c r="P2772" t="s">
        <v>106</v>
      </c>
      <c r="Q2772" t="s">
        <v>106</v>
      </c>
      <c r="R2772" t="s">
        <v>106</v>
      </c>
      <c r="S2772" t="s">
        <v>2268</v>
      </c>
      <c r="T2772" t="s">
        <v>1977</v>
      </c>
      <c r="U2772" t="s">
        <v>360</v>
      </c>
      <c r="V2772" t="s">
        <v>106</v>
      </c>
      <c r="W2772" t="s">
        <v>557</v>
      </c>
      <c r="X2772" t="s">
        <v>106</v>
      </c>
      <c r="Y2772" t="s">
        <v>108</v>
      </c>
      <c r="Z2772" t="s">
        <v>109</v>
      </c>
      <c r="AA2772" t="s">
        <v>955</v>
      </c>
      <c r="AB2772" t="s">
        <v>106</v>
      </c>
    </row>
    <row r="2773" spans="1:28" x14ac:dyDescent="0.3">
      <c r="A2773" t="s">
        <v>1635</v>
      </c>
      <c r="B2773">
        <v>2</v>
      </c>
      <c r="C2773">
        <v>15</v>
      </c>
      <c r="D2773">
        <v>223</v>
      </c>
      <c r="E2773" t="s">
        <v>456</v>
      </c>
      <c r="F2773" s="12">
        <v>45742</v>
      </c>
      <c r="G2773" t="s">
        <v>1502</v>
      </c>
      <c r="H2773" s="12">
        <v>45742</v>
      </c>
      <c r="I2773" t="s">
        <v>2265</v>
      </c>
      <c r="J2773" t="s">
        <v>471</v>
      </c>
      <c r="K2773">
        <v>2</v>
      </c>
      <c r="L2773">
        <v>16.399999999999999</v>
      </c>
      <c r="M2773">
        <v>16.5</v>
      </c>
      <c r="P2773" t="s">
        <v>106</v>
      </c>
      <c r="Q2773" t="s">
        <v>106</v>
      </c>
      <c r="R2773" t="s">
        <v>106</v>
      </c>
      <c r="S2773" t="s">
        <v>1032</v>
      </c>
      <c r="T2773" t="s">
        <v>975</v>
      </c>
      <c r="U2773" t="s">
        <v>441</v>
      </c>
      <c r="V2773" t="s">
        <v>106</v>
      </c>
      <c r="W2773" t="s">
        <v>954</v>
      </c>
      <c r="X2773" t="s">
        <v>106</v>
      </c>
      <c r="Y2773" t="s">
        <v>108</v>
      </c>
      <c r="Z2773" t="s">
        <v>109</v>
      </c>
      <c r="AA2773" t="s">
        <v>966</v>
      </c>
      <c r="AB2773" t="s">
        <v>106</v>
      </c>
    </row>
    <row r="2774" spans="1:28" x14ac:dyDescent="0.3">
      <c r="A2774" t="s">
        <v>1635</v>
      </c>
      <c r="B2774">
        <v>2</v>
      </c>
      <c r="C2774">
        <v>15</v>
      </c>
      <c r="D2774">
        <v>171</v>
      </c>
      <c r="E2774" t="s">
        <v>456</v>
      </c>
      <c r="F2774" s="12">
        <v>45742</v>
      </c>
      <c r="G2774" t="s">
        <v>547</v>
      </c>
      <c r="H2774" s="12">
        <v>45742</v>
      </c>
      <c r="I2774" t="s">
        <v>2263</v>
      </c>
      <c r="J2774" t="s">
        <v>458</v>
      </c>
      <c r="K2774">
        <v>2</v>
      </c>
      <c r="L2774">
        <v>14.6</v>
      </c>
      <c r="M2774">
        <v>14.4</v>
      </c>
      <c r="P2774" t="s">
        <v>106</v>
      </c>
      <c r="Q2774" t="s">
        <v>106</v>
      </c>
      <c r="R2774" t="s">
        <v>106</v>
      </c>
      <c r="S2774" t="s">
        <v>2205</v>
      </c>
      <c r="T2774" t="s">
        <v>1510</v>
      </c>
      <c r="U2774" t="s">
        <v>360</v>
      </c>
      <c r="V2774" t="s">
        <v>106</v>
      </c>
      <c r="W2774" t="s">
        <v>557</v>
      </c>
      <c r="X2774" t="s">
        <v>106</v>
      </c>
      <c r="Y2774" t="s">
        <v>108</v>
      </c>
      <c r="Z2774" t="s">
        <v>109</v>
      </c>
      <c r="AA2774" t="s">
        <v>955</v>
      </c>
      <c r="AB2774" t="s">
        <v>106</v>
      </c>
    </row>
    <row r="2775" spans="1:28" x14ac:dyDescent="0.3">
      <c r="A2775" t="s">
        <v>1635</v>
      </c>
      <c r="B2775">
        <v>2</v>
      </c>
      <c r="C2775">
        <v>15</v>
      </c>
      <c r="D2775">
        <v>191</v>
      </c>
      <c r="E2775" t="s">
        <v>456</v>
      </c>
      <c r="F2775" s="12">
        <v>45742</v>
      </c>
      <c r="G2775" t="s">
        <v>839</v>
      </c>
      <c r="H2775" s="12">
        <v>45742</v>
      </c>
      <c r="I2775" t="s">
        <v>329</v>
      </c>
      <c r="J2775" t="s">
        <v>458</v>
      </c>
      <c r="K2775">
        <v>2</v>
      </c>
      <c r="L2775">
        <v>14.8</v>
      </c>
      <c r="M2775">
        <v>14.8</v>
      </c>
      <c r="P2775" t="s">
        <v>106</v>
      </c>
      <c r="Q2775" t="s">
        <v>106</v>
      </c>
      <c r="R2775" t="s">
        <v>106</v>
      </c>
      <c r="S2775" t="s">
        <v>1983</v>
      </c>
      <c r="T2775" t="s">
        <v>886</v>
      </c>
      <c r="U2775" t="s">
        <v>997</v>
      </c>
      <c r="V2775" t="s">
        <v>106</v>
      </c>
      <c r="W2775" t="s">
        <v>557</v>
      </c>
      <c r="X2775" t="s">
        <v>106</v>
      </c>
      <c r="Y2775" t="s">
        <v>108</v>
      </c>
      <c r="Z2775" t="s">
        <v>109</v>
      </c>
      <c r="AA2775" t="s">
        <v>955</v>
      </c>
      <c r="AB2775" t="s">
        <v>106</v>
      </c>
    </row>
    <row r="2776" spans="1:28" x14ac:dyDescent="0.3">
      <c r="A2776" t="s">
        <v>1635</v>
      </c>
      <c r="B2776">
        <v>2</v>
      </c>
      <c r="C2776">
        <v>15</v>
      </c>
      <c r="D2776">
        <v>217</v>
      </c>
      <c r="E2776" t="s">
        <v>456</v>
      </c>
      <c r="F2776" s="12">
        <v>45742</v>
      </c>
      <c r="G2776" t="s">
        <v>2269</v>
      </c>
      <c r="H2776" s="12">
        <v>45742</v>
      </c>
      <c r="I2776" t="s">
        <v>810</v>
      </c>
      <c r="J2776" t="s">
        <v>471</v>
      </c>
      <c r="K2776">
        <v>2</v>
      </c>
      <c r="L2776">
        <v>16.899999999999999</v>
      </c>
      <c r="M2776">
        <v>16.899999999999999</v>
      </c>
      <c r="P2776" t="s">
        <v>106</v>
      </c>
      <c r="Q2776" t="s">
        <v>106</v>
      </c>
      <c r="R2776" t="s">
        <v>106</v>
      </c>
      <c r="S2776" t="s">
        <v>1073</v>
      </c>
      <c r="T2776" t="s">
        <v>1004</v>
      </c>
      <c r="U2776" t="s">
        <v>147</v>
      </c>
      <c r="V2776" t="s">
        <v>106</v>
      </c>
      <c r="W2776" t="s">
        <v>954</v>
      </c>
      <c r="X2776" t="s">
        <v>106</v>
      </c>
      <c r="Y2776" t="s">
        <v>108</v>
      </c>
      <c r="Z2776" t="s">
        <v>109</v>
      </c>
      <c r="AA2776" t="s">
        <v>966</v>
      </c>
      <c r="AB2776" t="s">
        <v>106</v>
      </c>
    </row>
    <row r="2777" spans="1:28" x14ac:dyDescent="0.3">
      <c r="A2777" t="s">
        <v>1635</v>
      </c>
      <c r="B2777">
        <v>2</v>
      </c>
      <c r="C2777">
        <v>15</v>
      </c>
      <c r="D2777">
        <v>198</v>
      </c>
      <c r="E2777" t="s">
        <v>456</v>
      </c>
      <c r="F2777" s="12">
        <v>45742</v>
      </c>
      <c r="G2777" t="s">
        <v>1441</v>
      </c>
      <c r="H2777" s="12">
        <v>45742</v>
      </c>
      <c r="I2777" t="s">
        <v>1938</v>
      </c>
      <c r="J2777" t="s">
        <v>458</v>
      </c>
      <c r="K2777">
        <v>2</v>
      </c>
      <c r="L2777">
        <v>15.9</v>
      </c>
      <c r="M2777">
        <v>16</v>
      </c>
      <c r="P2777" t="s">
        <v>106</v>
      </c>
      <c r="Q2777" t="s">
        <v>106</v>
      </c>
      <c r="R2777" t="s">
        <v>106</v>
      </c>
      <c r="S2777" t="s">
        <v>1983</v>
      </c>
      <c r="T2777" t="s">
        <v>1006</v>
      </c>
      <c r="U2777" t="s">
        <v>360</v>
      </c>
      <c r="V2777" t="s">
        <v>106</v>
      </c>
      <c r="W2777" t="s">
        <v>557</v>
      </c>
      <c r="X2777" t="s">
        <v>106</v>
      </c>
      <c r="Y2777" t="s">
        <v>108</v>
      </c>
      <c r="Z2777" t="s">
        <v>109</v>
      </c>
      <c r="AA2777" t="s">
        <v>955</v>
      </c>
      <c r="AB2777" t="s">
        <v>106</v>
      </c>
    </row>
    <row r="2778" spans="1:28" x14ac:dyDescent="0.3">
      <c r="A2778" t="s">
        <v>1635</v>
      </c>
      <c r="B2778">
        <v>2</v>
      </c>
      <c r="C2778">
        <v>15</v>
      </c>
      <c r="D2778">
        <v>216</v>
      </c>
      <c r="E2778" t="s">
        <v>456</v>
      </c>
      <c r="F2778" s="12">
        <v>45742</v>
      </c>
      <c r="G2778" t="s">
        <v>2269</v>
      </c>
      <c r="H2778" s="12">
        <v>45742</v>
      </c>
      <c r="I2778" t="s">
        <v>810</v>
      </c>
      <c r="J2778" t="s">
        <v>471</v>
      </c>
      <c r="K2778">
        <v>2</v>
      </c>
      <c r="L2778">
        <v>16</v>
      </c>
      <c r="M2778">
        <v>16</v>
      </c>
      <c r="P2778" t="s">
        <v>106</v>
      </c>
      <c r="Q2778" t="s">
        <v>106</v>
      </c>
      <c r="R2778" t="s">
        <v>106</v>
      </c>
      <c r="S2778" t="s">
        <v>2270</v>
      </c>
      <c r="T2778" t="s">
        <v>760</v>
      </c>
      <c r="U2778" t="s">
        <v>997</v>
      </c>
      <c r="V2778" t="s">
        <v>106</v>
      </c>
      <c r="W2778" t="s">
        <v>954</v>
      </c>
      <c r="X2778" t="s">
        <v>106</v>
      </c>
      <c r="Y2778" t="s">
        <v>108</v>
      </c>
      <c r="Z2778" t="s">
        <v>109</v>
      </c>
      <c r="AA2778" t="s">
        <v>966</v>
      </c>
      <c r="AB2778" t="s">
        <v>106</v>
      </c>
    </row>
    <row r="2779" spans="1:28" x14ac:dyDescent="0.3">
      <c r="A2779" t="s">
        <v>1635</v>
      </c>
      <c r="B2779">
        <v>2</v>
      </c>
      <c r="C2779">
        <v>15</v>
      </c>
      <c r="D2779">
        <v>192</v>
      </c>
      <c r="E2779" t="s">
        <v>456</v>
      </c>
      <c r="F2779" s="12">
        <v>45742</v>
      </c>
      <c r="G2779" t="s">
        <v>536</v>
      </c>
      <c r="H2779" s="12">
        <v>45742</v>
      </c>
      <c r="I2779" t="s">
        <v>329</v>
      </c>
      <c r="J2779" t="s">
        <v>458</v>
      </c>
      <c r="K2779">
        <v>2</v>
      </c>
      <c r="L2779">
        <v>14.6</v>
      </c>
      <c r="M2779">
        <v>14.5</v>
      </c>
      <c r="P2779" t="s">
        <v>106</v>
      </c>
      <c r="Q2779" t="s">
        <v>106</v>
      </c>
      <c r="R2779" t="s">
        <v>106</v>
      </c>
      <c r="S2779" t="s">
        <v>2271</v>
      </c>
      <c r="T2779" t="s">
        <v>2272</v>
      </c>
      <c r="U2779" t="s">
        <v>144</v>
      </c>
      <c r="V2779" t="s">
        <v>106</v>
      </c>
      <c r="W2779" t="s">
        <v>557</v>
      </c>
      <c r="X2779" t="s">
        <v>106</v>
      </c>
      <c r="Y2779" t="s">
        <v>108</v>
      </c>
      <c r="Z2779" t="s">
        <v>109</v>
      </c>
      <c r="AA2779" t="s">
        <v>955</v>
      </c>
      <c r="AB2779" t="s">
        <v>106</v>
      </c>
    </row>
    <row r="2780" spans="1:28" x14ac:dyDescent="0.3">
      <c r="A2780" t="s">
        <v>1635</v>
      </c>
      <c r="B2780">
        <v>2</v>
      </c>
      <c r="C2780">
        <v>15</v>
      </c>
      <c r="D2780">
        <v>203</v>
      </c>
      <c r="E2780" t="s">
        <v>456</v>
      </c>
      <c r="F2780" s="12">
        <v>45742</v>
      </c>
      <c r="G2780" t="s">
        <v>133</v>
      </c>
      <c r="H2780" s="12">
        <v>45742</v>
      </c>
      <c r="I2780" t="s">
        <v>883</v>
      </c>
      <c r="J2780" t="s">
        <v>1363</v>
      </c>
      <c r="K2780">
        <v>2</v>
      </c>
      <c r="L2780">
        <v>14.6</v>
      </c>
      <c r="M2780">
        <v>14.6</v>
      </c>
      <c r="P2780" t="s">
        <v>106</v>
      </c>
      <c r="Q2780" t="s">
        <v>106</v>
      </c>
      <c r="R2780" t="s">
        <v>106</v>
      </c>
      <c r="S2780" t="s">
        <v>1472</v>
      </c>
      <c r="T2780" t="s">
        <v>760</v>
      </c>
      <c r="U2780" t="s">
        <v>146</v>
      </c>
      <c r="V2780" t="s">
        <v>106</v>
      </c>
      <c r="W2780" t="s">
        <v>954</v>
      </c>
      <c r="X2780" t="s">
        <v>106</v>
      </c>
      <c r="Y2780" t="s">
        <v>108</v>
      </c>
      <c r="Z2780" t="s">
        <v>109</v>
      </c>
      <c r="AA2780" t="s">
        <v>966</v>
      </c>
      <c r="AB2780" t="s">
        <v>106</v>
      </c>
    </row>
    <row r="2781" spans="1:28" x14ac:dyDescent="0.3">
      <c r="A2781" t="s">
        <v>1635</v>
      </c>
      <c r="B2781">
        <v>2</v>
      </c>
      <c r="C2781">
        <v>15</v>
      </c>
      <c r="D2781">
        <v>211</v>
      </c>
      <c r="E2781" t="s">
        <v>456</v>
      </c>
      <c r="F2781" s="12">
        <v>45742</v>
      </c>
      <c r="G2781" t="s">
        <v>2273</v>
      </c>
      <c r="H2781" s="12">
        <v>45742</v>
      </c>
      <c r="I2781" t="s">
        <v>1166</v>
      </c>
      <c r="J2781" t="s">
        <v>471</v>
      </c>
      <c r="K2781">
        <v>2</v>
      </c>
      <c r="L2781">
        <v>16.7</v>
      </c>
      <c r="M2781">
        <v>16.7</v>
      </c>
      <c r="P2781" t="s">
        <v>106</v>
      </c>
      <c r="Q2781" t="s">
        <v>106</v>
      </c>
      <c r="R2781" t="s">
        <v>106</v>
      </c>
      <c r="S2781" t="s">
        <v>1096</v>
      </c>
      <c r="T2781" t="s">
        <v>1529</v>
      </c>
      <c r="U2781" t="s">
        <v>136</v>
      </c>
      <c r="V2781" t="s">
        <v>106</v>
      </c>
      <c r="W2781" t="s">
        <v>954</v>
      </c>
      <c r="X2781" t="s">
        <v>106</v>
      </c>
      <c r="Y2781" t="s">
        <v>108</v>
      </c>
      <c r="Z2781" t="s">
        <v>109</v>
      </c>
      <c r="AA2781" t="s">
        <v>966</v>
      </c>
      <c r="AB2781" t="s">
        <v>106</v>
      </c>
    </row>
    <row r="2782" spans="1:28" x14ac:dyDescent="0.3">
      <c r="A2782" t="s">
        <v>1635</v>
      </c>
      <c r="B2782">
        <v>2</v>
      </c>
      <c r="C2782">
        <v>15</v>
      </c>
      <c r="D2782">
        <v>210</v>
      </c>
      <c r="E2782" t="s">
        <v>456</v>
      </c>
      <c r="F2782" s="12">
        <v>45742</v>
      </c>
      <c r="G2782" t="s">
        <v>2273</v>
      </c>
      <c r="H2782" s="12">
        <v>45742</v>
      </c>
      <c r="I2782" t="s">
        <v>1166</v>
      </c>
      <c r="J2782" t="s">
        <v>471</v>
      </c>
      <c r="K2782">
        <v>2</v>
      </c>
      <c r="L2782">
        <v>15.5</v>
      </c>
      <c r="M2782">
        <v>15.6</v>
      </c>
      <c r="P2782" t="s">
        <v>106</v>
      </c>
      <c r="Q2782" t="s">
        <v>106</v>
      </c>
      <c r="R2782" t="s">
        <v>106</v>
      </c>
      <c r="S2782" t="s">
        <v>2274</v>
      </c>
      <c r="T2782" t="s">
        <v>760</v>
      </c>
      <c r="U2782" t="s">
        <v>146</v>
      </c>
      <c r="V2782" t="s">
        <v>106</v>
      </c>
      <c r="W2782" t="s">
        <v>954</v>
      </c>
      <c r="X2782" t="s">
        <v>106</v>
      </c>
      <c r="Y2782" t="s">
        <v>108</v>
      </c>
      <c r="Z2782" t="s">
        <v>109</v>
      </c>
      <c r="AA2782" t="s">
        <v>966</v>
      </c>
      <c r="AB2782" t="s">
        <v>106</v>
      </c>
    </row>
    <row r="2783" spans="1:28" x14ac:dyDescent="0.3">
      <c r="A2783" t="s">
        <v>1635</v>
      </c>
      <c r="B2783">
        <v>2</v>
      </c>
      <c r="C2783">
        <v>15</v>
      </c>
      <c r="D2783">
        <v>197</v>
      </c>
      <c r="E2783" t="s">
        <v>456</v>
      </c>
      <c r="F2783" s="12">
        <v>45742</v>
      </c>
      <c r="G2783" t="s">
        <v>2275</v>
      </c>
      <c r="H2783" s="12">
        <v>45742</v>
      </c>
      <c r="I2783" t="s">
        <v>1938</v>
      </c>
      <c r="J2783" t="s">
        <v>458</v>
      </c>
      <c r="K2783">
        <v>2</v>
      </c>
      <c r="L2783">
        <v>15</v>
      </c>
      <c r="M2783">
        <v>15</v>
      </c>
      <c r="P2783" t="s">
        <v>106</v>
      </c>
      <c r="Q2783" t="s">
        <v>106</v>
      </c>
      <c r="R2783" t="s">
        <v>106</v>
      </c>
      <c r="S2783" t="s">
        <v>2197</v>
      </c>
      <c r="T2783" t="s">
        <v>776</v>
      </c>
      <c r="U2783" t="s">
        <v>145</v>
      </c>
      <c r="V2783" t="s">
        <v>106</v>
      </c>
      <c r="W2783" t="s">
        <v>557</v>
      </c>
      <c r="X2783" t="s">
        <v>106</v>
      </c>
      <c r="Y2783" t="s">
        <v>108</v>
      </c>
      <c r="Z2783" t="s">
        <v>109</v>
      </c>
      <c r="AA2783" t="s">
        <v>955</v>
      </c>
      <c r="AB2783" t="s">
        <v>106</v>
      </c>
    </row>
    <row r="2784" spans="1:28" x14ac:dyDescent="0.3">
      <c r="A2784" t="s">
        <v>1635</v>
      </c>
      <c r="B2784">
        <v>3</v>
      </c>
      <c r="C2784">
        <v>35</v>
      </c>
      <c r="D2784">
        <v>219</v>
      </c>
      <c r="E2784" t="s">
        <v>456</v>
      </c>
      <c r="F2784" s="12">
        <v>45742</v>
      </c>
      <c r="G2784" t="s">
        <v>1601</v>
      </c>
      <c r="H2784" s="12">
        <v>45742</v>
      </c>
      <c r="I2784" t="s">
        <v>2265</v>
      </c>
      <c r="J2784" t="s">
        <v>471</v>
      </c>
      <c r="K2784">
        <v>2</v>
      </c>
      <c r="L2784">
        <v>38.200000000000003</v>
      </c>
      <c r="M2784">
        <v>38.4</v>
      </c>
      <c r="P2784" t="s">
        <v>106</v>
      </c>
      <c r="Q2784" t="s">
        <v>106</v>
      </c>
      <c r="R2784" t="s">
        <v>106</v>
      </c>
      <c r="S2784" t="s">
        <v>2598</v>
      </c>
      <c r="T2784" t="s">
        <v>1120</v>
      </c>
      <c r="U2784" t="s">
        <v>136</v>
      </c>
      <c r="V2784" t="s">
        <v>106</v>
      </c>
      <c r="W2784" t="s">
        <v>954</v>
      </c>
      <c r="X2784" t="s">
        <v>106</v>
      </c>
      <c r="Y2784" t="s">
        <v>108</v>
      </c>
      <c r="Z2784" t="s">
        <v>108</v>
      </c>
      <c r="AA2784" t="s">
        <v>955</v>
      </c>
      <c r="AB2784" t="s">
        <v>106</v>
      </c>
    </row>
    <row r="2785" spans="1:28" x14ac:dyDescent="0.3">
      <c r="A2785" t="s">
        <v>1635</v>
      </c>
      <c r="B2785">
        <v>3</v>
      </c>
      <c r="C2785">
        <v>35</v>
      </c>
      <c r="D2785">
        <v>218</v>
      </c>
      <c r="E2785" t="s">
        <v>456</v>
      </c>
      <c r="F2785" s="12">
        <v>45742</v>
      </c>
      <c r="G2785" t="s">
        <v>1601</v>
      </c>
      <c r="H2785" s="12">
        <v>45742</v>
      </c>
      <c r="I2785" t="s">
        <v>2265</v>
      </c>
      <c r="J2785" t="s">
        <v>471</v>
      </c>
      <c r="K2785">
        <v>2</v>
      </c>
      <c r="L2785">
        <v>35.700000000000003</v>
      </c>
      <c r="M2785">
        <v>35.799999999999997</v>
      </c>
      <c r="P2785" t="s">
        <v>106</v>
      </c>
      <c r="Q2785" t="s">
        <v>106</v>
      </c>
      <c r="R2785" t="s">
        <v>106</v>
      </c>
      <c r="S2785" t="s">
        <v>2599</v>
      </c>
      <c r="T2785" t="s">
        <v>961</v>
      </c>
      <c r="U2785" t="s">
        <v>426</v>
      </c>
      <c r="V2785" t="s">
        <v>106</v>
      </c>
      <c r="W2785" t="s">
        <v>954</v>
      </c>
      <c r="X2785" t="s">
        <v>106</v>
      </c>
      <c r="Y2785" t="s">
        <v>108</v>
      </c>
      <c r="Z2785" t="s">
        <v>108</v>
      </c>
      <c r="AA2785" t="s">
        <v>955</v>
      </c>
      <c r="AB2785" t="s">
        <v>106</v>
      </c>
    </row>
    <row r="2786" spans="1:28" x14ac:dyDescent="0.3">
      <c r="A2786" t="s">
        <v>1635</v>
      </c>
      <c r="B2786">
        <v>3</v>
      </c>
      <c r="C2786">
        <v>35</v>
      </c>
      <c r="D2786">
        <v>213</v>
      </c>
      <c r="E2786" t="s">
        <v>456</v>
      </c>
      <c r="F2786" s="12">
        <v>45742</v>
      </c>
      <c r="G2786" t="s">
        <v>1752</v>
      </c>
      <c r="H2786" s="12">
        <v>45742</v>
      </c>
      <c r="I2786" t="s">
        <v>810</v>
      </c>
      <c r="J2786" t="s">
        <v>471</v>
      </c>
      <c r="K2786">
        <v>2</v>
      </c>
      <c r="L2786">
        <v>37.9</v>
      </c>
      <c r="M2786">
        <v>38</v>
      </c>
      <c r="P2786" t="s">
        <v>106</v>
      </c>
      <c r="Q2786" t="s">
        <v>106</v>
      </c>
      <c r="R2786" t="s">
        <v>106</v>
      </c>
      <c r="S2786" t="s">
        <v>1015</v>
      </c>
      <c r="T2786" t="s">
        <v>884</v>
      </c>
      <c r="U2786" t="s">
        <v>444</v>
      </c>
      <c r="V2786" t="s">
        <v>106</v>
      </c>
      <c r="W2786" t="s">
        <v>954</v>
      </c>
      <c r="X2786" t="s">
        <v>106</v>
      </c>
      <c r="Y2786" t="s">
        <v>108</v>
      </c>
      <c r="Z2786" t="s">
        <v>108</v>
      </c>
      <c r="AA2786" t="s">
        <v>955</v>
      </c>
      <c r="AB2786" t="s">
        <v>2600</v>
      </c>
    </row>
    <row r="2787" spans="1:28" x14ac:dyDescent="0.3">
      <c r="A2787" t="s">
        <v>1635</v>
      </c>
      <c r="B2787">
        <v>3</v>
      </c>
      <c r="C2787">
        <v>35</v>
      </c>
      <c r="D2787">
        <v>212</v>
      </c>
      <c r="E2787" t="s">
        <v>456</v>
      </c>
      <c r="F2787" s="12">
        <v>45742</v>
      </c>
      <c r="G2787" t="s">
        <v>1537</v>
      </c>
      <c r="H2787" s="12">
        <v>45742</v>
      </c>
      <c r="I2787" t="s">
        <v>810</v>
      </c>
      <c r="J2787" t="s">
        <v>471</v>
      </c>
      <c r="K2787">
        <v>2</v>
      </c>
      <c r="L2787">
        <v>37.799999999999997</v>
      </c>
      <c r="M2787">
        <v>37.9</v>
      </c>
      <c r="P2787" t="s">
        <v>106</v>
      </c>
      <c r="Q2787" t="s">
        <v>106</v>
      </c>
      <c r="R2787" t="s">
        <v>106</v>
      </c>
      <c r="S2787" t="s">
        <v>1015</v>
      </c>
      <c r="T2787" t="s">
        <v>1004</v>
      </c>
      <c r="U2787" t="s">
        <v>867</v>
      </c>
      <c r="V2787" t="s">
        <v>106</v>
      </c>
      <c r="W2787" t="s">
        <v>954</v>
      </c>
      <c r="X2787" t="s">
        <v>106</v>
      </c>
      <c r="Y2787" t="s">
        <v>108</v>
      </c>
      <c r="Z2787" t="s">
        <v>108</v>
      </c>
      <c r="AA2787" t="s">
        <v>955</v>
      </c>
      <c r="AB2787" t="s">
        <v>2595</v>
      </c>
    </row>
    <row r="2788" spans="1:28" x14ac:dyDescent="0.3">
      <c r="A2788" t="s">
        <v>1635</v>
      </c>
      <c r="B2788">
        <v>3</v>
      </c>
      <c r="C2788">
        <v>35</v>
      </c>
      <c r="D2788">
        <v>207</v>
      </c>
      <c r="E2788" t="s">
        <v>456</v>
      </c>
      <c r="F2788" s="12">
        <v>45742</v>
      </c>
      <c r="G2788" t="s">
        <v>2601</v>
      </c>
      <c r="H2788" s="12">
        <v>45742</v>
      </c>
      <c r="I2788" t="s">
        <v>1166</v>
      </c>
      <c r="J2788" t="s">
        <v>471</v>
      </c>
      <c r="K2788">
        <v>2</v>
      </c>
      <c r="L2788">
        <v>39.799999999999997</v>
      </c>
      <c r="M2788">
        <v>40.200000000000003</v>
      </c>
      <c r="P2788" t="s">
        <v>106</v>
      </c>
      <c r="Q2788" t="s">
        <v>106</v>
      </c>
      <c r="R2788" t="s">
        <v>106</v>
      </c>
      <c r="S2788" t="s">
        <v>2274</v>
      </c>
      <c r="T2788" t="s">
        <v>1899</v>
      </c>
      <c r="U2788" t="s">
        <v>720</v>
      </c>
      <c r="V2788" t="s">
        <v>106</v>
      </c>
      <c r="W2788" t="s">
        <v>954</v>
      </c>
      <c r="X2788" t="s">
        <v>106</v>
      </c>
      <c r="Y2788" t="s">
        <v>108</v>
      </c>
      <c r="Z2788" t="s">
        <v>108</v>
      </c>
      <c r="AA2788" t="s">
        <v>955</v>
      </c>
      <c r="AB2788" t="s">
        <v>106</v>
      </c>
    </row>
    <row r="2789" spans="1:28" x14ac:dyDescent="0.3">
      <c r="A2789" t="s">
        <v>1635</v>
      </c>
      <c r="B2789">
        <v>3</v>
      </c>
      <c r="C2789">
        <v>35</v>
      </c>
      <c r="D2789">
        <v>206</v>
      </c>
      <c r="E2789" t="s">
        <v>456</v>
      </c>
      <c r="F2789" s="12">
        <v>45742</v>
      </c>
      <c r="G2789" t="s">
        <v>2601</v>
      </c>
      <c r="H2789" s="12">
        <v>45742</v>
      </c>
      <c r="I2789" t="s">
        <v>1166</v>
      </c>
      <c r="J2789" t="s">
        <v>471</v>
      </c>
      <c r="K2789">
        <v>2</v>
      </c>
      <c r="L2789">
        <v>39.799999999999997</v>
      </c>
      <c r="M2789">
        <v>40.200000000000003</v>
      </c>
      <c r="P2789" t="s">
        <v>106</v>
      </c>
      <c r="Q2789" t="s">
        <v>106</v>
      </c>
      <c r="R2789" t="s">
        <v>106</v>
      </c>
      <c r="S2789" t="s">
        <v>2270</v>
      </c>
      <c r="T2789" t="s">
        <v>1899</v>
      </c>
      <c r="U2789" t="s">
        <v>720</v>
      </c>
      <c r="V2789" t="s">
        <v>106</v>
      </c>
      <c r="W2789" t="s">
        <v>954</v>
      </c>
      <c r="X2789" t="s">
        <v>106</v>
      </c>
      <c r="Y2789" t="s">
        <v>108</v>
      </c>
      <c r="Z2789" t="s">
        <v>108</v>
      </c>
      <c r="AA2789" t="s">
        <v>955</v>
      </c>
      <c r="AB2789" t="s">
        <v>2602</v>
      </c>
    </row>
    <row r="2790" spans="1:28" x14ac:dyDescent="0.3">
      <c r="A2790" t="s">
        <v>1635</v>
      </c>
      <c r="B2790">
        <v>3</v>
      </c>
      <c r="C2790">
        <v>35</v>
      </c>
      <c r="D2790">
        <v>205</v>
      </c>
      <c r="E2790" t="s">
        <v>456</v>
      </c>
      <c r="F2790" s="12">
        <v>45742</v>
      </c>
      <c r="G2790" t="s">
        <v>2603</v>
      </c>
      <c r="H2790" s="12">
        <v>45742</v>
      </c>
      <c r="I2790" t="s">
        <v>1166</v>
      </c>
      <c r="J2790" t="s">
        <v>471</v>
      </c>
      <c r="K2790">
        <v>2</v>
      </c>
      <c r="L2790">
        <v>37.700000000000003</v>
      </c>
      <c r="M2790">
        <v>37.799999999999997</v>
      </c>
      <c r="P2790" t="s">
        <v>106</v>
      </c>
      <c r="Q2790" t="s">
        <v>106</v>
      </c>
      <c r="R2790" t="s">
        <v>106</v>
      </c>
      <c r="S2790" t="s">
        <v>2550</v>
      </c>
      <c r="T2790" t="s">
        <v>1090</v>
      </c>
      <c r="U2790" t="s">
        <v>136</v>
      </c>
      <c r="V2790" t="s">
        <v>106</v>
      </c>
      <c r="W2790" t="s">
        <v>954</v>
      </c>
      <c r="X2790" t="s">
        <v>106</v>
      </c>
      <c r="Y2790" t="s">
        <v>108</v>
      </c>
      <c r="Z2790" t="s">
        <v>108</v>
      </c>
      <c r="AA2790" t="s">
        <v>955</v>
      </c>
      <c r="AB2790" t="s">
        <v>106</v>
      </c>
    </row>
    <row r="2791" spans="1:28" x14ac:dyDescent="0.3">
      <c r="A2791" t="s">
        <v>1635</v>
      </c>
      <c r="B2791">
        <v>3</v>
      </c>
      <c r="C2791">
        <v>35</v>
      </c>
      <c r="D2791">
        <v>173</v>
      </c>
      <c r="E2791" t="s">
        <v>456</v>
      </c>
      <c r="F2791" s="12">
        <v>45742</v>
      </c>
      <c r="G2791" t="s">
        <v>2291</v>
      </c>
      <c r="H2791" s="12">
        <v>45742</v>
      </c>
      <c r="I2791" t="s">
        <v>693</v>
      </c>
      <c r="J2791" t="s">
        <v>458</v>
      </c>
      <c r="K2791">
        <v>2</v>
      </c>
      <c r="L2791">
        <v>34.799999999999997</v>
      </c>
      <c r="M2791">
        <v>34.799999999999997</v>
      </c>
      <c r="P2791" t="s">
        <v>106</v>
      </c>
      <c r="Q2791" t="s">
        <v>106</v>
      </c>
      <c r="R2791" t="s">
        <v>106</v>
      </c>
      <c r="S2791" t="s">
        <v>2604</v>
      </c>
      <c r="T2791" t="s">
        <v>984</v>
      </c>
      <c r="U2791" t="s">
        <v>136</v>
      </c>
      <c r="V2791" t="s">
        <v>106</v>
      </c>
      <c r="W2791" t="s">
        <v>557</v>
      </c>
      <c r="X2791" t="s">
        <v>106</v>
      </c>
      <c r="Y2791" t="s">
        <v>108</v>
      </c>
      <c r="Z2791" t="s">
        <v>108</v>
      </c>
      <c r="AA2791" t="s">
        <v>955</v>
      </c>
      <c r="AB2791" t="s">
        <v>106</v>
      </c>
    </row>
    <row r="2792" spans="1:28" x14ac:dyDescent="0.3">
      <c r="A2792" t="s">
        <v>1635</v>
      </c>
      <c r="B2792">
        <v>3</v>
      </c>
      <c r="C2792">
        <v>35</v>
      </c>
      <c r="D2792">
        <v>200</v>
      </c>
      <c r="E2792" t="s">
        <v>456</v>
      </c>
      <c r="F2792" s="12">
        <v>45742</v>
      </c>
      <c r="G2792" t="s">
        <v>526</v>
      </c>
      <c r="H2792" s="12">
        <v>45742</v>
      </c>
      <c r="I2792" t="s">
        <v>883</v>
      </c>
      <c r="J2792" t="s">
        <v>1363</v>
      </c>
      <c r="K2792">
        <v>2</v>
      </c>
      <c r="L2792">
        <v>38.200000000000003</v>
      </c>
      <c r="M2792">
        <v>38.1</v>
      </c>
      <c r="P2792" t="s">
        <v>106</v>
      </c>
      <c r="Q2792" t="s">
        <v>106</v>
      </c>
      <c r="R2792" t="s">
        <v>106</v>
      </c>
      <c r="S2792" t="s">
        <v>2000</v>
      </c>
      <c r="T2792" t="s">
        <v>1016</v>
      </c>
      <c r="U2792" t="s">
        <v>441</v>
      </c>
      <c r="V2792" t="s">
        <v>106</v>
      </c>
      <c r="W2792" t="s">
        <v>954</v>
      </c>
      <c r="X2792" t="s">
        <v>106</v>
      </c>
      <c r="Y2792" t="s">
        <v>108</v>
      </c>
      <c r="Z2792" t="s">
        <v>108</v>
      </c>
      <c r="AA2792" t="s">
        <v>955</v>
      </c>
      <c r="AB2792" t="s">
        <v>106</v>
      </c>
    </row>
    <row r="2793" spans="1:28" x14ac:dyDescent="0.3">
      <c r="A2793" t="s">
        <v>1635</v>
      </c>
      <c r="B2793">
        <v>3</v>
      </c>
      <c r="C2793">
        <v>35</v>
      </c>
      <c r="D2793">
        <v>194</v>
      </c>
      <c r="E2793" t="s">
        <v>456</v>
      </c>
      <c r="F2793" s="12">
        <v>45742</v>
      </c>
      <c r="G2793" t="s">
        <v>711</v>
      </c>
      <c r="H2793" s="12">
        <v>45742</v>
      </c>
      <c r="I2793" t="s">
        <v>1938</v>
      </c>
      <c r="J2793" t="s">
        <v>458</v>
      </c>
      <c r="K2793">
        <v>2</v>
      </c>
      <c r="L2793">
        <v>37.1</v>
      </c>
      <c r="M2793">
        <v>37</v>
      </c>
      <c r="P2793" t="s">
        <v>106</v>
      </c>
      <c r="Q2793" t="s">
        <v>106</v>
      </c>
      <c r="R2793" t="s">
        <v>106</v>
      </c>
      <c r="S2793" t="s">
        <v>2259</v>
      </c>
      <c r="T2793" t="s">
        <v>975</v>
      </c>
      <c r="U2793" t="s">
        <v>136</v>
      </c>
      <c r="V2793" t="s">
        <v>106</v>
      </c>
      <c r="W2793" t="s">
        <v>557</v>
      </c>
      <c r="X2793" t="s">
        <v>106</v>
      </c>
      <c r="Y2793" t="s">
        <v>108</v>
      </c>
      <c r="Z2793" t="s">
        <v>108</v>
      </c>
      <c r="AA2793" t="s">
        <v>955</v>
      </c>
      <c r="AB2793" t="s">
        <v>106</v>
      </c>
    </row>
    <row r="2794" spans="1:28" x14ac:dyDescent="0.3">
      <c r="A2794" t="s">
        <v>1635</v>
      </c>
      <c r="B2794">
        <v>3</v>
      </c>
      <c r="C2794">
        <v>35</v>
      </c>
      <c r="D2794">
        <v>193</v>
      </c>
      <c r="E2794" t="s">
        <v>456</v>
      </c>
      <c r="F2794" s="12">
        <v>45742</v>
      </c>
      <c r="G2794" t="s">
        <v>853</v>
      </c>
      <c r="H2794" s="12">
        <v>45742</v>
      </c>
      <c r="I2794" t="s">
        <v>1938</v>
      </c>
      <c r="J2794" t="s">
        <v>458</v>
      </c>
      <c r="K2794">
        <v>2</v>
      </c>
      <c r="L2794">
        <v>32.799999999999997</v>
      </c>
      <c r="M2794">
        <v>32.700000000000003</v>
      </c>
      <c r="P2794" t="s">
        <v>106</v>
      </c>
      <c r="Q2794" t="s">
        <v>106</v>
      </c>
      <c r="R2794" t="s">
        <v>106</v>
      </c>
      <c r="S2794" t="s">
        <v>2215</v>
      </c>
      <c r="T2794" t="s">
        <v>757</v>
      </c>
      <c r="U2794" t="s">
        <v>532</v>
      </c>
      <c r="V2794" t="s">
        <v>106</v>
      </c>
      <c r="W2794" t="s">
        <v>557</v>
      </c>
      <c r="X2794" t="s">
        <v>106</v>
      </c>
      <c r="Y2794" t="s">
        <v>108</v>
      </c>
      <c r="Z2794" t="s">
        <v>108</v>
      </c>
      <c r="AA2794" t="s">
        <v>955</v>
      </c>
      <c r="AB2794" t="s">
        <v>106</v>
      </c>
    </row>
    <row r="2795" spans="1:28" x14ac:dyDescent="0.3">
      <c r="A2795" t="s">
        <v>1635</v>
      </c>
      <c r="B2795">
        <v>3</v>
      </c>
      <c r="C2795">
        <v>35</v>
      </c>
      <c r="D2795">
        <v>188</v>
      </c>
      <c r="E2795" t="s">
        <v>456</v>
      </c>
      <c r="F2795" s="12">
        <v>45742</v>
      </c>
      <c r="G2795" t="s">
        <v>328</v>
      </c>
      <c r="H2795" s="12">
        <v>45742</v>
      </c>
      <c r="I2795" t="s">
        <v>329</v>
      </c>
      <c r="J2795" t="s">
        <v>458</v>
      </c>
      <c r="K2795">
        <v>2</v>
      </c>
      <c r="L2795">
        <v>37.4</v>
      </c>
      <c r="M2795">
        <v>38.1</v>
      </c>
      <c r="P2795" t="s">
        <v>106</v>
      </c>
      <c r="Q2795" t="s">
        <v>106</v>
      </c>
      <c r="R2795" t="s">
        <v>106</v>
      </c>
      <c r="S2795" t="s">
        <v>1983</v>
      </c>
      <c r="T2795" t="s">
        <v>2030</v>
      </c>
      <c r="U2795" t="s">
        <v>2276</v>
      </c>
      <c r="V2795" t="s">
        <v>106</v>
      </c>
      <c r="W2795" t="s">
        <v>557</v>
      </c>
      <c r="X2795" t="s">
        <v>106</v>
      </c>
      <c r="Y2795" t="s">
        <v>108</v>
      </c>
      <c r="Z2795" t="s">
        <v>108</v>
      </c>
      <c r="AA2795" t="s">
        <v>955</v>
      </c>
      <c r="AB2795" t="s">
        <v>106</v>
      </c>
    </row>
    <row r="2796" spans="1:28" x14ac:dyDescent="0.3">
      <c r="A2796" t="s">
        <v>1635</v>
      </c>
      <c r="B2796">
        <v>3</v>
      </c>
      <c r="C2796">
        <v>35</v>
      </c>
      <c r="D2796">
        <v>187</v>
      </c>
      <c r="E2796" t="s">
        <v>456</v>
      </c>
      <c r="F2796" s="12">
        <v>45742</v>
      </c>
      <c r="G2796" t="s">
        <v>1107</v>
      </c>
      <c r="H2796" s="12">
        <v>45742</v>
      </c>
      <c r="I2796" t="s">
        <v>329</v>
      </c>
      <c r="J2796" t="s">
        <v>458</v>
      </c>
      <c r="K2796">
        <v>2</v>
      </c>
      <c r="L2796">
        <v>35</v>
      </c>
      <c r="M2796">
        <v>35.5</v>
      </c>
      <c r="P2796" t="s">
        <v>106</v>
      </c>
      <c r="Q2796" t="s">
        <v>106</v>
      </c>
      <c r="R2796" t="s">
        <v>106</v>
      </c>
      <c r="S2796" t="s">
        <v>2605</v>
      </c>
      <c r="T2796" t="s">
        <v>1589</v>
      </c>
      <c r="U2796" t="s">
        <v>433</v>
      </c>
      <c r="V2796" t="s">
        <v>106</v>
      </c>
      <c r="W2796" t="s">
        <v>557</v>
      </c>
      <c r="X2796" t="s">
        <v>106</v>
      </c>
      <c r="Y2796" t="s">
        <v>108</v>
      </c>
      <c r="Z2796" t="s">
        <v>108</v>
      </c>
      <c r="AA2796" t="s">
        <v>955</v>
      </c>
      <c r="AB2796" t="s">
        <v>106</v>
      </c>
    </row>
    <row r="2797" spans="1:28" x14ac:dyDescent="0.3">
      <c r="A2797" t="s">
        <v>1635</v>
      </c>
      <c r="B2797">
        <v>3</v>
      </c>
      <c r="C2797">
        <v>35</v>
      </c>
      <c r="D2797">
        <v>180</v>
      </c>
      <c r="E2797" t="s">
        <v>456</v>
      </c>
      <c r="F2797" s="12">
        <v>45742</v>
      </c>
      <c r="G2797" t="s">
        <v>407</v>
      </c>
      <c r="H2797" s="12">
        <v>45742</v>
      </c>
      <c r="I2797" t="s">
        <v>336</v>
      </c>
      <c r="J2797" t="s">
        <v>458</v>
      </c>
      <c r="K2797">
        <v>2</v>
      </c>
      <c r="L2797">
        <v>34.6</v>
      </c>
      <c r="M2797">
        <v>34.9</v>
      </c>
      <c r="P2797" t="s">
        <v>106</v>
      </c>
      <c r="Q2797" t="s">
        <v>106</v>
      </c>
      <c r="R2797" t="s">
        <v>106</v>
      </c>
      <c r="S2797" t="s">
        <v>1045</v>
      </c>
      <c r="T2797" t="s">
        <v>1074</v>
      </c>
      <c r="U2797" t="s">
        <v>147</v>
      </c>
      <c r="V2797" t="s">
        <v>106</v>
      </c>
      <c r="W2797" t="s">
        <v>557</v>
      </c>
      <c r="X2797" t="s">
        <v>106</v>
      </c>
      <c r="Y2797" t="s">
        <v>108</v>
      </c>
      <c r="Z2797" t="s">
        <v>108</v>
      </c>
      <c r="AA2797" t="s">
        <v>955</v>
      </c>
      <c r="AB2797" t="s">
        <v>106</v>
      </c>
    </row>
    <row r="2798" spans="1:28" x14ac:dyDescent="0.3">
      <c r="A2798" t="s">
        <v>1635</v>
      </c>
      <c r="B2798">
        <v>3</v>
      </c>
      <c r="C2798">
        <v>35</v>
      </c>
      <c r="D2798">
        <v>179</v>
      </c>
      <c r="E2798" t="s">
        <v>456</v>
      </c>
      <c r="F2798" s="12">
        <v>45742</v>
      </c>
      <c r="G2798" t="s">
        <v>432</v>
      </c>
      <c r="H2798" s="12">
        <v>45742</v>
      </c>
      <c r="I2798" t="s">
        <v>336</v>
      </c>
      <c r="J2798" t="s">
        <v>458</v>
      </c>
      <c r="K2798">
        <v>2</v>
      </c>
      <c r="L2798">
        <v>33.9</v>
      </c>
      <c r="M2798">
        <v>33.9</v>
      </c>
      <c r="P2798" t="s">
        <v>106</v>
      </c>
      <c r="Q2798" t="s">
        <v>106</v>
      </c>
      <c r="R2798" t="s">
        <v>106</v>
      </c>
      <c r="S2798" t="s">
        <v>1056</v>
      </c>
      <c r="T2798" t="s">
        <v>996</v>
      </c>
      <c r="U2798" t="s">
        <v>785</v>
      </c>
      <c r="V2798" t="s">
        <v>106</v>
      </c>
      <c r="W2798" t="s">
        <v>557</v>
      </c>
      <c r="X2798" t="s">
        <v>106</v>
      </c>
      <c r="Y2798" t="s">
        <v>108</v>
      </c>
      <c r="Z2798" t="s">
        <v>108</v>
      </c>
      <c r="AA2798" t="s">
        <v>955</v>
      </c>
      <c r="AB2798" t="s">
        <v>106</v>
      </c>
    </row>
    <row r="2799" spans="1:28" x14ac:dyDescent="0.3">
      <c r="A2799" t="s">
        <v>1635</v>
      </c>
      <c r="B2799">
        <v>3</v>
      </c>
      <c r="C2799">
        <v>35</v>
      </c>
      <c r="D2799">
        <v>174</v>
      </c>
      <c r="E2799" t="s">
        <v>456</v>
      </c>
      <c r="F2799" s="12">
        <v>45742</v>
      </c>
      <c r="G2799" t="s">
        <v>1702</v>
      </c>
      <c r="H2799" s="12">
        <v>45742</v>
      </c>
      <c r="I2799" t="s">
        <v>693</v>
      </c>
      <c r="J2799" t="s">
        <v>458</v>
      </c>
      <c r="K2799">
        <v>2</v>
      </c>
      <c r="L2799">
        <v>35.700000000000003</v>
      </c>
      <c r="M2799">
        <v>35.799999999999997</v>
      </c>
      <c r="P2799" t="s">
        <v>106</v>
      </c>
      <c r="Q2799" t="s">
        <v>106</v>
      </c>
      <c r="R2799" t="s">
        <v>106</v>
      </c>
      <c r="S2799" t="s">
        <v>2604</v>
      </c>
      <c r="T2799" t="s">
        <v>1425</v>
      </c>
      <c r="U2799" t="s">
        <v>2119</v>
      </c>
      <c r="V2799" t="s">
        <v>106</v>
      </c>
      <c r="W2799" t="s">
        <v>557</v>
      </c>
      <c r="X2799" t="s">
        <v>106</v>
      </c>
      <c r="Y2799" t="s">
        <v>108</v>
      </c>
      <c r="Z2799" t="s">
        <v>108</v>
      </c>
      <c r="AA2799" t="s">
        <v>955</v>
      </c>
      <c r="AB2799" t="s">
        <v>106</v>
      </c>
    </row>
    <row r="2800" spans="1:28" x14ac:dyDescent="0.3">
      <c r="A2800" t="s">
        <v>1635</v>
      </c>
      <c r="B2800">
        <v>3</v>
      </c>
      <c r="C2800">
        <v>35</v>
      </c>
      <c r="D2800">
        <v>161</v>
      </c>
      <c r="E2800" t="s">
        <v>456</v>
      </c>
      <c r="F2800" s="12">
        <v>45742</v>
      </c>
      <c r="G2800" t="s">
        <v>507</v>
      </c>
      <c r="H2800" s="12">
        <v>45742</v>
      </c>
      <c r="I2800" t="s">
        <v>106</v>
      </c>
      <c r="J2800" t="s">
        <v>458</v>
      </c>
      <c r="K2800">
        <v>2</v>
      </c>
      <c r="L2800">
        <v>33.200000000000003</v>
      </c>
      <c r="M2800">
        <v>33.1</v>
      </c>
      <c r="P2800" t="s">
        <v>106</v>
      </c>
      <c r="Q2800" t="s">
        <v>106</v>
      </c>
      <c r="R2800" t="s">
        <v>106</v>
      </c>
      <c r="S2800" t="s">
        <v>2606</v>
      </c>
      <c r="T2800" t="s">
        <v>760</v>
      </c>
      <c r="U2800" t="s">
        <v>146</v>
      </c>
      <c r="V2800" t="s">
        <v>106</v>
      </c>
      <c r="W2800" t="s">
        <v>443</v>
      </c>
      <c r="X2800" t="s">
        <v>106</v>
      </c>
      <c r="Y2800" t="s">
        <v>108</v>
      </c>
      <c r="Z2800" t="s">
        <v>108</v>
      </c>
      <c r="AA2800" t="s">
        <v>106</v>
      </c>
      <c r="AB2800" t="s">
        <v>106</v>
      </c>
    </row>
    <row r="2801" spans="1:28" x14ac:dyDescent="0.3">
      <c r="A2801" t="s">
        <v>1635</v>
      </c>
      <c r="B2801">
        <v>3</v>
      </c>
      <c r="C2801">
        <v>35</v>
      </c>
      <c r="D2801">
        <v>162</v>
      </c>
      <c r="E2801" t="s">
        <v>456</v>
      </c>
      <c r="F2801" s="12">
        <v>45742</v>
      </c>
      <c r="G2801" t="s">
        <v>507</v>
      </c>
      <c r="H2801" s="12">
        <v>45742</v>
      </c>
      <c r="I2801" t="s">
        <v>106</v>
      </c>
      <c r="J2801" t="s">
        <v>458</v>
      </c>
      <c r="K2801">
        <v>2</v>
      </c>
      <c r="L2801">
        <v>32.1</v>
      </c>
      <c r="M2801">
        <v>32.200000000000003</v>
      </c>
      <c r="P2801" t="s">
        <v>106</v>
      </c>
      <c r="Q2801" t="s">
        <v>106</v>
      </c>
      <c r="R2801" t="s">
        <v>106</v>
      </c>
      <c r="S2801" t="s">
        <v>106</v>
      </c>
      <c r="T2801" t="s">
        <v>1449</v>
      </c>
      <c r="U2801" t="s">
        <v>426</v>
      </c>
      <c r="V2801" t="s">
        <v>106</v>
      </c>
      <c r="W2801" t="s">
        <v>443</v>
      </c>
      <c r="X2801" t="s">
        <v>106</v>
      </c>
      <c r="Y2801" t="s">
        <v>108</v>
      </c>
      <c r="Z2801" t="s">
        <v>108</v>
      </c>
      <c r="AA2801" t="s">
        <v>106</v>
      </c>
      <c r="AB2801" t="s">
        <v>106</v>
      </c>
    </row>
    <row r="2802" spans="1:28" x14ac:dyDescent="0.3">
      <c r="A2802" t="s">
        <v>1635</v>
      </c>
      <c r="B2802">
        <v>3</v>
      </c>
      <c r="C2802">
        <v>35</v>
      </c>
      <c r="D2802">
        <v>167</v>
      </c>
      <c r="E2802" t="s">
        <v>456</v>
      </c>
      <c r="F2802" s="12">
        <v>45742</v>
      </c>
      <c r="G2802" t="s">
        <v>2182</v>
      </c>
      <c r="H2802" s="12">
        <v>45742</v>
      </c>
      <c r="I2802" t="s">
        <v>2263</v>
      </c>
      <c r="J2802" t="s">
        <v>458</v>
      </c>
      <c r="K2802">
        <v>2</v>
      </c>
      <c r="L2802">
        <v>35.799999999999997</v>
      </c>
      <c r="M2802">
        <v>35.9</v>
      </c>
      <c r="P2802" t="s">
        <v>106</v>
      </c>
      <c r="Q2802" t="s">
        <v>106</v>
      </c>
      <c r="R2802" t="s">
        <v>106</v>
      </c>
      <c r="S2802" t="s">
        <v>1089</v>
      </c>
      <c r="T2802" t="s">
        <v>760</v>
      </c>
      <c r="U2802" t="s">
        <v>785</v>
      </c>
      <c r="V2802" t="s">
        <v>106</v>
      </c>
      <c r="W2802" t="s">
        <v>443</v>
      </c>
      <c r="X2802" t="s">
        <v>106</v>
      </c>
      <c r="Y2802" t="s">
        <v>108</v>
      </c>
      <c r="Z2802" t="s">
        <v>108</v>
      </c>
      <c r="AA2802" t="s">
        <v>106</v>
      </c>
      <c r="AB2802" t="s">
        <v>106</v>
      </c>
    </row>
    <row r="2803" spans="1:28" x14ac:dyDescent="0.3">
      <c r="A2803" t="s">
        <v>1635</v>
      </c>
      <c r="B2803">
        <v>3</v>
      </c>
      <c r="C2803">
        <v>35</v>
      </c>
      <c r="D2803">
        <v>199</v>
      </c>
      <c r="E2803" t="s">
        <v>456</v>
      </c>
      <c r="F2803" s="12">
        <v>45742</v>
      </c>
      <c r="G2803" t="s">
        <v>526</v>
      </c>
      <c r="H2803" s="12">
        <v>45742</v>
      </c>
      <c r="I2803" t="s">
        <v>883</v>
      </c>
      <c r="J2803" t="s">
        <v>1363</v>
      </c>
      <c r="K2803">
        <v>2</v>
      </c>
      <c r="L2803">
        <v>35.6</v>
      </c>
      <c r="M2803">
        <v>35.700000000000003</v>
      </c>
      <c r="P2803" t="s">
        <v>106</v>
      </c>
      <c r="Q2803" t="s">
        <v>106</v>
      </c>
      <c r="R2803" t="s">
        <v>106</v>
      </c>
      <c r="S2803" t="s">
        <v>2607</v>
      </c>
      <c r="T2803" t="s">
        <v>2063</v>
      </c>
      <c r="U2803" t="s">
        <v>441</v>
      </c>
      <c r="V2803" t="s">
        <v>106</v>
      </c>
      <c r="W2803" t="s">
        <v>954</v>
      </c>
      <c r="X2803" t="s">
        <v>106</v>
      </c>
      <c r="Y2803" t="s">
        <v>108</v>
      </c>
      <c r="Z2803" t="s">
        <v>108</v>
      </c>
      <c r="AA2803" t="s">
        <v>955</v>
      </c>
      <c r="AB2803" t="s">
        <v>2595</v>
      </c>
    </row>
    <row r="2804" spans="1:28" x14ac:dyDescent="0.3">
      <c r="A2804" t="s">
        <v>1635</v>
      </c>
      <c r="B2804">
        <v>3</v>
      </c>
      <c r="C2804">
        <v>35</v>
      </c>
      <c r="D2804">
        <v>168</v>
      </c>
      <c r="E2804" t="s">
        <v>456</v>
      </c>
      <c r="F2804" s="12">
        <v>45742</v>
      </c>
      <c r="G2804" t="s">
        <v>2608</v>
      </c>
      <c r="H2804" s="12">
        <v>45742</v>
      </c>
      <c r="I2804" t="s">
        <v>2263</v>
      </c>
      <c r="J2804" t="s">
        <v>458</v>
      </c>
      <c r="K2804">
        <v>2</v>
      </c>
      <c r="L2804">
        <v>35</v>
      </c>
      <c r="M2804">
        <v>35</v>
      </c>
      <c r="P2804" t="s">
        <v>106</v>
      </c>
      <c r="Q2804" t="s">
        <v>106</v>
      </c>
      <c r="R2804" t="s">
        <v>106</v>
      </c>
      <c r="S2804" t="s">
        <v>2422</v>
      </c>
      <c r="T2804" t="s">
        <v>989</v>
      </c>
      <c r="U2804" t="s">
        <v>144</v>
      </c>
      <c r="V2804" t="s">
        <v>106</v>
      </c>
      <c r="W2804" t="s">
        <v>557</v>
      </c>
      <c r="X2804" t="s">
        <v>106</v>
      </c>
      <c r="Y2804" t="s">
        <v>108</v>
      </c>
      <c r="Z2804" t="s">
        <v>109</v>
      </c>
      <c r="AA2804" t="s">
        <v>955</v>
      </c>
      <c r="AB2804" t="s">
        <v>106</v>
      </c>
    </row>
    <row r="2805" spans="1:28" x14ac:dyDescent="0.3">
      <c r="A2805" t="s">
        <v>1635</v>
      </c>
      <c r="B2805">
        <v>4</v>
      </c>
      <c r="C2805">
        <v>60</v>
      </c>
      <c r="D2805">
        <v>220</v>
      </c>
      <c r="E2805" t="s">
        <v>456</v>
      </c>
      <c r="F2805" s="12">
        <v>45742</v>
      </c>
      <c r="G2805" t="s">
        <v>2497</v>
      </c>
      <c r="H2805" s="12">
        <v>45742</v>
      </c>
      <c r="I2805" t="s">
        <v>2265</v>
      </c>
      <c r="J2805" t="s">
        <v>471</v>
      </c>
      <c r="K2805">
        <v>2</v>
      </c>
      <c r="L2805">
        <v>56.4</v>
      </c>
      <c r="M2805">
        <v>56.5</v>
      </c>
      <c r="P2805" t="s">
        <v>106</v>
      </c>
      <c r="Q2805" t="s">
        <v>106</v>
      </c>
      <c r="R2805" t="s">
        <v>106</v>
      </c>
      <c r="S2805" t="s">
        <v>2605</v>
      </c>
      <c r="T2805" t="s">
        <v>2059</v>
      </c>
      <c r="U2805" t="s">
        <v>441</v>
      </c>
      <c r="V2805" t="s">
        <v>106</v>
      </c>
      <c r="W2805" t="s">
        <v>954</v>
      </c>
      <c r="X2805" t="s">
        <v>106</v>
      </c>
      <c r="Y2805" t="s">
        <v>108</v>
      </c>
      <c r="Z2805" t="s">
        <v>104</v>
      </c>
      <c r="AA2805" t="s">
        <v>966</v>
      </c>
      <c r="AB2805" t="s">
        <v>106</v>
      </c>
    </row>
    <row r="2806" spans="1:28" x14ac:dyDescent="0.3">
      <c r="A2806" t="s">
        <v>1635</v>
      </c>
      <c r="B2806">
        <v>4</v>
      </c>
      <c r="C2806">
        <v>60</v>
      </c>
      <c r="D2806">
        <v>215</v>
      </c>
      <c r="E2806" t="s">
        <v>456</v>
      </c>
      <c r="F2806" s="12">
        <v>45742</v>
      </c>
      <c r="G2806" t="s">
        <v>1593</v>
      </c>
      <c r="H2806" s="12">
        <v>45742</v>
      </c>
      <c r="I2806" t="s">
        <v>810</v>
      </c>
      <c r="J2806" t="s">
        <v>471</v>
      </c>
      <c r="K2806">
        <v>2</v>
      </c>
      <c r="L2806">
        <v>64.599999999999994</v>
      </c>
      <c r="M2806">
        <v>64.3</v>
      </c>
      <c r="P2806" t="s">
        <v>106</v>
      </c>
      <c r="Q2806" t="s">
        <v>106</v>
      </c>
      <c r="R2806" t="s">
        <v>106</v>
      </c>
      <c r="S2806" t="s">
        <v>1073</v>
      </c>
      <c r="T2806" t="s">
        <v>1475</v>
      </c>
      <c r="U2806" t="s">
        <v>426</v>
      </c>
      <c r="V2806" t="s">
        <v>106</v>
      </c>
      <c r="W2806" t="s">
        <v>954</v>
      </c>
      <c r="X2806" t="s">
        <v>106</v>
      </c>
      <c r="Y2806" t="s">
        <v>108</v>
      </c>
      <c r="Z2806" t="s">
        <v>104</v>
      </c>
      <c r="AA2806" t="s">
        <v>966</v>
      </c>
      <c r="AB2806" t="s">
        <v>106</v>
      </c>
    </row>
    <row r="2807" spans="1:28" x14ac:dyDescent="0.3">
      <c r="A2807" t="s">
        <v>1635</v>
      </c>
      <c r="B2807">
        <v>4</v>
      </c>
      <c r="C2807">
        <v>60</v>
      </c>
      <c r="D2807">
        <v>214</v>
      </c>
      <c r="E2807" t="s">
        <v>456</v>
      </c>
      <c r="F2807" s="12">
        <v>45742</v>
      </c>
      <c r="G2807" t="s">
        <v>2541</v>
      </c>
      <c r="H2807" s="12">
        <v>45742</v>
      </c>
      <c r="I2807" t="s">
        <v>810</v>
      </c>
      <c r="J2807" t="s">
        <v>471</v>
      </c>
      <c r="K2807">
        <v>2</v>
      </c>
      <c r="L2807">
        <v>63</v>
      </c>
      <c r="M2807">
        <v>63.5</v>
      </c>
      <c r="P2807" t="s">
        <v>106</v>
      </c>
      <c r="Q2807" t="s">
        <v>106</v>
      </c>
      <c r="R2807" t="s">
        <v>106</v>
      </c>
      <c r="S2807" t="s">
        <v>2233</v>
      </c>
      <c r="T2807" t="s">
        <v>1523</v>
      </c>
      <c r="U2807" t="s">
        <v>138</v>
      </c>
      <c r="V2807" t="s">
        <v>106</v>
      </c>
      <c r="W2807" t="s">
        <v>954</v>
      </c>
      <c r="X2807" t="s">
        <v>106</v>
      </c>
      <c r="Y2807" t="s">
        <v>108</v>
      </c>
      <c r="Z2807" t="s">
        <v>104</v>
      </c>
      <c r="AA2807" t="s">
        <v>966</v>
      </c>
      <c r="AB2807" t="s">
        <v>106</v>
      </c>
    </row>
    <row r="2808" spans="1:28" x14ac:dyDescent="0.3">
      <c r="A2808" t="s">
        <v>1635</v>
      </c>
      <c r="B2808">
        <v>4</v>
      </c>
      <c r="C2808">
        <v>60</v>
      </c>
      <c r="D2808">
        <v>209</v>
      </c>
      <c r="E2808" t="s">
        <v>456</v>
      </c>
      <c r="F2808" s="12">
        <v>45742</v>
      </c>
      <c r="G2808" t="s">
        <v>2761</v>
      </c>
      <c r="H2808" s="12">
        <v>45742</v>
      </c>
      <c r="I2808" t="s">
        <v>1166</v>
      </c>
      <c r="J2808" t="s">
        <v>471</v>
      </c>
      <c r="K2808">
        <v>2</v>
      </c>
      <c r="L2808">
        <v>61.6</v>
      </c>
      <c r="M2808">
        <v>61.3</v>
      </c>
      <c r="P2808" t="s">
        <v>106</v>
      </c>
      <c r="Q2808" t="s">
        <v>106</v>
      </c>
      <c r="R2808" t="s">
        <v>106</v>
      </c>
      <c r="S2808" t="s">
        <v>2274</v>
      </c>
      <c r="T2808" t="s">
        <v>1131</v>
      </c>
      <c r="U2808" t="s">
        <v>725</v>
      </c>
      <c r="V2808" t="s">
        <v>106</v>
      </c>
      <c r="W2808" t="s">
        <v>954</v>
      </c>
      <c r="X2808" t="s">
        <v>106</v>
      </c>
      <c r="Y2808" t="s">
        <v>108</v>
      </c>
      <c r="Z2808" t="s">
        <v>104</v>
      </c>
      <c r="AA2808" t="s">
        <v>955</v>
      </c>
      <c r="AB2808" t="s">
        <v>106</v>
      </c>
    </row>
    <row r="2809" spans="1:28" x14ac:dyDescent="0.3">
      <c r="A2809" t="s">
        <v>1635</v>
      </c>
      <c r="B2809">
        <v>4</v>
      </c>
      <c r="C2809">
        <v>60</v>
      </c>
      <c r="D2809">
        <v>208</v>
      </c>
      <c r="E2809" t="s">
        <v>456</v>
      </c>
      <c r="F2809" s="12">
        <v>45742</v>
      </c>
      <c r="G2809" t="s">
        <v>2601</v>
      </c>
      <c r="H2809" s="12">
        <v>45742</v>
      </c>
      <c r="I2809" t="s">
        <v>1166</v>
      </c>
      <c r="J2809" t="s">
        <v>471</v>
      </c>
      <c r="K2809">
        <v>2</v>
      </c>
      <c r="L2809">
        <v>60.3</v>
      </c>
      <c r="M2809">
        <v>60.4</v>
      </c>
      <c r="P2809" t="s">
        <v>106</v>
      </c>
      <c r="Q2809" t="s">
        <v>106</v>
      </c>
      <c r="R2809" t="s">
        <v>106</v>
      </c>
      <c r="S2809" t="s">
        <v>1032</v>
      </c>
      <c r="T2809" t="s">
        <v>1074</v>
      </c>
      <c r="U2809" t="s">
        <v>146</v>
      </c>
      <c r="V2809" t="s">
        <v>106</v>
      </c>
      <c r="W2809" t="s">
        <v>954</v>
      </c>
      <c r="X2809" t="s">
        <v>106</v>
      </c>
      <c r="Y2809" t="s">
        <v>108</v>
      </c>
      <c r="Z2809" t="s">
        <v>104</v>
      </c>
      <c r="AA2809" t="s">
        <v>955</v>
      </c>
      <c r="AB2809" t="s">
        <v>106</v>
      </c>
    </row>
    <row r="2810" spans="1:28" x14ac:dyDescent="0.3">
      <c r="A2810" t="s">
        <v>1635</v>
      </c>
      <c r="B2810">
        <v>4</v>
      </c>
      <c r="C2810">
        <v>60</v>
      </c>
      <c r="D2810">
        <v>202</v>
      </c>
      <c r="E2810" t="s">
        <v>456</v>
      </c>
      <c r="F2810" s="12">
        <v>45742</v>
      </c>
      <c r="G2810" t="s">
        <v>132</v>
      </c>
      <c r="H2810" s="12">
        <v>45742</v>
      </c>
      <c r="I2810" t="s">
        <v>883</v>
      </c>
      <c r="J2810" t="s">
        <v>1363</v>
      </c>
      <c r="K2810">
        <v>2</v>
      </c>
      <c r="L2810">
        <v>58.3</v>
      </c>
      <c r="M2810">
        <v>58.5</v>
      </c>
      <c r="P2810" t="s">
        <v>106</v>
      </c>
      <c r="Q2810" t="s">
        <v>106</v>
      </c>
      <c r="R2810" t="s">
        <v>106</v>
      </c>
      <c r="S2810" t="s">
        <v>2197</v>
      </c>
      <c r="T2810" t="s">
        <v>1141</v>
      </c>
      <c r="U2810" t="s">
        <v>147</v>
      </c>
      <c r="V2810" t="s">
        <v>106</v>
      </c>
      <c r="W2810" t="s">
        <v>954</v>
      </c>
      <c r="X2810" t="s">
        <v>106</v>
      </c>
      <c r="Y2810" t="s">
        <v>108</v>
      </c>
      <c r="Z2810" t="s">
        <v>104</v>
      </c>
      <c r="AA2810" t="s">
        <v>966</v>
      </c>
      <c r="AB2810" t="s">
        <v>106</v>
      </c>
    </row>
    <row r="2811" spans="1:28" x14ac:dyDescent="0.3">
      <c r="A2811" t="s">
        <v>1635</v>
      </c>
      <c r="B2811">
        <v>4</v>
      </c>
      <c r="C2811">
        <v>60</v>
      </c>
      <c r="D2811">
        <v>201</v>
      </c>
      <c r="E2811" t="s">
        <v>456</v>
      </c>
      <c r="F2811" s="12">
        <v>45742</v>
      </c>
      <c r="G2811" t="s">
        <v>759</v>
      </c>
      <c r="H2811" s="12">
        <v>45742</v>
      </c>
      <c r="I2811" t="s">
        <v>883</v>
      </c>
      <c r="J2811" t="s">
        <v>1363</v>
      </c>
      <c r="K2811">
        <v>2</v>
      </c>
      <c r="L2811">
        <v>60.7</v>
      </c>
      <c r="M2811">
        <v>60.6</v>
      </c>
      <c r="P2811" t="s">
        <v>106</v>
      </c>
      <c r="Q2811" t="s">
        <v>106</v>
      </c>
      <c r="R2811" t="s">
        <v>106</v>
      </c>
      <c r="S2811" t="s">
        <v>2604</v>
      </c>
      <c r="T2811" t="s">
        <v>884</v>
      </c>
      <c r="U2811" t="s">
        <v>719</v>
      </c>
      <c r="V2811" t="s">
        <v>106</v>
      </c>
      <c r="W2811" t="s">
        <v>954</v>
      </c>
      <c r="X2811" t="s">
        <v>106</v>
      </c>
      <c r="Y2811" t="s">
        <v>108</v>
      </c>
      <c r="Z2811" t="s">
        <v>104</v>
      </c>
      <c r="AA2811" t="s">
        <v>966</v>
      </c>
      <c r="AB2811" t="s">
        <v>106</v>
      </c>
    </row>
    <row r="2812" spans="1:28" x14ac:dyDescent="0.3">
      <c r="A2812" t="s">
        <v>1635</v>
      </c>
      <c r="B2812">
        <v>4</v>
      </c>
      <c r="C2812">
        <v>60</v>
      </c>
      <c r="D2812">
        <v>196</v>
      </c>
      <c r="E2812" t="s">
        <v>456</v>
      </c>
      <c r="F2812" s="12">
        <v>45742</v>
      </c>
      <c r="G2812" t="s">
        <v>2762</v>
      </c>
      <c r="H2812" s="12">
        <v>45742</v>
      </c>
      <c r="I2812" t="s">
        <v>1938</v>
      </c>
      <c r="J2812" t="s">
        <v>458</v>
      </c>
      <c r="K2812">
        <v>2</v>
      </c>
      <c r="L2812">
        <v>61.3</v>
      </c>
      <c r="M2812">
        <v>61.3</v>
      </c>
      <c r="P2812" t="s">
        <v>106</v>
      </c>
      <c r="Q2812" t="s">
        <v>106</v>
      </c>
      <c r="R2812" t="s">
        <v>106</v>
      </c>
      <c r="S2812" t="s">
        <v>1605</v>
      </c>
      <c r="T2812" t="s">
        <v>1022</v>
      </c>
      <c r="U2812" t="s">
        <v>143</v>
      </c>
      <c r="V2812" t="s">
        <v>106</v>
      </c>
      <c r="W2812" t="s">
        <v>557</v>
      </c>
      <c r="X2812" t="s">
        <v>106</v>
      </c>
      <c r="Y2812" t="s">
        <v>108</v>
      </c>
      <c r="Z2812" t="s">
        <v>104</v>
      </c>
      <c r="AA2812" t="s">
        <v>955</v>
      </c>
      <c r="AB2812" t="s">
        <v>106</v>
      </c>
    </row>
    <row r="2813" spans="1:28" x14ac:dyDescent="0.3">
      <c r="A2813" t="s">
        <v>1635</v>
      </c>
      <c r="B2813">
        <v>4</v>
      </c>
      <c r="C2813">
        <v>60</v>
      </c>
      <c r="D2813">
        <v>195</v>
      </c>
      <c r="E2813" t="s">
        <v>456</v>
      </c>
      <c r="F2813" s="12">
        <v>45742</v>
      </c>
      <c r="G2813" t="s">
        <v>473</v>
      </c>
      <c r="H2813" s="12">
        <v>45742</v>
      </c>
      <c r="I2813" t="s">
        <v>1938</v>
      </c>
      <c r="J2813" t="s">
        <v>458</v>
      </c>
      <c r="K2813">
        <v>2</v>
      </c>
      <c r="L2813">
        <v>56.9</v>
      </c>
      <c r="M2813">
        <v>57</v>
      </c>
      <c r="P2813" t="s">
        <v>106</v>
      </c>
      <c r="Q2813" t="s">
        <v>106</v>
      </c>
      <c r="R2813" t="s">
        <v>106</v>
      </c>
      <c r="S2813" t="s">
        <v>2259</v>
      </c>
      <c r="T2813" t="s">
        <v>1208</v>
      </c>
      <c r="U2813" t="s">
        <v>369</v>
      </c>
      <c r="V2813" t="s">
        <v>106</v>
      </c>
      <c r="W2813" t="s">
        <v>557</v>
      </c>
      <c r="X2813" t="s">
        <v>106</v>
      </c>
      <c r="Y2813" t="s">
        <v>108</v>
      </c>
      <c r="Z2813" t="s">
        <v>104</v>
      </c>
      <c r="AA2813" t="s">
        <v>955</v>
      </c>
      <c r="AB2813" t="s">
        <v>106</v>
      </c>
    </row>
    <row r="2814" spans="1:28" x14ac:dyDescent="0.3">
      <c r="A2814" t="s">
        <v>1635</v>
      </c>
      <c r="B2814">
        <v>4</v>
      </c>
      <c r="C2814">
        <v>60</v>
      </c>
      <c r="D2814">
        <v>221</v>
      </c>
      <c r="E2814" t="s">
        <v>456</v>
      </c>
      <c r="F2814" s="12">
        <v>45742</v>
      </c>
      <c r="G2814" t="s">
        <v>2151</v>
      </c>
      <c r="H2814" s="12">
        <v>45742</v>
      </c>
      <c r="I2814" t="s">
        <v>2265</v>
      </c>
      <c r="J2814" t="s">
        <v>471</v>
      </c>
      <c r="K2814">
        <v>2</v>
      </c>
      <c r="L2814">
        <v>59.6</v>
      </c>
      <c r="M2814">
        <v>59.6</v>
      </c>
      <c r="P2814" t="s">
        <v>106</v>
      </c>
      <c r="Q2814" t="s">
        <v>106</v>
      </c>
      <c r="R2814" t="s">
        <v>106</v>
      </c>
      <c r="S2814" t="s">
        <v>2596</v>
      </c>
      <c r="T2814" t="s">
        <v>989</v>
      </c>
      <c r="U2814" t="s">
        <v>441</v>
      </c>
      <c r="V2814" t="s">
        <v>106</v>
      </c>
      <c r="W2814" t="s">
        <v>954</v>
      </c>
      <c r="X2814" t="s">
        <v>106</v>
      </c>
      <c r="Y2814" t="s">
        <v>108</v>
      </c>
      <c r="Z2814" t="s">
        <v>104</v>
      </c>
      <c r="AA2814" t="s">
        <v>966</v>
      </c>
      <c r="AB2814" t="s">
        <v>106</v>
      </c>
    </row>
    <row r="2815" spans="1:28" x14ac:dyDescent="0.3">
      <c r="A2815" t="s">
        <v>1635</v>
      </c>
      <c r="B2815">
        <v>4</v>
      </c>
      <c r="C2815">
        <v>60</v>
      </c>
      <c r="D2815">
        <v>189</v>
      </c>
      <c r="E2815" t="s">
        <v>456</v>
      </c>
      <c r="F2815" s="12">
        <v>45742</v>
      </c>
      <c r="G2815" t="s">
        <v>1480</v>
      </c>
      <c r="H2815" s="12">
        <v>45742</v>
      </c>
      <c r="I2815" t="s">
        <v>329</v>
      </c>
      <c r="J2815" t="s">
        <v>458</v>
      </c>
      <c r="K2815">
        <v>2</v>
      </c>
      <c r="L2815">
        <v>55.8</v>
      </c>
      <c r="M2815">
        <v>55.9</v>
      </c>
      <c r="P2815" t="s">
        <v>106</v>
      </c>
      <c r="Q2815" t="s">
        <v>106</v>
      </c>
      <c r="R2815" t="s">
        <v>106</v>
      </c>
      <c r="S2815" t="s">
        <v>1605</v>
      </c>
      <c r="T2815" t="s">
        <v>996</v>
      </c>
      <c r="U2815" t="s">
        <v>444</v>
      </c>
      <c r="V2815" t="s">
        <v>106</v>
      </c>
      <c r="W2815" t="s">
        <v>557</v>
      </c>
      <c r="X2815" t="s">
        <v>106</v>
      </c>
      <c r="Y2815" t="s">
        <v>108</v>
      </c>
      <c r="Z2815" t="s">
        <v>104</v>
      </c>
      <c r="AA2815" t="s">
        <v>955</v>
      </c>
      <c r="AB2815" t="s">
        <v>106</v>
      </c>
    </row>
    <row r="2816" spans="1:28" x14ac:dyDescent="0.3">
      <c r="A2816" t="s">
        <v>1635</v>
      </c>
      <c r="B2816">
        <v>4</v>
      </c>
      <c r="C2816">
        <v>60</v>
      </c>
      <c r="D2816">
        <v>182</v>
      </c>
      <c r="E2816" t="s">
        <v>456</v>
      </c>
      <c r="F2816" s="12">
        <v>45742</v>
      </c>
      <c r="G2816" t="s">
        <v>748</v>
      </c>
      <c r="H2816" s="12">
        <v>45742</v>
      </c>
      <c r="I2816" t="s">
        <v>336</v>
      </c>
      <c r="J2816" t="s">
        <v>458</v>
      </c>
      <c r="K2816">
        <v>2</v>
      </c>
      <c r="L2816">
        <v>57.4</v>
      </c>
      <c r="M2816">
        <v>57.8</v>
      </c>
      <c r="P2816" t="s">
        <v>106</v>
      </c>
      <c r="Q2816" t="s">
        <v>106</v>
      </c>
      <c r="R2816" t="s">
        <v>106</v>
      </c>
      <c r="S2816" t="s">
        <v>2207</v>
      </c>
      <c r="T2816" t="s">
        <v>1074</v>
      </c>
      <c r="U2816" t="s">
        <v>433</v>
      </c>
      <c r="V2816" t="s">
        <v>106</v>
      </c>
      <c r="W2816" t="s">
        <v>557</v>
      </c>
      <c r="X2816" t="s">
        <v>106</v>
      </c>
      <c r="Y2816" t="s">
        <v>108</v>
      </c>
      <c r="Z2816" t="s">
        <v>104</v>
      </c>
      <c r="AA2816" t="s">
        <v>955</v>
      </c>
      <c r="AB2816" t="s">
        <v>106</v>
      </c>
    </row>
    <row r="2817" spans="1:28" x14ac:dyDescent="0.3">
      <c r="A2817" t="s">
        <v>1635</v>
      </c>
      <c r="B2817">
        <v>4</v>
      </c>
      <c r="C2817">
        <v>60</v>
      </c>
      <c r="D2817">
        <v>181</v>
      </c>
      <c r="E2817" t="s">
        <v>456</v>
      </c>
      <c r="F2817" s="12">
        <v>45742</v>
      </c>
      <c r="G2817" t="s">
        <v>341</v>
      </c>
      <c r="H2817" s="12">
        <v>45742</v>
      </c>
      <c r="I2817" t="s">
        <v>336</v>
      </c>
      <c r="J2817" t="s">
        <v>458</v>
      </c>
      <c r="K2817">
        <v>2</v>
      </c>
      <c r="L2817">
        <v>57.2</v>
      </c>
      <c r="M2817">
        <v>57.7</v>
      </c>
      <c r="P2817" t="s">
        <v>106</v>
      </c>
      <c r="Q2817" t="s">
        <v>106</v>
      </c>
      <c r="R2817" t="s">
        <v>106</v>
      </c>
      <c r="S2817" t="s">
        <v>1939</v>
      </c>
      <c r="T2817" t="s">
        <v>1274</v>
      </c>
      <c r="U2817" t="s">
        <v>677</v>
      </c>
      <c r="V2817" t="s">
        <v>106</v>
      </c>
      <c r="W2817" t="s">
        <v>557</v>
      </c>
      <c r="X2817" t="s">
        <v>106</v>
      </c>
      <c r="Y2817" t="s">
        <v>108</v>
      </c>
      <c r="Z2817" t="s">
        <v>104</v>
      </c>
      <c r="AA2817" t="s">
        <v>955</v>
      </c>
      <c r="AB2817" t="s">
        <v>106</v>
      </c>
    </row>
    <row r="2818" spans="1:28" x14ac:dyDescent="0.3">
      <c r="A2818" t="s">
        <v>1635</v>
      </c>
      <c r="B2818">
        <v>4</v>
      </c>
      <c r="C2818">
        <v>60</v>
      </c>
      <c r="D2818">
        <v>176</v>
      </c>
      <c r="E2818" t="s">
        <v>456</v>
      </c>
      <c r="F2818" s="12">
        <v>45742</v>
      </c>
      <c r="G2818" t="s">
        <v>2064</v>
      </c>
      <c r="H2818" s="12">
        <v>45742</v>
      </c>
      <c r="I2818" t="s">
        <v>693</v>
      </c>
      <c r="J2818" t="s">
        <v>458</v>
      </c>
      <c r="K2818">
        <v>2</v>
      </c>
      <c r="L2818">
        <v>58.7</v>
      </c>
      <c r="M2818">
        <v>60.1</v>
      </c>
      <c r="P2818" t="s">
        <v>106</v>
      </c>
      <c r="Q2818" t="s">
        <v>106</v>
      </c>
      <c r="R2818" t="s">
        <v>106</v>
      </c>
      <c r="S2818" t="s">
        <v>2217</v>
      </c>
      <c r="T2818" t="s">
        <v>1063</v>
      </c>
      <c r="U2818" t="s">
        <v>532</v>
      </c>
      <c r="V2818" t="s">
        <v>106</v>
      </c>
      <c r="W2818" t="s">
        <v>557</v>
      </c>
      <c r="X2818" t="s">
        <v>106</v>
      </c>
      <c r="Y2818" t="s">
        <v>108</v>
      </c>
      <c r="Z2818" t="s">
        <v>104</v>
      </c>
      <c r="AA2818" t="s">
        <v>955</v>
      </c>
      <c r="AB2818" t="s">
        <v>106</v>
      </c>
    </row>
    <row r="2819" spans="1:28" x14ac:dyDescent="0.3">
      <c r="A2819" t="s">
        <v>1635</v>
      </c>
      <c r="B2819">
        <v>4</v>
      </c>
      <c r="C2819">
        <v>60</v>
      </c>
      <c r="D2819">
        <v>175</v>
      </c>
      <c r="E2819" t="s">
        <v>456</v>
      </c>
      <c r="F2819" s="12">
        <v>45742</v>
      </c>
      <c r="G2819" t="s">
        <v>1956</v>
      </c>
      <c r="H2819" s="12">
        <v>45742</v>
      </c>
      <c r="I2819" t="s">
        <v>693</v>
      </c>
      <c r="J2819" t="s">
        <v>458</v>
      </c>
      <c r="K2819">
        <v>2</v>
      </c>
      <c r="L2819">
        <v>55.1</v>
      </c>
      <c r="M2819">
        <v>55.6</v>
      </c>
      <c r="P2819" t="s">
        <v>106</v>
      </c>
      <c r="Q2819" t="s">
        <v>106</v>
      </c>
      <c r="R2819" t="s">
        <v>106</v>
      </c>
      <c r="S2819" t="s">
        <v>988</v>
      </c>
      <c r="T2819" t="s">
        <v>1063</v>
      </c>
      <c r="U2819" t="s">
        <v>136</v>
      </c>
      <c r="V2819" t="s">
        <v>106</v>
      </c>
      <c r="W2819" t="s">
        <v>557</v>
      </c>
      <c r="X2819" t="s">
        <v>106</v>
      </c>
      <c r="Y2819" t="s">
        <v>108</v>
      </c>
      <c r="Z2819" t="s">
        <v>104</v>
      </c>
      <c r="AA2819" t="s">
        <v>955</v>
      </c>
      <c r="AB2819" t="s">
        <v>106</v>
      </c>
    </row>
    <row r="2820" spans="1:28" x14ac:dyDescent="0.3">
      <c r="A2820" t="s">
        <v>1635</v>
      </c>
      <c r="B2820">
        <v>4</v>
      </c>
      <c r="C2820">
        <v>60</v>
      </c>
      <c r="D2820">
        <v>170</v>
      </c>
      <c r="E2820" t="s">
        <v>456</v>
      </c>
      <c r="F2820" s="12">
        <v>45742</v>
      </c>
      <c r="G2820" t="s">
        <v>1636</v>
      </c>
      <c r="H2820" s="12">
        <v>45742</v>
      </c>
      <c r="I2820" t="s">
        <v>2263</v>
      </c>
      <c r="J2820" t="s">
        <v>458</v>
      </c>
      <c r="K2820">
        <v>2</v>
      </c>
      <c r="L2820">
        <v>56.2</v>
      </c>
      <c r="M2820">
        <v>56.3</v>
      </c>
      <c r="P2820" t="s">
        <v>106</v>
      </c>
      <c r="Q2820" t="s">
        <v>106</v>
      </c>
      <c r="R2820" t="s">
        <v>106</v>
      </c>
      <c r="S2820" t="s">
        <v>2232</v>
      </c>
      <c r="T2820" t="s">
        <v>776</v>
      </c>
      <c r="U2820" t="s">
        <v>138</v>
      </c>
      <c r="V2820" t="s">
        <v>106</v>
      </c>
      <c r="W2820" t="s">
        <v>557</v>
      </c>
      <c r="X2820" t="s">
        <v>106</v>
      </c>
      <c r="Y2820" t="s">
        <v>108</v>
      </c>
      <c r="Z2820" t="s">
        <v>104</v>
      </c>
      <c r="AA2820" t="s">
        <v>955</v>
      </c>
      <c r="AB2820" t="s">
        <v>106</v>
      </c>
    </row>
    <row r="2821" spans="1:28" x14ac:dyDescent="0.3">
      <c r="A2821" t="s">
        <v>1635</v>
      </c>
      <c r="B2821">
        <v>4</v>
      </c>
      <c r="C2821">
        <v>60</v>
      </c>
      <c r="D2821">
        <v>169</v>
      </c>
      <c r="E2821" t="s">
        <v>456</v>
      </c>
      <c r="F2821" s="12">
        <v>45742</v>
      </c>
      <c r="G2821" t="s">
        <v>1799</v>
      </c>
      <c r="H2821" s="12">
        <v>45742</v>
      </c>
      <c r="I2821" t="s">
        <v>2263</v>
      </c>
      <c r="J2821" t="s">
        <v>458</v>
      </c>
      <c r="K2821">
        <v>2</v>
      </c>
      <c r="L2821">
        <v>55.2</v>
      </c>
      <c r="M2821">
        <v>55.9</v>
      </c>
      <c r="P2821" t="s">
        <v>106</v>
      </c>
      <c r="Q2821" t="s">
        <v>106</v>
      </c>
      <c r="R2821" t="s">
        <v>106</v>
      </c>
      <c r="S2821" t="s">
        <v>1595</v>
      </c>
      <c r="T2821" t="s">
        <v>961</v>
      </c>
      <c r="U2821" t="s">
        <v>630</v>
      </c>
      <c r="V2821" t="s">
        <v>106</v>
      </c>
      <c r="W2821" t="s">
        <v>557</v>
      </c>
      <c r="X2821" t="s">
        <v>106</v>
      </c>
      <c r="Y2821" t="s">
        <v>108</v>
      </c>
      <c r="Z2821" t="s">
        <v>104</v>
      </c>
      <c r="AA2821" t="s">
        <v>955</v>
      </c>
      <c r="AB2821" t="s">
        <v>106</v>
      </c>
    </row>
    <row r="2822" spans="1:28" x14ac:dyDescent="0.3">
      <c r="A2822" t="s">
        <v>1635</v>
      </c>
      <c r="B2822">
        <v>4</v>
      </c>
      <c r="C2822">
        <v>60</v>
      </c>
      <c r="D2822">
        <v>166</v>
      </c>
      <c r="E2822" t="s">
        <v>456</v>
      </c>
      <c r="F2822" s="12">
        <v>45742</v>
      </c>
      <c r="G2822" t="s">
        <v>554</v>
      </c>
      <c r="H2822" s="12" t="s">
        <v>106</v>
      </c>
      <c r="I2822" t="s">
        <v>106</v>
      </c>
      <c r="J2822" t="s">
        <v>106</v>
      </c>
      <c r="L2822">
        <v>55.3</v>
      </c>
      <c r="M2822">
        <v>55.1</v>
      </c>
      <c r="P2822" t="s">
        <v>106</v>
      </c>
      <c r="Q2822" t="s">
        <v>106</v>
      </c>
      <c r="R2822" t="s">
        <v>106</v>
      </c>
      <c r="S2822" t="s">
        <v>106</v>
      </c>
      <c r="T2822" t="s">
        <v>1074</v>
      </c>
      <c r="U2822" t="s">
        <v>825</v>
      </c>
      <c r="V2822" t="s">
        <v>106</v>
      </c>
      <c r="W2822" t="s">
        <v>443</v>
      </c>
      <c r="X2822" t="s">
        <v>106</v>
      </c>
      <c r="Y2822" t="s">
        <v>108</v>
      </c>
      <c r="Z2822" t="s">
        <v>104</v>
      </c>
      <c r="AA2822" t="s">
        <v>106</v>
      </c>
      <c r="AB2822" t="s">
        <v>106</v>
      </c>
    </row>
    <row r="2823" spans="1:28" x14ac:dyDescent="0.3">
      <c r="A2823" t="s">
        <v>1635</v>
      </c>
      <c r="B2823">
        <v>4</v>
      </c>
      <c r="C2823">
        <v>60</v>
      </c>
      <c r="D2823">
        <v>165</v>
      </c>
      <c r="E2823" t="s">
        <v>456</v>
      </c>
      <c r="F2823" s="12">
        <v>45742</v>
      </c>
      <c r="G2823" t="s">
        <v>1017</v>
      </c>
      <c r="H2823" s="12" t="s">
        <v>106</v>
      </c>
      <c r="I2823" t="s">
        <v>106</v>
      </c>
      <c r="J2823" t="s">
        <v>106</v>
      </c>
      <c r="L2823">
        <v>57</v>
      </c>
      <c r="M2823">
        <v>57.2</v>
      </c>
      <c r="P2823" t="s">
        <v>106</v>
      </c>
      <c r="Q2823" t="s">
        <v>106</v>
      </c>
      <c r="R2823" t="s">
        <v>106</v>
      </c>
      <c r="S2823" t="s">
        <v>2206</v>
      </c>
      <c r="T2823" t="s">
        <v>1074</v>
      </c>
      <c r="U2823" t="s">
        <v>144</v>
      </c>
      <c r="V2823" t="s">
        <v>106</v>
      </c>
      <c r="W2823" t="s">
        <v>443</v>
      </c>
      <c r="X2823" t="s">
        <v>106</v>
      </c>
      <c r="Y2823" t="s">
        <v>108</v>
      </c>
      <c r="Z2823" t="s">
        <v>104</v>
      </c>
      <c r="AA2823" t="s">
        <v>106</v>
      </c>
      <c r="AB2823" t="s">
        <v>106</v>
      </c>
    </row>
    <row r="2824" spans="1:28" x14ac:dyDescent="0.3">
      <c r="A2824" t="s">
        <v>1635</v>
      </c>
      <c r="B2824">
        <v>4</v>
      </c>
      <c r="C2824">
        <v>60</v>
      </c>
      <c r="D2824">
        <v>190</v>
      </c>
      <c r="E2824" t="s">
        <v>456</v>
      </c>
      <c r="F2824" s="12">
        <v>45742</v>
      </c>
      <c r="G2824" t="s">
        <v>697</v>
      </c>
      <c r="H2824" s="12">
        <v>45742</v>
      </c>
      <c r="I2824" t="s">
        <v>329</v>
      </c>
      <c r="J2824" t="s">
        <v>458</v>
      </c>
      <c r="K2824">
        <v>2</v>
      </c>
      <c r="L2824">
        <v>56.6</v>
      </c>
      <c r="M2824">
        <v>56.8</v>
      </c>
      <c r="P2824" t="s">
        <v>106</v>
      </c>
      <c r="Q2824" t="s">
        <v>106</v>
      </c>
      <c r="R2824" t="s">
        <v>106</v>
      </c>
      <c r="S2824" t="s">
        <v>2271</v>
      </c>
      <c r="T2824" t="s">
        <v>989</v>
      </c>
      <c r="U2824" t="s">
        <v>444</v>
      </c>
      <c r="V2824" t="s">
        <v>106</v>
      </c>
      <c r="W2824" t="s">
        <v>557</v>
      </c>
      <c r="X2824" t="s">
        <v>106</v>
      </c>
      <c r="Y2824" t="s">
        <v>108</v>
      </c>
      <c r="Z2824" t="s">
        <v>104</v>
      </c>
      <c r="AA2824" t="s">
        <v>955</v>
      </c>
      <c r="AB2824" t="s">
        <v>106</v>
      </c>
    </row>
    <row r="2825" spans="1:28" x14ac:dyDescent="0.3">
      <c r="A2825" t="s">
        <v>1313</v>
      </c>
      <c r="B2825">
        <v>1</v>
      </c>
      <c r="C2825">
        <v>0</v>
      </c>
      <c r="D2825">
        <v>15</v>
      </c>
      <c r="E2825" t="s">
        <v>456</v>
      </c>
      <c r="F2825" s="12">
        <v>45743</v>
      </c>
      <c r="G2825" t="s">
        <v>978</v>
      </c>
      <c r="H2825" s="12">
        <v>45743</v>
      </c>
      <c r="I2825" t="s">
        <v>951</v>
      </c>
      <c r="J2825" t="s">
        <v>471</v>
      </c>
      <c r="K2825">
        <v>2</v>
      </c>
      <c r="L2825">
        <v>0</v>
      </c>
      <c r="M2825">
        <v>0</v>
      </c>
      <c r="P2825" t="s">
        <v>106</v>
      </c>
      <c r="Q2825" t="s">
        <v>106</v>
      </c>
      <c r="R2825" t="s">
        <v>106</v>
      </c>
      <c r="S2825" t="s">
        <v>979</v>
      </c>
      <c r="T2825" t="s">
        <v>806</v>
      </c>
      <c r="U2825" t="s">
        <v>564</v>
      </c>
      <c r="V2825" t="s">
        <v>106</v>
      </c>
      <c r="W2825" t="s">
        <v>954</v>
      </c>
      <c r="X2825" t="s">
        <v>106</v>
      </c>
      <c r="Y2825" t="s">
        <v>108</v>
      </c>
      <c r="Z2825" t="s">
        <v>105</v>
      </c>
      <c r="AA2825" t="s">
        <v>106</v>
      </c>
      <c r="AB2825" t="s">
        <v>106</v>
      </c>
    </row>
    <row r="2826" spans="1:28" x14ac:dyDescent="0.3">
      <c r="A2826" t="s">
        <v>1313</v>
      </c>
      <c r="B2826">
        <v>1</v>
      </c>
      <c r="C2826">
        <v>0</v>
      </c>
      <c r="D2826">
        <v>16</v>
      </c>
      <c r="E2826" t="s">
        <v>456</v>
      </c>
      <c r="F2826" s="12">
        <v>45743</v>
      </c>
      <c r="G2826" t="s">
        <v>573</v>
      </c>
      <c r="H2826" s="12">
        <v>45743</v>
      </c>
      <c r="I2826" t="s">
        <v>951</v>
      </c>
      <c r="J2826" t="s">
        <v>471</v>
      </c>
      <c r="K2826">
        <v>2</v>
      </c>
      <c r="L2826">
        <v>0</v>
      </c>
      <c r="M2826">
        <v>0</v>
      </c>
      <c r="P2826" t="s">
        <v>106</v>
      </c>
      <c r="Q2826" t="s">
        <v>106</v>
      </c>
      <c r="R2826" t="s">
        <v>106</v>
      </c>
      <c r="S2826" t="s">
        <v>980</v>
      </c>
      <c r="T2826" t="s">
        <v>981</v>
      </c>
      <c r="U2826" t="s">
        <v>867</v>
      </c>
      <c r="V2826" t="s">
        <v>106</v>
      </c>
      <c r="W2826" t="s">
        <v>954</v>
      </c>
      <c r="X2826" t="s">
        <v>106</v>
      </c>
      <c r="Y2826" t="s">
        <v>108</v>
      </c>
      <c r="Z2826" t="s">
        <v>105</v>
      </c>
      <c r="AA2826" t="s">
        <v>106</v>
      </c>
      <c r="AB2826" t="s">
        <v>106</v>
      </c>
    </row>
    <row r="2827" spans="1:28" x14ac:dyDescent="0.3">
      <c r="A2827" t="s">
        <v>1313</v>
      </c>
      <c r="B2827">
        <v>2</v>
      </c>
      <c r="C2827">
        <v>15</v>
      </c>
      <c r="D2827">
        <v>21</v>
      </c>
      <c r="E2827" t="s">
        <v>456</v>
      </c>
      <c r="F2827" s="12">
        <v>45743</v>
      </c>
      <c r="G2827" t="s">
        <v>998</v>
      </c>
      <c r="H2827" s="12">
        <v>45743</v>
      </c>
      <c r="I2827" t="s">
        <v>982</v>
      </c>
      <c r="J2827" t="s">
        <v>471</v>
      </c>
      <c r="K2827">
        <v>2</v>
      </c>
      <c r="L2827">
        <v>17</v>
      </c>
      <c r="M2827">
        <v>16.899999999999999</v>
      </c>
      <c r="P2827" t="s">
        <v>106</v>
      </c>
      <c r="Q2827" t="s">
        <v>106</v>
      </c>
      <c r="R2827" t="s">
        <v>106</v>
      </c>
      <c r="S2827" t="s">
        <v>970</v>
      </c>
      <c r="T2827" t="s">
        <v>1000</v>
      </c>
      <c r="U2827" t="s">
        <v>720</v>
      </c>
      <c r="V2827" t="s">
        <v>106</v>
      </c>
      <c r="W2827" t="s">
        <v>954</v>
      </c>
      <c r="X2827" t="s">
        <v>106</v>
      </c>
      <c r="Y2827" t="s">
        <v>108</v>
      </c>
      <c r="Z2827" t="s">
        <v>109</v>
      </c>
      <c r="AA2827" t="s">
        <v>966</v>
      </c>
      <c r="AB2827" t="s">
        <v>106</v>
      </c>
    </row>
    <row r="2828" spans="1:28" x14ac:dyDescent="0.3">
      <c r="A2828" t="s">
        <v>1635</v>
      </c>
      <c r="B2828">
        <v>2</v>
      </c>
      <c r="C2828">
        <v>15</v>
      </c>
      <c r="D2828">
        <v>229</v>
      </c>
      <c r="E2828" t="s">
        <v>1027</v>
      </c>
      <c r="F2828" s="12">
        <v>45743</v>
      </c>
      <c r="G2828" t="s">
        <v>636</v>
      </c>
      <c r="H2828" s="12">
        <v>45743</v>
      </c>
      <c r="I2828" t="s">
        <v>2252</v>
      </c>
      <c r="J2828" t="s">
        <v>458</v>
      </c>
      <c r="K2828">
        <v>2</v>
      </c>
      <c r="L2828">
        <v>14.1</v>
      </c>
      <c r="M2828">
        <v>14.2</v>
      </c>
      <c r="P2828" t="s">
        <v>106</v>
      </c>
      <c r="Q2828" t="s">
        <v>106</v>
      </c>
      <c r="R2828" t="s">
        <v>106</v>
      </c>
      <c r="S2828" t="s">
        <v>1079</v>
      </c>
      <c r="T2828" t="s">
        <v>975</v>
      </c>
      <c r="U2828" t="s">
        <v>2119</v>
      </c>
      <c r="V2828" t="s">
        <v>106</v>
      </c>
      <c r="W2828" t="s">
        <v>557</v>
      </c>
      <c r="X2828" t="s">
        <v>106</v>
      </c>
      <c r="Y2828" t="s">
        <v>108</v>
      </c>
      <c r="Z2828" t="s">
        <v>109</v>
      </c>
      <c r="AA2828" t="s">
        <v>966</v>
      </c>
      <c r="AB2828" t="s">
        <v>106</v>
      </c>
    </row>
    <row r="2829" spans="1:28" x14ac:dyDescent="0.3">
      <c r="A2829" t="s">
        <v>1635</v>
      </c>
      <c r="B2829">
        <v>2</v>
      </c>
      <c r="C2829">
        <v>15</v>
      </c>
      <c r="D2829">
        <v>228</v>
      </c>
      <c r="E2829" t="s">
        <v>1027</v>
      </c>
      <c r="F2829" s="12">
        <v>45743</v>
      </c>
      <c r="G2829" t="s">
        <v>503</v>
      </c>
      <c r="H2829" s="12">
        <v>45743</v>
      </c>
      <c r="I2829" t="s">
        <v>2252</v>
      </c>
      <c r="J2829" t="s">
        <v>458</v>
      </c>
      <c r="K2829">
        <v>2</v>
      </c>
      <c r="L2829">
        <v>14.6</v>
      </c>
      <c r="M2829">
        <v>14.6</v>
      </c>
      <c r="P2829" t="s">
        <v>106</v>
      </c>
      <c r="Q2829" t="s">
        <v>106</v>
      </c>
      <c r="R2829" t="s">
        <v>106</v>
      </c>
      <c r="S2829" t="s">
        <v>1089</v>
      </c>
      <c r="T2829" t="s">
        <v>1475</v>
      </c>
      <c r="U2829" t="s">
        <v>2276</v>
      </c>
      <c r="V2829" t="s">
        <v>106</v>
      </c>
      <c r="W2829" t="s">
        <v>557</v>
      </c>
      <c r="X2829" t="s">
        <v>106</v>
      </c>
      <c r="Y2829" t="s">
        <v>108</v>
      </c>
      <c r="Z2829" t="s">
        <v>109</v>
      </c>
      <c r="AA2829" t="s">
        <v>966</v>
      </c>
      <c r="AB2829" t="s">
        <v>106</v>
      </c>
    </row>
    <row r="2830" spans="1:28" x14ac:dyDescent="0.3">
      <c r="A2830" t="s">
        <v>1313</v>
      </c>
      <c r="B2830">
        <v>2</v>
      </c>
      <c r="C2830">
        <v>15</v>
      </c>
      <c r="D2830">
        <v>22</v>
      </c>
      <c r="E2830" t="s">
        <v>456</v>
      </c>
      <c r="F2830" s="12">
        <v>45743</v>
      </c>
      <c r="G2830" t="s">
        <v>1001</v>
      </c>
      <c r="H2830" s="12">
        <v>45743</v>
      </c>
      <c r="I2830" t="s">
        <v>982</v>
      </c>
      <c r="J2830" t="s">
        <v>471</v>
      </c>
      <c r="K2830">
        <v>2</v>
      </c>
      <c r="L2830">
        <v>17.5</v>
      </c>
      <c r="M2830">
        <v>17.5</v>
      </c>
      <c r="P2830" t="s">
        <v>106</v>
      </c>
      <c r="Q2830" t="s">
        <v>106</v>
      </c>
      <c r="R2830" t="s">
        <v>106</v>
      </c>
      <c r="S2830" t="s">
        <v>1003</v>
      </c>
      <c r="T2830" t="s">
        <v>1004</v>
      </c>
      <c r="U2830" t="s">
        <v>997</v>
      </c>
      <c r="V2830" t="s">
        <v>106</v>
      </c>
      <c r="W2830" t="s">
        <v>954</v>
      </c>
      <c r="X2830" t="s">
        <v>106</v>
      </c>
      <c r="Y2830" t="s">
        <v>108</v>
      </c>
      <c r="Z2830" t="s">
        <v>109</v>
      </c>
      <c r="AA2830" t="s">
        <v>966</v>
      </c>
      <c r="AB2830" t="s">
        <v>106</v>
      </c>
    </row>
    <row r="2831" spans="1:28" x14ac:dyDescent="0.3">
      <c r="A2831" t="s">
        <v>1635</v>
      </c>
      <c r="B2831">
        <v>2</v>
      </c>
      <c r="C2831">
        <v>15</v>
      </c>
      <c r="D2831">
        <v>234</v>
      </c>
      <c r="E2831" t="s">
        <v>1027</v>
      </c>
      <c r="F2831" s="12">
        <v>45743</v>
      </c>
      <c r="G2831" t="s">
        <v>577</v>
      </c>
      <c r="H2831" s="12">
        <v>45743</v>
      </c>
      <c r="I2831" t="s">
        <v>520</v>
      </c>
      <c r="J2831" t="s">
        <v>458</v>
      </c>
      <c r="K2831">
        <v>2</v>
      </c>
      <c r="L2831">
        <v>15.1</v>
      </c>
      <c r="M2831">
        <v>15</v>
      </c>
      <c r="P2831" t="s">
        <v>106</v>
      </c>
      <c r="Q2831" t="s">
        <v>106</v>
      </c>
      <c r="R2831" t="s">
        <v>106</v>
      </c>
      <c r="S2831" t="s">
        <v>2000</v>
      </c>
      <c r="T2831" t="s">
        <v>1057</v>
      </c>
      <c r="U2831" t="s">
        <v>146</v>
      </c>
      <c r="V2831" t="s">
        <v>106</v>
      </c>
      <c r="W2831" t="s">
        <v>557</v>
      </c>
      <c r="X2831" t="s">
        <v>106</v>
      </c>
      <c r="Y2831" t="s">
        <v>108</v>
      </c>
      <c r="Z2831" t="s">
        <v>109</v>
      </c>
      <c r="AA2831" t="s">
        <v>955</v>
      </c>
      <c r="AB2831" t="s">
        <v>106</v>
      </c>
    </row>
    <row r="2832" spans="1:28" x14ac:dyDescent="0.3">
      <c r="A2832" t="s">
        <v>1635</v>
      </c>
      <c r="B2832">
        <v>2</v>
      </c>
      <c r="C2832">
        <v>15</v>
      </c>
      <c r="D2832">
        <v>235</v>
      </c>
      <c r="E2832" t="s">
        <v>1027</v>
      </c>
      <c r="F2832" s="12">
        <v>45743</v>
      </c>
      <c r="G2832" t="s">
        <v>577</v>
      </c>
      <c r="H2832" s="12">
        <v>45743</v>
      </c>
      <c r="I2832" t="s">
        <v>520</v>
      </c>
      <c r="J2832" t="s">
        <v>458</v>
      </c>
      <c r="K2832">
        <v>2</v>
      </c>
      <c r="L2832">
        <v>16</v>
      </c>
      <c r="M2832">
        <v>16</v>
      </c>
      <c r="P2832" t="s">
        <v>106</v>
      </c>
      <c r="Q2832" t="s">
        <v>106</v>
      </c>
      <c r="R2832" t="s">
        <v>106</v>
      </c>
      <c r="S2832" t="s">
        <v>2277</v>
      </c>
      <c r="T2832" t="s">
        <v>1899</v>
      </c>
      <c r="U2832" t="s">
        <v>144</v>
      </c>
      <c r="V2832" t="s">
        <v>106</v>
      </c>
      <c r="W2832" t="s">
        <v>557</v>
      </c>
      <c r="X2832" t="s">
        <v>106</v>
      </c>
      <c r="Y2832" t="s">
        <v>108</v>
      </c>
      <c r="Z2832" t="s">
        <v>109</v>
      </c>
      <c r="AA2832" t="s">
        <v>955</v>
      </c>
      <c r="AB2832" t="s">
        <v>106</v>
      </c>
    </row>
    <row r="2833" spans="1:28" x14ac:dyDescent="0.3">
      <c r="A2833" t="s">
        <v>1313</v>
      </c>
      <c r="B2833">
        <v>2</v>
      </c>
      <c r="C2833">
        <v>15</v>
      </c>
      <c r="D2833">
        <v>14</v>
      </c>
      <c r="E2833" t="s">
        <v>456</v>
      </c>
      <c r="F2833" s="12">
        <v>45743</v>
      </c>
      <c r="G2833" t="s">
        <v>660</v>
      </c>
      <c r="H2833" s="12">
        <v>45743</v>
      </c>
      <c r="I2833" t="s">
        <v>951</v>
      </c>
      <c r="J2833" t="s">
        <v>471</v>
      </c>
      <c r="K2833">
        <v>2</v>
      </c>
      <c r="L2833">
        <v>15.1</v>
      </c>
      <c r="M2833">
        <v>15.1</v>
      </c>
      <c r="P2833" t="s">
        <v>106</v>
      </c>
      <c r="Q2833" t="s">
        <v>106</v>
      </c>
      <c r="R2833" t="s">
        <v>106</v>
      </c>
      <c r="S2833" t="s">
        <v>970</v>
      </c>
      <c r="T2833" t="s">
        <v>977</v>
      </c>
      <c r="U2833" t="s">
        <v>147</v>
      </c>
      <c r="V2833" t="s">
        <v>106</v>
      </c>
      <c r="W2833" t="s">
        <v>954</v>
      </c>
      <c r="X2833" t="s">
        <v>106</v>
      </c>
      <c r="Y2833" t="s">
        <v>108</v>
      </c>
      <c r="Z2833" t="s">
        <v>109</v>
      </c>
      <c r="AA2833" t="s">
        <v>966</v>
      </c>
      <c r="AB2833" t="s">
        <v>106</v>
      </c>
    </row>
    <row r="2834" spans="1:28" x14ac:dyDescent="0.3">
      <c r="A2834" t="s">
        <v>1313</v>
      </c>
      <c r="B2834">
        <v>2</v>
      </c>
      <c r="C2834">
        <v>15</v>
      </c>
      <c r="D2834">
        <v>13</v>
      </c>
      <c r="E2834" t="s">
        <v>456</v>
      </c>
      <c r="F2834" s="12">
        <v>45743</v>
      </c>
      <c r="G2834" t="s">
        <v>653</v>
      </c>
      <c r="H2834" s="12">
        <v>45743</v>
      </c>
      <c r="I2834" t="s">
        <v>951</v>
      </c>
      <c r="J2834" t="s">
        <v>471</v>
      </c>
      <c r="K2834">
        <v>2</v>
      </c>
      <c r="L2834">
        <v>14.8</v>
      </c>
      <c r="M2834">
        <v>14.9</v>
      </c>
      <c r="P2834" t="s">
        <v>106</v>
      </c>
      <c r="Q2834" t="s">
        <v>106</v>
      </c>
      <c r="R2834" t="s">
        <v>106</v>
      </c>
      <c r="S2834" t="s">
        <v>974</v>
      </c>
      <c r="T2834" t="s">
        <v>975</v>
      </c>
      <c r="U2834" t="s">
        <v>147</v>
      </c>
      <c r="V2834" t="s">
        <v>106</v>
      </c>
      <c r="W2834" t="s">
        <v>954</v>
      </c>
      <c r="X2834" t="s">
        <v>106</v>
      </c>
      <c r="Y2834" t="s">
        <v>108</v>
      </c>
      <c r="Z2834" t="s">
        <v>109</v>
      </c>
      <c r="AA2834" t="s">
        <v>966</v>
      </c>
      <c r="AB2834" t="s">
        <v>106</v>
      </c>
    </row>
    <row r="2835" spans="1:28" x14ac:dyDescent="0.3">
      <c r="A2835" t="s">
        <v>1313</v>
      </c>
      <c r="B2835">
        <v>3</v>
      </c>
      <c r="C2835">
        <v>35</v>
      </c>
      <c r="D2835">
        <v>18</v>
      </c>
      <c r="E2835" t="s">
        <v>456</v>
      </c>
      <c r="F2835" s="12">
        <v>45743</v>
      </c>
      <c r="G2835" t="s">
        <v>985</v>
      </c>
      <c r="H2835" s="12">
        <v>45743</v>
      </c>
      <c r="I2835" t="s">
        <v>982</v>
      </c>
      <c r="J2835" t="s">
        <v>471</v>
      </c>
      <c r="K2835">
        <v>2</v>
      </c>
      <c r="L2835">
        <v>34.6</v>
      </c>
      <c r="M2835">
        <v>34.700000000000003</v>
      </c>
      <c r="P2835" t="s">
        <v>106</v>
      </c>
      <c r="Q2835" t="s">
        <v>106</v>
      </c>
      <c r="R2835" t="s">
        <v>106</v>
      </c>
      <c r="S2835" t="s">
        <v>988</v>
      </c>
      <c r="T2835" t="s">
        <v>989</v>
      </c>
      <c r="U2835" t="s">
        <v>360</v>
      </c>
      <c r="V2835" t="s">
        <v>106</v>
      </c>
      <c r="W2835" t="s">
        <v>954</v>
      </c>
      <c r="X2835" t="s">
        <v>106</v>
      </c>
      <c r="Y2835" t="s">
        <v>108</v>
      </c>
      <c r="Z2835" t="s">
        <v>108</v>
      </c>
      <c r="AA2835" t="s">
        <v>955</v>
      </c>
      <c r="AB2835" t="s">
        <v>106</v>
      </c>
    </row>
    <row r="2836" spans="1:28" x14ac:dyDescent="0.3">
      <c r="A2836" t="s">
        <v>1313</v>
      </c>
      <c r="B2836">
        <v>3</v>
      </c>
      <c r="C2836">
        <v>35</v>
      </c>
      <c r="D2836">
        <v>17</v>
      </c>
      <c r="E2836" t="s">
        <v>456</v>
      </c>
      <c r="F2836" s="12">
        <v>45743</v>
      </c>
      <c r="G2836" t="s">
        <v>667</v>
      </c>
      <c r="H2836" s="12">
        <v>45743</v>
      </c>
      <c r="I2836" t="s">
        <v>982</v>
      </c>
      <c r="J2836" t="s">
        <v>471</v>
      </c>
      <c r="K2836">
        <v>2</v>
      </c>
      <c r="L2836">
        <v>37.799999999999997</v>
      </c>
      <c r="M2836">
        <v>37.9</v>
      </c>
      <c r="P2836" t="s">
        <v>106</v>
      </c>
      <c r="Q2836" t="s">
        <v>106</v>
      </c>
      <c r="R2836" t="s">
        <v>106</v>
      </c>
      <c r="S2836" t="s">
        <v>983</v>
      </c>
      <c r="T2836" t="s">
        <v>984</v>
      </c>
      <c r="U2836" t="s">
        <v>141</v>
      </c>
      <c r="V2836" t="s">
        <v>106</v>
      </c>
      <c r="W2836" t="s">
        <v>954</v>
      </c>
      <c r="X2836" t="s">
        <v>106</v>
      </c>
      <c r="Y2836" t="s">
        <v>108</v>
      </c>
      <c r="Z2836" t="s">
        <v>108</v>
      </c>
      <c r="AA2836" t="s">
        <v>955</v>
      </c>
      <c r="AB2836" t="s">
        <v>106</v>
      </c>
    </row>
    <row r="2837" spans="1:28" x14ac:dyDescent="0.3">
      <c r="A2837" t="s">
        <v>1313</v>
      </c>
      <c r="B2837">
        <v>3</v>
      </c>
      <c r="C2837">
        <v>35</v>
      </c>
      <c r="D2837">
        <v>10</v>
      </c>
      <c r="E2837" t="s">
        <v>456</v>
      </c>
      <c r="F2837" s="12">
        <v>45743</v>
      </c>
      <c r="G2837" t="s">
        <v>957</v>
      </c>
      <c r="H2837" s="12">
        <v>45743</v>
      </c>
      <c r="I2837" t="s">
        <v>951</v>
      </c>
      <c r="J2837" t="s">
        <v>471</v>
      </c>
      <c r="K2837">
        <v>2</v>
      </c>
      <c r="L2837">
        <v>36.200000000000003</v>
      </c>
      <c r="M2837">
        <v>36.299999999999997</v>
      </c>
      <c r="P2837" t="s">
        <v>106</v>
      </c>
      <c r="Q2837" t="s">
        <v>106</v>
      </c>
      <c r="R2837" t="s">
        <v>106</v>
      </c>
      <c r="S2837" t="s">
        <v>960</v>
      </c>
      <c r="T2837" t="s">
        <v>961</v>
      </c>
      <c r="U2837" t="s">
        <v>138</v>
      </c>
      <c r="V2837" t="s">
        <v>106</v>
      </c>
      <c r="W2837" t="s">
        <v>954</v>
      </c>
      <c r="X2837" t="s">
        <v>106</v>
      </c>
      <c r="Y2837" t="s">
        <v>108</v>
      </c>
      <c r="Z2837" t="s">
        <v>108</v>
      </c>
      <c r="AA2837" t="s">
        <v>955</v>
      </c>
      <c r="AB2837" t="s">
        <v>962</v>
      </c>
    </row>
    <row r="2838" spans="1:28" x14ac:dyDescent="0.3">
      <c r="A2838" t="s">
        <v>1313</v>
      </c>
      <c r="B2838">
        <v>3</v>
      </c>
      <c r="C2838">
        <v>35</v>
      </c>
      <c r="D2838">
        <v>9</v>
      </c>
      <c r="E2838" t="s">
        <v>456</v>
      </c>
      <c r="F2838" s="12">
        <v>45743</v>
      </c>
      <c r="G2838" t="s">
        <v>950</v>
      </c>
      <c r="H2838" s="12">
        <v>45743</v>
      </c>
      <c r="I2838" t="s">
        <v>951</v>
      </c>
      <c r="J2838" t="s">
        <v>471</v>
      </c>
      <c r="K2838">
        <v>2</v>
      </c>
      <c r="L2838">
        <v>37.5</v>
      </c>
      <c r="M2838">
        <v>37.6</v>
      </c>
      <c r="P2838" t="s">
        <v>106</v>
      </c>
      <c r="Q2838" t="s">
        <v>106</v>
      </c>
      <c r="R2838" t="s">
        <v>106</v>
      </c>
      <c r="S2838" t="s">
        <v>953</v>
      </c>
      <c r="T2838" t="s">
        <v>937</v>
      </c>
      <c r="U2838" t="s">
        <v>565</v>
      </c>
      <c r="V2838" t="s">
        <v>106</v>
      </c>
      <c r="W2838" t="s">
        <v>954</v>
      </c>
      <c r="X2838" t="s">
        <v>106</v>
      </c>
      <c r="Y2838" t="s">
        <v>108</v>
      </c>
      <c r="Z2838" t="s">
        <v>108</v>
      </c>
      <c r="AA2838" t="s">
        <v>955</v>
      </c>
      <c r="AB2838" t="s">
        <v>956</v>
      </c>
    </row>
    <row r="2839" spans="1:28" x14ac:dyDescent="0.3">
      <c r="A2839" t="s">
        <v>1635</v>
      </c>
      <c r="B2839">
        <v>3</v>
      </c>
      <c r="C2839">
        <v>35</v>
      </c>
      <c r="D2839">
        <v>225</v>
      </c>
      <c r="E2839" t="s">
        <v>1027</v>
      </c>
      <c r="F2839" s="12">
        <v>45743</v>
      </c>
      <c r="G2839" t="s">
        <v>873</v>
      </c>
      <c r="H2839" s="12">
        <v>45743</v>
      </c>
      <c r="I2839" t="s">
        <v>2252</v>
      </c>
      <c r="J2839" t="s">
        <v>458</v>
      </c>
      <c r="K2839">
        <v>2</v>
      </c>
      <c r="L2839">
        <v>35</v>
      </c>
      <c r="M2839">
        <v>35.1</v>
      </c>
      <c r="P2839" t="s">
        <v>106</v>
      </c>
      <c r="Q2839" t="s">
        <v>106</v>
      </c>
      <c r="R2839" t="s">
        <v>106</v>
      </c>
      <c r="S2839" t="s">
        <v>1036</v>
      </c>
      <c r="T2839" t="s">
        <v>760</v>
      </c>
      <c r="U2839" t="s">
        <v>382</v>
      </c>
      <c r="V2839" t="s">
        <v>106</v>
      </c>
      <c r="W2839" t="s">
        <v>557</v>
      </c>
      <c r="X2839" t="s">
        <v>106</v>
      </c>
      <c r="Y2839" t="s">
        <v>108</v>
      </c>
      <c r="Z2839" t="s">
        <v>108</v>
      </c>
      <c r="AA2839" t="s">
        <v>966</v>
      </c>
      <c r="AB2839" t="s">
        <v>106</v>
      </c>
    </row>
    <row r="2840" spans="1:28" x14ac:dyDescent="0.3">
      <c r="A2840" t="s">
        <v>1635</v>
      </c>
      <c r="B2840">
        <v>3</v>
      </c>
      <c r="C2840">
        <v>35</v>
      </c>
      <c r="D2840">
        <v>231</v>
      </c>
      <c r="E2840" t="s">
        <v>1027</v>
      </c>
      <c r="F2840" s="12">
        <v>45743</v>
      </c>
      <c r="G2840" t="s">
        <v>762</v>
      </c>
      <c r="H2840" s="12">
        <v>45743</v>
      </c>
      <c r="I2840" t="s">
        <v>106</v>
      </c>
      <c r="J2840" t="s">
        <v>458</v>
      </c>
      <c r="K2840">
        <v>2</v>
      </c>
      <c r="L2840">
        <v>37.700000000000003</v>
      </c>
      <c r="M2840">
        <v>37.9</v>
      </c>
      <c r="P2840" t="s">
        <v>106</v>
      </c>
      <c r="Q2840" t="s">
        <v>106</v>
      </c>
      <c r="R2840" t="s">
        <v>106</v>
      </c>
      <c r="S2840" t="s">
        <v>1079</v>
      </c>
      <c r="T2840" t="s">
        <v>752</v>
      </c>
      <c r="U2840" t="s">
        <v>677</v>
      </c>
      <c r="V2840" t="s">
        <v>106</v>
      </c>
      <c r="W2840" t="s">
        <v>557</v>
      </c>
      <c r="X2840" t="s">
        <v>106</v>
      </c>
      <c r="Y2840" t="s">
        <v>108</v>
      </c>
      <c r="Z2840" t="s">
        <v>108</v>
      </c>
      <c r="AA2840" t="s">
        <v>106</v>
      </c>
      <c r="AB2840" t="s">
        <v>106</v>
      </c>
    </row>
    <row r="2841" spans="1:28" x14ac:dyDescent="0.3">
      <c r="A2841" t="s">
        <v>1635</v>
      </c>
      <c r="B2841">
        <v>3</v>
      </c>
      <c r="C2841">
        <v>35</v>
      </c>
      <c r="D2841">
        <v>230</v>
      </c>
      <c r="E2841" t="s">
        <v>1027</v>
      </c>
      <c r="F2841" s="12">
        <v>45743</v>
      </c>
      <c r="G2841" t="s">
        <v>414</v>
      </c>
      <c r="H2841" s="12">
        <v>45743</v>
      </c>
      <c r="I2841" t="s">
        <v>106</v>
      </c>
      <c r="J2841" t="s">
        <v>458</v>
      </c>
      <c r="K2841">
        <v>2</v>
      </c>
      <c r="L2841">
        <v>35.299999999999997</v>
      </c>
      <c r="M2841">
        <v>35.200000000000003</v>
      </c>
      <c r="P2841" t="s">
        <v>106</v>
      </c>
      <c r="Q2841" t="s">
        <v>107</v>
      </c>
      <c r="R2841" t="s">
        <v>107</v>
      </c>
      <c r="S2841" t="s">
        <v>1472</v>
      </c>
      <c r="T2841" t="s">
        <v>1022</v>
      </c>
      <c r="U2841" t="s">
        <v>433</v>
      </c>
      <c r="V2841" t="s">
        <v>106</v>
      </c>
      <c r="W2841" t="s">
        <v>557</v>
      </c>
      <c r="X2841" t="s">
        <v>106</v>
      </c>
      <c r="Y2841" t="s">
        <v>108</v>
      </c>
      <c r="Z2841" t="s">
        <v>108</v>
      </c>
      <c r="AA2841" t="s">
        <v>106</v>
      </c>
      <c r="AB2841" t="s">
        <v>106</v>
      </c>
    </row>
    <row r="2842" spans="1:28" x14ac:dyDescent="0.3">
      <c r="A2842" t="s">
        <v>1635</v>
      </c>
      <c r="B2842">
        <v>3</v>
      </c>
      <c r="C2842">
        <v>35</v>
      </c>
      <c r="D2842">
        <v>224</v>
      </c>
      <c r="E2842" t="s">
        <v>1027</v>
      </c>
      <c r="F2842" s="12">
        <v>45743</v>
      </c>
      <c r="G2842" t="s">
        <v>381</v>
      </c>
      <c r="H2842" s="12">
        <v>45743</v>
      </c>
      <c r="I2842" t="s">
        <v>2252</v>
      </c>
      <c r="J2842" t="s">
        <v>458</v>
      </c>
      <c r="K2842">
        <v>2</v>
      </c>
      <c r="L2842">
        <v>35.5</v>
      </c>
      <c r="M2842">
        <v>35.700000000000003</v>
      </c>
      <c r="P2842" t="s">
        <v>106</v>
      </c>
      <c r="Q2842" t="s">
        <v>106</v>
      </c>
      <c r="R2842" t="s">
        <v>106</v>
      </c>
      <c r="S2842" t="s">
        <v>2215</v>
      </c>
      <c r="T2842" t="s">
        <v>750</v>
      </c>
      <c r="U2842" t="s">
        <v>2119</v>
      </c>
      <c r="V2842" t="s">
        <v>106</v>
      </c>
      <c r="W2842" t="s">
        <v>557</v>
      </c>
      <c r="X2842" t="s">
        <v>106</v>
      </c>
      <c r="Y2842" t="s">
        <v>108</v>
      </c>
      <c r="Z2842" t="s">
        <v>108</v>
      </c>
      <c r="AA2842" t="s">
        <v>966</v>
      </c>
      <c r="AB2842" t="s">
        <v>106</v>
      </c>
    </row>
    <row r="2843" spans="1:28" x14ac:dyDescent="0.3">
      <c r="A2843" t="s">
        <v>1635</v>
      </c>
      <c r="B2843">
        <v>4</v>
      </c>
      <c r="C2843">
        <v>60</v>
      </c>
      <c r="D2843">
        <v>233</v>
      </c>
      <c r="E2843" t="s">
        <v>1027</v>
      </c>
      <c r="F2843" s="12">
        <v>45743</v>
      </c>
      <c r="G2843" t="s">
        <v>830</v>
      </c>
      <c r="H2843" s="12">
        <v>45743</v>
      </c>
      <c r="I2843" t="s">
        <v>520</v>
      </c>
      <c r="J2843" t="s">
        <v>458</v>
      </c>
      <c r="K2843">
        <v>2</v>
      </c>
      <c r="L2843">
        <v>63.8</v>
      </c>
      <c r="M2843">
        <v>63.8</v>
      </c>
      <c r="P2843" t="s">
        <v>106</v>
      </c>
      <c r="Q2843" t="s">
        <v>106</v>
      </c>
      <c r="R2843" t="s">
        <v>106</v>
      </c>
      <c r="S2843" t="s">
        <v>1637</v>
      </c>
      <c r="T2843" t="s">
        <v>2296</v>
      </c>
      <c r="U2843" t="s">
        <v>433</v>
      </c>
      <c r="V2843" t="s">
        <v>106</v>
      </c>
      <c r="W2843" t="s">
        <v>557</v>
      </c>
      <c r="X2843" t="s">
        <v>106</v>
      </c>
      <c r="Y2843" t="s">
        <v>108</v>
      </c>
      <c r="Z2843" t="s">
        <v>104</v>
      </c>
      <c r="AA2843" t="s">
        <v>955</v>
      </c>
      <c r="AB2843" t="s">
        <v>106</v>
      </c>
    </row>
    <row r="2844" spans="1:28" x14ac:dyDescent="0.3">
      <c r="A2844" t="s">
        <v>1313</v>
      </c>
      <c r="B2844">
        <v>4</v>
      </c>
      <c r="C2844">
        <v>60</v>
      </c>
      <c r="D2844">
        <v>19</v>
      </c>
      <c r="E2844" t="s">
        <v>456</v>
      </c>
      <c r="F2844" s="12">
        <v>45743</v>
      </c>
      <c r="G2844" t="s">
        <v>519</v>
      </c>
      <c r="H2844" s="12">
        <v>45743</v>
      </c>
      <c r="I2844" t="s">
        <v>982</v>
      </c>
      <c r="J2844" t="s">
        <v>471</v>
      </c>
      <c r="K2844">
        <v>2</v>
      </c>
      <c r="L2844">
        <v>58.6</v>
      </c>
      <c r="M2844">
        <v>58.9</v>
      </c>
      <c r="P2844" t="s">
        <v>106</v>
      </c>
      <c r="Q2844" t="s">
        <v>106</v>
      </c>
      <c r="R2844" t="s">
        <v>106</v>
      </c>
      <c r="S2844" t="s">
        <v>992</v>
      </c>
      <c r="T2844" t="s">
        <v>993</v>
      </c>
      <c r="U2844" t="s">
        <v>720</v>
      </c>
      <c r="V2844" t="s">
        <v>106</v>
      </c>
      <c r="W2844" t="s">
        <v>954</v>
      </c>
      <c r="X2844" t="s">
        <v>106</v>
      </c>
      <c r="Y2844" t="s">
        <v>108</v>
      </c>
      <c r="Z2844" t="s">
        <v>104</v>
      </c>
      <c r="AA2844" t="s">
        <v>966</v>
      </c>
      <c r="AB2844" t="s">
        <v>106</v>
      </c>
    </row>
    <row r="2845" spans="1:28" x14ac:dyDescent="0.3">
      <c r="A2845" t="s">
        <v>1635</v>
      </c>
      <c r="B2845">
        <v>4</v>
      </c>
      <c r="C2845">
        <v>60</v>
      </c>
      <c r="D2845">
        <v>232</v>
      </c>
      <c r="E2845" t="s">
        <v>1027</v>
      </c>
      <c r="F2845" s="12">
        <v>45743</v>
      </c>
      <c r="G2845" t="s">
        <v>575</v>
      </c>
      <c r="H2845" s="12">
        <v>45743</v>
      </c>
      <c r="I2845" t="s">
        <v>520</v>
      </c>
      <c r="J2845" t="s">
        <v>458</v>
      </c>
      <c r="K2845">
        <v>2</v>
      </c>
      <c r="L2845">
        <v>60.6</v>
      </c>
      <c r="M2845">
        <v>60.7</v>
      </c>
      <c r="P2845" t="s">
        <v>106</v>
      </c>
      <c r="Q2845" t="s">
        <v>106</v>
      </c>
      <c r="R2845" t="s">
        <v>106</v>
      </c>
      <c r="S2845" t="s">
        <v>1045</v>
      </c>
      <c r="T2845" t="s">
        <v>1000</v>
      </c>
      <c r="U2845" t="s">
        <v>382</v>
      </c>
      <c r="V2845" t="s">
        <v>106</v>
      </c>
      <c r="W2845" t="s">
        <v>557</v>
      </c>
      <c r="X2845" t="s">
        <v>106</v>
      </c>
      <c r="Y2845" t="s">
        <v>108</v>
      </c>
      <c r="Z2845" t="s">
        <v>104</v>
      </c>
      <c r="AA2845" t="s">
        <v>955</v>
      </c>
      <c r="AB2845" t="s">
        <v>106</v>
      </c>
    </row>
    <row r="2846" spans="1:28" x14ac:dyDescent="0.3">
      <c r="A2846" t="s">
        <v>1313</v>
      </c>
      <c r="B2846">
        <v>4</v>
      </c>
      <c r="C2846">
        <v>60</v>
      </c>
      <c r="D2846">
        <v>20</v>
      </c>
      <c r="E2846" t="s">
        <v>456</v>
      </c>
      <c r="F2846" s="12">
        <v>45743</v>
      </c>
      <c r="G2846" t="s">
        <v>562</v>
      </c>
      <c r="H2846" s="12">
        <v>45743</v>
      </c>
      <c r="I2846" t="s">
        <v>982</v>
      </c>
      <c r="J2846" t="s">
        <v>471</v>
      </c>
      <c r="K2846">
        <v>2</v>
      </c>
      <c r="L2846">
        <v>61.3</v>
      </c>
      <c r="M2846">
        <v>61.3</v>
      </c>
      <c r="P2846" t="s">
        <v>106</v>
      </c>
      <c r="Q2846" t="s">
        <v>106</v>
      </c>
      <c r="R2846" t="s">
        <v>106</v>
      </c>
      <c r="S2846" t="s">
        <v>995</v>
      </c>
      <c r="T2846" t="s">
        <v>996</v>
      </c>
      <c r="U2846" t="s">
        <v>997</v>
      </c>
      <c r="V2846" t="s">
        <v>106</v>
      </c>
      <c r="W2846" t="s">
        <v>954</v>
      </c>
      <c r="X2846" t="s">
        <v>106</v>
      </c>
      <c r="Y2846" t="s">
        <v>108</v>
      </c>
      <c r="Z2846" t="s">
        <v>104</v>
      </c>
      <c r="AA2846" t="s">
        <v>966</v>
      </c>
      <c r="AB2846" t="s">
        <v>106</v>
      </c>
    </row>
    <row r="2847" spans="1:28" x14ac:dyDescent="0.3">
      <c r="A2847" t="s">
        <v>1313</v>
      </c>
      <c r="B2847">
        <v>4</v>
      </c>
      <c r="C2847">
        <v>60</v>
      </c>
      <c r="D2847">
        <v>11</v>
      </c>
      <c r="E2847" t="s">
        <v>456</v>
      </c>
      <c r="F2847" s="12">
        <v>45743</v>
      </c>
      <c r="G2847" t="s">
        <v>650</v>
      </c>
      <c r="H2847" s="12">
        <v>45743</v>
      </c>
      <c r="I2847" t="s">
        <v>951</v>
      </c>
      <c r="J2847" t="s">
        <v>471</v>
      </c>
      <c r="K2847">
        <v>2</v>
      </c>
      <c r="L2847">
        <v>55.6</v>
      </c>
      <c r="M2847">
        <v>56.3</v>
      </c>
      <c r="P2847" t="s">
        <v>106</v>
      </c>
      <c r="Q2847" t="s">
        <v>106</v>
      </c>
      <c r="R2847" t="s">
        <v>106</v>
      </c>
      <c r="S2847" t="s">
        <v>965</v>
      </c>
      <c r="T2847" t="s">
        <v>776</v>
      </c>
      <c r="U2847" t="s">
        <v>138</v>
      </c>
      <c r="V2847" t="s">
        <v>106</v>
      </c>
      <c r="W2847" t="s">
        <v>954</v>
      </c>
      <c r="X2847" t="s">
        <v>106</v>
      </c>
      <c r="Y2847" t="s">
        <v>108</v>
      </c>
      <c r="Z2847" t="s">
        <v>104</v>
      </c>
      <c r="AA2847" t="s">
        <v>966</v>
      </c>
      <c r="AB2847" t="s">
        <v>967</v>
      </c>
    </row>
    <row r="2848" spans="1:28" x14ac:dyDescent="0.3">
      <c r="A2848" t="s">
        <v>1635</v>
      </c>
      <c r="B2848">
        <v>4</v>
      </c>
      <c r="C2848">
        <v>60</v>
      </c>
      <c r="D2848">
        <v>227</v>
      </c>
      <c r="E2848" t="s">
        <v>1027</v>
      </c>
      <c r="F2848" s="12">
        <v>45743</v>
      </c>
      <c r="G2848" t="s">
        <v>341</v>
      </c>
      <c r="H2848" s="12">
        <v>45743</v>
      </c>
      <c r="I2848" t="s">
        <v>2252</v>
      </c>
      <c r="J2848" t="s">
        <v>458</v>
      </c>
      <c r="K2848">
        <v>2</v>
      </c>
      <c r="L2848">
        <v>57.8</v>
      </c>
      <c r="M2848">
        <v>57.9</v>
      </c>
      <c r="P2848" t="s">
        <v>106</v>
      </c>
      <c r="Q2848" t="s">
        <v>106</v>
      </c>
      <c r="R2848" t="s">
        <v>106</v>
      </c>
      <c r="S2848" t="s">
        <v>1325</v>
      </c>
      <c r="T2848" t="s">
        <v>1006</v>
      </c>
      <c r="U2848" t="s">
        <v>825</v>
      </c>
      <c r="V2848" t="s">
        <v>106</v>
      </c>
      <c r="W2848" t="s">
        <v>557</v>
      </c>
      <c r="X2848" t="s">
        <v>106</v>
      </c>
      <c r="Y2848" t="s">
        <v>108</v>
      </c>
      <c r="Z2848" t="s">
        <v>104</v>
      </c>
      <c r="AA2848" t="s">
        <v>966</v>
      </c>
      <c r="AB2848" t="s">
        <v>106</v>
      </c>
    </row>
    <row r="2849" spans="1:28" x14ac:dyDescent="0.3">
      <c r="A2849" t="s">
        <v>1635</v>
      </c>
      <c r="B2849">
        <v>4</v>
      </c>
      <c r="C2849">
        <v>60</v>
      </c>
      <c r="D2849">
        <v>226</v>
      </c>
      <c r="E2849" t="s">
        <v>1027</v>
      </c>
      <c r="F2849" s="12">
        <v>45743</v>
      </c>
      <c r="G2849" t="s">
        <v>1952</v>
      </c>
      <c r="H2849" s="12">
        <v>45743</v>
      </c>
      <c r="I2849" t="s">
        <v>2252</v>
      </c>
      <c r="J2849" t="s">
        <v>458</v>
      </c>
      <c r="K2849">
        <v>2</v>
      </c>
      <c r="L2849">
        <v>60.3</v>
      </c>
      <c r="M2849">
        <v>60.4</v>
      </c>
      <c r="P2849" t="s">
        <v>106</v>
      </c>
      <c r="Q2849" t="s">
        <v>106</v>
      </c>
      <c r="R2849" t="s">
        <v>106</v>
      </c>
      <c r="S2849" t="s">
        <v>2259</v>
      </c>
      <c r="T2849" t="s">
        <v>1214</v>
      </c>
      <c r="U2849" t="s">
        <v>630</v>
      </c>
      <c r="V2849" t="s">
        <v>106</v>
      </c>
      <c r="W2849" t="s">
        <v>557</v>
      </c>
      <c r="X2849" t="s">
        <v>106</v>
      </c>
      <c r="Y2849" t="s">
        <v>108</v>
      </c>
      <c r="Z2849" t="s">
        <v>104</v>
      </c>
      <c r="AA2849" t="s">
        <v>966</v>
      </c>
      <c r="AB2849" t="s">
        <v>106</v>
      </c>
    </row>
    <row r="2850" spans="1:28" x14ac:dyDescent="0.3">
      <c r="A2850" t="s">
        <v>1313</v>
      </c>
      <c r="B2850">
        <v>4</v>
      </c>
      <c r="C2850">
        <v>60</v>
      </c>
      <c r="D2850">
        <v>12</v>
      </c>
      <c r="E2850" t="s">
        <v>456</v>
      </c>
      <c r="F2850" s="12">
        <v>45743</v>
      </c>
      <c r="G2850" t="s">
        <v>652</v>
      </c>
      <c r="H2850" s="12">
        <v>45743</v>
      </c>
      <c r="I2850" t="s">
        <v>951</v>
      </c>
      <c r="J2850" t="s">
        <v>471</v>
      </c>
      <c r="K2850">
        <v>2</v>
      </c>
      <c r="L2850">
        <v>56.6</v>
      </c>
      <c r="M2850">
        <v>56.8</v>
      </c>
      <c r="P2850" t="s">
        <v>106</v>
      </c>
      <c r="Q2850" t="s">
        <v>106</v>
      </c>
      <c r="R2850" t="s">
        <v>106</v>
      </c>
      <c r="S2850" t="s">
        <v>970</v>
      </c>
      <c r="T2850" t="s">
        <v>971</v>
      </c>
      <c r="U2850" t="s">
        <v>719</v>
      </c>
      <c r="V2850" t="s">
        <v>106</v>
      </c>
      <c r="W2850" t="s">
        <v>954</v>
      </c>
      <c r="X2850" t="s">
        <v>106</v>
      </c>
      <c r="Y2850" t="s">
        <v>108</v>
      </c>
      <c r="Z2850" t="s">
        <v>104</v>
      </c>
      <c r="AA2850" t="s">
        <v>966</v>
      </c>
      <c r="AB2850" t="s">
        <v>972</v>
      </c>
    </row>
    <row r="2851" spans="1:28" x14ac:dyDescent="0.3">
      <c r="A2851" t="s">
        <v>1313</v>
      </c>
      <c r="B2851">
        <v>1</v>
      </c>
      <c r="C2851">
        <v>0</v>
      </c>
      <c r="D2851">
        <v>41</v>
      </c>
      <c r="E2851" t="s">
        <v>1027</v>
      </c>
      <c r="F2851" s="12">
        <v>45744</v>
      </c>
      <c r="G2851" t="s">
        <v>1066</v>
      </c>
      <c r="H2851" s="12">
        <v>45744</v>
      </c>
      <c r="I2851" t="s">
        <v>1052</v>
      </c>
      <c r="J2851" t="s">
        <v>458</v>
      </c>
      <c r="K2851">
        <v>2</v>
      </c>
      <c r="L2851">
        <v>0</v>
      </c>
      <c r="M2851">
        <v>0</v>
      </c>
      <c r="P2851" t="s">
        <v>106</v>
      </c>
      <c r="Q2851" t="s">
        <v>106</v>
      </c>
      <c r="R2851" t="s">
        <v>106</v>
      </c>
      <c r="S2851" t="s">
        <v>106</v>
      </c>
      <c r="T2851" t="s">
        <v>961</v>
      </c>
      <c r="U2851" t="s">
        <v>145</v>
      </c>
      <c r="V2851" t="s">
        <v>106</v>
      </c>
      <c r="W2851" t="s">
        <v>557</v>
      </c>
      <c r="X2851" t="s">
        <v>106</v>
      </c>
      <c r="Y2851" t="s">
        <v>108</v>
      </c>
      <c r="Z2851" t="s">
        <v>105</v>
      </c>
      <c r="AA2851" t="s">
        <v>966</v>
      </c>
      <c r="AB2851" t="s">
        <v>106</v>
      </c>
    </row>
    <row r="2852" spans="1:28" x14ac:dyDescent="0.3">
      <c r="A2852" t="s">
        <v>1313</v>
      </c>
      <c r="B2852">
        <v>1</v>
      </c>
      <c r="C2852">
        <v>0</v>
      </c>
      <c r="D2852">
        <v>55</v>
      </c>
      <c r="E2852" t="s">
        <v>1027</v>
      </c>
      <c r="F2852" s="12">
        <v>45744</v>
      </c>
      <c r="G2852" t="s">
        <v>364</v>
      </c>
      <c r="H2852" s="12">
        <v>45744</v>
      </c>
      <c r="I2852" t="s">
        <v>1111</v>
      </c>
      <c r="J2852" t="s">
        <v>477</v>
      </c>
      <c r="K2852">
        <v>2</v>
      </c>
      <c r="L2852">
        <v>0</v>
      </c>
      <c r="M2852">
        <v>0</v>
      </c>
      <c r="P2852" t="s">
        <v>106</v>
      </c>
      <c r="Q2852" t="s">
        <v>106</v>
      </c>
      <c r="R2852" t="s">
        <v>106</v>
      </c>
      <c r="S2852" t="s">
        <v>1115</v>
      </c>
      <c r="T2852" t="s">
        <v>993</v>
      </c>
      <c r="U2852" t="s">
        <v>867</v>
      </c>
      <c r="V2852" t="s">
        <v>106</v>
      </c>
      <c r="W2852" t="s">
        <v>954</v>
      </c>
      <c r="X2852" t="s">
        <v>106</v>
      </c>
      <c r="Y2852" t="s">
        <v>108</v>
      </c>
      <c r="Z2852" t="s">
        <v>105</v>
      </c>
      <c r="AA2852" t="s">
        <v>1113</v>
      </c>
      <c r="AB2852" t="s">
        <v>1116</v>
      </c>
    </row>
    <row r="2853" spans="1:28" x14ac:dyDescent="0.3">
      <c r="A2853" t="s">
        <v>1313</v>
      </c>
      <c r="B2853">
        <v>2</v>
      </c>
      <c r="C2853">
        <v>15</v>
      </c>
      <c r="D2853">
        <v>27</v>
      </c>
      <c r="E2853" t="s">
        <v>456</v>
      </c>
      <c r="F2853" s="12">
        <v>45744</v>
      </c>
      <c r="G2853" t="s">
        <v>1017</v>
      </c>
      <c r="H2853" s="12">
        <v>45744</v>
      </c>
      <c r="I2853" t="s">
        <v>1005</v>
      </c>
      <c r="J2853" t="s">
        <v>458</v>
      </c>
      <c r="K2853">
        <v>2</v>
      </c>
      <c r="L2853">
        <v>17.600000000000001</v>
      </c>
      <c r="M2853">
        <v>17.7</v>
      </c>
      <c r="P2853" t="s">
        <v>106</v>
      </c>
      <c r="Q2853" t="s">
        <v>106</v>
      </c>
      <c r="R2853" t="s">
        <v>106</v>
      </c>
      <c r="S2853" t="s">
        <v>106</v>
      </c>
      <c r="T2853" t="s">
        <v>984</v>
      </c>
      <c r="U2853" t="s">
        <v>867</v>
      </c>
      <c r="V2853" t="s">
        <v>106</v>
      </c>
      <c r="W2853" t="s">
        <v>443</v>
      </c>
      <c r="X2853" t="s">
        <v>106</v>
      </c>
      <c r="Y2853" t="s">
        <v>108</v>
      </c>
      <c r="Z2853" t="s">
        <v>109</v>
      </c>
      <c r="AA2853" t="s">
        <v>966</v>
      </c>
      <c r="AB2853" t="s">
        <v>106</v>
      </c>
    </row>
    <row r="2854" spans="1:28" x14ac:dyDescent="0.3">
      <c r="A2854" t="s">
        <v>1313</v>
      </c>
      <c r="B2854">
        <v>2</v>
      </c>
      <c r="C2854">
        <v>15</v>
      </c>
      <c r="D2854">
        <v>52</v>
      </c>
      <c r="E2854" t="s">
        <v>1027</v>
      </c>
      <c r="F2854" s="12">
        <v>45744</v>
      </c>
      <c r="G2854" t="s">
        <v>1103</v>
      </c>
      <c r="H2854" s="12">
        <v>45744</v>
      </c>
      <c r="I2854" t="s">
        <v>622</v>
      </c>
      <c r="J2854" t="s">
        <v>458</v>
      </c>
      <c r="K2854">
        <v>2</v>
      </c>
      <c r="L2854">
        <v>17.2</v>
      </c>
      <c r="M2854">
        <v>17.2</v>
      </c>
      <c r="P2854" t="s">
        <v>106</v>
      </c>
      <c r="Q2854" t="s">
        <v>106</v>
      </c>
      <c r="R2854" t="s">
        <v>106</v>
      </c>
      <c r="S2854" t="s">
        <v>1104</v>
      </c>
      <c r="T2854" t="s">
        <v>1105</v>
      </c>
      <c r="U2854" t="s">
        <v>719</v>
      </c>
      <c r="V2854" t="s">
        <v>106</v>
      </c>
      <c r="W2854" t="s">
        <v>557</v>
      </c>
      <c r="X2854" t="s">
        <v>106</v>
      </c>
      <c r="Y2854" t="s">
        <v>108</v>
      </c>
      <c r="Z2854" t="s">
        <v>109</v>
      </c>
      <c r="AA2854" t="s">
        <v>966</v>
      </c>
      <c r="AB2854" t="s">
        <v>106</v>
      </c>
    </row>
    <row r="2855" spans="1:28" x14ac:dyDescent="0.3">
      <c r="A2855" t="s">
        <v>1313</v>
      </c>
      <c r="B2855">
        <v>2</v>
      </c>
      <c r="C2855">
        <v>15</v>
      </c>
      <c r="D2855">
        <v>53</v>
      </c>
      <c r="E2855" t="s">
        <v>1027</v>
      </c>
      <c r="F2855" s="12">
        <v>45744</v>
      </c>
      <c r="G2855" t="s">
        <v>1107</v>
      </c>
      <c r="H2855" s="12">
        <v>45744</v>
      </c>
      <c r="I2855" t="s">
        <v>622</v>
      </c>
      <c r="J2855" t="s">
        <v>458</v>
      </c>
      <c r="K2855">
        <v>2</v>
      </c>
      <c r="L2855">
        <v>14.4</v>
      </c>
      <c r="M2855">
        <v>14.5</v>
      </c>
      <c r="P2855" t="s">
        <v>106</v>
      </c>
      <c r="Q2855" t="s">
        <v>106</v>
      </c>
      <c r="R2855" t="s">
        <v>106</v>
      </c>
      <c r="S2855" t="s">
        <v>1073</v>
      </c>
      <c r="T2855" t="s">
        <v>1108</v>
      </c>
      <c r="U2855" t="s">
        <v>147</v>
      </c>
      <c r="V2855" t="s">
        <v>106</v>
      </c>
      <c r="W2855" t="s">
        <v>557</v>
      </c>
      <c r="X2855" t="s">
        <v>106</v>
      </c>
      <c r="Y2855" t="s">
        <v>108</v>
      </c>
      <c r="Z2855" t="s">
        <v>109</v>
      </c>
      <c r="AA2855" t="s">
        <v>966</v>
      </c>
      <c r="AB2855" t="s">
        <v>106</v>
      </c>
    </row>
    <row r="2856" spans="1:28" x14ac:dyDescent="0.3">
      <c r="A2856" t="s">
        <v>1313</v>
      </c>
      <c r="B2856">
        <v>2</v>
      </c>
      <c r="C2856">
        <v>15</v>
      </c>
      <c r="D2856">
        <v>70</v>
      </c>
      <c r="E2856" t="s">
        <v>1027</v>
      </c>
      <c r="F2856" s="12">
        <v>45744</v>
      </c>
      <c r="G2856" t="s">
        <v>1169</v>
      </c>
      <c r="H2856" s="12">
        <v>45744</v>
      </c>
      <c r="I2856" t="s">
        <v>784</v>
      </c>
      <c r="J2856" t="s">
        <v>471</v>
      </c>
      <c r="K2856">
        <v>2</v>
      </c>
      <c r="L2856">
        <v>15.6</v>
      </c>
      <c r="M2856">
        <v>15.7</v>
      </c>
      <c r="P2856" t="s">
        <v>106</v>
      </c>
      <c r="Q2856" t="s">
        <v>106</v>
      </c>
      <c r="R2856" t="s">
        <v>106</v>
      </c>
      <c r="S2856" t="s">
        <v>106</v>
      </c>
      <c r="T2856" t="s">
        <v>984</v>
      </c>
      <c r="U2856" t="s">
        <v>867</v>
      </c>
      <c r="V2856" t="s">
        <v>106</v>
      </c>
      <c r="W2856" t="s">
        <v>954</v>
      </c>
      <c r="X2856" t="s">
        <v>106</v>
      </c>
      <c r="Y2856" t="s">
        <v>108</v>
      </c>
      <c r="Z2856" t="s">
        <v>109</v>
      </c>
      <c r="AA2856" t="s">
        <v>966</v>
      </c>
      <c r="AB2856" t="s">
        <v>106</v>
      </c>
    </row>
    <row r="2857" spans="1:28" x14ac:dyDescent="0.3">
      <c r="A2857" t="s">
        <v>1313</v>
      </c>
      <c r="B2857">
        <v>2</v>
      </c>
      <c r="C2857">
        <v>15</v>
      </c>
      <c r="D2857">
        <v>46</v>
      </c>
      <c r="E2857" t="s">
        <v>1027</v>
      </c>
      <c r="F2857" s="12">
        <v>45744</v>
      </c>
      <c r="G2857" t="s">
        <v>871</v>
      </c>
      <c r="H2857" s="12">
        <v>45744</v>
      </c>
      <c r="I2857" t="s">
        <v>362</v>
      </c>
      <c r="J2857" t="s">
        <v>458</v>
      </c>
      <c r="K2857">
        <v>2</v>
      </c>
      <c r="L2857">
        <v>13.6</v>
      </c>
      <c r="M2857">
        <v>13.8</v>
      </c>
      <c r="P2857" t="s">
        <v>106</v>
      </c>
      <c r="Q2857" t="s">
        <v>106</v>
      </c>
      <c r="R2857" t="s">
        <v>106</v>
      </c>
      <c r="S2857" t="s">
        <v>1081</v>
      </c>
      <c r="T2857" t="s">
        <v>870</v>
      </c>
      <c r="U2857" t="s">
        <v>867</v>
      </c>
      <c r="V2857" t="s">
        <v>106</v>
      </c>
      <c r="W2857" t="s">
        <v>557</v>
      </c>
      <c r="X2857" t="s">
        <v>106</v>
      </c>
      <c r="Y2857" t="s">
        <v>108</v>
      </c>
      <c r="Z2857" t="s">
        <v>109</v>
      </c>
      <c r="AA2857" t="s">
        <v>966</v>
      </c>
      <c r="AB2857" t="s">
        <v>106</v>
      </c>
    </row>
    <row r="2858" spans="1:28" x14ac:dyDescent="0.3">
      <c r="A2858" t="s">
        <v>1313</v>
      </c>
      <c r="B2858">
        <v>2</v>
      </c>
      <c r="C2858">
        <v>15</v>
      </c>
      <c r="D2858">
        <v>47</v>
      </c>
      <c r="E2858" t="s">
        <v>1027</v>
      </c>
      <c r="F2858" s="12">
        <v>45744</v>
      </c>
      <c r="G2858" t="s">
        <v>363</v>
      </c>
      <c r="H2858" s="12">
        <v>45744</v>
      </c>
      <c r="I2858" t="s">
        <v>362</v>
      </c>
      <c r="J2858" t="s">
        <v>458</v>
      </c>
      <c r="K2858">
        <v>2</v>
      </c>
      <c r="L2858">
        <v>14.8</v>
      </c>
      <c r="M2858">
        <v>14.9</v>
      </c>
      <c r="P2858" t="s">
        <v>106</v>
      </c>
      <c r="Q2858" t="s">
        <v>106</v>
      </c>
      <c r="R2858" t="s">
        <v>106</v>
      </c>
      <c r="S2858" t="s">
        <v>1083</v>
      </c>
      <c r="T2858" t="s">
        <v>1084</v>
      </c>
      <c r="U2858" t="s">
        <v>708</v>
      </c>
      <c r="V2858" t="s">
        <v>106</v>
      </c>
      <c r="W2858" t="s">
        <v>557</v>
      </c>
      <c r="X2858" t="s">
        <v>106</v>
      </c>
      <c r="Y2858" t="s">
        <v>108</v>
      </c>
      <c r="Z2858" t="s">
        <v>109</v>
      </c>
      <c r="AA2858" t="s">
        <v>966</v>
      </c>
      <c r="AB2858" t="s">
        <v>106</v>
      </c>
    </row>
    <row r="2859" spans="1:28" x14ac:dyDescent="0.3">
      <c r="A2859" t="s">
        <v>1313</v>
      </c>
      <c r="B2859">
        <v>2</v>
      </c>
      <c r="C2859">
        <v>15</v>
      </c>
      <c r="D2859">
        <v>29</v>
      </c>
      <c r="E2859" t="s">
        <v>456</v>
      </c>
      <c r="F2859" s="12">
        <v>45744</v>
      </c>
      <c r="G2859" t="s">
        <v>1024</v>
      </c>
      <c r="H2859" s="12">
        <v>45744</v>
      </c>
      <c r="I2859" t="s">
        <v>1005</v>
      </c>
      <c r="J2859" t="s">
        <v>458</v>
      </c>
      <c r="K2859">
        <v>2</v>
      </c>
      <c r="L2859">
        <v>16.8</v>
      </c>
      <c r="M2859">
        <v>16.7</v>
      </c>
      <c r="P2859" t="s">
        <v>106</v>
      </c>
      <c r="Q2859" t="s">
        <v>106</v>
      </c>
      <c r="R2859" t="s">
        <v>106</v>
      </c>
      <c r="S2859" t="s">
        <v>1025</v>
      </c>
      <c r="T2859" t="s">
        <v>1022</v>
      </c>
      <c r="U2859" t="s">
        <v>441</v>
      </c>
      <c r="V2859" t="s">
        <v>106</v>
      </c>
      <c r="W2859" t="s">
        <v>443</v>
      </c>
      <c r="X2859" t="s">
        <v>106</v>
      </c>
      <c r="Y2859" t="s">
        <v>108</v>
      </c>
      <c r="Z2859" t="s">
        <v>109</v>
      </c>
      <c r="AA2859" t="s">
        <v>966</v>
      </c>
      <c r="AB2859" t="s">
        <v>106</v>
      </c>
    </row>
    <row r="2860" spans="1:28" x14ac:dyDescent="0.3">
      <c r="A2860" t="s">
        <v>1313</v>
      </c>
      <c r="B2860">
        <v>2</v>
      </c>
      <c r="C2860">
        <v>15</v>
      </c>
      <c r="D2860">
        <v>60</v>
      </c>
      <c r="E2860" t="s">
        <v>1027</v>
      </c>
      <c r="F2860" s="12">
        <v>45744</v>
      </c>
      <c r="G2860" t="s">
        <v>739</v>
      </c>
      <c r="H2860" s="12">
        <v>45744</v>
      </c>
      <c r="I2860" t="s">
        <v>1111</v>
      </c>
      <c r="J2860" t="s">
        <v>477</v>
      </c>
      <c r="K2860">
        <v>2</v>
      </c>
      <c r="L2860">
        <v>17.3</v>
      </c>
      <c r="M2860">
        <v>17.5</v>
      </c>
      <c r="P2860" t="s">
        <v>106</v>
      </c>
      <c r="Q2860" t="s">
        <v>106</v>
      </c>
      <c r="R2860" t="s">
        <v>106</v>
      </c>
      <c r="S2860" t="s">
        <v>980</v>
      </c>
      <c r="T2860" t="s">
        <v>1090</v>
      </c>
      <c r="U2860" t="s">
        <v>361</v>
      </c>
      <c r="V2860" t="s">
        <v>106</v>
      </c>
      <c r="W2860" t="s">
        <v>954</v>
      </c>
      <c r="X2860" t="s">
        <v>106</v>
      </c>
      <c r="Y2860" t="s">
        <v>108</v>
      </c>
      <c r="Z2860" t="s">
        <v>109</v>
      </c>
      <c r="AA2860" t="s">
        <v>966</v>
      </c>
      <c r="AB2860" t="s">
        <v>106</v>
      </c>
    </row>
    <row r="2861" spans="1:28" x14ac:dyDescent="0.3">
      <c r="A2861" t="s">
        <v>1313</v>
      </c>
      <c r="B2861">
        <v>2</v>
      </c>
      <c r="C2861">
        <v>15</v>
      </c>
      <c r="D2861">
        <v>28</v>
      </c>
      <c r="E2861" t="s">
        <v>456</v>
      </c>
      <c r="F2861" s="12">
        <v>45744</v>
      </c>
      <c r="G2861" t="s">
        <v>1017</v>
      </c>
      <c r="H2861" s="12">
        <v>45744</v>
      </c>
      <c r="I2861" t="s">
        <v>1005</v>
      </c>
      <c r="J2861" t="s">
        <v>458</v>
      </c>
      <c r="K2861">
        <v>2</v>
      </c>
      <c r="L2861">
        <v>16.8</v>
      </c>
      <c r="M2861">
        <v>16.7</v>
      </c>
      <c r="P2861" t="s">
        <v>106</v>
      </c>
      <c r="Q2861" t="s">
        <v>106</v>
      </c>
      <c r="R2861" t="s">
        <v>106</v>
      </c>
      <c r="S2861" t="s">
        <v>106</v>
      </c>
      <c r="T2861" t="s">
        <v>1022</v>
      </c>
      <c r="U2861" t="s">
        <v>147</v>
      </c>
      <c r="V2861" t="s">
        <v>106</v>
      </c>
      <c r="W2861" t="s">
        <v>443</v>
      </c>
      <c r="X2861" t="s">
        <v>106</v>
      </c>
      <c r="Y2861" t="s">
        <v>108</v>
      </c>
      <c r="Z2861" t="s">
        <v>109</v>
      </c>
      <c r="AA2861" t="s">
        <v>966</v>
      </c>
      <c r="AB2861" t="s">
        <v>106</v>
      </c>
    </row>
    <row r="2862" spans="1:28" x14ac:dyDescent="0.3">
      <c r="A2862" t="s">
        <v>1313</v>
      </c>
      <c r="B2862">
        <v>2</v>
      </c>
      <c r="C2862">
        <v>15</v>
      </c>
      <c r="D2862">
        <v>59</v>
      </c>
      <c r="E2862" t="s">
        <v>1027</v>
      </c>
      <c r="F2862" s="12">
        <v>45744</v>
      </c>
      <c r="G2862" t="s">
        <v>365</v>
      </c>
      <c r="H2862" s="12">
        <v>45744</v>
      </c>
      <c r="I2862" t="s">
        <v>1111</v>
      </c>
      <c r="J2862" t="s">
        <v>477</v>
      </c>
      <c r="K2862">
        <v>2</v>
      </c>
      <c r="L2862">
        <v>15.9</v>
      </c>
      <c r="M2862">
        <v>16.2</v>
      </c>
      <c r="P2862" t="s">
        <v>106</v>
      </c>
      <c r="Q2862" t="s">
        <v>106</v>
      </c>
      <c r="R2862" t="s">
        <v>106</v>
      </c>
      <c r="S2862" t="s">
        <v>1135</v>
      </c>
      <c r="T2862" t="s">
        <v>1101</v>
      </c>
      <c r="U2862" t="s">
        <v>361</v>
      </c>
      <c r="V2862" t="s">
        <v>106</v>
      </c>
      <c r="W2862" t="s">
        <v>954</v>
      </c>
      <c r="X2862" t="s">
        <v>106</v>
      </c>
      <c r="Y2862" t="s">
        <v>108</v>
      </c>
      <c r="Z2862" t="s">
        <v>109</v>
      </c>
      <c r="AA2862" t="s">
        <v>966</v>
      </c>
      <c r="AB2862" t="s">
        <v>106</v>
      </c>
    </row>
    <row r="2863" spans="1:28" x14ac:dyDescent="0.3">
      <c r="A2863" t="s">
        <v>1313</v>
      </c>
      <c r="B2863">
        <v>2</v>
      </c>
      <c r="C2863">
        <v>15</v>
      </c>
      <c r="D2863">
        <v>71</v>
      </c>
      <c r="E2863" t="s">
        <v>1027</v>
      </c>
      <c r="F2863" s="12">
        <v>45744</v>
      </c>
      <c r="G2863" t="s">
        <v>1169</v>
      </c>
      <c r="H2863" s="12">
        <v>45744</v>
      </c>
      <c r="I2863" t="s">
        <v>784</v>
      </c>
      <c r="J2863" t="s">
        <v>471</v>
      </c>
      <c r="K2863">
        <v>2</v>
      </c>
      <c r="L2863">
        <v>16.899999999999999</v>
      </c>
      <c r="M2863">
        <v>16.899999999999999</v>
      </c>
      <c r="P2863" t="s">
        <v>106</v>
      </c>
      <c r="Q2863" t="s">
        <v>106</v>
      </c>
      <c r="R2863" t="s">
        <v>106</v>
      </c>
      <c r="S2863" t="s">
        <v>106</v>
      </c>
      <c r="T2863" t="s">
        <v>981</v>
      </c>
      <c r="U2863" t="s">
        <v>719</v>
      </c>
      <c r="V2863" t="s">
        <v>106</v>
      </c>
      <c r="W2863" t="s">
        <v>954</v>
      </c>
      <c r="X2863" t="s">
        <v>106</v>
      </c>
      <c r="Y2863" t="s">
        <v>108</v>
      </c>
      <c r="Z2863" t="s">
        <v>109</v>
      </c>
      <c r="AA2863" t="s">
        <v>966</v>
      </c>
      <c r="AB2863" t="s">
        <v>106</v>
      </c>
    </row>
    <row r="2864" spans="1:28" x14ac:dyDescent="0.3">
      <c r="A2864" t="s">
        <v>1313</v>
      </c>
      <c r="B2864">
        <v>2</v>
      </c>
      <c r="C2864">
        <v>15</v>
      </c>
      <c r="D2864">
        <v>65</v>
      </c>
      <c r="E2864" t="s">
        <v>1027</v>
      </c>
      <c r="F2864" s="12">
        <v>45744</v>
      </c>
      <c r="G2864" t="s">
        <v>1152</v>
      </c>
      <c r="H2864" s="12">
        <v>45744</v>
      </c>
      <c r="I2864" t="s">
        <v>134</v>
      </c>
      <c r="J2864" t="s">
        <v>471</v>
      </c>
      <c r="K2864">
        <v>2</v>
      </c>
      <c r="L2864">
        <v>15.2</v>
      </c>
      <c r="M2864">
        <v>15.3</v>
      </c>
      <c r="P2864" t="s">
        <v>106</v>
      </c>
      <c r="Q2864" t="s">
        <v>106</v>
      </c>
      <c r="R2864" t="s">
        <v>106</v>
      </c>
      <c r="S2864" t="s">
        <v>1048</v>
      </c>
      <c r="T2864" t="s">
        <v>1155</v>
      </c>
      <c r="U2864" t="s">
        <v>136</v>
      </c>
      <c r="V2864" t="s">
        <v>106</v>
      </c>
      <c r="W2864" t="s">
        <v>954</v>
      </c>
      <c r="X2864" t="s">
        <v>106</v>
      </c>
      <c r="Y2864" t="s">
        <v>108</v>
      </c>
      <c r="Z2864" t="s">
        <v>109</v>
      </c>
      <c r="AA2864" t="s">
        <v>966</v>
      </c>
      <c r="AB2864" t="s">
        <v>106</v>
      </c>
    </row>
    <row r="2865" spans="1:28" x14ac:dyDescent="0.3">
      <c r="A2865" t="s">
        <v>1313</v>
      </c>
      <c r="B2865">
        <v>2</v>
      </c>
      <c r="C2865">
        <v>15</v>
      </c>
      <c r="D2865">
        <v>34</v>
      </c>
      <c r="E2865" t="s">
        <v>1027</v>
      </c>
      <c r="F2865" s="12">
        <v>45744</v>
      </c>
      <c r="G2865" t="s">
        <v>1043</v>
      </c>
      <c r="H2865" s="12">
        <v>45744</v>
      </c>
      <c r="I2865" t="s">
        <v>1029</v>
      </c>
      <c r="J2865" t="s">
        <v>458</v>
      </c>
      <c r="K2865">
        <v>2</v>
      </c>
      <c r="L2865">
        <v>14.3</v>
      </c>
      <c r="M2865">
        <v>14.4</v>
      </c>
      <c r="P2865" t="s">
        <v>106</v>
      </c>
      <c r="Q2865" t="s">
        <v>106</v>
      </c>
      <c r="R2865" t="s">
        <v>106</v>
      </c>
      <c r="S2865" t="s">
        <v>1045</v>
      </c>
      <c r="T2865" t="s">
        <v>1046</v>
      </c>
      <c r="U2865" t="s">
        <v>440</v>
      </c>
      <c r="V2865" t="s">
        <v>106</v>
      </c>
      <c r="W2865" t="s">
        <v>557</v>
      </c>
      <c r="X2865" t="s">
        <v>106</v>
      </c>
      <c r="Y2865" t="s">
        <v>108</v>
      </c>
      <c r="Z2865" t="s">
        <v>109</v>
      </c>
      <c r="AA2865" t="s">
        <v>966</v>
      </c>
      <c r="AB2865" t="s">
        <v>106</v>
      </c>
    </row>
    <row r="2866" spans="1:28" x14ac:dyDescent="0.3">
      <c r="A2866" t="s">
        <v>1313</v>
      </c>
      <c r="B2866">
        <v>2</v>
      </c>
      <c r="C2866">
        <v>15</v>
      </c>
      <c r="D2866">
        <v>40</v>
      </c>
      <c r="E2866" t="s">
        <v>1027</v>
      </c>
      <c r="F2866" s="12">
        <v>45744</v>
      </c>
      <c r="G2866" t="s">
        <v>488</v>
      </c>
      <c r="H2866" s="12">
        <v>45744</v>
      </c>
      <c r="I2866" t="s">
        <v>1052</v>
      </c>
      <c r="J2866" t="s">
        <v>458</v>
      </c>
      <c r="K2866">
        <v>2</v>
      </c>
      <c r="L2866">
        <v>16.7</v>
      </c>
      <c r="M2866">
        <v>16.600000000000001</v>
      </c>
      <c r="P2866" t="s">
        <v>106</v>
      </c>
      <c r="Q2866" t="s">
        <v>106</v>
      </c>
      <c r="R2866" t="s">
        <v>106</v>
      </c>
      <c r="S2866" t="s">
        <v>106</v>
      </c>
      <c r="T2866" t="s">
        <v>961</v>
      </c>
      <c r="U2866" t="s">
        <v>444</v>
      </c>
      <c r="V2866" t="s">
        <v>106</v>
      </c>
      <c r="W2866" t="s">
        <v>557</v>
      </c>
      <c r="X2866" t="s">
        <v>106</v>
      </c>
      <c r="Y2866" t="s">
        <v>108</v>
      </c>
      <c r="Z2866" t="s">
        <v>109</v>
      </c>
      <c r="AA2866" t="s">
        <v>966</v>
      </c>
      <c r="AB2866" t="s">
        <v>106</v>
      </c>
    </row>
    <row r="2867" spans="1:28" x14ac:dyDescent="0.3">
      <c r="A2867" t="s">
        <v>1313</v>
      </c>
      <c r="B2867">
        <v>2</v>
      </c>
      <c r="C2867">
        <v>15</v>
      </c>
      <c r="D2867">
        <v>66</v>
      </c>
      <c r="E2867" t="s">
        <v>1027</v>
      </c>
      <c r="F2867" s="12">
        <v>45744</v>
      </c>
      <c r="G2867" t="s">
        <v>1157</v>
      </c>
      <c r="H2867" s="12">
        <v>45744</v>
      </c>
      <c r="I2867" t="s">
        <v>134</v>
      </c>
      <c r="J2867" t="s">
        <v>471</v>
      </c>
      <c r="K2867">
        <v>2</v>
      </c>
      <c r="L2867">
        <v>16</v>
      </c>
      <c r="M2867">
        <v>16</v>
      </c>
      <c r="P2867" t="s">
        <v>106</v>
      </c>
      <c r="Q2867" t="s">
        <v>106</v>
      </c>
      <c r="R2867" t="s">
        <v>106</v>
      </c>
      <c r="S2867" t="s">
        <v>970</v>
      </c>
      <c r="T2867" t="s">
        <v>1158</v>
      </c>
      <c r="U2867" t="s">
        <v>441</v>
      </c>
      <c r="V2867" t="s">
        <v>106</v>
      </c>
      <c r="W2867" t="s">
        <v>954</v>
      </c>
      <c r="X2867" t="s">
        <v>106</v>
      </c>
      <c r="Y2867" t="s">
        <v>108</v>
      </c>
      <c r="Z2867" t="s">
        <v>109</v>
      </c>
      <c r="AA2867" t="s">
        <v>966</v>
      </c>
      <c r="AB2867" t="s">
        <v>106</v>
      </c>
    </row>
    <row r="2868" spans="1:28" x14ac:dyDescent="0.3">
      <c r="A2868" t="s">
        <v>1313</v>
      </c>
      <c r="B2868">
        <v>2</v>
      </c>
      <c r="C2868">
        <v>15</v>
      </c>
      <c r="D2868">
        <v>35</v>
      </c>
      <c r="E2868" t="s">
        <v>1027</v>
      </c>
      <c r="F2868" s="12">
        <v>45744</v>
      </c>
      <c r="G2868" t="s">
        <v>1043</v>
      </c>
      <c r="H2868" s="12">
        <v>45744</v>
      </c>
      <c r="I2868" t="s">
        <v>1029</v>
      </c>
      <c r="J2868" t="s">
        <v>458</v>
      </c>
      <c r="K2868">
        <v>2</v>
      </c>
      <c r="L2868">
        <v>14.3</v>
      </c>
      <c r="M2868">
        <v>14.3</v>
      </c>
      <c r="P2868" t="s">
        <v>106</v>
      </c>
      <c r="Q2868" t="s">
        <v>106</v>
      </c>
      <c r="R2868" t="s">
        <v>106</v>
      </c>
      <c r="S2868" t="s">
        <v>1048</v>
      </c>
      <c r="T2868" t="s">
        <v>1049</v>
      </c>
      <c r="U2868" t="s">
        <v>426</v>
      </c>
      <c r="V2868" t="s">
        <v>106</v>
      </c>
      <c r="W2868" t="s">
        <v>557</v>
      </c>
      <c r="X2868" t="s">
        <v>106</v>
      </c>
      <c r="Y2868" t="s">
        <v>108</v>
      </c>
      <c r="Z2868" t="s">
        <v>109</v>
      </c>
      <c r="AA2868" t="s">
        <v>966</v>
      </c>
      <c r="AB2868" t="s">
        <v>106</v>
      </c>
    </row>
    <row r="2869" spans="1:28" x14ac:dyDescent="0.3">
      <c r="A2869" t="s">
        <v>1313</v>
      </c>
      <c r="B2869">
        <v>2</v>
      </c>
      <c r="C2869">
        <v>15</v>
      </c>
      <c r="D2869">
        <v>39</v>
      </c>
      <c r="E2869" t="s">
        <v>1027</v>
      </c>
      <c r="F2869" s="12">
        <v>45744</v>
      </c>
      <c r="G2869" t="s">
        <v>488</v>
      </c>
      <c r="H2869" s="12">
        <v>45744</v>
      </c>
      <c r="I2869" t="s">
        <v>1052</v>
      </c>
      <c r="J2869" t="s">
        <v>458</v>
      </c>
      <c r="K2869">
        <v>2</v>
      </c>
      <c r="L2869">
        <v>14.4</v>
      </c>
      <c r="M2869">
        <v>14.5</v>
      </c>
      <c r="P2869" t="s">
        <v>106</v>
      </c>
      <c r="Q2869" t="s">
        <v>106</v>
      </c>
      <c r="R2869" t="s">
        <v>106</v>
      </c>
      <c r="S2869" t="s">
        <v>1045</v>
      </c>
      <c r="T2869" t="s">
        <v>1063</v>
      </c>
      <c r="U2869" t="s">
        <v>361</v>
      </c>
      <c r="V2869" t="s">
        <v>106</v>
      </c>
      <c r="W2869" t="s">
        <v>557</v>
      </c>
      <c r="X2869" t="s">
        <v>106</v>
      </c>
      <c r="Y2869" t="s">
        <v>108</v>
      </c>
      <c r="Z2869" t="s">
        <v>109</v>
      </c>
      <c r="AA2869" t="s">
        <v>966</v>
      </c>
      <c r="AB2869" t="s">
        <v>106</v>
      </c>
    </row>
    <row r="2870" spans="1:28" x14ac:dyDescent="0.3">
      <c r="A2870" t="s">
        <v>1313</v>
      </c>
      <c r="B2870">
        <v>3</v>
      </c>
      <c r="C2870">
        <v>35</v>
      </c>
      <c r="D2870">
        <v>43</v>
      </c>
      <c r="E2870" t="s">
        <v>1027</v>
      </c>
      <c r="F2870" s="12">
        <v>45744</v>
      </c>
      <c r="G2870" t="s">
        <v>1071</v>
      </c>
      <c r="H2870" s="12">
        <v>45744</v>
      </c>
      <c r="I2870" t="s">
        <v>362</v>
      </c>
      <c r="J2870" t="s">
        <v>458</v>
      </c>
      <c r="K2870">
        <v>2</v>
      </c>
      <c r="L2870">
        <v>36</v>
      </c>
      <c r="M2870">
        <v>36.1</v>
      </c>
      <c r="P2870" t="s">
        <v>106</v>
      </c>
      <c r="Q2870" t="s">
        <v>106</v>
      </c>
      <c r="R2870" t="s">
        <v>106</v>
      </c>
      <c r="S2870" t="s">
        <v>1073</v>
      </c>
      <c r="T2870" t="s">
        <v>1074</v>
      </c>
      <c r="U2870" t="s">
        <v>444</v>
      </c>
      <c r="V2870" t="s">
        <v>106</v>
      </c>
      <c r="W2870" t="s">
        <v>557</v>
      </c>
      <c r="X2870" t="s">
        <v>106</v>
      </c>
      <c r="Y2870" t="s">
        <v>108</v>
      </c>
      <c r="Z2870" t="s">
        <v>108</v>
      </c>
      <c r="AA2870" t="s">
        <v>966</v>
      </c>
      <c r="AB2870" t="s">
        <v>106</v>
      </c>
    </row>
    <row r="2871" spans="1:28" x14ac:dyDescent="0.3">
      <c r="A2871" t="s">
        <v>1313</v>
      </c>
      <c r="B2871">
        <v>3</v>
      </c>
      <c r="C2871">
        <v>35</v>
      </c>
      <c r="D2871">
        <v>74</v>
      </c>
      <c r="E2871" t="s">
        <v>1027</v>
      </c>
      <c r="F2871" s="12">
        <v>45744</v>
      </c>
      <c r="G2871" t="s">
        <v>657</v>
      </c>
      <c r="H2871" s="12">
        <v>45744</v>
      </c>
      <c r="I2871" t="s">
        <v>1183</v>
      </c>
      <c r="J2871" t="s">
        <v>471</v>
      </c>
      <c r="K2871">
        <v>2</v>
      </c>
      <c r="L2871">
        <v>36.5</v>
      </c>
      <c r="M2871">
        <v>37</v>
      </c>
      <c r="P2871" t="s">
        <v>106</v>
      </c>
      <c r="Q2871" t="s">
        <v>106</v>
      </c>
      <c r="R2871" t="s">
        <v>106</v>
      </c>
      <c r="S2871" t="s">
        <v>106</v>
      </c>
      <c r="T2871" t="s">
        <v>106</v>
      </c>
      <c r="U2871" t="s">
        <v>106</v>
      </c>
      <c r="V2871" t="s">
        <v>106</v>
      </c>
      <c r="W2871" t="s">
        <v>471</v>
      </c>
      <c r="X2871" t="s">
        <v>106</v>
      </c>
      <c r="Y2871" t="s">
        <v>108</v>
      </c>
      <c r="Z2871" t="s">
        <v>108</v>
      </c>
      <c r="AA2871" t="s">
        <v>1113</v>
      </c>
      <c r="AB2871" t="s">
        <v>106</v>
      </c>
    </row>
    <row r="2872" spans="1:28" x14ac:dyDescent="0.3">
      <c r="A2872" t="s">
        <v>1313</v>
      </c>
      <c r="B2872">
        <v>3</v>
      </c>
      <c r="C2872">
        <v>35</v>
      </c>
      <c r="D2872">
        <v>73</v>
      </c>
      <c r="E2872" t="s">
        <v>1027</v>
      </c>
      <c r="F2872" s="12">
        <v>45744</v>
      </c>
      <c r="G2872" t="s">
        <v>1178</v>
      </c>
      <c r="H2872" s="12">
        <v>45744</v>
      </c>
      <c r="I2872" t="s">
        <v>1179</v>
      </c>
      <c r="J2872" t="s">
        <v>471</v>
      </c>
      <c r="K2872">
        <v>2</v>
      </c>
      <c r="L2872">
        <v>38.4</v>
      </c>
      <c r="M2872">
        <v>38.799999999999997</v>
      </c>
      <c r="P2872" t="s">
        <v>106</v>
      </c>
      <c r="Q2872" t="s">
        <v>106</v>
      </c>
      <c r="R2872" t="s">
        <v>106</v>
      </c>
      <c r="S2872" t="s">
        <v>106</v>
      </c>
      <c r="T2872" t="s">
        <v>106</v>
      </c>
      <c r="U2872" t="s">
        <v>106</v>
      </c>
      <c r="V2872" t="s">
        <v>106</v>
      </c>
      <c r="W2872" t="s">
        <v>471</v>
      </c>
      <c r="X2872" t="s">
        <v>106</v>
      </c>
      <c r="Y2872" t="s">
        <v>108</v>
      </c>
      <c r="Z2872" t="s">
        <v>108</v>
      </c>
      <c r="AA2872" t="s">
        <v>1113</v>
      </c>
      <c r="AB2872" t="s">
        <v>106</v>
      </c>
    </row>
    <row r="2873" spans="1:28" x14ac:dyDescent="0.3">
      <c r="A2873" t="s">
        <v>1313</v>
      </c>
      <c r="B2873">
        <v>3</v>
      </c>
      <c r="C2873">
        <v>35</v>
      </c>
      <c r="D2873">
        <v>72</v>
      </c>
      <c r="E2873" t="s">
        <v>1027</v>
      </c>
      <c r="F2873" s="12">
        <v>45744</v>
      </c>
      <c r="G2873" t="s">
        <v>1173</v>
      </c>
      <c r="H2873" s="12">
        <v>45744</v>
      </c>
      <c r="I2873" t="s">
        <v>1174</v>
      </c>
      <c r="J2873" t="s">
        <v>471</v>
      </c>
      <c r="K2873">
        <v>2</v>
      </c>
      <c r="L2873">
        <v>35.200000000000003</v>
      </c>
      <c r="M2873">
        <v>35.799999999999997</v>
      </c>
      <c r="P2873" t="s">
        <v>106</v>
      </c>
      <c r="Q2873" t="s">
        <v>106</v>
      </c>
      <c r="R2873" t="s">
        <v>106</v>
      </c>
      <c r="S2873" t="s">
        <v>106</v>
      </c>
      <c r="T2873" t="s">
        <v>106</v>
      </c>
      <c r="U2873" t="s">
        <v>106</v>
      </c>
      <c r="V2873" t="s">
        <v>106</v>
      </c>
      <c r="W2873" t="s">
        <v>471</v>
      </c>
      <c r="X2873" t="s">
        <v>106</v>
      </c>
      <c r="Y2873" t="s">
        <v>108</v>
      </c>
      <c r="Z2873" t="s">
        <v>108</v>
      </c>
      <c r="AA2873" t="s">
        <v>1113</v>
      </c>
      <c r="AB2873" t="s">
        <v>106</v>
      </c>
    </row>
    <row r="2874" spans="1:28" x14ac:dyDescent="0.3">
      <c r="A2874" t="s">
        <v>1313</v>
      </c>
      <c r="B2874">
        <v>3</v>
      </c>
      <c r="C2874">
        <v>35</v>
      </c>
      <c r="D2874">
        <v>68</v>
      </c>
      <c r="E2874" t="s">
        <v>1027</v>
      </c>
      <c r="F2874" s="12">
        <v>45744</v>
      </c>
      <c r="G2874" t="s">
        <v>1163</v>
      </c>
      <c r="H2874" s="12">
        <v>45744</v>
      </c>
      <c r="I2874" t="s">
        <v>784</v>
      </c>
      <c r="J2874" t="s">
        <v>471</v>
      </c>
      <c r="K2874">
        <v>2</v>
      </c>
      <c r="L2874">
        <v>37.799999999999997</v>
      </c>
      <c r="M2874">
        <v>38</v>
      </c>
      <c r="P2874" t="s">
        <v>106</v>
      </c>
      <c r="Q2874" t="s">
        <v>106</v>
      </c>
      <c r="R2874" t="s">
        <v>106</v>
      </c>
      <c r="S2874" t="s">
        <v>106</v>
      </c>
      <c r="T2874" t="s">
        <v>1101</v>
      </c>
      <c r="U2874" t="s">
        <v>867</v>
      </c>
      <c r="V2874" t="s">
        <v>106</v>
      </c>
      <c r="W2874" t="s">
        <v>954</v>
      </c>
      <c r="X2874" t="s">
        <v>106</v>
      </c>
      <c r="Y2874" t="s">
        <v>108</v>
      </c>
      <c r="Z2874" t="s">
        <v>108</v>
      </c>
      <c r="AA2874" t="s">
        <v>1113</v>
      </c>
      <c r="AB2874" t="s">
        <v>106</v>
      </c>
    </row>
    <row r="2875" spans="1:28" x14ac:dyDescent="0.3">
      <c r="A2875" t="s">
        <v>1313</v>
      </c>
      <c r="B2875">
        <v>3</v>
      </c>
      <c r="C2875">
        <v>35</v>
      </c>
      <c r="D2875">
        <v>42</v>
      </c>
      <c r="E2875" t="s">
        <v>1027</v>
      </c>
      <c r="F2875" s="12">
        <v>45744</v>
      </c>
      <c r="G2875" t="s">
        <v>142</v>
      </c>
      <c r="H2875" s="12">
        <v>45744</v>
      </c>
      <c r="I2875" t="s">
        <v>362</v>
      </c>
      <c r="J2875" t="s">
        <v>458</v>
      </c>
      <c r="K2875">
        <v>2</v>
      </c>
      <c r="L2875">
        <v>37.1</v>
      </c>
      <c r="M2875">
        <v>37.200000000000003</v>
      </c>
      <c r="P2875" t="s">
        <v>106</v>
      </c>
      <c r="Q2875" t="s">
        <v>106</v>
      </c>
      <c r="R2875" t="s">
        <v>106</v>
      </c>
      <c r="S2875" t="s">
        <v>1068</v>
      </c>
      <c r="T2875" t="s">
        <v>1069</v>
      </c>
      <c r="U2875" t="s">
        <v>136</v>
      </c>
      <c r="V2875" t="s">
        <v>106</v>
      </c>
      <c r="W2875" t="s">
        <v>557</v>
      </c>
      <c r="X2875" t="s">
        <v>106</v>
      </c>
      <c r="Y2875" t="s">
        <v>108</v>
      </c>
      <c r="Z2875" t="s">
        <v>108</v>
      </c>
      <c r="AA2875" t="s">
        <v>966</v>
      </c>
      <c r="AB2875" t="s">
        <v>106</v>
      </c>
    </row>
    <row r="2876" spans="1:28" x14ac:dyDescent="0.3">
      <c r="A2876" t="s">
        <v>1313</v>
      </c>
      <c r="B2876">
        <v>3</v>
      </c>
      <c r="C2876">
        <v>35</v>
      </c>
      <c r="D2876">
        <v>24</v>
      </c>
      <c r="E2876" t="s">
        <v>456</v>
      </c>
      <c r="F2876" s="12">
        <v>45744</v>
      </c>
      <c r="G2876" t="s">
        <v>1007</v>
      </c>
      <c r="H2876" s="12">
        <v>45744</v>
      </c>
      <c r="I2876" t="s">
        <v>1005</v>
      </c>
      <c r="J2876" t="s">
        <v>458</v>
      </c>
      <c r="K2876">
        <v>2</v>
      </c>
      <c r="L2876">
        <v>37.1</v>
      </c>
      <c r="M2876">
        <v>37.200000000000003</v>
      </c>
      <c r="P2876" t="s">
        <v>106</v>
      </c>
      <c r="Q2876" t="s">
        <v>106</v>
      </c>
      <c r="R2876" t="s">
        <v>106</v>
      </c>
      <c r="S2876" t="s">
        <v>1009</v>
      </c>
      <c r="T2876" t="s">
        <v>971</v>
      </c>
      <c r="U2876" t="s">
        <v>997</v>
      </c>
      <c r="V2876" t="s">
        <v>106</v>
      </c>
      <c r="W2876" t="s">
        <v>443</v>
      </c>
      <c r="X2876" t="s">
        <v>106</v>
      </c>
      <c r="Y2876" t="s">
        <v>108</v>
      </c>
      <c r="Z2876" t="s">
        <v>108</v>
      </c>
      <c r="AA2876" t="s">
        <v>966</v>
      </c>
      <c r="AB2876" t="s">
        <v>106</v>
      </c>
    </row>
    <row r="2877" spans="1:28" x14ac:dyDescent="0.3">
      <c r="A2877" t="s">
        <v>1313</v>
      </c>
      <c r="B2877">
        <v>3</v>
      </c>
      <c r="C2877">
        <v>35</v>
      </c>
      <c r="D2877">
        <v>67</v>
      </c>
      <c r="E2877" t="s">
        <v>1027</v>
      </c>
      <c r="F2877" s="12">
        <v>45744</v>
      </c>
      <c r="G2877" t="s">
        <v>1160</v>
      </c>
      <c r="H2877" s="12">
        <v>45744</v>
      </c>
      <c r="I2877" t="s">
        <v>784</v>
      </c>
      <c r="J2877" t="s">
        <v>471</v>
      </c>
      <c r="K2877">
        <v>2</v>
      </c>
      <c r="L2877">
        <v>36.700000000000003</v>
      </c>
      <c r="M2877">
        <v>36.6</v>
      </c>
      <c r="P2877" t="s">
        <v>106</v>
      </c>
      <c r="Q2877" t="s">
        <v>106</v>
      </c>
      <c r="R2877" t="s">
        <v>106</v>
      </c>
      <c r="S2877" t="s">
        <v>106</v>
      </c>
      <c r="T2877" t="s">
        <v>1074</v>
      </c>
      <c r="U2877" t="s">
        <v>720</v>
      </c>
      <c r="V2877" t="s">
        <v>106</v>
      </c>
      <c r="W2877" t="s">
        <v>954</v>
      </c>
      <c r="X2877" t="s">
        <v>106</v>
      </c>
      <c r="Y2877" t="s">
        <v>108</v>
      </c>
      <c r="Z2877" t="s">
        <v>108</v>
      </c>
      <c r="AA2877" t="s">
        <v>1113</v>
      </c>
      <c r="AB2877" t="s">
        <v>956</v>
      </c>
    </row>
    <row r="2878" spans="1:28" x14ac:dyDescent="0.3">
      <c r="A2878" t="s">
        <v>1313</v>
      </c>
      <c r="B2878">
        <v>3</v>
      </c>
      <c r="C2878">
        <v>35</v>
      </c>
      <c r="D2878">
        <v>30</v>
      </c>
      <c r="E2878" t="s">
        <v>1027</v>
      </c>
      <c r="F2878" s="12">
        <v>45744</v>
      </c>
      <c r="G2878" t="s">
        <v>1028</v>
      </c>
      <c r="H2878" s="12">
        <v>45744</v>
      </c>
      <c r="I2878" t="s">
        <v>1029</v>
      </c>
      <c r="J2878" t="s">
        <v>458</v>
      </c>
      <c r="K2878">
        <v>2</v>
      </c>
      <c r="L2878">
        <v>37.700000000000003</v>
      </c>
      <c r="M2878">
        <v>37.6</v>
      </c>
      <c r="P2878" t="s">
        <v>106</v>
      </c>
      <c r="Q2878" t="s">
        <v>106</v>
      </c>
      <c r="R2878" t="s">
        <v>106</v>
      </c>
      <c r="S2878" t="s">
        <v>106</v>
      </c>
      <c r="T2878" t="s">
        <v>756</v>
      </c>
      <c r="U2878" t="s">
        <v>720</v>
      </c>
      <c r="V2878" t="s">
        <v>106</v>
      </c>
      <c r="W2878" t="s">
        <v>557</v>
      </c>
      <c r="X2878" t="s">
        <v>106</v>
      </c>
      <c r="Y2878" t="s">
        <v>108</v>
      </c>
      <c r="Z2878" t="s">
        <v>108</v>
      </c>
      <c r="AA2878" t="s">
        <v>966</v>
      </c>
      <c r="AB2878" t="s">
        <v>106</v>
      </c>
    </row>
    <row r="2879" spans="1:28" x14ac:dyDescent="0.3">
      <c r="A2879" t="s">
        <v>1313</v>
      </c>
      <c r="B2879">
        <v>3</v>
      </c>
      <c r="C2879">
        <v>35</v>
      </c>
      <c r="D2879">
        <v>62</v>
      </c>
      <c r="E2879" t="s">
        <v>1027</v>
      </c>
      <c r="F2879" s="12">
        <v>45744</v>
      </c>
      <c r="G2879" t="s">
        <v>526</v>
      </c>
      <c r="H2879" s="12">
        <v>45744</v>
      </c>
      <c r="I2879" t="s">
        <v>134</v>
      </c>
      <c r="J2879" t="s">
        <v>471</v>
      </c>
      <c r="K2879">
        <v>2</v>
      </c>
      <c r="L2879">
        <v>38.1</v>
      </c>
      <c r="M2879">
        <v>38.1</v>
      </c>
      <c r="P2879" t="s">
        <v>106</v>
      </c>
      <c r="Q2879" t="s">
        <v>106</v>
      </c>
      <c r="R2879" t="s">
        <v>106</v>
      </c>
      <c r="S2879" t="s">
        <v>1144</v>
      </c>
      <c r="T2879" t="s">
        <v>1145</v>
      </c>
      <c r="U2879" t="s">
        <v>141</v>
      </c>
      <c r="V2879" t="s">
        <v>106</v>
      </c>
      <c r="W2879" t="s">
        <v>954</v>
      </c>
      <c r="X2879" t="s">
        <v>106</v>
      </c>
      <c r="Y2879" t="s">
        <v>108</v>
      </c>
      <c r="Z2879" t="s">
        <v>108</v>
      </c>
      <c r="AA2879" t="s">
        <v>1113</v>
      </c>
      <c r="AB2879" t="s">
        <v>106</v>
      </c>
    </row>
    <row r="2880" spans="1:28" x14ac:dyDescent="0.3">
      <c r="A2880" t="s">
        <v>1313</v>
      </c>
      <c r="B2880">
        <v>3</v>
      </c>
      <c r="C2880">
        <v>35</v>
      </c>
      <c r="D2880">
        <v>61</v>
      </c>
      <c r="E2880" t="s">
        <v>1027</v>
      </c>
      <c r="F2880" s="12">
        <v>45744</v>
      </c>
      <c r="G2880" t="s">
        <v>1139</v>
      </c>
      <c r="H2880" s="12">
        <v>45744</v>
      </c>
      <c r="I2880" t="s">
        <v>134</v>
      </c>
      <c r="J2880" t="s">
        <v>471</v>
      </c>
      <c r="K2880">
        <v>2</v>
      </c>
      <c r="L2880">
        <v>37.5</v>
      </c>
      <c r="M2880">
        <v>37.4</v>
      </c>
      <c r="P2880" t="s">
        <v>106</v>
      </c>
      <c r="Q2880" t="s">
        <v>106</v>
      </c>
      <c r="R2880" t="s">
        <v>106</v>
      </c>
      <c r="S2880" t="s">
        <v>1124</v>
      </c>
      <c r="T2880" t="s">
        <v>1141</v>
      </c>
      <c r="U2880" t="s">
        <v>138</v>
      </c>
      <c r="V2880" t="s">
        <v>106</v>
      </c>
      <c r="W2880" t="s">
        <v>954</v>
      </c>
      <c r="X2880" t="s">
        <v>106</v>
      </c>
      <c r="Y2880" t="s">
        <v>108</v>
      </c>
      <c r="Z2880" t="s">
        <v>108</v>
      </c>
      <c r="AA2880" t="s">
        <v>1113</v>
      </c>
      <c r="AB2880" t="s">
        <v>106</v>
      </c>
    </row>
    <row r="2881" spans="1:28" x14ac:dyDescent="0.3">
      <c r="A2881" t="s">
        <v>1313</v>
      </c>
      <c r="B2881">
        <v>3</v>
      </c>
      <c r="C2881">
        <v>35</v>
      </c>
      <c r="D2881">
        <v>56</v>
      </c>
      <c r="E2881" t="s">
        <v>1027</v>
      </c>
      <c r="F2881" s="12">
        <v>45744</v>
      </c>
      <c r="G2881" t="s">
        <v>1118</v>
      </c>
      <c r="H2881" s="12">
        <v>45744</v>
      </c>
      <c r="I2881" t="s">
        <v>1111</v>
      </c>
      <c r="J2881" t="s">
        <v>477</v>
      </c>
      <c r="K2881">
        <v>2</v>
      </c>
      <c r="L2881">
        <v>36.6</v>
      </c>
      <c r="M2881">
        <v>36.200000000000003</v>
      </c>
      <c r="P2881" t="s">
        <v>106</v>
      </c>
      <c r="Q2881" t="s">
        <v>106</v>
      </c>
      <c r="R2881" t="s">
        <v>106</v>
      </c>
      <c r="S2881" t="s">
        <v>1073</v>
      </c>
      <c r="T2881" t="s">
        <v>1120</v>
      </c>
      <c r="U2881" t="s">
        <v>426</v>
      </c>
      <c r="V2881" t="s">
        <v>106</v>
      </c>
      <c r="W2881" t="s">
        <v>954</v>
      </c>
      <c r="X2881" t="s">
        <v>106</v>
      </c>
      <c r="Y2881" t="s">
        <v>108</v>
      </c>
      <c r="Z2881" t="s">
        <v>108</v>
      </c>
      <c r="AA2881" t="s">
        <v>1113</v>
      </c>
      <c r="AB2881" t="s">
        <v>106</v>
      </c>
    </row>
    <row r="2882" spans="1:28" x14ac:dyDescent="0.3">
      <c r="A2882" t="s">
        <v>1313</v>
      </c>
      <c r="B2882">
        <v>3</v>
      </c>
      <c r="C2882">
        <v>35</v>
      </c>
      <c r="D2882">
        <v>23</v>
      </c>
      <c r="E2882" t="s">
        <v>456</v>
      </c>
      <c r="F2882" s="12">
        <v>45744</v>
      </c>
      <c r="G2882" t="s">
        <v>507</v>
      </c>
      <c r="H2882" s="12">
        <v>45744</v>
      </c>
      <c r="I2882" t="s">
        <v>1005</v>
      </c>
      <c r="J2882" t="s">
        <v>458</v>
      </c>
      <c r="K2882">
        <v>2</v>
      </c>
      <c r="L2882">
        <v>34.6</v>
      </c>
      <c r="M2882">
        <v>34.700000000000003</v>
      </c>
      <c r="P2882" t="s">
        <v>106</v>
      </c>
      <c r="Q2882" t="s">
        <v>106</v>
      </c>
      <c r="R2882" t="s">
        <v>106</v>
      </c>
      <c r="S2882" t="s">
        <v>106</v>
      </c>
      <c r="T2882" t="s">
        <v>1006</v>
      </c>
      <c r="U2882" t="s">
        <v>426</v>
      </c>
      <c r="V2882" t="s">
        <v>106</v>
      </c>
      <c r="W2882" t="s">
        <v>443</v>
      </c>
      <c r="X2882" t="s">
        <v>106</v>
      </c>
      <c r="Y2882" t="s">
        <v>108</v>
      </c>
      <c r="Z2882" t="s">
        <v>108</v>
      </c>
      <c r="AA2882" t="s">
        <v>966</v>
      </c>
      <c r="AB2882" t="s">
        <v>106</v>
      </c>
    </row>
    <row r="2883" spans="1:28" x14ac:dyDescent="0.3">
      <c r="A2883" t="s">
        <v>1313</v>
      </c>
      <c r="B2883">
        <v>3</v>
      </c>
      <c r="C2883">
        <v>35</v>
      </c>
      <c r="D2883">
        <v>54</v>
      </c>
      <c r="E2883" t="s">
        <v>1027</v>
      </c>
      <c r="F2883" s="12">
        <v>45744</v>
      </c>
      <c r="G2883" t="s">
        <v>1110</v>
      </c>
      <c r="H2883" s="12">
        <v>45744</v>
      </c>
      <c r="I2883" t="s">
        <v>1111</v>
      </c>
      <c r="J2883" t="s">
        <v>477</v>
      </c>
      <c r="K2883">
        <v>2</v>
      </c>
      <c r="L2883">
        <v>31.4</v>
      </c>
      <c r="M2883">
        <v>31.5</v>
      </c>
      <c r="P2883" t="s">
        <v>106</v>
      </c>
      <c r="Q2883" t="s">
        <v>106</v>
      </c>
      <c r="R2883" t="s">
        <v>106</v>
      </c>
      <c r="S2883" t="s">
        <v>988</v>
      </c>
      <c r="T2883" t="s">
        <v>1069</v>
      </c>
      <c r="U2883" t="s">
        <v>725</v>
      </c>
      <c r="V2883" t="s">
        <v>106</v>
      </c>
      <c r="W2883" t="s">
        <v>954</v>
      </c>
      <c r="X2883" t="s">
        <v>106</v>
      </c>
      <c r="Y2883" t="s">
        <v>108</v>
      </c>
      <c r="Z2883" t="s">
        <v>108</v>
      </c>
      <c r="AA2883" t="s">
        <v>1113</v>
      </c>
      <c r="AB2883" t="s">
        <v>106</v>
      </c>
    </row>
    <row r="2884" spans="1:28" x14ac:dyDescent="0.3">
      <c r="A2884" t="s">
        <v>1313</v>
      </c>
      <c r="B2884">
        <v>3</v>
      </c>
      <c r="C2884">
        <v>35</v>
      </c>
      <c r="D2884">
        <v>36</v>
      </c>
      <c r="E2884" t="s">
        <v>1027</v>
      </c>
      <c r="F2884" s="12">
        <v>45744</v>
      </c>
      <c r="G2884" t="s">
        <v>1051</v>
      </c>
      <c r="H2884" s="12">
        <v>45744</v>
      </c>
      <c r="I2884" t="s">
        <v>1052</v>
      </c>
      <c r="J2884" t="s">
        <v>458</v>
      </c>
      <c r="K2884">
        <v>2</v>
      </c>
      <c r="L2884">
        <v>37.1</v>
      </c>
      <c r="M2884">
        <v>37.1</v>
      </c>
      <c r="P2884" t="s">
        <v>106</v>
      </c>
      <c r="Q2884" t="s">
        <v>106</v>
      </c>
      <c r="R2884" t="s">
        <v>106</v>
      </c>
      <c r="S2884" t="s">
        <v>106</v>
      </c>
      <c r="T2884" t="s">
        <v>1049</v>
      </c>
      <c r="U2884" t="s">
        <v>144</v>
      </c>
      <c r="V2884" t="s">
        <v>106</v>
      </c>
      <c r="W2884" t="s">
        <v>557</v>
      </c>
      <c r="X2884" t="s">
        <v>106</v>
      </c>
      <c r="Y2884" t="s">
        <v>108</v>
      </c>
      <c r="Z2884" t="s">
        <v>108</v>
      </c>
      <c r="AA2884" t="s">
        <v>966</v>
      </c>
      <c r="AB2884" t="s">
        <v>106</v>
      </c>
    </row>
    <row r="2885" spans="1:28" x14ac:dyDescent="0.3">
      <c r="A2885" t="s">
        <v>1313</v>
      </c>
      <c r="B2885">
        <v>3</v>
      </c>
      <c r="C2885">
        <v>35</v>
      </c>
      <c r="D2885">
        <v>31</v>
      </c>
      <c r="E2885" t="s">
        <v>1027</v>
      </c>
      <c r="F2885" s="12">
        <v>45744</v>
      </c>
      <c r="G2885" t="s">
        <v>1031</v>
      </c>
      <c r="H2885" s="12">
        <v>45744</v>
      </c>
      <c r="I2885" t="s">
        <v>1029</v>
      </c>
      <c r="J2885" t="s">
        <v>458</v>
      </c>
      <c r="K2885">
        <v>2</v>
      </c>
      <c r="L2885">
        <v>36.299999999999997</v>
      </c>
      <c r="M2885">
        <v>36.200000000000003</v>
      </c>
      <c r="P2885" t="s">
        <v>106</v>
      </c>
      <c r="Q2885" t="s">
        <v>106</v>
      </c>
      <c r="R2885" t="s">
        <v>106</v>
      </c>
      <c r="S2885" t="s">
        <v>1032</v>
      </c>
      <c r="T2885" t="s">
        <v>882</v>
      </c>
      <c r="U2885" t="s">
        <v>904</v>
      </c>
      <c r="V2885" t="s">
        <v>106</v>
      </c>
      <c r="W2885" t="s">
        <v>557</v>
      </c>
      <c r="X2885" t="s">
        <v>106</v>
      </c>
      <c r="Y2885" t="s">
        <v>108</v>
      </c>
      <c r="Z2885" t="s">
        <v>108</v>
      </c>
      <c r="AA2885" t="s">
        <v>966</v>
      </c>
      <c r="AB2885" t="s">
        <v>106</v>
      </c>
    </row>
    <row r="2886" spans="1:28" x14ac:dyDescent="0.3">
      <c r="A2886" t="s">
        <v>1313</v>
      </c>
      <c r="B2886">
        <v>3</v>
      </c>
      <c r="C2886">
        <v>35</v>
      </c>
      <c r="D2886">
        <v>48</v>
      </c>
      <c r="E2886" t="s">
        <v>1027</v>
      </c>
      <c r="F2886" s="12">
        <v>45744</v>
      </c>
      <c r="G2886" t="s">
        <v>1086</v>
      </c>
      <c r="H2886" s="12">
        <v>45744</v>
      </c>
      <c r="I2886" t="s">
        <v>622</v>
      </c>
      <c r="J2886" t="s">
        <v>458</v>
      </c>
      <c r="K2886">
        <v>2</v>
      </c>
      <c r="L2886">
        <v>35.299999999999997</v>
      </c>
      <c r="M2886">
        <v>35.5</v>
      </c>
      <c r="P2886" t="s">
        <v>106</v>
      </c>
      <c r="Q2886" t="s">
        <v>106</v>
      </c>
      <c r="R2886" t="s">
        <v>106</v>
      </c>
      <c r="S2886" t="s">
        <v>1089</v>
      </c>
      <c r="T2886" t="s">
        <v>1090</v>
      </c>
      <c r="U2886" t="s">
        <v>360</v>
      </c>
      <c r="V2886" t="s">
        <v>106</v>
      </c>
      <c r="W2886" t="s">
        <v>557</v>
      </c>
      <c r="X2886" t="s">
        <v>106</v>
      </c>
      <c r="Y2886" t="s">
        <v>108</v>
      </c>
      <c r="Z2886" t="s">
        <v>108</v>
      </c>
      <c r="AA2886" t="s">
        <v>966</v>
      </c>
      <c r="AB2886" t="s">
        <v>106</v>
      </c>
    </row>
    <row r="2887" spans="1:28" x14ac:dyDescent="0.3">
      <c r="A2887" t="s">
        <v>1313</v>
      </c>
      <c r="B2887">
        <v>3</v>
      </c>
      <c r="C2887">
        <v>35</v>
      </c>
      <c r="D2887">
        <v>49</v>
      </c>
      <c r="E2887" t="s">
        <v>1027</v>
      </c>
      <c r="F2887" s="12">
        <v>45744</v>
      </c>
      <c r="G2887" t="s">
        <v>1092</v>
      </c>
      <c r="H2887" s="12">
        <v>45744</v>
      </c>
      <c r="I2887" t="s">
        <v>622</v>
      </c>
      <c r="J2887" t="s">
        <v>458</v>
      </c>
      <c r="K2887">
        <v>2</v>
      </c>
      <c r="L2887">
        <v>36.1</v>
      </c>
      <c r="M2887">
        <v>36</v>
      </c>
      <c r="P2887" t="s">
        <v>106</v>
      </c>
      <c r="Q2887" t="s">
        <v>106</v>
      </c>
      <c r="R2887" t="s">
        <v>106</v>
      </c>
      <c r="S2887" t="s">
        <v>1045</v>
      </c>
      <c r="T2887" t="s">
        <v>984</v>
      </c>
      <c r="U2887" t="s">
        <v>725</v>
      </c>
      <c r="V2887" t="s">
        <v>106</v>
      </c>
      <c r="W2887" t="s">
        <v>557</v>
      </c>
      <c r="X2887" t="s">
        <v>106</v>
      </c>
      <c r="Y2887" t="s">
        <v>108</v>
      </c>
      <c r="Z2887" t="s">
        <v>108</v>
      </c>
      <c r="AA2887" t="s">
        <v>966</v>
      </c>
      <c r="AB2887" t="s">
        <v>106</v>
      </c>
    </row>
    <row r="2888" spans="1:28" x14ac:dyDescent="0.3">
      <c r="A2888" t="s">
        <v>1313</v>
      </c>
      <c r="B2888">
        <v>4</v>
      </c>
      <c r="C2888">
        <v>60</v>
      </c>
      <c r="D2888">
        <v>58</v>
      </c>
      <c r="E2888" t="s">
        <v>1027</v>
      </c>
      <c r="F2888" s="12">
        <v>45744</v>
      </c>
      <c r="G2888" t="s">
        <v>1127</v>
      </c>
      <c r="H2888" s="12">
        <v>45744</v>
      </c>
      <c r="I2888" t="s">
        <v>1111</v>
      </c>
      <c r="J2888" t="s">
        <v>477</v>
      </c>
      <c r="K2888">
        <v>2</v>
      </c>
      <c r="L2888">
        <v>62.6</v>
      </c>
      <c r="M2888">
        <v>62.3</v>
      </c>
      <c r="P2888" t="s">
        <v>106</v>
      </c>
      <c r="Q2888" t="s">
        <v>106</v>
      </c>
      <c r="R2888" t="s">
        <v>106</v>
      </c>
      <c r="S2888" t="s">
        <v>1130</v>
      </c>
      <c r="T2888" t="s">
        <v>1131</v>
      </c>
      <c r="U2888" t="s">
        <v>141</v>
      </c>
      <c r="V2888" t="s">
        <v>106</v>
      </c>
      <c r="W2888" t="s">
        <v>954</v>
      </c>
      <c r="X2888" t="s">
        <v>106</v>
      </c>
      <c r="Y2888" t="s">
        <v>108</v>
      </c>
      <c r="Z2888" t="s">
        <v>104</v>
      </c>
      <c r="AA2888" t="s">
        <v>1113</v>
      </c>
      <c r="AB2888" t="s">
        <v>106</v>
      </c>
    </row>
    <row r="2889" spans="1:28" x14ac:dyDescent="0.3">
      <c r="A2889" t="s">
        <v>1313</v>
      </c>
      <c r="B2889">
        <v>4</v>
      </c>
      <c r="C2889">
        <v>60</v>
      </c>
      <c r="D2889">
        <v>63</v>
      </c>
      <c r="E2889" t="s">
        <v>1027</v>
      </c>
      <c r="F2889" s="12">
        <v>45744</v>
      </c>
      <c r="G2889" t="s">
        <v>759</v>
      </c>
      <c r="H2889" s="12">
        <v>45744</v>
      </c>
      <c r="I2889" t="s">
        <v>134</v>
      </c>
      <c r="J2889" t="s">
        <v>471</v>
      </c>
      <c r="K2889">
        <v>2</v>
      </c>
      <c r="L2889">
        <v>59.7</v>
      </c>
      <c r="M2889">
        <v>60.3</v>
      </c>
      <c r="P2889" t="s">
        <v>106</v>
      </c>
      <c r="Q2889" t="s">
        <v>106</v>
      </c>
      <c r="R2889" t="s">
        <v>106</v>
      </c>
      <c r="S2889" t="s">
        <v>1068</v>
      </c>
      <c r="T2889" t="s">
        <v>609</v>
      </c>
      <c r="U2889" t="s">
        <v>136</v>
      </c>
      <c r="V2889" t="s">
        <v>106</v>
      </c>
      <c r="W2889" t="s">
        <v>954</v>
      </c>
      <c r="X2889" t="s">
        <v>106</v>
      </c>
      <c r="Y2889" t="s">
        <v>108</v>
      </c>
      <c r="Z2889" t="s">
        <v>104</v>
      </c>
      <c r="AA2889" t="s">
        <v>966</v>
      </c>
      <c r="AB2889" t="s">
        <v>106</v>
      </c>
    </row>
    <row r="2890" spans="1:28" x14ac:dyDescent="0.3">
      <c r="A2890" t="s">
        <v>1313</v>
      </c>
      <c r="B2890">
        <v>4</v>
      </c>
      <c r="C2890">
        <v>60</v>
      </c>
      <c r="D2890">
        <v>64</v>
      </c>
      <c r="E2890" t="s">
        <v>1027</v>
      </c>
      <c r="F2890" s="12">
        <v>45744</v>
      </c>
      <c r="G2890" t="s">
        <v>132</v>
      </c>
      <c r="H2890" s="12">
        <v>45744</v>
      </c>
      <c r="I2890" t="s">
        <v>134</v>
      </c>
      <c r="J2890" t="s">
        <v>471</v>
      </c>
      <c r="K2890">
        <v>2</v>
      </c>
      <c r="L2890">
        <v>58.6</v>
      </c>
      <c r="M2890">
        <v>59.1</v>
      </c>
      <c r="P2890" t="s">
        <v>106</v>
      </c>
      <c r="Q2890" t="s">
        <v>106</v>
      </c>
      <c r="R2890" t="s">
        <v>106</v>
      </c>
      <c r="S2890" t="s">
        <v>1130</v>
      </c>
      <c r="T2890" t="s">
        <v>1063</v>
      </c>
      <c r="U2890" t="s">
        <v>867</v>
      </c>
      <c r="V2890" t="s">
        <v>106</v>
      </c>
      <c r="W2890" t="s">
        <v>954</v>
      </c>
      <c r="X2890" t="s">
        <v>106</v>
      </c>
      <c r="Y2890" t="s">
        <v>108</v>
      </c>
      <c r="Z2890" t="s">
        <v>104</v>
      </c>
      <c r="AA2890" t="s">
        <v>966</v>
      </c>
      <c r="AB2890" t="s">
        <v>106</v>
      </c>
    </row>
    <row r="2891" spans="1:28" x14ac:dyDescent="0.3">
      <c r="A2891" t="s">
        <v>1313</v>
      </c>
      <c r="B2891">
        <v>4</v>
      </c>
      <c r="C2891">
        <v>60</v>
      </c>
      <c r="D2891">
        <v>69</v>
      </c>
      <c r="E2891" t="s">
        <v>1027</v>
      </c>
      <c r="F2891" s="12">
        <v>45744</v>
      </c>
      <c r="G2891" t="s">
        <v>1166</v>
      </c>
      <c r="H2891" s="12">
        <v>45744</v>
      </c>
      <c r="I2891" t="s">
        <v>784</v>
      </c>
      <c r="J2891" t="s">
        <v>471</v>
      </c>
      <c r="K2891">
        <v>2</v>
      </c>
      <c r="L2891">
        <v>59.9</v>
      </c>
      <c r="M2891">
        <v>62.3</v>
      </c>
      <c r="P2891" t="s">
        <v>106</v>
      </c>
      <c r="Q2891" t="s">
        <v>106</v>
      </c>
      <c r="R2891" t="s">
        <v>106</v>
      </c>
      <c r="S2891" t="s">
        <v>106</v>
      </c>
      <c r="T2891" t="s">
        <v>961</v>
      </c>
      <c r="U2891" t="s">
        <v>719</v>
      </c>
      <c r="V2891" t="s">
        <v>106</v>
      </c>
      <c r="W2891" t="s">
        <v>954</v>
      </c>
      <c r="X2891" t="s">
        <v>106</v>
      </c>
      <c r="Y2891" t="s">
        <v>108</v>
      </c>
      <c r="Z2891" t="s">
        <v>104</v>
      </c>
      <c r="AA2891" t="s">
        <v>966</v>
      </c>
      <c r="AB2891" t="s">
        <v>106</v>
      </c>
    </row>
    <row r="2892" spans="1:28" x14ac:dyDescent="0.3">
      <c r="A2892" t="s">
        <v>1313</v>
      </c>
      <c r="B2892">
        <v>4</v>
      </c>
      <c r="C2892">
        <v>60</v>
      </c>
      <c r="D2892">
        <v>50</v>
      </c>
      <c r="E2892" t="s">
        <v>1027</v>
      </c>
      <c r="F2892" s="12">
        <v>45744</v>
      </c>
      <c r="G2892" t="s">
        <v>1094</v>
      </c>
      <c r="H2892" s="12">
        <v>45744</v>
      </c>
      <c r="I2892" t="s">
        <v>622</v>
      </c>
      <c r="J2892" t="s">
        <v>458</v>
      </c>
      <c r="K2892">
        <v>2</v>
      </c>
      <c r="L2892">
        <v>58.3</v>
      </c>
      <c r="M2892">
        <v>58.6</v>
      </c>
      <c r="P2892" t="s">
        <v>106</v>
      </c>
      <c r="Q2892" t="s">
        <v>106</v>
      </c>
      <c r="R2892" t="s">
        <v>106</v>
      </c>
      <c r="S2892" t="s">
        <v>1096</v>
      </c>
      <c r="T2892" t="s">
        <v>1097</v>
      </c>
      <c r="U2892" t="s">
        <v>867</v>
      </c>
      <c r="V2892" t="s">
        <v>106</v>
      </c>
      <c r="W2892" t="s">
        <v>557</v>
      </c>
      <c r="X2892" t="s">
        <v>106</v>
      </c>
      <c r="Y2892" t="s">
        <v>108</v>
      </c>
      <c r="Z2892" t="s">
        <v>104</v>
      </c>
      <c r="AA2892" t="s">
        <v>966</v>
      </c>
      <c r="AB2892" t="s">
        <v>106</v>
      </c>
    </row>
    <row r="2893" spans="1:28" x14ac:dyDescent="0.3">
      <c r="A2893" t="s">
        <v>1313</v>
      </c>
      <c r="B2893">
        <v>4</v>
      </c>
      <c r="C2893">
        <v>60</v>
      </c>
      <c r="D2893">
        <v>45</v>
      </c>
      <c r="E2893" t="s">
        <v>1027</v>
      </c>
      <c r="F2893" s="12">
        <v>45744</v>
      </c>
      <c r="G2893" t="s">
        <v>742</v>
      </c>
      <c r="H2893" s="12">
        <v>45744</v>
      </c>
      <c r="I2893" t="s">
        <v>362</v>
      </c>
      <c r="J2893" t="s">
        <v>458</v>
      </c>
      <c r="K2893">
        <v>2</v>
      </c>
      <c r="L2893">
        <v>59.2</v>
      </c>
      <c r="M2893">
        <v>59.6</v>
      </c>
      <c r="P2893" t="s">
        <v>106</v>
      </c>
      <c r="Q2893" t="s">
        <v>106</v>
      </c>
      <c r="R2893" t="s">
        <v>106</v>
      </c>
      <c r="S2893" t="s">
        <v>1079</v>
      </c>
      <c r="T2893" t="s">
        <v>875</v>
      </c>
      <c r="U2893" t="s">
        <v>440</v>
      </c>
      <c r="V2893" t="s">
        <v>106</v>
      </c>
      <c r="W2893" t="s">
        <v>557</v>
      </c>
      <c r="X2893" t="s">
        <v>106</v>
      </c>
      <c r="Y2893" t="s">
        <v>108</v>
      </c>
      <c r="Z2893" t="s">
        <v>104</v>
      </c>
      <c r="AA2893" t="s">
        <v>966</v>
      </c>
      <c r="AB2893" t="s">
        <v>106</v>
      </c>
    </row>
    <row r="2894" spans="1:28" x14ac:dyDescent="0.3">
      <c r="A2894" t="s">
        <v>1313</v>
      </c>
      <c r="B2894">
        <v>4</v>
      </c>
      <c r="C2894">
        <v>60</v>
      </c>
      <c r="D2894">
        <v>38</v>
      </c>
      <c r="E2894" t="s">
        <v>1027</v>
      </c>
      <c r="F2894" s="12">
        <v>45744</v>
      </c>
      <c r="G2894" t="s">
        <v>877</v>
      </c>
      <c r="H2894" s="12">
        <v>45744</v>
      </c>
      <c r="I2894" t="s">
        <v>1052</v>
      </c>
      <c r="J2894" t="s">
        <v>458</v>
      </c>
      <c r="K2894">
        <v>2</v>
      </c>
      <c r="L2894">
        <v>64.900000000000006</v>
      </c>
      <c r="M2894">
        <v>64.2</v>
      </c>
      <c r="P2894" t="s">
        <v>106</v>
      </c>
      <c r="Q2894" t="s">
        <v>106</v>
      </c>
      <c r="R2894" t="s">
        <v>106</v>
      </c>
      <c r="S2894" t="s">
        <v>106</v>
      </c>
      <c r="T2894" t="s">
        <v>1060</v>
      </c>
      <c r="U2894" t="s">
        <v>360</v>
      </c>
      <c r="V2894" t="s">
        <v>106</v>
      </c>
      <c r="W2894" t="s">
        <v>557</v>
      </c>
      <c r="X2894" t="s">
        <v>106</v>
      </c>
      <c r="Y2894" t="s">
        <v>108</v>
      </c>
      <c r="Z2894" t="s">
        <v>104</v>
      </c>
      <c r="AA2894" t="s">
        <v>966</v>
      </c>
      <c r="AB2894" t="s">
        <v>106</v>
      </c>
    </row>
    <row r="2895" spans="1:28" x14ac:dyDescent="0.3">
      <c r="A2895" t="s">
        <v>1313</v>
      </c>
      <c r="B2895">
        <v>4</v>
      </c>
      <c r="C2895">
        <v>60</v>
      </c>
      <c r="D2895">
        <v>37</v>
      </c>
      <c r="E2895" t="s">
        <v>1027</v>
      </c>
      <c r="F2895" s="12">
        <v>45744</v>
      </c>
      <c r="G2895" t="s">
        <v>560</v>
      </c>
      <c r="H2895" s="12">
        <v>45744</v>
      </c>
      <c r="I2895" t="s">
        <v>1052</v>
      </c>
      <c r="J2895" t="s">
        <v>458</v>
      </c>
      <c r="K2895">
        <v>2</v>
      </c>
      <c r="L2895">
        <v>58.8</v>
      </c>
      <c r="M2895">
        <v>58.7</v>
      </c>
      <c r="P2895" t="s">
        <v>106</v>
      </c>
      <c r="Q2895" t="s">
        <v>106</v>
      </c>
      <c r="R2895" t="s">
        <v>106</v>
      </c>
      <c r="S2895" t="s">
        <v>1056</v>
      </c>
      <c r="T2895" t="s">
        <v>1057</v>
      </c>
      <c r="U2895" t="s">
        <v>426</v>
      </c>
      <c r="V2895" t="s">
        <v>106</v>
      </c>
      <c r="W2895" t="s">
        <v>557</v>
      </c>
      <c r="X2895" t="s">
        <v>106</v>
      </c>
      <c r="Y2895" t="s">
        <v>108</v>
      </c>
      <c r="Z2895" t="s">
        <v>104</v>
      </c>
      <c r="AA2895" t="s">
        <v>966</v>
      </c>
      <c r="AB2895" t="s">
        <v>106</v>
      </c>
    </row>
    <row r="2896" spans="1:28" x14ac:dyDescent="0.3">
      <c r="A2896" t="s">
        <v>1313</v>
      </c>
      <c r="B2896">
        <v>4</v>
      </c>
      <c r="C2896">
        <v>60</v>
      </c>
      <c r="D2896">
        <v>33</v>
      </c>
      <c r="E2896" t="s">
        <v>1027</v>
      </c>
      <c r="F2896" s="12">
        <v>45744</v>
      </c>
      <c r="G2896" t="s">
        <v>1038</v>
      </c>
      <c r="H2896" s="12">
        <v>45744</v>
      </c>
      <c r="I2896" t="s">
        <v>1029</v>
      </c>
      <c r="J2896" t="s">
        <v>458</v>
      </c>
      <c r="K2896">
        <v>2</v>
      </c>
      <c r="L2896">
        <v>57.2</v>
      </c>
      <c r="M2896">
        <v>57.2</v>
      </c>
      <c r="P2896" t="s">
        <v>106</v>
      </c>
      <c r="Q2896" t="s">
        <v>106</v>
      </c>
      <c r="R2896" t="s">
        <v>106</v>
      </c>
      <c r="S2896" t="s">
        <v>1040</v>
      </c>
      <c r="T2896" t="s">
        <v>1041</v>
      </c>
      <c r="U2896" t="s">
        <v>141</v>
      </c>
      <c r="V2896" t="s">
        <v>106</v>
      </c>
      <c r="W2896" t="s">
        <v>557</v>
      </c>
      <c r="X2896" t="s">
        <v>106</v>
      </c>
      <c r="Y2896" t="s">
        <v>108</v>
      </c>
      <c r="Z2896" t="s">
        <v>104</v>
      </c>
      <c r="AA2896" t="s">
        <v>966</v>
      </c>
      <c r="AB2896" t="s">
        <v>106</v>
      </c>
    </row>
    <row r="2897" spans="1:28" x14ac:dyDescent="0.3">
      <c r="A2897" t="s">
        <v>1313</v>
      </c>
      <c r="B2897">
        <v>4</v>
      </c>
      <c r="C2897">
        <v>60</v>
      </c>
      <c r="D2897">
        <v>32</v>
      </c>
      <c r="E2897" t="s">
        <v>1027</v>
      </c>
      <c r="F2897" s="12">
        <v>45744</v>
      </c>
      <c r="G2897" t="s">
        <v>1034</v>
      </c>
      <c r="H2897" s="12">
        <v>45744</v>
      </c>
      <c r="I2897" t="s">
        <v>1029</v>
      </c>
      <c r="J2897" t="s">
        <v>458</v>
      </c>
      <c r="K2897">
        <v>2</v>
      </c>
      <c r="L2897">
        <v>60.1</v>
      </c>
      <c r="M2897">
        <v>60</v>
      </c>
      <c r="P2897" t="s">
        <v>106</v>
      </c>
      <c r="Q2897" t="s">
        <v>106</v>
      </c>
      <c r="R2897" t="s">
        <v>106</v>
      </c>
      <c r="S2897" t="s">
        <v>1036</v>
      </c>
      <c r="T2897" t="s">
        <v>829</v>
      </c>
      <c r="U2897" t="s">
        <v>719</v>
      </c>
      <c r="V2897" t="s">
        <v>106</v>
      </c>
      <c r="W2897" t="s">
        <v>557</v>
      </c>
      <c r="X2897" t="s">
        <v>106</v>
      </c>
      <c r="Y2897" t="s">
        <v>108</v>
      </c>
      <c r="Z2897" t="s">
        <v>104</v>
      </c>
      <c r="AA2897" t="s">
        <v>966</v>
      </c>
      <c r="AB2897" t="s">
        <v>106</v>
      </c>
    </row>
    <row r="2898" spans="1:28" x14ac:dyDescent="0.3">
      <c r="A2898" t="s">
        <v>1313</v>
      </c>
      <c r="B2898">
        <v>4</v>
      </c>
      <c r="C2898">
        <v>60</v>
      </c>
      <c r="D2898">
        <v>26</v>
      </c>
      <c r="E2898" t="s">
        <v>456</v>
      </c>
      <c r="F2898" s="12">
        <v>45744</v>
      </c>
      <c r="G2898" t="s">
        <v>1013</v>
      </c>
      <c r="H2898" s="12">
        <v>45744</v>
      </c>
      <c r="I2898" t="s">
        <v>1005</v>
      </c>
      <c r="J2898" t="s">
        <v>458</v>
      </c>
      <c r="K2898">
        <v>2</v>
      </c>
      <c r="L2898">
        <v>58.9</v>
      </c>
      <c r="M2898">
        <v>59.2</v>
      </c>
      <c r="P2898" t="s">
        <v>106</v>
      </c>
      <c r="Q2898" t="s">
        <v>106</v>
      </c>
      <c r="R2898" t="s">
        <v>106</v>
      </c>
      <c r="S2898" t="s">
        <v>1015</v>
      </c>
      <c r="T2898" t="s">
        <v>1016</v>
      </c>
      <c r="U2898" t="s">
        <v>138</v>
      </c>
      <c r="V2898" t="s">
        <v>106</v>
      </c>
      <c r="W2898" t="s">
        <v>443</v>
      </c>
      <c r="X2898" t="s">
        <v>106</v>
      </c>
      <c r="Y2898" t="s">
        <v>108</v>
      </c>
      <c r="Z2898" t="s">
        <v>104</v>
      </c>
      <c r="AA2898" t="s">
        <v>966</v>
      </c>
      <c r="AB2898" t="s">
        <v>106</v>
      </c>
    </row>
    <row r="2899" spans="1:28" x14ac:dyDescent="0.3">
      <c r="A2899" t="s">
        <v>1313</v>
      </c>
      <c r="B2899">
        <v>4</v>
      </c>
      <c r="C2899">
        <v>60</v>
      </c>
      <c r="D2899">
        <v>25</v>
      </c>
      <c r="E2899" t="s">
        <v>456</v>
      </c>
      <c r="F2899" s="12">
        <v>45744</v>
      </c>
      <c r="G2899" t="s">
        <v>1010</v>
      </c>
      <c r="H2899" s="12">
        <v>45744</v>
      </c>
      <c r="I2899" t="s">
        <v>1005</v>
      </c>
      <c r="J2899" t="s">
        <v>458</v>
      </c>
      <c r="K2899">
        <v>2</v>
      </c>
      <c r="L2899">
        <v>55.9</v>
      </c>
      <c r="M2899">
        <v>55.8</v>
      </c>
      <c r="P2899" t="s">
        <v>106</v>
      </c>
      <c r="Q2899" t="s">
        <v>106</v>
      </c>
      <c r="R2899" t="s">
        <v>106</v>
      </c>
      <c r="S2899" t="s">
        <v>106</v>
      </c>
      <c r="T2899" t="s">
        <v>984</v>
      </c>
      <c r="U2899" t="s">
        <v>719</v>
      </c>
      <c r="V2899" t="s">
        <v>106</v>
      </c>
      <c r="W2899" t="s">
        <v>443</v>
      </c>
      <c r="X2899" t="s">
        <v>106</v>
      </c>
      <c r="Y2899" t="s">
        <v>108</v>
      </c>
      <c r="Z2899" t="s">
        <v>104</v>
      </c>
      <c r="AA2899" t="s">
        <v>966</v>
      </c>
      <c r="AB2899" t="s">
        <v>106</v>
      </c>
    </row>
    <row r="2900" spans="1:28" x14ac:dyDescent="0.3">
      <c r="A2900" t="s">
        <v>1313</v>
      </c>
      <c r="B2900">
        <v>4</v>
      </c>
      <c r="C2900">
        <v>60</v>
      </c>
      <c r="D2900">
        <v>57</v>
      </c>
      <c r="E2900" t="s">
        <v>1027</v>
      </c>
      <c r="F2900" s="12">
        <v>45744</v>
      </c>
      <c r="G2900" t="s">
        <v>569</v>
      </c>
      <c r="H2900" s="12">
        <v>45744</v>
      </c>
      <c r="I2900" t="s">
        <v>1111</v>
      </c>
      <c r="J2900" t="s">
        <v>477</v>
      </c>
      <c r="K2900">
        <v>2</v>
      </c>
      <c r="L2900">
        <v>61.1</v>
      </c>
      <c r="M2900">
        <v>60.7</v>
      </c>
      <c r="P2900" t="s">
        <v>106</v>
      </c>
      <c r="Q2900" t="s">
        <v>106</v>
      </c>
      <c r="R2900" t="s">
        <v>106</v>
      </c>
      <c r="S2900" t="s">
        <v>1124</v>
      </c>
      <c r="T2900" t="s">
        <v>1125</v>
      </c>
      <c r="U2900" t="s">
        <v>725</v>
      </c>
      <c r="V2900" t="s">
        <v>106</v>
      </c>
      <c r="W2900" t="s">
        <v>954</v>
      </c>
      <c r="X2900" t="s">
        <v>106</v>
      </c>
      <c r="Y2900" t="s">
        <v>108</v>
      </c>
      <c r="Z2900" t="s">
        <v>104</v>
      </c>
      <c r="AA2900" t="s">
        <v>1113</v>
      </c>
      <c r="AB2900" t="s">
        <v>106</v>
      </c>
    </row>
    <row r="2901" spans="1:28" x14ac:dyDescent="0.3">
      <c r="A2901" t="s">
        <v>1313</v>
      </c>
      <c r="B2901">
        <v>4</v>
      </c>
      <c r="C2901">
        <v>60</v>
      </c>
      <c r="D2901">
        <v>44</v>
      </c>
      <c r="E2901" t="s">
        <v>1027</v>
      </c>
      <c r="F2901" s="12">
        <v>45744</v>
      </c>
      <c r="G2901" t="s">
        <v>740</v>
      </c>
      <c r="H2901" s="12">
        <v>45744</v>
      </c>
      <c r="I2901" t="s">
        <v>362</v>
      </c>
      <c r="J2901" t="s">
        <v>458</v>
      </c>
      <c r="K2901">
        <v>2</v>
      </c>
      <c r="L2901">
        <v>58.7</v>
      </c>
      <c r="M2901">
        <v>58.7</v>
      </c>
      <c r="P2901" t="s">
        <v>106</v>
      </c>
      <c r="Q2901" t="s">
        <v>106</v>
      </c>
      <c r="R2901" t="s">
        <v>106</v>
      </c>
      <c r="S2901" t="s">
        <v>1076</v>
      </c>
      <c r="T2901" t="s">
        <v>1022</v>
      </c>
      <c r="U2901" t="s">
        <v>136</v>
      </c>
      <c r="V2901" t="s">
        <v>106</v>
      </c>
      <c r="W2901" t="s">
        <v>557</v>
      </c>
      <c r="X2901" t="s">
        <v>106</v>
      </c>
      <c r="Y2901" t="s">
        <v>108</v>
      </c>
      <c r="Z2901" t="s">
        <v>104</v>
      </c>
      <c r="AA2901" t="s">
        <v>966</v>
      </c>
      <c r="AB2901" t="s">
        <v>106</v>
      </c>
    </row>
    <row r="2902" spans="1:28" x14ac:dyDescent="0.3">
      <c r="A2902" t="s">
        <v>1313</v>
      </c>
      <c r="B2902">
        <v>4</v>
      </c>
      <c r="C2902">
        <v>60</v>
      </c>
      <c r="D2902">
        <v>51</v>
      </c>
      <c r="E2902" t="s">
        <v>1027</v>
      </c>
      <c r="F2902" s="12">
        <v>45744</v>
      </c>
      <c r="G2902" t="s">
        <v>1094</v>
      </c>
      <c r="H2902" s="12">
        <v>45744</v>
      </c>
      <c r="I2902" t="s">
        <v>622</v>
      </c>
      <c r="J2902" t="s">
        <v>458</v>
      </c>
      <c r="K2902">
        <v>2</v>
      </c>
      <c r="L2902">
        <v>61.8</v>
      </c>
      <c r="M2902">
        <v>61.9</v>
      </c>
      <c r="P2902" t="s">
        <v>106</v>
      </c>
      <c r="Q2902" t="s">
        <v>106</v>
      </c>
      <c r="R2902" t="s">
        <v>106</v>
      </c>
      <c r="S2902" t="s">
        <v>1040</v>
      </c>
      <c r="T2902" t="s">
        <v>1101</v>
      </c>
      <c r="U2902" t="s">
        <v>426</v>
      </c>
      <c r="V2902" t="s">
        <v>106</v>
      </c>
      <c r="W2902" t="s">
        <v>557</v>
      </c>
      <c r="X2902" t="s">
        <v>106</v>
      </c>
      <c r="Y2902" t="s">
        <v>108</v>
      </c>
      <c r="Z2902" t="s">
        <v>104</v>
      </c>
      <c r="AA2902" t="s">
        <v>966</v>
      </c>
      <c r="AB2902" t="s">
        <v>106</v>
      </c>
    </row>
    <row r="2903" spans="1:28" x14ac:dyDescent="0.3">
      <c r="A2903" t="s">
        <v>1313</v>
      </c>
      <c r="B2903">
        <v>2</v>
      </c>
      <c r="C2903">
        <v>15</v>
      </c>
      <c r="D2903">
        <v>107</v>
      </c>
      <c r="E2903" t="s">
        <v>1027</v>
      </c>
      <c r="F2903" s="12">
        <v>45747</v>
      </c>
      <c r="G2903" t="s">
        <v>1273</v>
      </c>
      <c r="H2903" s="12">
        <v>45747</v>
      </c>
      <c r="I2903" t="s">
        <v>371</v>
      </c>
      <c r="J2903" t="s">
        <v>477</v>
      </c>
      <c r="K2903">
        <v>2</v>
      </c>
      <c r="L2903">
        <v>14.9</v>
      </c>
      <c r="M2903">
        <v>15</v>
      </c>
      <c r="P2903" t="s">
        <v>106</v>
      </c>
      <c r="Q2903" t="s">
        <v>106</v>
      </c>
      <c r="R2903" t="s">
        <v>106</v>
      </c>
      <c r="S2903" t="s">
        <v>1009</v>
      </c>
      <c r="T2903" t="s">
        <v>1274</v>
      </c>
      <c r="U2903" t="s">
        <v>144</v>
      </c>
      <c r="V2903" t="s">
        <v>106</v>
      </c>
      <c r="W2903" t="s">
        <v>954</v>
      </c>
      <c r="X2903" t="s">
        <v>106</v>
      </c>
      <c r="Y2903" t="s">
        <v>108</v>
      </c>
      <c r="Z2903" t="s">
        <v>109</v>
      </c>
      <c r="AA2903" t="s">
        <v>1253</v>
      </c>
      <c r="AB2903" t="s">
        <v>106</v>
      </c>
    </row>
    <row r="2904" spans="1:28" x14ac:dyDescent="0.3">
      <c r="A2904" t="s">
        <v>1313</v>
      </c>
      <c r="B2904">
        <v>2</v>
      </c>
      <c r="C2904">
        <v>15</v>
      </c>
      <c r="D2904">
        <v>92</v>
      </c>
      <c r="E2904" t="s">
        <v>1027</v>
      </c>
      <c r="F2904" s="12">
        <v>45747</v>
      </c>
      <c r="G2904" t="s">
        <v>431</v>
      </c>
      <c r="H2904" s="12">
        <v>45747</v>
      </c>
      <c r="I2904" t="s">
        <v>805</v>
      </c>
      <c r="J2904" t="s">
        <v>471</v>
      </c>
      <c r="K2904">
        <v>2</v>
      </c>
      <c r="L2904">
        <v>16.8</v>
      </c>
      <c r="M2904">
        <v>16.7</v>
      </c>
      <c r="P2904" t="s">
        <v>106</v>
      </c>
      <c r="Q2904" t="s">
        <v>106</v>
      </c>
      <c r="R2904" t="s">
        <v>106</v>
      </c>
      <c r="S2904" t="s">
        <v>1226</v>
      </c>
      <c r="T2904" t="s">
        <v>993</v>
      </c>
      <c r="U2904" t="s">
        <v>136</v>
      </c>
      <c r="V2904" t="s">
        <v>106</v>
      </c>
      <c r="W2904" t="s">
        <v>557</v>
      </c>
      <c r="X2904" t="s">
        <v>106</v>
      </c>
      <c r="Y2904" t="s">
        <v>108</v>
      </c>
      <c r="Z2904" t="s">
        <v>109</v>
      </c>
      <c r="AA2904" t="s">
        <v>966</v>
      </c>
      <c r="AB2904" t="s">
        <v>106</v>
      </c>
    </row>
    <row r="2905" spans="1:28" x14ac:dyDescent="0.3">
      <c r="A2905" t="s">
        <v>1313</v>
      </c>
      <c r="B2905">
        <v>2</v>
      </c>
      <c r="C2905">
        <v>15</v>
      </c>
      <c r="D2905">
        <v>102</v>
      </c>
      <c r="E2905" t="s">
        <v>1027</v>
      </c>
      <c r="F2905" s="12">
        <v>45747</v>
      </c>
      <c r="G2905" t="s">
        <v>1258</v>
      </c>
      <c r="H2905" s="12">
        <v>45747</v>
      </c>
      <c r="I2905" t="s">
        <v>370</v>
      </c>
      <c r="J2905" t="s">
        <v>477</v>
      </c>
      <c r="K2905">
        <v>2</v>
      </c>
      <c r="L2905">
        <v>9.4</v>
      </c>
      <c r="M2905">
        <v>9.5</v>
      </c>
      <c r="P2905" t="s">
        <v>106</v>
      </c>
      <c r="Q2905" t="s">
        <v>106</v>
      </c>
      <c r="R2905" t="s">
        <v>106</v>
      </c>
      <c r="S2905" t="s">
        <v>995</v>
      </c>
      <c r="T2905" t="s">
        <v>1016</v>
      </c>
      <c r="U2905" t="s">
        <v>143</v>
      </c>
      <c r="V2905" t="s">
        <v>106</v>
      </c>
      <c r="W2905" t="s">
        <v>954</v>
      </c>
      <c r="X2905" t="s">
        <v>106</v>
      </c>
      <c r="Y2905" t="s">
        <v>108</v>
      </c>
      <c r="Z2905" t="s">
        <v>109</v>
      </c>
      <c r="AA2905" t="s">
        <v>1253</v>
      </c>
      <c r="AB2905" t="s">
        <v>1247</v>
      </c>
    </row>
    <row r="2906" spans="1:28" x14ac:dyDescent="0.3">
      <c r="A2906" t="s">
        <v>1313</v>
      </c>
      <c r="B2906">
        <v>2</v>
      </c>
      <c r="C2906">
        <v>15</v>
      </c>
      <c r="D2906">
        <v>80</v>
      </c>
      <c r="E2906" t="s">
        <v>1027</v>
      </c>
      <c r="F2906" s="12">
        <v>45747</v>
      </c>
      <c r="G2906" t="s">
        <v>135</v>
      </c>
      <c r="H2906" s="12">
        <v>45747</v>
      </c>
      <c r="I2906" t="s">
        <v>1187</v>
      </c>
      <c r="J2906" t="s">
        <v>471</v>
      </c>
      <c r="K2906">
        <v>2</v>
      </c>
      <c r="L2906">
        <v>15.7</v>
      </c>
      <c r="M2906">
        <v>15.8</v>
      </c>
      <c r="P2906" t="s">
        <v>106</v>
      </c>
      <c r="Q2906" t="s">
        <v>106</v>
      </c>
      <c r="R2906" t="s">
        <v>106</v>
      </c>
      <c r="S2906" t="s">
        <v>1197</v>
      </c>
      <c r="T2906" t="s">
        <v>760</v>
      </c>
      <c r="U2906" t="s">
        <v>719</v>
      </c>
      <c r="V2906" t="s">
        <v>106</v>
      </c>
      <c r="W2906" t="s">
        <v>954</v>
      </c>
      <c r="X2906" t="s">
        <v>106</v>
      </c>
      <c r="Y2906" t="s">
        <v>108</v>
      </c>
      <c r="Z2906" t="s">
        <v>109</v>
      </c>
      <c r="AA2906" t="s">
        <v>966</v>
      </c>
      <c r="AB2906" t="s">
        <v>106</v>
      </c>
    </row>
    <row r="2907" spans="1:28" x14ac:dyDescent="0.3">
      <c r="A2907" t="s">
        <v>1313</v>
      </c>
      <c r="B2907">
        <v>2</v>
      </c>
      <c r="C2907">
        <v>15</v>
      </c>
      <c r="D2907">
        <v>85</v>
      </c>
      <c r="E2907" t="s">
        <v>1027</v>
      </c>
      <c r="F2907" s="12">
        <v>45747</v>
      </c>
      <c r="G2907" t="s">
        <v>368</v>
      </c>
      <c r="H2907" s="12">
        <v>45747</v>
      </c>
      <c r="I2907" t="s">
        <v>704</v>
      </c>
      <c r="J2907" t="s">
        <v>471</v>
      </c>
      <c r="K2907">
        <v>2</v>
      </c>
      <c r="L2907">
        <v>15.2</v>
      </c>
      <c r="M2907">
        <v>15.2</v>
      </c>
      <c r="P2907" t="s">
        <v>106</v>
      </c>
      <c r="Q2907" t="s">
        <v>106</v>
      </c>
      <c r="R2907" t="s">
        <v>106</v>
      </c>
      <c r="S2907" t="s">
        <v>1204</v>
      </c>
      <c r="T2907" t="s">
        <v>971</v>
      </c>
      <c r="U2907" t="s">
        <v>146</v>
      </c>
      <c r="V2907" t="s">
        <v>106</v>
      </c>
      <c r="W2907" t="s">
        <v>954</v>
      </c>
      <c r="X2907" t="s">
        <v>106</v>
      </c>
      <c r="Y2907" t="s">
        <v>108</v>
      </c>
      <c r="Z2907" t="s">
        <v>109</v>
      </c>
      <c r="AA2907" t="s">
        <v>966</v>
      </c>
      <c r="AB2907" t="s">
        <v>106</v>
      </c>
    </row>
    <row r="2908" spans="1:28" x14ac:dyDescent="0.3">
      <c r="A2908" t="s">
        <v>1313</v>
      </c>
      <c r="B2908">
        <v>2</v>
      </c>
      <c r="C2908">
        <v>15</v>
      </c>
      <c r="D2908">
        <v>101</v>
      </c>
      <c r="E2908" t="s">
        <v>1027</v>
      </c>
      <c r="F2908" s="12">
        <v>45747</v>
      </c>
      <c r="G2908" t="s">
        <v>1256</v>
      </c>
      <c r="H2908" s="12">
        <v>45747</v>
      </c>
      <c r="I2908" t="s">
        <v>370</v>
      </c>
      <c r="J2908" t="s">
        <v>477</v>
      </c>
      <c r="K2908">
        <v>2</v>
      </c>
      <c r="L2908">
        <v>15.1</v>
      </c>
      <c r="M2908">
        <v>15.2</v>
      </c>
      <c r="P2908" t="s">
        <v>106</v>
      </c>
      <c r="Q2908" t="s">
        <v>106</v>
      </c>
      <c r="R2908" t="s">
        <v>106</v>
      </c>
      <c r="S2908" t="s">
        <v>995</v>
      </c>
      <c r="T2908" t="s">
        <v>1257</v>
      </c>
      <c r="U2908" t="s">
        <v>444</v>
      </c>
      <c r="V2908" t="s">
        <v>106</v>
      </c>
      <c r="W2908" t="s">
        <v>954</v>
      </c>
      <c r="X2908" t="s">
        <v>106</v>
      </c>
      <c r="Y2908" t="s">
        <v>108</v>
      </c>
      <c r="Z2908" t="s">
        <v>109</v>
      </c>
      <c r="AA2908" t="s">
        <v>1253</v>
      </c>
      <c r="AB2908" t="s">
        <v>1247</v>
      </c>
    </row>
    <row r="2909" spans="1:28" x14ac:dyDescent="0.3">
      <c r="A2909" t="s">
        <v>1313</v>
      </c>
      <c r="B2909">
        <v>2</v>
      </c>
      <c r="C2909">
        <v>15</v>
      </c>
      <c r="D2909">
        <v>96</v>
      </c>
      <c r="E2909" t="s">
        <v>1027</v>
      </c>
      <c r="F2909" s="12">
        <v>45747</v>
      </c>
      <c r="G2909" t="s">
        <v>1240</v>
      </c>
      <c r="H2909" s="12">
        <v>45747</v>
      </c>
      <c r="I2909" t="s">
        <v>1229</v>
      </c>
      <c r="J2909" t="s">
        <v>471</v>
      </c>
      <c r="K2909">
        <v>2</v>
      </c>
      <c r="L2909">
        <v>17.100000000000001</v>
      </c>
      <c r="M2909">
        <v>17.100000000000001</v>
      </c>
      <c r="P2909" t="s">
        <v>106</v>
      </c>
      <c r="Q2909" t="s">
        <v>106</v>
      </c>
      <c r="R2909" t="s">
        <v>106</v>
      </c>
      <c r="S2909" t="s">
        <v>970</v>
      </c>
      <c r="T2909" t="s">
        <v>1242</v>
      </c>
      <c r="U2909" t="s">
        <v>143</v>
      </c>
      <c r="V2909" t="s">
        <v>106</v>
      </c>
      <c r="W2909" t="s">
        <v>954</v>
      </c>
      <c r="X2909" t="s">
        <v>106</v>
      </c>
      <c r="Y2909" t="s">
        <v>108</v>
      </c>
      <c r="Z2909" t="s">
        <v>109</v>
      </c>
      <c r="AA2909" t="s">
        <v>106</v>
      </c>
      <c r="AB2909" t="s">
        <v>106</v>
      </c>
    </row>
    <row r="2910" spans="1:28" x14ac:dyDescent="0.3">
      <c r="A2910" t="s">
        <v>1313</v>
      </c>
      <c r="B2910">
        <v>2</v>
      </c>
      <c r="C2910">
        <v>15</v>
      </c>
      <c r="D2910">
        <v>91</v>
      </c>
      <c r="E2910" t="s">
        <v>1027</v>
      </c>
      <c r="F2910" s="12">
        <v>45747</v>
      </c>
      <c r="G2910" t="s">
        <v>823</v>
      </c>
      <c r="H2910" s="12">
        <v>45747</v>
      </c>
      <c r="I2910" t="s">
        <v>805</v>
      </c>
      <c r="J2910" t="s">
        <v>471</v>
      </c>
      <c r="K2910">
        <v>2</v>
      </c>
      <c r="L2910">
        <v>16.600000000000001</v>
      </c>
      <c r="M2910">
        <v>16.399999999999999</v>
      </c>
      <c r="P2910" t="s">
        <v>106</v>
      </c>
      <c r="Q2910" t="s">
        <v>106</v>
      </c>
      <c r="R2910" t="s">
        <v>106</v>
      </c>
      <c r="S2910" t="s">
        <v>1009</v>
      </c>
      <c r="T2910" t="s">
        <v>942</v>
      </c>
      <c r="U2910" t="s">
        <v>143</v>
      </c>
      <c r="V2910" t="s">
        <v>106</v>
      </c>
      <c r="W2910" t="s">
        <v>557</v>
      </c>
      <c r="X2910" t="s">
        <v>106</v>
      </c>
      <c r="Y2910" t="s">
        <v>108</v>
      </c>
      <c r="Z2910" t="s">
        <v>109</v>
      </c>
      <c r="AA2910" t="s">
        <v>966</v>
      </c>
      <c r="AB2910" t="s">
        <v>106</v>
      </c>
    </row>
    <row r="2911" spans="1:28" x14ac:dyDescent="0.3">
      <c r="A2911" t="s">
        <v>1313</v>
      </c>
      <c r="B2911">
        <v>2</v>
      </c>
      <c r="C2911">
        <v>15</v>
      </c>
      <c r="D2911">
        <v>95</v>
      </c>
      <c r="E2911" t="s">
        <v>1027</v>
      </c>
      <c r="F2911" s="12">
        <v>45747</v>
      </c>
      <c r="G2911" t="s">
        <v>1237</v>
      </c>
      <c r="H2911" s="12">
        <v>45747</v>
      </c>
      <c r="I2911" t="s">
        <v>1229</v>
      </c>
      <c r="J2911" t="s">
        <v>471</v>
      </c>
      <c r="K2911">
        <v>2</v>
      </c>
      <c r="L2911">
        <v>16.3</v>
      </c>
      <c r="M2911">
        <v>16.399999999999999</v>
      </c>
      <c r="P2911" t="s">
        <v>106</v>
      </c>
      <c r="Q2911" t="s">
        <v>106</v>
      </c>
      <c r="R2911" t="s">
        <v>106</v>
      </c>
      <c r="S2911" t="s">
        <v>1238</v>
      </c>
      <c r="T2911" t="s">
        <v>989</v>
      </c>
      <c r="U2911" t="s">
        <v>146</v>
      </c>
      <c r="V2911" t="s">
        <v>106</v>
      </c>
      <c r="W2911" t="s">
        <v>954</v>
      </c>
      <c r="X2911" t="s">
        <v>106</v>
      </c>
      <c r="Y2911" t="s">
        <v>108</v>
      </c>
      <c r="Z2911" t="s">
        <v>109</v>
      </c>
      <c r="AA2911" t="s">
        <v>106</v>
      </c>
      <c r="AB2911" t="s">
        <v>106</v>
      </c>
    </row>
    <row r="2912" spans="1:28" x14ac:dyDescent="0.3">
      <c r="A2912" t="s">
        <v>1313</v>
      </c>
      <c r="B2912">
        <v>2</v>
      </c>
      <c r="C2912">
        <v>15</v>
      </c>
      <c r="D2912">
        <v>86</v>
      </c>
      <c r="E2912" t="s">
        <v>1027</v>
      </c>
      <c r="F2912" s="12">
        <v>45747</v>
      </c>
      <c r="G2912" t="s">
        <v>1213</v>
      </c>
      <c r="H2912" s="12">
        <v>45747</v>
      </c>
      <c r="I2912" t="s">
        <v>704</v>
      </c>
      <c r="J2912" t="s">
        <v>471</v>
      </c>
      <c r="K2912">
        <v>2</v>
      </c>
      <c r="L2912">
        <v>16</v>
      </c>
      <c r="M2912">
        <v>16</v>
      </c>
      <c r="P2912" t="s">
        <v>106</v>
      </c>
      <c r="Q2912" t="s">
        <v>106</v>
      </c>
      <c r="R2912" t="s">
        <v>106</v>
      </c>
      <c r="S2912" t="s">
        <v>1009</v>
      </c>
      <c r="T2912" t="s">
        <v>1214</v>
      </c>
      <c r="U2912" t="s">
        <v>677</v>
      </c>
      <c r="V2912" t="s">
        <v>106</v>
      </c>
      <c r="W2912" t="s">
        <v>954</v>
      </c>
      <c r="X2912" t="s">
        <v>106</v>
      </c>
      <c r="Y2912" t="s">
        <v>108</v>
      </c>
      <c r="Z2912" t="s">
        <v>109</v>
      </c>
      <c r="AA2912" t="s">
        <v>966</v>
      </c>
      <c r="AB2912" t="s">
        <v>106</v>
      </c>
    </row>
    <row r="2913" spans="1:28" x14ac:dyDescent="0.3">
      <c r="A2913" t="s">
        <v>1313</v>
      </c>
      <c r="B2913">
        <v>2</v>
      </c>
      <c r="C2913">
        <v>15</v>
      </c>
      <c r="D2913">
        <v>79</v>
      </c>
      <c r="E2913" t="s">
        <v>1027</v>
      </c>
      <c r="F2913" s="12">
        <v>45747</v>
      </c>
      <c r="G2913" t="s">
        <v>135</v>
      </c>
      <c r="H2913" s="12">
        <v>45747</v>
      </c>
      <c r="I2913" t="s">
        <v>1187</v>
      </c>
      <c r="J2913" t="s">
        <v>471</v>
      </c>
      <c r="K2913">
        <v>2</v>
      </c>
      <c r="L2913">
        <v>15.8</v>
      </c>
      <c r="M2913">
        <v>15.9</v>
      </c>
      <c r="P2913" t="s">
        <v>106</v>
      </c>
      <c r="Q2913" t="s">
        <v>106</v>
      </c>
      <c r="R2913" t="s">
        <v>106</v>
      </c>
      <c r="S2913" t="s">
        <v>1196</v>
      </c>
      <c r="T2913" t="s">
        <v>1069</v>
      </c>
      <c r="U2913" t="s">
        <v>361</v>
      </c>
      <c r="V2913" t="s">
        <v>106</v>
      </c>
      <c r="W2913" t="s">
        <v>954</v>
      </c>
      <c r="X2913" t="s">
        <v>106</v>
      </c>
      <c r="Y2913" t="s">
        <v>108</v>
      </c>
      <c r="Z2913" t="s">
        <v>109</v>
      </c>
      <c r="AA2913" t="s">
        <v>966</v>
      </c>
      <c r="AB2913" t="s">
        <v>106</v>
      </c>
    </row>
    <row r="2914" spans="1:28" x14ac:dyDescent="0.3">
      <c r="A2914" t="s">
        <v>1313</v>
      </c>
      <c r="B2914">
        <v>2</v>
      </c>
      <c r="C2914">
        <v>15</v>
      </c>
      <c r="D2914">
        <v>108</v>
      </c>
      <c r="E2914" t="s">
        <v>1027</v>
      </c>
      <c r="F2914" s="12">
        <v>45747</v>
      </c>
      <c r="G2914" t="s">
        <v>137</v>
      </c>
      <c r="H2914" s="12">
        <v>45747</v>
      </c>
      <c r="I2914" t="s">
        <v>371</v>
      </c>
      <c r="J2914" t="s">
        <v>477</v>
      </c>
      <c r="K2914">
        <v>2</v>
      </c>
      <c r="L2914">
        <v>14.4</v>
      </c>
      <c r="M2914">
        <v>14.4</v>
      </c>
      <c r="P2914" t="s">
        <v>106</v>
      </c>
      <c r="Q2914" t="s">
        <v>106</v>
      </c>
      <c r="R2914" t="s">
        <v>106</v>
      </c>
      <c r="S2914" t="s">
        <v>970</v>
      </c>
      <c r="T2914" t="s">
        <v>1074</v>
      </c>
      <c r="U2914" t="s">
        <v>143</v>
      </c>
      <c r="V2914" t="s">
        <v>106</v>
      </c>
      <c r="W2914" t="s">
        <v>954</v>
      </c>
      <c r="X2914" t="s">
        <v>106</v>
      </c>
      <c r="Y2914" t="s">
        <v>108</v>
      </c>
      <c r="Z2914" t="s">
        <v>109</v>
      </c>
      <c r="AA2914" t="s">
        <v>1253</v>
      </c>
      <c r="AB2914" t="s">
        <v>106</v>
      </c>
    </row>
    <row r="2915" spans="1:28" x14ac:dyDescent="0.3">
      <c r="A2915" t="s">
        <v>1313</v>
      </c>
      <c r="B2915">
        <v>3</v>
      </c>
      <c r="C2915">
        <v>35</v>
      </c>
      <c r="D2915">
        <v>76</v>
      </c>
      <c r="E2915" t="s">
        <v>1027</v>
      </c>
      <c r="F2915" s="12">
        <v>45747</v>
      </c>
      <c r="G2915" t="s">
        <v>1189</v>
      </c>
      <c r="H2915" s="12">
        <v>45747</v>
      </c>
      <c r="I2915" t="s">
        <v>1187</v>
      </c>
      <c r="J2915" t="s">
        <v>471</v>
      </c>
      <c r="K2915">
        <v>2</v>
      </c>
      <c r="L2915">
        <v>34.9</v>
      </c>
      <c r="M2915">
        <v>35.200000000000003</v>
      </c>
      <c r="P2915" t="s">
        <v>106</v>
      </c>
      <c r="Q2915" t="s">
        <v>106</v>
      </c>
      <c r="R2915" t="s">
        <v>106</v>
      </c>
      <c r="S2915" t="s">
        <v>1009</v>
      </c>
      <c r="T2915" t="s">
        <v>760</v>
      </c>
      <c r="U2915" t="s">
        <v>143</v>
      </c>
      <c r="V2915" t="s">
        <v>106</v>
      </c>
      <c r="W2915" t="s">
        <v>954</v>
      </c>
      <c r="X2915" t="s">
        <v>106</v>
      </c>
      <c r="Y2915" t="s">
        <v>108</v>
      </c>
      <c r="Z2915" t="s">
        <v>108</v>
      </c>
      <c r="AA2915" t="s">
        <v>1113</v>
      </c>
      <c r="AB2915" t="s">
        <v>106</v>
      </c>
    </row>
    <row r="2916" spans="1:28" x14ac:dyDescent="0.3">
      <c r="A2916" t="s">
        <v>1313</v>
      </c>
      <c r="B2916">
        <v>3</v>
      </c>
      <c r="C2916">
        <v>35</v>
      </c>
      <c r="D2916">
        <v>93</v>
      </c>
      <c r="E2916" t="s">
        <v>1027</v>
      </c>
      <c r="F2916" s="12">
        <v>45747</v>
      </c>
      <c r="G2916" t="s">
        <v>1228</v>
      </c>
      <c r="H2916" s="12">
        <v>45747</v>
      </c>
      <c r="I2916" t="s">
        <v>1229</v>
      </c>
      <c r="J2916" t="s">
        <v>471</v>
      </c>
      <c r="K2916">
        <v>2</v>
      </c>
      <c r="L2916">
        <v>36.9</v>
      </c>
      <c r="M2916">
        <v>37</v>
      </c>
      <c r="P2916" t="s">
        <v>106</v>
      </c>
      <c r="Q2916" t="s">
        <v>106</v>
      </c>
      <c r="R2916" t="s">
        <v>106</v>
      </c>
      <c r="S2916" t="s">
        <v>1231</v>
      </c>
      <c r="T2916" t="s">
        <v>775</v>
      </c>
      <c r="U2916" t="s">
        <v>369</v>
      </c>
      <c r="V2916" t="s">
        <v>106</v>
      </c>
      <c r="W2916" t="s">
        <v>954</v>
      </c>
      <c r="X2916" t="s">
        <v>106</v>
      </c>
      <c r="Y2916" t="s">
        <v>108</v>
      </c>
      <c r="Z2916" t="s">
        <v>108</v>
      </c>
      <c r="AA2916" t="s">
        <v>1113</v>
      </c>
      <c r="AB2916" t="s">
        <v>106</v>
      </c>
    </row>
    <row r="2917" spans="1:28" x14ac:dyDescent="0.3">
      <c r="A2917" t="s">
        <v>1313</v>
      </c>
      <c r="B2917">
        <v>3</v>
      </c>
      <c r="C2917">
        <v>35</v>
      </c>
      <c r="D2917">
        <v>94</v>
      </c>
      <c r="E2917" t="s">
        <v>1027</v>
      </c>
      <c r="F2917" s="12">
        <v>45747</v>
      </c>
      <c r="G2917" t="s">
        <v>1233</v>
      </c>
      <c r="H2917" s="12">
        <v>45747</v>
      </c>
      <c r="I2917" t="s">
        <v>1229</v>
      </c>
      <c r="J2917" t="s">
        <v>471</v>
      </c>
      <c r="K2917">
        <v>2</v>
      </c>
      <c r="L2917">
        <v>38</v>
      </c>
      <c r="M2917">
        <v>38.299999999999997</v>
      </c>
      <c r="P2917" t="s">
        <v>106</v>
      </c>
      <c r="Q2917" t="s">
        <v>106</v>
      </c>
      <c r="R2917" t="s">
        <v>106</v>
      </c>
      <c r="S2917" t="s">
        <v>974</v>
      </c>
      <c r="T2917" t="s">
        <v>1235</v>
      </c>
      <c r="U2917" t="s">
        <v>369</v>
      </c>
      <c r="V2917" t="s">
        <v>106</v>
      </c>
      <c r="W2917" t="s">
        <v>954</v>
      </c>
      <c r="X2917" t="s">
        <v>106</v>
      </c>
      <c r="Y2917" t="s">
        <v>108</v>
      </c>
      <c r="Z2917" t="s">
        <v>108</v>
      </c>
      <c r="AA2917" t="s">
        <v>1113</v>
      </c>
      <c r="AB2917" t="s">
        <v>106</v>
      </c>
    </row>
    <row r="2918" spans="1:28" x14ac:dyDescent="0.3">
      <c r="A2918" t="s">
        <v>1313</v>
      </c>
      <c r="B2918">
        <v>3</v>
      </c>
      <c r="C2918">
        <v>35</v>
      </c>
      <c r="D2918">
        <v>97</v>
      </c>
      <c r="E2918" t="s">
        <v>1027</v>
      </c>
      <c r="F2918" s="12">
        <v>45747</v>
      </c>
      <c r="G2918" t="s">
        <v>1244</v>
      </c>
      <c r="H2918" s="12">
        <v>45747</v>
      </c>
      <c r="I2918" t="s">
        <v>370</v>
      </c>
      <c r="J2918" t="s">
        <v>477</v>
      </c>
      <c r="K2918">
        <v>2</v>
      </c>
      <c r="L2918">
        <v>33.299999999999997</v>
      </c>
      <c r="M2918">
        <v>33.4</v>
      </c>
      <c r="P2918" t="s">
        <v>106</v>
      </c>
      <c r="Q2918" t="s">
        <v>106</v>
      </c>
      <c r="R2918" t="s">
        <v>106</v>
      </c>
      <c r="S2918" t="s">
        <v>970</v>
      </c>
      <c r="T2918" t="s">
        <v>1022</v>
      </c>
      <c r="U2918" t="s">
        <v>146</v>
      </c>
      <c r="V2918" t="s">
        <v>106</v>
      </c>
      <c r="W2918" t="s">
        <v>954</v>
      </c>
      <c r="X2918" t="s">
        <v>106</v>
      </c>
      <c r="Y2918" t="s">
        <v>108</v>
      </c>
      <c r="Z2918" t="s">
        <v>108</v>
      </c>
      <c r="AA2918" t="s">
        <v>1113</v>
      </c>
      <c r="AB2918" t="s">
        <v>1247</v>
      </c>
    </row>
    <row r="2919" spans="1:28" x14ac:dyDescent="0.3">
      <c r="A2919" t="s">
        <v>1313</v>
      </c>
      <c r="B2919">
        <v>3</v>
      </c>
      <c r="C2919">
        <v>35</v>
      </c>
      <c r="D2919">
        <v>98</v>
      </c>
      <c r="E2919" t="s">
        <v>1027</v>
      </c>
      <c r="F2919" s="12">
        <v>45747</v>
      </c>
      <c r="G2919" t="s">
        <v>133</v>
      </c>
      <c r="H2919" s="12">
        <v>45747</v>
      </c>
      <c r="I2919" t="s">
        <v>370</v>
      </c>
      <c r="J2919" t="s">
        <v>477</v>
      </c>
      <c r="K2919">
        <v>2</v>
      </c>
      <c r="L2919">
        <v>34.9</v>
      </c>
      <c r="M2919">
        <v>35.200000000000003</v>
      </c>
      <c r="P2919" t="s">
        <v>106</v>
      </c>
      <c r="Q2919" t="s">
        <v>106</v>
      </c>
      <c r="R2919" t="s">
        <v>106</v>
      </c>
      <c r="S2919" t="s">
        <v>1009</v>
      </c>
      <c r="T2919" t="s">
        <v>989</v>
      </c>
      <c r="U2919" t="s">
        <v>433</v>
      </c>
      <c r="V2919" t="s">
        <v>106</v>
      </c>
      <c r="W2919" t="s">
        <v>954</v>
      </c>
      <c r="X2919" t="s">
        <v>106</v>
      </c>
      <c r="Y2919" t="s">
        <v>108</v>
      </c>
      <c r="Z2919" t="s">
        <v>108</v>
      </c>
      <c r="AA2919" t="s">
        <v>1113</v>
      </c>
      <c r="AB2919" t="s">
        <v>1247</v>
      </c>
    </row>
    <row r="2920" spans="1:28" x14ac:dyDescent="0.3">
      <c r="A2920" t="s">
        <v>1313</v>
      </c>
      <c r="B2920">
        <v>3</v>
      </c>
      <c r="C2920">
        <v>35</v>
      </c>
      <c r="D2920">
        <v>103</v>
      </c>
      <c r="E2920" t="s">
        <v>1027</v>
      </c>
      <c r="F2920" s="12">
        <v>45747</v>
      </c>
      <c r="G2920" t="s">
        <v>826</v>
      </c>
      <c r="H2920" s="12">
        <v>45747</v>
      </c>
      <c r="I2920" t="s">
        <v>371</v>
      </c>
      <c r="J2920" t="s">
        <v>477</v>
      </c>
      <c r="K2920">
        <v>2</v>
      </c>
      <c r="L2920">
        <v>37.5</v>
      </c>
      <c r="M2920">
        <v>37.5</v>
      </c>
      <c r="P2920" t="s">
        <v>106</v>
      </c>
      <c r="Q2920" t="s">
        <v>106</v>
      </c>
      <c r="R2920" t="s">
        <v>106</v>
      </c>
      <c r="S2920" t="s">
        <v>970</v>
      </c>
      <c r="T2920" t="s">
        <v>984</v>
      </c>
      <c r="U2920" t="s">
        <v>146</v>
      </c>
      <c r="V2920" t="s">
        <v>106</v>
      </c>
      <c r="W2920" t="s">
        <v>954</v>
      </c>
      <c r="X2920" t="s">
        <v>106</v>
      </c>
      <c r="Y2920" t="s">
        <v>108</v>
      </c>
      <c r="Z2920" t="s">
        <v>108</v>
      </c>
      <c r="AA2920" t="s">
        <v>1261</v>
      </c>
      <c r="AB2920" t="s">
        <v>1262</v>
      </c>
    </row>
    <row r="2921" spans="1:28" x14ac:dyDescent="0.3">
      <c r="A2921" t="s">
        <v>1313</v>
      </c>
      <c r="B2921">
        <v>3</v>
      </c>
      <c r="C2921">
        <v>35</v>
      </c>
      <c r="D2921">
        <v>104</v>
      </c>
      <c r="E2921" t="s">
        <v>1027</v>
      </c>
      <c r="F2921" s="12">
        <v>45747</v>
      </c>
      <c r="G2921" t="s">
        <v>826</v>
      </c>
      <c r="H2921" s="12">
        <v>45747</v>
      </c>
      <c r="I2921" t="s">
        <v>371</v>
      </c>
      <c r="J2921" t="s">
        <v>477</v>
      </c>
      <c r="K2921">
        <v>2</v>
      </c>
      <c r="L2921">
        <v>39.5</v>
      </c>
      <c r="M2921">
        <v>39.6</v>
      </c>
      <c r="P2921" t="s">
        <v>106</v>
      </c>
      <c r="Q2921" t="s">
        <v>106</v>
      </c>
      <c r="R2921" t="s">
        <v>106</v>
      </c>
      <c r="S2921" t="s">
        <v>1115</v>
      </c>
      <c r="T2921" t="s">
        <v>984</v>
      </c>
      <c r="U2921" t="s">
        <v>441</v>
      </c>
      <c r="V2921" t="s">
        <v>106</v>
      </c>
      <c r="W2921" t="s">
        <v>954</v>
      </c>
      <c r="X2921" t="s">
        <v>106</v>
      </c>
      <c r="Y2921" t="s">
        <v>108</v>
      </c>
      <c r="Z2921" t="s">
        <v>108</v>
      </c>
      <c r="AA2921" t="s">
        <v>1261</v>
      </c>
      <c r="AB2921" t="s">
        <v>106</v>
      </c>
    </row>
    <row r="2922" spans="1:28" x14ac:dyDescent="0.3">
      <c r="A2922" t="s">
        <v>1313</v>
      </c>
      <c r="B2922">
        <v>3</v>
      </c>
      <c r="C2922">
        <v>35</v>
      </c>
      <c r="D2922">
        <v>82</v>
      </c>
      <c r="E2922" t="s">
        <v>1027</v>
      </c>
      <c r="F2922" s="12">
        <v>45747</v>
      </c>
      <c r="G2922" t="s">
        <v>1202</v>
      </c>
      <c r="H2922" s="12">
        <v>45747</v>
      </c>
      <c r="I2922" t="s">
        <v>704</v>
      </c>
      <c r="J2922" t="s">
        <v>471</v>
      </c>
      <c r="K2922">
        <v>2</v>
      </c>
      <c r="L2922">
        <v>37.200000000000003</v>
      </c>
      <c r="M2922">
        <v>37.299999999999997</v>
      </c>
      <c r="P2922" t="s">
        <v>106</v>
      </c>
      <c r="Q2922" t="s">
        <v>106</v>
      </c>
      <c r="R2922" t="s">
        <v>106</v>
      </c>
      <c r="S2922" t="s">
        <v>1204</v>
      </c>
      <c r="T2922" t="s">
        <v>806</v>
      </c>
      <c r="U2922" t="s">
        <v>147</v>
      </c>
      <c r="V2922" t="s">
        <v>106</v>
      </c>
      <c r="W2922" t="s">
        <v>954</v>
      </c>
      <c r="X2922" t="s">
        <v>106</v>
      </c>
      <c r="Y2922" t="s">
        <v>108</v>
      </c>
      <c r="Z2922" t="s">
        <v>108</v>
      </c>
      <c r="AA2922" t="s">
        <v>1113</v>
      </c>
      <c r="AB2922" t="s">
        <v>106</v>
      </c>
    </row>
    <row r="2923" spans="1:28" x14ac:dyDescent="0.3">
      <c r="A2923" t="s">
        <v>1313</v>
      </c>
      <c r="B2923">
        <v>3</v>
      </c>
      <c r="C2923">
        <v>35</v>
      </c>
      <c r="D2923">
        <v>81</v>
      </c>
      <c r="E2923" t="s">
        <v>1027</v>
      </c>
      <c r="F2923" s="12">
        <v>45747</v>
      </c>
      <c r="G2923" t="s">
        <v>1199</v>
      </c>
      <c r="H2923" s="12">
        <v>45747</v>
      </c>
      <c r="I2923" t="s">
        <v>704</v>
      </c>
      <c r="J2923" t="s">
        <v>471</v>
      </c>
      <c r="K2923">
        <v>2</v>
      </c>
      <c r="L2923">
        <v>35.799999999999997</v>
      </c>
      <c r="M2923">
        <v>35.9</v>
      </c>
      <c r="P2923" t="s">
        <v>106</v>
      </c>
      <c r="Q2923" t="s">
        <v>106</v>
      </c>
      <c r="R2923" t="s">
        <v>106</v>
      </c>
      <c r="S2923" t="s">
        <v>1130</v>
      </c>
      <c r="T2923" t="s">
        <v>806</v>
      </c>
      <c r="U2923" t="s">
        <v>725</v>
      </c>
      <c r="V2923" t="s">
        <v>106</v>
      </c>
      <c r="W2923" t="s">
        <v>954</v>
      </c>
      <c r="X2923" t="s">
        <v>106</v>
      </c>
      <c r="Y2923" t="s">
        <v>108</v>
      </c>
      <c r="Z2923" t="s">
        <v>108</v>
      </c>
      <c r="AA2923" t="s">
        <v>1113</v>
      </c>
      <c r="AB2923" t="s">
        <v>1201</v>
      </c>
    </row>
    <row r="2924" spans="1:28" x14ac:dyDescent="0.3">
      <c r="A2924" t="s">
        <v>1313</v>
      </c>
      <c r="B2924">
        <v>3</v>
      </c>
      <c r="C2924">
        <v>35</v>
      </c>
      <c r="D2924">
        <v>75</v>
      </c>
      <c r="E2924" t="s">
        <v>1027</v>
      </c>
      <c r="F2924" s="12">
        <v>45747</v>
      </c>
      <c r="G2924" t="s">
        <v>1186</v>
      </c>
      <c r="H2924" s="12">
        <v>45747</v>
      </c>
      <c r="I2924" t="s">
        <v>1187</v>
      </c>
      <c r="J2924" t="s">
        <v>471</v>
      </c>
      <c r="K2924">
        <v>2</v>
      </c>
      <c r="L2924">
        <v>35.299999999999997</v>
      </c>
      <c r="M2924">
        <v>35.4</v>
      </c>
      <c r="P2924" t="s">
        <v>106</v>
      </c>
      <c r="Q2924" t="s">
        <v>106</v>
      </c>
      <c r="R2924" t="s">
        <v>106</v>
      </c>
      <c r="S2924" t="s">
        <v>1036</v>
      </c>
      <c r="T2924" t="s">
        <v>996</v>
      </c>
      <c r="U2924" t="s">
        <v>444</v>
      </c>
      <c r="V2924" t="s">
        <v>106</v>
      </c>
      <c r="W2924" t="s">
        <v>954</v>
      </c>
      <c r="X2924" t="s">
        <v>106</v>
      </c>
      <c r="Y2924" t="s">
        <v>108</v>
      </c>
      <c r="Z2924" t="s">
        <v>108</v>
      </c>
      <c r="AA2924" t="s">
        <v>1113</v>
      </c>
      <c r="AB2924" t="s">
        <v>106</v>
      </c>
    </row>
    <row r="2925" spans="1:28" x14ac:dyDescent="0.3">
      <c r="A2925" t="s">
        <v>1313</v>
      </c>
      <c r="B2925">
        <v>3</v>
      </c>
      <c r="C2925">
        <v>35</v>
      </c>
      <c r="D2925">
        <v>88</v>
      </c>
      <c r="E2925" t="s">
        <v>1027</v>
      </c>
      <c r="F2925" s="12">
        <v>45747</v>
      </c>
      <c r="G2925" t="s">
        <v>592</v>
      </c>
      <c r="H2925" s="12">
        <v>45747</v>
      </c>
      <c r="I2925" t="s">
        <v>805</v>
      </c>
      <c r="J2925" t="s">
        <v>471</v>
      </c>
      <c r="K2925">
        <v>2</v>
      </c>
      <c r="L2925">
        <v>36.1</v>
      </c>
      <c r="M2925">
        <v>36.1</v>
      </c>
      <c r="P2925" t="s">
        <v>106</v>
      </c>
      <c r="Q2925" t="s">
        <v>106</v>
      </c>
      <c r="R2925" t="s">
        <v>106</v>
      </c>
      <c r="S2925" t="s">
        <v>988</v>
      </c>
      <c r="T2925" t="s">
        <v>1217</v>
      </c>
      <c r="U2925" t="s">
        <v>441</v>
      </c>
      <c r="V2925" t="s">
        <v>106</v>
      </c>
      <c r="W2925" t="s">
        <v>557</v>
      </c>
      <c r="X2925" t="s">
        <v>106</v>
      </c>
      <c r="Y2925" t="s">
        <v>108</v>
      </c>
      <c r="Z2925" t="s">
        <v>108</v>
      </c>
      <c r="AA2925" t="s">
        <v>966</v>
      </c>
      <c r="AB2925" t="s">
        <v>106</v>
      </c>
    </row>
    <row r="2926" spans="1:28" x14ac:dyDescent="0.3">
      <c r="A2926" t="s">
        <v>1313</v>
      </c>
      <c r="B2926">
        <v>3</v>
      </c>
      <c r="C2926">
        <v>35</v>
      </c>
      <c r="D2926">
        <v>87</v>
      </c>
      <c r="E2926" t="s">
        <v>1027</v>
      </c>
      <c r="F2926" s="12">
        <v>45747</v>
      </c>
      <c r="G2926" t="s">
        <v>139</v>
      </c>
      <c r="H2926" s="12">
        <v>45747</v>
      </c>
      <c r="I2926" t="s">
        <v>805</v>
      </c>
      <c r="J2926" t="s">
        <v>471</v>
      </c>
      <c r="K2926">
        <v>2</v>
      </c>
      <c r="L2926">
        <v>36</v>
      </c>
      <c r="M2926">
        <v>36</v>
      </c>
      <c r="P2926" t="s">
        <v>106</v>
      </c>
      <c r="Q2926" t="s">
        <v>106</v>
      </c>
      <c r="R2926" t="s">
        <v>106</v>
      </c>
      <c r="S2926" t="s">
        <v>1196</v>
      </c>
      <c r="T2926" t="s">
        <v>781</v>
      </c>
      <c r="U2926" t="s">
        <v>444</v>
      </c>
      <c r="V2926" t="s">
        <v>106</v>
      </c>
      <c r="W2926" t="s">
        <v>557</v>
      </c>
      <c r="X2926" t="s">
        <v>106</v>
      </c>
      <c r="Y2926" t="s">
        <v>108</v>
      </c>
      <c r="Z2926" t="s">
        <v>108</v>
      </c>
      <c r="AA2926" t="s">
        <v>966</v>
      </c>
      <c r="AB2926" t="s">
        <v>106</v>
      </c>
    </row>
    <row r="2927" spans="1:28" x14ac:dyDescent="0.3">
      <c r="A2927" t="s">
        <v>1313</v>
      </c>
      <c r="B2927">
        <v>4</v>
      </c>
      <c r="C2927">
        <v>60</v>
      </c>
      <c r="D2927">
        <v>106</v>
      </c>
      <c r="E2927" t="s">
        <v>1027</v>
      </c>
      <c r="F2927" s="12">
        <v>45747</v>
      </c>
      <c r="G2927" t="s">
        <v>1267</v>
      </c>
      <c r="H2927" s="12">
        <v>45747</v>
      </c>
      <c r="I2927" t="s">
        <v>371</v>
      </c>
      <c r="J2927" t="s">
        <v>477</v>
      </c>
      <c r="K2927">
        <v>2</v>
      </c>
      <c r="L2927">
        <v>60.3</v>
      </c>
      <c r="M2927">
        <v>60.5</v>
      </c>
      <c r="P2927" t="s">
        <v>106</v>
      </c>
      <c r="Q2927" t="s">
        <v>106</v>
      </c>
      <c r="R2927" t="s">
        <v>106</v>
      </c>
      <c r="S2927" t="s">
        <v>953</v>
      </c>
      <c r="T2927" t="s">
        <v>1242</v>
      </c>
      <c r="U2927" t="s">
        <v>360</v>
      </c>
      <c r="V2927" t="s">
        <v>106</v>
      </c>
      <c r="W2927" t="s">
        <v>954</v>
      </c>
      <c r="X2927" t="s">
        <v>106</v>
      </c>
      <c r="Y2927" t="s">
        <v>108</v>
      </c>
      <c r="Z2927" t="s">
        <v>104</v>
      </c>
      <c r="AA2927" t="s">
        <v>1253</v>
      </c>
      <c r="AB2927" t="s">
        <v>106</v>
      </c>
    </row>
    <row r="2928" spans="1:28" x14ac:dyDescent="0.3">
      <c r="A2928" t="s">
        <v>1313</v>
      </c>
      <c r="B2928">
        <v>4</v>
      </c>
      <c r="C2928">
        <v>60</v>
      </c>
      <c r="D2928">
        <v>78</v>
      </c>
      <c r="E2928" t="s">
        <v>1027</v>
      </c>
      <c r="F2928" s="12">
        <v>45747</v>
      </c>
      <c r="G2928" t="s">
        <v>1194</v>
      </c>
      <c r="H2928" s="12">
        <v>45747</v>
      </c>
      <c r="I2928" t="s">
        <v>1187</v>
      </c>
      <c r="J2928" t="s">
        <v>471</v>
      </c>
      <c r="K2928">
        <v>2</v>
      </c>
      <c r="L2928">
        <v>56.3</v>
      </c>
      <c r="M2928">
        <v>56.8</v>
      </c>
      <c r="P2928" t="s">
        <v>106</v>
      </c>
      <c r="Q2928" t="s">
        <v>106</v>
      </c>
      <c r="R2928" t="s">
        <v>106</v>
      </c>
      <c r="S2928" t="s">
        <v>1048</v>
      </c>
      <c r="T2928" t="s">
        <v>989</v>
      </c>
      <c r="U2928" t="s">
        <v>677</v>
      </c>
      <c r="V2928" t="s">
        <v>106</v>
      </c>
      <c r="W2928" t="s">
        <v>954</v>
      </c>
      <c r="X2928" t="s">
        <v>106</v>
      </c>
      <c r="Y2928" t="s">
        <v>108</v>
      </c>
      <c r="Z2928" t="s">
        <v>104</v>
      </c>
      <c r="AA2928" t="s">
        <v>966</v>
      </c>
      <c r="AB2928" t="s">
        <v>106</v>
      </c>
    </row>
    <row r="2929" spans="1:28" x14ac:dyDescent="0.3">
      <c r="A2929" t="s">
        <v>1313</v>
      </c>
      <c r="B2929">
        <v>4</v>
      </c>
      <c r="C2929">
        <v>60</v>
      </c>
      <c r="D2929">
        <v>83</v>
      </c>
      <c r="E2929" t="s">
        <v>1027</v>
      </c>
      <c r="F2929" s="12">
        <v>45747</v>
      </c>
      <c r="G2929" t="s">
        <v>1206</v>
      </c>
      <c r="H2929" s="12">
        <v>45747</v>
      </c>
      <c r="I2929" t="s">
        <v>704</v>
      </c>
      <c r="J2929" t="s">
        <v>471</v>
      </c>
      <c r="K2929">
        <v>2</v>
      </c>
      <c r="L2929">
        <v>55.6</v>
      </c>
      <c r="M2929">
        <v>55.7</v>
      </c>
      <c r="P2929" t="s">
        <v>106</v>
      </c>
      <c r="Q2929" t="s">
        <v>106</v>
      </c>
      <c r="R2929" t="s">
        <v>106</v>
      </c>
      <c r="S2929" t="s">
        <v>983</v>
      </c>
      <c r="T2929" t="s">
        <v>1208</v>
      </c>
      <c r="U2929" t="s">
        <v>144</v>
      </c>
      <c r="V2929" t="s">
        <v>106</v>
      </c>
      <c r="W2929" t="s">
        <v>954</v>
      </c>
      <c r="X2929" t="s">
        <v>106</v>
      </c>
      <c r="Y2929" t="s">
        <v>108</v>
      </c>
      <c r="Z2929" t="s">
        <v>104</v>
      </c>
      <c r="AA2929" t="s">
        <v>966</v>
      </c>
      <c r="AB2929" t="s">
        <v>106</v>
      </c>
    </row>
    <row r="2930" spans="1:28" x14ac:dyDescent="0.3">
      <c r="A2930" t="s">
        <v>1313</v>
      </c>
      <c r="B2930">
        <v>4</v>
      </c>
      <c r="C2930">
        <v>60</v>
      </c>
      <c r="D2930">
        <v>84</v>
      </c>
      <c r="E2930" t="s">
        <v>1027</v>
      </c>
      <c r="F2930" s="12">
        <v>45747</v>
      </c>
      <c r="G2930" t="s">
        <v>1210</v>
      </c>
      <c r="H2930" s="12">
        <v>45747</v>
      </c>
      <c r="I2930" t="s">
        <v>704</v>
      </c>
      <c r="J2930" t="s">
        <v>471</v>
      </c>
      <c r="K2930">
        <v>2</v>
      </c>
      <c r="L2930">
        <v>59.2</v>
      </c>
      <c r="M2930">
        <v>59.7</v>
      </c>
      <c r="P2930" t="s">
        <v>106</v>
      </c>
      <c r="Q2930" t="s">
        <v>106</v>
      </c>
      <c r="R2930" t="s">
        <v>106</v>
      </c>
      <c r="S2930" t="s">
        <v>1124</v>
      </c>
      <c r="T2930" t="s">
        <v>1158</v>
      </c>
      <c r="U2930" t="s">
        <v>433</v>
      </c>
      <c r="V2930" t="s">
        <v>106</v>
      </c>
      <c r="W2930" t="s">
        <v>954</v>
      </c>
      <c r="X2930" t="s">
        <v>106</v>
      </c>
      <c r="Y2930" t="s">
        <v>108</v>
      </c>
      <c r="Z2930" t="s">
        <v>104</v>
      </c>
      <c r="AA2930" t="s">
        <v>966</v>
      </c>
      <c r="AB2930" t="s">
        <v>106</v>
      </c>
    </row>
    <row r="2931" spans="1:28" x14ac:dyDescent="0.3">
      <c r="A2931" t="s">
        <v>1313</v>
      </c>
      <c r="B2931">
        <v>4</v>
      </c>
      <c r="C2931">
        <v>60</v>
      </c>
      <c r="D2931">
        <v>89</v>
      </c>
      <c r="E2931" t="s">
        <v>1027</v>
      </c>
      <c r="F2931" s="12">
        <v>45747</v>
      </c>
      <c r="G2931" t="s">
        <v>676</v>
      </c>
      <c r="H2931" s="12">
        <v>45747</v>
      </c>
      <c r="I2931" t="s">
        <v>805</v>
      </c>
      <c r="J2931" t="s">
        <v>471</v>
      </c>
      <c r="K2931">
        <v>2</v>
      </c>
      <c r="L2931">
        <v>62.3</v>
      </c>
      <c r="M2931">
        <v>62.8</v>
      </c>
      <c r="P2931" t="s">
        <v>106</v>
      </c>
      <c r="Q2931" t="s">
        <v>106</v>
      </c>
      <c r="R2931" t="s">
        <v>106</v>
      </c>
      <c r="S2931" t="s">
        <v>1220</v>
      </c>
      <c r="T2931" t="s">
        <v>747</v>
      </c>
      <c r="U2931" t="s">
        <v>136</v>
      </c>
      <c r="V2931" t="s">
        <v>106</v>
      </c>
      <c r="W2931" t="s">
        <v>557</v>
      </c>
      <c r="X2931" t="s">
        <v>106</v>
      </c>
      <c r="Y2931" t="s">
        <v>108</v>
      </c>
      <c r="Z2931" t="s">
        <v>104</v>
      </c>
      <c r="AA2931" t="s">
        <v>966</v>
      </c>
      <c r="AB2931" t="s">
        <v>106</v>
      </c>
    </row>
    <row r="2932" spans="1:28" x14ac:dyDescent="0.3">
      <c r="A2932" t="s">
        <v>1313</v>
      </c>
      <c r="B2932">
        <v>4</v>
      </c>
      <c r="C2932">
        <v>60</v>
      </c>
      <c r="D2932">
        <v>90</v>
      </c>
      <c r="E2932" t="s">
        <v>1027</v>
      </c>
      <c r="F2932" s="12">
        <v>45747</v>
      </c>
      <c r="G2932" t="s">
        <v>676</v>
      </c>
      <c r="H2932" s="12">
        <v>45747</v>
      </c>
      <c r="I2932" t="s">
        <v>805</v>
      </c>
      <c r="J2932" t="s">
        <v>471</v>
      </c>
      <c r="K2932">
        <v>2</v>
      </c>
      <c r="L2932">
        <v>59.5</v>
      </c>
      <c r="M2932">
        <v>59.5</v>
      </c>
      <c r="P2932" t="s">
        <v>106</v>
      </c>
      <c r="Q2932" t="s">
        <v>106</v>
      </c>
      <c r="R2932" t="s">
        <v>106</v>
      </c>
      <c r="S2932" t="s">
        <v>988</v>
      </c>
      <c r="T2932" t="s">
        <v>1223</v>
      </c>
      <c r="U2932" t="s">
        <v>677</v>
      </c>
      <c r="V2932" t="s">
        <v>106</v>
      </c>
      <c r="W2932" t="s">
        <v>557</v>
      </c>
      <c r="X2932" t="s">
        <v>106</v>
      </c>
      <c r="Y2932" t="s">
        <v>108</v>
      </c>
      <c r="Z2932" t="s">
        <v>104</v>
      </c>
      <c r="AA2932" t="s">
        <v>966</v>
      </c>
      <c r="AB2932" t="s">
        <v>106</v>
      </c>
    </row>
    <row r="2933" spans="1:28" x14ac:dyDescent="0.3">
      <c r="A2933" t="s">
        <v>1313</v>
      </c>
      <c r="B2933">
        <v>4</v>
      </c>
      <c r="C2933">
        <v>60</v>
      </c>
      <c r="D2933">
        <v>99</v>
      </c>
      <c r="E2933" t="s">
        <v>1027</v>
      </c>
      <c r="F2933" s="12">
        <v>45747</v>
      </c>
      <c r="G2933" t="s">
        <v>1250</v>
      </c>
      <c r="H2933" s="12">
        <v>45747</v>
      </c>
      <c r="I2933" t="s">
        <v>370</v>
      </c>
      <c r="J2933" t="s">
        <v>477</v>
      </c>
      <c r="K2933">
        <v>2</v>
      </c>
      <c r="L2933">
        <v>51.4</v>
      </c>
      <c r="M2933">
        <v>51.6</v>
      </c>
      <c r="P2933" t="s">
        <v>106</v>
      </c>
      <c r="Q2933" t="s">
        <v>106</v>
      </c>
      <c r="R2933" t="s">
        <v>106</v>
      </c>
      <c r="S2933" t="s">
        <v>1104</v>
      </c>
      <c r="T2933" t="s">
        <v>989</v>
      </c>
      <c r="U2933" t="s">
        <v>725</v>
      </c>
      <c r="V2933" t="s">
        <v>106</v>
      </c>
      <c r="W2933" t="s">
        <v>954</v>
      </c>
      <c r="X2933" t="s">
        <v>106</v>
      </c>
      <c r="Y2933" t="s">
        <v>108</v>
      </c>
      <c r="Z2933" t="s">
        <v>104</v>
      </c>
      <c r="AA2933" t="s">
        <v>1253</v>
      </c>
      <c r="AB2933" t="s">
        <v>1247</v>
      </c>
    </row>
    <row r="2934" spans="1:28" x14ac:dyDescent="0.3">
      <c r="A2934" t="s">
        <v>1313</v>
      </c>
      <c r="B2934">
        <v>4</v>
      </c>
      <c r="C2934">
        <v>60</v>
      </c>
      <c r="D2934">
        <v>100</v>
      </c>
      <c r="E2934" t="s">
        <v>1027</v>
      </c>
      <c r="F2934" s="12">
        <v>45747</v>
      </c>
      <c r="G2934" t="s">
        <v>1250</v>
      </c>
      <c r="H2934" s="12">
        <v>45747</v>
      </c>
      <c r="I2934" t="s">
        <v>370</v>
      </c>
      <c r="J2934" t="s">
        <v>477</v>
      </c>
      <c r="K2934">
        <v>2</v>
      </c>
      <c r="L2934">
        <v>56.9</v>
      </c>
      <c r="M2934">
        <v>57.3</v>
      </c>
      <c r="P2934" t="s">
        <v>106</v>
      </c>
      <c r="Q2934" t="s">
        <v>106</v>
      </c>
      <c r="R2934" t="s">
        <v>106</v>
      </c>
      <c r="S2934" t="s">
        <v>1144</v>
      </c>
      <c r="T2934" t="s">
        <v>1242</v>
      </c>
      <c r="U2934" t="s">
        <v>146</v>
      </c>
      <c r="V2934" t="s">
        <v>106</v>
      </c>
      <c r="W2934" t="s">
        <v>954</v>
      </c>
      <c r="X2934" t="s">
        <v>106</v>
      </c>
      <c r="Y2934" t="s">
        <v>108</v>
      </c>
      <c r="Z2934" t="s">
        <v>104</v>
      </c>
      <c r="AA2934" t="s">
        <v>1253</v>
      </c>
      <c r="AB2934" t="s">
        <v>1247</v>
      </c>
    </row>
    <row r="2935" spans="1:28" x14ac:dyDescent="0.3">
      <c r="A2935" t="s">
        <v>1313</v>
      </c>
      <c r="B2935">
        <v>4</v>
      </c>
      <c r="C2935">
        <v>60</v>
      </c>
      <c r="D2935">
        <v>105</v>
      </c>
      <c r="E2935" t="s">
        <v>1027</v>
      </c>
      <c r="F2935" s="12">
        <v>45747</v>
      </c>
      <c r="G2935" t="s">
        <v>1267</v>
      </c>
      <c r="H2935" s="12">
        <v>45747</v>
      </c>
      <c r="I2935" t="s">
        <v>371</v>
      </c>
      <c r="J2935" t="s">
        <v>477</v>
      </c>
      <c r="K2935">
        <v>2</v>
      </c>
      <c r="L2935">
        <v>58.6</v>
      </c>
      <c r="M2935">
        <v>59.3</v>
      </c>
      <c r="P2935" t="s">
        <v>106</v>
      </c>
      <c r="Q2935" t="s">
        <v>106</v>
      </c>
      <c r="R2935" t="s">
        <v>106</v>
      </c>
      <c r="S2935" t="s">
        <v>1269</v>
      </c>
      <c r="T2935" t="s">
        <v>984</v>
      </c>
      <c r="U2935" t="s">
        <v>426</v>
      </c>
      <c r="V2935" t="s">
        <v>106</v>
      </c>
      <c r="W2935" t="s">
        <v>954</v>
      </c>
      <c r="X2935" t="s">
        <v>106</v>
      </c>
      <c r="Y2935" t="s">
        <v>108</v>
      </c>
      <c r="Z2935" t="s">
        <v>104</v>
      </c>
      <c r="AA2935" t="s">
        <v>1253</v>
      </c>
      <c r="AB2935" t="s">
        <v>106</v>
      </c>
    </row>
    <row r="2936" spans="1:28" x14ac:dyDescent="0.3">
      <c r="A2936" t="s">
        <v>1313</v>
      </c>
      <c r="B2936">
        <v>4</v>
      </c>
      <c r="C2936">
        <v>60</v>
      </c>
      <c r="D2936">
        <v>77</v>
      </c>
      <c r="E2936" t="s">
        <v>1027</v>
      </c>
      <c r="F2936" s="12">
        <v>45747</v>
      </c>
      <c r="G2936" t="s">
        <v>470</v>
      </c>
      <c r="H2936" s="12">
        <v>45747</v>
      </c>
      <c r="I2936" t="s">
        <v>1187</v>
      </c>
      <c r="J2936" t="s">
        <v>471</v>
      </c>
      <c r="K2936">
        <v>2</v>
      </c>
      <c r="L2936">
        <v>59.4</v>
      </c>
      <c r="M2936">
        <v>59.4</v>
      </c>
      <c r="P2936" t="s">
        <v>106</v>
      </c>
      <c r="Q2936" t="s">
        <v>106</v>
      </c>
      <c r="R2936" t="s">
        <v>106</v>
      </c>
      <c r="S2936" t="s">
        <v>1130</v>
      </c>
      <c r="T2936" t="s">
        <v>776</v>
      </c>
      <c r="U2936" t="s">
        <v>136</v>
      </c>
      <c r="V2936" t="s">
        <v>106</v>
      </c>
      <c r="W2936" t="s">
        <v>954</v>
      </c>
      <c r="X2936" t="s">
        <v>106</v>
      </c>
      <c r="Y2936" t="s">
        <v>108</v>
      </c>
      <c r="Z2936" t="s">
        <v>104</v>
      </c>
      <c r="AA2936" t="s">
        <v>966</v>
      </c>
      <c r="AB2936" t="s">
        <v>106</v>
      </c>
    </row>
    <row r="2937" spans="1:28" x14ac:dyDescent="0.3">
      <c r="A2937" t="s">
        <v>1313</v>
      </c>
      <c r="B2937">
        <v>1</v>
      </c>
      <c r="C2937">
        <v>0</v>
      </c>
      <c r="D2937">
        <v>115</v>
      </c>
      <c r="E2937" t="s">
        <v>1027</v>
      </c>
      <c r="F2937" s="12">
        <v>45748</v>
      </c>
      <c r="G2937" t="s">
        <v>1289</v>
      </c>
      <c r="H2937" s="12">
        <v>45748</v>
      </c>
      <c r="I2937" t="s">
        <v>535</v>
      </c>
      <c r="J2937" t="s">
        <v>1290</v>
      </c>
      <c r="K2937">
        <v>2</v>
      </c>
      <c r="L2937">
        <v>0</v>
      </c>
      <c r="M2937">
        <v>0</v>
      </c>
      <c r="P2937" t="s">
        <v>106</v>
      </c>
      <c r="Q2937" t="s">
        <v>106</v>
      </c>
      <c r="R2937" t="s">
        <v>106</v>
      </c>
      <c r="S2937" t="s">
        <v>106</v>
      </c>
      <c r="T2937" t="s">
        <v>1291</v>
      </c>
      <c r="U2937" t="s">
        <v>106</v>
      </c>
      <c r="V2937" t="s">
        <v>106</v>
      </c>
      <c r="W2937" t="s">
        <v>443</v>
      </c>
      <c r="X2937" t="s">
        <v>106</v>
      </c>
      <c r="Y2937" t="s">
        <v>108</v>
      </c>
      <c r="Z2937" t="s">
        <v>105</v>
      </c>
      <c r="AA2937" t="s">
        <v>106</v>
      </c>
      <c r="AB2937" t="s">
        <v>106</v>
      </c>
    </row>
    <row r="2938" spans="1:28" x14ac:dyDescent="0.3">
      <c r="A2938" t="s">
        <v>1313</v>
      </c>
      <c r="B2938">
        <v>1</v>
      </c>
      <c r="C2938">
        <v>0</v>
      </c>
      <c r="D2938">
        <v>116</v>
      </c>
      <c r="E2938" t="s">
        <v>1027</v>
      </c>
      <c r="F2938" s="12">
        <v>45748</v>
      </c>
      <c r="G2938" t="s">
        <v>1289</v>
      </c>
      <c r="H2938" s="12">
        <v>45748</v>
      </c>
      <c r="I2938" t="s">
        <v>535</v>
      </c>
      <c r="J2938" t="s">
        <v>1290</v>
      </c>
      <c r="K2938">
        <v>2</v>
      </c>
      <c r="L2938">
        <v>0</v>
      </c>
      <c r="M2938">
        <v>0</v>
      </c>
      <c r="P2938" t="s">
        <v>106</v>
      </c>
      <c r="Q2938" t="s">
        <v>106</v>
      </c>
      <c r="R2938" t="s">
        <v>106</v>
      </c>
      <c r="S2938" t="s">
        <v>106</v>
      </c>
      <c r="T2938" t="s">
        <v>1120</v>
      </c>
      <c r="U2938" t="s">
        <v>147</v>
      </c>
      <c r="V2938" t="s">
        <v>106</v>
      </c>
      <c r="W2938" t="s">
        <v>443</v>
      </c>
      <c r="X2938" t="s">
        <v>106</v>
      </c>
      <c r="Y2938" t="s">
        <v>108</v>
      </c>
      <c r="Z2938" t="s">
        <v>105</v>
      </c>
      <c r="AA2938" t="s">
        <v>106</v>
      </c>
      <c r="AB2938" t="s">
        <v>106</v>
      </c>
    </row>
    <row r="2939" spans="1:28" x14ac:dyDescent="0.3">
      <c r="A2939" t="s">
        <v>1313</v>
      </c>
      <c r="B2939">
        <v>2</v>
      </c>
      <c r="C2939">
        <v>15</v>
      </c>
      <c r="D2939">
        <v>111</v>
      </c>
      <c r="E2939" t="s">
        <v>1027</v>
      </c>
      <c r="F2939" s="12">
        <v>45748</v>
      </c>
      <c r="G2939" t="s">
        <v>1283</v>
      </c>
      <c r="H2939" s="12">
        <v>45748</v>
      </c>
      <c r="I2939" t="s">
        <v>1277</v>
      </c>
      <c r="J2939" t="s">
        <v>471</v>
      </c>
      <c r="K2939">
        <v>2</v>
      </c>
      <c r="L2939">
        <v>17.100000000000001</v>
      </c>
      <c r="M2939">
        <v>17</v>
      </c>
      <c r="P2939" t="s">
        <v>106</v>
      </c>
      <c r="Q2939" t="s">
        <v>106</v>
      </c>
      <c r="R2939" t="s">
        <v>106</v>
      </c>
      <c r="S2939" t="s">
        <v>106</v>
      </c>
      <c r="T2939" t="s">
        <v>1145</v>
      </c>
      <c r="U2939" t="s">
        <v>106</v>
      </c>
      <c r="V2939" t="s">
        <v>106</v>
      </c>
      <c r="W2939" t="s">
        <v>443</v>
      </c>
      <c r="X2939" t="s">
        <v>106</v>
      </c>
      <c r="Y2939" t="s">
        <v>108</v>
      </c>
      <c r="Z2939" t="s">
        <v>109</v>
      </c>
      <c r="AA2939" t="s">
        <v>1253</v>
      </c>
      <c r="AB2939" t="s">
        <v>106</v>
      </c>
    </row>
    <row r="2940" spans="1:28" x14ac:dyDescent="0.3">
      <c r="A2940" t="s">
        <v>1313</v>
      </c>
      <c r="B2940">
        <v>2</v>
      </c>
      <c r="C2940">
        <v>15</v>
      </c>
      <c r="D2940">
        <v>112</v>
      </c>
      <c r="E2940" t="s">
        <v>1027</v>
      </c>
      <c r="F2940" s="12">
        <v>45748</v>
      </c>
      <c r="G2940" t="s">
        <v>717</v>
      </c>
      <c r="H2940" s="12">
        <v>45748</v>
      </c>
      <c r="I2940" t="s">
        <v>1277</v>
      </c>
      <c r="J2940" t="s">
        <v>471</v>
      </c>
      <c r="K2940">
        <v>2</v>
      </c>
      <c r="L2940">
        <v>17.2</v>
      </c>
      <c r="M2940">
        <v>17.5</v>
      </c>
      <c r="P2940" t="s">
        <v>106</v>
      </c>
      <c r="Q2940" t="s">
        <v>106</v>
      </c>
      <c r="R2940" t="s">
        <v>106</v>
      </c>
      <c r="S2940" t="s">
        <v>106</v>
      </c>
      <c r="T2940" t="s">
        <v>937</v>
      </c>
      <c r="U2940" t="s">
        <v>106</v>
      </c>
      <c r="V2940" t="s">
        <v>106</v>
      </c>
      <c r="W2940" t="s">
        <v>443</v>
      </c>
      <c r="X2940" t="s">
        <v>106</v>
      </c>
      <c r="Y2940" t="s">
        <v>108</v>
      </c>
      <c r="Z2940" t="s">
        <v>109</v>
      </c>
      <c r="AA2940" t="s">
        <v>1253</v>
      </c>
      <c r="AB2940" t="s">
        <v>106</v>
      </c>
    </row>
    <row r="2941" spans="1:28" x14ac:dyDescent="0.3">
      <c r="A2941" t="s">
        <v>1313</v>
      </c>
      <c r="B2941">
        <v>2</v>
      </c>
      <c r="C2941">
        <v>15</v>
      </c>
      <c r="D2941">
        <v>118</v>
      </c>
      <c r="E2941" t="s">
        <v>1027</v>
      </c>
      <c r="F2941" s="12">
        <v>45748</v>
      </c>
      <c r="G2941" t="s">
        <v>755</v>
      </c>
      <c r="H2941" s="12">
        <v>45748</v>
      </c>
      <c r="I2941" t="s">
        <v>535</v>
      </c>
      <c r="J2941" t="s">
        <v>1290</v>
      </c>
      <c r="K2941">
        <v>2</v>
      </c>
      <c r="L2941">
        <v>17.7</v>
      </c>
      <c r="M2941">
        <v>17.7</v>
      </c>
      <c r="P2941" t="s">
        <v>106</v>
      </c>
      <c r="Q2941" t="s">
        <v>106</v>
      </c>
      <c r="R2941" t="s">
        <v>106</v>
      </c>
      <c r="S2941" t="s">
        <v>106</v>
      </c>
      <c r="T2941" t="s">
        <v>996</v>
      </c>
      <c r="U2941" t="s">
        <v>997</v>
      </c>
      <c r="V2941" t="s">
        <v>106</v>
      </c>
      <c r="W2941" t="s">
        <v>443</v>
      </c>
      <c r="X2941" t="s">
        <v>106</v>
      </c>
      <c r="Y2941" t="s">
        <v>108</v>
      </c>
      <c r="Z2941" t="s">
        <v>109</v>
      </c>
      <c r="AA2941" t="s">
        <v>106</v>
      </c>
      <c r="AB2941" t="s">
        <v>106</v>
      </c>
    </row>
    <row r="2942" spans="1:28" x14ac:dyDescent="0.3">
      <c r="A2942" t="s">
        <v>1313</v>
      </c>
      <c r="B2942">
        <v>2</v>
      </c>
      <c r="C2942">
        <v>15</v>
      </c>
      <c r="D2942">
        <v>117</v>
      </c>
      <c r="E2942" t="s">
        <v>1027</v>
      </c>
      <c r="F2942" s="12">
        <v>45748</v>
      </c>
      <c r="G2942" t="s">
        <v>755</v>
      </c>
      <c r="H2942" s="12">
        <v>45748</v>
      </c>
      <c r="I2942" t="s">
        <v>535</v>
      </c>
      <c r="J2942" t="s">
        <v>1290</v>
      </c>
      <c r="K2942">
        <v>2</v>
      </c>
      <c r="L2942">
        <v>14.4</v>
      </c>
      <c r="M2942">
        <v>14.4</v>
      </c>
      <c r="P2942" t="s">
        <v>106</v>
      </c>
      <c r="Q2942" t="s">
        <v>106</v>
      </c>
      <c r="R2942" t="s">
        <v>106</v>
      </c>
      <c r="S2942" t="s">
        <v>106</v>
      </c>
      <c r="T2942" t="s">
        <v>1208</v>
      </c>
      <c r="U2942" t="s">
        <v>997</v>
      </c>
      <c r="V2942" t="s">
        <v>106</v>
      </c>
      <c r="W2942" t="s">
        <v>443</v>
      </c>
      <c r="X2942" t="s">
        <v>106</v>
      </c>
      <c r="Y2942" t="s">
        <v>108</v>
      </c>
      <c r="Z2942" t="s">
        <v>109</v>
      </c>
      <c r="AA2942" t="s">
        <v>106</v>
      </c>
      <c r="AB2942" t="s">
        <v>106</v>
      </c>
    </row>
    <row r="2943" spans="1:28" x14ac:dyDescent="0.3">
      <c r="A2943" t="s">
        <v>1313</v>
      </c>
      <c r="B2943">
        <v>3</v>
      </c>
      <c r="C2943">
        <v>35</v>
      </c>
      <c r="D2943">
        <v>114</v>
      </c>
      <c r="E2943" t="s">
        <v>1027</v>
      </c>
      <c r="F2943" s="12">
        <v>45748</v>
      </c>
      <c r="G2943" t="s">
        <v>1286</v>
      </c>
      <c r="H2943" s="12">
        <v>45748</v>
      </c>
      <c r="I2943" t="s">
        <v>1277</v>
      </c>
      <c r="J2943" t="s">
        <v>471</v>
      </c>
      <c r="K2943">
        <v>2</v>
      </c>
      <c r="L2943">
        <v>38.200000000000003</v>
      </c>
      <c r="M2943">
        <v>38.299999999999997</v>
      </c>
      <c r="P2943" t="s">
        <v>106</v>
      </c>
      <c r="Q2943" t="s">
        <v>106</v>
      </c>
      <c r="R2943" t="s">
        <v>106</v>
      </c>
      <c r="S2943" t="s">
        <v>106</v>
      </c>
      <c r="T2943" t="s">
        <v>1287</v>
      </c>
      <c r="U2943" t="s">
        <v>106</v>
      </c>
      <c r="V2943" t="s">
        <v>106</v>
      </c>
      <c r="W2943" t="s">
        <v>443</v>
      </c>
      <c r="X2943" t="s">
        <v>106</v>
      </c>
      <c r="Y2943" t="s">
        <v>108</v>
      </c>
      <c r="Z2943" t="s">
        <v>108</v>
      </c>
      <c r="AA2943" t="s">
        <v>1253</v>
      </c>
      <c r="AB2943" t="s">
        <v>106</v>
      </c>
    </row>
    <row r="2944" spans="1:28" x14ac:dyDescent="0.3">
      <c r="A2944" t="s">
        <v>1313</v>
      </c>
      <c r="B2944">
        <v>3</v>
      </c>
      <c r="C2944">
        <v>35</v>
      </c>
      <c r="D2944">
        <v>120</v>
      </c>
      <c r="E2944" t="s">
        <v>1027</v>
      </c>
      <c r="F2944" s="12">
        <v>45748</v>
      </c>
      <c r="G2944" t="s">
        <v>501</v>
      </c>
      <c r="H2944" s="12">
        <v>45748</v>
      </c>
      <c r="I2944" t="s">
        <v>535</v>
      </c>
      <c r="J2944" t="s">
        <v>1290</v>
      </c>
      <c r="K2944">
        <v>2</v>
      </c>
      <c r="L2944">
        <v>38.6</v>
      </c>
      <c r="M2944">
        <v>38.6</v>
      </c>
      <c r="P2944" t="s">
        <v>106</v>
      </c>
      <c r="Q2944" t="s">
        <v>106</v>
      </c>
      <c r="R2944" t="s">
        <v>106</v>
      </c>
      <c r="S2944" t="s">
        <v>106</v>
      </c>
      <c r="T2944" t="s">
        <v>996</v>
      </c>
      <c r="U2944" t="s">
        <v>725</v>
      </c>
      <c r="V2944" t="s">
        <v>106</v>
      </c>
      <c r="W2944" t="s">
        <v>443</v>
      </c>
      <c r="X2944" t="s">
        <v>106</v>
      </c>
      <c r="Y2944" t="s">
        <v>108</v>
      </c>
      <c r="Z2944" t="s">
        <v>108</v>
      </c>
      <c r="AA2944" t="s">
        <v>106</v>
      </c>
      <c r="AB2944" t="s">
        <v>106</v>
      </c>
    </row>
    <row r="2945" spans="1:28" x14ac:dyDescent="0.3">
      <c r="A2945" t="s">
        <v>1313</v>
      </c>
      <c r="B2945">
        <v>3</v>
      </c>
      <c r="C2945">
        <v>35</v>
      </c>
      <c r="D2945">
        <v>119</v>
      </c>
      <c r="E2945" t="s">
        <v>1027</v>
      </c>
      <c r="F2945" s="12">
        <v>45748</v>
      </c>
      <c r="G2945" t="s">
        <v>885</v>
      </c>
      <c r="H2945" s="12">
        <v>45748</v>
      </c>
      <c r="I2945" t="s">
        <v>535</v>
      </c>
      <c r="J2945" t="s">
        <v>1290</v>
      </c>
      <c r="K2945">
        <v>2</v>
      </c>
      <c r="L2945">
        <v>38.5</v>
      </c>
      <c r="M2945">
        <v>38.299999999999997</v>
      </c>
      <c r="P2945" t="s">
        <v>106</v>
      </c>
      <c r="Q2945" t="s">
        <v>106</v>
      </c>
      <c r="R2945" t="s">
        <v>106</v>
      </c>
      <c r="S2945" t="s">
        <v>106</v>
      </c>
      <c r="T2945" t="s">
        <v>996</v>
      </c>
      <c r="U2945" t="s">
        <v>426</v>
      </c>
      <c r="V2945" t="s">
        <v>106</v>
      </c>
      <c r="W2945" t="s">
        <v>443</v>
      </c>
      <c r="X2945" t="s">
        <v>106</v>
      </c>
      <c r="Y2945" t="s">
        <v>108</v>
      </c>
      <c r="Z2945" t="s">
        <v>108</v>
      </c>
      <c r="AA2945" t="s">
        <v>106</v>
      </c>
      <c r="AB2945" t="s">
        <v>106</v>
      </c>
    </row>
    <row r="2946" spans="1:28" x14ac:dyDescent="0.3">
      <c r="A2946" t="s">
        <v>1313</v>
      </c>
      <c r="B2946">
        <v>3</v>
      </c>
      <c r="C2946">
        <v>35</v>
      </c>
      <c r="D2946">
        <v>113</v>
      </c>
      <c r="E2946" t="s">
        <v>1027</v>
      </c>
      <c r="F2946" s="12">
        <v>45748</v>
      </c>
      <c r="G2946" t="s">
        <v>717</v>
      </c>
      <c r="H2946" s="12">
        <v>45748</v>
      </c>
      <c r="I2946" t="s">
        <v>1277</v>
      </c>
      <c r="J2946" t="s">
        <v>471</v>
      </c>
      <c r="K2946">
        <v>2</v>
      </c>
      <c r="L2946">
        <v>38.4</v>
      </c>
      <c r="M2946">
        <v>38.5</v>
      </c>
      <c r="P2946" t="s">
        <v>106</v>
      </c>
      <c r="Q2946" t="s">
        <v>106</v>
      </c>
      <c r="R2946" t="s">
        <v>106</v>
      </c>
      <c r="S2946" t="s">
        <v>106</v>
      </c>
      <c r="T2946" t="s">
        <v>1101</v>
      </c>
      <c r="U2946" t="s">
        <v>106</v>
      </c>
      <c r="V2946" t="s">
        <v>106</v>
      </c>
      <c r="W2946" t="s">
        <v>443</v>
      </c>
      <c r="X2946" t="s">
        <v>106</v>
      </c>
      <c r="Y2946" t="s">
        <v>108</v>
      </c>
      <c r="Z2946" t="s">
        <v>108</v>
      </c>
      <c r="AA2946" t="s">
        <v>1253</v>
      </c>
      <c r="AB2946" t="s">
        <v>106</v>
      </c>
    </row>
    <row r="2947" spans="1:28" x14ac:dyDescent="0.3">
      <c r="A2947" t="s">
        <v>1313</v>
      </c>
      <c r="B2947">
        <v>4</v>
      </c>
      <c r="C2947">
        <v>60</v>
      </c>
      <c r="D2947">
        <v>109</v>
      </c>
      <c r="E2947" t="s">
        <v>1027</v>
      </c>
      <c r="F2947" s="12">
        <v>45748</v>
      </c>
      <c r="G2947" t="s">
        <v>547</v>
      </c>
      <c r="H2947" s="12">
        <v>45748</v>
      </c>
      <c r="I2947" t="s">
        <v>1277</v>
      </c>
      <c r="J2947" t="s">
        <v>471</v>
      </c>
      <c r="K2947">
        <v>2</v>
      </c>
      <c r="L2947">
        <v>63.6</v>
      </c>
      <c r="M2947">
        <v>63.5</v>
      </c>
      <c r="P2947" t="s">
        <v>106</v>
      </c>
      <c r="Q2947" t="s">
        <v>106</v>
      </c>
      <c r="R2947" t="s">
        <v>106</v>
      </c>
      <c r="S2947" t="s">
        <v>106</v>
      </c>
      <c r="T2947" t="s">
        <v>1280</v>
      </c>
      <c r="U2947" t="s">
        <v>106</v>
      </c>
      <c r="V2947" t="s">
        <v>106</v>
      </c>
      <c r="W2947" t="s">
        <v>443</v>
      </c>
      <c r="X2947" t="s">
        <v>106</v>
      </c>
      <c r="Y2947" t="s">
        <v>108</v>
      </c>
      <c r="Z2947" t="s">
        <v>104</v>
      </c>
      <c r="AA2947" t="s">
        <v>1253</v>
      </c>
      <c r="AB2947" t="s">
        <v>106</v>
      </c>
    </row>
    <row r="2948" spans="1:28" x14ac:dyDescent="0.3">
      <c r="A2948" t="s">
        <v>1313</v>
      </c>
      <c r="B2948">
        <v>4</v>
      </c>
      <c r="C2948">
        <v>60</v>
      </c>
      <c r="D2948">
        <v>110</v>
      </c>
      <c r="E2948" t="s">
        <v>1027</v>
      </c>
      <c r="F2948" s="12">
        <v>45748</v>
      </c>
      <c r="G2948" t="s">
        <v>547</v>
      </c>
      <c r="H2948" s="12">
        <v>45748</v>
      </c>
      <c r="I2948" t="s">
        <v>1277</v>
      </c>
      <c r="J2948" t="s">
        <v>471</v>
      </c>
      <c r="K2948">
        <v>2</v>
      </c>
      <c r="L2948">
        <v>62.5</v>
      </c>
      <c r="M2948">
        <v>63.1</v>
      </c>
      <c r="P2948" t="s">
        <v>106</v>
      </c>
      <c r="Q2948" t="s">
        <v>106</v>
      </c>
      <c r="R2948" t="s">
        <v>106</v>
      </c>
      <c r="S2948" t="s">
        <v>106</v>
      </c>
      <c r="T2948" t="s">
        <v>993</v>
      </c>
      <c r="U2948" t="s">
        <v>106</v>
      </c>
      <c r="V2948" t="s">
        <v>106</v>
      </c>
      <c r="W2948" t="s">
        <v>443</v>
      </c>
      <c r="X2948" t="s">
        <v>106</v>
      </c>
      <c r="Y2948" t="s">
        <v>108</v>
      </c>
      <c r="Z2948" t="s">
        <v>104</v>
      </c>
      <c r="AA2948" t="s">
        <v>1253</v>
      </c>
      <c r="AB2948" t="s">
        <v>106</v>
      </c>
    </row>
    <row r="2949" spans="1:28" x14ac:dyDescent="0.3">
      <c r="A2949" t="s">
        <v>1313</v>
      </c>
      <c r="B2949">
        <v>4</v>
      </c>
      <c r="C2949">
        <v>60</v>
      </c>
      <c r="D2949">
        <v>122</v>
      </c>
      <c r="E2949" t="s">
        <v>1027</v>
      </c>
      <c r="F2949" s="12">
        <v>45748</v>
      </c>
      <c r="G2949" t="s">
        <v>876</v>
      </c>
      <c r="H2949" s="12">
        <v>45748</v>
      </c>
      <c r="I2949" t="s">
        <v>535</v>
      </c>
      <c r="J2949" t="s">
        <v>1290</v>
      </c>
      <c r="K2949">
        <v>2</v>
      </c>
      <c r="L2949">
        <v>55.6</v>
      </c>
      <c r="M2949">
        <v>55.7</v>
      </c>
      <c r="P2949" t="s">
        <v>106</v>
      </c>
      <c r="Q2949" t="s">
        <v>106</v>
      </c>
      <c r="R2949" t="s">
        <v>106</v>
      </c>
      <c r="S2949" t="s">
        <v>106</v>
      </c>
      <c r="T2949" t="s">
        <v>1074</v>
      </c>
      <c r="U2949" t="s">
        <v>719</v>
      </c>
      <c r="V2949" t="s">
        <v>106</v>
      </c>
      <c r="W2949" t="s">
        <v>443</v>
      </c>
      <c r="X2949" t="s">
        <v>106</v>
      </c>
      <c r="Y2949" t="s">
        <v>108</v>
      </c>
      <c r="Z2949" t="s">
        <v>104</v>
      </c>
      <c r="AA2949" t="s">
        <v>106</v>
      </c>
      <c r="AB2949" t="s">
        <v>106</v>
      </c>
    </row>
    <row r="2950" spans="1:28" x14ac:dyDescent="0.3">
      <c r="A2950" t="s">
        <v>1313</v>
      </c>
      <c r="B2950">
        <v>4</v>
      </c>
      <c r="C2950">
        <v>60</v>
      </c>
      <c r="D2950">
        <v>123</v>
      </c>
      <c r="E2950" t="s">
        <v>1027</v>
      </c>
      <c r="F2950" s="12">
        <v>45748</v>
      </c>
      <c r="G2950" t="s">
        <v>876</v>
      </c>
      <c r="H2950" s="12">
        <v>45748</v>
      </c>
      <c r="I2950" t="s">
        <v>535</v>
      </c>
      <c r="J2950" t="s">
        <v>1290</v>
      </c>
      <c r="K2950">
        <v>2</v>
      </c>
      <c r="L2950">
        <v>59.7</v>
      </c>
      <c r="M2950">
        <v>60</v>
      </c>
      <c r="P2950" t="s">
        <v>106</v>
      </c>
      <c r="Q2950" t="s">
        <v>106</v>
      </c>
      <c r="R2950" t="s">
        <v>106</v>
      </c>
      <c r="S2950" t="s">
        <v>106</v>
      </c>
      <c r="T2950" t="s">
        <v>1057</v>
      </c>
      <c r="U2950" t="s">
        <v>106</v>
      </c>
      <c r="V2950" t="s">
        <v>106</v>
      </c>
      <c r="W2950" t="s">
        <v>443</v>
      </c>
      <c r="X2950" t="s">
        <v>106</v>
      </c>
      <c r="Y2950" t="s">
        <v>108</v>
      </c>
      <c r="Z2950" t="s">
        <v>104</v>
      </c>
      <c r="AA2950" t="s">
        <v>106</v>
      </c>
      <c r="AB2950" t="s">
        <v>106</v>
      </c>
    </row>
    <row r="2951" spans="1:28" x14ac:dyDescent="0.3">
      <c r="A2951" t="s">
        <v>1313</v>
      </c>
      <c r="B2951">
        <v>4</v>
      </c>
      <c r="C2951">
        <v>60</v>
      </c>
      <c r="D2951">
        <v>121</v>
      </c>
      <c r="E2951" t="s">
        <v>1027</v>
      </c>
      <c r="F2951" s="12">
        <v>45748</v>
      </c>
      <c r="G2951" t="s">
        <v>876</v>
      </c>
      <c r="H2951" s="12">
        <v>45748</v>
      </c>
      <c r="I2951" t="s">
        <v>535</v>
      </c>
      <c r="J2951" t="s">
        <v>1290</v>
      </c>
      <c r="K2951">
        <v>2</v>
      </c>
      <c r="L2951">
        <v>55.6</v>
      </c>
      <c r="M2951">
        <v>55.7</v>
      </c>
      <c r="P2951" t="s">
        <v>106</v>
      </c>
      <c r="Q2951" t="s">
        <v>106</v>
      </c>
      <c r="R2951" t="s">
        <v>106</v>
      </c>
      <c r="S2951" t="s">
        <v>106</v>
      </c>
      <c r="T2951" t="s">
        <v>1074</v>
      </c>
      <c r="U2951" t="s">
        <v>725</v>
      </c>
      <c r="V2951" t="s">
        <v>106</v>
      </c>
      <c r="W2951" t="s">
        <v>443</v>
      </c>
      <c r="X2951" t="s">
        <v>106</v>
      </c>
      <c r="Y2951" t="s">
        <v>108</v>
      </c>
      <c r="Z2951" t="s">
        <v>104</v>
      </c>
      <c r="AA2951" t="s">
        <v>106</v>
      </c>
      <c r="AB2951" t="s">
        <v>106</v>
      </c>
    </row>
    <row r="2952" spans="1:28" x14ac:dyDescent="0.3">
      <c r="A2952" t="s">
        <v>1635</v>
      </c>
      <c r="B2952">
        <v>2</v>
      </c>
      <c r="C2952">
        <v>15</v>
      </c>
      <c r="D2952">
        <v>20</v>
      </c>
      <c r="E2952" t="s">
        <v>308</v>
      </c>
      <c r="F2952" s="12" t="s">
        <v>2278</v>
      </c>
      <c r="G2952" t="s">
        <v>2111</v>
      </c>
      <c r="H2952" s="12">
        <v>45740</v>
      </c>
      <c r="I2952" t="s">
        <v>106</v>
      </c>
      <c r="J2952" t="s">
        <v>106</v>
      </c>
      <c r="L2952">
        <v>15.5</v>
      </c>
      <c r="M2952">
        <v>15.3</v>
      </c>
      <c r="P2952" t="s">
        <v>106</v>
      </c>
      <c r="Q2952" t="s">
        <v>106</v>
      </c>
      <c r="R2952" t="s">
        <v>106</v>
      </c>
      <c r="S2952" t="s">
        <v>106</v>
      </c>
      <c r="T2952" t="s">
        <v>1217</v>
      </c>
      <c r="U2952" t="s">
        <v>1411</v>
      </c>
      <c r="V2952" t="s">
        <v>106</v>
      </c>
      <c r="W2952" t="s">
        <v>954</v>
      </c>
      <c r="X2952" t="s">
        <v>106</v>
      </c>
      <c r="Y2952" t="s">
        <v>108</v>
      </c>
      <c r="Z2952" t="s">
        <v>109</v>
      </c>
      <c r="AA2952" t="s">
        <v>1652</v>
      </c>
      <c r="AB2952" t="s">
        <v>106</v>
      </c>
    </row>
    <row r="2953" spans="1:28" x14ac:dyDescent="0.3">
      <c r="A2953" t="s">
        <v>1635</v>
      </c>
      <c r="B2953">
        <v>2</v>
      </c>
      <c r="C2953">
        <v>15</v>
      </c>
      <c r="D2953">
        <v>19</v>
      </c>
      <c r="E2953" t="s">
        <v>308</v>
      </c>
      <c r="F2953" s="12" t="s">
        <v>2278</v>
      </c>
      <c r="G2953" t="s">
        <v>1693</v>
      </c>
      <c r="H2953" s="12">
        <v>45740</v>
      </c>
      <c r="I2953" t="s">
        <v>106</v>
      </c>
      <c r="J2953" t="s">
        <v>106</v>
      </c>
      <c r="L2953">
        <v>16.3</v>
      </c>
      <c r="M2953">
        <v>16.3</v>
      </c>
      <c r="P2953" t="s">
        <v>106</v>
      </c>
      <c r="Q2953" t="s">
        <v>106</v>
      </c>
      <c r="R2953" t="s">
        <v>106</v>
      </c>
      <c r="S2953" t="s">
        <v>106</v>
      </c>
      <c r="T2953" t="s">
        <v>940</v>
      </c>
      <c r="U2953" t="s">
        <v>1418</v>
      </c>
      <c r="V2953" t="s">
        <v>106</v>
      </c>
      <c r="W2953" t="s">
        <v>954</v>
      </c>
      <c r="X2953" t="s">
        <v>106</v>
      </c>
      <c r="Y2953" t="s">
        <v>108</v>
      </c>
      <c r="Z2953" t="s">
        <v>109</v>
      </c>
      <c r="AA2953" t="s">
        <v>1652</v>
      </c>
      <c r="AB2953" t="s">
        <v>106</v>
      </c>
    </row>
    <row r="2954" spans="1:28" x14ac:dyDescent="0.3">
      <c r="A2954" t="s">
        <v>1512</v>
      </c>
      <c r="B2954">
        <v>1</v>
      </c>
      <c r="C2954">
        <v>0</v>
      </c>
      <c r="D2954">
        <v>57</v>
      </c>
      <c r="E2954" t="s">
        <v>456</v>
      </c>
      <c r="F2954" s="12" t="s">
        <v>1662</v>
      </c>
      <c r="G2954" t="s">
        <v>1031</v>
      </c>
      <c r="H2954" s="12">
        <v>45677</v>
      </c>
      <c r="I2954" t="s">
        <v>1663</v>
      </c>
      <c r="J2954" t="s">
        <v>1363</v>
      </c>
      <c r="L2954">
        <v>0</v>
      </c>
      <c r="P2954" t="s">
        <v>106</v>
      </c>
      <c r="Q2954" t="s">
        <v>106</v>
      </c>
      <c r="R2954" t="s">
        <v>106</v>
      </c>
      <c r="S2954" t="s">
        <v>1664</v>
      </c>
      <c r="T2954" t="s">
        <v>942</v>
      </c>
      <c r="U2954" t="s">
        <v>106</v>
      </c>
      <c r="V2954" t="s">
        <v>106</v>
      </c>
      <c r="W2954" t="s">
        <v>557</v>
      </c>
      <c r="X2954" t="s">
        <v>106</v>
      </c>
      <c r="Y2954" t="s">
        <v>108</v>
      </c>
      <c r="Z2954" t="s">
        <v>105</v>
      </c>
      <c r="AA2954" t="s">
        <v>106</v>
      </c>
      <c r="AB2954" t="s">
        <v>106</v>
      </c>
    </row>
    <row r="2955" spans="1:28" x14ac:dyDescent="0.3">
      <c r="A2955" t="s">
        <v>1512</v>
      </c>
      <c r="B2955">
        <v>1</v>
      </c>
      <c r="C2955">
        <v>0</v>
      </c>
      <c r="D2955">
        <v>56</v>
      </c>
      <c r="E2955" t="s">
        <v>456</v>
      </c>
      <c r="F2955" s="12" t="s">
        <v>1662</v>
      </c>
      <c r="G2955" t="s">
        <v>1031</v>
      </c>
      <c r="H2955" s="12">
        <v>45677</v>
      </c>
      <c r="I2955" t="s">
        <v>1663</v>
      </c>
      <c r="J2955" t="s">
        <v>1363</v>
      </c>
      <c r="L2955">
        <v>0</v>
      </c>
      <c r="P2955" t="s">
        <v>106</v>
      </c>
      <c r="Q2955" t="s">
        <v>106</v>
      </c>
      <c r="R2955" t="s">
        <v>106</v>
      </c>
      <c r="S2955" t="s">
        <v>106</v>
      </c>
      <c r="T2955" t="s">
        <v>1530</v>
      </c>
      <c r="U2955" t="s">
        <v>106</v>
      </c>
      <c r="V2955" t="s">
        <v>106</v>
      </c>
      <c r="W2955" t="s">
        <v>557</v>
      </c>
      <c r="X2955" t="s">
        <v>106</v>
      </c>
      <c r="Y2955" t="s">
        <v>108</v>
      </c>
      <c r="Z2955" t="s">
        <v>105</v>
      </c>
      <c r="AA2955" t="s">
        <v>106</v>
      </c>
      <c r="AB2955" t="s">
        <v>106</v>
      </c>
    </row>
    <row r="2956" spans="1:28" x14ac:dyDescent="0.3">
      <c r="A2956" t="s">
        <v>1512</v>
      </c>
      <c r="B2956">
        <v>4</v>
      </c>
      <c r="C2956">
        <v>60</v>
      </c>
      <c r="D2956">
        <v>55</v>
      </c>
      <c r="E2956" t="s">
        <v>456</v>
      </c>
      <c r="F2956" s="12" t="s">
        <v>1662</v>
      </c>
      <c r="G2956" t="s">
        <v>1286</v>
      </c>
      <c r="H2956" s="12">
        <v>45677</v>
      </c>
      <c r="I2956" t="s">
        <v>1663</v>
      </c>
      <c r="J2956" t="s">
        <v>1363</v>
      </c>
      <c r="L2956">
        <v>62.1</v>
      </c>
      <c r="P2956" t="s">
        <v>106</v>
      </c>
      <c r="Q2956" t="s">
        <v>106</v>
      </c>
      <c r="R2956" t="s">
        <v>106</v>
      </c>
      <c r="S2956" t="s">
        <v>106</v>
      </c>
      <c r="T2956" t="s">
        <v>1155</v>
      </c>
      <c r="U2956" t="s">
        <v>1410</v>
      </c>
      <c r="V2956" t="s">
        <v>106</v>
      </c>
      <c r="W2956" t="s">
        <v>557</v>
      </c>
      <c r="X2956" t="s">
        <v>106</v>
      </c>
      <c r="Y2956" t="s">
        <v>108</v>
      </c>
      <c r="Z2956" t="s">
        <v>104</v>
      </c>
      <c r="AA2956" t="s">
        <v>106</v>
      </c>
      <c r="AB2956" t="s">
        <v>106</v>
      </c>
    </row>
    <row r="2957" spans="1:28" x14ac:dyDescent="0.3">
      <c r="A2957" t="s">
        <v>1512</v>
      </c>
      <c r="B2957">
        <v>4</v>
      </c>
      <c r="C2957">
        <v>60</v>
      </c>
      <c r="D2957">
        <v>54</v>
      </c>
      <c r="E2957" t="s">
        <v>456</v>
      </c>
      <c r="F2957" s="12" t="s">
        <v>1662</v>
      </c>
      <c r="G2957" t="s">
        <v>717</v>
      </c>
      <c r="H2957" s="12">
        <v>45677</v>
      </c>
      <c r="I2957" t="s">
        <v>1663</v>
      </c>
      <c r="J2957" t="s">
        <v>1363</v>
      </c>
      <c r="L2957">
        <v>60.6</v>
      </c>
      <c r="P2957" t="s">
        <v>106</v>
      </c>
      <c r="Q2957" t="s">
        <v>106</v>
      </c>
      <c r="R2957" t="s">
        <v>106</v>
      </c>
      <c r="S2957" t="s">
        <v>1933</v>
      </c>
      <c r="T2957" t="s">
        <v>1125</v>
      </c>
      <c r="U2957" t="s">
        <v>430</v>
      </c>
      <c r="V2957" t="s">
        <v>106</v>
      </c>
      <c r="W2957" t="s">
        <v>557</v>
      </c>
      <c r="X2957" t="s">
        <v>106</v>
      </c>
      <c r="Y2957" t="s">
        <v>108</v>
      </c>
      <c r="Z2957" t="s">
        <v>104</v>
      </c>
      <c r="AA2957" t="s">
        <v>106</v>
      </c>
      <c r="AB2957" t="s">
        <v>106</v>
      </c>
    </row>
  </sheetData>
  <phoneticPr fontId="1" type="noConversion"/>
  <conditionalFormatting sqref="C1:C1048576">
    <cfRule type="expression" dxfId="0" priority="1">
      <formula>ISNUMBER(_xlfn.SINGLE(C:C))</formula>
    </cfRule>
  </conditionalFormatting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9C76-DE22-46FE-B6C8-4701C18F0662}">
  <dimension ref="A1:CZ208"/>
  <sheetViews>
    <sheetView topLeftCell="B1" workbookViewId="0">
      <selection activeCell="F14" sqref="F14"/>
    </sheetView>
  </sheetViews>
  <sheetFormatPr defaultRowHeight="14.4" x14ac:dyDescent="0.3"/>
  <cols>
    <col min="1" max="1" width="10.77734375" bestFit="1" customWidth="1"/>
    <col min="2" max="2" width="23.21875" bestFit="1" customWidth="1"/>
    <col min="3" max="3" width="20" bestFit="1" customWidth="1"/>
    <col min="4" max="4" width="16.109375" bestFit="1" customWidth="1"/>
    <col min="5" max="5" width="15.77734375" bestFit="1" customWidth="1"/>
    <col min="6" max="6" width="15.6640625" bestFit="1" customWidth="1"/>
    <col min="7" max="7" width="16.77734375" bestFit="1" customWidth="1"/>
    <col min="8" max="8" width="15.5546875" bestFit="1" customWidth="1"/>
    <col min="9" max="9" width="12.33203125" bestFit="1" customWidth="1"/>
    <col min="10" max="10" width="15.77734375" bestFit="1" customWidth="1"/>
    <col min="11" max="11" width="12.44140625" bestFit="1" customWidth="1"/>
    <col min="12" max="13" width="12.33203125" bestFit="1" customWidth="1"/>
    <col min="14" max="15" width="11.88671875" bestFit="1" customWidth="1"/>
    <col min="16" max="16" width="12.5546875" bestFit="1" customWidth="1"/>
    <col min="17" max="20" width="11.77734375" bestFit="1" customWidth="1"/>
    <col min="21" max="21" width="12" bestFit="1" customWidth="1"/>
    <col min="22" max="22" width="12.109375" bestFit="1" customWidth="1"/>
    <col min="23" max="23" width="12.88671875" bestFit="1" customWidth="1"/>
    <col min="24" max="24" width="12" bestFit="1" customWidth="1"/>
    <col min="25" max="27" width="11.77734375" bestFit="1" customWidth="1"/>
    <col min="28" max="28" width="44.88671875" bestFit="1" customWidth="1"/>
    <col min="29" max="99" width="11.77734375" bestFit="1" customWidth="1"/>
    <col min="100" max="104" width="12.77734375" bestFit="1" customWidth="1"/>
  </cols>
  <sheetData>
    <row r="1" spans="1:104" x14ac:dyDescent="0.3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  <c r="J1" t="s">
        <v>194</v>
      </c>
      <c r="K1" t="s">
        <v>195</v>
      </c>
      <c r="L1" t="s">
        <v>196</v>
      </c>
      <c r="M1" t="s">
        <v>197</v>
      </c>
      <c r="N1" t="s">
        <v>198</v>
      </c>
      <c r="O1" t="s">
        <v>199</v>
      </c>
      <c r="P1" t="s">
        <v>200</v>
      </c>
      <c r="Q1" t="s">
        <v>201</v>
      </c>
      <c r="R1" t="s">
        <v>202</v>
      </c>
      <c r="S1" t="s">
        <v>203</v>
      </c>
      <c r="T1" t="s">
        <v>204</v>
      </c>
      <c r="U1" t="s">
        <v>205</v>
      </c>
      <c r="V1" t="s">
        <v>206</v>
      </c>
      <c r="W1" t="s">
        <v>207</v>
      </c>
      <c r="X1" t="s">
        <v>208</v>
      </c>
      <c r="Y1" t="s">
        <v>209</v>
      </c>
      <c r="Z1" t="s">
        <v>210</v>
      </c>
      <c r="AA1" t="s">
        <v>211</v>
      </c>
      <c r="AB1" t="s">
        <v>212</v>
      </c>
      <c r="AC1" t="s">
        <v>4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11</v>
      </c>
      <c r="AK1" t="s">
        <v>12</v>
      </c>
      <c r="AL1" t="s">
        <v>13</v>
      </c>
      <c r="AM1" t="s">
        <v>14</v>
      </c>
      <c r="AN1" t="s">
        <v>15</v>
      </c>
      <c r="AO1" t="s">
        <v>16</v>
      </c>
      <c r="AP1" t="s">
        <v>17</v>
      </c>
      <c r="AQ1" t="s">
        <v>18</v>
      </c>
      <c r="AR1" t="s">
        <v>19</v>
      </c>
      <c r="AS1" t="s">
        <v>20</v>
      </c>
      <c r="AT1" t="s">
        <v>21</v>
      </c>
      <c r="AU1" t="s">
        <v>22</v>
      </c>
      <c r="AV1" t="s">
        <v>23</v>
      </c>
      <c r="AW1" t="s">
        <v>24</v>
      </c>
      <c r="AX1" t="s">
        <v>25</v>
      </c>
      <c r="AY1" t="s">
        <v>26</v>
      </c>
      <c r="AZ1" t="s">
        <v>27</v>
      </c>
      <c r="BA1" t="s">
        <v>28</v>
      </c>
      <c r="BB1" t="s">
        <v>29</v>
      </c>
      <c r="BC1" t="s">
        <v>30</v>
      </c>
      <c r="BD1" t="s">
        <v>31</v>
      </c>
      <c r="BE1" t="s">
        <v>32</v>
      </c>
      <c r="BF1" t="s">
        <v>33</v>
      </c>
      <c r="BG1" t="s">
        <v>34</v>
      </c>
      <c r="BH1" t="s">
        <v>35</v>
      </c>
      <c r="BI1" t="s">
        <v>36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42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t="s">
        <v>50</v>
      </c>
      <c r="BX1" t="s">
        <v>51</v>
      </c>
      <c r="BY1" t="s">
        <v>52</v>
      </c>
      <c r="BZ1" t="s">
        <v>53</v>
      </c>
      <c r="CA1" t="s">
        <v>54</v>
      </c>
      <c r="CB1" t="s">
        <v>55</v>
      </c>
      <c r="CC1" t="s">
        <v>56</v>
      </c>
      <c r="CD1" t="s">
        <v>57</v>
      </c>
      <c r="CE1" t="s">
        <v>58</v>
      </c>
      <c r="CF1" t="s">
        <v>59</v>
      </c>
      <c r="CG1" t="s">
        <v>60</v>
      </c>
      <c r="CH1" t="s">
        <v>61</v>
      </c>
      <c r="CI1" t="s">
        <v>62</v>
      </c>
      <c r="CJ1" t="s">
        <v>63</v>
      </c>
      <c r="CK1" t="s">
        <v>64</v>
      </c>
      <c r="CL1" t="s">
        <v>65</v>
      </c>
      <c r="CM1" t="s">
        <v>66</v>
      </c>
      <c r="CN1" t="s">
        <v>67</v>
      </c>
      <c r="CO1" t="s">
        <v>68</v>
      </c>
      <c r="CP1" t="s">
        <v>69</v>
      </c>
      <c r="CQ1" t="s">
        <v>70</v>
      </c>
      <c r="CR1" t="s">
        <v>71</v>
      </c>
      <c r="CS1" t="s">
        <v>72</v>
      </c>
      <c r="CT1" t="s">
        <v>73</v>
      </c>
      <c r="CU1" t="s">
        <v>74</v>
      </c>
      <c r="CV1" t="s">
        <v>75</v>
      </c>
      <c r="CW1" t="s">
        <v>76</v>
      </c>
      <c r="CX1" t="s">
        <v>77</v>
      </c>
      <c r="CY1" t="s">
        <v>78</v>
      </c>
      <c r="CZ1" t="s">
        <v>79</v>
      </c>
    </row>
    <row r="3" spans="1:104" x14ac:dyDescent="0.3">
      <c r="B3" t="s">
        <v>0</v>
      </c>
      <c r="C3" t="s">
        <v>213</v>
      </c>
      <c r="D3" t="s">
        <v>214</v>
      </c>
      <c r="E3" t="s">
        <v>215</v>
      </c>
      <c r="G3" t="s">
        <v>213</v>
      </c>
      <c r="H3" t="s">
        <v>897</v>
      </c>
    </row>
    <row r="4" spans="1:104" x14ac:dyDescent="0.3">
      <c r="B4" t="s">
        <v>898</v>
      </c>
      <c r="C4" t="s">
        <v>897</v>
      </c>
      <c r="D4" t="s">
        <v>899</v>
      </c>
      <c r="E4" t="s">
        <v>900</v>
      </c>
      <c r="G4" t="s">
        <v>216</v>
      </c>
      <c r="H4" t="s">
        <v>901</v>
      </c>
    </row>
    <row r="7" spans="1:104" x14ac:dyDescent="0.3">
      <c r="B7" t="s">
        <v>217</v>
      </c>
      <c r="C7" t="s">
        <v>218</v>
      </c>
      <c r="D7" t="s">
        <v>219</v>
      </c>
      <c r="G7" t="s">
        <v>220</v>
      </c>
      <c r="H7" t="s">
        <v>221</v>
      </c>
      <c r="I7" t="s">
        <v>222</v>
      </c>
    </row>
    <row r="8" spans="1:104" x14ac:dyDescent="0.3">
      <c r="B8" t="s">
        <v>902</v>
      </c>
      <c r="C8">
        <v>47543</v>
      </c>
      <c r="D8" t="s">
        <v>424</v>
      </c>
      <c r="G8" t="s">
        <v>223</v>
      </c>
      <c r="H8" t="s">
        <v>903</v>
      </c>
      <c r="I8" t="s">
        <v>224</v>
      </c>
    </row>
    <row r="9" spans="1:104" x14ac:dyDescent="0.3">
      <c r="B9" t="s">
        <v>225</v>
      </c>
      <c r="C9" t="s">
        <v>226</v>
      </c>
      <c r="D9" t="s">
        <v>227</v>
      </c>
    </row>
    <row r="10" spans="1:104" x14ac:dyDescent="0.3">
      <c r="B10" t="s">
        <v>429</v>
      </c>
      <c r="C10" t="s">
        <v>904</v>
      </c>
      <c r="D10" t="s">
        <v>905</v>
      </c>
    </row>
    <row r="14" spans="1:104" x14ac:dyDescent="0.3">
      <c r="B14" t="s">
        <v>228</v>
      </c>
      <c r="H14" t="s">
        <v>229</v>
      </c>
    </row>
    <row r="15" spans="1:104" x14ac:dyDescent="0.3">
      <c r="B15" t="s">
        <v>230</v>
      </c>
      <c r="C15" t="s">
        <v>231</v>
      </c>
      <c r="D15" t="s">
        <v>232</v>
      </c>
      <c r="E15" t="s">
        <v>233</v>
      </c>
      <c r="F15" t="s">
        <v>234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</row>
    <row r="16" spans="1:104" x14ac:dyDescent="0.3">
      <c r="B16" t="s">
        <v>106</v>
      </c>
      <c r="C16" t="s">
        <v>106</v>
      </c>
      <c r="D16" t="s">
        <v>106</v>
      </c>
      <c r="E16" t="s">
        <v>106</v>
      </c>
      <c r="F16" t="s">
        <v>106</v>
      </c>
      <c r="H16" t="s">
        <v>106</v>
      </c>
      <c r="I16" t="s">
        <v>106</v>
      </c>
      <c r="J16" t="s">
        <v>106</v>
      </c>
      <c r="K16" t="s">
        <v>106</v>
      </c>
      <c r="L16" t="s">
        <v>106</v>
      </c>
    </row>
    <row r="17" spans="2:12" x14ac:dyDescent="0.3">
      <c r="B17" t="s">
        <v>235</v>
      </c>
      <c r="C17" t="s">
        <v>236</v>
      </c>
      <c r="D17" t="s">
        <v>237</v>
      </c>
      <c r="E17" t="s">
        <v>238</v>
      </c>
      <c r="F17" t="s">
        <v>239</v>
      </c>
      <c r="H17" t="s">
        <v>235</v>
      </c>
      <c r="I17" t="s">
        <v>236</v>
      </c>
      <c r="J17" t="s">
        <v>237</v>
      </c>
      <c r="K17" t="s">
        <v>238</v>
      </c>
      <c r="L17" t="s">
        <v>239</v>
      </c>
    </row>
    <row r="18" spans="2:12" x14ac:dyDescent="0.3">
      <c r="B18" t="s">
        <v>106</v>
      </c>
      <c r="C18" t="s">
        <v>106</v>
      </c>
      <c r="D18" t="s">
        <v>106</v>
      </c>
      <c r="E18" t="s">
        <v>106</v>
      </c>
      <c r="F18" t="s">
        <v>106</v>
      </c>
      <c r="H18" t="s">
        <v>106</v>
      </c>
      <c r="I18" t="s">
        <v>106</v>
      </c>
      <c r="J18" t="s">
        <v>106</v>
      </c>
      <c r="K18" t="s">
        <v>106</v>
      </c>
      <c r="L18" t="s">
        <v>106</v>
      </c>
    </row>
    <row r="20" spans="2:12" x14ac:dyDescent="0.3">
      <c r="B20" t="s">
        <v>240</v>
      </c>
      <c r="C20" t="s">
        <v>241</v>
      </c>
    </row>
    <row r="21" spans="2:12" x14ac:dyDescent="0.3">
      <c r="B21" t="s">
        <v>906</v>
      </c>
      <c r="C21" t="s">
        <v>907</v>
      </c>
    </row>
    <row r="24" spans="2:12" x14ac:dyDescent="0.3">
      <c r="B24" t="s">
        <v>242</v>
      </c>
      <c r="C24" t="s">
        <v>243</v>
      </c>
      <c r="D24" t="s">
        <v>244</v>
      </c>
      <c r="E24" t="s">
        <v>245</v>
      </c>
      <c r="H24" t="s">
        <v>246</v>
      </c>
      <c r="I24" t="s">
        <v>247</v>
      </c>
      <c r="J24" t="s">
        <v>248</v>
      </c>
    </row>
    <row r="25" spans="2:12" x14ac:dyDescent="0.3">
      <c r="B25" t="s">
        <v>425</v>
      </c>
      <c r="C25">
        <v>45744</v>
      </c>
      <c r="D25">
        <v>45748</v>
      </c>
      <c r="E25" t="s">
        <v>908</v>
      </c>
      <c r="H25" t="s">
        <v>909</v>
      </c>
      <c r="I25" t="s">
        <v>106</v>
      </c>
      <c r="J25" t="s">
        <v>106</v>
      </c>
    </row>
    <row r="26" spans="2:12" x14ac:dyDescent="0.3">
      <c r="H26" t="s">
        <v>235</v>
      </c>
      <c r="I26" t="s">
        <v>236</v>
      </c>
      <c r="J26" t="s">
        <v>238</v>
      </c>
    </row>
    <row r="27" spans="2:12" x14ac:dyDescent="0.3">
      <c r="H27">
        <v>47484</v>
      </c>
      <c r="I27" t="s">
        <v>106</v>
      </c>
      <c r="J27" t="s">
        <v>106</v>
      </c>
    </row>
    <row r="30" spans="2:12" x14ac:dyDescent="0.3">
      <c r="B30" t="s">
        <v>249</v>
      </c>
    </row>
    <row r="31" spans="2:12" x14ac:dyDescent="0.3">
      <c r="B31" t="s">
        <v>250</v>
      </c>
      <c r="C31" t="s">
        <v>251</v>
      </c>
      <c r="D31" t="s">
        <v>252</v>
      </c>
      <c r="E31" t="s">
        <v>253</v>
      </c>
    </row>
    <row r="32" spans="2:12" x14ac:dyDescent="0.3">
      <c r="B32" t="s">
        <v>910</v>
      </c>
      <c r="C32" t="s">
        <v>911</v>
      </c>
      <c r="D32" t="s">
        <v>910</v>
      </c>
      <c r="E32" t="s">
        <v>912</v>
      </c>
    </row>
    <row r="33" spans="2:28" x14ac:dyDescent="0.3">
      <c r="B33" t="s">
        <v>254</v>
      </c>
      <c r="C33" t="s">
        <v>217</v>
      </c>
      <c r="D33" t="s">
        <v>255</v>
      </c>
      <c r="E33" t="s">
        <v>217</v>
      </c>
      <c r="F33" t="s">
        <v>256</v>
      </c>
      <c r="G33" t="s">
        <v>217</v>
      </c>
    </row>
    <row r="34" spans="2:28" x14ac:dyDescent="0.3">
      <c r="B34" t="s">
        <v>106</v>
      </c>
      <c r="C34" t="s">
        <v>106</v>
      </c>
      <c r="D34" t="s">
        <v>257</v>
      </c>
      <c r="E34" t="s">
        <v>913</v>
      </c>
      <c r="F34" t="s">
        <v>106</v>
      </c>
      <c r="G34" t="s">
        <v>106</v>
      </c>
    </row>
    <row r="37" spans="2:28" x14ac:dyDescent="0.3">
      <c r="B37" t="s">
        <v>80</v>
      </c>
      <c r="C37" t="s">
        <v>914</v>
      </c>
      <c r="I37" t="s">
        <v>1</v>
      </c>
      <c r="N37" t="s">
        <v>258</v>
      </c>
    </row>
    <row r="38" spans="2:28" x14ac:dyDescent="0.3">
      <c r="B38" t="s">
        <v>259</v>
      </c>
      <c r="C38" t="s">
        <v>2</v>
      </c>
      <c r="D38" t="s">
        <v>260</v>
      </c>
      <c r="E38" t="s">
        <v>261</v>
      </c>
      <c r="G38" t="s">
        <v>262</v>
      </c>
      <c r="I38" t="s">
        <v>148</v>
      </c>
      <c r="J38" t="s">
        <v>263</v>
      </c>
      <c r="K38" t="s">
        <v>264</v>
      </c>
      <c r="L38" t="s">
        <v>265</v>
      </c>
      <c r="N38" t="s">
        <v>266</v>
      </c>
      <c r="O38" t="s">
        <v>267</v>
      </c>
      <c r="P38" t="s">
        <v>268</v>
      </c>
    </row>
    <row r="39" spans="2:28" x14ac:dyDescent="0.3">
      <c r="B39" t="s">
        <v>109</v>
      </c>
      <c r="C39" t="s">
        <v>643</v>
      </c>
      <c r="D39" t="s">
        <v>598</v>
      </c>
      <c r="E39" t="s">
        <v>509</v>
      </c>
      <c r="G39" t="s">
        <v>915</v>
      </c>
      <c r="I39" t="s">
        <v>916</v>
      </c>
      <c r="J39" t="s">
        <v>152</v>
      </c>
      <c r="K39" t="s">
        <v>917</v>
      </c>
      <c r="L39" t="s">
        <v>359</v>
      </c>
      <c r="N39" t="s">
        <v>106</v>
      </c>
      <c r="O39" t="s">
        <v>106</v>
      </c>
      <c r="P39" t="s">
        <v>106</v>
      </c>
    </row>
    <row r="40" spans="2:28" x14ac:dyDescent="0.3">
      <c r="B40" t="s">
        <v>108</v>
      </c>
      <c r="C40" t="s">
        <v>918</v>
      </c>
      <c r="D40" t="s">
        <v>919</v>
      </c>
      <c r="E40" t="s">
        <v>920</v>
      </c>
      <c r="N40" t="s">
        <v>106</v>
      </c>
      <c r="O40" t="s">
        <v>106</v>
      </c>
      <c r="P40" t="s">
        <v>106</v>
      </c>
    </row>
    <row r="41" spans="2:28" x14ac:dyDescent="0.3">
      <c r="B41" t="s">
        <v>104</v>
      </c>
      <c r="C41" t="s">
        <v>921</v>
      </c>
      <c r="D41" t="s">
        <v>922</v>
      </c>
      <c r="E41" t="s">
        <v>923</v>
      </c>
      <c r="N41" t="s">
        <v>924</v>
      </c>
      <c r="O41" t="s">
        <v>925</v>
      </c>
      <c r="P41" t="s">
        <v>926</v>
      </c>
    </row>
    <row r="42" spans="2:28" x14ac:dyDescent="0.3">
      <c r="B42" t="s">
        <v>105</v>
      </c>
      <c r="C42" t="s">
        <v>927</v>
      </c>
      <c r="D42" t="s">
        <v>927</v>
      </c>
      <c r="E42" t="s">
        <v>916</v>
      </c>
    </row>
    <row r="46" spans="2:28" x14ac:dyDescent="0.3">
      <c r="B46" t="s">
        <v>269</v>
      </c>
    </row>
    <row r="47" spans="2:28" x14ac:dyDescent="0.3">
      <c r="B47" t="s">
        <v>80</v>
      </c>
      <c r="C47" t="s">
        <v>2</v>
      </c>
      <c r="D47" t="s">
        <v>81</v>
      </c>
      <c r="E47" t="s">
        <v>82</v>
      </c>
      <c r="F47" t="s">
        <v>83</v>
      </c>
      <c r="G47" t="s">
        <v>84</v>
      </c>
      <c r="H47" t="s">
        <v>85</v>
      </c>
      <c r="I47" t="s">
        <v>86</v>
      </c>
      <c r="J47" t="s">
        <v>87</v>
      </c>
      <c r="K47" t="s">
        <v>88</v>
      </c>
      <c r="L47" t="s">
        <v>928</v>
      </c>
      <c r="M47" t="s">
        <v>929</v>
      </c>
      <c r="N47" t="s">
        <v>89</v>
      </c>
      <c r="O47" t="s">
        <v>90</v>
      </c>
      <c r="P47" t="s">
        <v>91</v>
      </c>
      <c r="Q47" t="s">
        <v>92</v>
      </c>
      <c r="R47" t="s">
        <v>93</v>
      </c>
      <c r="S47" t="s">
        <v>94</v>
      </c>
      <c r="T47" t="s">
        <v>95</v>
      </c>
      <c r="U47" t="s">
        <v>96</v>
      </c>
      <c r="V47" t="s">
        <v>97</v>
      </c>
      <c r="W47" t="s">
        <v>98</v>
      </c>
      <c r="X47" t="s">
        <v>99</v>
      </c>
      <c r="Y47" t="s">
        <v>100</v>
      </c>
      <c r="Z47" t="s">
        <v>101</v>
      </c>
      <c r="AA47" t="s">
        <v>102</v>
      </c>
      <c r="AB47" t="s">
        <v>103</v>
      </c>
    </row>
    <row r="48" spans="2:28" x14ac:dyDescent="0.3">
      <c r="B48" t="s">
        <v>109</v>
      </c>
      <c r="C48" t="s">
        <v>643</v>
      </c>
      <c r="D48" t="s">
        <v>105</v>
      </c>
      <c r="E48" t="s">
        <v>110</v>
      </c>
      <c r="F48">
        <v>45735</v>
      </c>
      <c r="G48" t="s">
        <v>460</v>
      </c>
      <c r="H48">
        <v>45735</v>
      </c>
      <c r="I48" t="s">
        <v>930</v>
      </c>
      <c r="J48" t="s">
        <v>425</v>
      </c>
      <c r="K48" t="s">
        <v>106</v>
      </c>
      <c r="L48" t="s">
        <v>931</v>
      </c>
      <c r="M48" t="s">
        <v>932</v>
      </c>
      <c r="N48" t="s">
        <v>107</v>
      </c>
      <c r="O48" t="s">
        <v>107</v>
      </c>
      <c r="P48" t="s">
        <v>106</v>
      </c>
      <c r="Q48" t="s">
        <v>106</v>
      </c>
      <c r="R48" t="s">
        <v>106</v>
      </c>
      <c r="S48" t="s">
        <v>933</v>
      </c>
      <c r="T48" t="s">
        <v>934</v>
      </c>
      <c r="U48" t="s">
        <v>106</v>
      </c>
      <c r="V48" t="s">
        <v>106</v>
      </c>
      <c r="W48" t="s">
        <v>443</v>
      </c>
      <c r="X48" t="s">
        <v>106</v>
      </c>
      <c r="Y48" t="s">
        <v>108</v>
      </c>
      <c r="Z48" t="s">
        <v>109</v>
      </c>
      <c r="AA48" t="s">
        <v>935</v>
      </c>
      <c r="AB48" t="s">
        <v>936</v>
      </c>
    </row>
    <row r="49" spans="2:28" x14ac:dyDescent="0.3">
      <c r="B49" t="s">
        <v>109</v>
      </c>
      <c r="C49" t="s">
        <v>643</v>
      </c>
      <c r="D49" t="s">
        <v>109</v>
      </c>
      <c r="E49" t="s">
        <v>110</v>
      </c>
      <c r="F49">
        <v>45735</v>
      </c>
      <c r="G49" t="s">
        <v>460</v>
      </c>
      <c r="H49">
        <v>45735</v>
      </c>
      <c r="I49" t="s">
        <v>930</v>
      </c>
      <c r="J49" t="s">
        <v>425</v>
      </c>
      <c r="K49" t="s">
        <v>106</v>
      </c>
      <c r="L49" t="s">
        <v>508</v>
      </c>
      <c r="M49" t="s">
        <v>508</v>
      </c>
      <c r="N49" t="s">
        <v>107</v>
      </c>
      <c r="O49" t="s">
        <v>107</v>
      </c>
      <c r="P49" t="s">
        <v>106</v>
      </c>
      <c r="Q49" t="s">
        <v>106</v>
      </c>
      <c r="R49" t="s">
        <v>106</v>
      </c>
      <c r="S49" t="s">
        <v>106</v>
      </c>
      <c r="T49" t="s">
        <v>937</v>
      </c>
      <c r="U49" t="s">
        <v>106</v>
      </c>
      <c r="V49" t="s">
        <v>106</v>
      </c>
      <c r="W49" t="s">
        <v>443</v>
      </c>
      <c r="X49" t="s">
        <v>106</v>
      </c>
      <c r="Y49" t="s">
        <v>108</v>
      </c>
      <c r="Z49" t="s">
        <v>109</v>
      </c>
      <c r="AA49" t="s">
        <v>935</v>
      </c>
      <c r="AB49" t="s">
        <v>106</v>
      </c>
    </row>
    <row r="50" spans="2:28" x14ac:dyDescent="0.3">
      <c r="B50" t="s">
        <v>108</v>
      </c>
      <c r="C50" t="s">
        <v>918</v>
      </c>
      <c r="D50" t="s">
        <v>108</v>
      </c>
      <c r="E50" t="s">
        <v>110</v>
      </c>
      <c r="F50">
        <v>45735</v>
      </c>
      <c r="G50" t="s">
        <v>856</v>
      </c>
      <c r="H50">
        <v>45735</v>
      </c>
      <c r="I50" t="s">
        <v>930</v>
      </c>
      <c r="J50" t="s">
        <v>425</v>
      </c>
      <c r="K50" t="s">
        <v>106</v>
      </c>
      <c r="L50" t="s">
        <v>938</v>
      </c>
      <c r="M50" t="s">
        <v>939</v>
      </c>
      <c r="N50" t="s">
        <v>107</v>
      </c>
      <c r="O50" t="s">
        <v>107</v>
      </c>
      <c r="P50" t="s">
        <v>106</v>
      </c>
      <c r="Q50" t="s">
        <v>106</v>
      </c>
      <c r="R50" t="s">
        <v>106</v>
      </c>
      <c r="S50" t="s">
        <v>933</v>
      </c>
      <c r="T50" t="s">
        <v>940</v>
      </c>
      <c r="U50" t="s">
        <v>106</v>
      </c>
      <c r="V50" t="s">
        <v>106</v>
      </c>
      <c r="W50" t="s">
        <v>443</v>
      </c>
      <c r="X50" t="s">
        <v>106</v>
      </c>
      <c r="Y50" t="s">
        <v>108</v>
      </c>
      <c r="Z50" t="s">
        <v>108</v>
      </c>
      <c r="AA50" t="s">
        <v>935</v>
      </c>
      <c r="AB50" t="s">
        <v>106</v>
      </c>
    </row>
    <row r="51" spans="2:28" x14ac:dyDescent="0.3">
      <c r="B51" t="s">
        <v>108</v>
      </c>
      <c r="C51" t="s">
        <v>918</v>
      </c>
      <c r="D51" t="s">
        <v>104</v>
      </c>
      <c r="E51" t="s">
        <v>110</v>
      </c>
      <c r="F51">
        <v>45735</v>
      </c>
      <c r="G51" t="s">
        <v>826</v>
      </c>
      <c r="H51">
        <v>45735</v>
      </c>
      <c r="I51" t="s">
        <v>930</v>
      </c>
      <c r="J51" t="s">
        <v>425</v>
      </c>
      <c r="K51" t="s">
        <v>106</v>
      </c>
      <c r="L51" t="s">
        <v>941</v>
      </c>
      <c r="M51" t="s">
        <v>941</v>
      </c>
      <c r="N51" t="s">
        <v>107</v>
      </c>
      <c r="O51" t="s">
        <v>107</v>
      </c>
      <c r="P51" t="s">
        <v>106</v>
      </c>
      <c r="Q51" t="s">
        <v>106</v>
      </c>
      <c r="R51" t="s">
        <v>106</v>
      </c>
      <c r="S51" t="s">
        <v>106</v>
      </c>
      <c r="T51" t="s">
        <v>942</v>
      </c>
      <c r="U51" t="s">
        <v>106</v>
      </c>
      <c r="V51" t="s">
        <v>106</v>
      </c>
      <c r="W51" t="s">
        <v>443</v>
      </c>
      <c r="X51" t="s">
        <v>106</v>
      </c>
      <c r="Y51" t="s">
        <v>108</v>
      </c>
      <c r="Z51" t="s">
        <v>108</v>
      </c>
      <c r="AA51" t="s">
        <v>935</v>
      </c>
      <c r="AB51" t="s">
        <v>106</v>
      </c>
    </row>
    <row r="52" spans="2:28" x14ac:dyDescent="0.3">
      <c r="B52" t="s">
        <v>104</v>
      </c>
      <c r="C52" t="s">
        <v>921</v>
      </c>
      <c r="D52" t="s">
        <v>111</v>
      </c>
      <c r="E52" t="s">
        <v>110</v>
      </c>
      <c r="F52">
        <v>45735</v>
      </c>
      <c r="G52" t="s">
        <v>131</v>
      </c>
      <c r="H52">
        <v>45735</v>
      </c>
      <c r="I52" t="s">
        <v>930</v>
      </c>
      <c r="J52" t="s">
        <v>425</v>
      </c>
      <c r="K52" t="s">
        <v>106</v>
      </c>
      <c r="L52" t="s">
        <v>943</v>
      </c>
      <c r="M52" t="s">
        <v>944</v>
      </c>
      <c r="N52" t="s">
        <v>107</v>
      </c>
      <c r="O52" t="s">
        <v>107</v>
      </c>
      <c r="P52" t="s">
        <v>106</v>
      </c>
      <c r="Q52" t="s">
        <v>106</v>
      </c>
      <c r="R52" t="s">
        <v>106</v>
      </c>
      <c r="S52" t="s">
        <v>945</v>
      </c>
      <c r="T52" t="s">
        <v>946</v>
      </c>
      <c r="U52" t="s">
        <v>106</v>
      </c>
      <c r="V52" t="s">
        <v>106</v>
      </c>
      <c r="W52" t="s">
        <v>443</v>
      </c>
      <c r="X52" t="s">
        <v>106</v>
      </c>
      <c r="Y52" t="s">
        <v>108</v>
      </c>
      <c r="Z52" t="s">
        <v>104</v>
      </c>
      <c r="AA52" t="s">
        <v>935</v>
      </c>
      <c r="AB52" t="s">
        <v>106</v>
      </c>
    </row>
    <row r="53" spans="2:28" x14ac:dyDescent="0.3">
      <c r="B53" t="s">
        <v>104</v>
      </c>
      <c r="C53" t="s">
        <v>921</v>
      </c>
      <c r="D53" t="s">
        <v>112</v>
      </c>
      <c r="E53" t="s">
        <v>110</v>
      </c>
      <c r="F53">
        <v>45735</v>
      </c>
      <c r="G53" t="s">
        <v>131</v>
      </c>
      <c r="H53">
        <v>45735</v>
      </c>
      <c r="I53" t="s">
        <v>930</v>
      </c>
      <c r="J53" t="s">
        <v>425</v>
      </c>
      <c r="K53" t="s">
        <v>106</v>
      </c>
      <c r="L53" t="s">
        <v>943</v>
      </c>
      <c r="M53" t="s">
        <v>944</v>
      </c>
      <c r="N53" t="s">
        <v>107</v>
      </c>
      <c r="O53" t="s">
        <v>107</v>
      </c>
      <c r="P53" t="s">
        <v>106</v>
      </c>
      <c r="Q53" t="s">
        <v>106</v>
      </c>
      <c r="R53" t="s">
        <v>106</v>
      </c>
      <c r="S53" t="s">
        <v>106</v>
      </c>
      <c r="T53" t="s">
        <v>638</v>
      </c>
      <c r="U53" t="s">
        <v>106</v>
      </c>
      <c r="V53" t="s">
        <v>106</v>
      </c>
      <c r="W53" t="s">
        <v>443</v>
      </c>
      <c r="X53" t="s">
        <v>106</v>
      </c>
      <c r="Y53" t="s">
        <v>108</v>
      </c>
      <c r="Z53" t="s">
        <v>104</v>
      </c>
      <c r="AA53" t="s">
        <v>935</v>
      </c>
      <c r="AB53" t="s">
        <v>106</v>
      </c>
    </row>
    <row r="54" spans="2:28" x14ac:dyDescent="0.3">
      <c r="B54" t="s">
        <v>105</v>
      </c>
      <c r="C54" t="s">
        <v>927</v>
      </c>
      <c r="D54" t="s">
        <v>113</v>
      </c>
      <c r="E54" t="s">
        <v>110</v>
      </c>
      <c r="F54">
        <v>45735</v>
      </c>
      <c r="G54" t="s">
        <v>947</v>
      </c>
      <c r="H54">
        <v>45735</v>
      </c>
      <c r="I54" t="s">
        <v>930</v>
      </c>
      <c r="J54" t="s">
        <v>425</v>
      </c>
      <c r="K54" t="s">
        <v>106</v>
      </c>
      <c r="L54" t="s">
        <v>927</v>
      </c>
      <c r="M54" t="s">
        <v>927</v>
      </c>
      <c r="N54" t="s">
        <v>107</v>
      </c>
      <c r="O54" t="s">
        <v>107</v>
      </c>
      <c r="P54" t="s">
        <v>106</v>
      </c>
      <c r="Q54" t="s">
        <v>106</v>
      </c>
      <c r="R54" t="s">
        <v>106</v>
      </c>
      <c r="S54" t="s">
        <v>948</v>
      </c>
      <c r="T54" t="s">
        <v>949</v>
      </c>
      <c r="U54" t="s">
        <v>106</v>
      </c>
      <c r="V54" t="s">
        <v>106</v>
      </c>
      <c r="W54" t="s">
        <v>443</v>
      </c>
      <c r="X54" t="s">
        <v>106</v>
      </c>
      <c r="Y54" t="s">
        <v>108</v>
      </c>
      <c r="Z54" t="s">
        <v>105</v>
      </c>
      <c r="AA54" t="s">
        <v>935</v>
      </c>
      <c r="AB54" t="s">
        <v>106</v>
      </c>
    </row>
    <row r="55" spans="2:28" x14ac:dyDescent="0.3">
      <c r="B55" t="s">
        <v>105</v>
      </c>
      <c r="C55" t="s">
        <v>927</v>
      </c>
      <c r="D55" t="s">
        <v>114</v>
      </c>
      <c r="E55" t="s">
        <v>110</v>
      </c>
      <c r="F55">
        <v>45735</v>
      </c>
      <c r="G55" t="s">
        <v>947</v>
      </c>
      <c r="H55">
        <v>45735</v>
      </c>
      <c r="I55" t="s">
        <v>930</v>
      </c>
      <c r="J55" t="s">
        <v>425</v>
      </c>
      <c r="K55" t="s">
        <v>106</v>
      </c>
      <c r="L55" t="s">
        <v>927</v>
      </c>
      <c r="M55" t="s">
        <v>927</v>
      </c>
      <c r="N55" t="s">
        <v>107</v>
      </c>
      <c r="O55" t="s">
        <v>107</v>
      </c>
      <c r="P55" t="s">
        <v>106</v>
      </c>
      <c r="Q55" t="s">
        <v>106</v>
      </c>
      <c r="R55" t="s">
        <v>106</v>
      </c>
      <c r="S55" t="s">
        <v>106</v>
      </c>
      <c r="T55" t="s">
        <v>809</v>
      </c>
      <c r="U55" t="s">
        <v>106</v>
      </c>
      <c r="V55" t="s">
        <v>106</v>
      </c>
      <c r="W55" t="s">
        <v>443</v>
      </c>
      <c r="X55" t="s">
        <v>106</v>
      </c>
      <c r="Y55" t="s">
        <v>108</v>
      </c>
      <c r="Z55" t="s">
        <v>105</v>
      </c>
      <c r="AA55" t="s">
        <v>935</v>
      </c>
      <c r="AB55" t="s">
        <v>106</v>
      </c>
    </row>
    <row r="56" spans="2:28" x14ac:dyDescent="0.3">
      <c r="B56" t="s">
        <v>108</v>
      </c>
      <c r="C56" t="s">
        <v>918</v>
      </c>
      <c r="D56" t="s">
        <v>115</v>
      </c>
      <c r="E56" t="s">
        <v>456</v>
      </c>
      <c r="F56">
        <v>45743</v>
      </c>
      <c r="G56" t="s">
        <v>950</v>
      </c>
      <c r="H56">
        <v>45743</v>
      </c>
      <c r="I56" t="s">
        <v>951</v>
      </c>
      <c r="J56" t="s">
        <v>471</v>
      </c>
      <c r="K56" t="s">
        <v>109</v>
      </c>
      <c r="L56" t="s">
        <v>952</v>
      </c>
      <c r="M56" t="s">
        <v>879</v>
      </c>
      <c r="N56" t="s">
        <v>107</v>
      </c>
      <c r="O56" t="s">
        <v>107</v>
      </c>
      <c r="P56" t="s">
        <v>106</v>
      </c>
      <c r="Q56" t="s">
        <v>106</v>
      </c>
      <c r="R56" t="s">
        <v>106</v>
      </c>
      <c r="S56" t="s">
        <v>953</v>
      </c>
      <c r="T56" t="s">
        <v>937</v>
      </c>
      <c r="U56" t="s">
        <v>565</v>
      </c>
      <c r="V56" t="s">
        <v>106</v>
      </c>
      <c r="W56" t="s">
        <v>954</v>
      </c>
      <c r="X56" t="s">
        <v>106</v>
      </c>
      <c r="Y56" t="s">
        <v>108</v>
      </c>
      <c r="Z56" t="s">
        <v>108</v>
      </c>
      <c r="AA56" t="s">
        <v>955</v>
      </c>
      <c r="AB56" t="s">
        <v>956</v>
      </c>
    </row>
    <row r="57" spans="2:28" x14ac:dyDescent="0.3">
      <c r="B57" t="s">
        <v>108</v>
      </c>
      <c r="C57" t="s">
        <v>918</v>
      </c>
      <c r="D57" t="s">
        <v>116</v>
      </c>
      <c r="E57" t="s">
        <v>456</v>
      </c>
      <c r="F57">
        <v>45743</v>
      </c>
      <c r="G57" t="s">
        <v>957</v>
      </c>
      <c r="H57">
        <v>45743</v>
      </c>
      <c r="I57" t="s">
        <v>951</v>
      </c>
      <c r="J57" t="s">
        <v>471</v>
      </c>
      <c r="K57" t="s">
        <v>109</v>
      </c>
      <c r="L57" t="s">
        <v>958</v>
      </c>
      <c r="M57" t="s">
        <v>959</v>
      </c>
      <c r="N57" t="s">
        <v>107</v>
      </c>
      <c r="O57" t="s">
        <v>107</v>
      </c>
      <c r="P57" t="s">
        <v>106</v>
      </c>
      <c r="Q57" t="s">
        <v>106</v>
      </c>
      <c r="R57" t="s">
        <v>106</v>
      </c>
      <c r="S57" t="s">
        <v>960</v>
      </c>
      <c r="T57" t="s">
        <v>961</v>
      </c>
      <c r="U57" t="s">
        <v>138</v>
      </c>
      <c r="V57" t="s">
        <v>106</v>
      </c>
      <c r="W57" t="s">
        <v>954</v>
      </c>
      <c r="X57" t="s">
        <v>106</v>
      </c>
      <c r="Y57" t="s">
        <v>108</v>
      </c>
      <c r="Z57" t="s">
        <v>108</v>
      </c>
      <c r="AA57" t="s">
        <v>955</v>
      </c>
      <c r="AB57" t="s">
        <v>962</v>
      </c>
    </row>
    <row r="58" spans="2:28" x14ac:dyDescent="0.3">
      <c r="B58" t="s">
        <v>104</v>
      </c>
      <c r="C58" t="s">
        <v>921</v>
      </c>
      <c r="D58" t="s">
        <v>117</v>
      </c>
      <c r="E58" t="s">
        <v>456</v>
      </c>
      <c r="F58">
        <v>45743</v>
      </c>
      <c r="G58" t="s">
        <v>650</v>
      </c>
      <c r="H58">
        <v>45743</v>
      </c>
      <c r="I58" t="s">
        <v>951</v>
      </c>
      <c r="J58" t="s">
        <v>471</v>
      </c>
      <c r="K58" t="s">
        <v>109</v>
      </c>
      <c r="L58" t="s">
        <v>963</v>
      </c>
      <c r="M58" t="s">
        <v>964</v>
      </c>
      <c r="N58" t="s">
        <v>107</v>
      </c>
      <c r="O58" t="s">
        <v>107</v>
      </c>
      <c r="P58" t="s">
        <v>106</v>
      </c>
      <c r="Q58" t="s">
        <v>106</v>
      </c>
      <c r="R58" t="s">
        <v>106</v>
      </c>
      <c r="S58" t="s">
        <v>965</v>
      </c>
      <c r="T58" t="s">
        <v>776</v>
      </c>
      <c r="U58" t="s">
        <v>138</v>
      </c>
      <c r="V58" t="s">
        <v>106</v>
      </c>
      <c r="W58" t="s">
        <v>954</v>
      </c>
      <c r="X58" t="s">
        <v>106</v>
      </c>
      <c r="Y58" t="s">
        <v>108</v>
      </c>
      <c r="Z58" t="s">
        <v>104</v>
      </c>
      <c r="AA58" t="s">
        <v>966</v>
      </c>
      <c r="AB58" t="s">
        <v>967</v>
      </c>
    </row>
    <row r="59" spans="2:28" x14ac:dyDescent="0.3">
      <c r="B59" t="s">
        <v>104</v>
      </c>
      <c r="C59" t="s">
        <v>921</v>
      </c>
      <c r="D59" t="s">
        <v>118</v>
      </c>
      <c r="E59" t="s">
        <v>456</v>
      </c>
      <c r="F59">
        <v>45743</v>
      </c>
      <c r="G59" t="s">
        <v>652</v>
      </c>
      <c r="H59">
        <v>45743</v>
      </c>
      <c r="I59" t="s">
        <v>951</v>
      </c>
      <c r="J59" t="s">
        <v>471</v>
      </c>
      <c r="K59" t="s">
        <v>109</v>
      </c>
      <c r="L59" t="s">
        <v>968</v>
      </c>
      <c r="M59" t="s">
        <v>969</v>
      </c>
      <c r="N59" t="s">
        <v>107</v>
      </c>
      <c r="O59" t="s">
        <v>107</v>
      </c>
      <c r="P59" t="s">
        <v>106</v>
      </c>
      <c r="Q59" t="s">
        <v>106</v>
      </c>
      <c r="R59" t="s">
        <v>106</v>
      </c>
      <c r="S59" t="s">
        <v>970</v>
      </c>
      <c r="T59" t="s">
        <v>971</v>
      </c>
      <c r="U59" t="s">
        <v>719</v>
      </c>
      <c r="V59" t="s">
        <v>106</v>
      </c>
      <c r="W59" t="s">
        <v>954</v>
      </c>
      <c r="X59" t="s">
        <v>106</v>
      </c>
      <c r="Y59" t="s">
        <v>108</v>
      </c>
      <c r="Z59" t="s">
        <v>104</v>
      </c>
      <c r="AA59" t="s">
        <v>966</v>
      </c>
      <c r="AB59" t="s">
        <v>972</v>
      </c>
    </row>
    <row r="60" spans="2:28" x14ac:dyDescent="0.3">
      <c r="B60" t="s">
        <v>109</v>
      </c>
      <c r="C60" t="s">
        <v>643</v>
      </c>
      <c r="D60" t="s">
        <v>119</v>
      </c>
      <c r="E60" t="s">
        <v>456</v>
      </c>
      <c r="F60">
        <v>45743</v>
      </c>
      <c r="G60" t="s">
        <v>653</v>
      </c>
      <c r="H60">
        <v>45743</v>
      </c>
      <c r="I60" t="s">
        <v>951</v>
      </c>
      <c r="J60" t="s">
        <v>471</v>
      </c>
      <c r="K60" t="s">
        <v>109</v>
      </c>
      <c r="L60" t="s">
        <v>973</v>
      </c>
      <c r="M60" t="s">
        <v>649</v>
      </c>
      <c r="N60" t="s">
        <v>107</v>
      </c>
      <c r="O60" t="s">
        <v>107</v>
      </c>
      <c r="P60" t="s">
        <v>106</v>
      </c>
      <c r="Q60" t="s">
        <v>106</v>
      </c>
      <c r="R60" t="s">
        <v>106</v>
      </c>
      <c r="S60" t="s">
        <v>974</v>
      </c>
      <c r="T60" t="s">
        <v>975</v>
      </c>
      <c r="U60" t="s">
        <v>147</v>
      </c>
      <c r="V60" t="s">
        <v>106</v>
      </c>
      <c r="W60" t="s">
        <v>954</v>
      </c>
      <c r="X60" t="s">
        <v>106</v>
      </c>
      <c r="Y60" t="s">
        <v>108</v>
      </c>
      <c r="Z60" t="s">
        <v>109</v>
      </c>
      <c r="AA60" t="s">
        <v>966</v>
      </c>
      <c r="AB60" t="s">
        <v>106</v>
      </c>
    </row>
    <row r="61" spans="2:28" x14ac:dyDescent="0.3">
      <c r="B61" t="s">
        <v>109</v>
      </c>
      <c r="C61" t="s">
        <v>643</v>
      </c>
      <c r="D61" t="s">
        <v>120</v>
      </c>
      <c r="E61" t="s">
        <v>456</v>
      </c>
      <c r="F61">
        <v>45743</v>
      </c>
      <c r="G61" t="s">
        <v>660</v>
      </c>
      <c r="H61">
        <v>45743</v>
      </c>
      <c r="I61" t="s">
        <v>951</v>
      </c>
      <c r="J61" t="s">
        <v>471</v>
      </c>
      <c r="K61" t="s">
        <v>109</v>
      </c>
      <c r="L61" t="s">
        <v>976</v>
      </c>
      <c r="M61" t="s">
        <v>976</v>
      </c>
      <c r="N61" t="s">
        <v>107</v>
      </c>
      <c r="O61" t="s">
        <v>107</v>
      </c>
      <c r="P61" t="s">
        <v>106</v>
      </c>
      <c r="Q61" t="s">
        <v>106</v>
      </c>
      <c r="R61" t="s">
        <v>106</v>
      </c>
      <c r="S61" t="s">
        <v>970</v>
      </c>
      <c r="T61" t="s">
        <v>977</v>
      </c>
      <c r="U61" t="s">
        <v>147</v>
      </c>
      <c r="V61" t="s">
        <v>106</v>
      </c>
      <c r="W61" t="s">
        <v>954</v>
      </c>
      <c r="X61" t="s">
        <v>106</v>
      </c>
      <c r="Y61" t="s">
        <v>108</v>
      </c>
      <c r="Z61" t="s">
        <v>109</v>
      </c>
      <c r="AA61" t="s">
        <v>966</v>
      </c>
      <c r="AB61" t="s">
        <v>106</v>
      </c>
    </row>
    <row r="62" spans="2:28" x14ac:dyDescent="0.3">
      <c r="B62" t="s">
        <v>105</v>
      </c>
      <c r="C62" t="s">
        <v>927</v>
      </c>
      <c r="D62" t="s">
        <v>121</v>
      </c>
      <c r="E62" t="s">
        <v>456</v>
      </c>
      <c r="F62">
        <v>45743</v>
      </c>
      <c r="G62" t="s">
        <v>978</v>
      </c>
      <c r="H62">
        <v>45743</v>
      </c>
      <c r="I62" t="s">
        <v>951</v>
      </c>
      <c r="J62" t="s">
        <v>471</v>
      </c>
      <c r="K62" t="s">
        <v>109</v>
      </c>
      <c r="L62" t="s">
        <v>927</v>
      </c>
      <c r="M62" t="s">
        <v>927</v>
      </c>
      <c r="N62" t="s">
        <v>107</v>
      </c>
      <c r="O62" t="s">
        <v>107</v>
      </c>
      <c r="P62" t="s">
        <v>106</v>
      </c>
      <c r="Q62" t="s">
        <v>106</v>
      </c>
      <c r="R62" t="s">
        <v>106</v>
      </c>
      <c r="S62" t="s">
        <v>979</v>
      </c>
      <c r="T62" t="s">
        <v>806</v>
      </c>
      <c r="U62" t="s">
        <v>564</v>
      </c>
      <c r="V62" t="s">
        <v>106</v>
      </c>
      <c r="W62" t="s">
        <v>954</v>
      </c>
      <c r="X62" t="s">
        <v>106</v>
      </c>
      <c r="Y62" t="s">
        <v>108</v>
      </c>
      <c r="Z62" t="s">
        <v>105</v>
      </c>
      <c r="AA62" t="s">
        <v>106</v>
      </c>
      <c r="AB62" t="s">
        <v>106</v>
      </c>
    </row>
    <row r="63" spans="2:28" x14ac:dyDescent="0.3">
      <c r="B63" t="s">
        <v>105</v>
      </c>
      <c r="C63" t="s">
        <v>927</v>
      </c>
      <c r="D63" t="s">
        <v>122</v>
      </c>
      <c r="E63" t="s">
        <v>456</v>
      </c>
      <c r="F63">
        <v>45743</v>
      </c>
      <c r="G63" t="s">
        <v>573</v>
      </c>
      <c r="H63">
        <v>45743</v>
      </c>
      <c r="I63" t="s">
        <v>951</v>
      </c>
      <c r="J63" t="s">
        <v>471</v>
      </c>
      <c r="K63" t="s">
        <v>109</v>
      </c>
      <c r="L63" t="s">
        <v>927</v>
      </c>
      <c r="M63" t="s">
        <v>927</v>
      </c>
      <c r="N63" t="s">
        <v>107</v>
      </c>
      <c r="O63" t="s">
        <v>107</v>
      </c>
      <c r="P63" t="s">
        <v>106</v>
      </c>
      <c r="Q63" t="s">
        <v>106</v>
      </c>
      <c r="R63" t="s">
        <v>106</v>
      </c>
      <c r="S63" t="s">
        <v>980</v>
      </c>
      <c r="T63" t="s">
        <v>981</v>
      </c>
      <c r="U63" t="s">
        <v>867</v>
      </c>
      <c r="V63" t="s">
        <v>106</v>
      </c>
      <c r="W63" t="s">
        <v>954</v>
      </c>
      <c r="X63" t="s">
        <v>106</v>
      </c>
      <c r="Y63" t="s">
        <v>108</v>
      </c>
      <c r="Z63" t="s">
        <v>105</v>
      </c>
      <c r="AA63" t="s">
        <v>106</v>
      </c>
      <c r="AB63" t="s">
        <v>106</v>
      </c>
    </row>
    <row r="64" spans="2:28" x14ac:dyDescent="0.3">
      <c r="B64" t="s">
        <v>108</v>
      </c>
      <c r="C64" t="s">
        <v>918</v>
      </c>
      <c r="D64" t="s">
        <v>123</v>
      </c>
      <c r="E64" t="s">
        <v>456</v>
      </c>
      <c r="F64">
        <v>45743</v>
      </c>
      <c r="G64" t="s">
        <v>667</v>
      </c>
      <c r="H64">
        <v>45743</v>
      </c>
      <c r="I64" t="s">
        <v>982</v>
      </c>
      <c r="J64" t="s">
        <v>471</v>
      </c>
      <c r="K64" t="s">
        <v>109</v>
      </c>
      <c r="L64" t="s">
        <v>673</v>
      </c>
      <c r="M64" t="s">
        <v>941</v>
      </c>
      <c r="N64" t="s">
        <v>107</v>
      </c>
      <c r="O64" t="s">
        <v>107</v>
      </c>
      <c r="P64" t="s">
        <v>106</v>
      </c>
      <c r="Q64" t="s">
        <v>106</v>
      </c>
      <c r="R64" t="s">
        <v>106</v>
      </c>
      <c r="S64" t="s">
        <v>983</v>
      </c>
      <c r="T64" t="s">
        <v>984</v>
      </c>
      <c r="U64" t="s">
        <v>141</v>
      </c>
      <c r="V64" t="s">
        <v>106</v>
      </c>
      <c r="W64" t="s">
        <v>954</v>
      </c>
      <c r="X64" t="s">
        <v>106</v>
      </c>
      <c r="Y64" t="s">
        <v>108</v>
      </c>
      <c r="Z64" t="s">
        <v>108</v>
      </c>
      <c r="AA64" t="s">
        <v>955</v>
      </c>
      <c r="AB64" t="s">
        <v>106</v>
      </c>
    </row>
    <row r="65" spans="2:28" x14ac:dyDescent="0.3">
      <c r="B65" t="s">
        <v>108</v>
      </c>
      <c r="C65" t="s">
        <v>918</v>
      </c>
      <c r="D65" t="s">
        <v>124</v>
      </c>
      <c r="E65" t="s">
        <v>456</v>
      </c>
      <c r="F65">
        <v>45743</v>
      </c>
      <c r="G65" t="s">
        <v>985</v>
      </c>
      <c r="H65">
        <v>45743</v>
      </c>
      <c r="I65" t="s">
        <v>982</v>
      </c>
      <c r="J65" t="s">
        <v>471</v>
      </c>
      <c r="K65" t="s">
        <v>109</v>
      </c>
      <c r="L65" t="s">
        <v>986</v>
      </c>
      <c r="M65" t="s">
        <v>987</v>
      </c>
      <c r="N65" t="s">
        <v>107</v>
      </c>
      <c r="O65" t="s">
        <v>107</v>
      </c>
      <c r="P65" t="s">
        <v>106</v>
      </c>
      <c r="Q65" t="s">
        <v>106</v>
      </c>
      <c r="R65" t="s">
        <v>106</v>
      </c>
      <c r="S65" t="s">
        <v>988</v>
      </c>
      <c r="T65" t="s">
        <v>989</v>
      </c>
      <c r="U65" t="s">
        <v>360</v>
      </c>
      <c r="V65" t="s">
        <v>106</v>
      </c>
      <c r="W65" t="s">
        <v>954</v>
      </c>
      <c r="X65" t="s">
        <v>106</v>
      </c>
      <c r="Y65" t="s">
        <v>108</v>
      </c>
      <c r="Z65" t="s">
        <v>108</v>
      </c>
      <c r="AA65" t="s">
        <v>955</v>
      </c>
      <c r="AB65" t="s">
        <v>106</v>
      </c>
    </row>
    <row r="66" spans="2:28" x14ac:dyDescent="0.3">
      <c r="B66" t="s">
        <v>104</v>
      </c>
      <c r="C66" t="s">
        <v>921</v>
      </c>
      <c r="D66" t="s">
        <v>125</v>
      </c>
      <c r="E66" t="s">
        <v>456</v>
      </c>
      <c r="F66">
        <v>45743</v>
      </c>
      <c r="G66" t="s">
        <v>519</v>
      </c>
      <c r="H66">
        <v>45743</v>
      </c>
      <c r="I66" t="s">
        <v>982</v>
      </c>
      <c r="J66" t="s">
        <v>471</v>
      </c>
      <c r="K66" t="s">
        <v>109</v>
      </c>
      <c r="L66" t="s">
        <v>990</v>
      </c>
      <c r="M66" t="s">
        <v>991</v>
      </c>
      <c r="N66" t="s">
        <v>107</v>
      </c>
      <c r="O66" t="s">
        <v>107</v>
      </c>
      <c r="P66" t="s">
        <v>106</v>
      </c>
      <c r="Q66" t="s">
        <v>106</v>
      </c>
      <c r="R66" t="s">
        <v>106</v>
      </c>
      <c r="S66" t="s">
        <v>992</v>
      </c>
      <c r="T66" t="s">
        <v>993</v>
      </c>
      <c r="U66" t="s">
        <v>720</v>
      </c>
      <c r="V66" t="s">
        <v>106</v>
      </c>
      <c r="W66" t="s">
        <v>954</v>
      </c>
      <c r="X66" t="s">
        <v>106</v>
      </c>
      <c r="Y66" t="s">
        <v>108</v>
      </c>
      <c r="Z66" t="s">
        <v>104</v>
      </c>
      <c r="AA66" t="s">
        <v>966</v>
      </c>
      <c r="AB66" t="s">
        <v>106</v>
      </c>
    </row>
    <row r="67" spans="2:28" x14ac:dyDescent="0.3">
      <c r="B67" t="s">
        <v>104</v>
      </c>
      <c r="C67" t="s">
        <v>921</v>
      </c>
      <c r="D67" t="s">
        <v>126</v>
      </c>
      <c r="E67" t="s">
        <v>456</v>
      </c>
      <c r="F67">
        <v>45743</v>
      </c>
      <c r="G67" t="s">
        <v>562</v>
      </c>
      <c r="H67">
        <v>45743</v>
      </c>
      <c r="I67" t="s">
        <v>982</v>
      </c>
      <c r="J67" t="s">
        <v>471</v>
      </c>
      <c r="K67" t="s">
        <v>109</v>
      </c>
      <c r="L67" t="s">
        <v>994</v>
      </c>
      <c r="M67" t="s">
        <v>994</v>
      </c>
      <c r="N67" t="s">
        <v>107</v>
      </c>
      <c r="O67" t="s">
        <v>107</v>
      </c>
      <c r="P67" t="s">
        <v>106</v>
      </c>
      <c r="Q67" t="s">
        <v>106</v>
      </c>
      <c r="R67" t="s">
        <v>106</v>
      </c>
      <c r="S67" t="s">
        <v>995</v>
      </c>
      <c r="T67" t="s">
        <v>996</v>
      </c>
      <c r="U67" t="s">
        <v>997</v>
      </c>
      <c r="V67" t="s">
        <v>106</v>
      </c>
      <c r="W67" t="s">
        <v>954</v>
      </c>
      <c r="X67" t="s">
        <v>106</v>
      </c>
      <c r="Y67" t="s">
        <v>108</v>
      </c>
      <c r="Z67" t="s">
        <v>104</v>
      </c>
      <c r="AA67" t="s">
        <v>966</v>
      </c>
      <c r="AB67" t="s">
        <v>106</v>
      </c>
    </row>
    <row r="68" spans="2:28" x14ac:dyDescent="0.3">
      <c r="B68" t="s">
        <v>109</v>
      </c>
      <c r="C68" t="s">
        <v>643</v>
      </c>
      <c r="D68" t="s">
        <v>127</v>
      </c>
      <c r="E68" t="s">
        <v>456</v>
      </c>
      <c r="F68">
        <v>45743</v>
      </c>
      <c r="G68" t="s">
        <v>998</v>
      </c>
      <c r="H68">
        <v>45743</v>
      </c>
      <c r="I68" t="s">
        <v>982</v>
      </c>
      <c r="J68" t="s">
        <v>471</v>
      </c>
      <c r="K68" t="s">
        <v>109</v>
      </c>
      <c r="L68" t="s">
        <v>999</v>
      </c>
      <c r="M68" t="s">
        <v>846</v>
      </c>
      <c r="N68" t="s">
        <v>107</v>
      </c>
      <c r="O68" t="s">
        <v>107</v>
      </c>
      <c r="P68" t="s">
        <v>106</v>
      </c>
      <c r="Q68" t="s">
        <v>106</v>
      </c>
      <c r="R68" t="s">
        <v>106</v>
      </c>
      <c r="S68" t="s">
        <v>970</v>
      </c>
      <c r="T68" t="s">
        <v>1000</v>
      </c>
      <c r="U68" t="s">
        <v>720</v>
      </c>
      <c r="V68" t="s">
        <v>106</v>
      </c>
      <c r="W68" t="s">
        <v>954</v>
      </c>
      <c r="X68" t="s">
        <v>106</v>
      </c>
      <c r="Y68" t="s">
        <v>108</v>
      </c>
      <c r="Z68" t="s">
        <v>109</v>
      </c>
      <c r="AA68" t="s">
        <v>966</v>
      </c>
      <c r="AB68" t="s">
        <v>106</v>
      </c>
    </row>
    <row r="69" spans="2:28" x14ac:dyDescent="0.3">
      <c r="B69" t="s">
        <v>109</v>
      </c>
      <c r="C69" t="s">
        <v>643</v>
      </c>
      <c r="D69" t="s">
        <v>129</v>
      </c>
      <c r="E69" t="s">
        <v>456</v>
      </c>
      <c r="F69">
        <v>45743</v>
      </c>
      <c r="G69" t="s">
        <v>1001</v>
      </c>
      <c r="H69">
        <v>45743</v>
      </c>
      <c r="I69" t="s">
        <v>982</v>
      </c>
      <c r="J69" t="s">
        <v>471</v>
      </c>
      <c r="K69" t="s">
        <v>109</v>
      </c>
      <c r="L69" t="s">
        <v>1002</v>
      </c>
      <c r="M69" t="s">
        <v>1002</v>
      </c>
      <c r="N69" t="s">
        <v>107</v>
      </c>
      <c r="O69" t="s">
        <v>107</v>
      </c>
      <c r="P69" t="s">
        <v>106</v>
      </c>
      <c r="Q69" t="s">
        <v>106</v>
      </c>
      <c r="R69" t="s">
        <v>106</v>
      </c>
      <c r="S69" t="s">
        <v>1003</v>
      </c>
      <c r="T69" t="s">
        <v>1004</v>
      </c>
      <c r="U69" t="s">
        <v>997</v>
      </c>
      <c r="V69" t="s">
        <v>106</v>
      </c>
      <c r="W69" t="s">
        <v>954</v>
      </c>
      <c r="X69" t="s">
        <v>106</v>
      </c>
      <c r="Y69" t="s">
        <v>108</v>
      </c>
      <c r="Z69" t="s">
        <v>109</v>
      </c>
      <c r="AA69" t="s">
        <v>966</v>
      </c>
      <c r="AB69" t="s">
        <v>106</v>
      </c>
    </row>
    <row r="70" spans="2:28" x14ac:dyDescent="0.3">
      <c r="B70" t="s">
        <v>108</v>
      </c>
      <c r="C70" t="s">
        <v>918</v>
      </c>
      <c r="D70" t="s">
        <v>130</v>
      </c>
      <c r="E70" t="s">
        <v>456</v>
      </c>
      <c r="F70">
        <v>45744</v>
      </c>
      <c r="G70" t="s">
        <v>507</v>
      </c>
      <c r="H70">
        <v>45744</v>
      </c>
      <c r="I70" t="s">
        <v>1005</v>
      </c>
      <c r="J70" t="s">
        <v>458</v>
      </c>
      <c r="K70" t="s">
        <v>109</v>
      </c>
      <c r="L70" t="s">
        <v>986</v>
      </c>
      <c r="M70" t="s">
        <v>987</v>
      </c>
      <c r="N70" t="s">
        <v>107</v>
      </c>
      <c r="O70" t="s">
        <v>107</v>
      </c>
      <c r="P70" t="s">
        <v>106</v>
      </c>
      <c r="Q70" t="s">
        <v>106</v>
      </c>
      <c r="R70" t="s">
        <v>106</v>
      </c>
      <c r="S70" t="s">
        <v>106</v>
      </c>
      <c r="T70" t="s">
        <v>1006</v>
      </c>
      <c r="U70" t="s">
        <v>426</v>
      </c>
      <c r="V70" t="s">
        <v>106</v>
      </c>
      <c r="W70" t="s">
        <v>443</v>
      </c>
      <c r="X70" t="s">
        <v>106</v>
      </c>
      <c r="Y70" t="s">
        <v>108</v>
      </c>
      <c r="Z70" t="s">
        <v>108</v>
      </c>
      <c r="AA70" t="s">
        <v>966</v>
      </c>
      <c r="AB70" t="s">
        <v>106</v>
      </c>
    </row>
    <row r="71" spans="2:28" x14ac:dyDescent="0.3">
      <c r="B71" t="s">
        <v>108</v>
      </c>
      <c r="C71" t="s">
        <v>918</v>
      </c>
      <c r="D71" t="s">
        <v>451</v>
      </c>
      <c r="E71" t="s">
        <v>456</v>
      </c>
      <c r="F71">
        <v>45744</v>
      </c>
      <c r="G71" t="s">
        <v>1007</v>
      </c>
      <c r="H71">
        <v>45744</v>
      </c>
      <c r="I71" t="s">
        <v>1005</v>
      </c>
      <c r="J71" t="s">
        <v>458</v>
      </c>
      <c r="K71" t="s">
        <v>109</v>
      </c>
      <c r="L71" t="s">
        <v>576</v>
      </c>
      <c r="M71" t="s">
        <v>1008</v>
      </c>
      <c r="N71" t="s">
        <v>107</v>
      </c>
      <c r="O71" t="s">
        <v>107</v>
      </c>
      <c r="P71" t="s">
        <v>106</v>
      </c>
      <c r="Q71" t="s">
        <v>106</v>
      </c>
      <c r="R71" t="s">
        <v>106</v>
      </c>
      <c r="S71" t="s">
        <v>1009</v>
      </c>
      <c r="T71" t="s">
        <v>971</v>
      </c>
      <c r="U71" t="s">
        <v>997</v>
      </c>
      <c r="V71" t="s">
        <v>106</v>
      </c>
      <c r="W71" t="s">
        <v>443</v>
      </c>
      <c r="X71" t="s">
        <v>106</v>
      </c>
      <c r="Y71" t="s">
        <v>108</v>
      </c>
      <c r="Z71" t="s">
        <v>108</v>
      </c>
      <c r="AA71" t="s">
        <v>966</v>
      </c>
      <c r="AB71" t="s">
        <v>106</v>
      </c>
    </row>
    <row r="72" spans="2:28" x14ac:dyDescent="0.3">
      <c r="B72" t="s">
        <v>104</v>
      </c>
      <c r="C72" t="s">
        <v>921</v>
      </c>
      <c r="D72" t="s">
        <v>453</v>
      </c>
      <c r="E72" t="s">
        <v>456</v>
      </c>
      <c r="F72">
        <v>45744</v>
      </c>
      <c r="G72" t="s">
        <v>1010</v>
      </c>
      <c r="H72">
        <v>45744</v>
      </c>
      <c r="I72" t="s">
        <v>1005</v>
      </c>
      <c r="J72" t="s">
        <v>458</v>
      </c>
      <c r="K72" t="s">
        <v>109</v>
      </c>
      <c r="L72" t="s">
        <v>1011</v>
      </c>
      <c r="M72" t="s">
        <v>1012</v>
      </c>
      <c r="N72" t="s">
        <v>107</v>
      </c>
      <c r="O72" t="s">
        <v>107</v>
      </c>
      <c r="P72" t="s">
        <v>106</v>
      </c>
      <c r="Q72" t="s">
        <v>106</v>
      </c>
      <c r="R72" t="s">
        <v>106</v>
      </c>
      <c r="S72" t="s">
        <v>106</v>
      </c>
      <c r="T72" t="s">
        <v>984</v>
      </c>
      <c r="U72" t="s">
        <v>719</v>
      </c>
      <c r="V72" t="s">
        <v>106</v>
      </c>
      <c r="W72" t="s">
        <v>443</v>
      </c>
      <c r="X72" t="s">
        <v>106</v>
      </c>
      <c r="Y72" t="s">
        <v>108</v>
      </c>
      <c r="Z72" t="s">
        <v>104</v>
      </c>
      <c r="AA72" t="s">
        <v>966</v>
      </c>
      <c r="AB72" t="s">
        <v>106</v>
      </c>
    </row>
    <row r="73" spans="2:28" x14ac:dyDescent="0.3">
      <c r="B73" t="s">
        <v>104</v>
      </c>
      <c r="C73" t="s">
        <v>921</v>
      </c>
      <c r="D73" t="s">
        <v>455</v>
      </c>
      <c r="E73" t="s">
        <v>456</v>
      </c>
      <c r="F73">
        <v>45744</v>
      </c>
      <c r="G73" t="s">
        <v>1013</v>
      </c>
      <c r="H73">
        <v>45744</v>
      </c>
      <c r="I73" t="s">
        <v>1005</v>
      </c>
      <c r="J73" t="s">
        <v>458</v>
      </c>
      <c r="K73" t="s">
        <v>109</v>
      </c>
      <c r="L73" t="s">
        <v>991</v>
      </c>
      <c r="M73" t="s">
        <v>1014</v>
      </c>
      <c r="N73" t="s">
        <v>107</v>
      </c>
      <c r="O73" t="s">
        <v>107</v>
      </c>
      <c r="P73" t="s">
        <v>106</v>
      </c>
      <c r="Q73" t="s">
        <v>106</v>
      </c>
      <c r="R73" t="s">
        <v>106</v>
      </c>
      <c r="S73" t="s">
        <v>1015</v>
      </c>
      <c r="T73" t="s">
        <v>1016</v>
      </c>
      <c r="U73" t="s">
        <v>138</v>
      </c>
      <c r="V73" t="s">
        <v>106</v>
      </c>
      <c r="W73" t="s">
        <v>443</v>
      </c>
      <c r="X73" t="s">
        <v>106</v>
      </c>
      <c r="Y73" t="s">
        <v>108</v>
      </c>
      <c r="Z73" t="s">
        <v>104</v>
      </c>
      <c r="AA73" t="s">
        <v>966</v>
      </c>
      <c r="AB73" t="s">
        <v>106</v>
      </c>
    </row>
    <row r="74" spans="2:28" x14ac:dyDescent="0.3">
      <c r="B74" t="s">
        <v>109</v>
      </c>
      <c r="C74" t="s">
        <v>643</v>
      </c>
      <c r="D74" t="s">
        <v>819</v>
      </c>
      <c r="E74" t="s">
        <v>456</v>
      </c>
      <c r="F74">
        <v>45744</v>
      </c>
      <c r="G74" t="s">
        <v>1017</v>
      </c>
      <c r="H74">
        <v>45744</v>
      </c>
      <c r="I74" t="s">
        <v>1005</v>
      </c>
      <c r="J74" t="s">
        <v>458</v>
      </c>
      <c r="K74" t="s">
        <v>109</v>
      </c>
      <c r="L74" t="s">
        <v>1018</v>
      </c>
      <c r="M74" t="s">
        <v>509</v>
      </c>
      <c r="N74" t="s">
        <v>107</v>
      </c>
      <c r="O74" t="s">
        <v>107</v>
      </c>
      <c r="P74" t="s">
        <v>106</v>
      </c>
      <c r="Q74" t="s">
        <v>106</v>
      </c>
      <c r="R74" t="s">
        <v>106</v>
      </c>
      <c r="S74" t="s">
        <v>106</v>
      </c>
      <c r="T74" t="s">
        <v>984</v>
      </c>
      <c r="U74" t="s">
        <v>867</v>
      </c>
      <c r="V74" t="s">
        <v>106</v>
      </c>
      <c r="W74" t="s">
        <v>443</v>
      </c>
      <c r="X74" t="s">
        <v>106</v>
      </c>
      <c r="Y74" t="s">
        <v>108</v>
      </c>
      <c r="Z74" t="s">
        <v>109</v>
      </c>
      <c r="AA74" t="s">
        <v>966</v>
      </c>
      <c r="AB74" t="s">
        <v>106</v>
      </c>
    </row>
    <row r="75" spans="2:28" x14ac:dyDescent="0.3">
      <c r="B75" t="s">
        <v>109</v>
      </c>
      <c r="C75" t="s">
        <v>643</v>
      </c>
      <c r="D75" t="s">
        <v>1019</v>
      </c>
      <c r="E75" t="s">
        <v>456</v>
      </c>
      <c r="F75">
        <v>45744</v>
      </c>
      <c r="G75" t="s">
        <v>1017</v>
      </c>
      <c r="H75">
        <v>45744</v>
      </c>
      <c r="I75" t="s">
        <v>1005</v>
      </c>
      <c r="J75" t="s">
        <v>458</v>
      </c>
      <c r="K75" t="s">
        <v>109</v>
      </c>
      <c r="L75" t="s">
        <v>1020</v>
      </c>
      <c r="M75" t="s">
        <v>1021</v>
      </c>
      <c r="N75" t="s">
        <v>107</v>
      </c>
      <c r="O75" t="s">
        <v>107</v>
      </c>
      <c r="P75" t="s">
        <v>106</v>
      </c>
      <c r="Q75" t="s">
        <v>106</v>
      </c>
      <c r="R75" t="s">
        <v>106</v>
      </c>
      <c r="S75" t="s">
        <v>106</v>
      </c>
      <c r="T75" t="s">
        <v>1022</v>
      </c>
      <c r="U75" t="s">
        <v>147</v>
      </c>
      <c r="V75" t="s">
        <v>106</v>
      </c>
      <c r="W75" t="s">
        <v>443</v>
      </c>
      <c r="X75" t="s">
        <v>106</v>
      </c>
      <c r="Y75" t="s">
        <v>108</v>
      </c>
      <c r="Z75" t="s">
        <v>109</v>
      </c>
      <c r="AA75" t="s">
        <v>966</v>
      </c>
      <c r="AB75" t="s">
        <v>106</v>
      </c>
    </row>
    <row r="76" spans="2:28" x14ac:dyDescent="0.3">
      <c r="B76" t="s">
        <v>109</v>
      </c>
      <c r="C76" t="s">
        <v>643</v>
      </c>
      <c r="D76" t="s">
        <v>1023</v>
      </c>
      <c r="E76" t="s">
        <v>456</v>
      </c>
      <c r="F76">
        <v>45744</v>
      </c>
      <c r="G76" t="s">
        <v>1024</v>
      </c>
      <c r="H76">
        <v>45744</v>
      </c>
      <c r="I76" t="s">
        <v>1005</v>
      </c>
      <c r="J76" t="s">
        <v>458</v>
      </c>
      <c r="K76" t="s">
        <v>109</v>
      </c>
      <c r="L76" t="s">
        <v>1020</v>
      </c>
      <c r="M76" t="s">
        <v>1021</v>
      </c>
      <c r="N76" t="s">
        <v>107</v>
      </c>
      <c r="O76" t="s">
        <v>107</v>
      </c>
      <c r="P76" t="s">
        <v>106</v>
      </c>
      <c r="Q76" t="s">
        <v>106</v>
      </c>
      <c r="R76" t="s">
        <v>106</v>
      </c>
      <c r="S76" t="s">
        <v>1025</v>
      </c>
      <c r="T76" t="s">
        <v>1022</v>
      </c>
      <c r="U76" t="s">
        <v>441</v>
      </c>
      <c r="V76" t="s">
        <v>106</v>
      </c>
      <c r="W76" t="s">
        <v>443</v>
      </c>
      <c r="X76" t="s">
        <v>106</v>
      </c>
      <c r="Y76" t="s">
        <v>108</v>
      </c>
      <c r="Z76" t="s">
        <v>109</v>
      </c>
      <c r="AA76" t="s">
        <v>966</v>
      </c>
      <c r="AB76" t="s">
        <v>106</v>
      </c>
    </row>
    <row r="77" spans="2:28" x14ac:dyDescent="0.3">
      <c r="B77" t="s">
        <v>108</v>
      </c>
      <c r="C77" t="s">
        <v>918</v>
      </c>
      <c r="D77" t="s">
        <v>1026</v>
      </c>
      <c r="E77" t="s">
        <v>1027</v>
      </c>
      <c r="F77">
        <v>45744</v>
      </c>
      <c r="G77" t="s">
        <v>1028</v>
      </c>
      <c r="H77">
        <v>45744</v>
      </c>
      <c r="I77" t="s">
        <v>1029</v>
      </c>
      <c r="J77" t="s">
        <v>458</v>
      </c>
      <c r="K77" t="s">
        <v>109</v>
      </c>
      <c r="L77" t="s">
        <v>763</v>
      </c>
      <c r="M77" t="s">
        <v>879</v>
      </c>
      <c r="N77" t="s">
        <v>107</v>
      </c>
      <c r="O77" t="s">
        <v>107</v>
      </c>
      <c r="P77" t="s">
        <v>106</v>
      </c>
      <c r="Q77" t="s">
        <v>106</v>
      </c>
      <c r="R77" t="s">
        <v>106</v>
      </c>
      <c r="S77" t="s">
        <v>106</v>
      </c>
      <c r="T77" t="s">
        <v>756</v>
      </c>
      <c r="U77" t="s">
        <v>720</v>
      </c>
      <c r="V77" t="s">
        <v>106</v>
      </c>
      <c r="W77" t="s">
        <v>557</v>
      </c>
      <c r="X77" t="s">
        <v>106</v>
      </c>
      <c r="Y77" t="s">
        <v>108</v>
      </c>
      <c r="Z77" t="s">
        <v>108</v>
      </c>
      <c r="AA77" t="s">
        <v>966</v>
      </c>
      <c r="AB77" t="s">
        <v>106</v>
      </c>
    </row>
    <row r="78" spans="2:28" x14ac:dyDescent="0.3">
      <c r="B78" t="s">
        <v>108</v>
      </c>
      <c r="C78" t="s">
        <v>918</v>
      </c>
      <c r="D78" t="s">
        <v>1030</v>
      </c>
      <c r="E78" t="s">
        <v>1027</v>
      </c>
      <c r="F78">
        <v>45744</v>
      </c>
      <c r="G78" t="s">
        <v>1031</v>
      </c>
      <c r="H78">
        <v>45744</v>
      </c>
      <c r="I78" t="s">
        <v>1029</v>
      </c>
      <c r="J78" t="s">
        <v>458</v>
      </c>
      <c r="K78" t="s">
        <v>109</v>
      </c>
      <c r="L78" t="s">
        <v>959</v>
      </c>
      <c r="M78" t="s">
        <v>958</v>
      </c>
      <c r="N78" t="s">
        <v>107</v>
      </c>
      <c r="O78" t="s">
        <v>107</v>
      </c>
      <c r="P78" t="s">
        <v>106</v>
      </c>
      <c r="Q78" t="s">
        <v>106</v>
      </c>
      <c r="R78" t="s">
        <v>106</v>
      </c>
      <c r="S78" t="s">
        <v>1032</v>
      </c>
      <c r="T78" t="s">
        <v>882</v>
      </c>
      <c r="U78" t="s">
        <v>904</v>
      </c>
      <c r="V78" t="s">
        <v>106</v>
      </c>
      <c r="W78" t="s">
        <v>557</v>
      </c>
      <c r="X78" t="s">
        <v>106</v>
      </c>
      <c r="Y78" t="s">
        <v>108</v>
      </c>
      <c r="Z78" t="s">
        <v>108</v>
      </c>
      <c r="AA78" t="s">
        <v>966</v>
      </c>
      <c r="AB78" t="s">
        <v>106</v>
      </c>
    </row>
    <row r="79" spans="2:28" x14ac:dyDescent="0.3">
      <c r="B79" t="s">
        <v>104</v>
      </c>
      <c r="C79" t="s">
        <v>921</v>
      </c>
      <c r="D79" t="s">
        <v>1033</v>
      </c>
      <c r="E79" t="s">
        <v>1027</v>
      </c>
      <c r="F79">
        <v>45744</v>
      </c>
      <c r="G79" t="s">
        <v>1034</v>
      </c>
      <c r="H79">
        <v>45744</v>
      </c>
      <c r="I79" t="s">
        <v>1029</v>
      </c>
      <c r="J79" t="s">
        <v>458</v>
      </c>
      <c r="K79" t="s">
        <v>109</v>
      </c>
      <c r="L79" t="s">
        <v>1035</v>
      </c>
      <c r="M79" t="s">
        <v>921</v>
      </c>
      <c r="N79" t="s">
        <v>107</v>
      </c>
      <c r="O79" t="s">
        <v>107</v>
      </c>
      <c r="P79" t="s">
        <v>106</v>
      </c>
      <c r="Q79" t="s">
        <v>106</v>
      </c>
      <c r="R79" t="s">
        <v>106</v>
      </c>
      <c r="S79" t="s">
        <v>1036</v>
      </c>
      <c r="T79" t="s">
        <v>829</v>
      </c>
      <c r="U79" t="s">
        <v>719</v>
      </c>
      <c r="V79" t="s">
        <v>106</v>
      </c>
      <c r="W79" t="s">
        <v>557</v>
      </c>
      <c r="X79" t="s">
        <v>106</v>
      </c>
      <c r="Y79" t="s">
        <v>108</v>
      </c>
      <c r="Z79" t="s">
        <v>104</v>
      </c>
      <c r="AA79" t="s">
        <v>966</v>
      </c>
      <c r="AB79" t="s">
        <v>106</v>
      </c>
    </row>
    <row r="80" spans="2:28" x14ac:dyDescent="0.3">
      <c r="B80" t="s">
        <v>104</v>
      </c>
      <c r="C80" t="s">
        <v>921</v>
      </c>
      <c r="D80" t="s">
        <v>1037</v>
      </c>
      <c r="E80" t="s">
        <v>1027</v>
      </c>
      <c r="F80">
        <v>45744</v>
      </c>
      <c r="G80" t="s">
        <v>1038</v>
      </c>
      <c r="H80">
        <v>45744</v>
      </c>
      <c r="I80" t="s">
        <v>1029</v>
      </c>
      <c r="J80" t="s">
        <v>458</v>
      </c>
      <c r="K80" t="s">
        <v>109</v>
      </c>
      <c r="L80" t="s">
        <v>1039</v>
      </c>
      <c r="M80" t="s">
        <v>1039</v>
      </c>
      <c r="N80" t="s">
        <v>107</v>
      </c>
      <c r="O80" t="s">
        <v>107</v>
      </c>
      <c r="P80" t="s">
        <v>106</v>
      </c>
      <c r="Q80" t="s">
        <v>106</v>
      </c>
      <c r="R80" t="s">
        <v>106</v>
      </c>
      <c r="S80" t="s">
        <v>1040</v>
      </c>
      <c r="T80" t="s">
        <v>1041</v>
      </c>
      <c r="U80" t="s">
        <v>141</v>
      </c>
      <c r="V80" t="s">
        <v>106</v>
      </c>
      <c r="W80" t="s">
        <v>557</v>
      </c>
      <c r="X80" t="s">
        <v>106</v>
      </c>
      <c r="Y80" t="s">
        <v>108</v>
      </c>
      <c r="Z80" t="s">
        <v>104</v>
      </c>
      <c r="AA80" t="s">
        <v>966</v>
      </c>
      <c r="AB80" t="s">
        <v>106</v>
      </c>
    </row>
    <row r="81" spans="2:28" x14ac:dyDescent="0.3">
      <c r="B81" t="s">
        <v>109</v>
      </c>
      <c r="C81" t="s">
        <v>643</v>
      </c>
      <c r="D81" t="s">
        <v>1042</v>
      </c>
      <c r="E81" t="s">
        <v>1027</v>
      </c>
      <c r="F81">
        <v>45744</v>
      </c>
      <c r="G81" t="s">
        <v>1043</v>
      </c>
      <c r="H81">
        <v>45744</v>
      </c>
      <c r="I81" t="s">
        <v>1029</v>
      </c>
      <c r="J81" t="s">
        <v>458</v>
      </c>
      <c r="K81" t="s">
        <v>109</v>
      </c>
      <c r="L81" t="s">
        <v>655</v>
      </c>
      <c r="M81" t="s">
        <v>1044</v>
      </c>
      <c r="N81" t="s">
        <v>107</v>
      </c>
      <c r="O81" t="s">
        <v>107</v>
      </c>
      <c r="P81" t="s">
        <v>106</v>
      </c>
      <c r="Q81" t="s">
        <v>106</v>
      </c>
      <c r="R81" t="s">
        <v>106</v>
      </c>
      <c r="S81" t="s">
        <v>1045</v>
      </c>
      <c r="T81" t="s">
        <v>1046</v>
      </c>
      <c r="U81" t="s">
        <v>440</v>
      </c>
      <c r="V81" t="s">
        <v>106</v>
      </c>
      <c r="W81" t="s">
        <v>557</v>
      </c>
      <c r="X81" t="s">
        <v>106</v>
      </c>
      <c r="Y81" t="s">
        <v>108</v>
      </c>
      <c r="Z81" t="s">
        <v>109</v>
      </c>
      <c r="AA81" t="s">
        <v>966</v>
      </c>
      <c r="AB81" t="s">
        <v>106</v>
      </c>
    </row>
    <row r="82" spans="2:28" x14ac:dyDescent="0.3">
      <c r="B82" t="s">
        <v>109</v>
      </c>
      <c r="C82" t="s">
        <v>643</v>
      </c>
      <c r="D82" t="s">
        <v>1047</v>
      </c>
      <c r="E82" t="s">
        <v>1027</v>
      </c>
      <c r="F82">
        <v>45744</v>
      </c>
      <c r="G82" t="s">
        <v>1043</v>
      </c>
      <c r="H82">
        <v>45744</v>
      </c>
      <c r="I82" t="s">
        <v>1029</v>
      </c>
      <c r="J82" t="s">
        <v>458</v>
      </c>
      <c r="K82" t="s">
        <v>109</v>
      </c>
      <c r="L82" t="s">
        <v>655</v>
      </c>
      <c r="M82" t="s">
        <v>655</v>
      </c>
      <c r="N82" t="s">
        <v>107</v>
      </c>
      <c r="O82" t="s">
        <v>107</v>
      </c>
      <c r="P82" t="s">
        <v>106</v>
      </c>
      <c r="Q82" t="s">
        <v>106</v>
      </c>
      <c r="R82" t="s">
        <v>106</v>
      </c>
      <c r="S82" t="s">
        <v>1048</v>
      </c>
      <c r="T82" t="s">
        <v>1049</v>
      </c>
      <c r="U82" t="s">
        <v>426</v>
      </c>
      <c r="V82" t="s">
        <v>106</v>
      </c>
      <c r="W82" t="s">
        <v>557</v>
      </c>
      <c r="X82" t="s">
        <v>106</v>
      </c>
      <c r="Y82" t="s">
        <v>108</v>
      </c>
      <c r="Z82" t="s">
        <v>109</v>
      </c>
      <c r="AA82" t="s">
        <v>966</v>
      </c>
      <c r="AB82" t="s">
        <v>106</v>
      </c>
    </row>
    <row r="83" spans="2:28" x14ac:dyDescent="0.3">
      <c r="B83" t="s">
        <v>108</v>
      </c>
      <c r="C83" t="s">
        <v>918</v>
      </c>
      <c r="D83" t="s">
        <v>1050</v>
      </c>
      <c r="E83" t="s">
        <v>1027</v>
      </c>
      <c r="F83">
        <v>45744</v>
      </c>
      <c r="G83" t="s">
        <v>1051</v>
      </c>
      <c r="H83">
        <v>45744</v>
      </c>
      <c r="I83" t="s">
        <v>1052</v>
      </c>
      <c r="J83" t="s">
        <v>458</v>
      </c>
      <c r="K83" t="s">
        <v>109</v>
      </c>
      <c r="L83" t="s">
        <v>576</v>
      </c>
      <c r="M83" t="s">
        <v>576</v>
      </c>
      <c r="N83" t="s">
        <v>107</v>
      </c>
      <c r="O83" t="s">
        <v>107</v>
      </c>
      <c r="P83" t="s">
        <v>106</v>
      </c>
      <c r="Q83" t="s">
        <v>106</v>
      </c>
      <c r="R83" t="s">
        <v>106</v>
      </c>
      <c r="S83" t="s">
        <v>106</v>
      </c>
      <c r="T83" t="s">
        <v>1049</v>
      </c>
      <c r="U83" t="s">
        <v>144</v>
      </c>
      <c r="V83" t="s">
        <v>106</v>
      </c>
      <c r="W83" t="s">
        <v>557</v>
      </c>
      <c r="X83" t="s">
        <v>106</v>
      </c>
      <c r="Y83" t="s">
        <v>108</v>
      </c>
      <c r="Z83" t="s">
        <v>108</v>
      </c>
      <c r="AA83" t="s">
        <v>966</v>
      </c>
      <c r="AB83" t="s">
        <v>106</v>
      </c>
    </row>
    <row r="84" spans="2:28" x14ac:dyDescent="0.3">
      <c r="B84" t="s">
        <v>104</v>
      </c>
      <c r="C84" t="s">
        <v>921</v>
      </c>
      <c r="D84" t="s">
        <v>1053</v>
      </c>
      <c r="E84" t="s">
        <v>1027</v>
      </c>
      <c r="F84">
        <v>45744</v>
      </c>
      <c r="G84" t="s">
        <v>560</v>
      </c>
      <c r="H84">
        <v>45744</v>
      </c>
      <c r="I84" t="s">
        <v>1052</v>
      </c>
      <c r="J84" t="s">
        <v>458</v>
      </c>
      <c r="K84" t="s">
        <v>109</v>
      </c>
      <c r="L84" t="s">
        <v>1054</v>
      </c>
      <c r="M84" t="s">
        <v>1055</v>
      </c>
      <c r="N84" t="s">
        <v>107</v>
      </c>
      <c r="O84" t="s">
        <v>107</v>
      </c>
      <c r="P84" t="s">
        <v>106</v>
      </c>
      <c r="Q84" t="s">
        <v>106</v>
      </c>
      <c r="R84" t="s">
        <v>106</v>
      </c>
      <c r="S84" t="s">
        <v>1056</v>
      </c>
      <c r="T84" t="s">
        <v>1057</v>
      </c>
      <c r="U84" t="s">
        <v>426</v>
      </c>
      <c r="V84" t="s">
        <v>106</v>
      </c>
      <c r="W84" t="s">
        <v>557</v>
      </c>
      <c r="X84" t="s">
        <v>106</v>
      </c>
      <c r="Y84" t="s">
        <v>108</v>
      </c>
      <c r="Z84" t="s">
        <v>104</v>
      </c>
      <c r="AA84" t="s">
        <v>966</v>
      </c>
      <c r="AB84" t="s">
        <v>106</v>
      </c>
    </row>
    <row r="85" spans="2:28" x14ac:dyDescent="0.3">
      <c r="B85" t="s">
        <v>104</v>
      </c>
      <c r="C85" t="s">
        <v>921</v>
      </c>
      <c r="D85" t="s">
        <v>1058</v>
      </c>
      <c r="E85" t="s">
        <v>1027</v>
      </c>
      <c r="F85">
        <v>45744</v>
      </c>
      <c r="G85" t="s">
        <v>877</v>
      </c>
      <c r="H85">
        <v>45744</v>
      </c>
      <c r="I85" t="s">
        <v>1052</v>
      </c>
      <c r="J85" t="s">
        <v>458</v>
      </c>
      <c r="K85" t="s">
        <v>109</v>
      </c>
      <c r="L85" t="s">
        <v>923</v>
      </c>
      <c r="M85" t="s">
        <v>1059</v>
      </c>
      <c r="N85" t="s">
        <v>107</v>
      </c>
      <c r="O85" t="s">
        <v>107</v>
      </c>
      <c r="P85" t="s">
        <v>106</v>
      </c>
      <c r="Q85" t="s">
        <v>106</v>
      </c>
      <c r="R85" t="s">
        <v>106</v>
      </c>
      <c r="S85" t="s">
        <v>106</v>
      </c>
      <c r="T85" t="s">
        <v>1060</v>
      </c>
      <c r="U85" t="s">
        <v>360</v>
      </c>
      <c r="V85" t="s">
        <v>106</v>
      </c>
      <c r="W85" t="s">
        <v>557</v>
      </c>
      <c r="X85" t="s">
        <v>106</v>
      </c>
      <c r="Y85" t="s">
        <v>108</v>
      </c>
      <c r="Z85" t="s">
        <v>104</v>
      </c>
      <c r="AA85" t="s">
        <v>966</v>
      </c>
      <c r="AB85" t="s">
        <v>106</v>
      </c>
    </row>
    <row r="86" spans="2:28" x14ac:dyDescent="0.3">
      <c r="B86" t="s">
        <v>109</v>
      </c>
      <c r="C86" t="s">
        <v>643</v>
      </c>
      <c r="D86" t="s">
        <v>1061</v>
      </c>
      <c r="E86" t="s">
        <v>1027</v>
      </c>
      <c r="F86">
        <v>45744</v>
      </c>
      <c r="G86" t="s">
        <v>488</v>
      </c>
      <c r="H86">
        <v>45744</v>
      </c>
      <c r="I86" t="s">
        <v>1052</v>
      </c>
      <c r="J86" t="s">
        <v>458</v>
      </c>
      <c r="K86" t="s">
        <v>109</v>
      </c>
      <c r="L86" t="s">
        <v>1044</v>
      </c>
      <c r="M86" t="s">
        <v>1062</v>
      </c>
      <c r="N86" t="s">
        <v>107</v>
      </c>
      <c r="O86" t="s">
        <v>107</v>
      </c>
      <c r="P86" t="s">
        <v>106</v>
      </c>
      <c r="Q86" t="s">
        <v>106</v>
      </c>
      <c r="R86" t="s">
        <v>106</v>
      </c>
      <c r="S86" t="s">
        <v>1045</v>
      </c>
      <c r="T86" t="s">
        <v>1063</v>
      </c>
      <c r="U86" t="s">
        <v>361</v>
      </c>
      <c r="V86" t="s">
        <v>106</v>
      </c>
      <c r="W86" t="s">
        <v>557</v>
      </c>
      <c r="X86" t="s">
        <v>106</v>
      </c>
      <c r="Y86" t="s">
        <v>108</v>
      </c>
      <c r="Z86" t="s">
        <v>109</v>
      </c>
      <c r="AA86" t="s">
        <v>966</v>
      </c>
      <c r="AB86" t="s">
        <v>106</v>
      </c>
    </row>
    <row r="87" spans="2:28" x14ac:dyDescent="0.3">
      <c r="B87" t="s">
        <v>109</v>
      </c>
      <c r="C87" t="s">
        <v>643</v>
      </c>
      <c r="D87" t="s">
        <v>1064</v>
      </c>
      <c r="E87" t="s">
        <v>1027</v>
      </c>
      <c r="F87">
        <v>45744</v>
      </c>
      <c r="G87" t="s">
        <v>488</v>
      </c>
      <c r="H87">
        <v>45744</v>
      </c>
      <c r="I87" t="s">
        <v>1052</v>
      </c>
      <c r="J87" t="s">
        <v>458</v>
      </c>
      <c r="K87" t="s">
        <v>109</v>
      </c>
      <c r="L87" t="s">
        <v>1021</v>
      </c>
      <c r="M87" t="s">
        <v>842</v>
      </c>
      <c r="N87" t="s">
        <v>107</v>
      </c>
      <c r="O87" t="s">
        <v>107</v>
      </c>
      <c r="P87" t="s">
        <v>106</v>
      </c>
      <c r="Q87" t="s">
        <v>106</v>
      </c>
      <c r="R87" t="s">
        <v>106</v>
      </c>
      <c r="S87" t="s">
        <v>106</v>
      </c>
      <c r="T87" t="s">
        <v>961</v>
      </c>
      <c r="U87" t="s">
        <v>444</v>
      </c>
      <c r="V87" t="s">
        <v>106</v>
      </c>
      <c r="W87" t="s">
        <v>557</v>
      </c>
      <c r="X87" t="s">
        <v>106</v>
      </c>
      <c r="Y87" t="s">
        <v>108</v>
      </c>
      <c r="Z87" t="s">
        <v>109</v>
      </c>
      <c r="AA87" t="s">
        <v>966</v>
      </c>
      <c r="AB87" t="s">
        <v>106</v>
      </c>
    </row>
    <row r="88" spans="2:28" x14ac:dyDescent="0.3">
      <c r="B88" t="s">
        <v>105</v>
      </c>
      <c r="C88" t="s">
        <v>927</v>
      </c>
      <c r="D88" t="s">
        <v>1065</v>
      </c>
      <c r="E88" t="s">
        <v>1027</v>
      </c>
      <c r="F88">
        <v>45744</v>
      </c>
      <c r="G88" t="s">
        <v>1066</v>
      </c>
      <c r="H88">
        <v>45744</v>
      </c>
      <c r="I88" t="s">
        <v>1052</v>
      </c>
      <c r="J88" t="s">
        <v>458</v>
      </c>
      <c r="K88" t="s">
        <v>109</v>
      </c>
      <c r="L88" t="s">
        <v>927</v>
      </c>
      <c r="M88" t="s">
        <v>927</v>
      </c>
      <c r="N88" t="s">
        <v>107</v>
      </c>
      <c r="O88" t="s">
        <v>107</v>
      </c>
      <c r="P88" t="s">
        <v>106</v>
      </c>
      <c r="Q88" t="s">
        <v>106</v>
      </c>
      <c r="R88" t="s">
        <v>106</v>
      </c>
      <c r="S88" t="s">
        <v>106</v>
      </c>
      <c r="T88" t="s">
        <v>961</v>
      </c>
      <c r="U88" t="s">
        <v>145</v>
      </c>
      <c r="V88" t="s">
        <v>106</v>
      </c>
      <c r="W88" t="s">
        <v>557</v>
      </c>
      <c r="X88" t="s">
        <v>106</v>
      </c>
      <c r="Y88" t="s">
        <v>108</v>
      </c>
      <c r="Z88" t="s">
        <v>105</v>
      </c>
      <c r="AA88" t="s">
        <v>966</v>
      </c>
      <c r="AB88" t="s">
        <v>106</v>
      </c>
    </row>
    <row r="89" spans="2:28" x14ac:dyDescent="0.3">
      <c r="B89" t="s">
        <v>108</v>
      </c>
      <c r="C89" t="s">
        <v>918</v>
      </c>
      <c r="D89" t="s">
        <v>1067</v>
      </c>
      <c r="E89" t="s">
        <v>1027</v>
      </c>
      <c r="F89">
        <v>45744</v>
      </c>
      <c r="G89" t="s">
        <v>142</v>
      </c>
      <c r="H89">
        <v>45744</v>
      </c>
      <c r="I89" t="s">
        <v>362</v>
      </c>
      <c r="J89" t="s">
        <v>458</v>
      </c>
      <c r="K89" t="s">
        <v>109</v>
      </c>
      <c r="L89" t="s">
        <v>576</v>
      </c>
      <c r="M89" t="s">
        <v>1008</v>
      </c>
      <c r="N89" t="s">
        <v>107</v>
      </c>
      <c r="O89" t="s">
        <v>107</v>
      </c>
      <c r="P89" t="s">
        <v>106</v>
      </c>
      <c r="Q89" t="s">
        <v>106</v>
      </c>
      <c r="R89" t="s">
        <v>106</v>
      </c>
      <c r="S89" t="s">
        <v>1068</v>
      </c>
      <c r="T89" t="s">
        <v>1069</v>
      </c>
      <c r="U89" t="s">
        <v>136</v>
      </c>
      <c r="V89" t="s">
        <v>106</v>
      </c>
      <c r="W89" t="s">
        <v>557</v>
      </c>
      <c r="X89" t="s">
        <v>106</v>
      </c>
      <c r="Y89" t="s">
        <v>108</v>
      </c>
      <c r="Z89" t="s">
        <v>108</v>
      </c>
      <c r="AA89" t="s">
        <v>966</v>
      </c>
      <c r="AB89" t="s">
        <v>106</v>
      </c>
    </row>
    <row r="90" spans="2:28" x14ac:dyDescent="0.3">
      <c r="B90" t="s">
        <v>108</v>
      </c>
      <c r="C90" t="s">
        <v>918</v>
      </c>
      <c r="D90" t="s">
        <v>1070</v>
      </c>
      <c r="E90" t="s">
        <v>1027</v>
      </c>
      <c r="F90">
        <v>45744</v>
      </c>
      <c r="G90" t="s">
        <v>1071</v>
      </c>
      <c r="H90">
        <v>45744</v>
      </c>
      <c r="I90" t="s">
        <v>362</v>
      </c>
      <c r="J90" t="s">
        <v>458</v>
      </c>
      <c r="K90" t="s">
        <v>109</v>
      </c>
      <c r="L90" t="s">
        <v>1072</v>
      </c>
      <c r="M90" t="s">
        <v>563</v>
      </c>
      <c r="N90" t="s">
        <v>107</v>
      </c>
      <c r="O90" t="s">
        <v>107</v>
      </c>
      <c r="P90" t="s">
        <v>106</v>
      </c>
      <c r="Q90" t="s">
        <v>106</v>
      </c>
      <c r="R90" t="s">
        <v>106</v>
      </c>
      <c r="S90" t="s">
        <v>1073</v>
      </c>
      <c r="T90" t="s">
        <v>1074</v>
      </c>
      <c r="U90" t="s">
        <v>444</v>
      </c>
      <c r="V90" t="s">
        <v>106</v>
      </c>
      <c r="W90" t="s">
        <v>557</v>
      </c>
      <c r="X90" t="s">
        <v>106</v>
      </c>
      <c r="Y90" t="s">
        <v>108</v>
      </c>
      <c r="Z90" t="s">
        <v>108</v>
      </c>
      <c r="AA90" t="s">
        <v>966</v>
      </c>
      <c r="AB90" t="s">
        <v>106</v>
      </c>
    </row>
    <row r="91" spans="2:28" x14ac:dyDescent="0.3">
      <c r="B91" t="s">
        <v>104</v>
      </c>
      <c r="C91" t="s">
        <v>921</v>
      </c>
      <c r="D91" t="s">
        <v>1075</v>
      </c>
      <c r="E91" t="s">
        <v>1027</v>
      </c>
      <c r="F91">
        <v>45744</v>
      </c>
      <c r="G91" t="s">
        <v>740</v>
      </c>
      <c r="H91">
        <v>45744</v>
      </c>
      <c r="I91" t="s">
        <v>362</v>
      </c>
      <c r="J91" t="s">
        <v>458</v>
      </c>
      <c r="K91" t="s">
        <v>109</v>
      </c>
      <c r="L91" t="s">
        <v>1055</v>
      </c>
      <c r="M91" t="s">
        <v>1055</v>
      </c>
      <c r="N91" t="s">
        <v>107</v>
      </c>
      <c r="O91" t="s">
        <v>107</v>
      </c>
      <c r="P91" t="s">
        <v>106</v>
      </c>
      <c r="Q91" t="s">
        <v>106</v>
      </c>
      <c r="R91" t="s">
        <v>106</v>
      </c>
      <c r="S91" t="s">
        <v>1076</v>
      </c>
      <c r="T91" t="s">
        <v>1022</v>
      </c>
      <c r="U91" t="s">
        <v>136</v>
      </c>
      <c r="V91" t="s">
        <v>106</v>
      </c>
      <c r="W91" t="s">
        <v>557</v>
      </c>
      <c r="X91" t="s">
        <v>106</v>
      </c>
      <c r="Y91" t="s">
        <v>108</v>
      </c>
      <c r="Z91" t="s">
        <v>104</v>
      </c>
      <c r="AA91" t="s">
        <v>966</v>
      </c>
      <c r="AB91" t="s">
        <v>106</v>
      </c>
    </row>
    <row r="92" spans="2:28" x14ac:dyDescent="0.3">
      <c r="B92" t="s">
        <v>104</v>
      </c>
      <c r="C92" t="s">
        <v>921</v>
      </c>
      <c r="D92" t="s">
        <v>1077</v>
      </c>
      <c r="E92" t="s">
        <v>1027</v>
      </c>
      <c r="F92">
        <v>45744</v>
      </c>
      <c r="G92" t="s">
        <v>742</v>
      </c>
      <c r="H92">
        <v>45744</v>
      </c>
      <c r="I92" t="s">
        <v>362</v>
      </c>
      <c r="J92" t="s">
        <v>458</v>
      </c>
      <c r="K92" t="s">
        <v>109</v>
      </c>
      <c r="L92" t="s">
        <v>1014</v>
      </c>
      <c r="M92" t="s">
        <v>1078</v>
      </c>
      <c r="N92" t="s">
        <v>107</v>
      </c>
      <c r="O92" t="s">
        <v>107</v>
      </c>
      <c r="P92" t="s">
        <v>106</v>
      </c>
      <c r="Q92" t="s">
        <v>106</v>
      </c>
      <c r="R92" t="s">
        <v>106</v>
      </c>
      <c r="S92" t="s">
        <v>1079</v>
      </c>
      <c r="T92" t="s">
        <v>875</v>
      </c>
      <c r="U92" t="s">
        <v>440</v>
      </c>
      <c r="V92" t="s">
        <v>106</v>
      </c>
      <c r="W92" t="s">
        <v>557</v>
      </c>
      <c r="X92" t="s">
        <v>106</v>
      </c>
      <c r="Y92" t="s">
        <v>108</v>
      </c>
      <c r="Z92" t="s">
        <v>104</v>
      </c>
      <c r="AA92" t="s">
        <v>966</v>
      </c>
      <c r="AB92" t="s">
        <v>106</v>
      </c>
    </row>
    <row r="93" spans="2:28" x14ac:dyDescent="0.3">
      <c r="B93" t="s">
        <v>109</v>
      </c>
      <c r="C93" t="s">
        <v>643</v>
      </c>
      <c r="D93" t="s">
        <v>1080</v>
      </c>
      <c r="E93" t="s">
        <v>1027</v>
      </c>
      <c r="F93">
        <v>45744</v>
      </c>
      <c r="G93" t="s">
        <v>871</v>
      </c>
      <c r="H93">
        <v>45744</v>
      </c>
      <c r="I93" t="s">
        <v>362</v>
      </c>
      <c r="J93" t="s">
        <v>458</v>
      </c>
      <c r="K93" t="s">
        <v>109</v>
      </c>
      <c r="L93" t="s">
        <v>768</v>
      </c>
      <c r="M93" t="s">
        <v>827</v>
      </c>
      <c r="N93" t="s">
        <v>107</v>
      </c>
      <c r="O93" t="s">
        <v>107</v>
      </c>
      <c r="P93" t="s">
        <v>106</v>
      </c>
      <c r="Q93" t="s">
        <v>106</v>
      </c>
      <c r="R93" t="s">
        <v>106</v>
      </c>
      <c r="S93" t="s">
        <v>1081</v>
      </c>
      <c r="T93" t="s">
        <v>870</v>
      </c>
      <c r="U93" t="s">
        <v>867</v>
      </c>
      <c r="V93" t="s">
        <v>106</v>
      </c>
      <c r="W93" t="s">
        <v>557</v>
      </c>
      <c r="X93" t="s">
        <v>106</v>
      </c>
      <c r="Y93" t="s">
        <v>108</v>
      </c>
      <c r="Z93" t="s">
        <v>109</v>
      </c>
      <c r="AA93" t="s">
        <v>966</v>
      </c>
      <c r="AB93" t="s">
        <v>106</v>
      </c>
    </row>
    <row r="94" spans="2:28" x14ac:dyDescent="0.3">
      <c r="B94" t="s">
        <v>109</v>
      </c>
      <c r="C94" t="s">
        <v>643</v>
      </c>
      <c r="D94" t="s">
        <v>1082</v>
      </c>
      <c r="E94" t="s">
        <v>1027</v>
      </c>
      <c r="F94">
        <v>45744</v>
      </c>
      <c r="G94" t="s">
        <v>363</v>
      </c>
      <c r="H94">
        <v>45744</v>
      </c>
      <c r="I94" t="s">
        <v>362</v>
      </c>
      <c r="J94" t="s">
        <v>458</v>
      </c>
      <c r="K94" t="s">
        <v>109</v>
      </c>
      <c r="L94" t="s">
        <v>973</v>
      </c>
      <c r="M94" t="s">
        <v>649</v>
      </c>
      <c r="N94" t="s">
        <v>107</v>
      </c>
      <c r="O94" t="s">
        <v>107</v>
      </c>
      <c r="P94" t="s">
        <v>106</v>
      </c>
      <c r="Q94" t="s">
        <v>106</v>
      </c>
      <c r="R94" t="s">
        <v>106</v>
      </c>
      <c r="S94" t="s">
        <v>1083</v>
      </c>
      <c r="T94" t="s">
        <v>1084</v>
      </c>
      <c r="U94" t="s">
        <v>708</v>
      </c>
      <c r="V94" t="s">
        <v>106</v>
      </c>
      <c r="W94" t="s">
        <v>557</v>
      </c>
      <c r="X94" t="s">
        <v>106</v>
      </c>
      <c r="Y94" t="s">
        <v>108</v>
      </c>
      <c r="Z94" t="s">
        <v>109</v>
      </c>
      <c r="AA94" t="s">
        <v>966</v>
      </c>
      <c r="AB94" t="s">
        <v>106</v>
      </c>
    </row>
    <row r="95" spans="2:28" x14ac:dyDescent="0.3">
      <c r="B95" t="s">
        <v>108</v>
      </c>
      <c r="C95" t="s">
        <v>918</v>
      </c>
      <c r="D95" t="s">
        <v>1085</v>
      </c>
      <c r="E95" t="s">
        <v>1027</v>
      </c>
      <c r="F95">
        <v>45744</v>
      </c>
      <c r="G95" t="s">
        <v>1086</v>
      </c>
      <c r="H95">
        <v>45744</v>
      </c>
      <c r="I95" t="s">
        <v>622</v>
      </c>
      <c r="J95" t="s">
        <v>458</v>
      </c>
      <c r="K95" t="s">
        <v>109</v>
      </c>
      <c r="L95" t="s">
        <v>1087</v>
      </c>
      <c r="M95" t="s">
        <v>1088</v>
      </c>
      <c r="N95" t="s">
        <v>107</v>
      </c>
      <c r="O95" t="s">
        <v>107</v>
      </c>
      <c r="P95" t="s">
        <v>106</v>
      </c>
      <c r="Q95" t="s">
        <v>106</v>
      </c>
      <c r="R95" t="s">
        <v>106</v>
      </c>
      <c r="S95" t="s">
        <v>1089</v>
      </c>
      <c r="T95" t="s">
        <v>1090</v>
      </c>
      <c r="U95" t="s">
        <v>360</v>
      </c>
      <c r="V95" t="s">
        <v>106</v>
      </c>
      <c r="W95" t="s">
        <v>557</v>
      </c>
      <c r="X95" t="s">
        <v>106</v>
      </c>
      <c r="Y95" t="s">
        <v>108</v>
      </c>
      <c r="Z95" t="s">
        <v>108</v>
      </c>
      <c r="AA95" t="s">
        <v>966</v>
      </c>
      <c r="AB95" t="s">
        <v>106</v>
      </c>
    </row>
    <row r="96" spans="2:28" x14ac:dyDescent="0.3">
      <c r="B96" t="s">
        <v>108</v>
      </c>
      <c r="C96" t="s">
        <v>918</v>
      </c>
      <c r="D96" t="s">
        <v>1091</v>
      </c>
      <c r="E96" t="s">
        <v>1027</v>
      </c>
      <c r="F96">
        <v>45744</v>
      </c>
      <c r="G96" t="s">
        <v>1092</v>
      </c>
      <c r="H96">
        <v>45744</v>
      </c>
      <c r="I96" t="s">
        <v>622</v>
      </c>
      <c r="J96" t="s">
        <v>458</v>
      </c>
      <c r="K96" t="s">
        <v>109</v>
      </c>
      <c r="L96" t="s">
        <v>563</v>
      </c>
      <c r="M96" t="s">
        <v>1072</v>
      </c>
      <c r="N96" t="s">
        <v>107</v>
      </c>
      <c r="O96" t="s">
        <v>107</v>
      </c>
      <c r="P96" t="s">
        <v>106</v>
      </c>
      <c r="Q96" t="s">
        <v>106</v>
      </c>
      <c r="R96" t="s">
        <v>106</v>
      </c>
      <c r="S96" t="s">
        <v>1045</v>
      </c>
      <c r="T96" t="s">
        <v>984</v>
      </c>
      <c r="U96" t="s">
        <v>725</v>
      </c>
      <c r="V96" t="s">
        <v>106</v>
      </c>
      <c r="W96" t="s">
        <v>557</v>
      </c>
      <c r="X96" t="s">
        <v>106</v>
      </c>
      <c r="Y96" t="s">
        <v>108</v>
      </c>
      <c r="Z96" t="s">
        <v>108</v>
      </c>
      <c r="AA96" t="s">
        <v>966</v>
      </c>
      <c r="AB96" t="s">
        <v>106</v>
      </c>
    </row>
    <row r="97" spans="2:28" x14ac:dyDescent="0.3">
      <c r="B97" t="s">
        <v>104</v>
      </c>
      <c r="C97" t="s">
        <v>921</v>
      </c>
      <c r="D97" t="s">
        <v>1093</v>
      </c>
      <c r="E97" t="s">
        <v>1027</v>
      </c>
      <c r="F97">
        <v>45744</v>
      </c>
      <c r="G97" t="s">
        <v>1094</v>
      </c>
      <c r="H97">
        <v>45744</v>
      </c>
      <c r="I97" t="s">
        <v>622</v>
      </c>
      <c r="J97" t="s">
        <v>458</v>
      </c>
      <c r="K97" t="s">
        <v>109</v>
      </c>
      <c r="L97" t="s">
        <v>1095</v>
      </c>
      <c r="M97" t="s">
        <v>990</v>
      </c>
      <c r="N97" t="s">
        <v>107</v>
      </c>
      <c r="O97" t="s">
        <v>107</v>
      </c>
      <c r="P97" t="s">
        <v>106</v>
      </c>
      <c r="Q97" t="s">
        <v>106</v>
      </c>
      <c r="R97" t="s">
        <v>106</v>
      </c>
      <c r="S97" t="s">
        <v>1096</v>
      </c>
      <c r="T97" t="s">
        <v>1097</v>
      </c>
      <c r="U97" t="s">
        <v>867</v>
      </c>
      <c r="V97" t="s">
        <v>106</v>
      </c>
      <c r="W97" t="s">
        <v>557</v>
      </c>
      <c r="X97" t="s">
        <v>106</v>
      </c>
      <c r="Y97" t="s">
        <v>108</v>
      </c>
      <c r="Z97" t="s">
        <v>104</v>
      </c>
      <c r="AA97" t="s">
        <v>966</v>
      </c>
      <c r="AB97" t="s">
        <v>106</v>
      </c>
    </row>
    <row r="98" spans="2:28" x14ac:dyDescent="0.3">
      <c r="B98" t="s">
        <v>104</v>
      </c>
      <c r="C98" t="s">
        <v>921</v>
      </c>
      <c r="D98" t="s">
        <v>1098</v>
      </c>
      <c r="E98" t="s">
        <v>1027</v>
      </c>
      <c r="F98">
        <v>45744</v>
      </c>
      <c r="G98" t="s">
        <v>1094</v>
      </c>
      <c r="H98">
        <v>45744</v>
      </c>
      <c r="I98" t="s">
        <v>622</v>
      </c>
      <c r="J98" t="s">
        <v>458</v>
      </c>
      <c r="K98" t="s">
        <v>109</v>
      </c>
      <c r="L98" t="s">
        <v>1099</v>
      </c>
      <c r="M98" t="s">
        <v>1100</v>
      </c>
      <c r="N98" t="s">
        <v>107</v>
      </c>
      <c r="O98" t="s">
        <v>107</v>
      </c>
      <c r="P98" t="s">
        <v>106</v>
      </c>
      <c r="Q98" t="s">
        <v>106</v>
      </c>
      <c r="R98" t="s">
        <v>106</v>
      </c>
      <c r="S98" t="s">
        <v>1040</v>
      </c>
      <c r="T98" t="s">
        <v>1101</v>
      </c>
      <c r="U98" t="s">
        <v>426</v>
      </c>
      <c r="V98" t="s">
        <v>106</v>
      </c>
      <c r="W98" t="s">
        <v>557</v>
      </c>
      <c r="X98" t="s">
        <v>106</v>
      </c>
      <c r="Y98" t="s">
        <v>108</v>
      </c>
      <c r="Z98" t="s">
        <v>104</v>
      </c>
      <c r="AA98" t="s">
        <v>966</v>
      </c>
      <c r="AB98" t="s">
        <v>106</v>
      </c>
    </row>
    <row r="99" spans="2:28" x14ac:dyDescent="0.3">
      <c r="B99" t="s">
        <v>109</v>
      </c>
      <c r="C99" t="s">
        <v>643</v>
      </c>
      <c r="D99" t="s">
        <v>1102</v>
      </c>
      <c r="E99" t="s">
        <v>1027</v>
      </c>
      <c r="F99">
        <v>45744</v>
      </c>
      <c r="G99" t="s">
        <v>1103</v>
      </c>
      <c r="H99">
        <v>45744</v>
      </c>
      <c r="I99" t="s">
        <v>622</v>
      </c>
      <c r="J99" t="s">
        <v>458</v>
      </c>
      <c r="K99" t="s">
        <v>109</v>
      </c>
      <c r="L99" t="s">
        <v>623</v>
      </c>
      <c r="M99" t="s">
        <v>623</v>
      </c>
      <c r="N99" t="s">
        <v>107</v>
      </c>
      <c r="O99" t="s">
        <v>107</v>
      </c>
      <c r="P99" t="s">
        <v>106</v>
      </c>
      <c r="Q99" t="s">
        <v>106</v>
      </c>
      <c r="R99" t="s">
        <v>106</v>
      </c>
      <c r="S99" t="s">
        <v>1104</v>
      </c>
      <c r="T99" t="s">
        <v>1105</v>
      </c>
      <c r="U99" t="s">
        <v>719</v>
      </c>
      <c r="V99" t="s">
        <v>106</v>
      </c>
      <c r="W99" t="s">
        <v>557</v>
      </c>
      <c r="X99" t="s">
        <v>106</v>
      </c>
      <c r="Y99" t="s">
        <v>108</v>
      </c>
      <c r="Z99" t="s">
        <v>109</v>
      </c>
      <c r="AA99" t="s">
        <v>966</v>
      </c>
      <c r="AB99" t="s">
        <v>106</v>
      </c>
    </row>
    <row r="100" spans="2:28" x14ac:dyDescent="0.3">
      <c r="B100" t="s">
        <v>109</v>
      </c>
      <c r="C100" t="s">
        <v>643</v>
      </c>
      <c r="D100" t="s">
        <v>1106</v>
      </c>
      <c r="E100" t="s">
        <v>1027</v>
      </c>
      <c r="F100">
        <v>45744</v>
      </c>
      <c r="G100" t="s">
        <v>1107</v>
      </c>
      <c r="H100">
        <v>45744</v>
      </c>
      <c r="I100" t="s">
        <v>622</v>
      </c>
      <c r="J100" t="s">
        <v>458</v>
      </c>
      <c r="K100" t="s">
        <v>109</v>
      </c>
      <c r="L100" t="s">
        <v>1044</v>
      </c>
      <c r="M100" t="s">
        <v>1062</v>
      </c>
      <c r="N100" t="s">
        <v>107</v>
      </c>
      <c r="O100" t="s">
        <v>107</v>
      </c>
      <c r="P100" t="s">
        <v>106</v>
      </c>
      <c r="Q100" t="s">
        <v>106</v>
      </c>
      <c r="R100" t="s">
        <v>106</v>
      </c>
      <c r="S100" t="s">
        <v>1073</v>
      </c>
      <c r="T100" t="s">
        <v>1108</v>
      </c>
      <c r="U100" t="s">
        <v>147</v>
      </c>
      <c r="V100" t="s">
        <v>106</v>
      </c>
      <c r="W100" t="s">
        <v>557</v>
      </c>
      <c r="X100" t="s">
        <v>106</v>
      </c>
      <c r="Y100" t="s">
        <v>108</v>
      </c>
      <c r="Z100" t="s">
        <v>109</v>
      </c>
      <c r="AA100" t="s">
        <v>966</v>
      </c>
      <c r="AB100" t="s">
        <v>106</v>
      </c>
    </row>
    <row r="101" spans="2:28" x14ac:dyDescent="0.3">
      <c r="B101" t="s">
        <v>108</v>
      </c>
      <c r="C101" t="s">
        <v>918</v>
      </c>
      <c r="D101" t="s">
        <v>1109</v>
      </c>
      <c r="E101" t="s">
        <v>1027</v>
      </c>
      <c r="F101">
        <v>45744</v>
      </c>
      <c r="G101" t="s">
        <v>1110</v>
      </c>
      <c r="H101">
        <v>45744</v>
      </c>
      <c r="I101" t="s">
        <v>1111</v>
      </c>
      <c r="J101" t="s">
        <v>477</v>
      </c>
      <c r="K101" t="s">
        <v>109</v>
      </c>
      <c r="L101" t="s">
        <v>578</v>
      </c>
      <c r="M101" t="s">
        <v>1112</v>
      </c>
      <c r="N101" t="s">
        <v>107</v>
      </c>
      <c r="O101" t="s">
        <v>107</v>
      </c>
      <c r="P101" t="s">
        <v>106</v>
      </c>
      <c r="Q101" t="s">
        <v>106</v>
      </c>
      <c r="R101" t="s">
        <v>106</v>
      </c>
      <c r="S101" t="s">
        <v>988</v>
      </c>
      <c r="T101" t="s">
        <v>1069</v>
      </c>
      <c r="U101" t="s">
        <v>725</v>
      </c>
      <c r="V101" t="s">
        <v>106</v>
      </c>
      <c r="W101" t="s">
        <v>954</v>
      </c>
      <c r="X101" t="s">
        <v>106</v>
      </c>
      <c r="Y101" t="s">
        <v>108</v>
      </c>
      <c r="Z101" t="s">
        <v>108</v>
      </c>
      <c r="AA101" t="s">
        <v>1113</v>
      </c>
      <c r="AB101" t="s">
        <v>106</v>
      </c>
    </row>
    <row r="102" spans="2:28" x14ac:dyDescent="0.3">
      <c r="B102" t="s">
        <v>105</v>
      </c>
      <c r="C102" t="s">
        <v>927</v>
      </c>
      <c r="D102" t="s">
        <v>1114</v>
      </c>
      <c r="E102" t="s">
        <v>1027</v>
      </c>
      <c r="F102">
        <v>45744</v>
      </c>
      <c r="G102" t="s">
        <v>364</v>
      </c>
      <c r="H102">
        <v>45744</v>
      </c>
      <c r="I102" t="s">
        <v>1111</v>
      </c>
      <c r="J102" t="s">
        <v>477</v>
      </c>
      <c r="K102" t="s">
        <v>109</v>
      </c>
      <c r="L102" t="s">
        <v>927</v>
      </c>
      <c r="M102" t="s">
        <v>927</v>
      </c>
      <c r="N102" t="s">
        <v>107</v>
      </c>
      <c r="O102" t="s">
        <v>107</v>
      </c>
      <c r="P102" t="s">
        <v>106</v>
      </c>
      <c r="Q102" t="s">
        <v>106</v>
      </c>
      <c r="R102" t="s">
        <v>106</v>
      </c>
      <c r="S102" t="s">
        <v>1115</v>
      </c>
      <c r="T102" t="s">
        <v>993</v>
      </c>
      <c r="U102" t="s">
        <v>867</v>
      </c>
      <c r="V102" t="s">
        <v>106</v>
      </c>
      <c r="W102" t="s">
        <v>954</v>
      </c>
      <c r="X102" t="s">
        <v>106</v>
      </c>
      <c r="Y102" t="s">
        <v>108</v>
      </c>
      <c r="Z102" t="s">
        <v>105</v>
      </c>
      <c r="AA102" t="s">
        <v>1113</v>
      </c>
      <c r="AB102" t="s">
        <v>1116</v>
      </c>
    </row>
    <row r="103" spans="2:28" x14ac:dyDescent="0.3">
      <c r="B103" t="s">
        <v>108</v>
      </c>
      <c r="C103" t="s">
        <v>918</v>
      </c>
      <c r="D103" t="s">
        <v>1117</v>
      </c>
      <c r="E103" t="s">
        <v>1027</v>
      </c>
      <c r="F103">
        <v>45744</v>
      </c>
      <c r="G103" t="s">
        <v>1118</v>
      </c>
      <c r="H103">
        <v>45744</v>
      </c>
      <c r="I103" t="s">
        <v>1111</v>
      </c>
      <c r="J103" t="s">
        <v>477</v>
      </c>
      <c r="K103" t="s">
        <v>109</v>
      </c>
      <c r="L103" t="s">
        <v>1119</v>
      </c>
      <c r="M103" t="s">
        <v>958</v>
      </c>
      <c r="N103" t="s">
        <v>107</v>
      </c>
      <c r="O103" t="s">
        <v>107</v>
      </c>
      <c r="P103" t="s">
        <v>106</v>
      </c>
      <c r="Q103" t="s">
        <v>106</v>
      </c>
      <c r="R103" t="s">
        <v>106</v>
      </c>
      <c r="S103" t="s">
        <v>1073</v>
      </c>
      <c r="T103" t="s">
        <v>1120</v>
      </c>
      <c r="U103" t="s">
        <v>426</v>
      </c>
      <c r="V103" t="s">
        <v>106</v>
      </c>
      <c r="W103" t="s">
        <v>954</v>
      </c>
      <c r="X103" t="s">
        <v>106</v>
      </c>
      <c r="Y103" t="s">
        <v>108</v>
      </c>
      <c r="Z103" t="s">
        <v>108</v>
      </c>
      <c r="AA103" t="s">
        <v>1113</v>
      </c>
      <c r="AB103" t="s">
        <v>106</v>
      </c>
    </row>
    <row r="104" spans="2:28" x14ac:dyDescent="0.3">
      <c r="B104" t="s">
        <v>104</v>
      </c>
      <c r="C104" t="s">
        <v>921</v>
      </c>
      <c r="D104" t="s">
        <v>1121</v>
      </c>
      <c r="E104" t="s">
        <v>1027</v>
      </c>
      <c r="F104">
        <v>45744</v>
      </c>
      <c r="G104" t="s">
        <v>569</v>
      </c>
      <c r="H104">
        <v>45744</v>
      </c>
      <c r="I104" t="s">
        <v>1111</v>
      </c>
      <c r="J104" t="s">
        <v>477</v>
      </c>
      <c r="K104" t="s">
        <v>109</v>
      </c>
      <c r="L104" t="s">
        <v>1122</v>
      </c>
      <c r="M104" t="s">
        <v>1123</v>
      </c>
      <c r="N104" t="s">
        <v>107</v>
      </c>
      <c r="O104" t="s">
        <v>107</v>
      </c>
      <c r="P104" t="s">
        <v>106</v>
      </c>
      <c r="Q104" t="s">
        <v>106</v>
      </c>
      <c r="R104" t="s">
        <v>106</v>
      </c>
      <c r="S104" t="s">
        <v>1124</v>
      </c>
      <c r="T104" t="s">
        <v>1125</v>
      </c>
      <c r="U104" t="s">
        <v>725</v>
      </c>
      <c r="V104" t="s">
        <v>106</v>
      </c>
      <c r="W104" t="s">
        <v>954</v>
      </c>
      <c r="X104" t="s">
        <v>106</v>
      </c>
      <c r="Y104" t="s">
        <v>108</v>
      </c>
      <c r="Z104" t="s">
        <v>104</v>
      </c>
      <c r="AA104" t="s">
        <v>1113</v>
      </c>
      <c r="AB104" t="s">
        <v>106</v>
      </c>
    </row>
    <row r="105" spans="2:28" x14ac:dyDescent="0.3">
      <c r="B105" t="s">
        <v>104</v>
      </c>
      <c r="C105" t="s">
        <v>921</v>
      </c>
      <c r="D105" t="s">
        <v>1126</v>
      </c>
      <c r="E105" t="s">
        <v>1027</v>
      </c>
      <c r="F105">
        <v>45744</v>
      </c>
      <c r="G105" t="s">
        <v>1127</v>
      </c>
      <c r="H105">
        <v>45744</v>
      </c>
      <c r="I105" t="s">
        <v>1111</v>
      </c>
      <c r="J105" t="s">
        <v>477</v>
      </c>
      <c r="K105" t="s">
        <v>109</v>
      </c>
      <c r="L105" t="s">
        <v>1128</v>
      </c>
      <c r="M105" t="s">
        <v>1129</v>
      </c>
      <c r="N105" t="s">
        <v>107</v>
      </c>
      <c r="O105" t="s">
        <v>107</v>
      </c>
      <c r="P105" t="s">
        <v>106</v>
      </c>
      <c r="Q105" t="s">
        <v>106</v>
      </c>
      <c r="R105" t="s">
        <v>106</v>
      </c>
      <c r="S105" t="s">
        <v>1130</v>
      </c>
      <c r="T105" t="s">
        <v>1131</v>
      </c>
      <c r="U105" t="s">
        <v>141</v>
      </c>
      <c r="V105" t="s">
        <v>106</v>
      </c>
      <c r="W105" t="s">
        <v>954</v>
      </c>
      <c r="X105" t="s">
        <v>106</v>
      </c>
      <c r="Y105" t="s">
        <v>108</v>
      </c>
      <c r="Z105" t="s">
        <v>104</v>
      </c>
      <c r="AA105" t="s">
        <v>1113</v>
      </c>
      <c r="AB105" t="s">
        <v>106</v>
      </c>
    </row>
    <row r="106" spans="2:28" x14ac:dyDescent="0.3">
      <c r="B106" t="s">
        <v>109</v>
      </c>
      <c r="C106" t="s">
        <v>643</v>
      </c>
      <c r="D106" t="s">
        <v>1132</v>
      </c>
      <c r="E106" t="s">
        <v>1027</v>
      </c>
      <c r="F106">
        <v>45744</v>
      </c>
      <c r="G106" t="s">
        <v>365</v>
      </c>
      <c r="H106">
        <v>45744</v>
      </c>
      <c r="I106" t="s">
        <v>1111</v>
      </c>
      <c r="J106" t="s">
        <v>477</v>
      </c>
      <c r="K106" t="s">
        <v>109</v>
      </c>
      <c r="L106" t="s">
        <v>1133</v>
      </c>
      <c r="M106" t="s">
        <v>1134</v>
      </c>
      <c r="N106" t="s">
        <v>107</v>
      </c>
      <c r="O106" t="s">
        <v>107</v>
      </c>
      <c r="P106" t="s">
        <v>106</v>
      </c>
      <c r="Q106" t="s">
        <v>106</v>
      </c>
      <c r="R106" t="s">
        <v>106</v>
      </c>
      <c r="S106" t="s">
        <v>1135</v>
      </c>
      <c r="T106" t="s">
        <v>1101</v>
      </c>
      <c r="U106" t="s">
        <v>361</v>
      </c>
      <c r="V106" t="s">
        <v>106</v>
      </c>
      <c r="W106" t="s">
        <v>954</v>
      </c>
      <c r="X106" t="s">
        <v>106</v>
      </c>
      <c r="Y106" t="s">
        <v>108</v>
      </c>
      <c r="Z106" t="s">
        <v>109</v>
      </c>
      <c r="AA106" t="s">
        <v>966</v>
      </c>
      <c r="AB106" t="s">
        <v>106</v>
      </c>
    </row>
    <row r="107" spans="2:28" x14ac:dyDescent="0.3">
      <c r="B107" t="s">
        <v>109</v>
      </c>
      <c r="C107" t="s">
        <v>643</v>
      </c>
      <c r="D107" t="s">
        <v>1136</v>
      </c>
      <c r="E107" t="s">
        <v>1027</v>
      </c>
      <c r="F107">
        <v>45744</v>
      </c>
      <c r="G107" t="s">
        <v>739</v>
      </c>
      <c r="H107">
        <v>45744</v>
      </c>
      <c r="I107" t="s">
        <v>1111</v>
      </c>
      <c r="J107" t="s">
        <v>477</v>
      </c>
      <c r="K107" t="s">
        <v>109</v>
      </c>
      <c r="L107" t="s">
        <v>1137</v>
      </c>
      <c r="M107" t="s">
        <v>1002</v>
      </c>
      <c r="N107" t="s">
        <v>107</v>
      </c>
      <c r="O107" t="s">
        <v>107</v>
      </c>
      <c r="P107" t="s">
        <v>106</v>
      </c>
      <c r="Q107" t="s">
        <v>106</v>
      </c>
      <c r="R107" t="s">
        <v>106</v>
      </c>
      <c r="S107" t="s">
        <v>980</v>
      </c>
      <c r="T107" t="s">
        <v>1090</v>
      </c>
      <c r="U107" t="s">
        <v>361</v>
      </c>
      <c r="V107" t="s">
        <v>106</v>
      </c>
      <c r="W107" t="s">
        <v>954</v>
      </c>
      <c r="X107" t="s">
        <v>106</v>
      </c>
      <c r="Y107" t="s">
        <v>108</v>
      </c>
      <c r="Z107" t="s">
        <v>109</v>
      </c>
      <c r="AA107" t="s">
        <v>966</v>
      </c>
      <c r="AB107" t="s">
        <v>106</v>
      </c>
    </row>
    <row r="108" spans="2:28" x14ac:dyDescent="0.3">
      <c r="B108" t="s">
        <v>108</v>
      </c>
      <c r="C108" t="s">
        <v>918</v>
      </c>
      <c r="D108" t="s">
        <v>1138</v>
      </c>
      <c r="E108" t="s">
        <v>1027</v>
      </c>
      <c r="F108">
        <v>45744</v>
      </c>
      <c r="G108" t="s">
        <v>1139</v>
      </c>
      <c r="H108">
        <v>45744</v>
      </c>
      <c r="I108" t="s">
        <v>134</v>
      </c>
      <c r="J108" t="s">
        <v>471</v>
      </c>
      <c r="K108" t="s">
        <v>109</v>
      </c>
      <c r="L108" t="s">
        <v>952</v>
      </c>
      <c r="M108" t="s">
        <v>1140</v>
      </c>
      <c r="N108" t="s">
        <v>107</v>
      </c>
      <c r="O108" t="s">
        <v>107</v>
      </c>
      <c r="P108" t="s">
        <v>106</v>
      </c>
      <c r="Q108" t="s">
        <v>106</v>
      </c>
      <c r="R108" t="s">
        <v>106</v>
      </c>
      <c r="S108" t="s">
        <v>1124</v>
      </c>
      <c r="T108" t="s">
        <v>1141</v>
      </c>
      <c r="U108" t="s">
        <v>138</v>
      </c>
      <c r="V108" t="s">
        <v>106</v>
      </c>
      <c r="W108" t="s">
        <v>954</v>
      </c>
      <c r="X108" t="s">
        <v>106</v>
      </c>
      <c r="Y108" t="s">
        <v>108</v>
      </c>
      <c r="Z108" t="s">
        <v>108</v>
      </c>
      <c r="AA108" t="s">
        <v>1113</v>
      </c>
      <c r="AB108" t="s">
        <v>106</v>
      </c>
    </row>
    <row r="109" spans="2:28" x14ac:dyDescent="0.3">
      <c r="B109" t="s">
        <v>108</v>
      </c>
      <c r="C109" t="s">
        <v>918</v>
      </c>
      <c r="D109" t="s">
        <v>1142</v>
      </c>
      <c r="E109" t="s">
        <v>1027</v>
      </c>
      <c r="F109">
        <v>45744</v>
      </c>
      <c r="G109" t="s">
        <v>526</v>
      </c>
      <c r="H109">
        <v>45744</v>
      </c>
      <c r="I109" t="s">
        <v>134</v>
      </c>
      <c r="J109" t="s">
        <v>471</v>
      </c>
      <c r="K109" t="s">
        <v>109</v>
      </c>
      <c r="L109" t="s">
        <v>1143</v>
      </c>
      <c r="M109" t="s">
        <v>1143</v>
      </c>
      <c r="N109" t="s">
        <v>107</v>
      </c>
      <c r="O109" t="s">
        <v>107</v>
      </c>
      <c r="P109" t="s">
        <v>106</v>
      </c>
      <c r="Q109" t="s">
        <v>106</v>
      </c>
      <c r="R109" t="s">
        <v>106</v>
      </c>
      <c r="S109" t="s">
        <v>1144</v>
      </c>
      <c r="T109" t="s">
        <v>1145</v>
      </c>
      <c r="U109" t="s">
        <v>141</v>
      </c>
      <c r="V109" t="s">
        <v>106</v>
      </c>
      <c r="W109" t="s">
        <v>954</v>
      </c>
      <c r="X109" t="s">
        <v>106</v>
      </c>
      <c r="Y109" t="s">
        <v>108</v>
      </c>
      <c r="Z109" t="s">
        <v>108</v>
      </c>
      <c r="AA109" t="s">
        <v>1113</v>
      </c>
      <c r="AB109" t="s">
        <v>106</v>
      </c>
    </row>
    <row r="110" spans="2:28" x14ac:dyDescent="0.3">
      <c r="B110" t="s">
        <v>104</v>
      </c>
      <c r="C110" t="s">
        <v>921</v>
      </c>
      <c r="D110" t="s">
        <v>1146</v>
      </c>
      <c r="E110" t="s">
        <v>1027</v>
      </c>
      <c r="F110">
        <v>45744</v>
      </c>
      <c r="G110" t="s">
        <v>759</v>
      </c>
      <c r="H110">
        <v>45744</v>
      </c>
      <c r="I110" t="s">
        <v>134</v>
      </c>
      <c r="J110" t="s">
        <v>471</v>
      </c>
      <c r="K110" t="s">
        <v>109</v>
      </c>
      <c r="L110" t="s">
        <v>1147</v>
      </c>
      <c r="M110" t="s">
        <v>1148</v>
      </c>
      <c r="N110" t="s">
        <v>107</v>
      </c>
      <c r="O110" t="s">
        <v>107</v>
      </c>
      <c r="P110" t="s">
        <v>106</v>
      </c>
      <c r="Q110" t="s">
        <v>106</v>
      </c>
      <c r="R110" t="s">
        <v>106</v>
      </c>
      <c r="S110" t="s">
        <v>1068</v>
      </c>
      <c r="T110" t="s">
        <v>609</v>
      </c>
      <c r="U110" t="s">
        <v>136</v>
      </c>
      <c r="V110" t="s">
        <v>106</v>
      </c>
      <c r="W110" t="s">
        <v>954</v>
      </c>
      <c r="X110" t="s">
        <v>106</v>
      </c>
      <c r="Y110" t="s">
        <v>108</v>
      </c>
      <c r="Z110" t="s">
        <v>104</v>
      </c>
      <c r="AA110" t="s">
        <v>966</v>
      </c>
      <c r="AB110" t="s">
        <v>106</v>
      </c>
    </row>
    <row r="111" spans="2:28" x14ac:dyDescent="0.3">
      <c r="B111" t="s">
        <v>104</v>
      </c>
      <c r="C111" t="s">
        <v>921</v>
      </c>
      <c r="D111" t="s">
        <v>1149</v>
      </c>
      <c r="E111" t="s">
        <v>1027</v>
      </c>
      <c r="F111">
        <v>45744</v>
      </c>
      <c r="G111" t="s">
        <v>132</v>
      </c>
      <c r="H111">
        <v>45744</v>
      </c>
      <c r="I111" t="s">
        <v>134</v>
      </c>
      <c r="J111" t="s">
        <v>471</v>
      </c>
      <c r="K111" t="s">
        <v>109</v>
      </c>
      <c r="L111" t="s">
        <v>990</v>
      </c>
      <c r="M111" t="s">
        <v>1150</v>
      </c>
      <c r="N111" t="s">
        <v>107</v>
      </c>
      <c r="O111" t="s">
        <v>107</v>
      </c>
      <c r="P111" t="s">
        <v>106</v>
      </c>
      <c r="Q111" t="s">
        <v>106</v>
      </c>
      <c r="R111" t="s">
        <v>106</v>
      </c>
      <c r="S111" t="s">
        <v>1130</v>
      </c>
      <c r="T111" t="s">
        <v>1063</v>
      </c>
      <c r="U111" t="s">
        <v>867</v>
      </c>
      <c r="V111" t="s">
        <v>106</v>
      </c>
      <c r="W111" t="s">
        <v>954</v>
      </c>
      <c r="X111" t="s">
        <v>106</v>
      </c>
      <c r="Y111" t="s">
        <v>108</v>
      </c>
      <c r="Z111" t="s">
        <v>104</v>
      </c>
      <c r="AA111" t="s">
        <v>966</v>
      </c>
      <c r="AB111" t="s">
        <v>106</v>
      </c>
    </row>
    <row r="112" spans="2:28" x14ac:dyDescent="0.3">
      <c r="B112" t="s">
        <v>109</v>
      </c>
      <c r="C112" t="s">
        <v>643</v>
      </c>
      <c r="D112" t="s">
        <v>1151</v>
      </c>
      <c r="E112" t="s">
        <v>1027</v>
      </c>
      <c r="F112">
        <v>45744</v>
      </c>
      <c r="G112" t="s">
        <v>1152</v>
      </c>
      <c r="H112">
        <v>45744</v>
      </c>
      <c r="I112" t="s">
        <v>134</v>
      </c>
      <c r="J112" t="s">
        <v>471</v>
      </c>
      <c r="K112" t="s">
        <v>109</v>
      </c>
      <c r="L112" t="s">
        <v>1153</v>
      </c>
      <c r="M112" t="s">
        <v>1154</v>
      </c>
      <c r="N112" t="s">
        <v>107</v>
      </c>
      <c r="O112" t="s">
        <v>107</v>
      </c>
      <c r="P112" t="s">
        <v>106</v>
      </c>
      <c r="Q112" t="s">
        <v>106</v>
      </c>
      <c r="R112" t="s">
        <v>106</v>
      </c>
      <c r="S112" t="s">
        <v>1048</v>
      </c>
      <c r="T112" t="s">
        <v>1155</v>
      </c>
      <c r="U112" t="s">
        <v>136</v>
      </c>
      <c r="V112" t="s">
        <v>106</v>
      </c>
      <c r="W112" t="s">
        <v>954</v>
      </c>
      <c r="X112" t="s">
        <v>106</v>
      </c>
      <c r="Y112" t="s">
        <v>108</v>
      </c>
      <c r="Z112" t="s">
        <v>109</v>
      </c>
      <c r="AA112" t="s">
        <v>966</v>
      </c>
      <c r="AB112" t="s">
        <v>106</v>
      </c>
    </row>
    <row r="113" spans="2:28" x14ac:dyDescent="0.3">
      <c r="B113" t="s">
        <v>109</v>
      </c>
      <c r="C113" t="s">
        <v>643</v>
      </c>
      <c r="D113" t="s">
        <v>1156</v>
      </c>
      <c r="E113" t="s">
        <v>1027</v>
      </c>
      <c r="F113">
        <v>45744</v>
      </c>
      <c r="G113" t="s">
        <v>1157</v>
      </c>
      <c r="H113">
        <v>45744</v>
      </c>
      <c r="I113" t="s">
        <v>134</v>
      </c>
      <c r="J113" t="s">
        <v>471</v>
      </c>
      <c r="K113" t="s">
        <v>109</v>
      </c>
      <c r="L113" t="s">
        <v>508</v>
      </c>
      <c r="M113" t="s">
        <v>508</v>
      </c>
      <c r="N113" t="s">
        <v>107</v>
      </c>
      <c r="O113" t="s">
        <v>107</v>
      </c>
      <c r="P113" t="s">
        <v>106</v>
      </c>
      <c r="Q113" t="s">
        <v>106</v>
      </c>
      <c r="R113" t="s">
        <v>106</v>
      </c>
      <c r="S113" t="s">
        <v>970</v>
      </c>
      <c r="T113" t="s">
        <v>1158</v>
      </c>
      <c r="U113" t="s">
        <v>441</v>
      </c>
      <c r="V113" t="s">
        <v>106</v>
      </c>
      <c r="W113" t="s">
        <v>954</v>
      </c>
      <c r="X113" t="s">
        <v>106</v>
      </c>
      <c r="Y113" t="s">
        <v>108</v>
      </c>
      <c r="Z113" t="s">
        <v>109</v>
      </c>
      <c r="AA113" t="s">
        <v>966</v>
      </c>
      <c r="AB113" t="s">
        <v>106</v>
      </c>
    </row>
    <row r="114" spans="2:28" x14ac:dyDescent="0.3">
      <c r="B114" t="s">
        <v>108</v>
      </c>
      <c r="C114" t="s">
        <v>918</v>
      </c>
      <c r="D114" t="s">
        <v>1159</v>
      </c>
      <c r="E114" t="s">
        <v>1027</v>
      </c>
      <c r="F114">
        <v>45744</v>
      </c>
      <c r="G114" t="s">
        <v>1160</v>
      </c>
      <c r="H114">
        <v>45744</v>
      </c>
      <c r="I114" t="s">
        <v>784</v>
      </c>
      <c r="J114" t="s">
        <v>471</v>
      </c>
      <c r="K114" t="s">
        <v>109</v>
      </c>
      <c r="L114" t="s">
        <v>1161</v>
      </c>
      <c r="M114" t="s">
        <v>1119</v>
      </c>
      <c r="N114" t="s">
        <v>107</v>
      </c>
      <c r="O114" t="s">
        <v>107</v>
      </c>
      <c r="P114" t="s">
        <v>106</v>
      </c>
      <c r="Q114" t="s">
        <v>106</v>
      </c>
      <c r="R114" t="s">
        <v>106</v>
      </c>
      <c r="S114" t="s">
        <v>106</v>
      </c>
      <c r="T114" t="s">
        <v>1074</v>
      </c>
      <c r="U114" t="s">
        <v>720</v>
      </c>
      <c r="V114" t="s">
        <v>106</v>
      </c>
      <c r="W114" t="s">
        <v>954</v>
      </c>
      <c r="X114" t="s">
        <v>106</v>
      </c>
      <c r="Y114" t="s">
        <v>108</v>
      </c>
      <c r="Z114" t="s">
        <v>108</v>
      </c>
      <c r="AA114" t="s">
        <v>1113</v>
      </c>
      <c r="AB114" t="s">
        <v>956</v>
      </c>
    </row>
    <row r="115" spans="2:28" x14ac:dyDescent="0.3">
      <c r="B115" t="s">
        <v>108</v>
      </c>
      <c r="C115" t="s">
        <v>918</v>
      </c>
      <c r="D115" t="s">
        <v>1162</v>
      </c>
      <c r="E115" t="s">
        <v>1027</v>
      </c>
      <c r="F115">
        <v>45744</v>
      </c>
      <c r="G115" t="s">
        <v>1163</v>
      </c>
      <c r="H115">
        <v>45744</v>
      </c>
      <c r="I115" t="s">
        <v>784</v>
      </c>
      <c r="J115" t="s">
        <v>471</v>
      </c>
      <c r="K115" t="s">
        <v>109</v>
      </c>
      <c r="L115" t="s">
        <v>673</v>
      </c>
      <c r="M115" t="s">
        <v>1164</v>
      </c>
      <c r="N115" t="s">
        <v>107</v>
      </c>
      <c r="O115" t="s">
        <v>107</v>
      </c>
      <c r="P115" t="s">
        <v>106</v>
      </c>
      <c r="Q115" t="s">
        <v>106</v>
      </c>
      <c r="R115" t="s">
        <v>106</v>
      </c>
      <c r="S115" t="s">
        <v>106</v>
      </c>
      <c r="T115" t="s">
        <v>1101</v>
      </c>
      <c r="U115" t="s">
        <v>867</v>
      </c>
      <c r="V115" t="s">
        <v>106</v>
      </c>
      <c r="W115" t="s">
        <v>954</v>
      </c>
      <c r="X115" t="s">
        <v>106</v>
      </c>
      <c r="Y115" t="s">
        <v>108</v>
      </c>
      <c r="Z115" t="s">
        <v>108</v>
      </c>
      <c r="AA115" t="s">
        <v>1113</v>
      </c>
      <c r="AB115" t="s">
        <v>106</v>
      </c>
    </row>
    <row r="116" spans="2:28" x14ac:dyDescent="0.3">
      <c r="B116" t="s">
        <v>104</v>
      </c>
      <c r="C116" t="s">
        <v>921</v>
      </c>
      <c r="D116" t="s">
        <v>1165</v>
      </c>
      <c r="E116" t="s">
        <v>1027</v>
      </c>
      <c r="F116">
        <v>45744</v>
      </c>
      <c r="G116" t="s">
        <v>1166</v>
      </c>
      <c r="H116">
        <v>45744</v>
      </c>
      <c r="I116" t="s">
        <v>784</v>
      </c>
      <c r="J116" t="s">
        <v>471</v>
      </c>
      <c r="K116" t="s">
        <v>109</v>
      </c>
      <c r="L116" t="s">
        <v>1167</v>
      </c>
      <c r="M116" t="s">
        <v>1129</v>
      </c>
      <c r="N116" t="s">
        <v>107</v>
      </c>
      <c r="O116" t="s">
        <v>107</v>
      </c>
      <c r="P116" t="s">
        <v>106</v>
      </c>
      <c r="Q116" t="s">
        <v>106</v>
      </c>
      <c r="R116" t="s">
        <v>106</v>
      </c>
      <c r="S116" t="s">
        <v>106</v>
      </c>
      <c r="T116" t="s">
        <v>961</v>
      </c>
      <c r="U116" t="s">
        <v>719</v>
      </c>
      <c r="V116" t="s">
        <v>106</v>
      </c>
      <c r="W116" t="s">
        <v>954</v>
      </c>
      <c r="X116" t="s">
        <v>106</v>
      </c>
      <c r="Y116" t="s">
        <v>108</v>
      </c>
      <c r="Z116" t="s">
        <v>104</v>
      </c>
      <c r="AA116" t="s">
        <v>966</v>
      </c>
      <c r="AB116" t="s">
        <v>106</v>
      </c>
    </row>
    <row r="117" spans="2:28" x14ac:dyDescent="0.3">
      <c r="B117" t="s">
        <v>109</v>
      </c>
      <c r="C117" t="s">
        <v>643</v>
      </c>
      <c r="D117" t="s">
        <v>1168</v>
      </c>
      <c r="E117" t="s">
        <v>1027</v>
      </c>
      <c r="F117">
        <v>45744</v>
      </c>
      <c r="G117" t="s">
        <v>1169</v>
      </c>
      <c r="H117">
        <v>45744</v>
      </c>
      <c r="I117" t="s">
        <v>784</v>
      </c>
      <c r="J117" t="s">
        <v>471</v>
      </c>
      <c r="K117" t="s">
        <v>109</v>
      </c>
      <c r="L117" t="s">
        <v>1170</v>
      </c>
      <c r="M117" t="s">
        <v>814</v>
      </c>
      <c r="N117" t="s">
        <v>107</v>
      </c>
      <c r="O117" t="s">
        <v>107</v>
      </c>
      <c r="P117" t="s">
        <v>106</v>
      </c>
      <c r="Q117" t="s">
        <v>106</v>
      </c>
      <c r="R117" t="s">
        <v>106</v>
      </c>
      <c r="S117" t="s">
        <v>106</v>
      </c>
      <c r="T117" t="s">
        <v>984</v>
      </c>
      <c r="U117" t="s">
        <v>867</v>
      </c>
      <c r="V117" t="s">
        <v>106</v>
      </c>
      <c r="W117" t="s">
        <v>954</v>
      </c>
      <c r="X117" t="s">
        <v>106</v>
      </c>
      <c r="Y117" t="s">
        <v>108</v>
      </c>
      <c r="Z117" t="s">
        <v>109</v>
      </c>
      <c r="AA117" t="s">
        <v>966</v>
      </c>
      <c r="AB117" t="s">
        <v>106</v>
      </c>
    </row>
    <row r="118" spans="2:28" x14ac:dyDescent="0.3">
      <c r="B118" t="s">
        <v>109</v>
      </c>
      <c r="C118" t="s">
        <v>643</v>
      </c>
      <c r="D118" t="s">
        <v>1171</v>
      </c>
      <c r="E118" t="s">
        <v>1027</v>
      </c>
      <c r="F118">
        <v>45744</v>
      </c>
      <c r="G118" t="s">
        <v>1169</v>
      </c>
      <c r="H118">
        <v>45744</v>
      </c>
      <c r="I118" t="s">
        <v>784</v>
      </c>
      <c r="J118" t="s">
        <v>471</v>
      </c>
      <c r="K118" t="s">
        <v>109</v>
      </c>
      <c r="L118" t="s">
        <v>846</v>
      </c>
      <c r="M118" t="s">
        <v>846</v>
      </c>
      <c r="N118" t="s">
        <v>107</v>
      </c>
      <c r="O118" t="s">
        <v>107</v>
      </c>
      <c r="P118" t="s">
        <v>106</v>
      </c>
      <c r="Q118" t="s">
        <v>106</v>
      </c>
      <c r="R118" t="s">
        <v>106</v>
      </c>
      <c r="S118" t="s">
        <v>106</v>
      </c>
      <c r="T118" t="s">
        <v>981</v>
      </c>
      <c r="U118" t="s">
        <v>719</v>
      </c>
      <c r="V118" t="s">
        <v>106</v>
      </c>
      <c r="W118" t="s">
        <v>954</v>
      </c>
      <c r="X118" t="s">
        <v>106</v>
      </c>
      <c r="Y118" t="s">
        <v>108</v>
      </c>
      <c r="Z118" t="s">
        <v>109</v>
      </c>
      <c r="AA118" t="s">
        <v>966</v>
      </c>
      <c r="AB118" t="s">
        <v>106</v>
      </c>
    </row>
    <row r="119" spans="2:28" x14ac:dyDescent="0.3">
      <c r="B119" t="s">
        <v>108</v>
      </c>
      <c r="C119" t="s">
        <v>918</v>
      </c>
      <c r="D119" t="s">
        <v>1172</v>
      </c>
      <c r="E119" t="s">
        <v>1027</v>
      </c>
      <c r="F119">
        <v>45744</v>
      </c>
      <c r="G119" t="s">
        <v>1173</v>
      </c>
      <c r="H119">
        <v>45744</v>
      </c>
      <c r="I119" t="s">
        <v>1174</v>
      </c>
      <c r="J119" t="s">
        <v>471</v>
      </c>
      <c r="K119" t="s">
        <v>109</v>
      </c>
      <c r="L119" t="s">
        <v>1175</v>
      </c>
      <c r="M119" t="s">
        <v>1176</v>
      </c>
      <c r="N119" t="s">
        <v>107</v>
      </c>
      <c r="O119" t="s">
        <v>107</v>
      </c>
      <c r="P119" t="s">
        <v>106</v>
      </c>
      <c r="Q119" t="s">
        <v>106</v>
      </c>
      <c r="R119" t="s">
        <v>106</v>
      </c>
      <c r="S119" t="s">
        <v>106</v>
      </c>
      <c r="T119" t="s">
        <v>106</v>
      </c>
      <c r="U119" t="s">
        <v>106</v>
      </c>
      <c r="V119" t="s">
        <v>106</v>
      </c>
      <c r="W119" t="s">
        <v>471</v>
      </c>
      <c r="X119" t="s">
        <v>106</v>
      </c>
      <c r="Y119" t="s">
        <v>108</v>
      </c>
      <c r="Z119" t="s">
        <v>108</v>
      </c>
      <c r="AA119" t="s">
        <v>1113</v>
      </c>
      <c r="AB119" t="s">
        <v>106</v>
      </c>
    </row>
    <row r="120" spans="2:28" x14ac:dyDescent="0.3">
      <c r="B120" t="s">
        <v>108</v>
      </c>
      <c r="C120" t="s">
        <v>918</v>
      </c>
      <c r="D120" t="s">
        <v>1177</v>
      </c>
      <c r="E120" t="s">
        <v>1027</v>
      </c>
      <c r="F120">
        <v>45744</v>
      </c>
      <c r="G120" t="s">
        <v>1178</v>
      </c>
      <c r="H120">
        <v>45744</v>
      </c>
      <c r="I120" t="s">
        <v>1179</v>
      </c>
      <c r="J120" t="s">
        <v>471</v>
      </c>
      <c r="K120" t="s">
        <v>109</v>
      </c>
      <c r="L120" t="s">
        <v>1180</v>
      </c>
      <c r="M120" t="s">
        <v>1181</v>
      </c>
      <c r="N120" t="s">
        <v>107</v>
      </c>
      <c r="O120" t="s">
        <v>107</v>
      </c>
      <c r="P120" t="s">
        <v>106</v>
      </c>
      <c r="Q120" t="s">
        <v>106</v>
      </c>
      <c r="R120" t="s">
        <v>106</v>
      </c>
      <c r="S120" t="s">
        <v>106</v>
      </c>
      <c r="T120" t="s">
        <v>106</v>
      </c>
      <c r="U120" t="s">
        <v>106</v>
      </c>
      <c r="V120" t="s">
        <v>106</v>
      </c>
      <c r="W120" t="s">
        <v>471</v>
      </c>
      <c r="X120" t="s">
        <v>106</v>
      </c>
      <c r="Y120" t="s">
        <v>108</v>
      </c>
      <c r="Z120" t="s">
        <v>108</v>
      </c>
      <c r="AA120" t="s">
        <v>1113</v>
      </c>
      <c r="AB120" t="s">
        <v>106</v>
      </c>
    </row>
    <row r="121" spans="2:28" x14ac:dyDescent="0.3">
      <c r="B121" t="s">
        <v>108</v>
      </c>
      <c r="C121" t="s">
        <v>918</v>
      </c>
      <c r="D121" t="s">
        <v>1182</v>
      </c>
      <c r="E121" t="s">
        <v>1027</v>
      </c>
      <c r="F121">
        <v>45744</v>
      </c>
      <c r="G121" t="s">
        <v>657</v>
      </c>
      <c r="H121">
        <v>45744</v>
      </c>
      <c r="I121" t="s">
        <v>1183</v>
      </c>
      <c r="J121" t="s">
        <v>471</v>
      </c>
      <c r="K121" t="s">
        <v>109</v>
      </c>
      <c r="L121" t="s">
        <v>1184</v>
      </c>
      <c r="M121" t="s">
        <v>1185</v>
      </c>
      <c r="N121" t="s">
        <v>107</v>
      </c>
      <c r="O121" t="s">
        <v>107</v>
      </c>
      <c r="P121" t="s">
        <v>106</v>
      </c>
      <c r="Q121" t="s">
        <v>106</v>
      </c>
      <c r="R121" t="s">
        <v>106</v>
      </c>
      <c r="S121" t="s">
        <v>106</v>
      </c>
      <c r="T121" t="s">
        <v>106</v>
      </c>
      <c r="U121" t="s">
        <v>106</v>
      </c>
      <c r="V121" t="s">
        <v>106</v>
      </c>
      <c r="W121" t="s">
        <v>471</v>
      </c>
      <c r="X121" t="s">
        <v>106</v>
      </c>
      <c r="Y121" t="s">
        <v>108</v>
      </c>
      <c r="Z121" t="s">
        <v>108</v>
      </c>
      <c r="AA121" t="s">
        <v>1113</v>
      </c>
      <c r="AB121" t="s">
        <v>106</v>
      </c>
    </row>
    <row r="122" spans="2:28" x14ac:dyDescent="0.3">
      <c r="B122" t="s">
        <v>108</v>
      </c>
      <c r="C122" t="s">
        <v>918</v>
      </c>
      <c r="D122" t="s">
        <v>366</v>
      </c>
      <c r="E122" t="s">
        <v>1027</v>
      </c>
      <c r="F122">
        <v>45747</v>
      </c>
      <c r="G122" t="s">
        <v>1186</v>
      </c>
      <c r="H122">
        <v>45747</v>
      </c>
      <c r="I122" t="s">
        <v>1187</v>
      </c>
      <c r="J122" t="s">
        <v>471</v>
      </c>
      <c r="K122" t="s">
        <v>109</v>
      </c>
      <c r="L122" t="s">
        <v>1087</v>
      </c>
      <c r="M122" t="s">
        <v>728</v>
      </c>
      <c r="N122" t="s">
        <v>107</v>
      </c>
      <c r="O122" t="s">
        <v>107</v>
      </c>
      <c r="P122" t="s">
        <v>106</v>
      </c>
      <c r="Q122" t="s">
        <v>106</v>
      </c>
      <c r="R122" t="s">
        <v>106</v>
      </c>
      <c r="S122" t="s">
        <v>1036</v>
      </c>
      <c r="T122" t="s">
        <v>996</v>
      </c>
      <c r="U122" t="s">
        <v>444</v>
      </c>
      <c r="V122" t="s">
        <v>106</v>
      </c>
      <c r="W122" t="s">
        <v>954</v>
      </c>
      <c r="X122" t="s">
        <v>106</v>
      </c>
      <c r="Y122" t="s">
        <v>108</v>
      </c>
      <c r="Z122" t="s">
        <v>108</v>
      </c>
      <c r="AA122" t="s">
        <v>1113</v>
      </c>
      <c r="AB122" t="s">
        <v>106</v>
      </c>
    </row>
    <row r="123" spans="2:28" x14ac:dyDescent="0.3">
      <c r="B123" t="s">
        <v>108</v>
      </c>
      <c r="C123" t="s">
        <v>918</v>
      </c>
      <c r="D123" t="s">
        <v>1188</v>
      </c>
      <c r="E123" t="s">
        <v>1027</v>
      </c>
      <c r="F123">
        <v>45747</v>
      </c>
      <c r="G123" t="s">
        <v>1189</v>
      </c>
      <c r="H123">
        <v>45747</v>
      </c>
      <c r="I123" t="s">
        <v>1187</v>
      </c>
      <c r="J123" t="s">
        <v>471</v>
      </c>
      <c r="K123" t="s">
        <v>109</v>
      </c>
      <c r="L123" t="s">
        <v>1190</v>
      </c>
      <c r="M123" t="s">
        <v>1175</v>
      </c>
      <c r="N123" t="s">
        <v>107</v>
      </c>
      <c r="O123" t="s">
        <v>107</v>
      </c>
      <c r="P123" t="s">
        <v>106</v>
      </c>
      <c r="Q123" t="s">
        <v>106</v>
      </c>
      <c r="R123" t="s">
        <v>106</v>
      </c>
      <c r="S123" t="s">
        <v>1009</v>
      </c>
      <c r="T123" t="s">
        <v>760</v>
      </c>
      <c r="U123" t="s">
        <v>143</v>
      </c>
      <c r="V123" t="s">
        <v>106</v>
      </c>
      <c r="W123" t="s">
        <v>954</v>
      </c>
      <c r="X123" t="s">
        <v>106</v>
      </c>
      <c r="Y123" t="s">
        <v>108</v>
      </c>
      <c r="Z123" t="s">
        <v>108</v>
      </c>
      <c r="AA123" t="s">
        <v>1113</v>
      </c>
      <c r="AB123" t="s">
        <v>106</v>
      </c>
    </row>
    <row r="124" spans="2:28" x14ac:dyDescent="0.3">
      <c r="B124" t="s">
        <v>104</v>
      </c>
      <c r="C124" t="s">
        <v>921</v>
      </c>
      <c r="D124" t="s">
        <v>1191</v>
      </c>
      <c r="E124" t="s">
        <v>1027</v>
      </c>
      <c r="F124">
        <v>45747</v>
      </c>
      <c r="G124" t="s">
        <v>470</v>
      </c>
      <c r="H124">
        <v>45747</v>
      </c>
      <c r="I124" t="s">
        <v>1187</v>
      </c>
      <c r="J124" t="s">
        <v>471</v>
      </c>
      <c r="K124" t="s">
        <v>109</v>
      </c>
      <c r="L124" t="s">
        <v>1192</v>
      </c>
      <c r="M124" t="s">
        <v>1192</v>
      </c>
      <c r="N124" t="s">
        <v>107</v>
      </c>
      <c r="O124" t="s">
        <v>107</v>
      </c>
      <c r="P124" t="s">
        <v>106</v>
      </c>
      <c r="Q124" t="s">
        <v>106</v>
      </c>
      <c r="R124" t="s">
        <v>106</v>
      </c>
      <c r="S124" t="s">
        <v>1130</v>
      </c>
      <c r="T124" t="s">
        <v>776</v>
      </c>
      <c r="U124" t="s">
        <v>136</v>
      </c>
      <c r="V124" t="s">
        <v>106</v>
      </c>
      <c r="W124" t="s">
        <v>954</v>
      </c>
      <c r="X124" t="s">
        <v>106</v>
      </c>
      <c r="Y124" t="s">
        <v>108</v>
      </c>
      <c r="Z124" t="s">
        <v>104</v>
      </c>
      <c r="AA124" t="s">
        <v>966</v>
      </c>
      <c r="AB124" t="s">
        <v>106</v>
      </c>
    </row>
    <row r="125" spans="2:28" x14ac:dyDescent="0.3">
      <c r="B125" t="s">
        <v>104</v>
      </c>
      <c r="C125" t="s">
        <v>921</v>
      </c>
      <c r="D125" t="s">
        <v>1193</v>
      </c>
      <c r="E125" t="s">
        <v>1027</v>
      </c>
      <c r="F125">
        <v>45747</v>
      </c>
      <c r="G125" t="s">
        <v>1194</v>
      </c>
      <c r="H125">
        <v>45747</v>
      </c>
      <c r="I125" t="s">
        <v>1187</v>
      </c>
      <c r="J125" t="s">
        <v>471</v>
      </c>
      <c r="K125" t="s">
        <v>109</v>
      </c>
      <c r="L125" t="s">
        <v>964</v>
      </c>
      <c r="M125" t="s">
        <v>969</v>
      </c>
      <c r="N125" t="s">
        <v>107</v>
      </c>
      <c r="O125" t="s">
        <v>107</v>
      </c>
      <c r="P125" t="s">
        <v>106</v>
      </c>
      <c r="Q125" t="s">
        <v>106</v>
      </c>
      <c r="R125" t="s">
        <v>106</v>
      </c>
      <c r="S125" t="s">
        <v>1048</v>
      </c>
      <c r="T125" t="s">
        <v>989</v>
      </c>
      <c r="U125" t="s">
        <v>677</v>
      </c>
      <c r="V125" t="s">
        <v>106</v>
      </c>
      <c r="W125" t="s">
        <v>954</v>
      </c>
      <c r="X125" t="s">
        <v>106</v>
      </c>
      <c r="Y125" t="s">
        <v>108</v>
      </c>
      <c r="Z125" t="s">
        <v>104</v>
      </c>
      <c r="AA125" t="s">
        <v>966</v>
      </c>
      <c r="AB125" t="s">
        <v>106</v>
      </c>
    </row>
    <row r="126" spans="2:28" x14ac:dyDescent="0.3">
      <c r="B126" t="s">
        <v>109</v>
      </c>
      <c r="C126" t="s">
        <v>643</v>
      </c>
      <c r="D126" t="s">
        <v>1195</v>
      </c>
      <c r="E126" t="s">
        <v>1027</v>
      </c>
      <c r="F126">
        <v>45747</v>
      </c>
      <c r="G126" t="s">
        <v>135</v>
      </c>
      <c r="H126">
        <v>45747</v>
      </c>
      <c r="I126" t="s">
        <v>1187</v>
      </c>
      <c r="J126" t="s">
        <v>471</v>
      </c>
      <c r="K126" t="s">
        <v>109</v>
      </c>
      <c r="L126" t="s">
        <v>626</v>
      </c>
      <c r="M126" t="s">
        <v>1133</v>
      </c>
      <c r="N126" t="s">
        <v>107</v>
      </c>
      <c r="O126" t="s">
        <v>107</v>
      </c>
      <c r="P126" t="s">
        <v>106</v>
      </c>
      <c r="Q126" t="s">
        <v>106</v>
      </c>
      <c r="R126" t="s">
        <v>106</v>
      </c>
      <c r="S126" t="s">
        <v>1196</v>
      </c>
      <c r="T126" t="s">
        <v>1069</v>
      </c>
      <c r="U126" t="s">
        <v>361</v>
      </c>
      <c r="V126" t="s">
        <v>106</v>
      </c>
      <c r="W126" t="s">
        <v>954</v>
      </c>
      <c r="X126" t="s">
        <v>106</v>
      </c>
      <c r="Y126" t="s">
        <v>108</v>
      </c>
      <c r="Z126" t="s">
        <v>109</v>
      </c>
      <c r="AA126" t="s">
        <v>966</v>
      </c>
      <c r="AB126" t="s">
        <v>106</v>
      </c>
    </row>
    <row r="127" spans="2:28" x14ac:dyDescent="0.3">
      <c r="B127" t="s">
        <v>109</v>
      </c>
      <c r="C127" t="s">
        <v>643</v>
      </c>
      <c r="D127" t="s">
        <v>367</v>
      </c>
      <c r="E127" t="s">
        <v>1027</v>
      </c>
      <c r="F127">
        <v>45747</v>
      </c>
      <c r="G127" t="s">
        <v>135</v>
      </c>
      <c r="H127">
        <v>45747</v>
      </c>
      <c r="I127" t="s">
        <v>1187</v>
      </c>
      <c r="J127" t="s">
        <v>471</v>
      </c>
      <c r="K127" t="s">
        <v>109</v>
      </c>
      <c r="L127" t="s">
        <v>814</v>
      </c>
      <c r="M127" t="s">
        <v>626</v>
      </c>
      <c r="N127" t="s">
        <v>107</v>
      </c>
      <c r="O127" t="s">
        <v>107</v>
      </c>
      <c r="P127" t="s">
        <v>106</v>
      </c>
      <c r="Q127" t="s">
        <v>106</v>
      </c>
      <c r="R127" t="s">
        <v>106</v>
      </c>
      <c r="S127" t="s">
        <v>1197</v>
      </c>
      <c r="T127" t="s">
        <v>760</v>
      </c>
      <c r="U127" t="s">
        <v>719</v>
      </c>
      <c r="V127" t="s">
        <v>106</v>
      </c>
      <c r="W127" t="s">
        <v>954</v>
      </c>
      <c r="X127" t="s">
        <v>106</v>
      </c>
      <c r="Y127" t="s">
        <v>108</v>
      </c>
      <c r="Z127" t="s">
        <v>109</v>
      </c>
      <c r="AA127" t="s">
        <v>966</v>
      </c>
      <c r="AB127" t="s">
        <v>106</v>
      </c>
    </row>
    <row r="128" spans="2:28" x14ac:dyDescent="0.3">
      <c r="B128" t="s">
        <v>108</v>
      </c>
      <c r="C128" t="s">
        <v>918</v>
      </c>
      <c r="D128" t="s">
        <v>1198</v>
      </c>
      <c r="E128" t="s">
        <v>1027</v>
      </c>
      <c r="F128">
        <v>45747</v>
      </c>
      <c r="G128" t="s">
        <v>1199</v>
      </c>
      <c r="H128">
        <v>45747</v>
      </c>
      <c r="I128" t="s">
        <v>704</v>
      </c>
      <c r="J128" t="s">
        <v>471</v>
      </c>
      <c r="K128" t="s">
        <v>109</v>
      </c>
      <c r="L128" t="s">
        <v>1176</v>
      </c>
      <c r="M128" t="s">
        <v>1200</v>
      </c>
      <c r="N128" t="s">
        <v>107</v>
      </c>
      <c r="O128" t="s">
        <v>107</v>
      </c>
      <c r="P128" t="s">
        <v>106</v>
      </c>
      <c r="Q128" t="s">
        <v>106</v>
      </c>
      <c r="R128" t="s">
        <v>106</v>
      </c>
      <c r="S128" t="s">
        <v>1130</v>
      </c>
      <c r="T128" t="s">
        <v>806</v>
      </c>
      <c r="U128" t="s">
        <v>725</v>
      </c>
      <c r="V128" t="s">
        <v>106</v>
      </c>
      <c r="W128" t="s">
        <v>954</v>
      </c>
      <c r="X128" t="s">
        <v>106</v>
      </c>
      <c r="Y128" t="s">
        <v>108</v>
      </c>
      <c r="Z128" t="s">
        <v>108</v>
      </c>
      <c r="AA128" t="s">
        <v>1113</v>
      </c>
      <c r="AB128" t="s">
        <v>1201</v>
      </c>
    </row>
    <row r="129" spans="2:28" x14ac:dyDescent="0.3">
      <c r="B129" t="s">
        <v>108</v>
      </c>
      <c r="C129" t="s">
        <v>918</v>
      </c>
      <c r="D129" t="s">
        <v>604</v>
      </c>
      <c r="E129" t="s">
        <v>1027</v>
      </c>
      <c r="F129">
        <v>45747</v>
      </c>
      <c r="G129" t="s">
        <v>1202</v>
      </c>
      <c r="H129">
        <v>45747</v>
      </c>
      <c r="I129" t="s">
        <v>704</v>
      </c>
      <c r="J129" t="s">
        <v>471</v>
      </c>
      <c r="K129" t="s">
        <v>109</v>
      </c>
      <c r="L129" t="s">
        <v>1008</v>
      </c>
      <c r="M129" t="s">
        <v>1203</v>
      </c>
      <c r="N129" t="s">
        <v>107</v>
      </c>
      <c r="O129" t="s">
        <v>107</v>
      </c>
      <c r="P129" t="s">
        <v>106</v>
      </c>
      <c r="Q129" t="s">
        <v>106</v>
      </c>
      <c r="R129" t="s">
        <v>106</v>
      </c>
      <c r="S129" t="s">
        <v>1204</v>
      </c>
      <c r="T129" t="s">
        <v>806</v>
      </c>
      <c r="U129" t="s">
        <v>147</v>
      </c>
      <c r="V129" t="s">
        <v>106</v>
      </c>
      <c r="W129" t="s">
        <v>954</v>
      </c>
      <c r="X129" t="s">
        <v>106</v>
      </c>
      <c r="Y129" t="s">
        <v>108</v>
      </c>
      <c r="Z129" t="s">
        <v>108</v>
      </c>
      <c r="AA129" t="s">
        <v>1113</v>
      </c>
      <c r="AB129" t="s">
        <v>106</v>
      </c>
    </row>
    <row r="130" spans="2:28" x14ac:dyDescent="0.3">
      <c r="B130" t="s">
        <v>104</v>
      </c>
      <c r="C130" t="s">
        <v>921</v>
      </c>
      <c r="D130" t="s">
        <v>1205</v>
      </c>
      <c r="E130" t="s">
        <v>1027</v>
      </c>
      <c r="F130">
        <v>45747</v>
      </c>
      <c r="G130" t="s">
        <v>1206</v>
      </c>
      <c r="H130">
        <v>45747</v>
      </c>
      <c r="I130" t="s">
        <v>704</v>
      </c>
      <c r="J130" t="s">
        <v>471</v>
      </c>
      <c r="K130" t="s">
        <v>109</v>
      </c>
      <c r="L130" t="s">
        <v>963</v>
      </c>
      <c r="M130" t="s">
        <v>1207</v>
      </c>
      <c r="N130" t="s">
        <v>107</v>
      </c>
      <c r="O130" t="s">
        <v>107</v>
      </c>
      <c r="P130" t="s">
        <v>106</v>
      </c>
      <c r="Q130" t="s">
        <v>106</v>
      </c>
      <c r="R130" t="s">
        <v>106</v>
      </c>
      <c r="S130" t="s">
        <v>983</v>
      </c>
      <c r="T130" t="s">
        <v>1208</v>
      </c>
      <c r="U130" t="s">
        <v>144</v>
      </c>
      <c r="V130" t="s">
        <v>106</v>
      </c>
      <c r="W130" t="s">
        <v>954</v>
      </c>
      <c r="X130" t="s">
        <v>106</v>
      </c>
      <c r="Y130" t="s">
        <v>108</v>
      </c>
      <c r="Z130" t="s">
        <v>104</v>
      </c>
      <c r="AA130" t="s">
        <v>966</v>
      </c>
      <c r="AB130" t="s">
        <v>106</v>
      </c>
    </row>
    <row r="131" spans="2:28" x14ac:dyDescent="0.3">
      <c r="B131" t="s">
        <v>104</v>
      </c>
      <c r="C131" t="s">
        <v>921</v>
      </c>
      <c r="D131" t="s">
        <v>1209</v>
      </c>
      <c r="E131" t="s">
        <v>1027</v>
      </c>
      <c r="F131">
        <v>45747</v>
      </c>
      <c r="G131" t="s">
        <v>1210</v>
      </c>
      <c r="H131">
        <v>45747</v>
      </c>
      <c r="I131" t="s">
        <v>704</v>
      </c>
      <c r="J131" t="s">
        <v>471</v>
      </c>
      <c r="K131" t="s">
        <v>109</v>
      </c>
      <c r="L131" t="s">
        <v>1014</v>
      </c>
      <c r="M131" t="s">
        <v>1147</v>
      </c>
      <c r="N131" t="s">
        <v>107</v>
      </c>
      <c r="O131" t="s">
        <v>107</v>
      </c>
      <c r="P131" t="s">
        <v>106</v>
      </c>
      <c r="Q131" t="s">
        <v>106</v>
      </c>
      <c r="R131" t="s">
        <v>106</v>
      </c>
      <c r="S131" t="s">
        <v>1124</v>
      </c>
      <c r="T131" t="s">
        <v>1158</v>
      </c>
      <c r="U131" t="s">
        <v>433</v>
      </c>
      <c r="V131" t="s">
        <v>106</v>
      </c>
      <c r="W131" t="s">
        <v>954</v>
      </c>
      <c r="X131" t="s">
        <v>106</v>
      </c>
      <c r="Y131" t="s">
        <v>108</v>
      </c>
      <c r="Z131" t="s">
        <v>104</v>
      </c>
      <c r="AA131" t="s">
        <v>966</v>
      </c>
      <c r="AB131" t="s">
        <v>106</v>
      </c>
    </row>
    <row r="132" spans="2:28" x14ac:dyDescent="0.3">
      <c r="B132" t="s">
        <v>109</v>
      </c>
      <c r="C132" t="s">
        <v>643</v>
      </c>
      <c r="D132" t="s">
        <v>1211</v>
      </c>
      <c r="E132" t="s">
        <v>1027</v>
      </c>
      <c r="F132">
        <v>45747</v>
      </c>
      <c r="G132" t="s">
        <v>368</v>
      </c>
      <c r="H132">
        <v>45747</v>
      </c>
      <c r="I132" t="s">
        <v>704</v>
      </c>
      <c r="J132" t="s">
        <v>471</v>
      </c>
      <c r="K132" t="s">
        <v>109</v>
      </c>
      <c r="L132" t="s">
        <v>1153</v>
      </c>
      <c r="M132" t="s">
        <v>1153</v>
      </c>
      <c r="N132" t="s">
        <v>107</v>
      </c>
      <c r="O132" t="s">
        <v>107</v>
      </c>
      <c r="P132" t="s">
        <v>106</v>
      </c>
      <c r="Q132" t="s">
        <v>106</v>
      </c>
      <c r="R132" t="s">
        <v>106</v>
      </c>
      <c r="S132" t="s">
        <v>1204</v>
      </c>
      <c r="T132" t="s">
        <v>971</v>
      </c>
      <c r="U132" t="s">
        <v>146</v>
      </c>
      <c r="V132" t="s">
        <v>106</v>
      </c>
      <c r="W132" t="s">
        <v>954</v>
      </c>
      <c r="X132" t="s">
        <v>106</v>
      </c>
      <c r="Y132" t="s">
        <v>108</v>
      </c>
      <c r="Z132" t="s">
        <v>109</v>
      </c>
      <c r="AA132" t="s">
        <v>966</v>
      </c>
      <c r="AB132" t="s">
        <v>106</v>
      </c>
    </row>
    <row r="133" spans="2:28" x14ac:dyDescent="0.3">
      <c r="B133" t="s">
        <v>109</v>
      </c>
      <c r="C133" t="s">
        <v>643</v>
      </c>
      <c r="D133" t="s">
        <v>1212</v>
      </c>
      <c r="E133" t="s">
        <v>1027</v>
      </c>
      <c r="F133">
        <v>45747</v>
      </c>
      <c r="G133" t="s">
        <v>1213</v>
      </c>
      <c r="H133">
        <v>45747</v>
      </c>
      <c r="I133" t="s">
        <v>704</v>
      </c>
      <c r="J133" t="s">
        <v>471</v>
      </c>
      <c r="K133" t="s">
        <v>109</v>
      </c>
      <c r="L133" t="s">
        <v>508</v>
      </c>
      <c r="M133" t="s">
        <v>508</v>
      </c>
      <c r="N133" t="s">
        <v>107</v>
      </c>
      <c r="O133" t="s">
        <v>107</v>
      </c>
      <c r="P133" t="s">
        <v>106</v>
      </c>
      <c r="Q133" t="s">
        <v>106</v>
      </c>
      <c r="R133" t="s">
        <v>106</v>
      </c>
      <c r="S133" t="s">
        <v>1009</v>
      </c>
      <c r="T133" t="s">
        <v>1214</v>
      </c>
      <c r="U133" t="s">
        <v>677</v>
      </c>
      <c r="V133" t="s">
        <v>106</v>
      </c>
      <c r="W133" t="s">
        <v>954</v>
      </c>
      <c r="X133" t="s">
        <v>106</v>
      </c>
      <c r="Y133" t="s">
        <v>108</v>
      </c>
      <c r="Z133" t="s">
        <v>109</v>
      </c>
      <c r="AA133" t="s">
        <v>966</v>
      </c>
      <c r="AB133" t="s">
        <v>106</v>
      </c>
    </row>
    <row r="134" spans="2:28" x14ac:dyDescent="0.3">
      <c r="B134" t="s">
        <v>108</v>
      </c>
      <c r="C134" t="s">
        <v>918</v>
      </c>
      <c r="D134" t="s">
        <v>1215</v>
      </c>
      <c r="E134" t="s">
        <v>1027</v>
      </c>
      <c r="F134">
        <v>45747</v>
      </c>
      <c r="G134" t="s">
        <v>139</v>
      </c>
      <c r="H134">
        <v>45747</v>
      </c>
      <c r="I134" t="s">
        <v>805</v>
      </c>
      <c r="J134" t="s">
        <v>471</v>
      </c>
      <c r="K134" t="s">
        <v>109</v>
      </c>
      <c r="L134" t="s">
        <v>1072</v>
      </c>
      <c r="M134" t="s">
        <v>1072</v>
      </c>
      <c r="N134" t="s">
        <v>107</v>
      </c>
      <c r="O134" t="s">
        <v>107</v>
      </c>
      <c r="P134" t="s">
        <v>106</v>
      </c>
      <c r="Q134" t="s">
        <v>106</v>
      </c>
      <c r="R134" t="s">
        <v>106</v>
      </c>
      <c r="S134" t="s">
        <v>1196</v>
      </c>
      <c r="T134" t="s">
        <v>781</v>
      </c>
      <c r="U134" t="s">
        <v>444</v>
      </c>
      <c r="V134" t="s">
        <v>106</v>
      </c>
      <c r="W134" t="s">
        <v>557</v>
      </c>
      <c r="X134" t="s">
        <v>106</v>
      </c>
      <c r="Y134" t="s">
        <v>108</v>
      </c>
      <c r="Z134" t="s">
        <v>108</v>
      </c>
      <c r="AA134" t="s">
        <v>966</v>
      </c>
      <c r="AB134" t="s">
        <v>106</v>
      </c>
    </row>
    <row r="135" spans="2:28" x14ac:dyDescent="0.3">
      <c r="B135" t="s">
        <v>108</v>
      </c>
      <c r="C135" t="s">
        <v>918</v>
      </c>
      <c r="D135" t="s">
        <v>1216</v>
      </c>
      <c r="E135" t="s">
        <v>1027</v>
      </c>
      <c r="F135">
        <v>45747</v>
      </c>
      <c r="G135" t="s">
        <v>592</v>
      </c>
      <c r="H135">
        <v>45747</v>
      </c>
      <c r="I135" t="s">
        <v>805</v>
      </c>
      <c r="J135" t="s">
        <v>471</v>
      </c>
      <c r="K135" t="s">
        <v>109</v>
      </c>
      <c r="L135" t="s">
        <v>563</v>
      </c>
      <c r="M135" t="s">
        <v>563</v>
      </c>
      <c r="N135" t="s">
        <v>107</v>
      </c>
      <c r="O135" t="s">
        <v>107</v>
      </c>
      <c r="P135" t="s">
        <v>106</v>
      </c>
      <c r="Q135" t="s">
        <v>106</v>
      </c>
      <c r="R135" t="s">
        <v>106</v>
      </c>
      <c r="S135" t="s">
        <v>988</v>
      </c>
      <c r="T135" t="s">
        <v>1217</v>
      </c>
      <c r="U135" t="s">
        <v>441</v>
      </c>
      <c r="V135" t="s">
        <v>106</v>
      </c>
      <c r="W135" t="s">
        <v>557</v>
      </c>
      <c r="X135" t="s">
        <v>106</v>
      </c>
      <c r="Y135" t="s">
        <v>108</v>
      </c>
      <c r="Z135" t="s">
        <v>108</v>
      </c>
      <c r="AA135" t="s">
        <v>966</v>
      </c>
      <c r="AB135" t="s">
        <v>106</v>
      </c>
    </row>
    <row r="136" spans="2:28" x14ac:dyDescent="0.3">
      <c r="B136" t="s">
        <v>104</v>
      </c>
      <c r="C136" t="s">
        <v>921</v>
      </c>
      <c r="D136" t="s">
        <v>1218</v>
      </c>
      <c r="E136" t="s">
        <v>1027</v>
      </c>
      <c r="F136">
        <v>45747</v>
      </c>
      <c r="G136" t="s">
        <v>676</v>
      </c>
      <c r="H136">
        <v>45747</v>
      </c>
      <c r="I136" t="s">
        <v>805</v>
      </c>
      <c r="J136" t="s">
        <v>471</v>
      </c>
      <c r="K136" t="s">
        <v>109</v>
      </c>
      <c r="L136" t="s">
        <v>1129</v>
      </c>
      <c r="M136" t="s">
        <v>1219</v>
      </c>
      <c r="N136" t="s">
        <v>107</v>
      </c>
      <c r="O136" t="s">
        <v>107</v>
      </c>
      <c r="P136" t="s">
        <v>106</v>
      </c>
      <c r="Q136" t="s">
        <v>106</v>
      </c>
      <c r="R136" t="s">
        <v>106</v>
      </c>
      <c r="S136" t="s">
        <v>1220</v>
      </c>
      <c r="T136" t="s">
        <v>747</v>
      </c>
      <c r="U136" t="s">
        <v>136</v>
      </c>
      <c r="V136" t="s">
        <v>106</v>
      </c>
      <c r="W136" t="s">
        <v>557</v>
      </c>
      <c r="X136" t="s">
        <v>106</v>
      </c>
      <c r="Y136" t="s">
        <v>108</v>
      </c>
      <c r="Z136" t="s">
        <v>104</v>
      </c>
      <c r="AA136" t="s">
        <v>966</v>
      </c>
      <c r="AB136" t="s">
        <v>106</v>
      </c>
    </row>
    <row r="137" spans="2:28" x14ac:dyDescent="0.3">
      <c r="B137" t="s">
        <v>104</v>
      </c>
      <c r="C137" t="s">
        <v>921</v>
      </c>
      <c r="D137" t="s">
        <v>1221</v>
      </c>
      <c r="E137" t="s">
        <v>1027</v>
      </c>
      <c r="F137">
        <v>45747</v>
      </c>
      <c r="G137" t="s">
        <v>676</v>
      </c>
      <c r="H137">
        <v>45747</v>
      </c>
      <c r="I137" t="s">
        <v>805</v>
      </c>
      <c r="J137" t="s">
        <v>471</v>
      </c>
      <c r="K137" t="s">
        <v>109</v>
      </c>
      <c r="L137" t="s">
        <v>1222</v>
      </c>
      <c r="M137" t="s">
        <v>1222</v>
      </c>
      <c r="N137" t="s">
        <v>107</v>
      </c>
      <c r="O137" t="s">
        <v>107</v>
      </c>
      <c r="P137" t="s">
        <v>106</v>
      </c>
      <c r="Q137" t="s">
        <v>106</v>
      </c>
      <c r="R137" t="s">
        <v>106</v>
      </c>
      <c r="S137" t="s">
        <v>988</v>
      </c>
      <c r="T137" t="s">
        <v>1223</v>
      </c>
      <c r="U137" t="s">
        <v>677</v>
      </c>
      <c r="V137" t="s">
        <v>106</v>
      </c>
      <c r="W137" t="s">
        <v>557</v>
      </c>
      <c r="X137" t="s">
        <v>106</v>
      </c>
      <c r="Y137" t="s">
        <v>108</v>
      </c>
      <c r="Z137" t="s">
        <v>104</v>
      </c>
      <c r="AA137" t="s">
        <v>966</v>
      </c>
      <c r="AB137" t="s">
        <v>106</v>
      </c>
    </row>
    <row r="138" spans="2:28" x14ac:dyDescent="0.3">
      <c r="B138" t="s">
        <v>109</v>
      </c>
      <c r="C138" t="s">
        <v>643</v>
      </c>
      <c r="D138" t="s">
        <v>1224</v>
      </c>
      <c r="E138" t="s">
        <v>1027</v>
      </c>
      <c r="F138">
        <v>45747</v>
      </c>
      <c r="G138" t="s">
        <v>823</v>
      </c>
      <c r="H138">
        <v>45747</v>
      </c>
      <c r="I138" t="s">
        <v>805</v>
      </c>
      <c r="J138" t="s">
        <v>471</v>
      </c>
      <c r="K138" t="s">
        <v>109</v>
      </c>
      <c r="L138" t="s">
        <v>842</v>
      </c>
      <c r="M138" t="s">
        <v>932</v>
      </c>
      <c r="N138" t="s">
        <v>107</v>
      </c>
      <c r="O138" t="s">
        <v>107</v>
      </c>
      <c r="P138" t="s">
        <v>106</v>
      </c>
      <c r="Q138" t="s">
        <v>106</v>
      </c>
      <c r="R138" t="s">
        <v>106</v>
      </c>
      <c r="S138" t="s">
        <v>1009</v>
      </c>
      <c r="T138" t="s">
        <v>942</v>
      </c>
      <c r="U138" t="s">
        <v>143</v>
      </c>
      <c r="V138" t="s">
        <v>106</v>
      </c>
      <c r="W138" t="s">
        <v>557</v>
      </c>
      <c r="X138" t="s">
        <v>106</v>
      </c>
      <c r="Y138" t="s">
        <v>108</v>
      </c>
      <c r="Z138" t="s">
        <v>109</v>
      </c>
      <c r="AA138" t="s">
        <v>966</v>
      </c>
      <c r="AB138" t="s">
        <v>106</v>
      </c>
    </row>
    <row r="139" spans="2:28" x14ac:dyDescent="0.3">
      <c r="B139" t="s">
        <v>109</v>
      </c>
      <c r="C139" t="s">
        <v>643</v>
      </c>
      <c r="D139" t="s">
        <v>1225</v>
      </c>
      <c r="E139" t="s">
        <v>1027</v>
      </c>
      <c r="F139">
        <v>45747</v>
      </c>
      <c r="G139" t="s">
        <v>431</v>
      </c>
      <c r="H139">
        <v>45747</v>
      </c>
      <c r="I139" t="s">
        <v>805</v>
      </c>
      <c r="J139" t="s">
        <v>471</v>
      </c>
      <c r="K139" t="s">
        <v>109</v>
      </c>
      <c r="L139" t="s">
        <v>1020</v>
      </c>
      <c r="M139" t="s">
        <v>1021</v>
      </c>
      <c r="N139" t="s">
        <v>107</v>
      </c>
      <c r="O139" t="s">
        <v>107</v>
      </c>
      <c r="P139" t="s">
        <v>106</v>
      </c>
      <c r="Q139" t="s">
        <v>106</v>
      </c>
      <c r="R139" t="s">
        <v>106</v>
      </c>
      <c r="S139" t="s">
        <v>1226</v>
      </c>
      <c r="T139" t="s">
        <v>993</v>
      </c>
      <c r="U139" t="s">
        <v>136</v>
      </c>
      <c r="V139" t="s">
        <v>106</v>
      </c>
      <c r="W139" t="s">
        <v>557</v>
      </c>
      <c r="X139" t="s">
        <v>106</v>
      </c>
      <c r="Y139" t="s">
        <v>108</v>
      </c>
      <c r="Z139" t="s">
        <v>109</v>
      </c>
      <c r="AA139" t="s">
        <v>966</v>
      </c>
      <c r="AB139" t="s">
        <v>106</v>
      </c>
    </row>
    <row r="140" spans="2:28" x14ac:dyDescent="0.3">
      <c r="B140" t="s">
        <v>108</v>
      </c>
      <c r="C140" t="s">
        <v>918</v>
      </c>
      <c r="D140" t="s">
        <v>1227</v>
      </c>
      <c r="E140" t="s">
        <v>1027</v>
      </c>
      <c r="F140">
        <v>45747</v>
      </c>
      <c r="G140" t="s">
        <v>1228</v>
      </c>
      <c r="H140">
        <v>45747</v>
      </c>
      <c r="I140" t="s">
        <v>1229</v>
      </c>
      <c r="J140" t="s">
        <v>471</v>
      </c>
      <c r="K140" t="s">
        <v>109</v>
      </c>
      <c r="L140" t="s">
        <v>1230</v>
      </c>
      <c r="M140" t="s">
        <v>1185</v>
      </c>
      <c r="N140" t="s">
        <v>107</v>
      </c>
      <c r="O140" t="s">
        <v>107</v>
      </c>
      <c r="P140" t="s">
        <v>106</v>
      </c>
      <c r="Q140" t="s">
        <v>106</v>
      </c>
      <c r="R140" t="s">
        <v>106</v>
      </c>
      <c r="S140" t="s">
        <v>1231</v>
      </c>
      <c r="T140" t="s">
        <v>775</v>
      </c>
      <c r="U140" t="s">
        <v>369</v>
      </c>
      <c r="V140" t="s">
        <v>106</v>
      </c>
      <c r="W140" t="s">
        <v>954</v>
      </c>
      <c r="X140" t="s">
        <v>106</v>
      </c>
      <c r="Y140" t="s">
        <v>108</v>
      </c>
      <c r="Z140" t="s">
        <v>108</v>
      </c>
      <c r="AA140" t="s">
        <v>1113</v>
      </c>
      <c r="AB140" t="s">
        <v>106</v>
      </c>
    </row>
    <row r="141" spans="2:28" x14ac:dyDescent="0.3">
      <c r="B141" t="s">
        <v>108</v>
      </c>
      <c r="C141" t="s">
        <v>918</v>
      </c>
      <c r="D141" t="s">
        <v>1232</v>
      </c>
      <c r="E141" t="s">
        <v>1027</v>
      </c>
      <c r="F141">
        <v>45747</v>
      </c>
      <c r="G141" t="s">
        <v>1233</v>
      </c>
      <c r="H141">
        <v>45747</v>
      </c>
      <c r="I141" t="s">
        <v>1229</v>
      </c>
      <c r="J141" t="s">
        <v>471</v>
      </c>
      <c r="K141" t="s">
        <v>109</v>
      </c>
      <c r="L141" t="s">
        <v>1164</v>
      </c>
      <c r="M141" t="s">
        <v>1234</v>
      </c>
      <c r="N141" t="s">
        <v>107</v>
      </c>
      <c r="O141" t="s">
        <v>107</v>
      </c>
      <c r="P141" t="s">
        <v>106</v>
      </c>
      <c r="Q141" t="s">
        <v>106</v>
      </c>
      <c r="R141" t="s">
        <v>106</v>
      </c>
      <c r="S141" t="s">
        <v>974</v>
      </c>
      <c r="T141" t="s">
        <v>1235</v>
      </c>
      <c r="U141" t="s">
        <v>369</v>
      </c>
      <c r="V141" t="s">
        <v>106</v>
      </c>
      <c r="W141" t="s">
        <v>954</v>
      </c>
      <c r="X141" t="s">
        <v>106</v>
      </c>
      <c r="Y141" t="s">
        <v>108</v>
      </c>
      <c r="Z141" t="s">
        <v>108</v>
      </c>
      <c r="AA141" t="s">
        <v>1113</v>
      </c>
      <c r="AB141" t="s">
        <v>106</v>
      </c>
    </row>
    <row r="142" spans="2:28" x14ac:dyDescent="0.3">
      <c r="B142" t="s">
        <v>109</v>
      </c>
      <c r="C142" t="s">
        <v>643</v>
      </c>
      <c r="D142" t="s">
        <v>1236</v>
      </c>
      <c r="E142" t="s">
        <v>1027</v>
      </c>
      <c r="F142">
        <v>45747</v>
      </c>
      <c r="G142" t="s">
        <v>1237</v>
      </c>
      <c r="H142">
        <v>45747</v>
      </c>
      <c r="I142" t="s">
        <v>1229</v>
      </c>
      <c r="J142" t="s">
        <v>471</v>
      </c>
      <c r="K142" t="s">
        <v>109</v>
      </c>
      <c r="L142" t="s">
        <v>931</v>
      </c>
      <c r="M142" t="s">
        <v>932</v>
      </c>
      <c r="N142" t="s">
        <v>107</v>
      </c>
      <c r="O142" t="s">
        <v>107</v>
      </c>
      <c r="P142" t="s">
        <v>106</v>
      </c>
      <c r="Q142" t="s">
        <v>106</v>
      </c>
      <c r="R142" t="s">
        <v>106</v>
      </c>
      <c r="S142" t="s">
        <v>1238</v>
      </c>
      <c r="T142" t="s">
        <v>989</v>
      </c>
      <c r="U142" t="s">
        <v>146</v>
      </c>
      <c r="V142" t="s">
        <v>106</v>
      </c>
      <c r="W142" t="s">
        <v>954</v>
      </c>
      <c r="X142" t="s">
        <v>106</v>
      </c>
      <c r="Y142" t="s">
        <v>108</v>
      </c>
      <c r="Z142" t="s">
        <v>109</v>
      </c>
      <c r="AA142" t="s">
        <v>106</v>
      </c>
      <c r="AB142" t="s">
        <v>106</v>
      </c>
    </row>
    <row r="143" spans="2:28" x14ac:dyDescent="0.3">
      <c r="B143" t="s">
        <v>109</v>
      </c>
      <c r="C143" t="s">
        <v>643</v>
      </c>
      <c r="D143" t="s">
        <v>1239</v>
      </c>
      <c r="E143" t="s">
        <v>1027</v>
      </c>
      <c r="F143">
        <v>45747</v>
      </c>
      <c r="G143" t="s">
        <v>1240</v>
      </c>
      <c r="H143">
        <v>45747</v>
      </c>
      <c r="I143" t="s">
        <v>1229</v>
      </c>
      <c r="J143" t="s">
        <v>471</v>
      </c>
      <c r="K143" t="s">
        <v>109</v>
      </c>
      <c r="L143" t="s">
        <v>1241</v>
      </c>
      <c r="M143" t="s">
        <v>1241</v>
      </c>
      <c r="N143" t="s">
        <v>107</v>
      </c>
      <c r="O143" t="s">
        <v>107</v>
      </c>
      <c r="P143" t="s">
        <v>106</v>
      </c>
      <c r="Q143" t="s">
        <v>106</v>
      </c>
      <c r="R143" t="s">
        <v>106</v>
      </c>
      <c r="S143" t="s">
        <v>970</v>
      </c>
      <c r="T143" t="s">
        <v>1242</v>
      </c>
      <c r="U143" t="s">
        <v>143</v>
      </c>
      <c r="V143" t="s">
        <v>106</v>
      </c>
      <c r="W143" t="s">
        <v>954</v>
      </c>
      <c r="X143" t="s">
        <v>106</v>
      </c>
      <c r="Y143" t="s">
        <v>108</v>
      </c>
      <c r="Z143" t="s">
        <v>109</v>
      </c>
      <c r="AA143" t="s">
        <v>106</v>
      </c>
      <c r="AB143" t="s">
        <v>106</v>
      </c>
    </row>
    <row r="144" spans="2:28" x14ac:dyDescent="0.3">
      <c r="B144" t="s">
        <v>108</v>
      </c>
      <c r="C144" t="s">
        <v>918</v>
      </c>
      <c r="D144" t="s">
        <v>1243</v>
      </c>
      <c r="E144" t="s">
        <v>1027</v>
      </c>
      <c r="F144">
        <v>45747</v>
      </c>
      <c r="G144" t="s">
        <v>1244</v>
      </c>
      <c r="H144">
        <v>45747</v>
      </c>
      <c r="I144" t="s">
        <v>370</v>
      </c>
      <c r="J144" t="s">
        <v>477</v>
      </c>
      <c r="K144" t="s">
        <v>109</v>
      </c>
      <c r="L144" t="s">
        <v>1245</v>
      </c>
      <c r="M144" t="s">
        <v>1246</v>
      </c>
      <c r="N144" t="s">
        <v>107</v>
      </c>
      <c r="O144" t="s">
        <v>107</v>
      </c>
      <c r="P144" t="s">
        <v>106</v>
      </c>
      <c r="Q144" t="s">
        <v>106</v>
      </c>
      <c r="R144" t="s">
        <v>106</v>
      </c>
      <c r="S144" t="s">
        <v>970</v>
      </c>
      <c r="T144" t="s">
        <v>1022</v>
      </c>
      <c r="U144" t="s">
        <v>146</v>
      </c>
      <c r="V144" t="s">
        <v>106</v>
      </c>
      <c r="W144" t="s">
        <v>954</v>
      </c>
      <c r="X144" t="s">
        <v>106</v>
      </c>
      <c r="Y144" t="s">
        <v>108</v>
      </c>
      <c r="Z144" t="s">
        <v>108</v>
      </c>
      <c r="AA144" t="s">
        <v>1113</v>
      </c>
      <c r="AB144" t="s">
        <v>1247</v>
      </c>
    </row>
    <row r="145" spans="2:28" x14ac:dyDescent="0.3">
      <c r="B145" t="s">
        <v>108</v>
      </c>
      <c r="C145" t="s">
        <v>918</v>
      </c>
      <c r="D145" t="s">
        <v>1248</v>
      </c>
      <c r="E145" t="s">
        <v>1027</v>
      </c>
      <c r="F145">
        <v>45747</v>
      </c>
      <c r="G145" t="s">
        <v>133</v>
      </c>
      <c r="H145">
        <v>45747</v>
      </c>
      <c r="I145" t="s">
        <v>370</v>
      </c>
      <c r="J145" t="s">
        <v>477</v>
      </c>
      <c r="K145" t="s">
        <v>109</v>
      </c>
      <c r="L145" t="s">
        <v>1190</v>
      </c>
      <c r="M145" t="s">
        <v>1175</v>
      </c>
      <c r="N145" t="s">
        <v>107</v>
      </c>
      <c r="O145" t="s">
        <v>107</v>
      </c>
      <c r="P145" t="s">
        <v>106</v>
      </c>
      <c r="Q145" t="s">
        <v>106</v>
      </c>
      <c r="R145" t="s">
        <v>106</v>
      </c>
      <c r="S145" t="s">
        <v>1009</v>
      </c>
      <c r="T145" t="s">
        <v>989</v>
      </c>
      <c r="U145" t="s">
        <v>433</v>
      </c>
      <c r="V145" t="s">
        <v>106</v>
      </c>
      <c r="W145" t="s">
        <v>954</v>
      </c>
      <c r="X145" t="s">
        <v>106</v>
      </c>
      <c r="Y145" t="s">
        <v>108</v>
      </c>
      <c r="Z145" t="s">
        <v>108</v>
      </c>
      <c r="AA145" t="s">
        <v>1113</v>
      </c>
      <c r="AB145" t="s">
        <v>1247</v>
      </c>
    </row>
    <row r="146" spans="2:28" x14ac:dyDescent="0.3">
      <c r="B146" t="s">
        <v>104</v>
      </c>
      <c r="C146" t="s">
        <v>921</v>
      </c>
      <c r="D146" t="s">
        <v>1249</v>
      </c>
      <c r="E146" t="s">
        <v>1027</v>
      </c>
      <c r="F146">
        <v>45747</v>
      </c>
      <c r="G146" t="s">
        <v>1250</v>
      </c>
      <c r="H146">
        <v>45747</v>
      </c>
      <c r="I146" t="s">
        <v>370</v>
      </c>
      <c r="J146" t="s">
        <v>477</v>
      </c>
      <c r="K146" t="s">
        <v>109</v>
      </c>
      <c r="L146" t="s">
        <v>1251</v>
      </c>
      <c r="M146" t="s">
        <v>1252</v>
      </c>
      <c r="N146" t="s">
        <v>107</v>
      </c>
      <c r="O146" t="s">
        <v>107</v>
      </c>
      <c r="P146" t="s">
        <v>106</v>
      </c>
      <c r="Q146" t="s">
        <v>106</v>
      </c>
      <c r="R146" t="s">
        <v>106</v>
      </c>
      <c r="S146" t="s">
        <v>1104</v>
      </c>
      <c r="T146" t="s">
        <v>989</v>
      </c>
      <c r="U146" t="s">
        <v>725</v>
      </c>
      <c r="V146" t="s">
        <v>106</v>
      </c>
      <c r="W146" t="s">
        <v>954</v>
      </c>
      <c r="X146" t="s">
        <v>106</v>
      </c>
      <c r="Y146" t="s">
        <v>108</v>
      </c>
      <c r="Z146" t="s">
        <v>104</v>
      </c>
      <c r="AA146" t="s">
        <v>1253</v>
      </c>
      <c r="AB146" t="s">
        <v>1247</v>
      </c>
    </row>
    <row r="147" spans="2:28" x14ac:dyDescent="0.3">
      <c r="B147" t="s">
        <v>104</v>
      </c>
      <c r="C147" t="s">
        <v>921</v>
      </c>
      <c r="D147" t="s">
        <v>602</v>
      </c>
      <c r="E147" t="s">
        <v>1027</v>
      </c>
      <c r="F147">
        <v>45747</v>
      </c>
      <c r="G147" t="s">
        <v>1250</v>
      </c>
      <c r="H147">
        <v>45747</v>
      </c>
      <c r="I147" t="s">
        <v>370</v>
      </c>
      <c r="J147" t="s">
        <v>477</v>
      </c>
      <c r="K147" t="s">
        <v>109</v>
      </c>
      <c r="L147" t="s">
        <v>1254</v>
      </c>
      <c r="M147" t="s">
        <v>1255</v>
      </c>
      <c r="N147" t="s">
        <v>107</v>
      </c>
      <c r="O147" t="s">
        <v>107</v>
      </c>
      <c r="P147" t="s">
        <v>106</v>
      </c>
      <c r="Q147" t="s">
        <v>106</v>
      </c>
      <c r="R147" t="s">
        <v>106</v>
      </c>
      <c r="S147" t="s">
        <v>1144</v>
      </c>
      <c r="T147" t="s">
        <v>1242</v>
      </c>
      <c r="U147" t="s">
        <v>146</v>
      </c>
      <c r="V147" t="s">
        <v>106</v>
      </c>
      <c r="W147" t="s">
        <v>954</v>
      </c>
      <c r="X147" t="s">
        <v>106</v>
      </c>
      <c r="Y147" t="s">
        <v>108</v>
      </c>
      <c r="Z147" t="s">
        <v>104</v>
      </c>
      <c r="AA147" t="s">
        <v>1253</v>
      </c>
      <c r="AB147" t="s">
        <v>1247</v>
      </c>
    </row>
    <row r="148" spans="2:28" x14ac:dyDescent="0.3">
      <c r="B148" t="s">
        <v>109</v>
      </c>
      <c r="C148" t="s">
        <v>643</v>
      </c>
      <c r="D148" t="s">
        <v>771</v>
      </c>
      <c r="E148" t="s">
        <v>1027</v>
      </c>
      <c r="F148">
        <v>45747</v>
      </c>
      <c r="G148" t="s">
        <v>1256</v>
      </c>
      <c r="H148">
        <v>45747</v>
      </c>
      <c r="I148" t="s">
        <v>370</v>
      </c>
      <c r="J148" t="s">
        <v>477</v>
      </c>
      <c r="K148" t="s">
        <v>109</v>
      </c>
      <c r="L148" t="s">
        <v>976</v>
      </c>
      <c r="M148" t="s">
        <v>1153</v>
      </c>
      <c r="N148" t="s">
        <v>107</v>
      </c>
      <c r="O148" t="s">
        <v>107</v>
      </c>
      <c r="P148" t="s">
        <v>106</v>
      </c>
      <c r="Q148" t="s">
        <v>106</v>
      </c>
      <c r="R148" t="s">
        <v>106</v>
      </c>
      <c r="S148" t="s">
        <v>995</v>
      </c>
      <c r="T148" t="s">
        <v>1257</v>
      </c>
      <c r="U148" t="s">
        <v>444</v>
      </c>
      <c r="V148" t="s">
        <v>106</v>
      </c>
      <c r="W148" t="s">
        <v>954</v>
      </c>
      <c r="X148" t="s">
        <v>106</v>
      </c>
      <c r="Y148" t="s">
        <v>108</v>
      </c>
      <c r="Z148" t="s">
        <v>109</v>
      </c>
      <c r="AA148" t="s">
        <v>1253</v>
      </c>
      <c r="AB148" t="s">
        <v>1247</v>
      </c>
    </row>
    <row r="149" spans="2:28" x14ac:dyDescent="0.3">
      <c r="B149" t="s">
        <v>109</v>
      </c>
      <c r="C149" t="s">
        <v>643</v>
      </c>
      <c r="D149" t="s">
        <v>627</v>
      </c>
      <c r="E149" t="s">
        <v>1027</v>
      </c>
      <c r="F149">
        <v>45747</v>
      </c>
      <c r="G149" t="s">
        <v>1258</v>
      </c>
      <c r="H149">
        <v>45747</v>
      </c>
      <c r="I149" t="s">
        <v>370</v>
      </c>
      <c r="J149" t="s">
        <v>477</v>
      </c>
      <c r="K149" t="s">
        <v>109</v>
      </c>
      <c r="L149" t="s">
        <v>1259</v>
      </c>
      <c r="M149" t="s">
        <v>1260</v>
      </c>
      <c r="N149" t="s">
        <v>107</v>
      </c>
      <c r="O149" t="s">
        <v>107</v>
      </c>
      <c r="P149" t="s">
        <v>106</v>
      </c>
      <c r="Q149" t="s">
        <v>106</v>
      </c>
      <c r="R149" t="s">
        <v>106</v>
      </c>
      <c r="S149" t="s">
        <v>995</v>
      </c>
      <c r="T149" t="s">
        <v>1016</v>
      </c>
      <c r="U149" t="s">
        <v>143</v>
      </c>
      <c r="V149" t="s">
        <v>106</v>
      </c>
      <c r="W149" t="s">
        <v>954</v>
      </c>
      <c r="X149" t="s">
        <v>106</v>
      </c>
      <c r="Y149" t="s">
        <v>108</v>
      </c>
      <c r="Z149" t="s">
        <v>109</v>
      </c>
      <c r="AA149" t="s">
        <v>1253</v>
      </c>
      <c r="AB149" t="s">
        <v>1247</v>
      </c>
    </row>
    <row r="150" spans="2:28" x14ac:dyDescent="0.3">
      <c r="B150" t="s">
        <v>108</v>
      </c>
      <c r="C150" t="s">
        <v>918</v>
      </c>
      <c r="D150" t="s">
        <v>625</v>
      </c>
      <c r="E150" t="s">
        <v>1027</v>
      </c>
      <c r="F150">
        <v>45747</v>
      </c>
      <c r="G150" t="s">
        <v>826</v>
      </c>
      <c r="H150">
        <v>45747</v>
      </c>
      <c r="I150" t="s">
        <v>371</v>
      </c>
      <c r="J150" t="s">
        <v>477</v>
      </c>
      <c r="K150" t="s">
        <v>109</v>
      </c>
      <c r="L150" t="s">
        <v>952</v>
      </c>
      <c r="M150" t="s">
        <v>952</v>
      </c>
      <c r="N150" t="s">
        <v>107</v>
      </c>
      <c r="O150" t="s">
        <v>107</v>
      </c>
      <c r="P150" t="s">
        <v>106</v>
      </c>
      <c r="Q150" t="s">
        <v>106</v>
      </c>
      <c r="R150" t="s">
        <v>106</v>
      </c>
      <c r="S150" t="s">
        <v>970</v>
      </c>
      <c r="T150" t="s">
        <v>984</v>
      </c>
      <c r="U150" t="s">
        <v>146</v>
      </c>
      <c r="V150" t="s">
        <v>106</v>
      </c>
      <c r="W150" t="s">
        <v>954</v>
      </c>
      <c r="X150" t="s">
        <v>106</v>
      </c>
      <c r="Y150" t="s">
        <v>108</v>
      </c>
      <c r="Z150" t="s">
        <v>108</v>
      </c>
      <c r="AA150" t="s">
        <v>1261</v>
      </c>
      <c r="AB150" t="s">
        <v>1262</v>
      </c>
    </row>
    <row r="151" spans="2:28" x14ac:dyDescent="0.3">
      <c r="B151" t="s">
        <v>108</v>
      </c>
      <c r="C151" t="s">
        <v>918</v>
      </c>
      <c r="D151" t="s">
        <v>1263</v>
      </c>
      <c r="E151" t="s">
        <v>1027</v>
      </c>
      <c r="F151">
        <v>45747</v>
      </c>
      <c r="G151" t="s">
        <v>826</v>
      </c>
      <c r="H151">
        <v>45747</v>
      </c>
      <c r="I151" t="s">
        <v>371</v>
      </c>
      <c r="J151" t="s">
        <v>477</v>
      </c>
      <c r="K151" t="s">
        <v>109</v>
      </c>
      <c r="L151" t="s">
        <v>1264</v>
      </c>
      <c r="M151" t="s">
        <v>1265</v>
      </c>
      <c r="N151" t="s">
        <v>107</v>
      </c>
      <c r="O151" t="s">
        <v>107</v>
      </c>
      <c r="P151" t="s">
        <v>106</v>
      </c>
      <c r="Q151" t="s">
        <v>106</v>
      </c>
      <c r="R151" t="s">
        <v>106</v>
      </c>
      <c r="S151" t="s">
        <v>1115</v>
      </c>
      <c r="T151" t="s">
        <v>984</v>
      </c>
      <c r="U151" t="s">
        <v>441</v>
      </c>
      <c r="V151" t="s">
        <v>106</v>
      </c>
      <c r="W151" t="s">
        <v>954</v>
      </c>
      <c r="X151" t="s">
        <v>106</v>
      </c>
      <c r="Y151" t="s">
        <v>108</v>
      </c>
      <c r="Z151" t="s">
        <v>108</v>
      </c>
      <c r="AA151" t="s">
        <v>1261</v>
      </c>
      <c r="AB151" t="s">
        <v>106</v>
      </c>
    </row>
    <row r="152" spans="2:28" x14ac:dyDescent="0.3">
      <c r="B152" t="s">
        <v>104</v>
      </c>
      <c r="C152" t="s">
        <v>921</v>
      </c>
      <c r="D152" t="s">
        <v>1266</v>
      </c>
      <c r="E152" t="s">
        <v>1027</v>
      </c>
      <c r="F152">
        <v>45747</v>
      </c>
      <c r="G152" t="s">
        <v>1267</v>
      </c>
      <c r="H152">
        <v>45747</v>
      </c>
      <c r="I152" t="s">
        <v>371</v>
      </c>
      <c r="J152" t="s">
        <v>477</v>
      </c>
      <c r="K152" t="s">
        <v>109</v>
      </c>
      <c r="L152" t="s">
        <v>990</v>
      </c>
      <c r="M152" t="s">
        <v>1268</v>
      </c>
      <c r="N152" t="s">
        <v>107</v>
      </c>
      <c r="O152" t="s">
        <v>107</v>
      </c>
      <c r="P152" t="s">
        <v>106</v>
      </c>
      <c r="Q152" t="s">
        <v>106</v>
      </c>
      <c r="R152" t="s">
        <v>106</v>
      </c>
      <c r="S152" t="s">
        <v>1269</v>
      </c>
      <c r="T152" t="s">
        <v>984</v>
      </c>
      <c r="U152" t="s">
        <v>426</v>
      </c>
      <c r="V152" t="s">
        <v>106</v>
      </c>
      <c r="W152" t="s">
        <v>954</v>
      </c>
      <c r="X152" t="s">
        <v>106</v>
      </c>
      <c r="Y152" t="s">
        <v>108</v>
      </c>
      <c r="Z152" t="s">
        <v>104</v>
      </c>
      <c r="AA152" t="s">
        <v>1253</v>
      </c>
      <c r="AB152" t="s">
        <v>106</v>
      </c>
    </row>
    <row r="153" spans="2:28" x14ac:dyDescent="0.3">
      <c r="B153" t="s">
        <v>104</v>
      </c>
      <c r="C153" t="s">
        <v>921</v>
      </c>
      <c r="D153" t="s">
        <v>1270</v>
      </c>
      <c r="E153" t="s">
        <v>1027</v>
      </c>
      <c r="F153">
        <v>45747</v>
      </c>
      <c r="G153" t="s">
        <v>1267</v>
      </c>
      <c r="H153">
        <v>45747</v>
      </c>
      <c r="I153" t="s">
        <v>371</v>
      </c>
      <c r="J153" t="s">
        <v>477</v>
      </c>
      <c r="K153" t="s">
        <v>109</v>
      </c>
      <c r="L153" t="s">
        <v>1148</v>
      </c>
      <c r="M153" t="s">
        <v>1271</v>
      </c>
      <c r="N153" t="s">
        <v>107</v>
      </c>
      <c r="O153" t="s">
        <v>107</v>
      </c>
      <c r="P153" t="s">
        <v>106</v>
      </c>
      <c r="Q153" t="s">
        <v>106</v>
      </c>
      <c r="R153" t="s">
        <v>106</v>
      </c>
      <c r="S153" t="s">
        <v>953</v>
      </c>
      <c r="T153" t="s">
        <v>1242</v>
      </c>
      <c r="U153" t="s">
        <v>360</v>
      </c>
      <c r="V153" t="s">
        <v>106</v>
      </c>
      <c r="W153" t="s">
        <v>954</v>
      </c>
      <c r="X153" t="s">
        <v>106</v>
      </c>
      <c r="Y153" t="s">
        <v>108</v>
      </c>
      <c r="Z153" t="s">
        <v>104</v>
      </c>
      <c r="AA153" t="s">
        <v>1253</v>
      </c>
      <c r="AB153" t="s">
        <v>106</v>
      </c>
    </row>
    <row r="154" spans="2:28" x14ac:dyDescent="0.3">
      <c r="B154" t="s">
        <v>109</v>
      </c>
      <c r="C154" t="s">
        <v>643</v>
      </c>
      <c r="D154" t="s">
        <v>1272</v>
      </c>
      <c r="E154" t="s">
        <v>1027</v>
      </c>
      <c r="F154">
        <v>45747</v>
      </c>
      <c r="G154" t="s">
        <v>1273</v>
      </c>
      <c r="H154">
        <v>45747</v>
      </c>
      <c r="I154" t="s">
        <v>371</v>
      </c>
      <c r="J154" t="s">
        <v>477</v>
      </c>
      <c r="K154" t="s">
        <v>109</v>
      </c>
      <c r="L154" t="s">
        <v>649</v>
      </c>
      <c r="M154" t="s">
        <v>643</v>
      </c>
      <c r="N154" t="s">
        <v>107</v>
      </c>
      <c r="O154" t="s">
        <v>107</v>
      </c>
      <c r="P154" t="s">
        <v>106</v>
      </c>
      <c r="Q154" t="s">
        <v>106</v>
      </c>
      <c r="R154" t="s">
        <v>106</v>
      </c>
      <c r="S154" t="s">
        <v>1009</v>
      </c>
      <c r="T154" t="s">
        <v>1274</v>
      </c>
      <c r="U154" t="s">
        <v>144</v>
      </c>
      <c r="V154" t="s">
        <v>106</v>
      </c>
      <c r="W154" t="s">
        <v>954</v>
      </c>
      <c r="X154" t="s">
        <v>106</v>
      </c>
      <c r="Y154" t="s">
        <v>108</v>
      </c>
      <c r="Z154" t="s">
        <v>109</v>
      </c>
      <c r="AA154" t="s">
        <v>1253</v>
      </c>
      <c r="AB154" t="s">
        <v>106</v>
      </c>
    </row>
    <row r="155" spans="2:28" x14ac:dyDescent="0.3">
      <c r="B155" t="s">
        <v>109</v>
      </c>
      <c r="C155" t="s">
        <v>643</v>
      </c>
      <c r="D155" t="s">
        <v>1275</v>
      </c>
      <c r="E155" t="s">
        <v>1027</v>
      </c>
      <c r="F155">
        <v>45747</v>
      </c>
      <c r="G155" t="s">
        <v>137</v>
      </c>
      <c r="H155">
        <v>45747</v>
      </c>
      <c r="I155" t="s">
        <v>371</v>
      </c>
      <c r="J155" t="s">
        <v>477</v>
      </c>
      <c r="K155" t="s">
        <v>109</v>
      </c>
      <c r="L155" t="s">
        <v>1044</v>
      </c>
      <c r="M155" t="s">
        <v>1044</v>
      </c>
      <c r="N155" t="s">
        <v>107</v>
      </c>
      <c r="O155" t="s">
        <v>107</v>
      </c>
      <c r="P155" t="s">
        <v>106</v>
      </c>
      <c r="Q155" t="s">
        <v>106</v>
      </c>
      <c r="R155" t="s">
        <v>106</v>
      </c>
      <c r="S155" t="s">
        <v>970</v>
      </c>
      <c r="T155" t="s">
        <v>1074</v>
      </c>
      <c r="U155" t="s">
        <v>143</v>
      </c>
      <c r="V155" t="s">
        <v>106</v>
      </c>
      <c r="W155" t="s">
        <v>954</v>
      </c>
      <c r="X155" t="s">
        <v>106</v>
      </c>
      <c r="Y155" t="s">
        <v>108</v>
      </c>
      <c r="Z155" t="s">
        <v>109</v>
      </c>
      <c r="AA155" t="s">
        <v>1253</v>
      </c>
      <c r="AB155" t="s">
        <v>106</v>
      </c>
    </row>
    <row r="156" spans="2:28" x14ac:dyDescent="0.3">
      <c r="B156" t="s">
        <v>104</v>
      </c>
      <c r="C156" t="s">
        <v>921</v>
      </c>
      <c r="D156" t="s">
        <v>1276</v>
      </c>
      <c r="E156" t="s">
        <v>1027</v>
      </c>
      <c r="F156">
        <v>45748</v>
      </c>
      <c r="G156" t="s">
        <v>547</v>
      </c>
      <c r="H156">
        <v>45748</v>
      </c>
      <c r="I156" t="s">
        <v>1277</v>
      </c>
      <c r="J156" t="s">
        <v>471</v>
      </c>
      <c r="K156" t="s">
        <v>109</v>
      </c>
      <c r="L156" t="s">
        <v>1278</v>
      </c>
      <c r="M156" t="s">
        <v>1279</v>
      </c>
      <c r="N156" t="s">
        <v>107</v>
      </c>
      <c r="O156" t="s">
        <v>107</v>
      </c>
      <c r="P156" t="s">
        <v>106</v>
      </c>
      <c r="Q156" t="s">
        <v>106</v>
      </c>
      <c r="R156" t="s">
        <v>106</v>
      </c>
      <c r="S156" t="s">
        <v>106</v>
      </c>
      <c r="T156" t="s">
        <v>1280</v>
      </c>
      <c r="U156" t="s">
        <v>106</v>
      </c>
      <c r="V156" t="s">
        <v>106</v>
      </c>
      <c r="W156" t="s">
        <v>443</v>
      </c>
      <c r="X156" t="s">
        <v>106</v>
      </c>
      <c r="Y156" t="s">
        <v>108</v>
      </c>
      <c r="Z156" t="s">
        <v>104</v>
      </c>
      <c r="AA156" t="s">
        <v>1253</v>
      </c>
      <c r="AB156" t="s">
        <v>106</v>
      </c>
    </row>
    <row r="157" spans="2:28" x14ac:dyDescent="0.3">
      <c r="B157" t="s">
        <v>104</v>
      </c>
      <c r="C157" t="s">
        <v>921</v>
      </c>
      <c r="D157" t="s">
        <v>140</v>
      </c>
      <c r="E157" t="s">
        <v>1027</v>
      </c>
      <c r="F157">
        <v>45748</v>
      </c>
      <c r="G157" t="s">
        <v>547</v>
      </c>
      <c r="H157">
        <v>45748</v>
      </c>
      <c r="I157" t="s">
        <v>1277</v>
      </c>
      <c r="J157" t="s">
        <v>471</v>
      </c>
      <c r="K157" t="s">
        <v>109</v>
      </c>
      <c r="L157" t="s">
        <v>1281</v>
      </c>
      <c r="M157" t="s">
        <v>1282</v>
      </c>
      <c r="N157" t="s">
        <v>107</v>
      </c>
      <c r="O157" t="s">
        <v>107</v>
      </c>
      <c r="P157" t="s">
        <v>106</v>
      </c>
      <c r="Q157" t="s">
        <v>106</v>
      </c>
      <c r="R157" t="s">
        <v>106</v>
      </c>
      <c r="S157" t="s">
        <v>106</v>
      </c>
      <c r="T157" t="s">
        <v>993</v>
      </c>
      <c r="U157" t="s">
        <v>106</v>
      </c>
      <c r="V157" t="s">
        <v>106</v>
      </c>
      <c r="W157" t="s">
        <v>443</v>
      </c>
      <c r="X157" t="s">
        <v>106</v>
      </c>
      <c r="Y157" t="s">
        <v>108</v>
      </c>
      <c r="Z157" t="s">
        <v>104</v>
      </c>
      <c r="AA157" t="s">
        <v>1253</v>
      </c>
      <c r="AB157" t="s">
        <v>106</v>
      </c>
    </row>
    <row r="158" spans="2:28" x14ac:dyDescent="0.3">
      <c r="B158" t="s">
        <v>109</v>
      </c>
      <c r="C158" t="s">
        <v>643</v>
      </c>
      <c r="D158" t="s">
        <v>606</v>
      </c>
      <c r="E158" t="s">
        <v>1027</v>
      </c>
      <c r="F158">
        <v>45748</v>
      </c>
      <c r="G158" t="s">
        <v>1283</v>
      </c>
      <c r="H158">
        <v>45748</v>
      </c>
      <c r="I158" t="s">
        <v>1277</v>
      </c>
      <c r="J158" t="s">
        <v>471</v>
      </c>
      <c r="K158" t="s">
        <v>109</v>
      </c>
      <c r="L158" t="s">
        <v>1241</v>
      </c>
      <c r="M158" t="s">
        <v>999</v>
      </c>
      <c r="N158" t="s">
        <v>107</v>
      </c>
      <c r="O158" t="s">
        <v>107</v>
      </c>
      <c r="P158" t="s">
        <v>106</v>
      </c>
      <c r="Q158" t="s">
        <v>106</v>
      </c>
      <c r="R158" t="s">
        <v>106</v>
      </c>
      <c r="S158" t="s">
        <v>106</v>
      </c>
      <c r="T158" t="s">
        <v>1145</v>
      </c>
      <c r="U158" t="s">
        <v>106</v>
      </c>
      <c r="V158" t="s">
        <v>106</v>
      </c>
      <c r="W158" t="s">
        <v>443</v>
      </c>
      <c r="X158" t="s">
        <v>106</v>
      </c>
      <c r="Y158" t="s">
        <v>108</v>
      </c>
      <c r="Z158" t="s">
        <v>109</v>
      </c>
      <c r="AA158" t="s">
        <v>1253</v>
      </c>
      <c r="AB158" t="s">
        <v>106</v>
      </c>
    </row>
    <row r="159" spans="2:28" x14ac:dyDescent="0.3">
      <c r="B159" t="s">
        <v>109</v>
      </c>
      <c r="C159" t="s">
        <v>643</v>
      </c>
      <c r="D159" t="s">
        <v>1284</v>
      </c>
      <c r="E159" t="s">
        <v>1027</v>
      </c>
      <c r="F159">
        <v>45748</v>
      </c>
      <c r="G159" t="s">
        <v>717</v>
      </c>
      <c r="H159">
        <v>45748</v>
      </c>
      <c r="I159" t="s">
        <v>1277</v>
      </c>
      <c r="J159" t="s">
        <v>471</v>
      </c>
      <c r="K159" t="s">
        <v>109</v>
      </c>
      <c r="L159" t="s">
        <v>623</v>
      </c>
      <c r="M159" t="s">
        <v>1002</v>
      </c>
      <c r="N159" t="s">
        <v>107</v>
      </c>
      <c r="O159" t="s">
        <v>107</v>
      </c>
      <c r="P159" t="s">
        <v>106</v>
      </c>
      <c r="Q159" t="s">
        <v>106</v>
      </c>
      <c r="R159" t="s">
        <v>106</v>
      </c>
      <c r="S159" t="s">
        <v>106</v>
      </c>
      <c r="T159" t="s">
        <v>937</v>
      </c>
      <c r="U159" t="s">
        <v>106</v>
      </c>
      <c r="V159" t="s">
        <v>106</v>
      </c>
      <c r="W159" t="s">
        <v>443</v>
      </c>
      <c r="X159" t="s">
        <v>106</v>
      </c>
      <c r="Y159" t="s">
        <v>108</v>
      </c>
      <c r="Z159" t="s">
        <v>109</v>
      </c>
      <c r="AA159" t="s">
        <v>1253</v>
      </c>
      <c r="AB159" t="s">
        <v>106</v>
      </c>
    </row>
    <row r="160" spans="2:28" x14ac:dyDescent="0.3">
      <c r="B160" t="s">
        <v>108</v>
      </c>
      <c r="C160" t="s">
        <v>918</v>
      </c>
      <c r="D160" t="s">
        <v>612</v>
      </c>
      <c r="E160" t="s">
        <v>1027</v>
      </c>
      <c r="F160">
        <v>45748</v>
      </c>
      <c r="G160" t="s">
        <v>717</v>
      </c>
      <c r="H160">
        <v>45748</v>
      </c>
      <c r="I160" t="s">
        <v>1277</v>
      </c>
      <c r="J160" t="s">
        <v>471</v>
      </c>
      <c r="K160" t="s">
        <v>109</v>
      </c>
      <c r="L160" t="s">
        <v>1180</v>
      </c>
      <c r="M160" t="s">
        <v>939</v>
      </c>
      <c r="N160" t="s">
        <v>107</v>
      </c>
      <c r="O160" t="s">
        <v>107</v>
      </c>
      <c r="P160" t="s">
        <v>106</v>
      </c>
      <c r="Q160" t="s">
        <v>106</v>
      </c>
      <c r="R160" t="s">
        <v>106</v>
      </c>
      <c r="S160" t="s">
        <v>106</v>
      </c>
      <c r="T160" t="s">
        <v>1101</v>
      </c>
      <c r="U160" t="s">
        <v>106</v>
      </c>
      <c r="V160" t="s">
        <v>106</v>
      </c>
      <c r="W160" t="s">
        <v>443</v>
      </c>
      <c r="X160" t="s">
        <v>106</v>
      </c>
      <c r="Y160" t="s">
        <v>108</v>
      </c>
      <c r="Z160" t="s">
        <v>108</v>
      </c>
      <c r="AA160" t="s">
        <v>1253</v>
      </c>
      <c r="AB160" t="s">
        <v>106</v>
      </c>
    </row>
    <row r="161" spans="2:28" x14ac:dyDescent="0.3">
      <c r="B161" t="s">
        <v>108</v>
      </c>
      <c r="C161" t="s">
        <v>918</v>
      </c>
      <c r="D161" t="s">
        <v>1285</v>
      </c>
      <c r="E161" t="s">
        <v>1027</v>
      </c>
      <c r="F161">
        <v>45748</v>
      </c>
      <c r="G161" t="s">
        <v>1286</v>
      </c>
      <c r="H161">
        <v>45748</v>
      </c>
      <c r="I161" t="s">
        <v>1277</v>
      </c>
      <c r="J161" t="s">
        <v>471</v>
      </c>
      <c r="K161" t="s">
        <v>109</v>
      </c>
      <c r="L161" t="s">
        <v>938</v>
      </c>
      <c r="M161" t="s">
        <v>1234</v>
      </c>
      <c r="N161" t="s">
        <v>107</v>
      </c>
      <c r="O161" t="s">
        <v>107</v>
      </c>
      <c r="P161" t="s">
        <v>106</v>
      </c>
      <c r="Q161" t="s">
        <v>106</v>
      </c>
      <c r="R161" t="s">
        <v>106</v>
      </c>
      <c r="S161" t="s">
        <v>106</v>
      </c>
      <c r="T161" t="s">
        <v>1287</v>
      </c>
      <c r="U161" t="s">
        <v>106</v>
      </c>
      <c r="V161" t="s">
        <v>106</v>
      </c>
      <c r="W161" t="s">
        <v>443</v>
      </c>
      <c r="X161" t="s">
        <v>106</v>
      </c>
      <c r="Y161" t="s">
        <v>108</v>
      </c>
      <c r="Z161" t="s">
        <v>108</v>
      </c>
      <c r="AA161" t="s">
        <v>1253</v>
      </c>
      <c r="AB161" t="s">
        <v>106</v>
      </c>
    </row>
    <row r="162" spans="2:28" x14ac:dyDescent="0.3">
      <c r="B162" t="s">
        <v>105</v>
      </c>
      <c r="C162" t="s">
        <v>927</v>
      </c>
      <c r="D162" t="s">
        <v>1288</v>
      </c>
      <c r="E162" t="s">
        <v>1027</v>
      </c>
      <c r="F162">
        <v>45748</v>
      </c>
      <c r="G162" t="s">
        <v>1289</v>
      </c>
      <c r="H162">
        <v>45748</v>
      </c>
      <c r="I162" t="s">
        <v>535</v>
      </c>
      <c r="J162" t="s">
        <v>1290</v>
      </c>
      <c r="K162" t="s">
        <v>109</v>
      </c>
      <c r="L162" t="s">
        <v>927</v>
      </c>
      <c r="M162" t="s">
        <v>927</v>
      </c>
      <c r="N162" t="s">
        <v>107</v>
      </c>
      <c r="O162" t="s">
        <v>107</v>
      </c>
      <c r="P162" t="s">
        <v>106</v>
      </c>
      <c r="Q162" t="s">
        <v>106</v>
      </c>
      <c r="R162" t="s">
        <v>106</v>
      </c>
      <c r="S162" t="s">
        <v>106</v>
      </c>
      <c r="T162" t="s">
        <v>1291</v>
      </c>
      <c r="U162" t="s">
        <v>106</v>
      </c>
      <c r="V162" t="s">
        <v>106</v>
      </c>
      <c r="W162" t="s">
        <v>443</v>
      </c>
      <c r="X162" t="s">
        <v>106</v>
      </c>
      <c r="Y162" t="s">
        <v>108</v>
      </c>
      <c r="Z162" t="s">
        <v>105</v>
      </c>
      <c r="AA162" t="s">
        <v>106</v>
      </c>
      <c r="AB162" t="s">
        <v>106</v>
      </c>
    </row>
    <row r="163" spans="2:28" x14ac:dyDescent="0.3">
      <c r="B163" t="s">
        <v>105</v>
      </c>
      <c r="C163" t="s">
        <v>927</v>
      </c>
      <c r="D163" t="s">
        <v>607</v>
      </c>
      <c r="E163" t="s">
        <v>1027</v>
      </c>
      <c r="F163">
        <v>45748</v>
      </c>
      <c r="G163" t="s">
        <v>1289</v>
      </c>
      <c r="H163">
        <v>45748</v>
      </c>
      <c r="I163" t="s">
        <v>535</v>
      </c>
      <c r="J163" t="s">
        <v>1290</v>
      </c>
      <c r="K163" t="s">
        <v>109</v>
      </c>
      <c r="L163" t="s">
        <v>927</v>
      </c>
      <c r="M163" t="s">
        <v>927</v>
      </c>
      <c r="N163" t="s">
        <v>107</v>
      </c>
      <c r="O163" t="s">
        <v>107</v>
      </c>
      <c r="P163" t="s">
        <v>106</v>
      </c>
      <c r="Q163" t="s">
        <v>106</v>
      </c>
      <c r="R163" t="s">
        <v>106</v>
      </c>
      <c r="S163" t="s">
        <v>106</v>
      </c>
      <c r="T163" t="s">
        <v>1120</v>
      </c>
      <c r="U163" t="s">
        <v>147</v>
      </c>
      <c r="V163" t="s">
        <v>106</v>
      </c>
      <c r="W163" t="s">
        <v>443</v>
      </c>
      <c r="X163" t="s">
        <v>106</v>
      </c>
      <c r="Y163" t="s">
        <v>108</v>
      </c>
      <c r="Z163" t="s">
        <v>105</v>
      </c>
      <c r="AA163" t="s">
        <v>106</v>
      </c>
      <c r="AB163" t="s">
        <v>106</v>
      </c>
    </row>
    <row r="164" spans="2:28" x14ac:dyDescent="0.3">
      <c r="B164" t="s">
        <v>109</v>
      </c>
      <c r="C164" t="s">
        <v>643</v>
      </c>
      <c r="D164" t="s">
        <v>1292</v>
      </c>
      <c r="E164" t="s">
        <v>1027</v>
      </c>
      <c r="F164">
        <v>45748</v>
      </c>
      <c r="G164" t="s">
        <v>755</v>
      </c>
      <c r="H164">
        <v>45748</v>
      </c>
      <c r="I164" t="s">
        <v>535</v>
      </c>
      <c r="J164" t="s">
        <v>1290</v>
      </c>
      <c r="K164" t="s">
        <v>109</v>
      </c>
      <c r="L164" t="s">
        <v>1044</v>
      </c>
      <c r="M164" t="s">
        <v>1044</v>
      </c>
      <c r="N164" t="s">
        <v>107</v>
      </c>
      <c r="O164" t="s">
        <v>107</v>
      </c>
      <c r="P164" t="s">
        <v>106</v>
      </c>
      <c r="Q164" t="s">
        <v>106</v>
      </c>
      <c r="R164" t="s">
        <v>106</v>
      </c>
      <c r="S164" t="s">
        <v>106</v>
      </c>
      <c r="T164" t="s">
        <v>1208</v>
      </c>
      <c r="U164" t="s">
        <v>997</v>
      </c>
      <c r="V164" t="s">
        <v>106</v>
      </c>
      <c r="W164" t="s">
        <v>443</v>
      </c>
      <c r="X164" t="s">
        <v>106</v>
      </c>
      <c r="Y164" t="s">
        <v>108</v>
      </c>
      <c r="Z164" t="s">
        <v>109</v>
      </c>
      <c r="AA164" t="s">
        <v>106</v>
      </c>
      <c r="AB164" t="s">
        <v>106</v>
      </c>
    </row>
    <row r="165" spans="2:28" x14ac:dyDescent="0.3">
      <c r="B165" t="s">
        <v>109</v>
      </c>
      <c r="C165" t="s">
        <v>643</v>
      </c>
      <c r="D165" t="s">
        <v>610</v>
      </c>
      <c r="E165" t="s">
        <v>1027</v>
      </c>
      <c r="F165">
        <v>45748</v>
      </c>
      <c r="G165" t="s">
        <v>755</v>
      </c>
      <c r="H165">
        <v>45748</v>
      </c>
      <c r="I165" t="s">
        <v>535</v>
      </c>
      <c r="J165" t="s">
        <v>1290</v>
      </c>
      <c r="K165" t="s">
        <v>109</v>
      </c>
      <c r="L165" t="s">
        <v>509</v>
      </c>
      <c r="M165" t="s">
        <v>509</v>
      </c>
      <c r="N165" t="s">
        <v>107</v>
      </c>
      <c r="O165" t="s">
        <v>107</v>
      </c>
      <c r="P165" t="s">
        <v>106</v>
      </c>
      <c r="Q165" t="s">
        <v>106</v>
      </c>
      <c r="R165" t="s">
        <v>106</v>
      </c>
      <c r="S165" t="s">
        <v>106</v>
      </c>
      <c r="T165" t="s">
        <v>996</v>
      </c>
      <c r="U165" t="s">
        <v>997</v>
      </c>
      <c r="V165" t="s">
        <v>106</v>
      </c>
      <c r="W165" t="s">
        <v>443</v>
      </c>
      <c r="X165" t="s">
        <v>106</v>
      </c>
      <c r="Y165" t="s">
        <v>108</v>
      </c>
      <c r="Z165" t="s">
        <v>109</v>
      </c>
      <c r="AA165" t="s">
        <v>106</v>
      </c>
      <c r="AB165" t="s">
        <v>106</v>
      </c>
    </row>
    <row r="166" spans="2:28" x14ac:dyDescent="0.3">
      <c r="B166" t="s">
        <v>108</v>
      </c>
      <c r="C166" t="s">
        <v>918</v>
      </c>
      <c r="D166" t="s">
        <v>485</v>
      </c>
      <c r="E166" t="s">
        <v>1027</v>
      </c>
      <c r="F166">
        <v>45748</v>
      </c>
      <c r="G166" t="s">
        <v>885</v>
      </c>
      <c r="H166">
        <v>45748</v>
      </c>
      <c r="I166" t="s">
        <v>535</v>
      </c>
      <c r="J166" t="s">
        <v>1290</v>
      </c>
      <c r="K166" t="s">
        <v>109</v>
      </c>
      <c r="L166" t="s">
        <v>939</v>
      </c>
      <c r="M166" t="s">
        <v>1234</v>
      </c>
      <c r="N166" t="s">
        <v>107</v>
      </c>
      <c r="O166" t="s">
        <v>107</v>
      </c>
      <c r="P166" t="s">
        <v>106</v>
      </c>
      <c r="Q166" t="s">
        <v>106</v>
      </c>
      <c r="R166" t="s">
        <v>106</v>
      </c>
      <c r="S166" t="s">
        <v>106</v>
      </c>
      <c r="T166" t="s">
        <v>996</v>
      </c>
      <c r="U166" t="s">
        <v>426</v>
      </c>
      <c r="V166" t="s">
        <v>106</v>
      </c>
      <c r="W166" t="s">
        <v>443</v>
      </c>
      <c r="X166" t="s">
        <v>106</v>
      </c>
      <c r="Y166" t="s">
        <v>108</v>
      </c>
      <c r="Z166" t="s">
        <v>108</v>
      </c>
      <c r="AA166" t="s">
        <v>106</v>
      </c>
      <c r="AB166" t="s">
        <v>106</v>
      </c>
    </row>
    <row r="167" spans="2:28" x14ac:dyDescent="0.3">
      <c r="B167" t="s">
        <v>108</v>
      </c>
      <c r="C167" t="s">
        <v>918</v>
      </c>
      <c r="D167" t="s">
        <v>479</v>
      </c>
      <c r="E167" t="s">
        <v>1027</v>
      </c>
      <c r="F167">
        <v>45748</v>
      </c>
      <c r="G167" t="s">
        <v>501</v>
      </c>
      <c r="H167">
        <v>45748</v>
      </c>
      <c r="I167" t="s">
        <v>535</v>
      </c>
      <c r="J167" t="s">
        <v>1290</v>
      </c>
      <c r="K167" t="s">
        <v>109</v>
      </c>
      <c r="L167" t="s">
        <v>1293</v>
      </c>
      <c r="M167" t="s">
        <v>1293</v>
      </c>
      <c r="N167" t="s">
        <v>107</v>
      </c>
      <c r="O167" t="s">
        <v>107</v>
      </c>
      <c r="P167" t="s">
        <v>106</v>
      </c>
      <c r="Q167" t="s">
        <v>106</v>
      </c>
      <c r="R167" t="s">
        <v>106</v>
      </c>
      <c r="S167" t="s">
        <v>106</v>
      </c>
      <c r="T167" t="s">
        <v>996</v>
      </c>
      <c r="U167" t="s">
        <v>725</v>
      </c>
      <c r="V167" t="s">
        <v>106</v>
      </c>
      <c r="W167" t="s">
        <v>443</v>
      </c>
      <c r="X167" t="s">
        <v>106</v>
      </c>
      <c r="Y167" t="s">
        <v>108</v>
      </c>
      <c r="Z167" t="s">
        <v>108</v>
      </c>
      <c r="AA167" t="s">
        <v>106</v>
      </c>
      <c r="AB167" t="s">
        <v>106</v>
      </c>
    </row>
    <row r="168" spans="2:28" x14ac:dyDescent="0.3">
      <c r="B168" t="s">
        <v>104</v>
      </c>
      <c r="C168" t="s">
        <v>921</v>
      </c>
      <c r="D168" t="s">
        <v>1294</v>
      </c>
      <c r="E168" t="s">
        <v>1027</v>
      </c>
      <c r="F168">
        <v>45748</v>
      </c>
      <c r="G168" t="s">
        <v>876</v>
      </c>
      <c r="H168">
        <v>45748</v>
      </c>
      <c r="I168" t="s">
        <v>535</v>
      </c>
      <c r="J168" t="s">
        <v>1290</v>
      </c>
      <c r="K168" t="s">
        <v>109</v>
      </c>
      <c r="L168" t="s">
        <v>963</v>
      </c>
      <c r="M168" t="s">
        <v>1207</v>
      </c>
      <c r="N168" t="s">
        <v>107</v>
      </c>
      <c r="O168" t="s">
        <v>107</v>
      </c>
      <c r="P168" t="s">
        <v>106</v>
      </c>
      <c r="Q168" t="s">
        <v>106</v>
      </c>
      <c r="R168" t="s">
        <v>106</v>
      </c>
      <c r="S168" t="s">
        <v>106</v>
      </c>
      <c r="T168" t="s">
        <v>1074</v>
      </c>
      <c r="U168" t="s">
        <v>725</v>
      </c>
      <c r="V168" t="s">
        <v>106</v>
      </c>
      <c r="W168" t="s">
        <v>443</v>
      </c>
      <c r="X168" t="s">
        <v>106</v>
      </c>
      <c r="Y168" t="s">
        <v>108</v>
      </c>
      <c r="Z168" t="s">
        <v>104</v>
      </c>
      <c r="AA168" t="s">
        <v>106</v>
      </c>
      <c r="AB168" t="s">
        <v>106</v>
      </c>
    </row>
    <row r="169" spans="2:28" x14ac:dyDescent="0.3">
      <c r="B169" t="s">
        <v>104</v>
      </c>
      <c r="C169" t="s">
        <v>921</v>
      </c>
      <c r="D169" t="s">
        <v>487</v>
      </c>
      <c r="E169" t="s">
        <v>1027</v>
      </c>
      <c r="F169">
        <v>45748</v>
      </c>
      <c r="G169" t="s">
        <v>876</v>
      </c>
      <c r="H169">
        <v>45748</v>
      </c>
      <c r="I169" t="s">
        <v>535</v>
      </c>
      <c r="J169" t="s">
        <v>1290</v>
      </c>
      <c r="K169" t="s">
        <v>109</v>
      </c>
      <c r="L169" t="s">
        <v>963</v>
      </c>
      <c r="M169" t="s">
        <v>1207</v>
      </c>
      <c r="N169" t="s">
        <v>107</v>
      </c>
      <c r="O169" t="s">
        <v>107</v>
      </c>
      <c r="P169" t="s">
        <v>106</v>
      </c>
      <c r="Q169" t="s">
        <v>106</v>
      </c>
      <c r="R169" t="s">
        <v>106</v>
      </c>
      <c r="S169" t="s">
        <v>106</v>
      </c>
      <c r="T169" t="s">
        <v>1074</v>
      </c>
      <c r="U169" t="s">
        <v>719</v>
      </c>
      <c r="V169" t="s">
        <v>106</v>
      </c>
      <c r="W169" t="s">
        <v>443</v>
      </c>
      <c r="X169" t="s">
        <v>106</v>
      </c>
      <c r="Y169" t="s">
        <v>108</v>
      </c>
      <c r="Z169" t="s">
        <v>104</v>
      </c>
      <c r="AA169" t="s">
        <v>106</v>
      </c>
      <c r="AB169" t="s">
        <v>106</v>
      </c>
    </row>
    <row r="170" spans="2:28" x14ac:dyDescent="0.3">
      <c r="B170" t="s">
        <v>104</v>
      </c>
      <c r="C170" t="s">
        <v>921</v>
      </c>
      <c r="D170" t="s">
        <v>1295</v>
      </c>
      <c r="E170" t="s">
        <v>1027</v>
      </c>
      <c r="F170">
        <v>45748</v>
      </c>
      <c r="G170" t="s">
        <v>876</v>
      </c>
      <c r="H170">
        <v>45748</v>
      </c>
      <c r="I170" t="s">
        <v>535</v>
      </c>
      <c r="J170" t="s">
        <v>1290</v>
      </c>
      <c r="K170" t="s">
        <v>109</v>
      </c>
      <c r="L170" t="s">
        <v>1147</v>
      </c>
      <c r="M170" t="s">
        <v>921</v>
      </c>
      <c r="N170" t="s">
        <v>107</v>
      </c>
      <c r="O170" t="s">
        <v>107</v>
      </c>
      <c r="P170" t="s">
        <v>106</v>
      </c>
      <c r="Q170" t="s">
        <v>106</v>
      </c>
      <c r="R170" t="s">
        <v>106</v>
      </c>
      <c r="S170" t="s">
        <v>106</v>
      </c>
      <c r="T170" t="s">
        <v>1057</v>
      </c>
      <c r="U170" t="s">
        <v>106</v>
      </c>
      <c r="V170" t="s">
        <v>106</v>
      </c>
      <c r="W170" t="s">
        <v>443</v>
      </c>
      <c r="X170" t="s">
        <v>106</v>
      </c>
      <c r="Y170" t="s">
        <v>108</v>
      </c>
      <c r="Z170" t="s">
        <v>104</v>
      </c>
      <c r="AA170" t="s">
        <v>106</v>
      </c>
      <c r="AB170" t="s">
        <v>106</v>
      </c>
    </row>
    <row r="177" spans="2:7" x14ac:dyDescent="0.3">
      <c r="B177" t="s">
        <v>270</v>
      </c>
    </row>
    <row r="178" spans="2:7" x14ac:dyDescent="0.3">
      <c r="B178" t="s">
        <v>271</v>
      </c>
      <c r="C178" t="s">
        <v>272</v>
      </c>
      <c r="D178" t="s">
        <v>273</v>
      </c>
      <c r="E178" t="s">
        <v>274</v>
      </c>
      <c r="F178" t="s">
        <v>275</v>
      </c>
      <c r="G178" t="s">
        <v>276</v>
      </c>
    </row>
    <row r="179" spans="2:7" x14ac:dyDescent="0.3">
      <c r="B179" t="s">
        <v>1053</v>
      </c>
      <c r="C179" t="s">
        <v>1182</v>
      </c>
      <c r="D179" t="s">
        <v>1296</v>
      </c>
      <c r="E179" t="s">
        <v>1053</v>
      </c>
      <c r="F179" t="s">
        <v>1182</v>
      </c>
      <c r="G179" t="s">
        <v>1296</v>
      </c>
    </row>
    <row r="181" spans="2:7" x14ac:dyDescent="0.3">
      <c r="B181" t="s">
        <v>277</v>
      </c>
    </row>
    <row r="182" spans="2:7" x14ac:dyDescent="0.3">
      <c r="B182" t="s">
        <v>271</v>
      </c>
      <c r="C182" t="s">
        <v>272</v>
      </c>
      <c r="D182" t="s">
        <v>273</v>
      </c>
      <c r="E182" t="s">
        <v>274</v>
      </c>
      <c r="F182" t="s">
        <v>275</v>
      </c>
      <c r="G182" t="s">
        <v>276</v>
      </c>
    </row>
    <row r="183" spans="2:7" x14ac:dyDescent="0.3">
      <c r="B183" t="s">
        <v>1058</v>
      </c>
      <c r="C183" t="s">
        <v>1188</v>
      </c>
      <c r="D183" t="s">
        <v>1297</v>
      </c>
      <c r="E183" t="s">
        <v>1058</v>
      </c>
      <c r="F183" t="s">
        <v>1188</v>
      </c>
      <c r="G183" t="s">
        <v>1297</v>
      </c>
    </row>
    <row r="185" spans="2:7" x14ac:dyDescent="0.3">
      <c r="B185" t="s">
        <v>1298</v>
      </c>
    </row>
    <row r="186" spans="2:7" x14ac:dyDescent="0.3">
      <c r="B186" t="s">
        <v>271</v>
      </c>
      <c r="C186" t="s">
        <v>272</v>
      </c>
      <c r="D186" t="s">
        <v>273</v>
      </c>
      <c r="E186" t="s">
        <v>274</v>
      </c>
      <c r="F186" t="s">
        <v>275</v>
      </c>
      <c r="G186" t="s">
        <v>276</v>
      </c>
    </row>
    <row r="187" spans="2:7" x14ac:dyDescent="0.3">
      <c r="B187" t="s">
        <v>1042</v>
      </c>
      <c r="C187" t="s">
        <v>1162</v>
      </c>
      <c r="D187" t="s">
        <v>1299</v>
      </c>
      <c r="E187" t="s">
        <v>1042</v>
      </c>
      <c r="F187" t="s">
        <v>1162</v>
      </c>
      <c r="G187" t="s">
        <v>1299</v>
      </c>
    </row>
    <row r="189" spans="2:7" x14ac:dyDescent="0.3">
      <c r="B189" t="s">
        <v>278</v>
      </c>
    </row>
    <row r="190" spans="2:7" x14ac:dyDescent="0.3">
      <c r="B190" t="s">
        <v>271</v>
      </c>
      <c r="C190" t="s">
        <v>272</v>
      </c>
      <c r="D190" t="s">
        <v>273</v>
      </c>
      <c r="E190" t="s">
        <v>274</v>
      </c>
      <c r="F190" t="s">
        <v>275</v>
      </c>
      <c r="G190" t="s">
        <v>276</v>
      </c>
    </row>
    <row r="191" spans="2:7" x14ac:dyDescent="0.3">
      <c r="B191" t="s">
        <v>112</v>
      </c>
      <c r="C191" t="s">
        <v>118</v>
      </c>
      <c r="D191" t="s">
        <v>1300</v>
      </c>
      <c r="E191" t="s">
        <v>112</v>
      </c>
      <c r="F191" t="s">
        <v>118</v>
      </c>
      <c r="G191" t="s">
        <v>1300</v>
      </c>
    </row>
    <row r="198" spans="2:5" x14ac:dyDescent="0.3">
      <c r="B198" t="s">
        <v>1301</v>
      </c>
    </row>
    <row r="199" spans="2:5" x14ac:dyDescent="0.3">
      <c r="B199" t="s">
        <v>1302</v>
      </c>
      <c r="C199" t="s">
        <v>1303</v>
      </c>
      <c r="D199" t="s">
        <v>1304</v>
      </c>
      <c r="E199" t="s">
        <v>1305</v>
      </c>
    </row>
    <row r="200" spans="2:5" x14ac:dyDescent="0.3">
      <c r="B200" t="s">
        <v>927</v>
      </c>
      <c r="C200" t="s">
        <v>1306</v>
      </c>
      <c r="D200" t="s">
        <v>927</v>
      </c>
      <c r="E200" t="s">
        <v>1307</v>
      </c>
    </row>
    <row r="201" spans="2:5" x14ac:dyDescent="0.3">
      <c r="B201" t="s">
        <v>643</v>
      </c>
      <c r="C201" t="s">
        <v>1308</v>
      </c>
      <c r="D201" t="s">
        <v>814</v>
      </c>
      <c r="E201" t="s">
        <v>1307</v>
      </c>
    </row>
    <row r="202" spans="2:5" x14ac:dyDescent="0.3">
      <c r="B202" t="s">
        <v>918</v>
      </c>
      <c r="C202" t="s">
        <v>1309</v>
      </c>
      <c r="D202" t="s">
        <v>1119</v>
      </c>
      <c r="E202" t="s">
        <v>1307</v>
      </c>
    </row>
    <row r="203" spans="2:5" x14ac:dyDescent="0.3">
      <c r="B203" t="s">
        <v>921</v>
      </c>
      <c r="C203" t="s">
        <v>1310</v>
      </c>
      <c r="D203" t="s">
        <v>1150</v>
      </c>
      <c r="E203" t="s">
        <v>1307</v>
      </c>
    </row>
    <row r="207" spans="2:5" x14ac:dyDescent="0.3">
      <c r="B207" t="s">
        <v>1311</v>
      </c>
      <c r="C207" t="s">
        <v>1312</v>
      </c>
    </row>
    <row r="208" spans="2:5" x14ac:dyDescent="0.3">
      <c r="B208" t="s">
        <v>106</v>
      </c>
      <c r="C208" t="s">
        <v>106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CE9A45-6F48-4B9B-ABB0-ADA69F7D3B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STD All</vt:lpstr>
      <vt:lpstr>HISTORY LOG</vt:lpstr>
      <vt:lpstr>Lot structure</vt:lpstr>
      <vt:lpstr> Import Lots Data</vt:lpstr>
      <vt:lpstr>Import 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Sandor</dc:creator>
  <cp:lastModifiedBy>Sandor Kovacs</cp:lastModifiedBy>
  <cp:lastPrinted>2025-04-25T08:18:32Z</cp:lastPrinted>
  <dcterms:created xsi:type="dcterms:W3CDTF">2015-06-05T18:17:20Z</dcterms:created>
  <dcterms:modified xsi:type="dcterms:W3CDTF">2025-07-23T09:04:49Z</dcterms:modified>
</cp:coreProperties>
</file>