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\\192.168.1.200\Industrial Engineering\STATISTIC\_LOT produced\L55L84L82\"/>
    </mc:Choice>
  </mc:AlternateContent>
  <xr:revisionPtr revIDLastSave="0" documentId="13_ncr:1_{8A57A280-53F8-4DC8-B00B-57ED6FB54485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pH 1.68" sheetId="4" r:id="rId1"/>
    <sheet name="pH 4.01" sheetId="2" r:id="rId2"/>
    <sheet name="pH 7.01" sheetId="1" r:id="rId3"/>
    <sheet name="pH 10.01" sheetId="3" r:id="rId4"/>
    <sheet name="CM info" sheetId="5" r:id="rId5"/>
  </sheets>
  <definedNames>
    <definedName name="_xlnm._FilterDatabase" localSheetId="4" hidden="1">'CM info'!$A$2:$E$7</definedName>
    <definedName name="_xlnm._FilterDatabase" localSheetId="0" hidden="1">'pH 1.68'!$A$4:$I$22</definedName>
    <definedName name="_xlnm._FilterDatabase" localSheetId="3" hidden="1">'pH 10.01'!$A$4:$I$92</definedName>
    <definedName name="_xlnm._FilterDatabase" localSheetId="1" hidden="1">'pH 4.01'!$A$4:$I$179</definedName>
    <definedName name="_xlnm._FilterDatabase" localSheetId="2" hidden="1">'pH 7.01'!$A$4:$I$172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3" l="1"/>
  <c r="H91" i="3"/>
  <c r="H86" i="3"/>
  <c r="H85" i="3"/>
  <c r="H84" i="3"/>
  <c r="H83" i="3"/>
  <c r="H82" i="3"/>
  <c r="H80" i="3"/>
  <c r="H79" i="3"/>
  <c r="H74" i="3"/>
  <c r="H68" i="3"/>
  <c r="H67" i="3"/>
  <c r="H66" i="3"/>
  <c r="H63" i="3"/>
  <c r="H62" i="3"/>
  <c r="H61" i="3"/>
  <c r="H60" i="3"/>
  <c r="H59" i="3"/>
  <c r="H58" i="3"/>
  <c r="H56" i="3"/>
  <c r="H55" i="3"/>
  <c r="H49" i="3"/>
  <c r="H47" i="3"/>
  <c r="H46" i="3"/>
  <c r="H45" i="3"/>
  <c r="H40" i="3"/>
  <c r="H39" i="3"/>
  <c r="H38" i="3"/>
  <c r="H37" i="3"/>
  <c r="H36" i="3"/>
  <c r="H35" i="3"/>
  <c r="H34" i="3"/>
  <c r="H33" i="3"/>
  <c r="H32" i="3"/>
  <c r="H28" i="3"/>
  <c r="H27" i="3"/>
  <c r="H26" i="3"/>
  <c r="H25" i="3"/>
  <c r="H22" i="3"/>
  <c r="H21" i="3"/>
  <c r="H15" i="3"/>
  <c r="H14" i="3"/>
  <c r="H9" i="3"/>
  <c r="H7" i="3"/>
  <c r="H170" i="1"/>
  <c r="H163" i="1"/>
  <c r="H162" i="1"/>
  <c r="H139" i="1"/>
  <c r="H136" i="1"/>
  <c r="H129" i="1"/>
  <c r="H125" i="1"/>
  <c r="H122" i="1"/>
  <c r="H121" i="1"/>
  <c r="H114" i="1"/>
  <c r="H112" i="1"/>
  <c r="H102" i="1"/>
  <c r="H101" i="1"/>
  <c r="H100" i="1"/>
  <c r="H99" i="1"/>
  <c r="H98" i="1"/>
  <c r="H94" i="1"/>
  <c r="H93" i="1"/>
  <c r="H89" i="1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90" i="1"/>
  <c r="H91" i="1"/>
  <c r="H92" i="1"/>
  <c r="H95" i="1"/>
  <c r="H96" i="1"/>
  <c r="H97" i="1"/>
  <c r="H103" i="1"/>
  <c r="H104" i="1"/>
  <c r="H105" i="1"/>
  <c r="H106" i="1"/>
  <c r="H107" i="1"/>
  <c r="H108" i="1"/>
  <c r="H109" i="1"/>
  <c r="H110" i="1"/>
  <c r="H111" i="1"/>
  <c r="H113" i="1"/>
  <c r="H115" i="1"/>
  <c r="H116" i="1"/>
  <c r="H117" i="1"/>
  <c r="H118" i="1"/>
  <c r="H119" i="1"/>
  <c r="H120" i="1"/>
  <c r="H123" i="1"/>
  <c r="H124" i="1"/>
  <c r="H126" i="1"/>
  <c r="H127" i="1"/>
  <c r="H128" i="1"/>
  <c r="H130" i="1"/>
  <c r="H131" i="1"/>
  <c r="H132" i="1"/>
  <c r="H133" i="1"/>
  <c r="H134" i="1"/>
  <c r="H135" i="1"/>
  <c r="H137" i="1"/>
  <c r="H138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4" i="1"/>
  <c r="H165" i="1"/>
  <c r="H166" i="1"/>
  <c r="H167" i="1"/>
  <c r="H168" i="1"/>
  <c r="H169" i="1"/>
  <c r="H171" i="1"/>
  <c r="H172" i="1"/>
  <c r="H6" i="3"/>
  <c r="H8" i="3"/>
  <c r="H10" i="3"/>
  <c r="H11" i="3"/>
  <c r="H12" i="3"/>
  <c r="H13" i="3"/>
  <c r="H16" i="3"/>
  <c r="H17" i="3"/>
  <c r="H18" i="3"/>
  <c r="H19" i="3"/>
  <c r="H20" i="3"/>
  <c r="H23" i="3"/>
  <c r="H24" i="3"/>
  <c r="H29" i="3"/>
  <c r="H30" i="3"/>
  <c r="H31" i="3"/>
  <c r="H41" i="3"/>
  <c r="H42" i="3"/>
  <c r="H43" i="3"/>
  <c r="H44" i="3"/>
  <c r="H48" i="3"/>
  <c r="H50" i="3"/>
  <c r="H51" i="3"/>
  <c r="H52" i="3"/>
  <c r="H53" i="3"/>
  <c r="H54" i="3"/>
  <c r="H57" i="3"/>
  <c r="H64" i="3"/>
  <c r="H65" i="3"/>
  <c r="H69" i="3"/>
  <c r="H70" i="3"/>
  <c r="H71" i="3"/>
  <c r="H72" i="3"/>
  <c r="H73" i="3"/>
  <c r="H75" i="3"/>
  <c r="H76" i="3"/>
  <c r="H77" i="3"/>
  <c r="H78" i="3"/>
  <c r="H81" i="3"/>
  <c r="H87" i="3"/>
  <c r="H88" i="3"/>
  <c r="H89" i="3"/>
  <c r="H90" i="3"/>
  <c r="H92" i="3"/>
  <c r="H5" i="1"/>
  <c r="H5" i="2"/>
  <c r="H5" i="4"/>
  <c r="H6" i="4"/>
  <c r="H7" i="4"/>
  <c r="H8" i="4"/>
  <c r="H9" i="4"/>
  <c r="H10" i="4"/>
  <c r="H11" i="4"/>
  <c r="H12" i="4"/>
  <c r="H13" i="4"/>
  <c r="H14" i="4"/>
  <c r="H15" i="4"/>
  <c r="H17" i="4"/>
  <c r="H18" i="4"/>
  <c r="H19" i="4"/>
  <c r="H20" i="4"/>
  <c r="H21" i="4"/>
  <c r="H22" i="4"/>
  <c r="H16" i="4"/>
</calcChain>
</file>

<file path=xl/sharedStrings.xml><?xml version="1.0" encoding="utf-8"?>
<sst xmlns="http://schemas.openxmlformats.org/spreadsheetml/2006/main" count="1770" uniqueCount="1100">
  <si>
    <t>LOT</t>
  </si>
  <si>
    <t>CODE</t>
  </si>
  <si>
    <t>DATE</t>
  </si>
  <si>
    <t>STATISTIC PRODUCTION</t>
  </si>
  <si>
    <t>+48g CM480;+8g CM480</t>
  </si>
  <si>
    <t>+45g CM480;+34g CM480</t>
  </si>
  <si>
    <t>+2.5g CM480</t>
  </si>
  <si>
    <t>+26g CM480</t>
  </si>
  <si>
    <t>+50g CM480</t>
  </si>
  <si>
    <t>+23 g. CM480</t>
  </si>
  <si>
    <t>+29.6 g. CM480</t>
  </si>
  <si>
    <t>+10g CM480</t>
  </si>
  <si>
    <t>+30 g.CM480</t>
  </si>
  <si>
    <t>+50 g.CM480</t>
  </si>
  <si>
    <t>+13.2 g.CM480</t>
  </si>
  <si>
    <t>+3g CM480</t>
  </si>
  <si>
    <t>+4g CM480</t>
  </si>
  <si>
    <t>+15g CM480</t>
  </si>
  <si>
    <t>HI5004-R ; HI5004-R08 ; HI5004-R36 ; HI7004/1G ; HI7004/1L ; HI7004C</t>
  </si>
  <si>
    <t>AD7004 ; AD7004C ; HI5004 ; HI5004-01 ; HI5400-12 ; HI6004 ; HI6004-01 ; HI7004/1G-QC ; HI7004-012 ; HI7004-023 ; HI7004-050 ; HI7004BIN ; HI7004L ; HI7004L/C ; HI7004M ; HI8004L ; HI8004L/C ; HI84429-65-0 ; MA9004</t>
  </si>
  <si>
    <t>0200</t>
  </si>
  <si>
    <t>0198</t>
  </si>
  <si>
    <t>0274</t>
  </si>
  <si>
    <t>0275</t>
  </si>
  <si>
    <t>0320</t>
  </si>
  <si>
    <t>0321</t>
  </si>
  <si>
    <t>0361</t>
  </si>
  <si>
    <t>0444</t>
  </si>
  <si>
    <t>0453</t>
  </si>
  <si>
    <t>0480</t>
  </si>
  <si>
    <t>0481</t>
  </si>
  <si>
    <t>0484</t>
  </si>
  <si>
    <t>0518</t>
  </si>
  <si>
    <t>0515</t>
  </si>
  <si>
    <t>0545</t>
  </si>
  <si>
    <t>0544</t>
  </si>
  <si>
    <t>0595</t>
  </si>
  <si>
    <t>0594</t>
  </si>
  <si>
    <t>0639</t>
  </si>
  <si>
    <t>0638</t>
  </si>
  <si>
    <t>0697</t>
  </si>
  <si>
    <t>0713</t>
  </si>
  <si>
    <t>0716</t>
  </si>
  <si>
    <t>0739</t>
  </si>
  <si>
    <t>0795</t>
  </si>
  <si>
    <t>0794</t>
  </si>
  <si>
    <t>0806</t>
  </si>
  <si>
    <t>0805</t>
  </si>
  <si>
    <t>0847</t>
  </si>
  <si>
    <t>0879</t>
  </si>
  <si>
    <t>0885</t>
  </si>
  <si>
    <t>0887</t>
  </si>
  <si>
    <t>759.111</t>
  </si>
  <si>
    <t>1279.243</t>
  </si>
  <si>
    <t>608.1825</t>
  </si>
  <si>
    <t>608.493</t>
  </si>
  <si>
    <t>608.183</t>
  </si>
  <si>
    <t>608.278</t>
  </si>
  <si>
    <t>1278.9762</t>
  </si>
  <si>
    <t>1279.0002</t>
  </si>
  <si>
    <t>608.193</t>
  </si>
  <si>
    <t>93.3767</t>
  </si>
  <si>
    <t>93.3783</t>
  </si>
  <si>
    <t>608.2115</t>
  </si>
  <si>
    <t>1280.955</t>
  </si>
  <si>
    <t>1279.564</t>
  </si>
  <si>
    <t>608</t>
  </si>
  <si>
    <t>608.189</t>
  </si>
  <si>
    <t>608.1864</t>
  </si>
  <si>
    <t>750</t>
  </si>
  <si>
    <t>753.0788</t>
  </si>
  <si>
    <t>1279.0102</t>
  </si>
  <si>
    <t>608.202</t>
  </si>
  <si>
    <t>1279.0003</t>
  </si>
  <si>
    <t>1162.817</t>
  </si>
  <si>
    <t>1160.902</t>
  </si>
  <si>
    <t>1162.3201</t>
  </si>
  <si>
    <t>608.186</t>
  </si>
  <si>
    <t>608.436</t>
  </si>
  <si>
    <t>1278.9898</t>
  </si>
  <si>
    <t>753.0588</t>
  </si>
  <si>
    <t>608.181</t>
  </si>
  <si>
    <t>1278.9993</t>
  </si>
  <si>
    <t>AD7007 ; AD7007C ; HI5007 ; HI5007-01 ; HI5007-G36 ; HI5700-12 ; HI6007 ; HI6007-01 ; HI7007/1G-QC ; HI7007/1L ; HI7007-012 ; HI7007-023 ; HI7007-050 ; HI7007BIN ; HI7007L ; HI7007L/C ; HI7007M ; HI8007L ; HI8007L/C ; HI84102-60 ; MA9007 ; MI556-003-</t>
  </si>
  <si>
    <t>HI5007-G ; HI5007-G08 ; HI7007/1G ; HI7007C ; HI84102-60-0</t>
  </si>
  <si>
    <t>HI5007-G ; HI5007-G08 ; HI7007/1G ; HI7007/1L ; HI7007C ; HI84102-60-0</t>
  </si>
  <si>
    <t>AD7007 ; AD7007C ; HI5007 ; HI5007-01 ; HI5007-G36 ; HI5700-12 ; HI6007 ; HI6007-01 ; HI7007/1G-QC ; HI7007-012 ; HI7007-023 ; HI7007-050 ; HI7007BIN ; HI7007L ; HI7007L/C ; HI7007M ; HI8007L ; HI8007L/C ; HI84102-60 ; MA9007 ; MI556-003-0</t>
  </si>
  <si>
    <t>0387</t>
  </si>
  <si>
    <t>0463</t>
  </si>
  <si>
    <t>0468</t>
  </si>
  <si>
    <t>0483</t>
  </si>
  <si>
    <t>0482</t>
  </si>
  <si>
    <t>0548</t>
  </si>
  <si>
    <t>0547</t>
  </si>
  <si>
    <t>0573</t>
  </si>
  <si>
    <t>0630</t>
  </si>
  <si>
    <t>0636</t>
  </si>
  <si>
    <t>0689</t>
  </si>
  <si>
    <t>0688</t>
  </si>
  <si>
    <t>0695</t>
  </si>
  <si>
    <t>0704</t>
  </si>
  <si>
    <t>0839</t>
  </si>
  <si>
    <t>0917</t>
  </si>
  <si>
    <t>0915</t>
  </si>
  <si>
    <t>0974</t>
  </si>
  <si>
    <t>0973</t>
  </si>
  <si>
    <t>0984</t>
  </si>
  <si>
    <t>0987</t>
  </si>
  <si>
    <t>0993</t>
  </si>
  <si>
    <t>-;+ 70g CM023</t>
  </si>
  <si>
    <t>-;+80gCM023</t>
  </si>
  <si>
    <t>+36g CM023</t>
  </si>
  <si>
    <t>-;+48g CM023;-</t>
  </si>
  <si>
    <t>-;+48g CM023</t>
  </si>
  <si>
    <t>+5 g. CM022</t>
  </si>
  <si>
    <t>+15g CM022</t>
  </si>
  <si>
    <t>+74g CM023</t>
  </si>
  <si>
    <t>+70.9 g. CM023</t>
  </si>
  <si>
    <t>+10g CM022;+12g CM022</t>
  </si>
  <si>
    <t>+10g CM022;+12g CM022;-</t>
  </si>
  <si>
    <t>+55g CM023</t>
  </si>
  <si>
    <t>+7 g.CM022</t>
  </si>
  <si>
    <t>-;+15 G. CM022;-;+10 g.CM022;+13.1 g.CM022;+51.7 g. CM023</t>
  </si>
  <si>
    <t>-;+7g CM022</t>
  </si>
  <si>
    <t>+6g CM022</t>
  </si>
  <si>
    <t>+16g CM022</t>
  </si>
  <si>
    <t>+40g CM023;+40g CM023</t>
  </si>
  <si>
    <t>-;+40g CM023;+10g CM023</t>
  </si>
  <si>
    <t>1277.8915</t>
  </si>
  <si>
    <t>1277.9057</t>
  </si>
  <si>
    <t>607.6585</t>
  </si>
  <si>
    <t>759.853</t>
  </si>
  <si>
    <t>759.8265</t>
  </si>
  <si>
    <t>606.7157</t>
  </si>
  <si>
    <t>607.6663</t>
  </si>
  <si>
    <t>607.6649</t>
  </si>
  <si>
    <t>1160.8121</t>
  </si>
  <si>
    <t>1277.8967</t>
  </si>
  <si>
    <t>734.267</t>
  </si>
  <si>
    <t>734.3953</t>
  </si>
  <si>
    <t>1160.7932</t>
  </si>
  <si>
    <t>1277.8892</t>
  </si>
  <si>
    <t>1160.8698</t>
  </si>
  <si>
    <t>607.675</t>
  </si>
  <si>
    <t>607.6272</t>
  </si>
  <si>
    <t>733.173</t>
  </si>
  <si>
    <t>733.1786</t>
  </si>
  <si>
    <t>1160.7541</t>
  </si>
  <si>
    <t>1277.9098</t>
  </si>
  <si>
    <t>1160.788</t>
  </si>
  <si>
    <t>AD7010 ; AD7010C ; HI5010 ; HI5010-01 ; HI5100-12 ; HI6010 ; HI6010-01 ; HI7010/1G-QC ; HI7010-012 ; HI7010-023 ; HI7010-050 ; HI7010L ; HI7010L/C ; HI7010M ; HI8010/1L ; HI8010L ; HI8010L/C ; MA9010</t>
  </si>
  <si>
    <t>HI5010-V ; HI5010-V08 ; HI5010-V36 ; HI7010/1G ; HI7010/1L ; HI7010C</t>
  </si>
  <si>
    <t>9682</t>
  </si>
  <si>
    <t>9702</t>
  </si>
  <si>
    <t>9723</t>
  </si>
  <si>
    <t>9908</t>
  </si>
  <si>
    <t>9948</t>
  </si>
  <si>
    <t>0063</t>
  </si>
  <si>
    <t>0064</t>
  </si>
  <si>
    <t>0162</t>
  </si>
  <si>
    <t>0218</t>
  </si>
  <si>
    <t>0217</t>
  </si>
  <si>
    <t>0245</t>
  </si>
  <si>
    <t>0376</t>
  </si>
  <si>
    <t>0382</t>
  </si>
  <si>
    <t>0421</t>
  </si>
  <si>
    <t>0456</t>
  </si>
  <si>
    <t>0455</t>
  </si>
  <si>
    <t>0458</t>
  </si>
  <si>
    <t>0459</t>
  </si>
  <si>
    <t>0489</t>
  </si>
  <si>
    <t>0488</t>
  </si>
  <si>
    <t>0692</t>
  </si>
  <si>
    <t>0691</t>
  </si>
  <si>
    <t>0696</t>
  </si>
  <si>
    <t>0744</t>
  </si>
  <si>
    <t>0836</t>
  </si>
  <si>
    <t>0933</t>
  </si>
  <si>
    <t>1005</t>
  </si>
  <si>
    <t>604.9302</t>
  </si>
  <si>
    <t>604.8959</t>
  </si>
  <si>
    <t>604.8999</t>
  </si>
  <si>
    <t>604.8994</t>
  </si>
  <si>
    <t>604.9014</t>
  </si>
  <si>
    <t>1155.419</t>
  </si>
  <si>
    <t>1155.5129</t>
  </si>
  <si>
    <t>604.8985</t>
  </si>
  <si>
    <t>604.946</t>
  </si>
  <si>
    <t>604.8982</t>
  </si>
  <si>
    <t>1272.0576</t>
  </si>
  <si>
    <t>1272.0947</t>
  </si>
  <si>
    <t>604.8877</t>
  </si>
  <si>
    <t>604.9005</t>
  </si>
  <si>
    <t>1156.075</t>
  </si>
  <si>
    <t>1155.5184</t>
  </si>
  <si>
    <t>604.8812</t>
  </si>
  <si>
    <t>605.042</t>
  </si>
  <si>
    <t>1272.31</t>
  </si>
  <si>
    <t>1272.0717</t>
  </si>
  <si>
    <t>300.032</t>
  </si>
  <si>
    <t>300.0166</t>
  </si>
  <si>
    <t>751.2122</t>
  </si>
  <si>
    <t>1272.0536</t>
  </si>
  <si>
    <t>1155.4928</t>
  </si>
  <si>
    <t>92.0134</t>
  </si>
  <si>
    <t>1272.1208</t>
  </si>
  <si>
    <t>+ 50g CM029;15 g. CM029;-</t>
  </si>
  <si>
    <t>+ 25g CM029;-;+8 g. CM030;-</t>
  </si>
  <si>
    <t>+ 23 g CM029;+ 15 g CM029;-</t>
  </si>
  <si>
    <t>-;+ 10 g CM029;+ 21.2 g CM029;-</t>
  </si>
  <si>
    <t>+14 g. CM029;+25 g. CM029;-</t>
  </si>
  <si>
    <t>+15g CM029;-</t>
  </si>
  <si>
    <t>+15 g CM029</t>
  </si>
  <si>
    <t>+ 16.5 g CM029;-</t>
  </si>
  <si>
    <t>-;+15 g.CM029;-</t>
  </si>
  <si>
    <t>+18.1g CM029</t>
  </si>
  <si>
    <t>-;+18.6 g. CM029;+18.6g CM029;-</t>
  </si>
  <si>
    <t>+6g CM029;-</t>
  </si>
  <si>
    <t>+19g CM030</t>
  </si>
  <si>
    <t>+18.1gCM029;-</t>
  </si>
  <si>
    <t>+18.1g CM029;-</t>
  </si>
  <si>
    <t>+8g CM029</t>
  </si>
  <si>
    <t>+20 g. CM029;-</t>
  </si>
  <si>
    <t>+20 g CM029</t>
  </si>
  <si>
    <t>+8g CM030;-</t>
  </si>
  <si>
    <t>+8g CM030</t>
  </si>
  <si>
    <t>+13g CM030;+8g CM029;-</t>
  </si>
  <si>
    <t>+15g CM029;+7g CM029</t>
  </si>
  <si>
    <t>+15 g. CM029</t>
  </si>
  <si>
    <t>+10g CM030;+5g CM030;-</t>
  </si>
  <si>
    <t>+100g CM029</t>
  </si>
  <si>
    <t>RECIPE # C158</t>
  </si>
  <si>
    <t>RECIPE # C163</t>
  </si>
  <si>
    <t>RECIPE # C164</t>
  </si>
  <si>
    <t>RECIPE # C166</t>
  </si>
  <si>
    <t>HI5016 ; HI6016 ; HI6016-01 ; HI7001L ; HI7001M ; MA9001</t>
  </si>
  <si>
    <t>9792</t>
  </si>
  <si>
    <t>9925</t>
  </si>
  <si>
    <t>0087</t>
  </si>
  <si>
    <t>0140</t>
  </si>
  <si>
    <t>0272</t>
  </si>
  <si>
    <t>0417</t>
  </si>
  <si>
    <t>0723</t>
  </si>
  <si>
    <t>0787</t>
  </si>
  <si>
    <t>0983</t>
  </si>
  <si>
    <t>1155</t>
  </si>
  <si>
    <t>1220</t>
  </si>
  <si>
    <t>1285</t>
  </si>
  <si>
    <t>1519</t>
  </si>
  <si>
    <t>1638</t>
  </si>
  <si>
    <t>1720</t>
  </si>
  <si>
    <t>1777</t>
  </si>
  <si>
    <t>2053</t>
  </si>
  <si>
    <t>2138</t>
  </si>
  <si>
    <t>363.397</t>
  </si>
  <si>
    <t>370.1826</t>
  </si>
  <si>
    <t>410.1887</t>
  </si>
  <si>
    <t>17.01528</t>
  </si>
  <si>
    <t>452.27</t>
  </si>
  <si>
    <t>302.6981</t>
  </si>
  <si>
    <t>484.8014</t>
  </si>
  <si>
    <t>127.5935</t>
  </si>
  <si>
    <t>408.7496</t>
  </si>
  <si>
    <t>17.927117</t>
  </si>
  <si>
    <t>609.7133</t>
  </si>
  <si>
    <t>233.2112</t>
  </si>
  <si>
    <t>13.774022</t>
  </si>
  <si>
    <t>229.3254</t>
  </si>
  <si>
    <t>14.531553</t>
  </si>
  <si>
    <t>610.3634</t>
  </si>
  <si>
    <t>25.038138</t>
  </si>
  <si>
    <t>127.20262</t>
  </si>
  <si>
    <t>-;+65 g.CM011;+30 g. CM011;+55.4 g. CM011;+12 g. CM011;-</t>
  </si>
  <si>
    <t>-;+ 10g CM011;+10g CM011;-</t>
  </si>
  <si>
    <t>+258g CM011;-</t>
  </si>
  <si>
    <t>-;+18g CM011;-;+10g CM011;-</t>
  </si>
  <si>
    <t>+650g CM011;-</t>
  </si>
  <si>
    <t>+5g CM011;-</t>
  </si>
  <si>
    <t xml:space="preserve">CM Code </t>
  </si>
  <si>
    <t>CM name</t>
  </si>
  <si>
    <t>CM CAS</t>
  </si>
  <si>
    <t>CM011</t>
  </si>
  <si>
    <t>AD7004 ; HI5004 ; HI5004-01 ; HI5400-12 ; HI6004 ; HI6004-01 ; HI7004/1G-QC ; HI7004-012 ; HI7004-023 ; HI7004-050 ; HI7004L ; HI7004L/C ; HI7004M ; HI8004L ; HI8004L/C ; MA9004 ; AD7004C ; HI84429-65-0 ; HI7004BIN</t>
  </si>
  <si>
    <t>9664</t>
  </si>
  <si>
    <t>9684</t>
  </si>
  <si>
    <t>9683</t>
  </si>
  <si>
    <t>9688</t>
  </si>
  <si>
    <t>9689</t>
  </si>
  <si>
    <t>9696</t>
  </si>
  <si>
    <t>9697</t>
  </si>
  <si>
    <t>9727</t>
  </si>
  <si>
    <t>9728</t>
  </si>
  <si>
    <t>9738</t>
  </si>
  <si>
    <t>9742</t>
  </si>
  <si>
    <t>9744</t>
  </si>
  <si>
    <t>9775</t>
  </si>
  <si>
    <t>9776</t>
  </si>
  <si>
    <t>9781</t>
  </si>
  <si>
    <t>9782</t>
  </si>
  <si>
    <t>9793</t>
  </si>
  <si>
    <t>9808</t>
  </si>
  <si>
    <t>9849</t>
  </si>
  <si>
    <t>9848</t>
  </si>
  <si>
    <t>9869</t>
  </si>
  <si>
    <t>9870</t>
  </si>
  <si>
    <t>9888</t>
  </si>
  <si>
    <t>9889</t>
  </si>
  <si>
    <t>9942</t>
  </si>
  <si>
    <t>9944</t>
  </si>
  <si>
    <t>9945</t>
  </si>
  <si>
    <t>9955</t>
  </si>
  <si>
    <t>9963</t>
  </si>
  <si>
    <t>9967</t>
  </si>
  <si>
    <t>9973</t>
  </si>
  <si>
    <t>9979</t>
  </si>
  <si>
    <t>0006</t>
  </si>
  <si>
    <t>0007</t>
  </si>
  <si>
    <t>0052</t>
  </si>
  <si>
    <t>0102</t>
  </si>
  <si>
    <t>0106</t>
  </si>
  <si>
    <t>0109</t>
  </si>
  <si>
    <t>0154</t>
  </si>
  <si>
    <t>0164</t>
  </si>
  <si>
    <t>0179</t>
  </si>
  <si>
    <t>0197</t>
  </si>
  <si>
    <t>0205</t>
  </si>
  <si>
    <t>0206</t>
  </si>
  <si>
    <t>0199</t>
  </si>
  <si>
    <t>0211</t>
  </si>
  <si>
    <t>0210</t>
  </si>
  <si>
    <t>0214</t>
  </si>
  <si>
    <t>0213</t>
  </si>
  <si>
    <t>0371</t>
  </si>
  <si>
    <t>0369</t>
  </si>
  <si>
    <t>0373</t>
  </si>
  <si>
    <t>0375</t>
  </si>
  <si>
    <t>0380</t>
  </si>
  <si>
    <t>0379</t>
  </si>
  <si>
    <t>0397</t>
  </si>
  <si>
    <t>0425</t>
  </si>
  <si>
    <t>0431</t>
  </si>
  <si>
    <t>0436</t>
  </si>
  <si>
    <t>0437</t>
  </si>
  <si>
    <t>0519</t>
  </si>
  <si>
    <t>0621</t>
  </si>
  <si>
    <t>0620</t>
  </si>
  <si>
    <t>0648</t>
  </si>
  <si>
    <t>0714</t>
  </si>
  <si>
    <t>0734</t>
  </si>
  <si>
    <t>0760</t>
  </si>
  <si>
    <t>0780</t>
  </si>
  <si>
    <t>0779</t>
  </si>
  <si>
    <t>0786</t>
  </si>
  <si>
    <t>0785</t>
  </si>
  <si>
    <t>0820</t>
  </si>
  <si>
    <t>0819</t>
  </si>
  <si>
    <t>0840</t>
  </si>
  <si>
    <t>0869</t>
  </si>
  <si>
    <t>0918</t>
  </si>
  <si>
    <t>0916</t>
  </si>
  <si>
    <t>0966</t>
  </si>
  <si>
    <t>1036</t>
  </si>
  <si>
    <t>1037</t>
  </si>
  <si>
    <t>1047</t>
  </si>
  <si>
    <t>1070</t>
  </si>
  <si>
    <t>1114</t>
  </si>
  <si>
    <t>1116</t>
  </si>
  <si>
    <t>1142</t>
  </si>
  <si>
    <t>1184</t>
  </si>
  <si>
    <t>1203</t>
  </si>
  <si>
    <t>1207</t>
  </si>
  <si>
    <t>1244</t>
  </si>
  <si>
    <t>1253</t>
  </si>
  <si>
    <t>1255</t>
  </si>
  <si>
    <t>1263</t>
  </si>
  <si>
    <t>1291</t>
  </si>
  <si>
    <t>1309</t>
  </si>
  <si>
    <t>1308</t>
  </si>
  <si>
    <t>1303</t>
  </si>
  <si>
    <t>1339</t>
  </si>
  <si>
    <t>1382</t>
  </si>
  <si>
    <t>1409</t>
  </si>
  <si>
    <t>1453</t>
  </si>
  <si>
    <t>1456</t>
  </si>
  <si>
    <t>1460</t>
  </si>
  <si>
    <t>1466</t>
  </si>
  <si>
    <t>1497</t>
  </si>
  <si>
    <t>1514</t>
  </si>
  <si>
    <t>1523</t>
  </si>
  <si>
    <t>1526</t>
  </si>
  <si>
    <t>1532</t>
  </si>
  <si>
    <t>1536</t>
  </si>
  <si>
    <t>1539</t>
  </si>
  <si>
    <t>1547</t>
  </si>
  <si>
    <t>1556</t>
  </si>
  <si>
    <t>1584</t>
  </si>
  <si>
    <t>1588</t>
  </si>
  <si>
    <t>1625</t>
  </si>
  <si>
    <t>1643</t>
  </si>
  <si>
    <t>1671</t>
  </si>
  <si>
    <t>1729</t>
  </si>
  <si>
    <t>1758</t>
  </si>
  <si>
    <t>1762</t>
  </si>
  <si>
    <t>1772</t>
  </si>
  <si>
    <t>1775</t>
  </si>
  <si>
    <t>1869</t>
  </si>
  <si>
    <t>1894</t>
  </si>
  <si>
    <t>1896</t>
  </si>
  <si>
    <t>1900</t>
  </si>
  <si>
    <t>1901</t>
  </si>
  <si>
    <t>1904</t>
  </si>
  <si>
    <t>1968</t>
  </si>
  <si>
    <t>1999</t>
  </si>
  <si>
    <t>2015</t>
  </si>
  <si>
    <t>2018</t>
  </si>
  <si>
    <t>2022</t>
  </si>
  <si>
    <t>2025</t>
  </si>
  <si>
    <t>2046</t>
  </si>
  <si>
    <t>2048</t>
  </si>
  <si>
    <t>2052</t>
  </si>
  <si>
    <t>2079</t>
  </si>
  <si>
    <t>2078</t>
  </si>
  <si>
    <t>2151</t>
  </si>
  <si>
    <t>2157</t>
  </si>
  <si>
    <t>2158</t>
  </si>
  <si>
    <t>2160</t>
  </si>
  <si>
    <t>608.1594</t>
  </si>
  <si>
    <t>1161.59</t>
  </si>
  <si>
    <t>1161.7611</t>
  </si>
  <si>
    <t>1279.11</t>
  </si>
  <si>
    <t>1278.9502</t>
  </si>
  <si>
    <t>1161.595</t>
  </si>
  <si>
    <t>1161.7609</t>
  </si>
  <si>
    <t>1161.7662</t>
  </si>
  <si>
    <t>1278.9503</t>
  </si>
  <si>
    <t>608.1601</t>
  </si>
  <si>
    <t>608.4</t>
  </si>
  <si>
    <t>608.1602</t>
  </si>
  <si>
    <t>608.1558</t>
  </si>
  <si>
    <t>608.1606</t>
  </si>
  <si>
    <t>608.1556</t>
  </si>
  <si>
    <t>608.04</t>
  </si>
  <si>
    <t>607.94</t>
  </si>
  <si>
    <t>608.1554</t>
  </si>
  <si>
    <t>1140.095</t>
  </si>
  <si>
    <t>1161.7673</t>
  </si>
  <si>
    <t>608.1593</t>
  </si>
  <si>
    <t>603.4263</t>
  </si>
  <si>
    <t>608.16</t>
  </si>
  <si>
    <t>1161.766</t>
  </si>
  <si>
    <t>1161.7661</t>
  </si>
  <si>
    <t>1279.093</t>
  </si>
  <si>
    <t>1278.9489</t>
  </si>
  <si>
    <t>608.1591</t>
  </si>
  <si>
    <t>608.424</t>
  </si>
  <si>
    <t>608.1578</t>
  </si>
  <si>
    <t>608.1605</t>
  </si>
  <si>
    <t>1161.761</t>
  </si>
  <si>
    <t>1161.68</t>
  </si>
  <si>
    <t>759.0547</t>
  </si>
  <si>
    <t>1279.153</t>
  </si>
  <si>
    <t>608.4274</t>
  </si>
  <si>
    <t>721.1513</t>
  </si>
  <si>
    <t>721.1005</t>
  </si>
  <si>
    <t>608.1585</t>
  </si>
  <si>
    <t>608.2224</t>
  </si>
  <si>
    <t>608.1615</t>
  </si>
  <si>
    <t>608.176</t>
  </si>
  <si>
    <t>608.1836</t>
  </si>
  <si>
    <t>608.1876</t>
  </si>
  <si>
    <t>608.1893</t>
  </si>
  <si>
    <t>1279.0023</t>
  </si>
  <si>
    <t>753.148</t>
  </si>
  <si>
    <t>753.0938</t>
  </si>
  <si>
    <t>1279.098</t>
  </si>
  <si>
    <t>608.226</t>
  </si>
  <si>
    <t>608.1814</t>
  </si>
  <si>
    <t>753.0458</t>
  </si>
  <si>
    <t>754.6458</t>
  </si>
  <si>
    <t>1279</t>
  </si>
  <si>
    <t>1278.9998</t>
  </si>
  <si>
    <t>608.1775</t>
  </si>
  <si>
    <t>608.1831</t>
  </si>
  <si>
    <t>1161.8011</t>
  </si>
  <si>
    <t>608.224</t>
  </si>
  <si>
    <t>608.1757</t>
  </si>
  <si>
    <t>1161.801</t>
  </si>
  <si>
    <t>753.085</t>
  </si>
  <si>
    <t>752.191</t>
  </si>
  <si>
    <t>1278.9974</t>
  </si>
  <si>
    <t>1161.459</t>
  </si>
  <si>
    <t>608.1768</t>
  </si>
  <si>
    <t>1278.8</t>
  </si>
  <si>
    <t>752.4837</t>
  </si>
  <si>
    <t>1161.8042</t>
  </si>
  <si>
    <t>1278.9842</t>
  </si>
  <si>
    <t>1162.67</t>
  </si>
  <si>
    <t>1164.302</t>
  </si>
  <si>
    <t>608.435</t>
  </si>
  <si>
    <t>1278.9922</t>
  </si>
  <si>
    <t>608.37</t>
  </si>
  <si>
    <t>1279.131</t>
  </si>
  <si>
    <t>1162.665</t>
  </si>
  <si>
    <t>756.044</t>
  </si>
  <si>
    <t>755.271</t>
  </si>
  <si>
    <t>1162.048</t>
  </si>
  <si>
    <t>1279.152</t>
  </si>
  <si>
    <t>608.451</t>
  </si>
  <si>
    <t>1161.7711</t>
  </si>
  <si>
    <t>1161.7712</t>
  </si>
  <si>
    <t>1161.784</t>
  </si>
  <si>
    <t>1162.152</t>
  </si>
  <si>
    <t>1280.4841</t>
  </si>
  <si>
    <t>1278.955</t>
  </si>
  <si>
    <t>607.935</t>
  </si>
  <si>
    <t>1279.6913</t>
  </si>
  <si>
    <t>1161.7382</t>
  </si>
  <si>
    <t>1278.9883</t>
  </si>
  <si>
    <t>1161.798</t>
  </si>
  <si>
    <t>754.505</t>
  </si>
  <si>
    <t>1161.641</t>
  </si>
  <si>
    <t>757.021</t>
  </si>
  <si>
    <t>1279.006</t>
  </si>
  <si>
    <t>757.68446</t>
  </si>
  <si>
    <t>757.703</t>
  </si>
  <si>
    <t>756.092</t>
  </si>
  <si>
    <t>608.1742</t>
  </si>
  <si>
    <t>1278.9807</t>
  </si>
  <si>
    <t>608.1746</t>
  </si>
  <si>
    <t>757.6833</t>
  </si>
  <si>
    <t>1278.9773</t>
  </si>
  <si>
    <t>608.1747</t>
  </si>
  <si>
    <t>608.17</t>
  </si>
  <si>
    <t>608.36</t>
  </si>
  <si>
    <t>608.45</t>
  </si>
  <si>
    <t>755.238</t>
  </si>
  <si>
    <t>+800g CM021</t>
  </si>
  <si>
    <t>+300g CM021;+240.5g CM021</t>
  </si>
  <si>
    <t>+10.2g.CM480</t>
  </si>
  <si>
    <t>+12 g.CM480</t>
  </si>
  <si>
    <t>+42 g.CM480</t>
  </si>
  <si>
    <t>+18g CM480</t>
  </si>
  <si>
    <t>+12g CM480</t>
  </si>
  <si>
    <t>400 g CM131</t>
  </si>
  <si>
    <t>+14.6g.CM480</t>
  </si>
  <si>
    <t>+10g CM0480</t>
  </si>
  <si>
    <t>MI556-003-0 ; HI5007 ; HI5007-01 ; HI5700-12 ; HI6007 ; HI6007-01 ; HI7007/1G-QC ; HI7007-012 ; HI7007-023 ; HI7007-050 ; HI7007L ; HI7007L/C ; HI7007M ; HI8007L ; HI8007L/C ; HI84102-60 ; MA9007 ; AD7007 ; AD7007C ; HI5007-G36 ; HI7007BIN</t>
  </si>
  <si>
    <t>9660</t>
  </si>
  <si>
    <t>9659</t>
  </si>
  <si>
    <t>9675</t>
  </si>
  <si>
    <t>9674</t>
  </si>
  <si>
    <t>9677</t>
  </si>
  <si>
    <t>9678</t>
  </si>
  <si>
    <t>9703</t>
  </si>
  <si>
    <t>9715</t>
  </si>
  <si>
    <t>9773</t>
  </si>
  <si>
    <t>9778</t>
  </si>
  <si>
    <t>9779</t>
  </si>
  <si>
    <t>9787</t>
  </si>
  <si>
    <t>8788</t>
  </si>
  <si>
    <t>9785</t>
  </si>
  <si>
    <t>9786</t>
  </si>
  <si>
    <t>9807</t>
  </si>
  <si>
    <t>9821</t>
  </si>
  <si>
    <t>9828</t>
  </si>
  <si>
    <t>9837</t>
  </si>
  <si>
    <t>9838</t>
  </si>
  <si>
    <t>9841</t>
  </si>
  <si>
    <t>9844</t>
  </si>
  <si>
    <t>9852</t>
  </si>
  <si>
    <t>9898</t>
  </si>
  <si>
    <t>9897</t>
  </si>
  <si>
    <t>9924</t>
  </si>
  <si>
    <t>9930</t>
  </si>
  <si>
    <t>9929</t>
  </si>
  <si>
    <t>9972</t>
  </si>
  <si>
    <t>0012</t>
  </si>
  <si>
    <t>0017</t>
  </si>
  <si>
    <t>0016</t>
  </si>
  <si>
    <t>0082</t>
  </si>
  <si>
    <t>0088</t>
  </si>
  <si>
    <t>0118</t>
  </si>
  <si>
    <t>0136</t>
  </si>
  <si>
    <t>0143</t>
  </si>
  <si>
    <t>0182</t>
  </si>
  <si>
    <t>0181</t>
  </si>
  <si>
    <t>0192</t>
  </si>
  <si>
    <t>0193</t>
  </si>
  <si>
    <t>0235</t>
  </si>
  <si>
    <t>0262</t>
  </si>
  <si>
    <t>0261</t>
  </si>
  <si>
    <t>0270</t>
  </si>
  <si>
    <t>0276</t>
  </si>
  <si>
    <t>0305</t>
  </si>
  <si>
    <t>0308</t>
  </si>
  <si>
    <t>0323</t>
  </si>
  <si>
    <t>0337</t>
  </si>
  <si>
    <t>0348</t>
  </si>
  <si>
    <t>0447</t>
  </si>
  <si>
    <t>0448</t>
  </si>
  <si>
    <t>0511</t>
  </si>
  <si>
    <t>0517</t>
  </si>
  <si>
    <t>0539</t>
  </si>
  <si>
    <t>0540</t>
  </si>
  <si>
    <t>0568</t>
  </si>
  <si>
    <t>0614</t>
  </si>
  <si>
    <t>0615</t>
  </si>
  <si>
    <t>0633</t>
  </si>
  <si>
    <t>0654</t>
  </si>
  <si>
    <t>0701</t>
  </si>
  <si>
    <t>0706</t>
  </si>
  <si>
    <t>0712</t>
  </si>
  <si>
    <t>0751</t>
  </si>
  <si>
    <t>0792</t>
  </si>
  <si>
    <t>0791</t>
  </si>
  <si>
    <t>0812</t>
  </si>
  <si>
    <t>0811</t>
  </si>
  <si>
    <t>0868</t>
  </si>
  <si>
    <t>0867</t>
  </si>
  <si>
    <t>0880</t>
  </si>
  <si>
    <t>0937</t>
  </si>
  <si>
    <t>0953</t>
  </si>
  <si>
    <t>0970</t>
  </si>
  <si>
    <t>1011</t>
  </si>
  <si>
    <t>1015</t>
  </si>
  <si>
    <t>1022</t>
  </si>
  <si>
    <t>1097</t>
  </si>
  <si>
    <t>1099</t>
  </si>
  <si>
    <t>1102</t>
  </si>
  <si>
    <t>1107</t>
  </si>
  <si>
    <t>1108</t>
  </si>
  <si>
    <t>1121</t>
  </si>
  <si>
    <t>1146</t>
  </si>
  <si>
    <t>1182</t>
  </si>
  <si>
    <t>1218</t>
  </si>
  <si>
    <t>1261</t>
  </si>
  <si>
    <t>1284</t>
  </si>
  <si>
    <t>1292</t>
  </si>
  <si>
    <t>1293</t>
  </si>
  <si>
    <t>1296</t>
  </si>
  <si>
    <t>1320</t>
  </si>
  <si>
    <t>1322</t>
  </si>
  <si>
    <t>1324</t>
  </si>
  <si>
    <t>1333</t>
  </si>
  <si>
    <t>1332</t>
  </si>
  <si>
    <t>1357</t>
  </si>
  <si>
    <t>1360</t>
  </si>
  <si>
    <t>1361</t>
  </si>
  <si>
    <t>1367</t>
  </si>
  <si>
    <t>1370</t>
  </si>
  <si>
    <t>1441</t>
  </si>
  <si>
    <t>1468</t>
  </si>
  <si>
    <t>1473</t>
  </si>
  <si>
    <t>1475</t>
  </si>
  <si>
    <t>1482</t>
  </si>
  <si>
    <t>1492</t>
  </si>
  <si>
    <t>1494</t>
  </si>
  <si>
    <t>1500</t>
  </si>
  <si>
    <t>1503</t>
  </si>
  <si>
    <t>1511</t>
  </si>
  <si>
    <t>1561</t>
  </si>
  <si>
    <t>1586</t>
  </si>
  <si>
    <t>1648</t>
  </si>
  <si>
    <t>1690</t>
  </si>
  <si>
    <t>1700</t>
  </si>
  <si>
    <t>1731</t>
  </si>
  <si>
    <t>1750</t>
  </si>
  <si>
    <t>1799</t>
  </si>
  <si>
    <t>1805</t>
  </si>
  <si>
    <t>1808</t>
  </si>
  <si>
    <t>1791</t>
  </si>
  <si>
    <t>1810</t>
  </si>
  <si>
    <t>1815</t>
  </si>
  <si>
    <t>1816</t>
  </si>
  <si>
    <t>1836</t>
  </si>
  <si>
    <t>1907</t>
  </si>
  <si>
    <t>1906</t>
  </si>
  <si>
    <t>1913</t>
  </si>
  <si>
    <t>1915</t>
  </si>
  <si>
    <t>1919</t>
  </si>
  <si>
    <t>1969</t>
  </si>
  <si>
    <t>1977</t>
  </si>
  <si>
    <t>1983</t>
  </si>
  <si>
    <t>1989</t>
  </si>
  <si>
    <t>1993</t>
  </si>
  <si>
    <t>2003</t>
  </si>
  <si>
    <t>2062</t>
  </si>
  <si>
    <t>2097</t>
  </si>
  <si>
    <t>2165</t>
  </si>
  <si>
    <t>2166</t>
  </si>
  <si>
    <t>2174</t>
  </si>
  <si>
    <t>2179</t>
  </si>
  <si>
    <t>2187</t>
  </si>
  <si>
    <t>1278.09</t>
  </si>
  <si>
    <t>1277.8253</t>
  </si>
  <si>
    <t>1160.7381</t>
  </si>
  <si>
    <t>1160.11</t>
  </si>
  <si>
    <t>1278.14</t>
  </si>
  <si>
    <t>1277.8259</t>
  </si>
  <si>
    <t>607.6216</t>
  </si>
  <si>
    <t>607.6229</t>
  </si>
  <si>
    <t>607.6291</t>
  </si>
  <si>
    <t>752.19</t>
  </si>
  <si>
    <t>751.9585</t>
  </si>
  <si>
    <t>607.7</t>
  </si>
  <si>
    <t>607.6228</t>
  </si>
  <si>
    <t>1160.6</t>
  </si>
  <si>
    <t>291.2442</t>
  </si>
  <si>
    <t>1277.8213</t>
  </si>
  <si>
    <t>607.745</t>
  </si>
  <si>
    <t>1277.8211</t>
  </si>
  <si>
    <t>1278.12</t>
  </si>
  <si>
    <t>1277.8258</t>
  </si>
  <si>
    <t>607.6263</t>
  </si>
  <si>
    <t>1161.11</t>
  </si>
  <si>
    <t>1160.7415</t>
  </si>
  <si>
    <t>607.624</t>
  </si>
  <si>
    <t>607.6244</t>
  </si>
  <si>
    <t>1277.95</t>
  </si>
  <si>
    <t>1277.8219</t>
  </si>
  <si>
    <t>1160.7427</t>
  </si>
  <si>
    <t>607.6237</t>
  </si>
  <si>
    <t>1160.7395</t>
  </si>
  <si>
    <t>1160.738</t>
  </si>
  <si>
    <t>1278.474</t>
  </si>
  <si>
    <t>1160.884</t>
  </si>
  <si>
    <t>607.6238</t>
  </si>
  <si>
    <t>1161.38</t>
  </si>
  <si>
    <t>1277.8235</t>
  </si>
  <si>
    <t>1160.748</t>
  </si>
  <si>
    <t>607.658</t>
  </si>
  <si>
    <t>1160.775</t>
  </si>
  <si>
    <t>1160.81</t>
  </si>
  <si>
    <t>607.6619</t>
  </si>
  <si>
    <t>608.079</t>
  </si>
  <si>
    <t>1277.8711</t>
  </si>
  <si>
    <t>604.655</t>
  </si>
  <si>
    <t>607.6498</t>
  </si>
  <si>
    <t>1277.8948</t>
  </si>
  <si>
    <t>1165.7932</t>
  </si>
  <si>
    <t>607.6481</t>
  </si>
  <si>
    <t>1160.7882</t>
  </si>
  <si>
    <t>607.6496</t>
  </si>
  <si>
    <t>608.065</t>
  </si>
  <si>
    <t>1160.874</t>
  </si>
  <si>
    <t>1160.776</t>
  </si>
  <si>
    <t>608.06</t>
  </si>
  <si>
    <t>607.6246</t>
  </si>
  <si>
    <t>607.6232</t>
  </si>
  <si>
    <t>1160.87</t>
  </si>
  <si>
    <t>607.735</t>
  </si>
  <si>
    <t>753.863</t>
  </si>
  <si>
    <t>1277.8254</t>
  </si>
  <si>
    <t>1278.03</t>
  </si>
  <si>
    <t>607.693</t>
  </si>
  <si>
    <t>1160.75</t>
  </si>
  <si>
    <t>759.796</t>
  </si>
  <si>
    <t>607.6584</t>
  </si>
  <si>
    <t>607.959</t>
  </si>
  <si>
    <t>607.6249</t>
  </si>
  <si>
    <t>757.0007</t>
  </si>
  <si>
    <t>1160.7383</t>
  </si>
  <si>
    <t>1160.79</t>
  </si>
  <si>
    <t>756.746</t>
  </si>
  <si>
    <t>1278.37</t>
  </si>
  <si>
    <t>1277.8931</t>
  </si>
  <si>
    <t>757.0005</t>
  </si>
  <si>
    <t>607.839</t>
  </si>
  <si>
    <t>1277.8362</t>
  </si>
  <si>
    <t>607.769</t>
  </si>
  <si>
    <t>1160.785</t>
  </si>
  <si>
    <t>755.786</t>
  </si>
  <si>
    <t>1278.364</t>
  </si>
  <si>
    <t>607.849</t>
  </si>
  <si>
    <t>1277.9</t>
  </si>
  <si>
    <t>608.1</t>
  </si>
  <si>
    <t>755.998</t>
  </si>
  <si>
    <t>607.6225</t>
  </si>
  <si>
    <t>1277.471</t>
  </si>
  <si>
    <t>756.003</t>
  </si>
  <si>
    <t>756.847</t>
  </si>
  <si>
    <t>1277.8247</t>
  </si>
  <si>
    <t>756.9949</t>
  </si>
  <si>
    <t>1160.7367</t>
  </si>
  <si>
    <t>1160.7372</t>
  </si>
  <si>
    <t>1277.8206</t>
  </si>
  <si>
    <t>1160.7365</t>
  </si>
  <si>
    <t>1277.82</t>
  </si>
  <si>
    <t>1160.67</t>
  </si>
  <si>
    <t>1160.894</t>
  </si>
  <si>
    <t>1278.469</t>
  </si>
  <si>
    <t>755.771</t>
  </si>
  <si>
    <t>1160.8</t>
  </si>
  <si>
    <t>1277.8226</t>
  </si>
  <si>
    <t>1160.7338</t>
  </si>
  <si>
    <t>1277.8214</t>
  </si>
  <si>
    <t>1160.7442</t>
  </si>
  <si>
    <t>1277.8278</t>
  </si>
  <si>
    <t>755.983</t>
  </si>
  <si>
    <t>1277.954</t>
  </si>
  <si>
    <t>1160.768</t>
  </si>
  <si>
    <t>1261.7724</t>
  </si>
  <si>
    <t>1271.8254</t>
  </si>
  <si>
    <t>1155.7416</t>
  </si>
  <si>
    <t>608.0251</t>
  </si>
  <si>
    <t>-;+6g CM022</t>
  </si>
  <si>
    <t>+32g CM023</t>
  </si>
  <si>
    <t>+5 g. CM022;-</t>
  </si>
  <si>
    <t>+65 g.CM023;-</t>
  </si>
  <si>
    <t>+66 g.CM023;+6 g.CM022</t>
  </si>
  <si>
    <t>+15 g. CM023</t>
  </si>
  <si>
    <t>-;+3g CM022;+3g CM022;-</t>
  </si>
  <si>
    <t>+4.1g CM022;-</t>
  </si>
  <si>
    <t>+5.2 g.CM022</t>
  </si>
  <si>
    <t>+9 g. CM022</t>
  </si>
  <si>
    <t>+20g CM023</t>
  </si>
  <si>
    <t>9701</t>
  </si>
  <si>
    <t>9722</t>
  </si>
  <si>
    <t>9751</t>
  </si>
  <si>
    <t>9753</t>
  </si>
  <si>
    <t>9881</t>
  </si>
  <si>
    <t>9882</t>
  </si>
  <si>
    <t>0013</t>
  </si>
  <si>
    <t>0014</t>
  </si>
  <si>
    <t>0035</t>
  </si>
  <si>
    <t>0048</t>
  </si>
  <si>
    <t>0058</t>
  </si>
  <si>
    <t>0074</t>
  </si>
  <si>
    <t>0075</t>
  </si>
  <si>
    <t>0293</t>
  </si>
  <si>
    <t>0292</t>
  </si>
  <si>
    <t>0351</t>
  </si>
  <si>
    <t>0592</t>
  </si>
  <si>
    <t>0646</t>
  </si>
  <si>
    <t>0645</t>
  </si>
  <si>
    <t>0667</t>
  </si>
  <si>
    <t>0715</t>
  </si>
  <si>
    <t>0765</t>
  </si>
  <si>
    <t>0764</t>
  </si>
  <si>
    <t>0796</t>
  </si>
  <si>
    <t>0810</t>
  </si>
  <si>
    <t>0809</t>
  </si>
  <si>
    <t>0988</t>
  </si>
  <si>
    <t>1054</t>
  </si>
  <si>
    <t>1075</t>
  </si>
  <si>
    <t>1085</t>
  </si>
  <si>
    <t>1137</t>
  </si>
  <si>
    <t>1168</t>
  </si>
  <si>
    <t>1221</t>
  </si>
  <si>
    <t>1269</t>
  </si>
  <si>
    <t>1273</t>
  </si>
  <si>
    <t>1275</t>
  </si>
  <si>
    <t>1311</t>
  </si>
  <si>
    <t>1316</t>
  </si>
  <si>
    <t>1349</t>
  </si>
  <si>
    <t>1399</t>
  </si>
  <si>
    <t>1421</t>
  </si>
  <si>
    <t>1426</t>
  </si>
  <si>
    <t>1480</t>
  </si>
  <si>
    <t>1504</t>
  </si>
  <si>
    <t>1562</t>
  </si>
  <si>
    <t>1563</t>
  </si>
  <si>
    <t>1641</t>
  </si>
  <si>
    <t>1712</t>
  </si>
  <si>
    <t>1745</t>
  </si>
  <si>
    <t>1781</t>
  </si>
  <si>
    <t>1855</t>
  </si>
  <si>
    <t>1871</t>
  </si>
  <si>
    <t>1875</t>
  </si>
  <si>
    <t>1883</t>
  </si>
  <si>
    <t>1926</t>
  </si>
  <si>
    <t>1929</t>
  </si>
  <si>
    <t>2059</t>
  </si>
  <si>
    <t>2068</t>
  </si>
  <si>
    <t>2069</t>
  </si>
  <si>
    <t>2092</t>
  </si>
  <si>
    <t>2184</t>
  </si>
  <si>
    <t>605.045</t>
  </si>
  <si>
    <t>604.738</t>
  </si>
  <si>
    <t>1155.4793</t>
  </si>
  <si>
    <t>604.8632</t>
  </si>
  <si>
    <t>1272</t>
  </si>
  <si>
    <t>1272.0491</t>
  </si>
  <si>
    <t>605.002</t>
  </si>
  <si>
    <t>604.8809</t>
  </si>
  <si>
    <t>1272.0665</t>
  </si>
  <si>
    <t>604.8805</t>
  </si>
  <si>
    <t>604.8811</t>
  </si>
  <si>
    <t>605.1523</t>
  </si>
  <si>
    <t>604.8795</t>
  </si>
  <si>
    <t>605.381</t>
  </si>
  <si>
    <t>604.8873</t>
  </si>
  <si>
    <t>604.882</t>
  </si>
  <si>
    <t>57.4738</t>
  </si>
  <si>
    <t>1155.597</t>
  </si>
  <si>
    <t>1155.5355</t>
  </si>
  <si>
    <t>125.5076</t>
  </si>
  <si>
    <t>762.0444</t>
  </si>
  <si>
    <t>604.057</t>
  </si>
  <si>
    <t>604.8783</t>
  </si>
  <si>
    <t>604.879</t>
  </si>
  <si>
    <t>1272.154</t>
  </si>
  <si>
    <t>1272.0541</t>
  </si>
  <si>
    <t>50.6396</t>
  </si>
  <si>
    <t>753.9921</t>
  </si>
  <si>
    <t>604.799</t>
  </si>
  <si>
    <t>1272.0535</t>
  </si>
  <si>
    <t>1272.181</t>
  </si>
  <si>
    <t>1272.1321</t>
  </si>
  <si>
    <t>1155.5788</t>
  </si>
  <si>
    <t>1155.5308</t>
  </si>
  <si>
    <t>753.6138</t>
  </si>
  <si>
    <t>300.009</t>
  </si>
  <si>
    <t>754.018</t>
  </si>
  <si>
    <t>1272.1</t>
  </si>
  <si>
    <t>294.4107</t>
  </si>
  <si>
    <t>91.6104</t>
  </si>
  <si>
    <t>1155.4828</t>
  </si>
  <si>
    <t>753.5721</t>
  </si>
  <si>
    <t>1156.032</t>
  </si>
  <si>
    <t>604.8669</t>
  </si>
  <si>
    <t>604.8729</t>
  </si>
  <si>
    <t>753.5805</t>
  </si>
  <si>
    <t>604.827</t>
  </si>
  <si>
    <t>124.466822</t>
  </si>
  <si>
    <t>290.019</t>
  </si>
  <si>
    <t>1272.042</t>
  </si>
  <si>
    <t>604.8835</t>
  </si>
  <si>
    <t>604.8888</t>
  </si>
  <si>
    <t>1155.5288</t>
  </si>
  <si>
    <t>1272.0625</t>
  </si>
  <si>
    <t>1272.01</t>
  </si>
  <si>
    <t>752.234</t>
  </si>
  <si>
    <t>300.014</t>
  </si>
  <si>
    <t>1272.0722</t>
  </si>
  <si>
    <t>1155.5078</t>
  </si>
  <si>
    <t>604.9228</t>
  </si>
  <si>
    <t>604.9828</t>
  </si>
  <si>
    <t>+21 g.CM029</t>
  </si>
  <si>
    <t>-;+8g CM029</t>
  </si>
  <si>
    <t>-;+17g CM029</t>
  </si>
  <si>
    <t>+75 g.CM029;+15.1 g.CM029</t>
  </si>
  <si>
    <t>+15 g. CM029;-</t>
  </si>
  <si>
    <t>+6 g. CM029;-</t>
  </si>
  <si>
    <t>-;+8 g.CM030;+8 g. CM030;+5 g. CM030;+8g CM030;-</t>
  </si>
  <si>
    <t>+10 g.CM030;+10 g. CM030;-</t>
  </si>
  <si>
    <t>+10g CM029;+1.3222g CM30;-</t>
  </si>
  <si>
    <t>+3g CM029;-</t>
  </si>
  <si>
    <t>+12g CM029</t>
  </si>
  <si>
    <t>+8g CM029;+8g CM029;-</t>
  </si>
  <si>
    <t>+12g CM029;+14g CM029;-</t>
  </si>
  <si>
    <t>+20g CM029</t>
  </si>
  <si>
    <t>+35g CM029;-</t>
  </si>
  <si>
    <t>+15g CM029;+20g CM030;-</t>
  </si>
  <si>
    <t>CM029</t>
  </si>
  <si>
    <t>CM480</t>
  </si>
  <si>
    <t>CM021</t>
  </si>
  <si>
    <t>;+1.5g CM480;</t>
  </si>
  <si>
    <t>;+1.5g CM480</t>
  </si>
  <si>
    <t>;+30g CM480;+3g CM480</t>
  </si>
  <si>
    <t>+6.5g CM480;</t>
  </si>
  <si>
    <t>;+5.4g CM480;+2.7gCM480;</t>
  </si>
  <si>
    <t>+1500g CM021;+200g CM021;+100g CM021;;+200g CM021</t>
  </si>
  <si>
    <t>+1500g CM021;+200g CM021;+100g CM021;+200g CM021;</t>
  </si>
  <si>
    <t>+29.6 g. CM480;</t>
  </si>
  <si>
    <t>+4g CM480;</t>
  </si>
  <si>
    <t>;+1000g CM021;</t>
  </si>
  <si>
    <t>;+500g CM021</t>
  </si>
  <si>
    <t>;+500g CM021;</t>
  </si>
  <si>
    <t>+250g.CM021;</t>
  </si>
  <si>
    <t>+ 6.6g CM480;</t>
  </si>
  <si>
    <t>+6g CM480;</t>
  </si>
  <si>
    <t>+10 g.CM480;</t>
  </si>
  <si>
    <t>+300g. CM021;</t>
  </si>
  <si>
    <t>+2000 g.CM021;+500g CM021;</t>
  </si>
  <si>
    <t>+3.5 g.CM480;</t>
  </si>
  <si>
    <t>+10g CM480;</t>
  </si>
  <si>
    <t>+1500g CM021;</t>
  </si>
  <si>
    <t>+700g CM021;</t>
  </si>
  <si>
    <t>3.952 pH, 3.985 pH</t>
  </si>
  <si>
    <t>3.940 pH, 3.998 pH</t>
  </si>
  <si>
    <t>4.004 pH</t>
  </si>
  <si>
    <t>1.704 pH, 1.706 pH, 1.691 pH, 1.693 pH,1.684 pH</t>
  </si>
  <si>
    <t>1.713 pH, 1.696 pH</t>
  </si>
  <si>
    <t>1.708 pH</t>
  </si>
  <si>
    <t>1.713 pH, 1.790 pH</t>
  </si>
  <si>
    <t>1.707 pH</t>
  </si>
  <si>
    <t>1.685 pH</t>
  </si>
  <si>
    <t>4.005 pH</t>
  </si>
  <si>
    <t>3.993 pH</t>
  </si>
  <si>
    <t>3.965 pH</t>
  </si>
  <si>
    <t>3.953 pH, 4.002 pH</t>
  </si>
  <si>
    <t>3.918 pH, 3.974 pH</t>
  </si>
  <si>
    <t>3.974 pH</t>
  </si>
  <si>
    <t>4.072 pH, 4.027 pH, 4.020 pH, 4.018 pH</t>
  </si>
  <si>
    <t>3.966 pH</t>
  </si>
  <si>
    <t>CM131</t>
  </si>
  <si>
    <t>4.002 pH</t>
  </si>
  <si>
    <t>3.997 pH</t>
  </si>
  <si>
    <t>4.000 pH</t>
  </si>
  <si>
    <t>3.958 pH</t>
  </si>
  <si>
    <t>4.016 pH</t>
  </si>
  <si>
    <t>4.020 pH, 4016 pH</t>
  </si>
  <si>
    <t>4.042 pH, 4.018 pH</t>
  </si>
  <si>
    <t>4.025 pH</t>
  </si>
  <si>
    <t>3.971 pH</t>
  </si>
  <si>
    <t>3.999 pH</t>
  </si>
  <si>
    <t>3.990 pH</t>
  </si>
  <si>
    <t>4.004 pH, 4.016 pH</t>
  </si>
  <si>
    <t>3.998 pH</t>
  </si>
  <si>
    <t>4.018 pH</t>
  </si>
  <si>
    <t>3.992 pH</t>
  </si>
  <si>
    <t>4.001 pH</t>
  </si>
  <si>
    <t>4.022 pH</t>
  </si>
  <si>
    <t>3.939 pH</t>
  </si>
  <si>
    <t>3.984 pH</t>
  </si>
  <si>
    <t>7.001 pH</t>
  </si>
  <si>
    <t>6.998 pH</t>
  </si>
  <si>
    <t>CM023</t>
  </si>
  <si>
    <t>CM022</t>
  </si>
  <si>
    <t>CM022, CM023</t>
  </si>
  <si>
    <t>CM023, CM022</t>
  </si>
  <si>
    <t>7.002 pH</t>
  </si>
  <si>
    <t>7.000 pH</t>
  </si>
  <si>
    <t>7.019 pH</t>
  </si>
  <si>
    <t>7.027 pH</t>
  </si>
  <si>
    <t>7.022 pH, 7.019 pH</t>
  </si>
  <si>
    <t>7.003 pH</t>
  </si>
  <si>
    <t>7.016 pH</t>
  </si>
  <si>
    <t>7.021 pH, 7.016 pH</t>
  </si>
  <si>
    <t>7.020 pH, 7.016 pH</t>
  </si>
  <si>
    <t>7.017pH</t>
  </si>
  <si>
    <t>7.020 pH</t>
  </si>
  <si>
    <t>7.003 pH, 7.003 pH</t>
  </si>
  <si>
    <t>6.999 pH, 7.017 pH</t>
  </si>
  <si>
    <t>7.004 pH</t>
  </si>
  <si>
    <t>7.017 pH</t>
  </si>
  <si>
    <t>7.016 pH, 7.015 pH</t>
  </si>
  <si>
    <t xml:space="preserve">7.019 pH, 7.022 pH </t>
  </si>
  <si>
    <t>7.024 pH</t>
  </si>
  <si>
    <t>CM029, CM030</t>
  </si>
  <si>
    <t>Used in</t>
  </si>
  <si>
    <t>pH 1.68</t>
  </si>
  <si>
    <t>pH 4.01</t>
  </si>
  <si>
    <t>pH 7.01</t>
  </si>
  <si>
    <t>pH 10.01</t>
  </si>
  <si>
    <t>CM030</t>
  </si>
  <si>
    <t>10.004 pH, 9.994 pH</t>
  </si>
  <si>
    <t>10.004 pH, 10.004 pH</t>
  </si>
  <si>
    <t>10.005 pH</t>
  </si>
  <si>
    <t>9.998 pH, 10.001 pH</t>
  </si>
  <si>
    <t>10.001 pH</t>
  </si>
  <si>
    <t>9.999 pH</t>
  </si>
  <si>
    <t>9.997 pH</t>
  </si>
  <si>
    <t>10.004 pH</t>
  </si>
  <si>
    <t>10.085 pH, 10.037 pH</t>
  </si>
  <si>
    <t>10.000 pH</t>
  </si>
  <si>
    <t>10.029 pH</t>
  </si>
  <si>
    <t>10.020 pH, 10.004 pH</t>
  </si>
  <si>
    <t>9.998 pH</t>
  </si>
  <si>
    <t>10.070 pH, 10.038 pH</t>
  </si>
  <si>
    <t>9.979 pH, 9.996 pH</t>
  </si>
  <si>
    <t>9.993 pH</t>
  </si>
  <si>
    <t>10.003 pH</t>
  </si>
  <si>
    <t>10.002 pH</t>
  </si>
  <si>
    <t>10.019 pH, 10.016 pH, 10.017 pH</t>
  </si>
  <si>
    <t>10.019 pH</t>
  </si>
  <si>
    <t>9.999 pH, 10.020 pH</t>
  </si>
  <si>
    <t>9.996 pH, 10.003 pH</t>
  </si>
  <si>
    <t>10.001 pH, 10.004 pH</t>
  </si>
  <si>
    <t>10.020 pH</t>
  </si>
  <si>
    <t>QUANTITY
PRODUCED [Kg]</t>
  </si>
  <si>
    <t>corr CM
 [%]</t>
  </si>
  <si>
    <t>corr CM
 [g]</t>
  </si>
  <si>
    <t xml:space="preserve">CM
 Code </t>
  </si>
  <si>
    <t>CM USED
 FOR CORRECTION</t>
  </si>
  <si>
    <t>pH Value: 10.01</t>
  </si>
  <si>
    <t>pH Value: 7.01</t>
  </si>
  <si>
    <t>pH Value: 1.68</t>
  </si>
  <si>
    <t>pH Value: 4.01</t>
  </si>
  <si>
    <t>FIRST QC FAILED
(excel record book)</t>
  </si>
  <si>
    <t>CM030, CM029</t>
  </si>
  <si>
    <t>SODIUM CARBONATE</t>
  </si>
  <si>
    <t>497-19-8</t>
  </si>
  <si>
    <t>SODIUM HYDROGEN CARBONATE</t>
  </si>
  <si>
    <t>144-55-8</t>
  </si>
  <si>
    <t>POTASSIUM DIHYDROGEN PHOSPHATE</t>
  </si>
  <si>
    <t>7778-77-0</t>
  </si>
  <si>
    <t>7558-79-4</t>
  </si>
  <si>
    <t>DI-SODIUM HYDROGEN PHOSPHATE</t>
  </si>
  <si>
    <t>HIAMINE</t>
  </si>
  <si>
    <t>121-54-0</t>
  </si>
  <si>
    <t>877-24-7</t>
  </si>
  <si>
    <t>POTASSIUM HYDROGEN PHTHALATE</t>
  </si>
  <si>
    <t>POTASSIUM TETRAOXALATE DIHYDRATE</t>
  </si>
  <si>
    <t>6100-20-5</t>
  </si>
  <si>
    <t>POTASSIUM HYDROXIDE 90%</t>
  </si>
  <si>
    <t>1310-58-3</t>
  </si>
  <si>
    <t>Nr.</t>
  </si>
  <si>
    <t>Variance from the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</si>
</sst>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%"/>
    <numFmt numFmtId="165" formatCode="0.00000%"/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2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0" xfId="0" applyFont="1"/>
    <xf numFmtId="0" fontId="5" fillId="0" borderId="1" xfId="0" applyFont="1" applyBorder="1" applyAlignment="1" applyProtection="1">
      <alignment horizontal="left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 wrapText="1"/>
      <protection locked="0"/>
    </xf>
    <xf numFmtId="166" fontId="5" fillId="0" borderId="1" xfId="0" applyNumberFormat="1" applyFont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164" fontId="0" fillId="0" borderId="1" xfId="1" applyNumberFormat="1" applyFont="1" applyBorder="1" applyAlignment="1">
      <alignment horizontal="center" vertical="center" wrapText="1"/>
    </xf>
    <xf numFmtId="164" fontId="1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0" fillId="0" borderId="1" xfId="1" applyNumberFormat="1" applyFont="1" applyBorder="1" applyAlignment="1">
      <alignment horizontal="center" vertical="center" wrapText="1"/>
    </xf>
    <xf numFmtId="165" fontId="1" fillId="0" borderId="1" xfId="1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0" quotePrefix="1" applyFont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6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3"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98197-EA49-483C-9E4D-C1B3C28E42A9}">
  <dimension ref="A1:I22"/>
  <sheetViews>
    <sheetView workbookViewId="0">
      <pane ySplit="5" topLeftCell="A6" activePane="bottomLeft" state="frozen"/>
      <selection pane="bottomLeft" activeCell="H19" sqref="H19"/>
    </sheetView>
  </sheetViews>
  <sheetFormatPr defaultRowHeight="14.5" x14ac:dyDescent="0.35"/>
  <cols>
    <col min="1" max="1" width="51.36328125" customWidth="1"/>
    <col min="2" max="2" width="8.6328125" bestFit="1" customWidth="1"/>
    <col min="3" max="3" width="10.36328125" bestFit="1" customWidth="1"/>
    <col min="4" max="4" width="19" bestFit="1" customWidth="1"/>
    <col min="5" max="5" width="26" bestFit="1" customWidth="1"/>
    <col min="6" max="6" width="26.08984375" customWidth="1"/>
    <col min="7" max="7" width="10.1796875" bestFit="1" customWidth="1"/>
    <col min="8" max="9" width="12.08984375" bestFit="1" customWidth="1"/>
  </cols>
  <sheetData>
    <row r="1" spans="1:9" x14ac:dyDescent="0.35">
      <c r="A1" s="24" t="s">
        <v>3</v>
      </c>
      <c r="B1" s="24"/>
      <c r="C1" s="24"/>
      <c r="D1" s="24"/>
      <c r="E1" s="4" t="s">
        <v>231</v>
      </c>
    </row>
    <row r="2" spans="1:9" x14ac:dyDescent="0.35">
      <c r="A2" s="16"/>
      <c r="B2" s="16"/>
      <c r="C2" s="16"/>
      <c r="D2" s="16"/>
      <c r="E2" s="4" t="s">
        <v>1078</v>
      </c>
      <c r="F2" s="4"/>
    </row>
    <row r="4" spans="1:9" s="1" customFormat="1" ht="29" x14ac:dyDescent="0.35">
      <c r="A4" s="2" t="s">
        <v>1</v>
      </c>
      <c r="B4" s="3" t="s">
        <v>0</v>
      </c>
      <c r="C4" s="3" t="s">
        <v>2</v>
      </c>
      <c r="D4" s="3" t="s">
        <v>1071</v>
      </c>
      <c r="E4" s="3" t="s">
        <v>1080</v>
      </c>
      <c r="F4" s="3" t="s">
        <v>1075</v>
      </c>
      <c r="G4" s="3" t="s">
        <v>1074</v>
      </c>
      <c r="H4" s="3" t="s">
        <v>1072</v>
      </c>
      <c r="I4" s="3" t="s">
        <v>1073</v>
      </c>
    </row>
    <row r="5" spans="1:9" x14ac:dyDescent="0.35">
      <c r="A5" s="7" t="s">
        <v>235</v>
      </c>
      <c r="B5" s="8" t="s">
        <v>236</v>
      </c>
      <c r="C5" s="9">
        <v>45331</v>
      </c>
      <c r="D5" s="8" t="s">
        <v>254</v>
      </c>
      <c r="E5" s="10"/>
      <c r="F5" s="8"/>
      <c r="G5" s="10"/>
      <c r="H5" s="11" t="str">
        <f t="shared" ref="H5:H15" si="0">IF(I5=0,"",I5/(D5*1000))</f>
        <v/>
      </c>
      <c r="I5" s="10"/>
    </row>
    <row r="6" spans="1:9" x14ac:dyDescent="0.35">
      <c r="A6" s="7" t="s">
        <v>235</v>
      </c>
      <c r="B6" s="8" t="s">
        <v>237</v>
      </c>
      <c r="C6" s="9">
        <v>45364</v>
      </c>
      <c r="D6" s="8" t="s">
        <v>255</v>
      </c>
      <c r="E6" s="10"/>
      <c r="F6" s="8"/>
      <c r="G6" s="10"/>
      <c r="H6" s="11" t="str">
        <f t="shared" si="0"/>
        <v/>
      </c>
      <c r="I6" s="10"/>
    </row>
    <row r="7" spans="1:9" x14ac:dyDescent="0.35">
      <c r="A7" s="7" t="s">
        <v>235</v>
      </c>
      <c r="B7" s="8" t="s">
        <v>238</v>
      </c>
      <c r="C7" s="9">
        <v>45406</v>
      </c>
      <c r="D7" s="8" t="s">
        <v>256</v>
      </c>
      <c r="E7" s="10"/>
      <c r="F7" s="8"/>
      <c r="G7" s="10"/>
      <c r="H7" s="11" t="str">
        <f t="shared" si="0"/>
        <v/>
      </c>
      <c r="I7" s="10"/>
    </row>
    <row r="8" spans="1:9" x14ac:dyDescent="0.35">
      <c r="A8" s="7" t="s">
        <v>235</v>
      </c>
      <c r="B8" s="8" t="s">
        <v>239</v>
      </c>
      <c r="C8" s="9">
        <v>45427</v>
      </c>
      <c r="D8" s="8" t="s">
        <v>257</v>
      </c>
      <c r="E8" s="10"/>
      <c r="F8" s="8"/>
      <c r="G8" s="10"/>
      <c r="H8" s="11" t="str">
        <f t="shared" si="0"/>
        <v/>
      </c>
      <c r="I8" s="10"/>
    </row>
    <row r="9" spans="1:9" x14ac:dyDescent="0.35">
      <c r="A9" s="7" t="s">
        <v>235</v>
      </c>
      <c r="B9" s="8" t="s">
        <v>240</v>
      </c>
      <c r="C9" s="9">
        <v>45456</v>
      </c>
      <c r="D9" s="8" t="s">
        <v>258</v>
      </c>
      <c r="E9" s="10"/>
      <c r="F9" s="8"/>
      <c r="G9" s="10"/>
      <c r="H9" s="11" t="str">
        <f t="shared" si="0"/>
        <v/>
      </c>
      <c r="I9" s="10"/>
    </row>
    <row r="10" spans="1:9" x14ac:dyDescent="0.35">
      <c r="A10" s="7" t="s">
        <v>235</v>
      </c>
      <c r="B10" s="8" t="s">
        <v>241</v>
      </c>
      <c r="C10" s="9">
        <v>45492</v>
      </c>
      <c r="D10" s="8" t="s">
        <v>259</v>
      </c>
      <c r="E10" s="10"/>
      <c r="F10" s="8"/>
      <c r="G10" s="10"/>
      <c r="H10" s="11" t="str">
        <f t="shared" si="0"/>
        <v/>
      </c>
      <c r="I10" s="10"/>
    </row>
    <row r="11" spans="1:9" x14ac:dyDescent="0.35">
      <c r="A11" s="7" t="s">
        <v>235</v>
      </c>
      <c r="B11" s="8" t="s">
        <v>242</v>
      </c>
      <c r="C11" s="9">
        <v>45586</v>
      </c>
      <c r="D11" s="8" t="s">
        <v>260</v>
      </c>
      <c r="E11" s="10"/>
      <c r="F11" s="8"/>
      <c r="G11" s="10"/>
      <c r="H11" s="11" t="str">
        <f t="shared" si="0"/>
        <v/>
      </c>
      <c r="I11" s="10"/>
    </row>
    <row r="12" spans="1:9" x14ac:dyDescent="0.35">
      <c r="A12" s="7" t="s">
        <v>235</v>
      </c>
      <c r="B12" s="8" t="s">
        <v>243</v>
      </c>
      <c r="C12" s="9">
        <v>45596</v>
      </c>
      <c r="D12" s="8" t="s">
        <v>261</v>
      </c>
      <c r="E12" s="10"/>
      <c r="F12" s="8"/>
      <c r="G12" s="10"/>
      <c r="H12" s="11" t="str">
        <f t="shared" si="0"/>
        <v/>
      </c>
      <c r="I12" s="10"/>
    </row>
    <row r="13" spans="1:9" x14ac:dyDescent="0.35">
      <c r="A13" s="7" t="s">
        <v>235</v>
      </c>
      <c r="B13" s="8" t="s">
        <v>244</v>
      </c>
      <c r="C13" s="9">
        <v>45638</v>
      </c>
      <c r="D13" s="8" t="s">
        <v>262</v>
      </c>
      <c r="E13" s="10"/>
      <c r="F13" s="8"/>
      <c r="G13" s="10"/>
      <c r="H13" s="11" t="str">
        <f t="shared" si="0"/>
        <v/>
      </c>
      <c r="I13" s="10"/>
    </row>
    <row r="14" spans="1:9" x14ac:dyDescent="0.35">
      <c r="A14" s="7" t="s">
        <v>235</v>
      </c>
      <c r="B14" s="8" t="s">
        <v>245</v>
      </c>
      <c r="C14" s="9">
        <v>45698</v>
      </c>
      <c r="D14" s="8" t="s">
        <v>263</v>
      </c>
      <c r="E14" s="10"/>
      <c r="F14" s="8"/>
      <c r="G14" s="10"/>
      <c r="H14" s="11" t="str">
        <f t="shared" si="0"/>
        <v/>
      </c>
      <c r="I14" s="10"/>
    </row>
    <row r="15" spans="1:9" x14ac:dyDescent="0.35">
      <c r="A15" s="7" t="s">
        <v>235</v>
      </c>
      <c r="B15" s="8" t="s">
        <v>246</v>
      </c>
      <c r="C15" s="9">
        <v>45713</v>
      </c>
      <c r="D15" s="8" t="s">
        <v>264</v>
      </c>
      <c r="E15" s="10"/>
      <c r="F15" s="8"/>
      <c r="G15" s="10"/>
      <c r="H15" s="11" t="str">
        <f t="shared" si="0"/>
        <v/>
      </c>
      <c r="I15" s="10"/>
    </row>
    <row r="16" spans="1:9" ht="43.5" x14ac:dyDescent="0.35">
      <c r="A16" s="7" t="s">
        <v>235</v>
      </c>
      <c r="B16" s="8" t="s">
        <v>247</v>
      </c>
      <c r="C16" s="9">
        <v>45727</v>
      </c>
      <c r="D16" s="8" t="s">
        <v>265</v>
      </c>
      <c r="E16" s="3" t="s">
        <v>982</v>
      </c>
      <c r="F16" s="8" t="s">
        <v>272</v>
      </c>
      <c r="G16" s="3" t="s">
        <v>281</v>
      </c>
      <c r="H16" s="12">
        <f>IF(I16=0,"",I16/(D16*1000))</f>
        <v>6.9636449707389701E-4</v>
      </c>
      <c r="I16" s="3">
        <v>162.4</v>
      </c>
    </row>
    <row r="17" spans="1:9" x14ac:dyDescent="0.35">
      <c r="A17" s="7" t="s">
        <v>235</v>
      </c>
      <c r="B17" s="8" t="s">
        <v>248</v>
      </c>
      <c r="C17" s="9">
        <v>45777</v>
      </c>
      <c r="D17" s="8" t="s">
        <v>266</v>
      </c>
      <c r="E17" s="3" t="s">
        <v>983</v>
      </c>
      <c r="F17" s="8" t="s">
        <v>273</v>
      </c>
      <c r="G17" s="3" t="s">
        <v>281</v>
      </c>
      <c r="H17" s="12">
        <f t="shared" ref="H17:H22" si="1">IF(I17=0,"",I17/(D17*1000))</f>
        <v>1.4520087161179211E-3</v>
      </c>
      <c r="I17" s="3">
        <v>20</v>
      </c>
    </row>
    <row r="18" spans="1:9" x14ac:dyDescent="0.35">
      <c r="A18" s="7" t="s">
        <v>235</v>
      </c>
      <c r="B18" s="8" t="s">
        <v>249</v>
      </c>
      <c r="C18" s="9">
        <v>45800</v>
      </c>
      <c r="D18" s="8" t="s">
        <v>267</v>
      </c>
      <c r="E18" s="3" t="s">
        <v>984</v>
      </c>
      <c r="F18" s="8" t="s">
        <v>274</v>
      </c>
      <c r="G18" s="3" t="s">
        <v>281</v>
      </c>
      <c r="H18" s="12">
        <f t="shared" si="1"/>
        <v>1.1250389184974713E-3</v>
      </c>
      <c r="I18" s="3">
        <v>258</v>
      </c>
    </row>
    <row r="19" spans="1:9" x14ac:dyDescent="0.35">
      <c r="A19" s="7" t="s">
        <v>235</v>
      </c>
      <c r="B19" s="8" t="s">
        <v>250</v>
      </c>
      <c r="C19" s="9">
        <v>45819</v>
      </c>
      <c r="D19" s="8" t="s">
        <v>268</v>
      </c>
      <c r="E19" s="3" t="s">
        <v>985</v>
      </c>
      <c r="F19" s="8" t="s">
        <v>275</v>
      </c>
      <c r="G19" s="3" t="s">
        <v>281</v>
      </c>
      <c r="H19" s="12">
        <f t="shared" si="1"/>
        <v>1.9268415426761337E-3</v>
      </c>
      <c r="I19" s="3">
        <v>28</v>
      </c>
    </row>
    <row r="20" spans="1:9" x14ac:dyDescent="0.35">
      <c r="A20" s="7" t="s">
        <v>235</v>
      </c>
      <c r="B20" s="8" t="s">
        <v>251</v>
      </c>
      <c r="C20" s="9">
        <v>45831</v>
      </c>
      <c r="D20" s="8" t="s">
        <v>269</v>
      </c>
      <c r="E20" s="3" t="s">
        <v>986</v>
      </c>
      <c r="F20" s="8" t="s">
        <v>276</v>
      </c>
      <c r="G20" s="3" t="s">
        <v>281</v>
      </c>
      <c r="H20" s="12">
        <f t="shared" si="1"/>
        <v>1.0649393459699584E-3</v>
      </c>
      <c r="I20" s="3">
        <v>650</v>
      </c>
    </row>
    <row r="21" spans="1:9" x14ac:dyDescent="0.35">
      <c r="A21" s="7" t="s">
        <v>235</v>
      </c>
      <c r="B21" s="8" t="s">
        <v>252</v>
      </c>
      <c r="C21" s="9">
        <v>45897</v>
      </c>
      <c r="D21" s="8" t="s">
        <v>270</v>
      </c>
      <c r="E21" s="3" t="s">
        <v>987</v>
      </c>
      <c r="F21" s="8" t="s">
        <v>277</v>
      </c>
      <c r="G21" s="3" t="s">
        <v>281</v>
      </c>
      <c r="H21" s="12">
        <f t="shared" si="1"/>
        <v>1.9969536073329415E-4</v>
      </c>
      <c r="I21" s="3">
        <v>5</v>
      </c>
    </row>
    <row r="22" spans="1:9" x14ac:dyDescent="0.35">
      <c r="A22" s="7" t="s">
        <v>235</v>
      </c>
      <c r="B22" s="8" t="s">
        <v>253</v>
      </c>
      <c r="C22" s="9">
        <v>45912</v>
      </c>
      <c r="D22" s="8" t="s">
        <v>271</v>
      </c>
      <c r="E22" s="10"/>
      <c r="F22" s="8"/>
      <c r="G22" s="10"/>
      <c r="H22" s="11" t="str">
        <f t="shared" si="1"/>
        <v/>
      </c>
      <c r="I22" s="10"/>
    </row>
  </sheetData>
  <autoFilter ref="A4:I22" xr:uid="{1FC98197-EA49-483C-9E4D-C1B3C28E42A9}"/>
  <mergeCells count="1">
    <mergeCell ref="A1:D1"/>
  </mergeCells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7512-2C68-42AF-A958-3440CAF38E21}">
  <sheetPr filterMode="1"/>
  <dimension ref="A1:I179"/>
  <sheetViews>
    <sheetView zoomScaleNormal="100" workbookViewId="0">
      <pane ySplit="4" topLeftCell="A60" activePane="bottomLeft" state="frozen"/>
      <selection pane="bottomLeft" activeCell="F78" sqref="F78"/>
    </sheetView>
  </sheetViews>
  <sheetFormatPr defaultRowHeight="14.5" x14ac:dyDescent="0.35"/>
  <cols>
    <col min="1" max="1" width="50.81640625" customWidth="1"/>
    <col min="2" max="2" width="8.6328125" bestFit="1" customWidth="1"/>
    <col min="3" max="3" width="12" customWidth="1"/>
    <col min="4" max="4" width="19" bestFit="1" customWidth="1"/>
    <col min="5" max="5" width="26" bestFit="1" customWidth="1"/>
    <col min="6" max="6" width="33.36328125" customWidth="1"/>
    <col min="7" max="7" width="10.1796875" bestFit="1" customWidth="1"/>
    <col min="8" max="9" width="12.08984375" bestFit="1" customWidth="1"/>
  </cols>
  <sheetData>
    <row r="1" spans="1:9" x14ac:dyDescent="0.35">
      <c r="A1" s="24" t="s">
        <v>3</v>
      </c>
      <c r="B1" s="24"/>
      <c r="C1" s="24"/>
      <c r="D1" s="24"/>
      <c r="E1" s="4" t="s">
        <v>232</v>
      </c>
      <c r="G1" s="4"/>
      <c r="H1" s="4"/>
      <c r="I1" s="4"/>
    </row>
    <row r="2" spans="1:9" x14ac:dyDescent="0.35">
      <c r="A2" s="16"/>
      <c r="B2" s="16"/>
      <c r="C2" s="16"/>
      <c r="D2" s="16"/>
      <c r="E2" s="4" t="s">
        <v>1079</v>
      </c>
      <c r="F2" s="4"/>
      <c r="G2" s="4"/>
      <c r="H2" s="4"/>
      <c r="I2" s="4"/>
    </row>
    <row r="3" spans="1:9" x14ac:dyDescent="0.35">
      <c r="A3" s="4"/>
      <c r="B3" s="4"/>
      <c r="C3" s="4"/>
      <c r="D3" s="4"/>
      <c r="E3" s="4"/>
      <c r="F3" s="4"/>
      <c r="G3" s="4"/>
      <c r="H3" s="4"/>
      <c r="I3" s="4"/>
    </row>
    <row r="4" spans="1:9" s="1" customFormat="1" ht="29" x14ac:dyDescent="0.35">
      <c r="A4" s="2" t="s">
        <v>1</v>
      </c>
      <c r="B4" s="3" t="s">
        <v>0</v>
      </c>
      <c r="C4" s="3" t="s">
        <v>2</v>
      </c>
      <c r="D4" s="3" t="s">
        <v>1071</v>
      </c>
      <c r="E4" s="3" t="s">
        <v>1080</v>
      </c>
      <c r="F4" s="3" t="s">
        <v>1075</v>
      </c>
      <c r="G4" s="3" t="s">
        <v>1074</v>
      </c>
      <c r="H4" s="3" t="s">
        <v>1072</v>
      </c>
      <c r="I4" s="3" t="s">
        <v>1073</v>
      </c>
    </row>
    <row r="5" spans="1:9" hidden="1" x14ac:dyDescent="0.35">
      <c r="A5" s="6" t="s">
        <v>19</v>
      </c>
      <c r="B5" s="8" t="s">
        <v>283</v>
      </c>
      <c r="C5" s="9">
        <v>45301</v>
      </c>
      <c r="D5" s="8" t="s">
        <v>426</v>
      </c>
      <c r="E5" s="3"/>
      <c r="F5" s="8"/>
      <c r="G5" s="15"/>
      <c r="H5" s="15" t="str">
        <f>IF(I5=0,"",I5/(D5*1000))</f>
        <v/>
      </c>
      <c r="I5" s="3"/>
    </row>
    <row r="6" spans="1:9" hidden="1" x14ac:dyDescent="0.35">
      <c r="A6" s="6" t="s">
        <v>18</v>
      </c>
      <c r="B6" s="8" t="s">
        <v>284</v>
      </c>
      <c r="C6" s="9">
        <v>45303</v>
      </c>
      <c r="D6" s="8" t="s">
        <v>427</v>
      </c>
      <c r="E6" s="3"/>
      <c r="F6" s="8"/>
      <c r="G6" s="3"/>
      <c r="H6" s="15" t="str">
        <f t="shared" ref="H6:H69" si="0">IF(I6=0,"",I6/(D6*1000))</f>
        <v/>
      </c>
      <c r="I6" s="3"/>
    </row>
    <row r="7" spans="1:9" hidden="1" x14ac:dyDescent="0.35">
      <c r="A7" s="6" t="s">
        <v>18</v>
      </c>
      <c r="B7" s="8" t="s">
        <v>285</v>
      </c>
      <c r="C7" s="9">
        <v>45303</v>
      </c>
      <c r="D7" s="8" t="s">
        <v>428</v>
      </c>
      <c r="E7" s="3"/>
      <c r="F7" s="8"/>
      <c r="G7" s="3"/>
      <c r="H7" s="15" t="str">
        <f t="shared" si="0"/>
        <v/>
      </c>
      <c r="I7" s="3"/>
    </row>
    <row r="8" spans="1:9" hidden="1" x14ac:dyDescent="0.35">
      <c r="A8" s="6" t="s">
        <v>18</v>
      </c>
      <c r="B8" s="8" t="s">
        <v>286</v>
      </c>
      <c r="C8" s="9">
        <v>45306</v>
      </c>
      <c r="D8" s="8" t="s">
        <v>429</v>
      </c>
      <c r="E8" s="3"/>
      <c r="F8" s="8"/>
      <c r="G8" s="3"/>
      <c r="H8" s="15" t="str">
        <f t="shared" si="0"/>
        <v/>
      </c>
      <c r="I8" s="3"/>
    </row>
    <row r="9" spans="1:9" hidden="1" x14ac:dyDescent="0.35">
      <c r="A9" s="6" t="s">
        <v>18</v>
      </c>
      <c r="B9" s="8" t="s">
        <v>287</v>
      </c>
      <c r="C9" s="9">
        <v>45306</v>
      </c>
      <c r="D9" s="8" t="s">
        <v>430</v>
      </c>
      <c r="E9" s="3"/>
      <c r="F9" s="8"/>
      <c r="G9" s="3"/>
      <c r="H9" s="15" t="str">
        <f t="shared" si="0"/>
        <v/>
      </c>
      <c r="I9" s="3"/>
    </row>
    <row r="10" spans="1:9" hidden="1" x14ac:dyDescent="0.35">
      <c r="A10" s="6" t="s">
        <v>18</v>
      </c>
      <c r="B10" s="8" t="s">
        <v>288</v>
      </c>
      <c r="C10" s="9">
        <v>45307</v>
      </c>
      <c r="D10" s="8" t="s">
        <v>431</v>
      </c>
      <c r="E10" s="3"/>
      <c r="F10" s="8"/>
      <c r="G10" s="3"/>
      <c r="H10" s="15" t="str">
        <f t="shared" si="0"/>
        <v/>
      </c>
      <c r="I10" s="3"/>
    </row>
    <row r="11" spans="1:9" hidden="1" x14ac:dyDescent="0.35">
      <c r="A11" s="6" t="s">
        <v>18</v>
      </c>
      <c r="B11" s="8" t="s">
        <v>289</v>
      </c>
      <c r="C11" s="9">
        <v>45307</v>
      </c>
      <c r="D11" s="8" t="s">
        <v>432</v>
      </c>
      <c r="E11" s="3"/>
      <c r="F11" s="8"/>
      <c r="G11" s="3"/>
      <c r="H11" s="15" t="str">
        <f t="shared" si="0"/>
        <v/>
      </c>
      <c r="I11" s="3"/>
    </row>
    <row r="12" spans="1:9" hidden="1" x14ac:dyDescent="0.35">
      <c r="A12" s="6" t="s">
        <v>19</v>
      </c>
      <c r="B12" s="8" t="s">
        <v>290</v>
      </c>
      <c r="C12" s="9">
        <v>45314</v>
      </c>
      <c r="D12" s="8" t="s">
        <v>433</v>
      </c>
      <c r="E12" s="3"/>
      <c r="F12" s="8"/>
      <c r="G12" s="3"/>
      <c r="H12" s="15" t="str">
        <f t="shared" si="0"/>
        <v/>
      </c>
      <c r="I12" s="3"/>
    </row>
    <row r="13" spans="1:9" hidden="1" x14ac:dyDescent="0.35">
      <c r="A13" s="6" t="s">
        <v>19</v>
      </c>
      <c r="B13" s="8" t="s">
        <v>291</v>
      </c>
      <c r="C13" s="9">
        <v>45316</v>
      </c>
      <c r="D13" s="8" t="s">
        <v>434</v>
      </c>
      <c r="E13" s="3"/>
      <c r="F13" s="8"/>
      <c r="G13" s="3"/>
      <c r="H13" s="15" t="str">
        <f t="shared" si="0"/>
        <v/>
      </c>
      <c r="I13" s="3"/>
    </row>
    <row r="14" spans="1:9" hidden="1" x14ac:dyDescent="0.35">
      <c r="A14" s="6" t="s">
        <v>19</v>
      </c>
      <c r="B14" s="8" t="s">
        <v>292</v>
      </c>
      <c r="C14" s="9">
        <v>45317</v>
      </c>
      <c r="D14" s="8" t="s">
        <v>433</v>
      </c>
      <c r="E14" s="3"/>
      <c r="F14" s="8"/>
      <c r="G14" s="3"/>
      <c r="H14" s="15" t="str">
        <f t="shared" si="0"/>
        <v/>
      </c>
      <c r="I14" s="3"/>
    </row>
    <row r="15" spans="1:9" hidden="1" x14ac:dyDescent="0.35">
      <c r="A15" s="6" t="s">
        <v>282</v>
      </c>
      <c r="B15" s="8" t="s">
        <v>293</v>
      </c>
      <c r="C15" s="9">
        <v>45320</v>
      </c>
      <c r="D15" s="8" t="s">
        <v>430</v>
      </c>
      <c r="E15" s="3"/>
      <c r="F15" s="8"/>
      <c r="G15" s="3"/>
      <c r="H15" s="15" t="str">
        <f t="shared" si="0"/>
        <v/>
      </c>
      <c r="I15" s="3"/>
    </row>
    <row r="16" spans="1:9" hidden="1" x14ac:dyDescent="0.35">
      <c r="A16" s="6" t="s">
        <v>282</v>
      </c>
      <c r="B16" s="8" t="s">
        <v>294</v>
      </c>
      <c r="C16" s="9">
        <v>45320</v>
      </c>
      <c r="D16" s="8" t="s">
        <v>435</v>
      </c>
      <c r="E16" s="3"/>
      <c r="F16" s="8"/>
      <c r="G16" s="3"/>
      <c r="H16" s="15" t="str">
        <f t="shared" si="0"/>
        <v/>
      </c>
      <c r="I16" s="3"/>
    </row>
    <row r="17" spans="1:9" hidden="1" x14ac:dyDescent="0.35">
      <c r="A17" s="6" t="s">
        <v>18</v>
      </c>
      <c r="B17" s="8" t="s">
        <v>295</v>
      </c>
      <c r="C17" s="9">
        <v>45329</v>
      </c>
      <c r="D17" s="8" t="s">
        <v>429</v>
      </c>
      <c r="E17" s="3"/>
      <c r="F17" s="8"/>
      <c r="G17" s="15"/>
      <c r="H17" s="15" t="str">
        <f t="shared" si="0"/>
        <v/>
      </c>
      <c r="I17" s="3"/>
    </row>
    <row r="18" spans="1:9" hidden="1" x14ac:dyDescent="0.35">
      <c r="A18" s="6" t="s">
        <v>18</v>
      </c>
      <c r="B18" s="8" t="s">
        <v>296</v>
      </c>
      <c r="C18" s="9">
        <v>45328</v>
      </c>
      <c r="D18" s="8" t="s">
        <v>430</v>
      </c>
      <c r="E18" s="3"/>
      <c r="F18" s="8"/>
      <c r="G18" s="3"/>
      <c r="H18" s="15" t="str">
        <f t="shared" si="0"/>
        <v/>
      </c>
      <c r="I18" s="3"/>
    </row>
    <row r="19" spans="1:9" hidden="1" x14ac:dyDescent="0.35">
      <c r="A19" s="6" t="s">
        <v>18</v>
      </c>
      <c r="B19" s="8" t="s">
        <v>297</v>
      </c>
      <c r="C19" s="9">
        <v>45329</v>
      </c>
      <c r="D19" s="8" t="s">
        <v>436</v>
      </c>
      <c r="E19" s="3"/>
      <c r="F19" s="8"/>
      <c r="G19" s="3"/>
      <c r="H19" s="15" t="str">
        <f t="shared" si="0"/>
        <v/>
      </c>
      <c r="I19" s="3"/>
    </row>
    <row r="20" spans="1:9" hidden="1" x14ac:dyDescent="0.35">
      <c r="A20" s="6" t="s">
        <v>18</v>
      </c>
      <c r="B20" s="8" t="s">
        <v>298</v>
      </c>
      <c r="C20" s="9">
        <v>45329</v>
      </c>
      <c r="D20" s="8" t="s">
        <v>437</v>
      </c>
      <c r="E20" s="3"/>
      <c r="F20" s="8"/>
      <c r="G20" s="3"/>
      <c r="H20" s="15" t="str">
        <f t="shared" si="0"/>
        <v/>
      </c>
      <c r="I20" s="3"/>
    </row>
    <row r="21" spans="1:9" hidden="1" x14ac:dyDescent="0.35">
      <c r="A21" s="6" t="s">
        <v>19</v>
      </c>
      <c r="B21" s="8" t="s">
        <v>299</v>
      </c>
      <c r="C21" s="9">
        <v>45331</v>
      </c>
      <c r="D21" s="8" t="s">
        <v>438</v>
      </c>
      <c r="E21" s="3"/>
      <c r="F21" s="8"/>
      <c r="G21" s="3"/>
      <c r="H21" s="15" t="str">
        <f t="shared" si="0"/>
        <v/>
      </c>
      <c r="I21" s="3"/>
    </row>
    <row r="22" spans="1:9" hidden="1" x14ac:dyDescent="0.35">
      <c r="A22" s="6" t="s">
        <v>19</v>
      </c>
      <c r="B22" s="8" t="s">
        <v>300</v>
      </c>
      <c r="C22" s="9">
        <v>45336</v>
      </c>
      <c r="D22" s="8" t="s">
        <v>439</v>
      </c>
      <c r="E22" s="3"/>
      <c r="F22" s="8"/>
      <c r="G22" s="3"/>
      <c r="H22" s="15" t="str">
        <f t="shared" si="0"/>
        <v/>
      </c>
      <c r="I22" s="3"/>
    </row>
    <row r="23" spans="1:9" hidden="1" x14ac:dyDescent="0.35">
      <c r="A23" s="6" t="s">
        <v>18</v>
      </c>
      <c r="B23" s="8" t="s">
        <v>301</v>
      </c>
      <c r="C23" s="9">
        <v>45345</v>
      </c>
      <c r="D23" s="8" t="s">
        <v>440</v>
      </c>
      <c r="E23" s="3"/>
      <c r="F23" s="8"/>
      <c r="G23" s="3"/>
      <c r="H23" s="15" t="str">
        <f t="shared" si="0"/>
        <v/>
      </c>
      <c r="I23" s="3"/>
    </row>
    <row r="24" spans="1:9" hidden="1" x14ac:dyDescent="0.35">
      <c r="A24" s="6" t="s">
        <v>18</v>
      </c>
      <c r="B24" s="8" t="s">
        <v>302</v>
      </c>
      <c r="C24" s="9">
        <v>45345</v>
      </c>
      <c r="D24" s="8" t="s">
        <v>441</v>
      </c>
      <c r="E24" s="3"/>
      <c r="F24" s="8"/>
      <c r="G24" s="3"/>
      <c r="H24" s="15" t="str">
        <f t="shared" si="0"/>
        <v/>
      </c>
      <c r="I24" s="3"/>
    </row>
    <row r="25" spans="1:9" hidden="1" x14ac:dyDescent="0.35">
      <c r="A25" s="6" t="s">
        <v>18</v>
      </c>
      <c r="B25" s="8" t="s">
        <v>303</v>
      </c>
      <c r="C25" s="9">
        <v>45351</v>
      </c>
      <c r="D25" s="8" t="s">
        <v>442</v>
      </c>
      <c r="E25" s="3"/>
      <c r="F25" s="8"/>
      <c r="G25" s="3"/>
      <c r="H25" s="15" t="str">
        <f t="shared" si="0"/>
        <v/>
      </c>
      <c r="I25" s="3"/>
    </row>
    <row r="26" spans="1:9" hidden="1" x14ac:dyDescent="0.35">
      <c r="A26" s="6" t="s">
        <v>18</v>
      </c>
      <c r="B26" s="8" t="s">
        <v>304</v>
      </c>
      <c r="C26" s="9">
        <v>45351</v>
      </c>
      <c r="D26" s="8" t="s">
        <v>443</v>
      </c>
      <c r="E26" s="3"/>
      <c r="F26" s="8"/>
      <c r="G26" s="3"/>
      <c r="H26" s="15" t="str">
        <f t="shared" si="0"/>
        <v/>
      </c>
      <c r="I26" s="3"/>
    </row>
    <row r="27" spans="1:9" hidden="1" x14ac:dyDescent="0.35">
      <c r="A27" s="6" t="s">
        <v>18</v>
      </c>
      <c r="B27" s="8" t="s">
        <v>305</v>
      </c>
      <c r="C27" s="9">
        <v>45356</v>
      </c>
      <c r="D27" s="8" t="s">
        <v>444</v>
      </c>
      <c r="E27" s="3"/>
      <c r="F27" s="8"/>
      <c r="G27" s="3"/>
      <c r="H27" s="15" t="str">
        <f t="shared" si="0"/>
        <v/>
      </c>
      <c r="I27" s="3"/>
    </row>
    <row r="28" spans="1:9" hidden="1" x14ac:dyDescent="0.35">
      <c r="A28" s="6" t="s">
        <v>18</v>
      </c>
      <c r="B28" s="8" t="s">
        <v>306</v>
      </c>
      <c r="C28" s="9">
        <v>45356</v>
      </c>
      <c r="D28" s="8" t="s">
        <v>445</v>
      </c>
      <c r="E28" s="3"/>
      <c r="F28" s="8"/>
      <c r="G28" s="3"/>
      <c r="H28" s="15" t="str">
        <f t="shared" si="0"/>
        <v/>
      </c>
      <c r="I28" s="3"/>
    </row>
    <row r="29" spans="1:9" hidden="1" x14ac:dyDescent="0.35">
      <c r="A29" s="6" t="s">
        <v>19</v>
      </c>
      <c r="B29" s="8" t="s">
        <v>307</v>
      </c>
      <c r="C29" s="9">
        <v>45369</v>
      </c>
      <c r="D29" s="8" t="s">
        <v>446</v>
      </c>
      <c r="E29" s="3"/>
      <c r="F29" s="8"/>
      <c r="G29" s="3"/>
      <c r="H29" s="15" t="str">
        <f t="shared" si="0"/>
        <v/>
      </c>
      <c r="I29" s="3"/>
    </row>
    <row r="30" spans="1:9" hidden="1" x14ac:dyDescent="0.35">
      <c r="A30" s="6" t="s">
        <v>18</v>
      </c>
      <c r="B30" s="8" t="s">
        <v>308</v>
      </c>
      <c r="C30" s="9">
        <v>45370</v>
      </c>
      <c r="D30" s="8" t="s">
        <v>447</v>
      </c>
      <c r="E30" s="3"/>
      <c r="F30" s="8"/>
      <c r="G30" s="3"/>
      <c r="H30" s="15" t="str">
        <f t="shared" si="0"/>
        <v/>
      </c>
      <c r="I30" s="3"/>
    </row>
    <row r="31" spans="1:9" hidden="1" x14ac:dyDescent="0.35">
      <c r="A31" s="6"/>
      <c r="B31" s="8" t="s">
        <v>309</v>
      </c>
      <c r="C31" s="9">
        <v>45370</v>
      </c>
      <c r="D31" s="8" t="s">
        <v>448</v>
      </c>
      <c r="E31" s="3"/>
      <c r="F31" s="8"/>
      <c r="G31" s="3"/>
      <c r="H31" s="15" t="str">
        <f t="shared" si="0"/>
        <v/>
      </c>
      <c r="I31" s="3"/>
    </row>
    <row r="32" spans="1:9" hidden="1" x14ac:dyDescent="0.35">
      <c r="A32" s="6" t="s">
        <v>19</v>
      </c>
      <c r="B32" s="8" t="s">
        <v>310</v>
      </c>
      <c r="C32" s="9">
        <v>45371</v>
      </c>
      <c r="D32" s="8" t="s">
        <v>434</v>
      </c>
      <c r="E32" s="3"/>
      <c r="F32" s="8"/>
      <c r="G32" s="3"/>
      <c r="H32" s="15" t="str">
        <f t="shared" si="0"/>
        <v/>
      </c>
      <c r="I32" s="3"/>
    </row>
    <row r="33" spans="1:9" hidden="1" x14ac:dyDescent="0.35">
      <c r="A33" s="6" t="s">
        <v>19</v>
      </c>
      <c r="B33" s="8" t="s">
        <v>311</v>
      </c>
      <c r="C33" s="9">
        <v>45372</v>
      </c>
      <c r="D33" s="8" t="s">
        <v>449</v>
      </c>
      <c r="E33" s="3"/>
      <c r="F33" s="8"/>
      <c r="G33" s="3"/>
      <c r="H33" s="15" t="str">
        <f t="shared" si="0"/>
        <v/>
      </c>
      <c r="I33" s="3"/>
    </row>
    <row r="34" spans="1:9" hidden="1" x14ac:dyDescent="0.35">
      <c r="A34" s="6" t="s">
        <v>19</v>
      </c>
      <c r="B34" s="8" t="s">
        <v>312</v>
      </c>
      <c r="C34" s="9">
        <v>45373</v>
      </c>
      <c r="D34" s="8" t="s">
        <v>430</v>
      </c>
      <c r="E34" s="3"/>
      <c r="F34" s="8"/>
      <c r="G34" s="3"/>
      <c r="H34" s="15" t="str">
        <f t="shared" si="0"/>
        <v/>
      </c>
      <c r="I34" s="3"/>
    </row>
    <row r="35" spans="1:9" hidden="1" x14ac:dyDescent="0.35">
      <c r="A35" s="6" t="s">
        <v>19</v>
      </c>
      <c r="B35" s="8" t="s">
        <v>313</v>
      </c>
      <c r="C35" s="9">
        <v>45376</v>
      </c>
      <c r="D35" s="8" t="s">
        <v>450</v>
      </c>
      <c r="E35" s="3"/>
      <c r="F35" s="8"/>
      <c r="G35" s="3"/>
      <c r="H35" s="15" t="str">
        <f t="shared" si="0"/>
        <v/>
      </c>
      <c r="I35" s="3"/>
    </row>
    <row r="36" spans="1:9" hidden="1" x14ac:dyDescent="0.35">
      <c r="A36" s="6" t="s">
        <v>19</v>
      </c>
      <c r="B36" s="8" t="s">
        <v>314</v>
      </c>
      <c r="C36" s="9">
        <v>45378</v>
      </c>
      <c r="D36" s="8" t="s">
        <v>434</v>
      </c>
      <c r="E36" s="3"/>
      <c r="F36" s="8"/>
      <c r="G36" s="3"/>
      <c r="H36" s="15" t="str">
        <f t="shared" si="0"/>
        <v/>
      </c>
      <c r="I36" s="3"/>
    </row>
    <row r="37" spans="1:9" hidden="1" x14ac:dyDescent="0.35">
      <c r="A37" s="6" t="s">
        <v>18</v>
      </c>
      <c r="B37" s="8" t="s">
        <v>315</v>
      </c>
      <c r="C37" s="9">
        <v>45386</v>
      </c>
      <c r="D37" s="8" t="s">
        <v>451</v>
      </c>
      <c r="E37" s="3"/>
      <c r="F37" s="8"/>
      <c r="G37" s="3"/>
      <c r="H37" s="15" t="str">
        <f t="shared" si="0"/>
        <v/>
      </c>
      <c r="I37" s="3"/>
    </row>
    <row r="38" spans="1:9" hidden="1" x14ac:dyDescent="0.35">
      <c r="A38" s="6"/>
      <c r="B38" s="8" t="s">
        <v>316</v>
      </c>
      <c r="C38" s="9">
        <v>45386</v>
      </c>
      <c r="D38" s="8" t="s">
        <v>452</v>
      </c>
      <c r="E38" s="3"/>
      <c r="F38" s="8"/>
      <c r="G38" s="3"/>
      <c r="H38" s="15" t="str">
        <f t="shared" si="0"/>
        <v/>
      </c>
      <c r="I38" s="3"/>
    </row>
    <row r="39" spans="1:9" hidden="1" x14ac:dyDescent="0.35">
      <c r="A39" s="6" t="s">
        <v>19</v>
      </c>
      <c r="B39" s="8" t="s">
        <v>317</v>
      </c>
      <c r="C39" s="9">
        <v>45399</v>
      </c>
      <c r="D39" s="8" t="s">
        <v>453</v>
      </c>
      <c r="E39" s="3"/>
      <c r="F39" s="8"/>
      <c r="G39" s="3"/>
      <c r="H39" s="15" t="str">
        <f t="shared" si="0"/>
        <v/>
      </c>
      <c r="I39" s="3"/>
    </row>
    <row r="40" spans="1:9" hidden="1" x14ac:dyDescent="0.35">
      <c r="A40" s="6" t="s">
        <v>18</v>
      </c>
      <c r="B40" s="8" t="s">
        <v>318</v>
      </c>
      <c r="C40" s="9">
        <v>45411</v>
      </c>
      <c r="D40" s="8" t="s">
        <v>454</v>
      </c>
      <c r="E40" s="3"/>
      <c r="F40" s="8"/>
      <c r="G40" s="3"/>
      <c r="H40" s="15" t="str">
        <f t="shared" si="0"/>
        <v/>
      </c>
      <c r="I40" s="3"/>
    </row>
    <row r="41" spans="1:9" hidden="1" x14ac:dyDescent="0.35">
      <c r="A41" s="6"/>
      <c r="B41" s="8" t="s">
        <v>319</v>
      </c>
      <c r="C41" s="9">
        <v>45411</v>
      </c>
      <c r="D41" s="8" t="s">
        <v>448</v>
      </c>
      <c r="E41" s="3"/>
      <c r="F41" s="8"/>
      <c r="G41" s="3"/>
      <c r="H41" s="15" t="str">
        <f t="shared" si="0"/>
        <v/>
      </c>
      <c r="I41" s="3"/>
    </row>
    <row r="42" spans="1:9" hidden="1" x14ac:dyDescent="0.35">
      <c r="A42" s="6" t="s">
        <v>19</v>
      </c>
      <c r="B42" s="8" t="s">
        <v>320</v>
      </c>
      <c r="C42" s="9">
        <v>45419</v>
      </c>
      <c r="D42" s="8" t="s">
        <v>455</v>
      </c>
      <c r="E42" s="3"/>
      <c r="F42" s="8"/>
      <c r="G42" s="3"/>
      <c r="H42" s="15" t="str">
        <f t="shared" si="0"/>
        <v/>
      </c>
      <c r="I42" s="3"/>
    </row>
    <row r="43" spans="1:9" hidden="1" x14ac:dyDescent="0.35">
      <c r="A43" s="6" t="s">
        <v>19</v>
      </c>
      <c r="B43" s="8" t="s">
        <v>321</v>
      </c>
      <c r="C43" s="9">
        <v>45429</v>
      </c>
      <c r="D43" s="8" t="s">
        <v>449</v>
      </c>
      <c r="E43" s="3"/>
      <c r="F43" s="8"/>
      <c r="G43" s="3"/>
      <c r="H43" s="15" t="str">
        <f t="shared" si="0"/>
        <v/>
      </c>
      <c r="I43" s="3"/>
    </row>
    <row r="44" spans="1:9" hidden="1" x14ac:dyDescent="0.35">
      <c r="A44" s="6" t="s">
        <v>19</v>
      </c>
      <c r="B44" s="8" t="s">
        <v>322</v>
      </c>
      <c r="C44" s="9">
        <v>45433</v>
      </c>
      <c r="D44" s="8" t="s">
        <v>430</v>
      </c>
      <c r="E44" s="3"/>
      <c r="F44" s="8"/>
      <c r="G44" s="3"/>
      <c r="H44" s="15" t="str">
        <f t="shared" si="0"/>
        <v/>
      </c>
      <c r="I44" s="3"/>
    </row>
    <row r="45" spans="1:9" hidden="1" x14ac:dyDescent="0.35">
      <c r="A45" s="6" t="s">
        <v>19</v>
      </c>
      <c r="B45" s="8" t="s">
        <v>323</v>
      </c>
      <c r="C45" s="9">
        <v>45435</v>
      </c>
      <c r="D45" s="8" t="s">
        <v>456</v>
      </c>
      <c r="E45" s="3"/>
      <c r="F45" s="8"/>
      <c r="G45" s="3"/>
      <c r="H45" s="15" t="str">
        <f t="shared" si="0"/>
        <v/>
      </c>
      <c r="I45" s="3"/>
    </row>
    <row r="46" spans="1:9" hidden="1" x14ac:dyDescent="0.35">
      <c r="A46" s="6" t="s">
        <v>18</v>
      </c>
      <c r="B46" s="8" t="s">
        <v>21</v>
      </c>
      <c r="C46" s="9">
        <v>45441</v>
      </c>
      <c r="D46" s="8" t="s">
        <v>53</v>
      </c>
      <c r="E46" s="8" t="s">
        <v>979</v>
      </c>
      <c r="F46" s="8" t="s">
        <v>5</v>
      </c>
      <c r="G46" s="8" t="s">
        <v>955</v>
      </c>
      <c r="H46" s="15">
        <f t="shared" si="0"/>
        <v>6.1755272454099803E-5</v>
      </c>
      <c r="I46" s="3">
        <v>79</v>
      </c>
    </row>
    <row r="47" spans="1:9" hidden="1" x14ac:dyDescent="0.35">
      <c r="A47" s="6"/>
      <c r="B47" s="8" t="s">
        <v>324</v>
      </c>
      <c r="C47" s="9">
        <v>45441</v>
      </c>
      <c r="D47" s="8" t="s">
        <v>430</v>
      </c>
      <c r="E47" s="3"/>
      <c r="F47" s="8"/>
      <c r="G47" s="3"/>
      <c r="H47" s="15" t="str">
        <f t="shared" si="0"/>
        <v/>
      </c>
      <c r="I47" s="3"/>
    </row>
    <row r="48" spans="1:9" hidden="1" x14ac:dyDescent="0.35">
      <c r="A48" s="6" t="s">
        <v>18</v>
      </c>
      <c r="B48" s="8" t="s">
        <v>325</v>
      </c>
      <c r="C48" s="9">
        <v>45441</v>
      </c>
      <c r="D48" s="8" t="s">
        <v>457</v>
      </c>
      <c r="E48" s="3"/>
      <c r="F48" s="8"/>
      <c r="G48" s="3"/>
      <c r="H48" s="15" t="str">
        <f t="shared" si="0"/>
        <v/>
      </c>
      <c r="I48" s="3"/>
    </row>
    <row r="49" spans="1:9" hidden="1" x14ac:dyDescent="0.35">
      <c r="A49" s="6" t="s">
        <v>18</v>
      </c>
      <c r="B49" s="8" t="s">
        <v>326</v>
      </c>
      <c r="C49" s="9">
        <v>45442</v>
      </c>
      <c r="D49" s="8" t="s">
        <v>458</v>
      </c>
      <c r="E49" s="3"/>
      <c r="F49" s="8"/>
      <c r="G49" s="3"/>
      <c r="H49" s="15" t="str">
        <f t="shared" si="0"/>
        <v/>
      </c>
      <c r="I49" s="3"/>
    </row>
    <row r="50" spans="1:9" hidden="1" x14ac:dyDescent="0.35">
      <c r="A50" s="6" t="s">
        <v>18</v>
      </c>
      <c r="B50" s="8" t="s">
        <v>327</v>
      </c>
      <c r="C50" s="9">
        <v>45441</v>
      </c>
      <c r="D50" s="8" t="s">
        <v>459</v>
      </c>
      <c r="E50" s="3"/>
      <c r="F50" s="8"/>
      <c r="G50" s="3"/>
      <c r="H50" s="15" t="str">
        <f t="shared" si="0"/>
        <v/>
      </c>
      <c r="I50" s="3"/>
    </row>
    <row r="51" spans="1:9" hidden="1" x14ac:dyDescent="0.35">
      <c r="A51" s="6" t="s">
        <v>18</v>
      </c>
      <c r="B51" s="8" t="s">
        <v>20</v>
      </c>
      <c r="C51" s="9">
        <v>45441</v>
      </c>
      <c r="D51" s="8" t="s">
        <v>52</v>
      </c>
      <c r="E51" s="8" t="s">
        <v>980</v>
      </c>
      <c r="F51" s="8" t="s">
        <v>4</v>
      </c>
      <c r="G51" s="8" t="s">
        <v>955</v>
      </c>
      <c r="H51" s="15">
        <f t="shared" si="0"/>
        <v>7.3770502601068884E-5</v>
      </c>
      <c r="I51" s="3">
        <v>56</v>
      </c>
    </row>
    <row r="52" spans="1:9" hidden="1" x14ac:dyDescent="0.35">
      <c r="A52" s="6" t="s">
        <v>18</v>
      </c>
      <c r="B52" s="8" t="s">
        <v>328</v>
      </c>
      <c r="C52" s="9">
        <v>45442</v>
      </c>
      <c r="D52" s="8" t="s">
        <v>460</v>
      </c>
      <c r="E52" s="3"/>
      <c r="F52" s="8"/>
      <c r="G52" s="3"/>
      <c r="H52" s="15" t="str">
        <f t="shared" si="0"/>
        <v/>
      </c>
      <c r="I52" s="3"/>
    </row>
    <row r="53" spans="1:9" hidden="1" x14ac:dyDescent="0.35">
      <c r="A53" s="6"/>
      <c r="B53" s="8" t="s">
        <v>329</v>
      </c>
      <c r="C53" s="9">
        <v>45442</v>
      </c>
      <c r="D53" s="8" t="s">
        <v>430</v>
      </c>
      <c r="E53" s="3"/>
      <c r="F53" s="8"/>
      <c r="G53" s="3"/>
      <c r="H53" s="15" t="str">
        <f t="shared" si="0"/>
        <v/>
      </c>
      <c r="I53" s="3"/>
    </row>
    <row r="54" spans="1:9" hidden="1" x14ac:dyDescent="0.35">
      <c r="A54" s="6" t="s">
        <v>18</v>
      </c>
      <c r="B54" s="8" t="s">
        <v>330</v>
      </c>
      <c r="C54" s="9">
        <v>45443</v>
      </c>
      <c r="D54" s="8" t="s">
        <v>457</v>
      </c>
      <c r="E54" s="3"/>
      <c r="F54" s="8"/>
      <c r="G54" s="3"/>
      <c r="H54" s="15" t="str">
        <f t="shared" si="0"/>
        <v/>
      </c>
      <c r="I54" s="3"/>
    </row>
    <row r="55" spans="1:9" hidden="1" x14ac:dyDescent="0.35">
      <c r="A55" s="6"/>
      <c r="B55" s="8" t="s">
        <v>331</v>
      </c>
      <c r="C55" s="9">
        <v>45443</v>
      </c>
      <c r="D55" s="8" t="s">
        <v>432</v>
      </c>
      <c r="E55" s="3"/>
      <c r="F55" s="8"/>
      <c r="G55" s="3"/>
      <c r="H55" s="15" t="str">
        <f t="shared" si="0"/>
        <v/>
      </c>
      <c r="I55" s="3"/>
    </row>
    <row r="56" spans="1:9" hidden="1" x14ac:dyDescent="0.35">
      <c r="A56" s="6" t="s">
        <v>18</v>
      </c>
      <c r="B56" s="8" t="s">
        <v>23</v>
      </c>
      <c r="C56" s="9">
        <v>45456</v>
      </c>
      <c r="D56" s="8" t="s">
        <v>55</v>
      </c>
      <c r="E56" s="8" t="s">
        <v>981</v>
      </c>
      <c r="F56" s="8" t="s">
        <v>6</v>
      </c>
      <c r="G56" s="8" t="s">
        <v>955</v>
      </c>
      <c r="H56" s="15">
        <f t="shared" si="0"/>
        <v>4.108510697740155E-6</v>
      </c>
      <c r="I56" s="3">
        <v>2.5</v>
      </c>
    </row>
    <row r="57" spans="1:9" x14ac:dyDescent="0.35">
      <c r="A57" s="6"/>
      <c r="B57" s="8" t="s">
        <v>22</v>
      </c>
      <c r="C57" s="9">
        <v>45456</v>
      </c>
      <c r="D57" s="8" t="s">
        <v>54</v>
      </c>
      <c r="E57" s="21"/>
      <c r="F57" s="8" t="s">
        <v>6</v>
      </c>
      <c r="G57" s="8" t="s">
        <v>955</v>
      </c>
      <c r="H57" s="15">
        <f t="shared" si="0"/>
        <v>4.1106082467022646E-6</v>
      </c>
      <c r="I57" s="3">
        <v>2.5</v>
      </c>
    </row>
    <row r="58" spans="1:9" hidden="1" x14ac:dyDescent="0.35">
      <c r="A58" s="6" t="s">
        <v>18</v>
      </c>
      <c r="B58" s="8" t="s">
        <v>25</v>
      </c>
      <c r="C58" s="9">
        <v>45468</v>
      </c>
      <c r="D58" s="8" t="s">
        <v>57</v>
      </c>
      <c r="E58" s="8" t="s">
        <v>988</v>
      </c>
      <c r="F58" s="8" t="s">
        <v>957</v>
      </c>
      <c r="G58" s="8" t="s">
        <v>955</v>
      </c>
      <c r="H58" s="15">
        <f t="shared" si="0"/>
        <v>2.4659777272891673E-6</v>
      </c>
      <c r="I58" s="3">
        <v>1.5</v>
      </c>
    </row>
    <row r="59" spans="1:9" x14ac:dyDescent="0.35">
      <c r="A59" s="6"/>
      <c r="B59" s="8" t="s">
        <v>24</v>
      </c>
      <c r="C59" s="9">
        <v>45468</v>
      </c>
      <c r="D59" s="8" t="s">
        <v>56</v>
      </c>
      <c r="E59" s="21"/>
      <c r="F59" s="8" t="s">
        <v>958</v>
      </c>
      <c r="G59" s="8" t="s">
        <v>955</v>
      </c>
      <c r="H59" s="15">
        <f t="shared" si="0"/>
        <v>2.4663629203710068E-6</v>
      </c>
      <c r="I59" s="3">
        <v>1.5</v>
      </c>
    </row>
    <row r="60" spans="1:9" hidden="1" x14ac:dyDescent="0.35">
      <c r="A60" s="6" t="s">
        <v>19</v>
      </c>
      <c r="B60" s="8" t="s">
        <v>26</v>
      </c>
      <c r="C60" s="9">
        <v>45476</v>
      </c>
      <c r="D60" s="8" t="s">
        <v>58</v>
      </c>
      <c r="E60" s="8" t="s">
        <v>989</v>
      </c>
      <c r="F60" s="8" t="s">
        <v>7</v>
      </c>
      <c r="G60" s="8" t="s">
        <v>955</v>
      </c>
      <c r="H60" s="15">
        <f t="shared" si="0"/>
        <v>2.0328759831496475E-5</v>
      </c>
      <c r="I60" s="3">
        <v>26</v>
      </c>
    </row>
    <row r="61" spans="1:9" hidden="1" x14ac:dyDescent="0.35">
      <c r="A61" s="6" t="s">
        <v>18</v>
      </c>
      <c r="B61" s="8" t="s">
        <v>332</v>
      </c>
      <c r="C61" s="9">
        <v>45477</v>
      </c>
      <c r="D61" s="8" t="s">
        <v>461</v>
      </c>
      <c r="E61" s="3"/>
      <c r="F61" s="8"/>
      <c r="G61" s="3"/>
      <c r="H61" s="15" t="str">
        <f t="shared" si="0"/>
        <v/>
      </c>
      <c r="I61" s="3"/>
    </row>
    <row r="62" spans="1:9" hidden="1" x14ac:dyDescent="0.35">
      <c r="A62" s="6"/>
      <c r="B62" s="8" t="s">
        <v>333</v>
      </c>
      <c r="C62" s="9">
        <v>45477</v>
      </c>
      <c r="D62" s="8" t="s">
        <v>426</v>
      </c>
      <c r="E62" s="3"/>
      <c r="F62" s="8"/>
      <c r="G62" s="3"/>
      <c r="H62" s="15" t="str">
        <f t="shared" si="0"/>
        <v/>
      </c>
      <c r="I62" s="3"/>
    </row>
    <row r="63" spans="1:9" hidden="1" x14ac:dyDescent="0.35">
      <c r="A63" s="6" t="s">
        <v>19</v>
      </c>
      <c r="B63" s="8" t="s">
        <v>334</v>
      </c>
      <c r="C63" s="9">
        <v>45478</v>
      </c>
      <c r="D63" s="8" t="s">
        <v>448</v>
      </c>
      <c r="E63" s="3"/>
      <c r="F63" s="8"/>
      <c r="G63" s="3"/>
      <c r="H63" s="15" t="str">
        <f t="shared" si="0"/>
        <v/>
      </c>
      <c r="I63" s="3"/>
    </row>
    <row r="64" spans="1:9" hidden="1" x14ac:dyDescent="0.35">
      <c r="A64" s="6" t="s">
        <v>19</v>
      </c>
      <c r="B64" s="8" t="s">
        <v>335</v>
      </c>
      <c r="C64" s="9">
        <v>45478</v>
      </c>
      <c r="D64" s="8" t="s">
        <v>449</v>
      </c>
      <c r="E64" s="3"/>
      <c r="F64" s="8"/>
      <c r="G64" s="3"/>
      <c r="H64" s="15" t="str">
        <f t="shared" si="0"/>
        <v/>
      </c>
      <c r="I64" s="3"/>
    </row>
    <row r="65" spans="1:9" hidden="1" x14ac:dyDescent="0.35">
      <c r="A65" s="6" t="s">
        <v>18</v>
      </c>
      <c r="B65" s="8" t="s">
        <v>336</v>
      </c>
      <c r="C65" s="9">
        <v>45482</v>
      </c>
      <c r="D65" s="8" t="s">
        <v>462</v>
      </c>
      <c r="E65" s="3"/>
      <c r="F65" s="8"/>
      <c r="G65" s="3"/>
      <c r="H65" s="15" t="str">
        <f t="shared" si="0"/>
        <v/>
      </c>
      <c r="I65" s="3"/>
    </row>
    <row r="66" spans="1:9" hidden="1" x14ac:dyDescent="0.35">
      <c r="A66" s="6"/>
      <c r="B66" s="8" t="s">
        <v>337</v>
      </c>
      <c r="C66" s="9">
        <v>45482</v>
      </c>
      <c r="D66" s="8" t="s">
        <v>463</v>
      </c>
      <c r="E66" s="3"/>
      <c r="F66" s="8"/>
      <c r="G66" s="3"/>
      <c r="H66" s="15" t="str">
        <f t="shared" si="0"/>
        <v/>
      </c>
      <c r="I66" s="3"/>
    </row>
    <row r="67" spans="1:9" hidden="1" x14ac:dyDescent="0.35">
      <c r="A67" s="6" t="s">
        <v>19</v>
      </c>
      <c r="B67" s="8" t="s">
        <v>338</v>
      </c>
      <c r="C67" s="9">
        <v>45488</v>
      </c>
      <c r="D67" s="8" t="s">
        <v>464</v>
      </c>
      <c r="E67" s="3"/>
      <c r="F67" s="8"/>
      <c r="G67" s="3"/>
      <c r="H67" s="15" t="str">
        <f t="shared" si="0"/>
        <v/>
      </c>
      <c r="I67" s="3"/>
    </row>
    <row r="68" spans="1:9" hidden="1" x14ac:dyDescent="0.35">
      <c r="A68" s="6" t="s">
        <v>19</v>
      </c>
      <c r="B68" s="8" t="s">
        <v>339</v>
      </c>
      <c r="C68" s="9">
        <v>45496</v>
      </c>
      <c r="D68" s="8" t="s">
        <v>435</v>
      </c>
      <c r="E68" s="3"/>
      <c r="F68" s="8"/>
      <c r="G68" s="3"/>
      <c r="H68" s="15" t="str">
        <f t="shared" si="0"/>
        <v/>
      </c>
      <c r="I68" s="3"/>
    </row>
    <row r="69" spans="1:9" hidden="1" x14ac:dyDescent="0.35">
      <c r="A69" s="6" t="s">
        <v>19</v>
      </c>
      <c r="B69" s="8" t="s">
        <v>340</v>
      </c>
      <c r="C69" s="9">
        <v>45497</v>
      </c>
      <c r="D69" s="8" t="s">
        <v>449</v>
      </c>
      <c r="E69" s="3"/>
      <c r="F69" s="8"/>
      <c r="G69" s="3"/>
      <c r="H69" s="15" t="str">
        <f t="shared" si="0"/>
        <v/>
      </c>
      <c r="I69" s="3"/>
    </row>
    <row r="70" spans="1:9" hidden="1" x14ac:dyDescent="0.35">
      <c r="A70" s="6" t="s">
        <v>18</v>
      </c>
      <c r="B70" s="8" t="s">
        <v>341</v>
      </c>
      <c r="C70" s="9">
        <v>45498</v>
      </c>
      <c r="D70" s="8" t="s">
        <v>435</v>
      </c>
      <c r="E70" s="3"/>
      <c r="F70" s="8"/>
      <c r="G70" s="3"/>
      <c r="H70" s="15" t="str">
        <f t="shared" ref="H70:H133" si="1">IF(I70=0,"",I70/(D70*1000))</f>
        <v/>
      </c>
      <c r="I70" s="3"/>
    </row>
    <row r="71" spans="1:9" hidden="1" x14ac:dyDescent="0.35">
      <c r="A71" s="6" t="s">
        <v>18</v>
      </c>
      <c r="B71" s="8" t="s">
        <v>342</v>
      </c>
      <c r="C71" s="9">
        <v>45498</v>
      </c>
      <c r="D71" s="8" t="s">
        <v>465</v>
      </c>
      <c r="E71" s="3"/>
      <c r="F71" s="8"/>
      <c r="G71" s="3"/>
      <c r="H71" s="15" t="str">
        <f t="shared" si="1"/>
        <v/>
      </c>
      <c r="I71" s="3"/>
    </row>
    <row r="72" spans="1:9" hidden="1" x14ac:dyDescent="0.35">
      <c r="A72" s="6" t="s">
        <v>19</v>
      </c>
      <c r="B72" s="8" t="s">
        <v>27</v>
      </c>
      <c r="C72" s="9">
        <v>45499</v>
      </c>
      <c r="D72" s="8" t="s">
        <v>59</v>
      </c>
      <c r="E72" s="8" t="s">
        <v>990</v>
      </c>
      <c r="F72" s="8" t="s">
        <v>8</v>
      </c>
      <c r="G72" s="8" t="s">
        <v>955</v>
      </c>
      <c r="H72" s="15">
        <f t="shared" si="1"/>
        <v>3.9093035325561324E-5</v>
      </c>
      <c r="I72" s="3">
        <v>50</v>
      </c>
    </row>
    <row r="73" spans="1:9" hidden="1" x14ac:dyDescent="0.35">
      <c r="A73" s="6" t="s">
        <v>19</v>
      </c>
      <c r="B73" s="8" t="s">
        <v>28</v>
      </c>
      <c r="C73" s="9">
        <v>45503</v>
      </c>
      <c r="D73" s="8" t="s">
        <v>60</v>
      </c>
      <c r="E73" s="8" t="s">
        <v>991</v>
      </c>
      <c r="F73" s="8" t="s">
        <v>959</v>
      </c>
      <c r="G73" s="8" t="s">
        <v>955</v>
      </c>
      <c r="H73" s="15">
        <f t="shared" si="1"/>
        <v>5.4259092097409868E-5</v>
      </c>
      <c r="I73" s="3">
        <v>33</v>
      </c>
    </row>
    <row r="74" spans="1:9" hidden="1" x14ac:dyDescent="0.35">
      <c r="A74" s="6" t="s">
        <v>19</v>
      </c>
      <c r="B74" s="8" t="s">
        <v>29</v>
      </c>
      <c r="C74" s="9">
        <v>45511</v>
      </c>
      <c r="D74" s="8" t="s">
        <v>61</v>
      </c>
      <c r="E74" s="8" t="s">
        <v>1014</v>
      </c>
      <c r="F74" s="8" t="s">
        <v>960</v>
      </c>
      <c r="G74" s="8" t="s">
        <v>955</v>
      </c>
      <c r="H74" s="15">
        <f t="shared" si="1"/>
        <v>6.9610513115156138E-5</v>
      </c>
      <c r="I74" s="3">
        <v>6.5</v>
      </c>
    </row>
    <row r="75" spans="1:9" hidden="1" x14ac:dyDescent="0.35">
      <c r="A75" s="6" t="s">
        <v>19</v>
      </c>
      <c r="B75" s="8" t="s">
        <v>30</v>
      </c>
      <c r="C75" s="9">
        <v>45511</v>
      </c>
      <c r="D75" s="8" t="s">
        <v>62</v>
      </c>
      <c r="E75" s="8" t="s">
        <v>992</v>
      </c>
      <c r="F75" s="8" t="s">
        <v>961</v>
      </c>
      <c r="G75" s="8" t="s">
        <v>955</v>
      </c>
      <c r="H75" s="15">
        <f t="shared" si="1"/>
        <v>8.6743922303147517E-5</v>
      </c>
      <c r="I75" s="3">
        <v>8.1</v>
      </c>
    </row>
    <row r="76" spans="1:9" hidden="1" x14ac:dyDescent="0.35">
      <c r="A76" s="6" t="s">
        <v>19</v>
      </c>
      <c r="B76" s="8" t="s">
        <v>31</v>
      </c>
      <c r="C76" s="9">
        <v>45530</v>
      </c>
      <c r="D76" s="8" t="s">
        <v>63</v>
      </c>
      <c r="E76" s="8" t="s">
        <v>993</v>
      </c>
      <c r="F76" s="8" t="s">
        <v>9</v>
      </c>
      <c r="G76" s="8" t="s">
        <v>955</v>
      </c>
      <c r="H76" s="15">
        <f t="shared" si="1"/>
        <v>3.7815792697112767E-5</v>
      </c>
      <c r="I76" s="3">
        <v>23</v>
      </c>
    </row>
    <row r="77" spans="1:9" ht="29" hidden="1" x14ac:dyDescent="0.35">
      <c r="A77" s="6" t="s">
        <v>18</v>
      </c>
      <c r="B77" s="8" t="s">
        <v>33</v>
      </c>
      <c r="C77" s="9">
        <v>45538</v>
      </c>
      <c r="D77" s="8" t="s">
        <v>65</v>
      </c>
      <c r="E77" s="8" t="s">
        <v>994</v>
      </c>
      <c r="F77" s="8" t="s">
        <v>962</v>
      </c>
      <c r="G77" s="8" t="s">
        <v>956</v>
      </c>
      <c r="H77" s="15">
        <f t="shared" si="1"/>
        <v>1.5630324079139457E-3</v>
      </c>
      <c r="I77" s="3">
        <v>2000</v>
      </c>
    </row>
    <row r="78" spans="1:9" ht="28.25" customHeight="1" x14ac:dyDescent="0.35">
      <c r="A78" s="6"/>
      <c r="B78" s="8" t="s">
        <v>32</v>
      </c>
      <c r="C78" s="9">
        <v>45537</v>
      </c>
      <c r="D78" s="8" t="s">
        <v>64</v>
      </c>
      <c r="E78" s="19"/>
      <c r="F78" s="8" t="s">
        <v>963</v>
      </c>
      <c r="G78" s="8" t="s">
        <v>956</v>
      </c>
      <c r="H78" s="15">
        <f t="shared" si="1"/>
        <v>1.5613350976419937E-3</v>
      </c>
      <c r="I78" s="3">
        <v>2000</v>
      </c>
    </row>
    <row r="79" spans="1:9" hidden="1" x14ac:dyDescent="0.35">
      <c r="A79" s="6" t="s">
        <v>19</v>
      </c>
      <c r="B79" s="8" t="s">
        <v>343</v>
      </c>
      <c r="C79" s="9">
        <v>45538</v>
      </c>
      <c r="D79" s="8" t="s">
        <v>466</v>
      </c>
      <c r="E79" s="8"/>
      <c r="F79" s="8"/>
      <c r="G79" s="3"/>
      <c r="H79" s="15" t="str">
        <f t="shared" si="1"/>
        <v/>
      </c>
      <c r="I79" s="3"/>
    </row>
    <row r="80" spans="1:9" hidden="1" x14ac:dyDescent="0.35">
      <c r="A80" s="6" t="s">
        <v>18</v>
      </c>
      <c r="B80" s="8" t="s">
        <v>34</v>
      </c>
      <c r="C80" s="9">
        <v>45541</v>
      </c>
      <c r="D80" s="8" t="s">
        <v>66</v>
      </c>
      <c r="E80" s="8" t="s">
        <v>995</v>
      </c>
      <c r="F80" s="8" t="s">
        <v>964</v>
      </c>
      <c r="G80" s="8" t="s">
        <v>955</v>
      </c>
      <c r="H80" s="15">
        <f t="shared" si="1"/>
        <v>4.8684210526315792E-5</v>
      </c>
      <c r="I80" s="3">
        <v>29.6</v>
      </c>
    </row>
    <row r="81" spans="1:9" x14ac:dyDescent="0.35">
      <c r="A81" s="6"/>
      <c r="B81" s="8" t="s">
        <v>35</v>
      </c>
      <c r="C81" s="9">
        <v>45541</v>
      </c>
      <c r="D81" s="8" t="s">
        <v>67</v>
      </c>
      <c r="E81" s="19"/>
      <c r="F81" s="8" t="s">
        <v>10</v>
      </c>
      <c r="G81" s="8" t="s">
        <v>955</v>
      </c>
      <c r="H81" s="15">
        <f t="shared" si="1"/>
        <v>4.8669081486182749E-5</v>
      </c>
      <c r="I81" s="3">
        <v>29.6</v>
      </c>
    </row>
    <row r="82" spans="1:9" x14ac:dyDescent="0.35">
      <c r="A82" s="6" t="s">
        <v>18</v>
      </c>
      <c r="B82" s="8" t="s">
        <v>37</v>
      </c>
      <c r="C82" s="9">
        <v>45554</v>
      </c>
      <c r="D82" s="8" t="s">
        <v>68</v>
      </c>
      <c r="E82" s="19"/>
      <c r="F82" s="8" t="s">
        <v>965</v>
      </c>
      <c r="G82" s="8" t="s">
        <v>955</v>
      </c>
      <c r="H82" s="15">
        <f t="shared" si="1"/>
        <v>6.5769310198320774E-6</v>
      </c>
      <c r="I82" s="3">
        <v>4</v>
      </c>
    </row>
    <row r="83" spans="1:9" hidden="1" x14ac:dyDescent="0.35">
      <c r="A83" s="6" t="s">
        <v>18</v>
      </c>
      <c r="B83" s="8" t="s">
        <v>36</v>
      </c>
      <c r="C83" s="9">
        <v>45554</v>
      </c>
      <c r="D83" s="8" t="s">
        <v>66</v>
      </c>
      <c r="E83" s="8" t="s">
        <v>997</v>
      </c>
      <c r="F83" s="8" t="s">
        <v>965</v>
      </c>
      <c r="G83" s="8" t="s">
        <v>955</v>
      </c>
      <c r="H83" s="15">
        <f t="shared" si="1"/>
        <v>6.578947368421053E-6</v>
      </c>
      <c r="I83" s="3">
        <v>4</v>
      </c>
    </row>
    <row r="84" spans="1:9" hidden="1" x14ac:dyDescent="0.35">
      <c r="A84" s="6" t="s">
        <v>18</v>
      </c>
      <c r="B84" s="8" t="s">
        <v>344</v>
      </c>
      <c r="C84" s="9">
        <v>45560</v>
      </c>
      <c r="D84" s="8" t="s">
        <v>467</v>
      </c>
      <c r="E84" s="8"/>
      <c r="F84" s="8"/>
      <c r="G84" s="3"/>
      <c r="H84" s="15" t="str">
        <f t="shared" si="1"/>
        <v/>
      </c>
      <c r="I84" s="3"/>
    </row>
    <row r="85" spans="1:9" hidden="1" x14ac:dyDescent="0.35">
      <c r="A85" s="6"/>
      <c r="B85" s="8" t="s">
        <v>345</v>
      </c>
      <c r="C85" s="9">
        <v>45560</v>
      </c>
      <c r="D85" s="8" t="s">
        <v>468</v>
      </c>
      <c r="E85" s="8"/>
      <c r="F85" s="8"/>
      <c r="G85" s="3"/>
      <c r="H85" s="15" t="str">
        <f t="shared" si="1"/>
        <v/>
      </c>
      <c r="I85" s="3"/>
    </row>
    <row r="86" spans="1:9" x14ac:dyDescent="0.35">
      <c r="A86" s="6" t="s">
        <v>18</v>
      </c>
      <c r="B86" s="8" t="s">
        <v>39</v>
      </c>
      <c r="C86" s="9">
        <v>45565</v>
      </c>
      <c r="D86" s="8" t="s">
        <v>70</v>
      </c>
      <c r="E86" s="19"/>
      <c r="F86" s="8" t="s">
        <v>11</v>
      </c>
      <c r="G86" s="8" t="s">
        <v>955</v>
      </c>
      <c r="H86" s="15">
        <f t="shared" si="1"/>
        <v>1.3278822880155436E-5</v>
      </c>
      <c r="I86" s="3">
        <v>10</v>
      </c>
    </row>
    <row r="87" spans="1:9" hidden="1" x14ac:dyDescent="0.35">
      <c r="A87" s="6" t="s">
        <v>18</v>
      </c>
      <c r="B87" s="8" t="s">
        <v>38</v>
      </c>
      <c r="C87" s="9">
        <v>45565</v>
      </c>
      <c r="D87" s="8" t="s">
        <v>69</v>
      </c>
      <c r="E87" s="8" t="s">
        <v>998</v>
      </c>
      <c r="F87" s="8" t="s">
        <v>11</v>
      </c>
      <c r="G87" s="8" t="s">
        <v>955</v>
      </c>
      <c r="H87" s="15">
        <f t="shared" si="1"/>
        <v>1.3333333333333333E-5</v>
      </c>
      <c r="I87" s="3">
        <v>10</v>
      </c>
    </row>
    <row r="88" spans="1:9" hidden="1" x14ac:dyDescent="0.35">
      <c r="A88" s="6" t="s">
        <v>19</v>
      </c>
      <c r="B88" s="8" t="s">
        <v>346</v>
      </c>
      <c r="C88" s="9">
        <v>45566</v>
      </c>
      <c r="D88" s="8" t="s">
        <v>469</v>
      </c>
      <c r="E88" s="8"/>
      <c r="F88" s="8"/>
      <c r="G88" s="3"/>
      <c r="H88" s="15" t="str">
        <f t="shared" si="1"/>
        <v/>
      </c>
      <c r="I88" s="3"/>
    </row>
    <row r="89" spans="1:9" hidden="1" x14ac:dyDescent="0.35">
      <c r="A89" s="6" t="s">
        <v>19</v>
      </c>
      <c r="B89" s="8" t="s">
        <v>40</v>
      </c>
      <c r="C89" s="9">
        <v>45579</v>
      </c>
      <c r="D89" s="8" t="s">
        <v>71</v>
      </c>
      <c r="E89" s="8" t="s">
        <v>999</v>
      </c>
      <c r="F89" s="8" t="s">
        <v>11</v>
      </c>
      <c r="G89" s="8" t="s">
        <v>955</v>
      </c>
      <c r="H89" s="15">
        <f t="shared" si="1"/>
        <v>7.8185459349737793E-6</v>
      </c>
      <c r="I89" s="3">
        <v>10</v>
      </c>
    </row>
    <row r="90" spans="1:9" hidden="1" x14ac:dyDescent="0.35">
      <c r="A90" s="6" t="s">
        <v>18</v>
      </c>
      <c r="B90" s="8" t="s">
        <v>41</v>
      </c>
      <c r="C90" s="9">
        <v>45583</v>
      </c>
      <c r="D90" s="8" t="s">
        <v>72</v>
      </c>
      <c r="E90" s="8" t="s">
        <v>1000</v>
      </c>
      <c r="F90" s="8" t="s">
        <v>12</v>
      </c>
      <c r="G90" s="8" t="s">
        <v>955</v>
      </c>
      <c r="H90" s="15">
        <f t="shared" si="1"/>
        <v>4.9325717442560201E-5</v>
      </c>
      <c r="I90" s="3">
        <v>30</v>
      </c>
    </row>
    <row r="91" spans="1:9" hidden="1" x14ac:dyDescent="0.35">
      <c r="A91" s="6"/>
      <c r="B91" s="8" t="s">
        <v>347</v>
      </c>
      <c r="C91" s="9">
        <v>45582</v>
      </c>
      <c r="D91" s="8" t="s">
        <v>470</v>
      </c>
      <c r="E91" s="8"/>
      <c r="F91" s="8"/>
      <c r="G91" s="3"/>
      <c r="H91" s="15" t="str">
        <f t="shared" si="1"/>
        <v/>
      </c>
      <c r="I91" s="3"/>
    </row>
    <row r="92" spans="1:9" hidden="1" x14ac:dyDescent="0.35">
      <c r="A92" s="6" t="s">
        <v>19</v>
      </c>
      <c r="B92" s="8" t="s">
        <v>42</v>
      </c>
      <c r="C92" s="9">
        <v>45583</v>
      </c>
      <c r="D92" s="8" t="s">
        <v>73</v>
      </c>
      <c r="E92" s="8" t="s">
        <v>993</v>
      </c>
      <c r="F92" s="8" t="s">
        <v>13</v>
      </c>
      <c r="G92" s="8" t="s">
        <v>955</v>
      </c>
      <c r="H92" s="15">
        <f t="shared" si="1"/>
        <v>3.909303226903075E-5</v>
      </c>
      <c r="I92" s="3">
        <v>50</v>
      </c>
    </row>
    <row r="93" spans="1:9" hidden="1" x14ac:dyDescent="0.35">
      <c r="A93" s="6" t="s">
        <v>19</v>
      </c>
      <c r="B93" s="8" t="s">
        <v>348</v>
      </c>
      <c r="C93" s="9">
        <v>45587</v>
      </c>
      <c r="D93" s="8" t="s">
        <v>471</v>
      </c>
      <c r="E93" s="8"/>
      <c r="F93" s="8"/>
      <c r="G93" s="3"/>
      <c r="H93" s="15" t="str">
        <f t="shared" si="1"/>
        <v/>
      </c>
      <c r="I93" s="3"/>
    </row>
    <row r="94" spans="1:9" hidden="1" x14ac:dyDescent="0.35">
      <c r="A94" s="6" t="s">
        <v>19</v>
      </c>
      <c r="B94" s="8" t="s">
        <v>43</v>
      </c>
      <c r="C94" s="9">
        <v>45588</v>
      </c>
      <c r="D94" s="8" t="s">
        <v>74</v>
      </c>
      <c r="E94" s="8" t="s">
        <v>1013</v>
      </c>
      <c r="F94" s="8" t="s">
        <v>966</v>
      </c>
      <c r="G94" s="8" t="s">
        <v>956</v>
      </c>
      <c r="H94" s="15">
        <f t="shared" si="1"/>
        <v>8.5998054724002141E-4</v>
      </c>
      <c r="I94" s="3">
        <v>1000</v>
      </c>
    </row>
    <row r="95" spans="1:9" hidden="1" x14ac:dyDescent="0.35">
      <c r="A95" s="6" t="s">
        <v>19</v>
      </c>
      <c r="B95" s="8" t="s">
        <v>349</v>
      </c>
      <c r="C95" s="9">
        <v>45593</v>
      </c>
      <c r="D95" s="8" t="s">
        <v>471</v>
      </c>
      <c r="E95" s="8"/>
      <c r="F95" s="8"/>
      <c r="G95" s="3"/>
      <c r="H95" s="15" t="str">
        <f t="shared" si="1"/>
        <v/>
      </c>
      <c r="I95" s="3"/>
    </row>
    <row r="96" spans="1:9" hidden="1" x14ac:dyDescent="0.35">
      <c r="A96" s="6" t="s">
        <v>18</v>
      </c>
      <c r="B96" s="8" t="s">
        <v>350</v>
      </c>
      <c r="C96" s="9">
        <v>45596</v>
      </c>
      <c r="D96" s="8" t="s">
        <v>472</v>
      </c>
      <c r="E96" s="8"/>
      <c r="F96" s="8"/>
      <c r="G96" s="3"/>
      <c r="H96" s="15" t="str">
        <f t="shared" si="1"/>
        <v/>
      </c>
      <c r="I96" s="3"/>
    </row>
    <row r="97" spans="1:9" hidden="1" x14ac:dyDescent="0.35">
      <c r="A97" s="6"/>
      <c r="B97" s="8" t="s">
        <v>351</v>
      </c>
      <c r="C97" s="9">
        <v>45596</v>
      </c>
      <c r="D97" s="8" t="s">
        <v>473</v>
      </c>
      <c r="E97" s="8"/>
      <c r="F97" s="8"/>
      <c r="G97" s="3"/>
      <c r="H97" s="15" t="str">
        <f t="shared" si="1"/>
        <v/>
      </c>
      <c r="I97" s="3"/>
    </row>
    <row r="98" spans="1:9" hidden="1" x14ac:dyDescent="0.35">
      <c r="A98" s="6" t="s">
        <v>18</v>
      </c>
      <c r="B98" s="8" t="s">
        <v>352</v>
      </c>
      <c r="C98" s="9">
        <v>45597</v>
      </c>
      <c r="D98" s="8" t="s">
        <v>474</v>
      </c>
      <c r="E98" s="8"/>
      <c r="F98" s="8"/>
      <c r="G98" s="3"/>
      <c r="H98" s="15" t="str">
        <f t="shared" si="1"/>
        <v/>
      </c>
      <c r="I98" s="3"/>
    </row>
    <row r="99" spans="1:9" hidden="1" x14ac:dyDescent="0.35">
      <c r="A99" s="6"/>
      <c r="B99" s="8" t="s">
        <v>353</v>
      </c>
      <c r="C99" s="9">
        <v>45597</v>
      </c>
      <c r="D99" s="8" t="s">
        <v>471</v>
      </c>
      <c r="E99" s="8"/>
      <c r="F99" s="8"/>
      <c r="G99" s="3"/>
      <c r="H99" s="15" t="str">
        <f t="shared" si="1"/>
        <v/>
      </c>
      <c r="I99" s="3"/>
    </row>
    <row r="100" spans="1:9" hidden="1" x14ac:dyDescent="0.35">
      <c r="A100" s="6" t="s">
        <v>18</v>
      </c>
      <c r="B100" s="8" t="s">
        <v>44</v>
      </c>
      <c r="C100" s="9">
        <v>45597</v>
      </c>
      <c r="D100" s="8" t="s">
        <v>75</v>
      </c>
      <c r="E100" s="8" t="s">
        <v>1001</v>
      </c>
      <c r="F100" s="8" t="s">
        <v>967</v>
      </c>
      <c r="G100" s="8" t="s">
        <v>956</v>
      </c>
      <c r="H100" s="15">
        <f t="shared" si="1"/>
        <v>4.3069957670845599E-4</v>
      </c>
      <c r="I100" s="3">
        <v>500</v>
      </c>
    </row>
    <row r="101" spans="1:9" x14ac:dyDescent="0.35">
      <c r="A101" s="6"/>
      <c r="B101" s="8" t="s">
        <v>45</v>
      </c>
      <c r="C101" s="9">
        <v>45597</v>
      </c>
      <c r="D101" s="8" t="s">
        <v>76</v>
      </c>
      <c r="E101" s="19"/>
      <c r="F101" s="8" t="s">
        <v>968</v>
      </c>
      <c r="G101" s="8" t="s">
        <v>956</v>
      </c>
      <c r="H101" s="15">
        <f t="shared" si="1"/>
        <v>4.3017409747968743E-4</v>
      </c>
      <c r="I101" s="3">
        <v>500</v>
      </c>
    </row>
    <row r="102" spans="1:9" hidden="1" x14ac:dyDescent="0.35">
      <c r="A102" s="6" t="s">
        <v>18</v>
      </c>
      <c r="B102" s="8" t="s">
        <v>46</v>
      </c>
      <c r="C102" s="9">
        <v>45601</v>
      </c>
      <c r="D102" s="8" t="s">
        <v>77</v>
      </c>
      <c r="E102" s="8" t="s">
        <v>1010</v>
      </c>
      <c r="F102" s="8" t="s">
        <v>969</v>
      </c>
      <c r="G102" s="8" t="s">
        <v>956</v>
      </c>
      <c r="H102" s="15">
        <f t="shared" si="1"/>
        <v>4.1105845908981793E-4</v>
      </c>
      <c r="I102" s="3">
        <v>250</v>
      </c>
    </row>
    <row r="103" spans="1:9" x14ac:dyDescent="0.35">
      <c r="A103" s="6"/>
      <c r="B103" s="8" t="s">
        <v>47</v>
      </c>
      <c r="C103" s="9">
        <v>45601</v>
      </c>
      <c r="D103" s="8" t="s">
        <v>78</v>
      </c>
      <c r="E103" s="19"/>
      <c r="F103" s="8" t="s">
        <v>969</v>
      </c>
      <c r="G103" s="8" t="s">
        <v>956</v>
      </c>
      <c r="H103" s="15">
        <f t="shared" si="1"/>
        <v>4.108895594606499E-4</v>
      </c>
      <c r="I103" s="3">
        <v>250</v>
      </c>
    </row>
    <row r="104" spans="1:9" hidden="1" x14ac:dyDescent="0.35">
      <c r="A104" s="6" t="s">
        <v>18</v>
      </c>
      <c r="B104" s="8" t="s">
        <v>354</v>
      </c>
      <c r="C104" s="9">
        <v>45602</v>
      </c>
      <c r="D104" s="8" t="s">
        <v>475</v>
      </c>
      <c r="E104" s="8"/>
      <c r="F104" s="8"/>
      <c r="G104" s="3"/>
      <c r="H104" s="15" t="str">
        <f t="shared" si="1"/>
        <v/>
      </c>
      <c r="I104" s="3"/>
    </row>
    <row r="105" spans="1:9" hidden="1" x14ac:dyDescent="0.35">
      <c r="A105" s="6"/>
      <c r="B105" s="8" t="s">
        <v>355</v>
      </c>
      <c r="C105" s="9">
        <v>45602</v>
      </c>
      <c r="D105" s="8" t="s">
        <v>476</v>
      </c>
      <c r="E105" s="8"/>
      <c r="F105" s="8"/>
      <c r="G105" s="3"/>
      <c r="H105" s="15" t="str">
        <f t="shared" si="1"/>
        <v/>
      </c>
      <c r="I105" s="3"/>
    </row>
    <row r="106" spans="1:9" hidden="1" x14ac:dyDescent="0.35">
      <c r="A106" s="6" t="s">
        <v>19</v>
      </c>
      <c r="B106" s="8" t="s">
        <v>356</v>
      </c>
      <c r="C106" s="9">
        <v>45608</v>
      </c>
      <c r="D106" s="8" t="s">
        <v>477</v>
      </c>
      <c r="E106" s="8"/>
      <c r="F106" s="8"/>
      <c r="G106" s="3"/>
      <c r="H106" s="15" t="str">
        <f t="shared" si="1"/>
        <v/>
      </c>
      <c r="I106" s="3"/>
    </row>
    <row r="107" spans="1:9" hidden="1" x14ac:dyDescent="0.35">
      <c r="A107" s="6" t="s">
        <v>19</v>
      </c>
      <c r="B107" s="8" t="s">
        <v>48</v>
      </c>
      <c r="C107" s="9">
        <v>45610</v>
      </c>
      <c r="D107" s="8" t="s">
        <v>79</v>
      </c>
      <c r="E107" s="8" t="s">
        <v>998</v>
      </c>
      <c r="F107" s="8" t="s">
        <v>14</v>
      </c>
      <c r="G107" s="8" t="s">
        <v>955</v>
      </c>
      <c r="H107" s="15">
        <f t="shared" si="1"/>
        <v>1.0320645246740825E-5</v>
      </c>
      <c r="I107" s="3">
        <v>13.2</v>
      </c>
    </row>
    <row r="108" spans="1:9" hidden="1" x14ac:dyDescent="0.35">
      <c r="A108" s="6" t="s">
        <v>19</v>
      </c>
      <c r="B108" s="8" t="s">
        <v>357</v>
      </c>
      <c r="C108" s="9">
        <v>45615</v>
      </c>
      <c r="D108" s="8" t="s">
        <v>478</v>
      </c>
      <c r="E108" s="8"/>
      <c r="F108" s="8"/>
      <c r="G108" s="3"/>
      <c r="H108" s="15" t="str">
        <f t="shared" si="1"/>
        <v/>
      </c>
      <c r="I108" s="3"/>
    </row>
    <row r="109" spans="1:9" hidden="1" x14ac:dyDescent="0.35">
      <c r="A109" s="6" t="s">
        <v>19</v>
      </c>
      <c r="B109" s="8" t="s">
        <v>49</v>
      </c>
      <c r="C109" s="9">
        <v>45617</v>
      </c>
      <c r="D109" s="8" t="s">
        <v>80</v>
      </c>
      <c r="E109" s="8" t="s">
        <v>981</v>
      </c>
      <c r="F109" s="8" t="s">
        <v>15</v>
      </c>
      <c r="G109" s="8" t="s">
        <v>955</v>
      </c>
      <c r="H109" s="15">
        <f t="shared" si="1"/>
        <v>3.9837526631386548E-6</v>
      </c>
      <c r="I109" s="3">
        <v>3</v>
      </c>
    </row>
    <row r="110" spans="1:9" hidden="1" x14ac:dyDescent="0.35">
      <c r="A110" s="6" t="s">
        <v>19</v>
      </c>
      <c r="B110" s="8" t="s">
        <v>50</v>
      </c>
      <c r="C110" s="9">
        <v>45618</v>
      </c>
      <c r="D110" s="8" t="s">
        <v>81</v>
      </c>
      <c r="E110" s="8" t="s">
        <v>1012</v>
      </c>
      <c r="F110" s="8" t="s">
        <v>16</v>
      </c>
      <c r="G110" s="8" t="s">
        <v>955</v>
      </c>
      <c r="H110" s="15">
        <f t="shared" si="1"/>
        <v>6.5769894159797826E-6</v>
      </c>
      <c r="I110" s="3">
        <v>4</v>
      </c>
    </row>
    <row r="111" spans="1:9" hidden="1" x14ac:dyDescent="0.35">
      <c r="A111" s="6" t="s">
        <v>19</v>
      </c>
      <c r="B111" s="8" t="s">
        <v>51</v>
      </c>
      <c r="C111" s="9">
        <v>45618</v>
      </c>
      <c r="D111" s="8" t="s">
        <v>82</v>
      </c>
      <c r="E111" s="8" t="s">
        <v>1011</v>
      </c>
      <c r="F111" s="8" t="s">
        <v>17</v>
      </c>
      <c r="G111" s="8" t="s">
        <v>955</v>
      </c>
      <c r="H111" s="15">
        <f t="shared" si="1"/>
        <v>1.1727918850307423E-5</v>
      </c>
      <c r="I111" s="3">
        <v>15</v>
      </c>
    </row>
    <row r="112" spans="1:9" hidden="1" x14ac:dyDescent="0.35">
      <c r="A112" s="6" t="s">
        <v>18</v>
      </c>
      <c r="B112" s="8" t="s">
        <v>358</v>
      </c>
      <c r="C112" s="9">
        <v>45625</v>
      </c>
      <c r="D112" s="8" t="s">
        <v>479</v>
      </c>
      <c r="E112" s="8"/>
      <c r="F112" s="8"/>
      <c r="G112" s="3"/>
      <c r="H112" s="15" t="str">
        <f t="shared" si="1"/>
        <v/>
      </c>
      <c r="I112" s="3"/>
    </row>
    <row r="113" spans="1:9" hidden="1" x14ac:dyDescent="0.35">
      <c r="A113" s="6"/>
      <c r="B113" s="8" t="s">
        <v>359</v>
      </c>
      <c r="C113" s="9">
        <v>45625</v>
      </c>
      <c r="D113" s="8" t="s">
        <v>480</v>
      </c>
      <c r="E113" s="8"/>
      <c r="F113" s="8"/>
      <c r="G113" s="3"/>
      <c r="H113" s="15" t="str">
        <f t="shared" si="1"/>
        <v/>
      </c>
      <c r="I113" s="3"/>
    </row>
    <row r="114" spans="1:9" hidden="1" x14ac:dyDescent="0.35">
      <c r="A114" s="6" t="s">
        <v>19</v>
      </c>
      <c r="B114" s="8" t="s">
        <v>360</v>
      </c>
      <c r="C114" s="9">
        <v>45636</v>
      </c>
      <c r="D114" s="8" t="s">
        <v>481</v>
      </c>
      <c r="E114" s="8"/>
      <c r="F114" s="8"/>
      <c r="G114" s="3"/>
      <c r="H114" s="15" t="str">
        <f t="shared" si="1"/>
        <v/>
      </c>
      <c r="I114" s="3"/>
    </row>
    <row r="115" spans="1:9" hidden="1" x14ac:dyDescent="0.35">
      <c r="A115" s="6" t="s">
        <v>19</v>
      </c>
      <c r="B115" s="8" t="s">
        <v>361</v>
      </c>
      <c r="C115" s="9">
        <v>45672</v>
      </c>
      <c r="D115" s="8" t="s">
        <v>482</v>
      </c>
      <c r="E115" s="8"/>
      <c r="F115" s="8"/>
      <c r="G115" s="3"/>
      <c r="H115" s="15" t="str">
        <f t="shared" si="1"/>
        <v/>
      </c>
      <c r="I115" s="3"/>
    </row>
    <row r="116" spans="1:9" hidden="1" x14ac:dyDescent="0.35">
      <c r="A116" s="6" t="s">
        <v>19</v>
      </c>
      <c r="B116" s="8" t="s">
        <v>362</v>
      </c>
      <c r="C116" s="9">
        <v>45672</v>
      </c>
      <c r="D116" s="8" t="s">
        <v>483</v>
      </c>
      <c r="E116" s="8" t="s">
        <v>1010</v>
      </c>
      <c r="F116" s="8" t="s">
        <v>536</v>
      </c>
      <c r="G116" s="8" t="s">
        <v>956</v>
      </c>
      <c r="H116" s="15">
        <f t="shared" si="1"/>
        <v>6.8858602388997576E-4</v>
      </c>
      <c r="I116" s="3">
        <v>800</v>
      </c>
    </row>
    <row r="117" spans="1:9" hidden="1" x14ac:dyDescent="0.35">
      <c r="A117" s="6" t="s">
        <v>18</v>
      </c>
      <c r="B117" s="8" t="s">
        <v>363</v>
      </c>
      <c r="C117" s="9">
        <v>45674</v>
      </c>
      <c r="D117" s="8" t="s">
        <v>484</v>
      </c>
      <c r="E117" s="8" t="s">
        <v>1002</v>
      </c>
      <c r="F117" s="8" t="s">
        <v>537</v>
      </c>
      <c r="G117" s="8" t="s">
        <v>956</v>
      </c>
      <c r="H117" s="15">
        <f t="shared" si="1"/>
        <v>4.9323933287736101E-4</v>
      </c>
      <c r="I117" s="3">
        <v>300</v>
      </c>
    </row>
    <row r="118" spans="1:9" x14ac:dyDescent="0.35">
      <c r="A118" s="6" t="s">
        <v>19</v>
      </c>
      <c r="B118" s="8" t="s">
        <v>364</v>
      </c>
      <c r="C118" s="9">
        <v>45684</v>
      </c>
      <c r="D118" s="8" t="s">
        <v>485</v>
      </c>
      <c r="E118" s="19"/>
      <c r="F118" s="8" t="s">
        <v>538</v>
      </c>
      <c r="G118" s="8" t="s">
        <v>955</v>
      </c>
      <c r="H118" s="15">
        <f t="shared" si="1"/>
        <v>1.6771469165900577E-5</v>
      </c>
      <c r="I118" s="3">
        <v>10.199999999999999</v>
      </c>
    </row>
    <row r="119" spans="1:9" x14ac:dyDescent="0.35">
      <c r="A119" s="6" t="s">
        <v>18</v>
      </c>
      <c r="B119" s="8" t="s">
        <v>365</v>
      </c>
      <c r="C119" s="9">
        <v>45691</v>
      </c>
      <c r="D119" s="8" t="s">
        <v>486</v>
      </c>
      <c r="E119" s="19"/>
      <c r="F119" s="8" t="s">
        <v>6</v>
      </c>
      <c r="G119" s="8" t="s">
        <v>955</v>
      </c>
      <c r="H119" s="15">
        <f t="shared" si="1"/>
        <v>2.151831509871312E-6</v>
      </c>
      <c r="I119" s="3">
        <v>2.5</v>
      </c>
    </row>
    <row r="120" spans="1:9" hidden="1" x14ac:dyDescent="0.35">
      <c r="A120" s="6" t="s">
        <v>18</v>
      </c>
      <c r="B120" s="8" t="s">
        <v>366</v>
      </c>
      <c r="C120" s="9">
        <v>45692</v>
      </c>
      <c r="D120" s="8" t="s">
        <v>487</v>
      </c>
      <c r="E120" s="8" t="s">
        <v>1006</v>
      </c>
      <c r="F120" s="8" t="s">
        <v>970</v>
      </c>
      <c r="G120" s="8" t="s">
        <v>955</v>
      </c>
      <c r="H120" s="15">
        <f t="shared" si="1"/>
        <v>8.7639509484321162E-6</v>
      </c>
      <c r="I120" s="3">
        <v>6.6</v>
      </c>
    </row>
    <row r="121" spans="1:9" x14ac:dyDescent="0.35">
      <c r="A121" s="6" t="s">
        <v>18</v>
      </c>
      <c r="B121" s="8" t="s">
        <v>367</v>
      </c>
      <c r="C121" s="9">
        <v>45694</v>
      </c>
      <c r="D121" s="8" t="s">
        <v>488</v>
      </c>
      <c r="E121" s="19"/>
      <c r="F121" s="8" t="s">
        <v>971</v>
      </c>
      <c r="G121" s="8" t="s">
        <v>955</v>
      </c>
      <c r="H121" s="15">
        <f t="shared" si="1"/>
        <v>7.9766974079721768E-6</v>
      </c>
      <c r="I121" s="3">
        <v>6</v>
      </c>
    </row>
    <row r="122" spans="1:9" hidden="1" x14ac:dyDescent="0.35">
      <c r="A122" s="6" t="s">
        <v>19</v>
      </c>
      <c r="B122" s="8" t="s">
        <v>368</v>
      </c>
      <c r="C122" s="9">
        <v>45706</v>
      </c>
      <c r="D122" s="8" t="s">
        <v>489</v>
      </c>
      <c r="E122" s="8" t="s">
        <v>1009</v>
      </c>
      <c r="F122" s="8" t="s">
        <v>539</v>
      </c>
      <c r="G122" s="8" t="s">
        <v>955</v>
      </c>
      <c r="H122" s="15">
        <f t="shared" si="1"/>
        <v>9.3823490180668085E-6</v>
      </c>
      <c r="I122" s="3">
        <v>12</v>
      </c>
    </row>
    <row r="123" spans="1:9" hidden="1" x14ac:dyDescent="0.35">
      <c r="A123" s="6" t="s">
        <v>18</v>
      </c>
      <c r="B123" s="8" t="s">
        <v>369</v>
      </c>
      <c r="C123" s="9">
        <v>45708</v>
      </c>
      <c r="D123" s="8" t="s">
        <v>490</v>
      </c>
      <c r="E123" s="8" t="s">
        <v>1009</v>
      </c>
      <c r="F123" s="8" t="s">
        <v>972</v>
      </c>
      <c r="G123" s="8" t="s">
        <v>955</v>
      </c>
      <c r="H123" s="15">
        <f t="shared" si="1"/>
        <v>8.6098605288692924E-6</v>
      </c>
      <c r="I123" s="3">
        <v>10</v>
      </c>
    </row>
    <row r="124" spans="1:9" hidden="1" x14ac:dyDescent="0.35">
      <c r="A124" s="6" t="s">
        <v>19</v>
      </c>
      <c r="B124" s="8" t="s">
        <v>370</v>
      </c>
      <c r="C124" s="9">
        <v>45709</v>
      </c>
      <c r="D124" s="8" t="s">
        <v>491</v>
      </c>
      <c r="E124" s="8" t="s">
        <v>997</v>
      </c>
      <c r="F124" s="18" t="s">
        <v>15</v>
      </c>
      <c r="G124" s="8" t="s">
        <v>955</v>
      </c>
      <c r="H124" s="15">
        <f t="shared" si="1"/>
        <v>4.9327761269420349E-6</v>
      </c>
      <c r="I124" s="3">
        <v>3</v>
      </c>
    </row>
    <row r="125" spans="1:9" hidden="1" x14ac:dyDescent="0.35">
      <c r="A125" s="6" t="s">
        <v>18</v>
      </c>
      <c r="B125" s="8" t="s">
        <v>371</v>
      </c>
      <c r="C125" s="9">
        <v>45719</v>
      </c>
      <c r="D125" s="8" t="s">
        <v>492</v>
      </c>
      <c r="E125" s="8"/>
      <c r="F125" s="8"/>
      <c r="G125" s="3"/>
      <c r="H125" s="15" t="str">
        <f t="shared" si="1"/>
        <v/>
      </c>
      <c r="I125" s="3"/>
    </row>
    <row r="126" spans="1:9" x14ac:dyDescent="0.35">
      <c r="A126" s="6" t="s">
        <v>19</v>
      </c>
      <c r="B126" s="8" t="s">
        <v>372</v>
      </c>
      <c r="C126" s="9">
        <v>45721</v>
      </c>
      <c r="D126" s="8" t="s">
        <v>493</v>
      </c>
      <c r="E126" s="19" t="s">
        <v>1008</v>
      </c>
      <c r="F126" s="19" t="s">
        <v>973</v>
      </c>
      <c r="G126" s="8" t="s">
        <v>956</v>
      </c>
      <c r="H126" s="15">
        <f t="shared" si="1"/>
        <v>3.9867973219885031E-4</v>
      </c>
      <c r="I126" s="3">
        <v>300</v>
      </c>
    </row>
    <row r="127" spans="1:9" hidden="1" x14ac:dyDescent="0.35">
      <c r="A127" s="6" t="s">
        <v>19</v>
      </c>
      <c r="B127" s="8" t="s">
        <v>373</v>
      </c>
      <c r="C127" s="9">
        <v>45721</v>
      </c>
      <c r="D127" s="8" t="s">
        <v>494</v>
      </c>
      <c r="E127" s="8"/>
      <c r="F127" s="8"/>
      <c r="G127" s="3"/>
      <c r="H127" s="15" t="str">
        <f t="shared" si="1"/>
        <v/>
      </c>
      <c r="I127" s="3"/>
    </row>
    <row r="128" spans="1:9" hidden="1" x14ac:dyDescent="0.35">
      <c r="A128" s="6" t="s">
        <v>19</v>
      </c>
      <c r="B128" s="8" t="s">
        <v>374</v>
      </c>
      <c r="C128" s="9">
        <v>45722</v>
      </c>
      <c r="D128" s="8" t="s">
        <v>495</v>
      </c>
      <c r="E128" s="8"/>
      <c r="F128" s="8"/>
      <c r="G128" s="3"/>
      <c r="H128" s="15" t="str">
        <f t="shared" si="1"/>
        <v/>
      </c>
      <c r="I128" s="3"/>
    </row>
    <row r="129" spans="1:9" hidden="1" x14ac:dyDescent="0.35">
      <c r="A129" s="6" t="s">
        <v>18</v>
      </c>
      <c r="B129" s="8" t="s">
        <v>375</v>
      </c>
      <c r="C129" s="9">
        <v>45728</v>
      </c>
      <c r="D129" s="8" t="s">
        <v>460</v>
      </c>
      <c r="E129" s="8"/>
      <c r="F129" s="8"/>
      <c r="G129" s="3"/>
      <c r="H129" s="15" t="str">
        <f t="shared" si="1"/>
        <v/>
      </c>
      <c r="I129" s="3"/>
    </row>
    <row r="130" spans="1:9" hidden="1" x14ac:dyDescent="0.35">
      <c r="A130" s="6" t="s">
        <v>18</v>
      </c>
      <c r="B130" s="8" t="s">
        <v>376</v>
      </c>
      <c r="C130" s="9">
        <v>45733</v>
      </c>
      <c r="D130" s="8" t="s">
        <v>496</v>
      </c>
      <c r="E130" s="8" t="s">
        <v>1003</v>
      </c>
      <c r="F130" s="8" t="s">
        <v>974</v>
      </c>
      <c r="G130" s="8" t="s">
        <v>956</v>
      </c>
      <c r="H130" s="15">
        <f t="shared" si="1"/>
        <v>1.7201785545339606E-3</v>
      </c>
      <c r="I130" s="3">
        <v>2000</v>
      </c>
    </row>
    <row r="131" spans="1:9" x14ac:dyDescent="0.35">
      <c r="A131" s="6" t="s">
        <v>18</v>
      </c>
      <c r="B131" s="8" t="s">
        <v>377</v>
      </c>
      <c r="C131" s="9">
        <v>45733</v>
      </c>
      <c r="D131" s="8" t="s">
        <v>497</v>
      </c>
      <c r="E131" s="19"/>
      <c r="F131" s="8" t="s">
        <v>974</v>
      </c>
      <c r="G131" s="8" t="s">
        <v>956</v>
      </c>
      <c r="H131" s="15">
        <f t="shared" si="1"/>
        <v>1.717767383376478E-3</v>
      </c>
      <c r="I131" s="3">
        <v>2000</v>
      </c>
    </row>
    <row r="132" spans="1:9" hidden="1" x14ac:dyDescent="0.35">
      <c r="A132" s="6" t="s">
        <v>18</v>
      </c>
      <c r="B132" s="8" t="s">
        <v>378</v>
      </c>
      <c r="C132" s="9">
        <v>45730</v>
      </c>
      <c r="D132" s="8" t="s">
        <v>498</v>
      </c>
      <c r="E132" s="8"/>
      <c r="F132" s="8"/>
      <c r="G132" s="3"/>
      <c r="H132" s="15" t="str">
        <f t="shared" si="1"/>
        <v/>
      </c>
      <c r="I132" s="3"/>
    </row>
    <row r="133" spans="1:9" hidden="1" x14ac:dyDescent="0.35">
      <c r="A133" s="6" t="s">
        <v>19</v>
      </c>
      <c r="B133" s="8" t="s">
        <v>379</v>
      </c>
      <c r="C133" s="9">
        <v>45740</v>
      </c>
      <c r="D133" s="8" t="s">
        <v>499</v>
      </c>
      <c r="E133" s="8" t="s">
        <v>1005</v>
      </c>
      <c r="F133" s="8" t="s">
        <v>540</v>
      </c>
      <c r="G133" s="8" t="s">
        <v>955</v>
      </c>
      <c r="H133" s="15">
        <f t="shared" si="1"/>
        <v>3.2838355073627503E-5</v>
      </c>
      <c r="I133" s="3">
        <v>42</v>
      </c>
    </row>
    <row r="134" spans="1:9" hidden="1" x14ac:dyDescent="0.35">
      <c r="A134" s="6" t="s">
        <v>18</v>
      </c>
      <c r="B134" s="8" t="s">
        <v>380</v>
      </c>
      <c r="C134" s="9">
        <v>45747</v>
      </c>
      <c r="D134" s="8" t="s">
        <v>78</v>
      </c>
      <c r="E134" s="8" t="s">
        <v>1006</v>
      </c>
      <c r="F134" s="8" t="s">
        <v>975</v>
      </c>
      <c r="G134" s="8" t="s">
        <v>955</v>
      </c>
      <c r="H134" s="15">
        <f t="shared" ref="H134:H179" si="2">IF(I134=0,"",I134/(D134*1000))</f>
        <v>5.7524538324490992E-6</v>
      </c>
      <c r="I134" s="3">
        <v>3.5</v>
      </c>
    </row>
    <row r="135" spans="1:9" hidden="1" x14ac:dyDescent="0.35">
      <c r="A135" s="6" t="s">
        <v>18</v>
      </c>
      <c r="B135" s="8" t="s">
        <v>381</v>
      </c>
      <c r="C135" s="9">
        <v>45754</v>
      </c>
      <c r="D135" s="8" t="s">
        <v>500</v>
      </c>
      <c r="E135" s="8"/>
      <c r="F135" s="8"/>
      <c r="G135" s="3"/>
      <c r="H135" s="15" t="str">
        <f t="shared" si="2"/>
        <v/>
      </c>
      <c r="I135" s="3"/>
    </row>
    <row r="136" spans="1:9" hidden="1" x14ac:dyDescent="0.35">
      <c r="A136" s="6" t="s">
        <v>18</v>
      </c>
      <c r="B136" s="8" t="s">
        <v>382</v>
      </c>
      <c r="C136" s="9">
        <v>45762</v>
      </c>
      <c r="D136" s="8" t="s">
        <v>501</v>
      </c>
      <c r="E136" s="8"/>
      <c r="F136" s="8"/>
      <c r="G136" s="3"/>
      <c r="H136" s="15" t="str">
        <f t="shared" si="2"/>
        <v/>
      </c>
      <c r="I136" s="3"/>
    </row>
    <row r="137" spans="1:9" hidden="1" x14ac:dyDescent="0.35">
      <c r="A137" s="6" t="s">
        <v>18</v>
      </c>
      <c r="B137" s="8" t="s">
        <v>383</v>
      </c>
      <c r="C137" s="9">
        <v>45762</v>
      </c>
      <c r="D137" s="8" t="s">
        <v>502</v>
      </c>
      <c r="E137" s="8"/>
      <c r="F137" s="8"/>
      <c r="G137" s="3"/>
      <c r="H137" s="15" t="str">
        <f t="shared" si="2"/>
        <v/>
      </c>
      <c r="I137" s="3"/>
    </row>
    <row r="138" spans="1:9" hidden="1" x14ac:dyDescent="0.35">
      <c r="A138" s="6" t="s">
        <v>18</v>
      </c>
      <c r="B138" s="8" t="s">
        <v>384</v>
      </c>
      <c r="C138" s="9">
        <v>45763</v>
      </c>
      <c r="D138" s="8" t="s">
        <v>503</v>
      </c>
      <c r="E138" s="8"/>
      <c r="F138" s="8"/>
      <c r="G138" s="3"/>
      <c r="H138" s="15" t="str">
        <f t="shared" si="2"/>
        <v/>
      </c>
      <c r="I138" s="3"/>
    </row>
    <row r="139" spans="1:9" hidden="1" x14ac:dyDescent="0.35">
      <c r="A139" s="6" t="s">
        <v>18</v>
      </c>
      <c r="B139" s="8" t="s">
        <v>385</v>
      </c>
      <c r="C139" s="9">
        <v>45764</v>
      </c>
      <c r="D139" s="8" t="s">
        <v>501</v>
      </c>
      <c r="E139" s="8"/>
      <c r="F139" s="8"/>
      <c r="G139" s="3"/>
      <c r="H139" s="15" t="str">
        <f t="shared" si="2"/>
        <v/>
      </c>
      <c r="I139" s="3"/>
    </row>
    <row r="140" spans="1:9" hidden="1" x14ac:dyDescent="0.35">
      <c r="A140" s="6" t="s">
        <v>18</v>
      </c>
      <c r="B140" s="8" t="s">
        <v>386</v>
      </c>
      <c r="C140" s="9">
        <v>45772</v>
      </c>
      <c r="D140" s="8" t="s">
        <v>504</v>
      </c>
      <c r="E140" s="8"/>
      <c r="F140" s="8"/>
      <c r="G140" s="3"/>
      <c r="H140" s="15" t="str">
        <f t="shared" si="2"/>
        <v/>
      </c>
      <c r="I140" s="3"/>
    </row>
    <row r="141" spans="1:9" hidden="1" x14ac:dyDescent="0.35">
      <c r="A141" s="6" t="s">
        <v>18</v>
      </c>
      <c r="B141" s="8" t="s">
        <v>387</v>
      </c>
      <c r="C141" s="9">
        <v>45776</v>
      </c>
      <c r="D141" s="8" t="s">
        <v>505</v>
      </c>
      <c r="E141" s="8"/>
      <c r="F141" s="8"/>
      <c r="G141" s="3"/>
      <c r="H141" s="15" t="str">
        <f t="shared" si="2"/>
        <v/>
      </c>
      <c r="I141" s="3"/>
    </row>
    <row r="142" spans="1:9" hidden="1" x14ac:dyDescent="0.35">
      <c r="A142" s="6" t="s">
        <v>18</v>
      </c>
      <c r="B142" s="8" t="s">
        <v>388</v>
      </c>
      <c r="C142" s="9">
        <v>45777</v>
      </c>
      <c r="D142" s="8" t="s">
        <v>506</v>
      </c>
      <c r="E142" s="8"/>
      <c r="F142" s="8"/>
      <c r="G142" s="3"/>
      <c r="H142" s="15" t="str">
        <f t="shared" si="2"/>
        <v/>
      </c>
      <c r="I142" s="3"/>
    </row>
    <row r="143" spans="1:9" hidden="1" x14ac:dyDescent="0.35">
      <c r="A143" s="6" t="s">
        <v>18</v>
      </c>
      <c r="B143" s="8" t="s">
        <v>389</v>
      </c>
      <c r="C143" s="9">
        <v>45778</v>
      </c>
      <c r="D143" s="8" t="s">
        <v>507</v>
      </c>
      <c r="E143" s="8"/>
      <c r="F143" s="8"/>
      <c r="G143" s="3"/>
      <c r="H143" s="15" t="str">
        <f t="shared" si="2"/>
        <v/>
      </c>
      <c r="I143" s="3"/>
    </row>
    <row r="144" spans="1:9" hidden="1" x14ac:dyDescent="0.35">
      <c r="A144" s="6" t="s">
        <v>19</v>
      </c>
      <c r="B144" s="8" t="s">
        <v>390</v>
      </c>
      <c r="C144" s="9">
        <v>45782</v>
      </c>
      <c r="D144" s="8" t="s">
        <v>508</v>
      </c>
      <c r="E144" s="8"/>
      <c r="F144" s="8"/>
      <c r="G144" s="3"/>
      <c r="H144" s="15" t="str">
        <f t="shared" si="2"/>
        <v/>
      </c>
      <c r="I144" s="3"/>
    </row>
    <row r="145" spans="1:9" hidden="1" x14ac:dyDescent="0.35">
      <c r="A145" s="6" t="s">
        <v>19</v>
      </c>
      <c r="B145" s="8" t="s">
        <v>391</v>
      </c>
      <c r="C145" s="9">
        <v>45782</v>
      </c>
      <c r="D145" s="8" t="s">
        <v>434</v>
      </c>
      <c r="E145" s="8"/>
      <c r="F145" s="8"/>
      <c r="G145" s="3"/>
      <c r="H145" s="15" t="str">
        <f t="shared" si="2"/>
        <v/>
      </c>
      <c r="I145" s="3"/>
    </row>
    <row r="146" spans="1:9" hidden="1" x14ac:dyDescent="0.35">
      <c r="A146" s="6" t="s">
        <v>19</v>
      </c>
      <c r="B146" s="8" t="s">
        <v>392</v>
      </c>
      <c r="C146" s="9">
        <v>45783</v>
      </c>
      <c r="D146" s="8" t="s">
        <v>509</v>
      </c>
      <c r="E146" s="8"/>
      <c r="F146" s="8"/>
      <c r="G146" s="3"/>
      <c r="H146" s="15" t="str">
        <f t="shared" si="2"/>
        <v/>
      </c>
      <c r="I146" s="3"/>
    </row>
    <row r="147" spans="1:9" hidden="1" x14ac:dyDescent="0.35">
      <c r="A147" s="6" t="s">
        <v>19</v>
      </c>
      <c r="B147" s="8" t="s">
        <v>393</v>
      </c>
      <c r="C147" s="9">
        <v>45784</v>
      </c>
      <c r="D147" s="8" t="s">
        <v>430</v>
      </c>
      <c r="E147" s="8"/>
      <c r="F147" s="8"/>
      <c r="G147" s="3"/>
      <c r="H147" s="15" t="str">
        <f t="shared" si="2"/>
        <v/>
      </c>
      <c r="I147" s="3"/>
    </row>
    <row r="148" spans="1:9" hidden="1" x14ac:dyDescent="0.35">
      <c r="A148" s="6" t="s">
        <v>19</v>
      </c>
      <c r="B148" s="8" t="s">
        <v>394</v>
      </c>
      <c r="C148" s="9">
        <v>45785</v>
      </c>
      <c r="D148" s="8" t="s">
        <v>449</v>
      </c>
      <c r="E148" s="8"/>
      <c r="F148" s="8"/>
      <c r="G148" s="3"/>
      <c r="H148" s="15" t="str">
        <f t="shared" si="2"/>
        <v/>
      </c>
      <c r="I148" s="3"/>
    </row>
    <row r="149" spans="1:9" hidden="1" x14ac:dyDescent="0.35">
      <c r="A149" s="6" t="s">
        <v>19</v>
      </c>
      <c r="B149" s="8" t="s">
        <v>395</v>
      </c>
      <c r="C149" s="9">
        <v>45792</v>
      </c>
      <c r="D149" s="8" t="s">
        <v>434</v>
      </c>
      <c r="E149" s="8"/>
      <c r="F149" s="8"/>
      <c r="G149" s="3"/>
      <c r="H149" s="15" t="str">
        <f t="shared" si="2"/>
        <v/>
      </c>
      <c r="I149" s="3"/>
    </row>
    <row r="150" spans="1:9" hidden="1" x14ac:dyDescent="0.35">
      <c r="A150" s="6" t="s">
        <v>19</v>
      </c>
      <c r="B150" s="8" t="s">
        <v>396</v>
      </c>
      <c r="C150" s="9">
        <v>45792</v>
      </c>
      <c r="D150" s="8" t="s">
        <v>510</v>
      </c>
      <c r="E150" s="8" t="s">
        <v>1007</v>
      </c>
      <c r="F150" s="8" t="s">
        <v>541</v>
      </c>
      <c r="G150" s="8" t="s">
        <v>955</v>
      </c>
      <c r="H150" s="15">
        <f t="shared" si="2"/>
        <v>1.5493413577739064E-5</v>
      </c>
      <c r="I150" s="3">
        <v>18</v>
      </c>
    </row>
    <row r="151" spans="1:9" hidden="1" x14ac:dyDescent="0.35">
      <c r="A151" s="6" t="s">
        <v>18</v>
      </c>
      <c r="B151" s="8" t="s">
        <v>397</v>
      </c>
      <c r="C151" s="9">
        <v>45798</v>
      </c>
      <c r="D151" s="8" t="s">
        <v>511</v>
      </c>
      <c r="E151" s="8" t="s">
        <v>1006</v>
      </c>
      <c r="F151" s="8" t="s">
        <v>976</v>
      </c>
      <c r="G151" s="8" t="s">
        <v>955</v>
      </c>
      <c r="H151" s="15">
        <f t="shared" si="2"/>
        <v>8.6047264041192551E-6</v>
      </c>
      <c r="I151" s="3">
        <v>10</v>
      </c>
    </row>
    <row r="152" spans="1:9" hidden="1" x14ac:dyDescent="0.35">
      <c r="A152" s="6" t="s">
        <v>19</v>
      </c>
      <c r="B152" s="8" t="s">
        <v>398</v>
      </c>
      <c r="C152" s="9">
        <v>45803</v>
      </c>
      <c r="D152" s="8" t="s">
        <v>512</v>
      </c>
      <c r="E152" s="8" t="s">
        <v>1004</v>
      </c>
      <c r="F152" s="8" t="s">
        <v>977</v>
      </c>
      <c r="G152" s="8" t="s">
        <v>956</v>
      </c>
      <c r="H152" s="15">
        <f t="shared" si="2"/>
        <v>1.1714319607717114E-3</v>
      </c>
      <c r="I152" s="3">
        <v>1500</v>
      </c>
    </row>
    <row r="153" spans="1:9" hidden="1" x14ac:dyDescent="0.35">
      <c r="A153" s="6" t="s">
        <v>18</v>
      </c>
      <c r="B153" s="8" t="s">
        <v>399</v>
      </c>
      <c r="C153" s="9">
        <v>45807</v>
      </c>
      <c r="D153" s="8" t="s">
        <v>513</v>
      </c>
      <c r="E153" s="8" t="s">
        <v>1011</v>
      </c>
      <c r="F153" s="8" t="s">
        <v>542</v>
      </c>
      <c r="G153" s="8" t="s">
        <v>955</v>
      </c>
      <c r="H153" s="15">
        <f t="shared" si="2"/>
        <v>9.3826600623164999E-6</v>
      </c>
      <c r="I153" s="3">
        <v>12</v>
      </c>
    </row>
    <row r="154" spans="1:9" hidden="1" x14ac:dyDescent="0.35">
      <c r="A154" s="6" t="s">
        <v>18</v>
      </c>
      <c r="B154" s="8" t="s">
        <v>400</v>
      </c>
      <c r="C154" s="9">
        <v>45820</v>
      </c>
      <c r="D154" s="8" t="s">
        <v>514</v>
      </c>
      <c r="E154" s="8"/>
      <c r="F154" s="8"/>
      <c r="G154" s="3"/>
      <c r="H154" s="15" t="str">
        <f t="shared" si="2"/>
        <v/>
      </c>
      <c r="I154" s="3"/>
    </row>
    <row r="155" spans="1:9" hidden="1" x14ac:dyDescent="0.35">
      <c r="A155" s="6" t="s">
        <v>19</v>
      </c>
      <c r="B155" s="8" t="s">
        <v>401</v>
      </c>
      <c r="C155" s="9">
        <v>45826</v>
      </c>
      <c r="D155" s="8" t="s">
        <v>515</v>
      </c>
      <c r="E155" s="8" t="s">
        <v>1010</v>
      </c>
      <c r="F155" s="8" t="s">
        <v>978</v>
      </c>
      <c r="G155" s="8" t="s">
        <v>956</v>
      </c>
      <c r="H155" s="15">
        <f t="shared" si="2"/>
        <v>5.4700692268518189E-4</v>
      </c>
      <c r="I155" s="3">
        <v>700</v>
      </c>
    </row>
    <row r="156" spans="1:9" hidden="1" x14ac:dyDescent="0.35">
      <c r="A156" s="6" t="s">
        <v>19</v>
      </c>
      <c r="B156" s="8" t="s">
        <v>402</v>
      </c>
      <c r="C156" s="9">
        <v>45827</v>
      </c>
      <c r="D156" s="8" t="s">
        <v>516</v>
      </c>
      <c r="E156" s="8"/>
      <c r="F156" s="8"/>
      <c r="G156" s="3"/>
      <c r="H156" s="15" t="str">
        <f t="shared" si="2"/>
        <v/>
      </c>
      <c r="I156" s="3"/>
    </row>
    <row r="157" spans="1:9" hidden="1" x14ac:dyDescent="0.35">
      <c r="A157" s="6" t="s">
        <v>19</v>
      </c>
      <c r="B157" s="8" t="s">
        <v>403</v>
      </c>
      <c r="C157" s="9">
        <v>45828</v>
      </c>
      <c r="D157" s="8" t="s">
        <v>517</v>
      </c>
      <c r="E157" s="8"/>
      <c r="F157" s="8"/>
      <c r="G157" s="3"/>
      <c r="H157" s="15" t="str">
        <f t="shared" si="2"/>
        <v/>
      </c>
      <c r="I157" s="3"/>
    </row>
    <row r="158" spans="1:9" hidden="1" x14ac:dyDescent="0.35">
      <c r="A158" s="6" t="s">
        <v>19</v>
      </c>
      <c r="B158" s="8" t="s">
        <v>404</v>
      </c>
      <c r="C158" s="9">
        <v>45831</v>
      </c>
      <c r="D158" s="8" t="s">
        <v>518</v>
      </c>
      <c r="E158" s="8"/>
      <c r="F158" s="8"/>
      <c r="G158" s="3"/>
      <c r="H158" s="15" t="str">
        <f t="shared" si="2"/>
        <v/>
      </c>
      <c r="I158" s="3"/>
    </row>
    <row r="159" spans="1:9" hidden="1" x14ac:dyDescent="0.35">
      <c r="A159" s="6" t="s">
        <v>18</v>
      </c>
      <c r="B159" s="8" t="s">
        <v>405</v>
      </c>
      <c r="C159" s="9">
        <v>45848</v>
      </c>
      <c r="D159" s="8" t="s">
        <v>519</v>
      </c>
      <c r="E159" s="8"/>
      <c r="F159" s="8"/>
      <c r="G159" s="3"/>
      <c r="H159" s="15" t="str">
        <f t="shared" si="2"/>
        <v/>
      </c>
      <c r="I159" s="3"/>
    </row>
    <row r="160" spans="1:9" hidden="1" x14ac:dyDescent="0.35">
      <c r="A160" s="6" t="s">
        <v>18</v>
      </c>
      <c r="B160" s="8" t="s">
        <v>406</v>
      </c>
      <c r="C160" s="9">
        <v>45854</v>
      </c>
      <c r="D160" s="8" t="s">
        <v>520</v>
      </c>
      <c r="E160" s="8" t="s">
        <v>1001</v>
      </c>
      <c r="F160" s="20" t="s">
        <v>543</v>
      </c>
      <c r="G160" s="20" t="s">
        <v>996</v>
      </c>
      <c r="H160" s="15">
        <f t="shared" si="2"/>
        <v>3.4434046318957404E-4</v>
      </c>
      <c r="I160" s="3">
        <v>400</v>
      </c>
    </row>
    <row r="161" spans="1:9" hidden="1" x14ac:dyDescent="0.35">
      <c r="A161" s="6" t="s">
        <v>18</v>
      </c>
      <c r="B161" s="8" t="s">
        <v>407</v>
      </c>
      <c r="C161" s="9">
        <v>45854</v>
      </c>
      <c r="D161" s="8" t="s">
        <v>521</v>
      </c>
      <c r="E161" s="8"/>
      <c r="F161" s="8"/>
      <c r="G161" s="3"/>
      <c r="H161" s="15" t="str">
        <f t="shared" si="2"/>
        <v/>
      </c>
      <c r="I161" s="3"/>
    </row>
    <row r="162" spans="1:9" hidden="1" x14ac:dyDescent="0.35">
      <c r="A162" s="6" t="s">
        <v>18</v>
      </c>
      <c r="B162" s="8" t="s">
        <v>408</v>
      </c>
      <c r="C162" s="9">
        <v>45855</v>
      </c>
      <c r="D162" s="8" t="s">
        <v>522</v>
      </c>
      <c r="E162" s="8"/>
      <c r="F162" s="8"/>
      <c r="G162" s="3"/>
      <c r="H162" s="15" t="str">
        <f t="shared" si="2"/>
        <v/>
      </c>
      <c r="I162" s="3"/>
    </row>
    <row r="163" spans="1:9" hidden="1" x14ac:dyDescent="0.35">
      <c r="A163" s="6" t="s">
        <v>18</v>
      </c>
      <c r="B163" s="8" t="s">
        <v>409</v>
      </c>
      <c r="C163" s="9">
        <v>45856</v>
      </c>
      <c r="D163" s="8" t="s">
        <v>523</v>
      </c>
      <c r="E163" s="8"/>
      <c r="F163" s="8"/>
      <c r="G163" s="3"/>
      <c r="H163" s="15" t="str">
        <f t="shared" si="2"/>
        <v/>
      </c>
      <c r="I163" s="3"/>
    </row>
    <row r="164" spans="1:9" hidden="1" x14ac:dyDescent="0.35">
      <c r="A164" s="6" t="s">
        <v>18</v>
      </c>
      <c r="B164" s="8" t="s">
        <v>410</v>
      </c>
      <c r="C164" s="9">
        <v>45856</v>
      </c>
      <c r="D164" s="8" t="s">
        <v>524</v>
      </c>
      <c r="E164" s="8"/>
      <c r="F164" s="8"/>
      <c r="G164" s="3"/>
      <c r="H164" s="15" t="str">
        <f t="shared" si="2"/>
        <v/>
      </c>
      <c r="I164" s="3"/>
    </row>
    <row r="165" spans="1:9" hidden="1" x14ac:dyDescent="0.35">
      <c r="A165" s="6" t="s">
        <v>18</v>
      </c>
      <c r="B165" s="8" t="s">
        <v>411</v>
      </c>
      <c r="C165" s="9">
        <v>45868</v>
      </c>
      <c r="D165" s="8" t="s">
        <v>525</v>
      </c>
      <c r="E165" s="8"/>
      <c r="F165" s="8"/>
      <c r="G165" s="3"/>
      <c r="H165" s="15" t="str">
        <f t="shared" si="2"/>
        <v/>
      </c>
      <c r="I165" s="3"/>
    </row>
    <row r="166" spans="1:9" hidden="1" x14ac:dyDescent="0.35">
      <c r="A166" s="6" t="s">
        <v>19</v>
      </c>
      <c r="B166" s="8" t="s">
        <v>412</v>
      </c>
      <c r="C166" s="9">
        <v>45877</v>
      </c>
      <c r="D166" s="8" t="s">
        <v>526</v>
      </c>
      <c r="E166" s="8"/>
      <c r="F166" s="8"/>
      <c r="G166" s="3"/>
      <c r="H166" s="15" t="str">
        <f t="shared" si="2"/>
        <v/>
      </c>
      <c r="I166" s="3"/>
    </row>
    <row r="167" spans="1:9" hidden="1" x14ac:dyDescent="0.35">
      <c r="A167" s="6" t="s">
        <v>19</v>
      </c>
      <c r="B167" s="8" t="s">
        <v>413</v>
      </c>
      <c r="C167" s="9">
        <v>45881</v>
      </c>
      <c r="D167" s="8" t="s">
        <v>527</v>
      </c>
      <c r="E167" s="8"/>
      <c r="F167" s="8"/>
      <c r="G167" s="3"/>
      <c r="H167" s="15" t="str">
        <f t="shared" si="2"/>
        <v/>
      </c>
      <c r="I167" s="3"/>
    </row>
    <row r="168" spans="1:9" hidden="1" x14ac:dyDescent="0.35">
      <c r="A168" s="6" t="s">
        <v>19</v>
      </c>
      <c r="B168" s="8" t="s">
        <v>414</v>
      </c>
      <c r="C168" s="9">
        <v>45882</v>
      </c>
      <c r="D168" s="8" t="s">
        <v>528</v>
      </c>
      <c r="E168" s="8" t="s">
        <v>1015</v>
      </c>
      <c r="F168" s="8" t="s">
        <v>544</v>
      </c>
      <c r="G168" s="8" t="s">
        <v>955</v>
      </c>
      <c r="H168" s="15">
        <f t="shared" si="2"/>
        <v>2.4006263990636893E-5</v>
      </c>
      <c r="I168" s="3">
        <v>14.6</v>
      </c>
    </row>
    <row r="169" spans="1:9" hidden="1" x14ac:dyDescent="0.35">
      <c r="A169" s="6" t="s">
        <v>19</v>
      </c>
      <c r="B169" s="8" t="s">
        <v>415</v>
      </c>
      <c r="C169" s="9">
        <v>45887</v>
      </c>
      <c r="D169" s="8" t="s">
        <v>529</v>
      </c>
      <c r="E169" s="3"/>
      <c r="F169" s="8"/>
      <c r="G169" s="3"/>
      <c r="H169" s="15" t="str">
        <f t="shared" si="2"/>
        <v/>
      </c>
      <c r="I169" s="3"/>
    </row>
    <row r="170" spans="1:9" hidden="1" x14ac:dyDescent="0.35">
      <c r="A170" s="6" t="s">
        <v>19</v>
      </c>
      <c r="B170" s="8" t="s">
        <v>416</v>
      </c>
      <c r="C170" s="9">
        <v>45887</v>
      </c>
      <c r="D170" s="8" t="s">
        <v>530</v>
      </c>
      <c r="E170" s="3"/>
      <c r="F170" s="8"/>
      <c r="G170" s="3"/>
      <c r="H170" s="15" t="str">
        <f t="shared" si="2"/>
        <v/>
      </c>
      <c r="I170" s="3"/>
    </row>
    <row r="171" spans="1:9" hidden="1" x14ac:dyDescent="0.35">
      <c r="A171" s="6" t="s">
        <v>19</v>
      </c>
      <c r="B171" s="8" t="s">
        <v>417</v>
      </c>
      <c r="C171" s="9">
        <v>45896</v>
      </c>
      <c r="D171" s="8" t="s">
        <v>530</v>
      </c>
      <c r="E171" s="3"/>
      <c r="F171" s="8"/>
      <c r="G171" s="3"/>
      <c r="H171" s="15" t="str">
        <f t="shared" si="2"/>
        <v/>
      </c>
      <c r="I171" s="3"/>
    </row>
    <row r="172" spans="1:9" hidden="1" x14ac:dyDescent="0.35">
      <c r="A172" s="6" t="s">
        <v>19</v>
      </c>
      <c r="B172" s="8" t="s">
        <v>418</v>
      </c>
      <c r="C172" s="9">
        <v>45896</v>
      </c>
      <c r="D172" s="8" t="s">
        <v>531</v>
      </c>
      <c r="E172" s="3"/>
      <c r="F172" s="8"/>
      <c r="G172" s="3"/>
      <c r="H172" s="15" t="str">
        <f t="shared" si="2"/>
        <v/>
      </c>
      <c r="I172" s="3"/>
    </row>
    <row r="173" spans="1:9" hidden="1" x14ac:dyDescent="0.35">
      <c r="A173" s="6" t="s">
        <v>19</v>
      </c>
      <c r="B173" s="8" t="s">
        <v>419</v>
      </c>
      <c r="C173" s="9">
        <v>45897</v>
      </c>
      <c r="D173" s="8" t="s">
        <v>532</v>
      </c>
      <c r="E173" s="8" t="s">
        <v>1011</v>
      </c>
      <c r="F173" s="8" t="s">
        <v>545</v>
      </c>
      <c r="G173" s="8" t="s">
        <v>955</v>
      </c>
      <c r="H173" s="15">
        <f t="shared" si="2"/>
        <v>1.6442770935758092E-5</v>
      </c>
      <c r="I173" s="3">
        <v>10</v>
      </c>
    </row>
    <row r="174" spans="1:9" hidden="1" x14ac:dyDescent="0.35">
      <c r="A174" s="6" t="s">
        <v>18</v>
      </c>
      <c r="B174" s="8" t="s">
        <v>420</v>
      </c>
      <c r="C174" s="9">
        <v>45903</v>
      </c>
      <c r="D174" s="8" t="s">
        <v>533</v>
      </c>
      <c r="E174" s="3"/>
      <c r="F174" s="8"/>
      <c r="G174" s="3"/>
      <c r="H174" s="15" t="str">
        <f t="shared" si="2"/>
        <v/>
      </c>
      <c r="I174" s="3"/>
    </row>
    <row r="175" spans="1:9" hidden="1" x14ac:dyDescent="0.35">
      <c r="A175" s="6" t="s">
        <v>18</v>
      </c>
      <c r="B175" s="8" t="s">
        <v>421</v>
      </c>
      <c r="C175" s="9">
        <v>45903</v>
      </c>
      <c r="D175" s="8" t="s">
        <v>446</v>
      </c>
      <c r="E175" s="3"/>
      <c r="F175" s="8"/>
      <c r="G175" s="3"/>
      <c r="H175" s="15" t="str">
        <f t="shared" si="2"/>
        <v/>
      </c>
      <c r="I175" s="3"/>
    </row>
    <row r="176" spans="1:9" hidden="1" x14ac:dyDescent="0.35">
      <c r="A176" s="6" t="s">
        <v>19</v>
      </c>
      <c r="B176" s="8" t="s">
        <v>422</v>
      </c>
      <c r="C176" s="9">
        <v>45916</v>
      </c>
      <c r="D176" s="8" t="s">
        <v>448</v>
      </c>
      <c r="E176" s="3"/>
      <c r="F176" s="8"/>
      <c r="G176" s="3"/>
      <c r="H176" s="15" t="str">
        <f t="shared" si="2"/>
        <v/>
      </c>
      <c r="I176" s="3"/>
    </row>
    <row r="177" spans="1:9" hidden="1" x14ac:dyDescent="0.35">
      <c r="A177" s="6" t="s">
        <v>19</v>
      </c>
      <c r="B177" s="8" t="s">
        <v>423</v>
      </c>
      <c r="C177" s="9">
        <v>45917</v>
      </c>
      <c r="D177" s="8" t="s">
        <v>534</v>
      </c>
      <c r="E177" s="3"/>
      <c r="F177" s="8"/>
      <c r="G177" s="3"/>
      <c r="H177" s="15" t="str">
        <f t="shared" si="2"/>
        <v/>
      </c>
      <c r="I177" s="3"/>
    </row>
    <row r="178" spans="1:9" hidden="1" x14ac:dyDescent="0.35">
      <c r="A178" s="6" t="s">
        <v>19</v>
      </c>
      <c r="B178" s="8" t="s">
        <v>424</v>
      </c>
      <c r="C178" s="9">
        <v>45917</v>
      </c>
      <c r="D178" s="8" t="s">
        <v>534</v>
      </c>
      <c r="E178" s="3"/>
      <c r="F178" s="8"/>
      <c r="G178" s="3"/>
      <c r="H178" s="15" t="str">
        <f t="shared" si="2"/>
        <v/>
      </c>
      <c r="I178" s="3"/>
    </row>
    <row r="179" spans="1:9" hidden="1" x14ac:dyDescent="0.35">
      <c r="A179" s="6" t="s">
        <v>18</v>
      </c>
      <c r="B179" s="8" t="s">
        <v>425</v>
      </c>
      <c r="C179" s="9">
        <v>45917</v>
      </c>
      <c r="D179" s="8" t="s">
        <v>535</v>
      </c>
      <c r="E179" s="3"/>
      <c r="F179" s="8"/>
      <c r="G179" s="3"/>
      <c r="H179" s="15" t="str">
        <f t="shared" si="2"/>
        <v/>
      </c>
      <c r="I179" s="3"/>
    </row>
  </sheetData>
  <autoFilter ref="A4:I179" xr:uid="{19867512-2C68-42AF-A958-3440CAF38E21}">
    <filterColumn colId="4">
      <colorFilter dxfId="2"/>
    </filterColumn>
    <filterColumn colId="5">
      <customFilters>
        <customFilter operator="notEqual" val=" "/>
      </customFilters>
    </filterColumn>
  </autoFilter>
  <mergeCells count="1">
    <mergeCell ref="A1:D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72"/>
  <sheetViews>
    <sheetView workbookViewId="0">
      <pane ySplit="4" topLeftCell="A62" activePane="bottomLeft" state="frozen"/>
      <selection pane="bottomLeft" activeCell="E112" sqref="E112"/>
    </sheetView>
  </sheetViews>
  <sheetFormatPr defaultRowHeight="14.5" x14ac:dyDescent="0.35"/>
  <cols>
    <col min="1" max="1" width="51.453125" customWidth="1"/>
    <col min="3" max="3" width="12.81640625" customWidth="1"/>
    <col min="4" max="4" width="19" bestFit="1" customWidth="1"/>
    <col min="5" max="5" width="19.36328125" bestFit="1" customWidth="1"/>
    <col min="6" max="6" width="34" bestFit="1" customWidth="1"/>
    <col min="7" max="7" width="14.81640625" bestFit="1" customWidth="1"/>
    <col min="8" max="9" width="12.08984375" bestFit="1" customWidth="1"/>
  </cols>
  <sheetData>
    <row r="1" spans="1:9" x14ac:dyDescent="0.35">
      <c r="A1" s="24" t="s">
        <v>3</v>
      </c>
      <c r="B1" s="24"/>
      <c r="C1" s="24"/>
      <c r="D1" s="24"/>
      <c r="E1" s="4" t="s">
        <v>233</v>
      </c>
    </row>
    <row r="2" spans="1:9" x14ac:dyDescent="0.35">
      <c r="A2" s="16"/>
      <c r="B2" s="16"/>
      <c r="C2" s="16"/>
      <c r="D2" s="16"/>
      <c r="E2" s="4" t="s">
        <v>1077</v>
      </c>
      <c r="F2" s="4"/>
    </row>
    <row r="4" spans="1:9" s="1" customFormat="1" ht="29" x14ac:dyDescent="0.35">
      <c r="A4" s="2" t="s">
        <v>1</v>
      </c>
      <c r="B4" s="3" t="s">
        <v>0</v>
      </c>
      <c r="C4" s="3" t="s">
        <v>2</v>
      </c>
      <c r="D4" s="3" t="s">
        <v>1071</v>
      </c>
      <c r="E4" s="3" t="s">
        <v>1080</v>
      </c>
      <c r="F4" s="3" t="s">
        <v>1075</v>
      </c>
      <c r="G4" s="3" t="s">
        <v>1074</v>
      </c>
      <c r="H4" s="3" t="s">
        <v>1072</v>
      </c>
      <c r="I4" s="3" t="s">
        <v>1073</v>
      </c>
    </row>
    <row r="5" spans="1:9" hidden="1" x14ac:dyDescent="0.35">
      <c r="A5" s="6" t="s">
        <v>85</v>
      </c>
      <c r="B5" s="8" t="s">
        <v>547</v>
      </c>
      <c r="C5" s="9">
        <v>45302</v>
      </c>
      <c r="D5" s="8" t="s">
        <v>693</v>
      </c>
      <c r="E5" s="3"/>
      <c r="F5" s="8"/>
      <c r="G5" s="3"/>
      <c r="H5" s="15" t="str">
        <f>IF(I5=0,"",I5/(D5*1000))</f>
        <v/>
      </c>
      <c r="I5" s="3"/>
    </row>
    <row r="6" spans="1:9" hidden="1" x14ac:dyDescent="0.35">
      <c r="A6" s="6" t="s">
        <v>85</v>
      </c>
      <c r="B6" s="8" t="s">
        <v>548</v>
      </c>
      <c r="C6" s="9">
        <v>45301</v>
      </c>
      <c r="D6" s="8" t="s">
        <v>694</v>
      </c>
      <c r="E6" s="3"/>
      <c r="F6" s="8"/>
      <c r="G6" s="3"/>
      <c r="H6" s="15" t="str">
        <f t="shared" ref="H6:H69" si="0">IF(I6=0,"",I6/(D6*1000))</f>
        <v/>
      </c>
      <c r="I6" s="3"/>
    </row>
    <row r="7" spans="1:9" hidden="1" x14ac:dyDescent="0.35">
      <c r="A7" s="6" t="s">
        <v>85</v>
      </c>
      <c r="B7" s="8" t="s">
        <v>549</v>
      </c>
      <c r="C7" s="9">
        <v>45302</v>
      </c>
      <c r="D7" s="8" t="s">
        <v>695</v>
      </c>
      <c r="E7" s="3"/>
      <c r="F7" s="8"/>
      <c r="G7" s="3"/>
      <c r="H7" s="15" t="str">
        <f t="shared" si="0"/>
        <v/>
      </c>
      <c r="I7" s="3"/>
    </row>
    <row r="8" spans="1:9" hidden="1" x14ac:dyDescent="0.35">
      <c r="A8" s="6" t="s">
        <v>85</v>
      </c>
      <c r="B8" s="8" t="s">
        <v>550</v>
      </c>
      <c r="C8" s="9">
        <v>45302</v>
      </c>
      <c r="D8" s="8" t="s">
        <v>696</v>
      </c>
      <c r="E8" s="3"/>
      <c r="F8" s="8"/>
      <c r="G8" s="3"/>
      <c r="H8" s="15" t="str">
        <f t="shared" si="0"/>
        <v/>
      </c>
      <c r="I8" s="3"/>
    </row>
    <row r="9" spans="1:9" hidden="1" x14ac:dyDescent="0.35">
      <c r="A9" s="6" t="s">
        <v>85</v>
      </c>
      <c r="B9" s="8" t="s">
        <v>551</v>
      </c>
      <c r="C9" s="9">
        <v>45303</v>
      </c>
      <c r="D9" s="8" t="s">
        <v>697</v>
      </c>
      <c r="E9" s="3"/>
      <c r="F9" s="8"/>
      <c r="G9" s="3"/>
      <c r="H9" s="15" t="str">
        <f t="shared" si="0"/>
        <v/>
      </c>
      <c r="I9" s="3"/>
    </row>
    <row r="10" spans="1:9" hidden="1" x14ac:dyDescent="0.35">
      <c r="A10" s="6" t="s">
        <v>85</v>
      </c>
      <c r="B10" s="8" t="s">
        <v>552</v>
      </c>
      <c r="C10" s="9">
        <v>45303</v>
      </c>
      <c r="D10" s="8" t="s">
        <v>698</v>
      </c>
      <c r="E10" s="3"/>
      <c r="F10" s="8"/>
      <c r="G10" s="3"/>
      <c r="H10" s="15" t="str">
        <f t="shared" si="0"/>
        <v/>
      </c>
      <c r="I10" s="3"/>
    </row>
    <row r="11" spans="1:9" hidden="1" x14ac:dyDescent="0.35">
      <c r="A11" s="6" t="s">
        <v>86</v>
      </c>
      <c r="B11" s="8" t="s">
        <v>553</v>
      </c>
      <c r="C11" s="9">
        <v>45308</v>
      </c>
      <c r="D11" s="8" t="s">
        <v>699</v>
      </c>
      <c r="E11" s="3"/>
      <c r="F11" s="8"/>
      <c r="G11" s="3"/>
      <c r="H11" s="15" t="str">
        <f t="shared" si="0"/>
        <v/>
      </c>
      <c r="I11" s="3"/>
    </row>
    <row r="12" spans="1:9" hidden="1" x14ac:dyDescent="0.35">
      <c r="A12" s="6" t="s">
        <v>86</v>
      </c>
      <c r="B12" s="8" t="s">
        <v>554</v>
      </c>
      <c r="C12" s="9">
        <v>45310</v>
      </c>
      <c r="D12" s="8" t="s">
        <v>700</v>
      </c>
      <c r="E12" s="3"/>
      <c r="F12" s="8"/>
      <c r="G12" s="3"/>
      <c r="H12" s="15" t="str">
        <f t="shared" si="0"/>
        <v/>
      </c>
      <c r="I12" s="3"/>
    </row>
    <row r="13" spans="1:9" hidden="1" x14ac:dyDescent="0.35">
      <c r="A13" s="6" t="s">
        <v>86</v>
      </c>
      <c r="B13" s="8" t="s">
        <v>555</v>
      </c>
      <c r="C13" s="9">
        <v>45328</v>
      </c>
      <c r="D13" s="8" t="s">
        <v>701</v>
      </c>
      <c r="E13" s="3"/>
      <c r="F13" s="8"/>
      <c r="G13" s="3"/>
      <c r="H13" s="15" t="str">
        <f t="shared" si="0"/>
        <v/>
      </c>
      <c r="I13" s="3"/>
    </row>
    <row r="14" spans="1:9" hidden="1" x14ac:dyDescent="0.35">
      <c r="A14" s="6" t="s">
        <v>84</v>
      </c>
      <c r="B14" s="8" t="s">
        <v>556</v>
      </c>
      <c r="C14" s="9">
        <v>45329</v>
      </c>
      <c r="D14" s="8" t="s">
        <v>702</v>
      </c>
      <c r="E14" s="3"/>
      <c r="F14" s="8"/>
      <c r="G14" s="3"/>
      <c r="H14" s="15" t="str">
        <f t="shared" si="0"/>
        <v/>
      </c>
      <c r="I14" s="3"/>
    </row>
    <row r="15" spans="1:9" hidden="1" x14ac:dyDescent="0.35">
      <c r="A15" s="6" t="s">
        <v>84</v>
      </c>
      <c r="B15" s="8" t="s">
        <v>557</v>
      </c>
      <c r="C15" s="9">
        <v>45329</v>
      </c>
      <c r="D15" s="8" t="s">
        <v>703</v>
      </c>
      <c r="E15" s="3"/>
      <c r="F15" s="8"/>
      <c r="G15" s="3"/>
      <c r="H15" s="15" t="str">
        <f t="shared" si="0"/>
        <v/>
      </c>
      <c r="I15" s="3"/>
    </row>
    <row r="16" spans="1:9" hidden="1" x14ac:dyDescent="0.35">
      <c r="A16" s="6" t="s">
        <v>84</v>
      </c>
      <c r="B16" s="8" t="s">
        <v>558</v>
      </c>
      <c r="C16" s="9">
        <v>45330</v>
      </c>
      <c r="D16" s="8" t="s">
        <v>704</v>
      </c>
      <c r="E16" s="3"/>
      <c r="F16" s="8"/>
      <c r="G16" s="3"/>
      <c r="H16" s="15" t="str">
        <f t="shared" si="0"/>
        <v/>
      </c>
      <c r="I16" s="3"/>
    </row>
    <row r="17" spans="1:9" hidden="1" x14ac:dyDescent="0.35">
      <c r="A17" s="6" t="s">
        <v>84</v>
      </c>
      <c r="B17" s="8" t="s">
        <v>559</v>
      </c>
      <c r="C17" s="9">
        <v>45330</v>
      </c>
      <c r="D17" s="8" t="s">
        <v>705</v>
      </c>
      <c r="E17" s="3"/>
      <c r="F17" s="8"/>
      <c r="G17" s="3"/>
      <c r="H17" s="15" t="str">
        <f t="shared" si="0"/>
        <v/>
      </c>
      <c r="I17" s="3"/>
    </row>
    <row r="18" spans="1:9" hidden="1" x14ac:dyDescent="0.35">
      <c r="A18" s="6" t="s">
        <v>85</v>
      </c>
      <c r="B18" s="8" t="s">
        <v>560</v>
      </c>
      <c r="C18" s="9">
        <v>45330</v>
      </c>
      <c r="D18" s="8" t="s">
        <v>706</v>
      </c>
      <c r="E18" s="3"/>
      <c r="F18" s="8"/>
      <c r="G18" s="3"/>
      <c r="H18" s="15" t="str">
        <f t="shared" si="0"/>
        <v/>
      </c>
      <c r="I18" s="3"/>
    </row>
    <row r="19" spans="1:9" hidden="1" x14ac:dyDescent="0.35">
      <c r="A19" s="6" t="s">
        <v>85</v>
      </c>
      <c r="B19" s="8" t="s">
        <v>561</v>
      </c>
      <c r="C19" s="9">
        <v>45330</v>
      </c>
      <c r="D19" s="8" t="s">
        <v>695</v>
      </c>
      <c r="E19" s="3"/>
      <c r="F19" s="8"/>
      <c r="G19" s="3"/>
      <c r="H19" s="15" t="str">
        <f t="shared" si="0"/>
        <v/>
      </c>
      <c r="I19" s="3"/>
    </row>
    <row r="20" spans="1:9" hidden="1" x14ac:dyDescent="0.35">
      <c r="A20" s="6" t="s">
        <v>86</v>
      </c>
      <c r="B20" s="8" t="s">
        <v>562</v>
      </c>
      <c r="C20" s="9">
        <v>45336</v>
      </c>
      <c r="D20" s="8" t="s">
        <v>707</v>
      </c>
      <c r="E20" s="3"/>
      <c r="F20" s="8"/>
      <c r="G20" s="3"/>
      <c r="H20" s="15" t="str">
        <f t="shared" si="0"/>
        <v/>
      </c>
      <c r="I20" s="3"/>
    </row>
    <row r="21" spans="1:9" hidden="1" x14ac:dyDescent="0.35">
      <c r="A21" s="6" t="s">
        <v>86</v>
      </c>
      <c r="B21" s="8" t="s">
        <v>563</v>
      </c>
      <c r="C21" s="9">
        <v>45338</v>
      </c>
      <c r="D21" s="8" t="s">
        <v>708</v>
      </c>
      <c r="E21" s="3"/>
      <c r="F21" s="8"/>
      <c r="G21" s="3"/>
      <c r="H21" s="15" t="str">
        <f t="shared" si="0"/>
        <v/>
      </c>
      <c r="I21" s="3"/>
    </row>
    <row r="22" spans="1:9" hidden="1" x14ac:dyDescent="0.35">
      <c r="A22" s="6" t="s">
        <v>86</v>
      </c>
      <c r="B22" s="8" t="s">
        <v>564</v>
      </c>
      <c r="C22" s="9">
        <v>45341</v>
      </c>
      <c r="D22" s="8" t="s">
        <v>695</v>
      </c>
      <c r="E22" s="3"/>
      <c r="F22" s="8"/>
      <c r="G22" s="3"/>
      <c r="H22" s="15" t="str">
        <f t="shared" si="0"/>
        <v/>
      </c>
      <c r="I22" s="3"/>
    </row>
    <row r="23" spans="1:9" hidden="1" x14ac:dyDescent="0.35">
      <c r="A23" s="6" t="s">
        <v>84</v>
      </c>
      <c r="B23" s="8" t="s">
        <v>565</v>
      </c>
      <c r="C23" s="9">
        <v>45342</v>
      </c>
      <c r="D23" s="8" t="s">
        <v>709</v>
      </c>
      <c r="E23" s="3"/>
      <c r="F23" s="8"/>
      <c r="G23" s="3"/>
      <c r="H23" s="15" t="str">
        <f t="shared" si="0"/>
        <v/>
      </c>
      <c r="I23" s="3"/>
    </row>
    <row r="24" spans="1:9" hidden="1" x14ac:dyDescent="0.35">
      <c r="A24" s="6" t="s">
        <v>84</v>
      </c>
      <c r="B24" s="8" t="s">
        <v>566</v>
      </c>
      <c r="C24" s="9">
        <v>45342</v>
      </c>
      <c r="D24" s="8" t="s">
        <v>705</v>
      </c>
      <c r="E24" s="3"/>
      <c r="F24" s="8"/>
      <c r="G24" s="3"/>
      <c r="H24" s="15" t="str">
        <f t="shared" si="0"/>
        <v/>
      </c>
      <c r="I24" s="3"/>
    </row>
    <row r="25" spans="1:9" hidden="1" x14ac:dyDescent="0.35">
      <c r="A25" s="6" t="s">
        <v>86</v>
      </c>
      <c r="B25" s="8" t="s">
        <v>567</v>
      </c>
      <c r="C25" s="9">
        <v>45343</v>
      </c>
      <c r="D25" s="8" t="s">
        <v>710</v>
      </c>
      <c r="E25" s="3"/>
      <c r="F25" s="8"/>
      <c r="G25" s="3"/>
      <c r="H25" s="15" t="str">
        <f t="shared" si="0"/>
        <v/>
      </c>
      <c r="I25" s="3"/>
    </row>
    <row r="26" spans="1:9" hidden="1" x14ac:dyDescent="0.35">
      <c r="A26" s="6" t="s">
        <v>86</v>
      </c>
      <c r="B26" s="8" t="s">
        <v>568</v>
      </c>
      <c r="C26" s="9">
        <v>45344</v>
      </c>
      <c r="D26" s="8" t="s">
        <v>695</v>
      </c>
      <c r="E26" s="3"/>
      <c r="F26" s="8"/>
      <c r="G26" s="3"/>
      <c r="H26" s="15" t="str">
        <f t="shared" si="0"/>
        <v/>
      </c>
      <c r="I26" s="3"/>
    </row>
    <row r="27" spans="1:9" hidden="1" x14ac:dyDescent="0.35">
      <c r="A27" s="6" t="s">
        <v>86</v>
      </c>
      <c r="B27" s="8" t="s">
        <v>569</v>
      </c>
      <c r="C27" s="9">
        <v>45345</v>
      </c>
      <c r="D27" s="8" t="s">
        <v>710</v>
      </c>
      <c r="E27" s="3"/>
      <c r="F27" s="8"/>
      <c r="G27" s="3"/>
      <c r="H27" s="15" t="str">
        <f t="shared" si="0"/>
        <v/>
      </c>
      <c r="I27" s="3"/>
    </row>
    <row r="28" spans="1:9" hidden="1" x14ac:dyDescent="0.35">
      <c r="A28" s="6" t="s">
        <v>85</v>
      </c>
      <c r="B28" s="8" t="s">
        <v>570</v>
      </c>
      <c r="C28" s="9">
        <v>45357</v>
      </c>
      <c r="D28" s="8" t="s">
        <v>711</v>
      </c>
      <c r="E28" s="3"/>
      <c r="F28" s="8"/>
      <c r="G28" s="3"/>
      <c r="H28" s="15" t="str">
        <f t="shared" si="0"/>
        <v/>
      </c>
      <c r="I28" s="3"/>
    </row>
    <row r="29" spans="1:9" hidden="1" x14ac:dyDescent="0.35">
      <c r="A29" s="6" t="s">
        <v>85</v>
      </c>
      <c r="B29" s="8" t="s">
        <v>571</v>
      </c>
      <c r="C29" s="9">
        <v>45357</v>
      </c>
      <c r="D29" s="8" t="s">
        <v>712</v>
      </c>
      <c r="E29" s="3"/>
      <c r="F29" s="8"/>
      <c r="G29" s="3"/>
      <c r="H29" s="15" t="str">
        <f t="shared" si="0"/>
        <v/>
      </c>
      <c r="I29" s="3"/>
    </row>
    <row r="30" spans="1:9" hidden="1" x14ac:dyDescent="0.35">
      <c r="A30" s="6" t="s">
        <v>86</v>
      </c>
      <c r="B30" s="8" t="s">
        <v>572</v>
      </c>
      <c r="C30" s="9">
        <v>45364</v>
      </c>
      <c r="D30" s="8" t="s">
        <v>713</v>
      </c>
      <c r="E30" s="3"/>
      <c r="F30" s="8"/>
      <c r="G30" s="3"/>
      <c r="H30" s="15" t="str">
        <f t="shared" si="0"/>
        <v/>
      </c>
      <c r="I30" s="3"/>
    </row>
    <row r="31" spans="1:9" hidden="1" x14ac:dyDescent="0.35">
      <c r="A31" s="6" t="s">
        <v>84</v>
      </c>
      <c r="B31" s="8" t="s">
        <v>573</v>
      </c>
      <c r="C31" s="9">
        <v>45365</v>
      </c>
      <c r="D31" s="8" t="s">
        <v>714</v>
      </c>
      <c r="E31" s="3"/>
      <c r="F31" s="8"/>
      <c r="G31" s="3"/>
      <c r="H31" s="15" t="str">
        <f t="shared" si="0"/>
        <v/>
      </c>
      <c r="I31" s="3"/>
    </row>
    <row r="32" spans="1:9" hidden="1" x14ac:dyDescent="0.35">
      <c r="A32" s="6"/>
      <c r="B32" s="8" t="s">
        <v>574</v>
      </c>
      <c r="C32" s="9">
        <v>45365</v>
      </c>
      <c r="D32" s="8" t="s">
        <v>715</v>
      </c>
      <c r="E32" s="3"/>
      <c r="F32" s="8"/>
      <c r="G32" s="3"/>
      <c r="H32" s="15" t="str">
        <f t="shared" si="0"/>
        <v/>
      </c>
      <c r="I32" s="3"/>
    </row>
    <row r="33" spans="1:9" hidden="1" x14ac:dyDescent="0.35">
      <c r="A33" s="6" t="s">
        <v>86</v>
      </c>
      <c r="B33" s="8" t="s">
        <v>575</v>
      </c>
      <c r="C33" s="9">
        <v>45376</v>
      </c>
      <c r="D33" s="8" t="s">
        <v>716</v>
      </c>
      <c r="E33" s="3"/>
      <c r="F33" s="8"/>
      <c r="G33" s="3"/>
      <c r="H33" s="15" t="str">
        <f t="shared" si="0"/>
        <v/>
      </c>
      <c r="I33" s="3"/>
    </row>
    <row r="34" spans="1:9" hidden="1" x14ac:dyDescent="0.35">
      <c r="A34" s="6" t="s">
        <v>86</v>
      </c>
      <c r="B34" s="8" t="s">
        <v>576</v>
      </c>
      <c r="C34" s="9">
        <v>45387</v>
      </c>
      <c r="D34" s="8" t="s">
        <v>717</v>
      </c>
      <c r="E34" s="3"/>
      <c r="F34" s="8"/>
      <c r="G34" s="3"/>
      <c r="H34" s="15" t="str">
        <f t="shared" si="0"/>
        <v/>
      </c>
      <c r="I34" s="3"/>
    </row>
    <row r="35" spans="1:9" hidden="1" x14ac:dyDescent="0.35">
      <c r="A35" s="6" t="s">
        <v>84</v>
      </c>
      <c r="B35" s="8" t="s">
        <v>577</v>
      </c>
      <c r="C35" s="9">
        <v>45390</v>
      </c>
      <c r="D35" s="8" t="s">
        <v>718</v>
      </c>
      <c r="E35" s="3"/>
      <c r="F35" s="8"/>
      <c r="G35" s="3"/>
      <c r="H35" s="15" t="str">
        <f t="shared" si="0"/>
        <v/>
      </c>
      <c r="I35" s="3"/>
    </row>
    <row r="36" spans="1:9" hidden="1" x14ac:dyDescent="0.35">
      <c r="A36" s="6"/>
      <c r="B36" s="8" t="s">
        <v>578</v>
      </c>
      <c r="C36" s="9">
        <v>45390</v>
      </c>
      <c r="D36" s="8" t="s">
        <v>719</v>
      </c>
      <c r="E36" s="3"/>
      <c r="F36" s="8"/>
      <c r="G36" s="3"/>
      <c r="H36" s="15" t="str">
        <f t="shared" si="0"/>
        <v/>
      </c>
      <c r="I36" s="3"/>
    </row>
    <row r="37" spans="1:9" hidden="1" x14ac:dyDescent="0.35">
      <c r="A37" s="6" t="s">
        <v>86</v>
      </c>
      <c r="B37" s="8" t="s">
        <v>579</v>
      </c>
      <c r="C37" s="9">
        <v>45405</v>
      </c>
      <c r="D37" s="8" t="s">
        <v>720</v>
      </c>
      <c r="E37" s="3"/>
      <c r="F37" s="8"/>
      <c r="G37" s="3"/>
      <c r="H37" s="15" t="str">
        <f t="shared" si="0"/>
        <v/>
      </c>
      <c r="I37" s="3"/>
    </row>
    <row r="38" spans="1:9" hidden="1" x14ac:dyDescent="0.35">
      <c r="A38" s="6" t="s">
        <v>86</v>
      </c>
      <c r="B38" s="8" t="s">
        <v>580</v>
      </c>
      <c r="C38" s="9">
        <v>45406</v>
      </c>
      <c r="D38" s="8" t="s">
        <v>721</v>
      </c>
      <c r="E38" s="3"/>
      <c r="F38" s="8"/>
      <c r="G38" s="3"/>
      <c r="H38" s="15" t="str">
        <f t="shared" si="0"/>
        <v/>
      </c>
      <c r="I38" s="3"/>
    </row>
    <row r="39" spans="1:9" hidden="1" x14ac:dyDescent="0.35">
      <c r="A39" s="6" t="s">
        <v>86</v>
      </c>
      <c r="B39" s="8" t="s">
        <v>581</v>
      </c>
      <c r="C39" s="9">
        <v>45420</v>
      </c>
      <c r="D39" s="8" t="s">
        <v>722</v>
      </c>
      <c r="E39" s="3"/>
      <c r="F39" s="8"/>
      <c r="G39" s="3"/>
      <c r="H39" s="15" t="str">
        <f t="shared" si="0"/>
        <v/>
      </c>
      <c r="I39" s="3"/>
    </row>
    <row r="40" spans="1:9" hidden="1" x14ac:dyDescent="0.35">
      <c r="A40" s="6" t="s">
        <v>86</v>
      </c>
      <c r="B40" s="8" t="s">
        <v>582</v>
      </c>
      <c r="C40" s="9">
        <v>45426</v>
      </c>
      <c r="D40" s="8" t="s">
        <v>723</v>
      </c>
      <c r="E40" s="3"/>
      <c r="F40" s="8"/>
      <c r="G40" s="3"/>
      <c r="H40" s="15" t="str">
        <f t="shared" si="0"/>
        <v/>
      </c>
      <c r="I40" s="3"/>
    </row>
    <row r="41" spans="1:9" hidden="1" x14ac:dyDescent="0.35">
      <c r="A41" s="6" t="s">
        <v>86</v>
      </c>
      <c r="B41" s="8" t="s">
        <v>583</v>
      </c>
      <c r="C41" s="9">
        <v>45427</v>
      </c>
      <c r="D41" s="8" t="s">
        <v>710</v>
      </c>
      <c r="E41" s="3"/>
      <c r="F41" s="8"/>
      <c r="G41" s="3"/>
      <c r="H41" s="15" t="str">
        <f t="shared" si="0"/>
        <v/>
      </c>
      <c r="I41" s="3"/>
    </row>
    <row r="42" spans="1:9" hidden="1" x14ac:dyDescent="0.35">
      <c r="A42" s="6" t="s">
        <v>85</v>
      </c>
      <c r="B42" s="8" t="s">
        <v>584</v>
      </c>
      <c r="C42" s="9">
        <v>45436</v>
      </c>
      <c r="D42" s="8" t="s">
        <v>724</v>
      </c>
      <c r="E42" s="3"/>
      <c r="F42" s="8"/>
      <c r="G42" s="3"/>
      <c r="H42" s="15" t="str">
        <f t="shared" si="0"/>
        <v/>
      </c>
      <c r="I42" s="3"/>
    </row>
    <row r="43" spans="1:9" hidden="1" x14ac:dyDescent="0.35">
      <c r="A43" s="6"/>
      <c r="B43" s="8" t="s">
        <v>585</v>
      </c>
      <c r="C43" s="9">
        <v>45436</v>
      </c>
      <c r="D43" s="8" t="s">
        <v>712</v>
      </c>
      <c r="E43" s="3"/>
      <c r="F43" s="8"/>
      <c r="G43" s="3"/>
      <c r="H43" s="15" t="str">
        <f t="shared" si="0"/>
        <v/>
      </c>
      <c r="I43" s="3"/>
    </row>
    <row r="44" spans="1:9" hidden="1" x14ac:dyDescent="0.35">
      <c r="A44" s="6" t="s">
        <v>85</v>
      </c>
      <c r="B44" s="8" t="s">
        <v>586</v>
      </c>
      <c r="C44" s="9">
        <v>45440</v>
      </c>
      <c r="D44" s="8" t="s">
        <v>725</v>
      </c>
      <c r="E44" s="3"/>
      <c r="F44" s="8"/>
      <c r="G44" s="3"/>
      <c r="H44" s="15" t="str">
        <f t="shared" si="0"/>
        <v/>
      </c>
      <c r="I44" s="3"/>
    </row>
    <row r="45" spans="1:9" hidden="1" x14ac:dyDescent="0.35">
      <c r="A45" s="6"/>
      <c r="B45" s="8" t="s">
        <v>587</v>
      </c>
      <c r="C45" s="9">
        <v>45440</v>
      </c>
      <c r="D45" s="8" t="s">
        <v>723</v>
      </c>
      <c r="E45" s="3"/>
      <c r="F45" s="8"/>
      <c r="G45" s="3"/>
      <c r="H45" s="15" t="str">
        <f t="shared" si="0"/>
        <v/>
      </c>
      <c r="I45" s="3"/>
    </row>
    <row r="46" spans="1:9" hidden="1" x14ac:dyDescent="0.35">
      <c r="A46" s="6" t="s">
        <v>86</v>
      </c>
      <c r="B46" s="8" t="s">
        <v>588</v>
      </c>
      <c r="C46" s="9">
        <v>45447</v>
      </c>
      <c r="D46" s="8" t="s">
        <v>726</v>
      </c>
      <c r="E46" s="3"/>
      <c r="F46" s="8"/>
      <c r="G46" s="3"/>
      <c r="H46" s="15" t="str">
        <f t="shared" si="0"/>
        <v/>
      </c>
      <c r="I46" s="3"/>
    </row>
    <row r="47" spans="1:9" hidden="1" x14ac:dyDescent="0.35">
      <c r="A47" s="6" t="s">
        <v>84</v>
      </c>
      <c r="B47" s="8" t="s">
        <v>589</v>
      </c>
      <c r="C47" s="9">
        <v>45454</v>
      </c>
      <c r="D47" s="8" t="s">
        <v>727</v>
      </c>
      <c r="E47" s="3"/>
      <c r="F47" s="8"/>
      <c r="G47" s="3"/>
      <c r="H47" s="15" t="str">
        <f t="shared" si="0"/>
        <v/>
      </c>
      <c r="I47" s="3"/>
    </row>
    <row r="48" spans="1:9" hidden="1" x14ac:dyDescent="0.35">
      <c r="A48" s="6"/>
      <c r="B48" s="8" t="s">
        <v>590</v>
      </c>
      <c r="C48" s="9">
        <v>45454</v>
      </c>
      <c r="D48" s="8" t="s">
        <v>720</v>
      </c>
      <c r="E48" s="3"/>
      <c r="F48" s="8"/>
      <c r="G48" s="3"/>
      <c r="H48" s="15" t="str">
        <f t="shared" si="0"/>
        <v/>
      </c>
      <c r="I48" s="3"/>
    </row>
    <row r="49" spans="1:9" hidden="1" x14ac:dyDescent="0.35">
      <c r="A49" s="6" t="s">
        <v>86</v>
      </c>
      <c r="B49" s="8" t="s">
        <v>591</v>
      </c>
      <c r="C49" s="9">
        <v>45455</v>
      </c>
      <c r="D49" s="8" t="s">
        <v>728</v>
      </c>
      <c r="E49" s="3"/>
      <c r="F49" s="8"/>
      <c r="G49" s="3"/>
      <c r="H49" s="15" t="str">
        <f t="shared" si="0"/>
        <v/>
      </c>
      <c r="I49" s="3"/>
    </row>
    <row r="50" spans="1:9" hidden="1" x14ac:dyDescent="0.35">
      <c r="A50" s="6" t="s">
        <v>86</v>
      </c>
      <c r="B50" s="8" t="s">
        <v>592</v>
      </c>
      <c r="C50" s="9">
        <v>45456</v>
      </c>
      <c r="D50" s="8" t="s">
        <v>720</v>
      </c>
      <c r="E50" s="3"/>
      <c r="F50" s="8"/>
      <c r="G50" s="3"/>
      <c r="H50" s="15" t="str">
        <f t="shared" si="0"/>
        <v/>
      </c>
      <c r="I50" s="3"/>
    </row>
    <row r="51" spans="1:9" hidden="1" x14ac:dyDescent="0.35">
      <c r="A51" s="6" t="s">
        <v>86</v>
      </c>
      <c r="B51" s="8" t="s">
        <v>593</v>
      </c>
      <c r="C51" s="9">
        <v>45461</v>
      </c>
      <c r="D51" s="8" t="s">
        <v>720</v>
      </c>
      <c r="E51" s="3"/>
      <c r="F51" s="8"/>
      <c r="G51" s="3"/>
      <c r="H51" s="15" t="str">
        <f t="shared" si="0"/>
        <v/>
      </c>
      <c r="I51" s="3"/>
    </row>
    <row r="52" spans="1:9" hidden="1" x14ac:dyDescent="0.35">
      <c r="A52" s="6" t="s">
        <v>86</v>
      </c>
      <c r="B52" s="8" t="s">
        <v>594</v>
      </c>
      <c r="C52" s="9">
        <v>45462</v>
      </c>
      <c r="D52" s="8" t="s">
        <v>710</v>
      </c>
      <c r="E52" s="3"/>
      <c r="F52" s="8"/>
      <c r="G52" s="3"/>
      <c r="H52" s="15" t="str">
        <f t="shared" si="0"/>
        <v/>
      </c>
      <c r="I52" s="3"/>
    </row>
    <row r="53" spans="1:9" hidden="1" x14ac:dyDescent="0.35">
      <c r="A53" s="6" t="s">
        <v>83</v>
      </c>
      <c r="B53" s="8" t="s">
        <v>595</v>
      </c>
      <c r="C53" s="9">
        <v>45468</v>
      </c>
      <c r="D53" s="8" t="s">
        <v>720</v>
      </c>
      <c r="E53" s="3"/>
      <c r="F53" s="8"/>
      <c r="G53" s="3"/>
      <c r="H53" s="15" t="str">
        <f t="shared" si="0"/>
        <v/>
      </c>
      <c r="I53" s="3"/>
    </row>
    <row r="54" spans="1:9" hidden="1" x14ac:dyDescent="0.35">
      <c r="A54" s="6" t="s">
        <v>83</v>
      </c>
      <c r="B54" s="8" t="s">
        <v>596</v>
      </c>
      <c r="C54" s="9">
        <v>45471</v>
      </c>
      <c r="D54" s="8" t="s">
        <v>710</v>
      </c>
      <c r="E54" s="3"/>
      <c r="F54" s="8"/>
      <c r="G54" s="3"/>
      <c r="H54" s="15" t="str">
        <f t="shared" si="0"/>
        <v/>
      </c>
      <c r="I54" s="3"/>
    </row>
    <row r="55" spans="1:9" hidden="1" x14ac:dyDescent="0.35">
      <c r="A55" s="6" t="s">
        <v>83</v>
      </c>
      <c r="B55" s="8" t="s">
        <v>597</v>
      </c>
      <c r="C55" s="9">
        <v>45474</v>
      </c>
      <c r="D55" s="8" t="s">
        <v>729</v>
      </c>
      <c r="E55" s="3"/>
      <c r="F55" s="8"/>
      <c r="G55" s="3"/>
      <c r="H55" s="15" t="str">
        <f t="shared" si="0"/>
        <v/>
      </c>
      <c r="I55" s="3"/>
    </row>
    <row r="56" spans="1:9" hidden="1" x14ac:dyDescent="0.35">
      <c r="A56" s="6" t="s">
        <v>83</v>
      </c>
      <c r="B56" s="8" t="s">
        <v>87</v>
      </c>
      <c r="C56" s="9">
        <v>45484</v>
      </c>
      <c r="D56" s="8" t="s">
        <v>128</v>
      </c>
      <c r="E56" s="8" t="s">
        <v>1016</v>
      </c>
      <c r="F56" s="8" t="s">
        <v>109</v>
      </c>
      <c r="G56" s="8" t="s">
        <v>1018</v>
      </c>
      <c r="H56" s="15">
        <f t="shared" si="0"/>
        <v>5.4777733477372684E-5</v>
      </c>
      <c r="I56" s="3">
        <v>70</v>
      </c>
    </row>
    <row r="57" spans="1:9" hidden="1" x14ac:dyDescent="0.35">
      <c r="A57" s="6" t="s">
        <v>84</v>
      </c>
      <c r="B57" s="8" t="s">
        <v>598</v>
      </c>
      <c r="C57" s="9">
        <v>45499</v>
      </c>
      <c r="D57" s="8" t="s">
        <v>726</v>
      </c>
      <c r="E57" s="8"/>
      <c r="F57" s="8"/>
      <c r="G57" s="3"/>
      <c r="H57" s="15" t="str">
        <f t="shared" si="0"/>
        <v/>
      </c>
      <c r="I57" s="3"/>
    </row>
    <row r="58" spans="1:9" hidden="1" x14ac:dyDescent="0.35">
      <c r="A58" s="6" t="s">
        <v>84</v>
      </c>
      <c r="B58" s="8" t="s">
        <v>599</v>
      </c>
      <c r="C58" s="9">
        <v>45499</v>
      </c>
      <c r="D58" s="8" t="s">
        <v>730</v>
      </c>
      <c r="E58" s="8"/>
      <c r="F58" s="8"/>
      <c r="G58" s="3"/>
      <c r="H58" s="15" t="str">
        <f t="shared" si="0"/>
        <v/>
      </c>
      <c r="I58" s="3"/>
    </row>
    <row r="59" spans="1:9" hidden="1" x14ac:dyDescent="0.35">
      <c r="A59" s="6" t="s">
        <v>83</v>
      </c>
      <c r="B59" s="8" t="s">
        <v>88</v>
      </c>
      <c r="C59" s="9">
        <v>45504</v>
      </c>
      <c r="D59" s="8" t="s">
        <v>129</v>
      </c>
      <c r="E59" s="8" t="s">
        <v>1017</v>
      </c>
      <c r="F59" s="8" t="s">
        <v>110</v>
      </c>
      <c r="G59" s="8" t="s">
        <v>1018</v>
      </c>
      <c r="H59" s="15">
        <f t="shared" si="0"/>
        <v>6.2602428332544409E-5</v>
      </c>
      <c r="I59" s="3">
        <v>80</v>
      </c>
    </row>
    <row r="60" spans="1:9" hidden="1" x14ac:dyDescent="0.35">
      <c r="A60" s="6" t="s">
        <v>83</v>
      </c>
      <c r="B60" s="8" t="s">
        <v>89</v>
      </c>
      <c r="C60" s="9">
        <v>45506</v>
      </c>
      <c r="D60" s="8" t="s">
        <v>130</v>
      </c>
      <c r="E60" s="8" t="s">
        <v>1022</v>
      </c>
      <c r="F60" s="8" t="s">
        <v>111</v>
      </c>
      <c r="G60" s="8" t="s">
        <v>1018</v>
      </c>
      <c r="H60" s="15">
        <f t="shared" si="0"/>
        <v>5.9243802234314178E-5</v>
      </c>
      <c r="I60" s="3">
        <v>36</v>
      </c>
    </row>
    <row r="61" spans="1:9" hidden="1" x14ac:dyDescent="0.35">
      <c r="A61" s="6" t="s">
        <v>84</v>
      </c>
      <c r="B61" s="8" t="s">
        <v>90</v>
      </c>
      <c r="C61" s="9">
        <v>45511</v>
      </c>
      <c r="D61" s="8" t="s">
        <v>131</v>
      </c>
      <c r="E61" s="8" t="s">
        <v>1023</v>
      </c>
      <c r="F61" s="8" t="s">
        <v>112</v>
      </c>
      <c r="G61" s="8" t="s">
        <v>1018</v>
      </c>
      <c r="H61" s="15">
        <f t="shared" si="0"/>
        <v>6.3170113166625654E-5</v>
      </c>
      <c r="I61" s="3">
        <v>48</v>
      </c>
    </row>
    <row r="62" spans="1:9" x14ac:dyDescent="0.35">
      <c r="A62" s="6"/>
      <c r="B62" s="8" t="s">
        <v>91</v>
      </c>
      <c r="C62" s="9">
        <v>45511</v>
      </c>
      <c r="D62" s="8" t="s">
        <v>132</v>
      </c>
      <c r="E62" s="19"/>
      <c r="F62" s="8" t="s">
        <v>113</v>
      </c>
      <c r="G62" s="8" t="s">
        <v>1018</v>
      </c>
      <c r="H62" s="15">
        <f t="shared" si="0"/>
        <v>6.3172316311684308E-5</v>
      </c>
      <c r="I62" s="3">
        <v>48</v>
      </c>
    </row>
    <row r="63" spans="1:9" hidden="1" x14ac:dyDescent="0.35">
      <c r="A63" s="6" t="s">
        <v>84</v>
      </c>
      <c r="B63" s="8" t="s">
        <v>600</v>
      </c>
      <c r="C63" s="9">
        <v>45538</v>
      </c>
      <c r="D63" s="8" t="s">
        <v>731</v>
      </c>
      <c r="E63" s="8"/>
      <c r="F63" s="8"/>
      <c r="G63" s="3"/>
      <c r="H63" s="15" t="str">
        <f t="shared" si="0"/>
        <v/>
      </c>
      <c r="I63" s="3"/>
    </row>
    <row r="64" spans="1:9" hidden="1" x14ac:dyDescent="0.35">
      <c r="A64" s="6"/>
      <c r="B64" s="8" t="s">
        <v>601</v>
      </c>
      <c r="C64" s="9">
        <v>45538</v>
      </c>
      <c r="D64" s="8" t="s">
        <v>732</v>
      </c>
      <c r="E64" s="8"/>
      <c r="F64" s="8"/>
      <c r="G64" s="3"/>
      <c r="H64" s="15" t="str">
        <f t="shared" si="0"/>
        <v/>
      </c>
      <c r="I64" s="3"/>
    </row>
    <row r="65" spans="1:9" hidden="1" x14ac:dyDescent="0.35">
      <c r="A65" s="6" t="s">
        <v>84</v>
      </c>
      <c r="B65" s="8" t="s">
        <v>602</v>
      </c>
      <c r="C65" s="9">
        <v>45540</v>
      </c>
      <c r="D65" s="8" t="s">
        <v>733</v>
      </c>
      <c r="E65" s="8"/>
      <c r="F65" s="8"/>
      <c r="G65" s="3"/>
      <c r="H65" s="15" t="str">
        <f t="shared" si="0"/>
        <v/>
      </c>
      <c r="I65" s="3"/>
    </row>
    <row r="66" spans="1:9" hidden="1" x14ac:dyDescent="0.35">
      <c r="A66" s="6" t="s">
        <v>84</v>
      </c>
      <c r="B66" s="8" t="s">
        <v>603</v>
      </c>
      <c r="C66" s="9">
        <v>45540</v>
      </c>
      <c r="D66" s="8" t="s">
        <v>734</v>
      </c>
      <c r="E66" s="8"/>
      <c r="F66" s="8"/>
      <c r="G66" s="3"/>
      <c r="H66" s="15" t="str">
        <f t="shared" si="0"/>
        <v/>
      </c>
      <c r="I66" s="3"/>
    </row>
    <row r="67" spans="1:9" hidden="1" x14ac:dyDescent="0.35">
      <c r="A67" s="6" t="s">
        <v>84</v>
      </c>
      <c r="B67" s="8" t="s">
        <v>92</v>
      </c>
      <c r="C67" s="9">
        <v>45541</v>
      </c>
      <c r="D67" s="8" t="s">
        <v>133</v>
      </c>
      <c r="E67" s="8" t="s">
        <v>1024</v>
      </c>
      <c r="F67" s="8" t="s">
        <v>114</v>
      </c>
      <c r="G67" s="8" t="s">
        <v>1019</v>
      </c>
      <c r="H67" s="15">
        <f t="shared" si="0"/>
        <v>8.2410921622763351E-6</v>
      </c>
      <c r="I67" s="3">
        <v>5</v>
      </c>
    </row>
    <row r="68" spans="1:9" x14ac:dyDescent="0.35">
      <c r="A68" s="6"/>
      <c r="B68" s="8" t="s">
        <v>93</v>
      </c>
      <c r="C68" s="9">
        <v>45541</v>
      </c>
      <c r="D68" s="8" t="s">
        <v>134</v>
      </c>
      <c r="E68" s="19"/>
      <c r="F68" s="8" t="s">
        <v>114</v>
      </c>
      <c r="G68" s="8" t="s">
        <v>1019</v>
      </c>
      <c r="H68" s="15">
        <f t="shared" si="0"/>
        <v>8.2282002474055255E-6</v>
      </c>
      <c r="I68" s="3">
        <v>5</v>
      </c>
    </row>
    <row r="69" spans="1:9" hidden="1" x14ac:dyDescent="0.35">
      <c r="A69" s="6" t="s">
        <v>83</v>
      </c>
      <c r="B69" s="8" t="s">
        <v>604</v>
      </c>
      <c r="C69" s="9">
        <v>45551</v>
      </c>
      <c r="D69" s="8" t="s">
        <v>735</v>
      </c>
      <c r="E69" s="8"/>
      <c r="F69" s="8"/>
      <c r="G69" s="3"/>
      <c r="H69" s="15" t="str">
        <f t="shared" si="0"/>
        <v/>
      </c>
      <c r="I69" s="3"/>
    </row>
    <row r="70" spans="1:9" hidden="1" x14ac:dyDescent="0.35">
      <c r="A70" s="6" t="s">
        <v>83</v>
      </c>
      <c r="B70" s="8" t="s">
        <v>94</v>
      </c>
      <c r="C70" s="9">
        <v>45552</v>
      </c>
      <c r="D70" s="8" t="s">
        <v>135</v>
      </c>
      <c r="E70" s="8" t="s">
        <v>1025</v>
      </c>
      <c r="F70" s="8" t="s">
        <v>115</v>
      </c>
      <c r="G70" s="8" t="s">
        <v>1019</v>
      </c>
      <c r="H70" s="15">
        <f t="shared" ref="H70:H133" si="1">IF(I70=0,"",I70/(D70*1000))</f>
        <v>2.468465761310222E-5</v>
      </c>
      <c r="I70" s="3">
        <v>15</v>
      </c>
    </row>
    <row r="71" spans="1:9" hidden="1" x14ac:dyDescent="0.35">
      <c r="A71" s="6" t="s">
        <v>84</v>
      </c>
      <c r="B71" s="8" t="s">
        <v>605</v>
      </c>
      <c r="C71" s="9">
        <v>45559</v>
      </c>
      <c r="D71" s="8" t="s">
        <v>736</v>
      </c>
      <c r="E71" s="8"/>
      <c r="F71" s="8"/>
      <c r="G71" s="3"/>
      <c r="H71" s="15" t="str">
        <f t="shared" si="1"/>
        <v/>
      </c>
      <c r="I71" s="3"/>
    </row>
    <row r="72" spans="1:9" hidden="1" x14ac:dyDescent="0.35">
      <c r="A72" s="6" t="s">
        <v>84</v>
      </c>
      <c r="B72" s="8" t="s">
        <v>606</v>
      </c>
      <c r="C72" s="9">
        <v>45559</v>
      </c>
      <c r="D72" s="8" t="s">
        <v>705</v>
      </c>
      <c r="E72" s="8"/>
      <c r="F72" s="8"/>
      <c r="G72" s="3"/>
      <c r="H72" s="15" t="str">
        <f t="shared" si="1"/>
        <v/>
      </c>
      <c r="I72" s="3"/>
    </row>
    <row r="73" spans="1:9" hidden="1" x14ac:dyDescent="0.35">
      <c r="A73" s="6" t="s">
        <v>83</v>
      </c>
      <c r="B73" s="8" t="s">
        <v>95</v>
      </c>
      <c r="C73" s="9">
        <v>45561</v>
      </c>
      <c r="D73" s="8" t="s">
        <v>136</v>
      </c>
      <c r="E73" s="8" t="s">
        <v>1016</v>
      </c>
      <c r="F73" s="8" t="s">
        <v>116</v>
      </c>
      <c r="G73" s="8" t="s">
        <v>1018</v>
      </c>
      <c r="H73" s="15">
        <f t="shared" si="1"/>
        <v>6.3748474020903123E-5</v>
      </c>
      <c r="I73" s="3">
        <v>74</v>
      </c>
    </row>
    <row r="74" spans="1:9" hidden="1" x14ac:dyDescent="0.35">
      <c r="A74" s="6" t="s">
        <v>83</v>
      </c>
      <c r="B74" s="8" t="s">
        <v>607</v>
      </c>
      <c r="C74" s="9">
        <v>45562</v>
      </c>
      <c r="D74" s="8" t="s">
        <v>737</v>
      </c>
      <c r="E74" s="8"/>
      <c r="F74" s="8"/>
      <c r="G74" s="3"/>
      <c r="H74" s="15" t="str">
        <f t="shared" si="1"/>
        <v/>
      </c>
      <c r="I74" s="3"/>
    </row>
    <row r="75" spans="1:9" hidden="1" x14ac:dyDescent="0.35">
      <c r="A75" s="6" t="s">
        <v>83</v>
      </c>
      <c r="B75" s="8" t="s">
        <v>96</v>
      </c>
      <c r="C75" s="9">
        <v>45562</v>
      </c>
      <c r="D75" s="8" t="s">
        <v>137</v>
      </c>
      <c r="E75" s="8" t="s">
        <v>1027</v>
      </c>
      <c r="F75" s="8" t="s">
        <v>117</v>
      </c>
      <c r="G75" s="8" t="s">
        <v>1018</v>
      </c>
      <c r="H75" s="15">
        <f t="shared" si="1"/>
        <v>5.5481792855400602E-5</v>
      </c>
      <c r="I75" s="3">
        <v>70.900000000000006</v>
      </c>
    </row>
    <row r="76" spans="1:9" hidden="1" x14ac:dyDescent="0.35">
      <c r="A76" s="6" t="s">
        <v>83</v>
      </c>
      <c r="B76" s="8" t="s">
        <v>608</v>
      </c>
      <c r="C76" s="9">
        <v>45566</v>
      </c>
      <c r="D76" s="8" t="s">
        <v>738</v>
      </c>
      <c r="E76" s="8"/>
      <c r="F76" s="8"/>
      <c r="G76" s="3"/>
      <c r="H76" s="15" t="str">
        <f t="shared" si="1"/>
        <v/>
      </c>
      <c r="I76" s="3"/>
    </row>
    <row r="77" spans="1:9" hidden="1" x14ac:dyDescent="0.35">
      <c r="A77" s="6" t="s">
        <v>85</v>
      </c>
      <c r="B77" s="8" t="s">
        <v>97</v>
      </c>
      <c r="C77" s="9">
        <v>45575</v>
      </c>
      <c r="D77" s="8" t="s">
        <v>138</v>
      </c>
      <c r="E77" s="8" t="s">
        <v>1026</v>
      </c>
      <c r="F77" s="8" t="s">
        <v>118</v>
      </c>
      <c r="G77" s="8" t="s">
        <v>1019</v>
      </c>
      <c r="H77" s="15">
        <f t="shared" si="1"/>
        <v>1.3619024142444098E-5</v>
      </c>
      <c r="I77" s="3">
        <v>10</v>
      </c>
    </row>
    <row r="78" spans="1:9" x14ac:dyDescent="0.35">
      <c r="A78" s="6"/>
      <c r="B78" s="8" t="s">
        <v>98</v>
      </c>
      <c r="C78" s="9">
        <v>45575</v>
      </c>
      <c r="D78" s="8" t="s">
        <v>139</v>
      </c>
      <c r="E78" s="19"/>
      <c r="F78" s="8" t="s">
        <v>119</v>
      </c>
      <c r="G78" s="8" t="s">
        <v>1019</v>
      </c>
      <c r="H78" s="15">
        <f t="shared" si="1"/>
        <v>1.361664487776542E-5</v>
      </c>
      <c r="I78" s="3">
        <v>10</v>
      </c>
    </row>
    <row r="79" spans="1:9" hidden="1" x14ac:dyDescent="0.35">
      <c r="A79" s="6" t="s">
        <v>86</v>
      </c>
      <c r="B79" s="8" t="s">
        <v>99</v>
      </c>
      <c r="C79" s="9">
        <v>45576</v>
      </c>
      <c r="D79" s="8" t="s">
        <v>140</v>
      </c>
      <c r="E79" s="8" t="s">
        <v>1027</v>
      </c>
      <c r="F79" s="8" t="s">
        <v>120</v>
      </c>
      <c r="G79" s="8" t="s">
        <v>1018</v>
      </c>
      <c r="H79" s="15">
        <f t="shared" si="1"/>
        <v>4.7381394032976751E-5</v>
      </c>
      <c r="I79" s="3">
        <v>55</v>
      </c>
    </row>
    <row r="80" spans="1:9" hidden="1" x14ac:dyDescent="0.35">
      <c r="A80" s="6" t="s">
        <v>86</v>
      </c>
      <c r="B80" s="8" t="s">
        <v>609</v>
      </c>
      <c r="C80" s="9">
        <v>45580</v>
      </c>
      <c r="D80" s="8" t="s">
        <v>739</v>
      </c>
      <c r="E80" s="8"/>
      <c r="F80" s="8"/>
      <c r="G80" s="3"/>
      <c r="H80" s="15" t="str">
        <f t="shared" si="1"/>
        <v/>
      </c>
      <c r="I80" s="3"/>
    </row>
    <row r="81" spans="1:9" hidden="1" x14ac:dyDescent="0.35">
      <c r="A81" s="6" t="s">
        <v>86</v>
      </c>
      <c r="B81" s="8" t="s">
        <v>100</v>
      </c>
      <c r="C81" s="9">
        <v>45581</v>
      </c>
      <c r="D81" s="8" t="s">
        <v>141</v>
      </c>
      <c r="E81" s="8" t="s">
        <v>1028</v>
      </c>
      <c r="F81" s="8" t="s">
        <v>121</v>
      </c>
      <c r="G81" s="8" t="s">
        <v>1019</v>
      </c>
      <c r="H81" s="15">
        <f t="shared" si="1"/>
        <v>5.4777832068695773E-6</v>
      </c>
      <c r="I81" s="3">
        <v>7</v>
      </c>
    </row>
    <row r="82" spans="1:9" hidden="1" x14ac:dyDescent="0.35">
      <c r="A82" s="6" t="s">
        <v>86</v>
      </c>
      <c r="B82" s="8" t="s">
        <v>610</v>
      </c>
      <c r="C82" s="9">
        <v>45581</v>
      </c>
      <c r="D82" s="8" t="s">
        <v>740</v>
      </c>
      <c r="E82" s="8"/>
      <c r="F82" s="8"/>
      <c r="G82" s="3"/>
      <c r="H82" s="15" t="str">
        <f t="shared" si="1"/>
        <v/>
      </c>
      <c r="I82" s="3"/>
    </row>
    <row r="83" spans="1:9" hidden="1" x14ac:dyDescent="0.35">
      <c r="A83" s="6" t="s">
        <v>86</v>
      </c>
      <c r="B83" s="8" t="s">
        <v>611</v>
      </c>
      <c r="C83" s="9">
        <v>45582</v>
      </c>
      <c r="D83" s="8" t="s">
        <v>741</v>
      </c>
      <c r="E83" s="8"/>
      <c r="F83" s="8"/>
      <c r="G83" s="3"/>
      <c r="H83" s="15" t="str">
        <f t="shared" si="1"/>
        <v/>
      </c>
      <c r="I83" s="3"/>
    </row>
    <row r="84" spans="1:9" hidden="1" x14ac:dyDescent="0.35">
      <c r="A84" s="6" t="s">
        <v>86</v>
      </c>
      <c r="B84" s="8" t="s">
        <v>612</v>
      </c>
      <c r="C84" s="9">
        <v>45590</v>
      </c>
      <c r="D84" s="8" t="s">
        <v>742</v>
      </c>
      <c r="E84" s="8"/>
      <c r="F84" s="8"/>
      <c r="G84" s="3"/>
      <c r="H84" s="15" t="str">
        <f t="shared" si="1"/>
        <v/>
      </c>
      <c r="I84" s="3"/>
    </row>
    <row r="85" spans="1:9" hidden="1" x14ac:dyDescent="0.35">
      <c r="A85" s="6" t="s">
        <v>85</v>
      </c>
      <c r="B85" s="8" t="s">
        <v>613</v>
      </c>
      <c r="C85" s="9">
        <v>45597</v>
      </c>
      <c r="D85" s="8" t="s">
        <v>743</v>
      </c>
      <c r="E85" s="8"/>
      <c r="F85" s="8"/>
      <c r="G85" s="3"/>
      <c r="H85" s="15" t="str">
        <f t="shared" si="1"/>
        <v/>
      </c>
      <c r="I85" s="3"/>
    </row>
    <row r="86" spans="1:9" hidden="1" x14ac:dyDescent="0.35">
      <c r="A86" s="6"/>
      <c r="B86" s="8" t="s">
        <v>614</v>
      </c>
      <c r="C86" s="9">
        <v>45597</v>
      </c>
      <c r="D86" s="8" t="s">
        <v>742</v>
      </c>
      <c r="E86" s="8"/>
      <c r="F86" s="8"/>
      <c r="G86" s="3"/>
      <c r="H86" s="15" t="str">
        <f t="shared" si="1"/>
        <v/>
      </c>
      <c r="I86" s="3"/>
    </row>
    <row r="87" spans="1:9" hidden="1" x14ac:dyDescent="0.35">
      <c r="A87" s="6" t="s">
        <v>85</v>
      </c>
      <c r="B87" s="8" t="s">
        <v>615</v>
      </c>
      <c r="C87" s="9">
        <v>45601</v>
      </c>
      <c r="D87" s="8" t="s">
        <v>744</v>
      </c>
      <c r="E87" s="8"/>
      <c r="F87" s="8"/>
      <c r="G87" s="3"/>
      <c r="H87" s="15" t="str">
        <f t="shared" si="1"/>
        <v/>
      </c>
      <c r="I87" s="3"/>
    </row>
    <row r="88" spans="1:9" hidden="1" x14ac:dyDescent="0.35">
      <c r="A88" s="6"/>
      <c r="B88" s="8" t="s">
        <v>616</v>
      </c>
      <c r="C88" s="9">
        <v>45601</v>
      </c>
      <c r="D88" s="8" t="s">
        <v>745</v>
      </c>
      <c r="E88" s="8"/>
      <c r="F88" s="8"/>
      <c r="G88" s="3"/>
      <c r="H88" s="15" t="str">
        <f t="shared" si="1"/>
        <v/>
      </c>
      <c r="I88" s="3"/>
    </row>
    <row r="89" spans="1:9" ht="29" x14ac:dyDescent="0.35">
      <c r="A89" s="6" t="s">
        <v>86</v>
      </c>
      <c r="B89" s="8" t="s">
        <v>101</v>
      </c>
      <c r="C89" s="9">
        <v>45608</v>
      </c>
      <c r="D89" s="8" t="s">
        <v>142</v>
      </c>
      <c r="E89" s="19" t="s">
        <v>1029</v>
      </c>
      <c r="F89" s="19" t="s">
        <v>122</v>
      </c>
      <c r="G89" s="8" t="s">
        <v>1020</v>
      </c>
      <c r="H89" s="15">
        <f t="shared" ref="H89" si="2">IF(I89=0,"",I89/(D89*1000))</f>
        <v>6.0299613272737389E-6</v>
      </c>
      <c r="I89" s="3">
        <v>7</v>
      </c>
    </row>
    <row r="90" spans="1:9" hidden="1" x14ac:dyDescent="0.35">
      <c r="A90" s="6" t="s">
        <v>85</v>
      </c>
      <c r="B90" s="8" t="s">
        <v>617</v>
      </c>
      <c r="C90" s="9">
        <v>45615</v>
      </c>
      <c r="D90" s="8" t="s">
        <v>746</v>
      </c>
      <c r="E90" s="8"/>
      <c r="F90" s="8"/>
      <c r="G90" s="3"/>
      <c r="H90" s="15" t="str">
        <f t="shared" si="1"/>
        <v/>
      </c>
      <c r="I90" s="3"/>
    </row>
    <row r="91" spans="1:9" hidden="1" x14ac:dyDescent="0.35">
      <c r="A91" s="6"/>
      <c r="B91" s="8" t="s">
        <v>618</v>
      </c>
      <c r="C91" s="9">
        <v>45615</v>
      </c>
      <c r="D91" s="8" t="s">
        <v>747</v>
      </c>
      <c r="E91" s="8"/>
      <c r="F91" s="8"/>
      <c r="G91" s="3"/>
      <c r="H91" s="15" t="str">
        <f t="shared" si="1"/>
        <v/>
      </c>
      <c r="I91" s="3"/>
    </row>
    <row r="92" spans="1:9" hidden="1" x14ac:dyDescent="0.35">
      <c r="A92" s="6" t="s">
        <v>86</v>
      </c>
      <c r="B92" s="8" t="s">
        <v>619</v>
      </c>
      <c r="C92" s="9">
        <v>45617</v>
      </c>
      <c r="D92" s="8" t="s">
        <v>695</v>
      </c>
      <c r="E92" s="8"/>
      <c r="F92" s="8"/>
      <c r="G92" s="3"/>
      <c r="H92" s="15" t="str">
        <f t="shared" si="1"/>
        <v/>
      </c>
      <c r="I92" s="3"/>
    </row>
    <row r="93" spans="1:9" x14ac:dyDescent="0.35">
      <c r="A93" s="6" t="s">
        <v>85</v>
      </c>
      <c r="B93" s="8" t="s">
        <v>102</v>
      </c>
      <c r="C93" s="9">
        <v>45625</v>
      </c>
      <c r="D93" s="8" t="s">
        <v>143</v>
      </c>
      <c r="E93" s="19" t="s">
        <v>1030</v>
      </c>
      <c r="F93" s="19" t="s">
        <v>123</v>
      </c>
      <c r="G93" s="8" t="s">
        <v>1019</v>
      </c>
      <c r="H93" s="15">
        <f t="shared" ref="H93:H94" si="3">IF(I93=0,"",I93/(D93*1000))</f>
        <v>1.1519315423540544E-5</v>
      </c>
      <c r="I93" s="3">
        <v>7</v>
      </c>
    </row>
    <row r="94" spans="1:9" x14ac:dyDescent="0.35">
      <c r="A94" s="6"/>
      <c r="B94" s="8" t="s">
        <v>103</v>
      </c>
      <c r="C94" s="9">
        <v>45625</v>
      </c>
      <c r="D94" s="8" t="s">
        <v>144</v>
      </c>
      <c r="E94" s="19"/>
      <c r="F94" s="8" t="s">
        <v>123</v>
      </c>
      <c r="G94" s="8" t="s">
        <v>1019</v>
      </c>
      <c r="H94" s="15">
        <f t="shared" si="3"/>
        <v>1.1520221609565864E-5</v>
      </c>
      <c r="I94" s="3">
        <v>7</v>
      </c>
    </row>
    <row r="95" spans="1:9" hidden="1" x14ac:dyDescent="0.35">
      <c r="A95" s="6" t="s">
        <v>546</v>
      </c>
      <c r="B95" s="8" t="s">
        <v>620</v>
      </c>
      <c r="C95" s="9">
        <v>45630</v>
      </c>
      <c r="D95" s="8" t="s">
        <v>748</v>
      </c>
      <c r="E95" s="8"/>
      <c r="F95" s="8"/>
      <c r="G95" s="3"/>
      <c r="H95" s="15" t="str">
        <f t="shared" si="1"/>
        <v/>
      </c>
      <c r="I95" s="3"/>
    </row>
    <row r="96" spans="1:9" hidden="1" x14ac:dyDescent="0.35">
      <c r="A96" s="6" t="s">
        <v>86</v>
      </c>
      <c r="B96" s="8" t="s">
        <v>621</v>
      </c>
      <c r="C96" s="9">
        <v>45632</v>
      </c>
      <c r="D96" s="8" t="s">
        <v>695</v>
      </c>
      <c r="E96" s="8"/>
      <c r="F96" s="8"/>
      <c r="G96" s="3"/>
      <c r="H96" s="15" t="str">
        <f t="shared" si="1"/>
        <v/>
      </c>
      <c r="I96" s="3"/>
    </row>
    <row r="97" spans="1:9" hidden="1" x14ac:dyDescent="0.35">
      <c r="A97" s="6" t="s">
        <v>86</v>
      </c>
      <c r="B97" s="8" t="s">
        <v>622</v>
      </c>
      <c r="C97" s="9">
        <v>45637</v>
      </c>
      <c r="D97" s="8" t="s">
        <v>710</v>
      </c>
      <c r="E97" s="8"/>
      <c r="F97" s="8"/>
      <c r="G97" s="3"/>
      <c r="H97" s="15" t="str">
        <f t="shared" si="1"/>
        <v/>
      </c>
      <c r="I97" s="3"/>
    </row>
    <row r="98" spans="1:9" hidden="1" x14ac:dyDescent="0.35">
      <c r="A98" s="6" t="s">
        <v>85</v>
      </c>
      <c r="B98" s="8" t="s">
        <v>104</v>
      </c>
      <c r="C98" s="9">
        <v>45637</v>
      </c>
      <c r="D98" s="8" t="s">
        <v>145</v>
      </c>
      <c r="E98" s="8" t="s">
        <v>1031</v>
      </c>
      <c r="F98" s="8" t="s">
        <v>124</v>
      </c>
      <c r="G98" s="8" t="s">
        <v>1019</v>
      </c>
      <c r="H98" s="15">
        <f t="shared" ref="H98:H102" si="4">IF(I98=0,"",I98/(D98*1000))</f>
        <v>9.5475419853158804E-6</v>
      </c>
      <c r="I98" s="3">
        <v>7</v>
      </c>
    </row>
    <row r="99" spans="1:9" x14ac:dyDescent="0.35">
      <c r="A99" s="6"/>
      <c r="B99" s="8" t="s">
        <v>105</v>
      </c>
      <c r="C99" s="9">
        <v>45637</v>
      </c>
      <c r="D99" s="8" t="s">
        <v>146</v>
      </c>
      <c r="E99" s="19"/>
      <c r="F99" s="8" t="s">
        <v>124</v>
      </c>
      <c r="G99" s="8" t="s">
        <v>1019</v>
      </c>
      <c r="H99" s="15">
        <f t="shared" si="4"/>
        <v>9.5474690614265073E-6</v>
      </c>
      <c r="I99" s="3">
        <v>7</v>
      </c>
    </row>
    <row r="100" spans="1:9" hidden="1" x14ac:dyDescent="0.35">
      <c r="A100" s="6" t="s">
        <v>86</v>
      </c>
      <c r="B100" s="8" t="s">
        <v>106</v>
      </c>
      <c r="C100" s="9">
        <v>45638</v>
      </c>
      <c r="D100" s="8" t="s">
        <v>147</v>
      </c>
      <c r="E100" s="8" t="s">
        <v>1032</v>
      </c>
      <c r="F100" s="8" t="s">
        <v>125</v>
      </c>
      <c r="G100" s="8" t="s">
        <v>1019</v>
      </c>
      <c r="H100" s="15">
        <f t="shared" si="4"/>
        <v>6.0305623732020412E-6</v>
      </c>
      <c r="I100" s="3">
        <v>7</v>
      </c>
    </row>
    <row r="101" spans="1:9" hidden="1" x14ac:dyDescent="0.35">
      <c r="A101" s="6" t="s">
        <v>86</v>
      </c>
      <c r="B101" s="8" t="s">
        <v>107</v>
      </c>
      <c r="C101" s="9">
        <v>45639</v>
      </c>
      <c r="D101" s="8" t="s">
        <v>148</v>
      </c>
      <c r="E101" s="8" t="s">
        <v>1033</v>
      </c>
      <c r="F101" s="8" t="s">
        <v>126</v>
      </c>
      <c r="G101" s="8" t="s">
        <v>1018</v>
      </c>
      <c r="H101" s="15">
        <f t="shared" si="4"/>
        <v>5.4776949046012488E-6</v>
      </c>
      <c r="I101" s="3">
        <v>7</v>
      </c>
    </row>
    <row r="102" spans="1:9" hidden="1" x14ac:dyDescent="0.35">
      <c r="A102" s="6" t="s">
        <v>86</v>
      </c>
      <c r="B102" s="8" t="s">
        <v>108</v>
      </c>
      <c r="C102" s="9">
        <v>45643</v>
      </c>
      <c r="D102" s="8" t="s">
        <v>149</v>
      </c>
      <c r="E102" s="8" t="s">
        <v>1022</v>
      </c>
      <c r="F102" s="8" t="s">
        <v>127</v>
      </c>
      <c r="G102" s="8" t="s">
        <v>1018</v>
      </c>
      <c r="H102" s="15">
        <f t="shared" si="4"/>
        <v>6.0303862548544608E-6</v>
      </c>
      <c r="I102" s="3">
        <v>7</v>
      </c>
    </row>
    <row r="103" spans="1:9" ht="15.65" hidden="1" customHeight="1" x14ac:dyDescent="0.35">
      <c r="A103" s="6" t="s">
        <v>86</v>
      </c>
      <c r="B103" s="8" t="s">
        <v>623</v>
      </c>
      <c r="C103" s="9">
        <v>45665</v>
      </c>
      <c r="D103" s="8" t="s">
        <v>695</v>
      </c>
      <c r="E103" s="8"/>
      <c r="F103" s="8"/>
      <c r="G103" s="3"/>
      <c r="H103" s="15" t="str">
        <f t="shared" si="1"/>
        <v/>
      </c>
      <c r="I103" s="3"/>
    </row>
    <row r="104" spans="1:9" ht="15.65" hidden="1" customHeight="1" x14ac:dyDescent="0.35">
      <c r="A104" s="6" t="s">
        <v>86</v>
      </c>
      <c r="B104" s="8" t="s">
        <v>624</v>
      </c>
      <c r="C104" s="9">
        <v>45666</v>
      </c>
      <c r="D104" s="8" t="s">
        <v>710</v>
      </c>
      <c r="E104" s="8"/>
      <c r="F104" s="8"/>
      <c r="G104" s="3"/>
      <c r="H104" s="15" t="str">
        <f t="shared" si="1"/>
        <v/>
      </c>
      <c r="I104" s="3"/>
    </row>
    <row r="105" spans="1:9" ht="15.65" hidden="1" customHeight="1" x14ac:dyDescent="0.35">
      <c r="A105" s="6" t="s">
        <v>86</v>
      </c>
      <c r="B105" s="8" t="s">
        <v>625</v>
      </c>
      <c r="C105" s="9">
        <v>45667</v>
      </c>
      <c r="D105" s="8" t="s">
        <v>695</v>
      </c>
      <c r="E105" s="8"/>
      <c r="F105" s="8"/>
      <c r="G105" s="3"/>
      <c r="H105" s="15" t="str">
        <f t="shared" si="1"/>
        <v/>
      </c>
      <c r="I105" s="3"/>
    </row>
    <row r="106" spans="1:9" ht="15.65" hidden="1" customHeight="1" x14ac:dyDescent="0.35">
      <c r="A106" s="6" t="s">
        <v>85</v>
      </c>
      <c r="B106" s="8" t="s">
        <v>626</v>
      </c>
      <c r="C106" s="9">
        <v>45687</v>
      </c>
      <c r="D106" s="8" t="s">
        <v>749</v>
      </c>
      <c r="E106" s="8"/>
      <c r="F106" s="8"/>
      <c r="G106" s="3"/>
      <c r="H106" s="15" t="str">
        <f t="shared" si="1"/>
        <v/>
      </c>
      <c r="I106" s="3"/>
    </row>
    <row r="107" spans="1:9" ht="15.65" hidden="1" customHeight="1" x14ac:dyDescent="0.35">
      <c r="A107" s="6" t="s">
        <v>85</v>
      </c>
      <c r="B107" s="8" t="s">
        <v>627</v>
      </c>
      <c r="C107" s="9">
        <v>45687</v>
      </c>
      <c r="D107" s="8" t="s">
        <v>750</v>
      </c>
      <c r="E107" s="8"/>
      <c r="F107" s="8"/>
      <c r="G107" s="3"/>
      <c r="H107" s="15" t="str">
        <f t="shared" si="1"/>
        <v/>
      </c>
      <c r="I107" s="3"/>
    </row>
    <row r="108" spans="1:9" ht="15.65" hidden="1" customHeight="1" x14ac:dyDescent="0.35">
      <c r="A108" s="6" t="s">
        <v>85</v>
      </c>
      <c r="B108" s="8" t="s">
        <v>628</v>
      </c>
      <c r="C108" s="9">
        <v>45687</v>
      </c>
      <c r="D108" s="8" t="s">
        <v>751</v>
      </c>
      <c r="E108" s="8"/>
      <c r="F108" s="8"/>
      <c r="G108" s="3"/>
      <c r="H108" s="15" t="str">
        <f t="shared" si="1"/>
        <v/>
      </c>
      <c r="I108" s="3"/>
    </row>
    <row r="109" spans="1:9" ht="15.65" hidden="1" customHeight="1" x14ac:dyDescent="0.35">
      <c r="A109" s="6" t="s">
        <v>85</v>
      </c>
      <c r="B109" s="8" t="s">
        <v>629</v>
      </c>
      <c r="C109" s="9">
        <v>45691</v>
      </c>
      <c r="D109" s="8" t="s">
        <v>752</v>
      </c>
      <c r="E109" s="8"/>
      <c r="F109" s="8"/>
      <c r="G109" s="3"/>
      <c r="H109" s="15" t="str">
        <f t="shared" si="1"/>
        <v/>
      </c>
      <c r="I109" s="3"/>
    </row>
    <row r="110" spans="1:9" ht="15.65" hidden="1" customHeight="1" x14ac:dyDescent="0.35">
      <c r="A110" s="6" t="s">
        <v>85</v>
      </c>
      <c r="B110" s="8" t="s">
        <v>630</v>
      </c>
      <c r="C110" s="9">
        <v>45691</v>
      </c>
      <c r="D110" s="8" t="s">
        <v>753</v>
      </c>
      <c r="E110" s="8"/>
      <c r="F110" s="8"/>
      <c r="G110" s="3"/>
      <c r="H110" s="15" t="str">
        <f t="shared" si="1"/>
        <v/>
      </c>
      <c r="I110" s="3"/>
    </row>
    <row r="111" spans="1:9" ht="15.65" hidden="1" customHeight="1" x14ac:dyDescent="0.35">
      <c r="A111" s="6" t="s">
        <v>85</v>
      </c>
      <c r="B111" s="8" t="s">
        <v>631</v>
      </c>
      <c r="C111" s="9">
        <v>45692</v>
      </c>
      <c r="D111" s="8" t="s">
        <v>754</v>
      </c>
      <c r="E111" s="8"/>
      <c r="F111" s="8"/>
      <c r="G111" s="3"/>
      <c r="H111" s="15" t="str">
        <f t="shared" si="1"/>
        <v/>
      </c>
      <c r="I111" s="3"/>
    </row>
    <row r="112" spans="1:9" ht="15.65" customHeight="1" x14ac:dyDescent="0.35">
      <c r="A112" s="6" t="s">
        <v>86</v>
      </c>
      <c r="B112" s="8" t="s">
        <v>632</v>
      </c>
      <c r="C112" s="9">
        <v>45695</v>
      </c>
      <c r="D112" s="8" t="s">
        <v>755</v>
      </c>
      <c r="E112" s="19"/>
      <c r="F112" s="8" t="s">
        <v>805</v>
      </c>
      <c r="G112" s="8" t="s">
        <v>1019</v>
      </c>
      <c r="H112" s="15">
        <f t="shared" ref="H112" si="5">IF(I112=0,"",I112/(D112*1000))</f>
        <v>6.0305836743484814E-6</v>
      </c>
      <c r="I112" s="3">
        <v>7</v>
      </c>
    </row>
    <row r="113" spans="1:9" ht="15.65" hidden="1" customHeight="1" x14ac:dyDescent="0.35">
      <c r="A113" s="6" t="s">
        <v>85</v>
      </c>
      <c r="B113" s="8" t="s">
        <v>633</v>
      </c>
      <c r="C113" s="9">
        <v>45706</v>
      </c>
      <c r="D113" s="8" t="s">
        <v>756</v>
      </c>
      <c r="E113" s="8"/>
      <c r="F113" s="8"/>
      <c r="G113" s="3"/>
      <c r="H113" s="15" t="str">
        <f t="shared" si="1"/>
        <v/>
      </c>
      <c r="I113" s="3"/>
    </row>
    <row r="114" spans="1:9" ht="15.65" hidden="1" customHeight="1" x14ac:dyDescent="0.35">
      <c r="A114" s="6" t="s">
        <v>86</v>
      </c>
      <c r="B114" s="8" t="s">
        <v>634</v>
      </c>
      <c r="C114" s="9">
        <v>45713</v>
      </c>
      <c r="D114" s="8" t="s">
        <v>757</v>
      </c>
      <c r="E114" s="8" t="s">
        <v>1017</v>
      </c>
      <c r="F114" s="8" t="s">
        <v>806</v>
      </c>
      <c r="G114" s="8" t="s">
        <v>1018</v>
      </c>
      <c r="H114" s="15">
        <f t="shared" ref="H114" si="6">IF(I114=0,"",I114/(D114*1000))</f>
        <v>1.1519630107968555E-5</v>
      </c>
      <c r="I114" s="3">
        <v>7</v>
      </c>
    </row>
    <row r="115" spans="1:9" ht="15.65" hidden="1" customHeight="1" x14ac:dyDescent="0.35">
      <c r="A115" s="6" t="s">
        <v>85</v>
      </c>
      <c r="B115" s="8" t="s">
        <v>635</v>
      </c>
      <c r="C115" s="9">
        <v>45722</v>
      </c>
      <c r="D115" s="8" t="s">
        <v>758</v>
      </c>
      <c r="E115" s="8"/>
      <c r="F115" s="8"/>
      <c r="G115" s="3"/>
      <c r="H115" s="15" t="str">
        <f t="shared" si="1"/>
        <v/>
      </c>
      <c r="I115" s="3"/>
    </row>
    <row r="116" spans="1:9" ht="15.65" hidden="1" customHeight="1" x14ac:dyDescent="0.35">
      <c r="A116" s="6" t="s">
        <v>86</v>
      </c>
      <c r="B116" s="8" t="s">
        <v>636</v>
      </c>
      <c r="C116" s="9">
        <v>45727</v>
      </c>
      <c r="D116" s="8" t="s">
        <v>723</v>
      </c>
      <c r="E116" s="8"/>
      <c r="F116" s="8"/>
      <c r="G116" s="3"/>
      <c r="H116" s="15" t="str">
        <f t="shared" si="1"/>
        <v/>
      </c>
      <c r="I116" s="3"/>
    </row>
    <row r="117" spans="1:9" ht="15.65" hidden="1" customHeight="1" x14ac:dyDescent="0.35">
      <c r="A117" s="6" t="s">
        <v>86</v>
      </c>
      <c r="B117" s="8" t="s">
        <v>637</v>
      </c>
      <c r="C117" s="9">
        <v>45728</v>
      </c>
      <c r="D117" s="8" t="s">
        <v>759</v>
      </c>
      <c r="E117" s="8"/>
      <c r="F117" s="8"/>
      <c r="G117" s="3"/>
      <c r="H117" s="15" t="str">
        <f t="shared" si="1"/>
        <v/>
      </c>
      <c r="I117" s="3"/>
    </row>
    <row r="118" spans="1:9" ht="15.65" hidden="1" customHeight="1" x14ac:dyDescent="0.35">
      <c r="A118" s="6" t="s">
        <v>86</v>
      </c>
      <c r="B118" s="8" t="s">
        <v>638</v>
      </c>
      <c r="C118" s="9">
        <v>45728</v>
      </c>
      <c r="D118" s="8" t="s">
        <v>760</v>
      </c>
      <c r="E118" s="8"/>
      <c r="F118" s="8"/>
      <c r="G118" s="3"/>
      <c r="H118" s="15" t="str">
        <f t="shared" si="1"/>
        <v/>
      </c>
      <c r="I118" s="3"/>
    </row>
    <row r="119" spans="1:9" ht="15.65" hidden="1" customHeight="1" x14ac:dyDescent="0.35">
      <c r="A119" s="6" t="s">
        <v>86</v>
      </c>
      <c r="B119" s="8" t="s">
        <v>639</v>
      </c>
      <c r="C119" s="9">
        <v>45729</v>
      </c>
      <c r="D119" s="8" t="s">
        <v>761</v>
      </c>
      <c r="E119" s="8"/>
      <c r="F119" s="8"/>
      <c r="G119" s="3"/>
      <c r="H119" s="15" t="str">
        <f t="shared" si="1"/>
        <v/>
      </c>
      <c r="I119" s="3"/>
    </row>
    <row r="120" spans="1:9" ht="15.65" hidden="1" customHeight="1" x14ac:dyDescent="0.35">
      <c r="A120" s="6" t="s">
        <v>85</v>
      </c>
      <c r="B120" s="8" t="s">
        <v>640</v>
      </c>
      <c r="C120" s="9">
        <v>45734</v>
      </c>
      <c r="D120" s="8" t="s">
        <v>762</v>
      </c>
      <c r="E120" s="8"/>
      <c r="F120" s="8"/>
      <c r="G120" s="3"/>
      <c r="H120" s="15" t="str">
        <f t="shared" si="1"/>
        <v/>
      </c>
      <c r="I120" s="3"/>
    </row>
    <row r="121" spans="1:9" ht="15.65" hidden="1" customHeight="1" x14ac:dyDescent="0.35">
      <c r="A121" s="6" t="s">
        <v>85</v>
      </c>
      <c r="B121" s="8" t="s">
        <v>641</v>
      </c>
      <c r="C121" s="9">
        <v>45735</v>
      </c>
      <c r="D121" s="8" t="s">
        <v>763</v>
      </c>
      <c r="E121" s="8" t="s">
        <v>1036</v>
      </c>
      <c r="F121" s="8" t="s">
        <v>807</v>
      </c>
      <c r="G121" s="8" t="s">
        <v>1019</v>
      </c>
      <c r="H121" s="15">
        <f t="shared" ref="H121:H122" si="7">IF(I121=0,"",I121/(D121*1000))</f>
        <v>9.2501314840118085E-6</v>
      </c>
      <c r="I121" s="3">
        <v>7</v>
      </c>
    </row>
    <row r="122" spans="1:9" ht="15.65" hidden="1" customHeight="1" x14ac:dyDescent="0.35">
      <c r="A122" s="6" t="s">
        <v>85</v>
      </c>
      <c r="B122" s="8" t="s">
        <v>642</v>
      </c>
      <c r="C122" s="9">
        <v>45735</v>
      </c>
      <c r="D122" s="8" t="s">
        <v>764</v>
      </c>
      <c r="E122" s="8" t="s">
        <v>1027</v>
      </c>
      <c r="F122" s="8" t="s">
        <v>808</v>
      </c>
      <c r="G122" s="8" t="s">
        <v>1018</v>
      </c>
      <c r="H122" s="15">
        <f t="shared" si="7"/>
        <v>5.4757229909963468E-6</v>
      </c>
      <c r="I122" s="3">
        <v>7</v>
      </c>
    </row>
    <row r="123" spans="1:9" ht="15.65" hidden="1" customHeight="1" x14ac:dyDescent="0.35">
      <c r="A123" s="6" t="s">
        <v>85</v>
      </c>
      <c r="B123" s="8" t="s">
        <v>643</v>
      </c>
      <c r="C123" s="9">
        <v>45736</v>
      </c>
      <c r="D123" s="8" t="s">
        <v>441</v>
      </c>
      <c r="E123" s="8"/>
      <c r="F123" s="8"/>
      <c r="G123" s="3"/>
      <c r="H123" s="15" t="str">
        <f t="shared" si="1"/>
        <v/>
      </c>
      <c r="I123" s="3"/>
    </row>
    <row r="124" spans="1:9" ht="15.65" hidden="1" customHeight="1" x14ac:dyDescent="0.35">
      <c r="A124" s="6" t="s">
        <v>85</v>
      </c>
      <c r="B124" s="8" t="s">
        <v>644</v>
      </c>
      <c r="C124" s="9">
        <v>45736</v>
      </c>
      <c r="D124" s="8" t="s">
        <v>759</v>
      </c>
      <c r="E124" s="8"/>
      <c r="F124" s="8"/>
      <c r="G124" s="3"/>
      <c r="H124" s="15" t="str">
        <f t="shared" si="1"/>
        <v/>
      </c>
      <c r="I124" s="3"/>
    </row>
    <row r="125" spans="1:9" ht="15.65" hidden="1" customHeight="1" x14ac:dyDescent="0.35">
      <c r="A125" s="6" t="s">
        <v>86</v>
      </c>
      <c r="B125" s="8" t="s">
        <v>645</v>
      </c>
      <c r="C125" s="9">
        <v>45742</v>
      </c>
      <c r="D125" s="8" t="s">
        <v>765</v>
      </c>
      <c r="E125" s="8" t="s">
        <v>1034</v>
      </c>
      <c r="F125" s="8" t="s">
        <v>809</v>
      </c>
      <c r="G125" s="8" t="s">
        <v>1021</v>
      </c>
      <c r="H125" s="15">
        <f t="shared" ref="H125" si="8">IF(I125=0,"",I125/(D125*1000))</f>
        <v>5.4777664892313757E-6</v>
      </c>
      <c r="I125" s="3">
        <v>7</v>
      </c>
    </row>
    <row r="126" spans="1:9" ht="15.65" hidden="1" customHeight="1" x14ac:dyDescent="0.35">
      <c r="A126" s="6" t="s">
        <v>86</v>
      </c>
      <c r="B126" s="8" t="s">
        <v>646</v>
      </c>
      <c r="C126" s="9">
        <v>45742</v>
      </c>
      <c r="D126" s="8" t="s">
        <v>766</v>
      </c>
      <c r="E126" s="8"/>
      <c r="F126" s="8"/>
      <c r="G126" s="3"/>
      <c r="H126" s="15" t="str">
        <f t="shared" si="1"/>
        <v/>
      </c>
      <c r="I126" s="3"/>
    </row>
    <row r="127" spans="1:9" ht="15.65" hidden="1" customHeight="1" x14ac:dyDescent="0.35">
      <c r="A127" s="6" t="s">
        <v>86</v>
      </c>
      <c r="B127" s="8" t="s">
        <v>647</v>
      </c>
      <c r="C127" s="9">
        <v>45742</v>
      </c>
      <c r="D127" s="8" t="s">
        <v>695</v>
      </c>
      <c r="E127" s="8"/>
      <c r="F127" s="8"/>
      <c r="G127" s="3"/>
      <c r="H127" s="15" t="str">
        <f t="shared" si="1"/>
        <v/>
      </c>
      <c r="I127" s="3"/>
    </row>
    <row r="128" spans="1:9" ht="15.65" hidden="1" customHeight="1" x14ac:dyDescent="0.35">
      <c r="A128" s="6" t="s">
        <v>85</v>
      </c>
      <c r="B128" s="8" t="s">
        <v>648</v>
      </c>
      <c r="C128" s="9">
        <v>45743</v>
      </c>
      <c r="D128" s="8" t="s">
        <v>767</v>
      </c>
      <c r="E128" s="8"/>
      <c r="F128" s="8"/>
      <c r="G128" s="3"/>
      <c r="H128" s="15" t="str">
        <f t="shared" si="1"/>
        <v/>
      </c>
      <c r="I128" s="3"/>
    </row>
    <row r="129" spans="1:9" ht="15.65" hidden="1" customHeight="1" x14ac:dyDescent="0.35">
      <c r="A129" s="6" t="s">
        <v>86</v>
      </c>
      <c r="B129" s="8" t="s">
        <v>649</v>
      </c>
      <c r="C129" s="9">
        <v>45744</v>
      </c>
      <c r="D129" s="8" t="s">
        <v>768</v>
      </c>
      <c r="E129" s="8" t="s">
        <v>1027</v>
      </c>
      <c r="F129" s="8" t="s">
        <v>810</v>
      </c>
      <c r="G129" s="8" t="s">
        <v>1018</v>
      </c>
      <c r="H129" s="15">
        <f t="shared" ref="H129" si="9">IF(I129=0,"",I129/(D129*1000))</f>
        <v>5.4780104054025078E-6</v>
      </c>
      <c r="I129" s="3">
        <v>7</v>
      </c>
    </row>
    <row r="130" spans="1:9" ht="15.65" hidden="1" customHeight="1" x14ac:dyDescent="0.35">
      <c r="A130" s="6" t="s">
        <v>85</v>
      </c>
      <c r="B130" s="8" t="s">
        <v>650</v>
      </c>
      <c r="C130" s="9">
        <v>45761</v>
      </c>
      <c r="D130" s="8" t="s">
        <v>769</v>
      </c>
      <c r="E130" s="8"/>
      <c r="F130" s="8"/>
      <c r="G130" s="3"/>
      <c r="H130" s="15" t="str">
        <f t="shared" si="1"/>
        <v/>
      </c>
      <c r="I130" s="3"/>
    </row>
    <row r="131" spans="1:9" ht="15.65" hidden="1" customHeight="1" x14ac:dyDescent="0.35">
      <c r="A131" s="6" t="s">
        <v>85</v>
      </c>
      <c r="B131" s="8" t="s">
        <v>651</v>
      </c>
      <c r="C131" s="9">
        <v>45764</v>
      </c>
      <c r="D131" s="8" t="s">
        <v>770</v>
      </c>
      <c r="E131" s="8"/>
      <c r="F131" s="8"/>
      <c r="G131" s="3"/>
      <c r="H131" s="15" t="str">
        <f t="shared" si="1"/>
        <v/>
      </c>
      <c r="I131" s="3"/>
    </row>
    <row r="132" spans="1:9" ht="15.65" hidden="1" customHeight="1" x14ac:dyDescent="0.35">
      <c r="A132" s="6" t="s">
        <v>85</v>
      </c>
      <c r="B132" s="8" t="s">
        <v>652</v>
      </c>
      <c r="C132" s="9">
        <v>45769</v>
      </c>
      <c r="D132" s="8" t="s">
        <v>771</v>
      </c>
      <c r="E132" s="8"/>
      <c r="F132" s="8"/>
      <c r="G132" s="3"/>
      <c r="H132" s="15" t="str">
        <f t="shared" si="1"/>
        <v/>
      </c>
      <c r="I132" s="3"/>
    </row>
    <row r="133" spans="1:9" ht="15.65" hidden="1" customHeight="1" x14ac:dyDescent="0.35">
      <c r="A133" s="6" t="s">
        <v>85</v>
      </c>
      <c r="B133" s="8" t="s">
        <v>653</v>
      </c>
      <c r="C133" s="9">
        <v>45769</v>
      </c>
      <c r="D133" s="8" t="s">
        <v>767</v>
      </c>
      <c r="E133" s="8"/>
      <c r="F133" s="8"/>
      <c r="G133" s="3"/>
      <c r="H133" s="15" t="str">
        <f t="shared" si="1"/>
        <v/>
      </c>
      <c r="I133" s="3"/>
    </row>
    <row r="134" spans="1:9" ht="15.65" hidden="1" customHeight="1" x14ac:dyDescent="0.35">
      <c r="A134" s="6" t="s">
        <v>85</v>
      </c>
      <c r="B134" s="8" t="s">
        <v>654</v>
      </c>
      <c r="C134" s="9">
        <v>45770</v>
      </c>
      <c r="D134" s="8" t="s">
        <v>772</v>
      </c>
      <c r="E134" s="8"/>
      <c r="F134" s="8"/>
      <c r="G134" s="3"/>
      <c r="H134" s="15" t="str">
        <f t="shared" ref="H134:H172" si="10">IF(I134=0,"",I134/(D134*1000))</f>
        <v/>
      </c>
      <c r="I134" s="3"/>
    </row>
    <row r="135" spans="1:9" ht="15.65" hidden="1" customHeight="1" x14ac:dyDescent="0.35">
      <c r="A135" s="6" t="s">
        <v>86</v>
      </c>
      <c r="B135" s="8" t="s">
        <v>655</v>
      </c>
      <c r="C135" s="9">
        <v>45772</v>
      </c>
      <c r="D135" s="8" t="s">
        <v>710</v>
      </c>
      <c r="E135" s="8"/>
      <c r="F135" s="8"/>
      <c r="G135" s="3"/>
      <c r="H135" s="15" t="str">
        <f t="shared" si="10"/>
        <v/>
      </c>
      <c r="I135" s="3"/>
    </row>
    <row r="136" spans="1:9" ht="15.65" hidden="1" customHeight="1" x14ac:dyDescent="0.35">
      <c r="A136" s="6" t="s">
        <v>85</v>
      </c>
      <c r="B136" s="8" t="s">
        <v>656</v>
      </c>
      <c r="C136" s="9">
        <v>45772</v>
      </c>
      <c r="D136" s="8" t="s">
        <v>773</v>
      </c>
      <c r="E136" s="8" t="s">
        <v>1037</v>
      </c>
      <c r="F136" s="8" t="s">
        <v>811</v>
      </c>
      <c r="G136" s="8" t="s">
        <v>1019</v>
      </c>
      <c r="H136" s="15">
        <f t="shared" si="10"/>
        <v>1.1516017958407434E-5</v>
      </c>
      <c r="I136" s="3">
        <v>7</v>
      </c>
    </row>
    <row r="137" spans="1:9" ht="15.65" hidden="1" customHeight="1" x14ac:dyDescent="0.35">
      <c r="A137" s="6" t="s">
        <v>85</v>
      </c>
      <c r="B137" s="8" t="s">
        <v>657</v>
      </c>
      <c r="C137" s="9">
        <v>45775</v>
      </c>
      <c r="D137" s="8" t="s">
        <v>732</v>
      </c>
      <c r="E137" s="8"/>
      <c r="F137" s="8"/>
      <c r="G137" s="3"/>
      <c r="H137" s="15" t="str">
        <f t="shared" si="10"/>
        <v/>
      </c>
      <c r="I137" s="3"/>
    </row>
    <row r="138" spans="1:9" ht="15.65" hidden="1" customHeight="1" x14ac:dyDescent="0.35">
      <c r="A138" s="6" t="s">
        <v>85</v>
      </c>
      <c r="B138" s="8" t="s">
        <v>658</v>
      </c>
      <c r="C138" s="9">
        <v>45775</v>
      </c>
      <c r="D138" s="8" t="s">
        <v>774</v>
      </c>
      <c r="E138" s="8"/>
      <c r="F138" s="8"/>
      <c r="G138" s="3"/>
      <c r="H138" s="15" t="str">
        <f t="shared" si="10"/>
        <v/>
      </c>
      <c r="I138" s="3"/>
    </row>
    <row r="139" spans="1:9" ht="15.65" hidden="1" customHeight="1" x14ac:dyDescent="0.35">
      <c r="A139" s="6" t="s">
        <v>85</v>
      </c>
      <c r="B139" s="8" t="s">
        <v>659</v>
      </c>
      <c r="C139" s="9">
        <v>45776</v>
      </c>
      <c r="D139" s="8" t="s">
        <v>775</v>
      </c>
      <c r="E139" s="8" t="s">
        <v>1028</v>
      </c>
      <c r="F139" s="8" t="s">
        <v>812</v>
      </c>
      <c r="G139" s="8" t="s">
        <v>1019</v>
      </c>
      <c r="H139" s="15">
        <f t="shared" si="10"/>
        <v>1.1511264594639039E-5</v>
      </c>
      <c r="I139" s="3">
        <v>7</v>
      </c>
    </row>
    <row r="140" spans="1:9" ht="15.65" hidden="1" customHeight="1" x14ac:dyDescent="0.35">
      <c r="A140" s="6" t="s">
        <v>86</v>
      </c>
      <c r="B140" s="8" t="s">
        <v>660</v>
      </c>
      <c r="C140" s="9">
        <v>45786</v>
      </c>
      <c r="D140" s="8" t="s">
        <v>698</v>
      </c>
      <c r="E140" s="8"/>
      <c r="F140" s="8"/>
      <c r="G140" s="3"/>
      <c r="H140" s="15" t="str">
        <f t="shared" si="10"/>
        <v/>
      </c>
      <c r="I140" s="3"/>
    </row>
    <row r="141" spans="1:9" ht="15.65" hidden="1" customHeight="1" x14ac:dyDescent="0.35">
      <c r="A141" s="6" t="s">
        <v>85</v>
      </c>
      <c r="B141" s="8" t="s">
        <v>661</v>
      </c>
      <c r="C141" s="9">
        <v>45791</v>
      </c>
      <c r="D141" s="8" t="s">
        <v>776</v>
      </c>
      <c r="E141" s="8"/>
      <c r="F141" s="8"/>
      <c r="G141" s="3"/>
      <c r="H141" s="15" t="str">
        <f t="shared" si="10"/>
        <v/>
      </c>
      <c r="I141" s="3"/>
    </row>
    <row r="142" spans="1:9" ht="15.65" hidden="1" customHeight="1" x14ac:dyDescent="0.35">
      <c r="A142" s="6" t="s">
        <v>86</v>
      </c>
      <c r="B142" s="8" t="s">
        <v>662</v>
      </c>
      <c r="C142" s="9">
        <v>45804</v>
      </c>
      <c r="D142" s="8" t="s">
        <v>777</v>
      </c>
      <c r="E142" s="8"/>
      <c r="F142" s="8"/>
      <c r="G142" s="3"/>
      <c r="H142" s="15" t="str">
        <f t="shared" si="10"/>
        <v/>
      </c>
      <c r="I142" s="3"/>
    </row>
    <row r="143" spans="1:9" ht="15.65" hidden="1" customHeight="1" x14ac:dyDescent="0.35">
      <c r="A143" s="6" t="s">
        <v>85</v>
      </c>
      <c r="B143" s="8" t="s">
        <v>663</v>
      </c>
      <c r="C143" s="9">
        <v>45811</v>
      </c>
      <c r="D143" s="8" t="s">
        <v>769</v>
      </c>
      <c r="E143" s="8"/>
      <c r="F143" s="8"/>
      <c r="G143" s="3"/>
      <c r="H143" s="15" t="str">
        <f t="shared" si="10"/>
        <v/>
      </c>
      <c r="I143" s="3"/>
    </row>
    <row r="144" spans="1:9" ht="15.65" hidden="1" customHeight="1" x14ac:dyDescent="0.35">
      <c r="A144" s="6" t="s">
        <v>85</v>
      </c>
      <c r="B144" s="8" t="s">
        <v>664</v>
      </c>
      <c r="C144" s="9">
        <v>45812</v>
      </c>
      <c r="D144" s="8" t="s">
        <v>778</v>
      </c>
      <c r="E144" s="8"/>
      <c r="F144" s="8"/>
      <c r="G144" s="3"/>
      <c r="H144" s="15" t="str">
        <f t="shared" si="10"/>
        <v/>
      </c>
      <c r="I144" s="3"/>
    </row>
    <row r="145" spans="1:9" ht="15.65" hidden="1" customHeight="1" x14ac:dyDescent="0.35">
      <c r="A145" s="6" t="s">
        <v>85</v>
      </c>
      <c r="B145" s="8" t="s">
        <v>665</v>
      </c>
      <c r="C145" s="9">
        <v>45820</v>
      </c>
      <c r="D145" s="8" t="s">
        <v>779</v>
      </c>
      <c r="E145" s="8"/>
      <c r="F145" s="8"/>
      <c r="G145" s="3"/>
      <c r="H145" s="15" t="str">
        <f t="shared" si="10"/>
        <v/>
      </c>
      <c r="I145" s="3"/>
    </row>
    <row r="146" spans="1:9" ht="15.65" hidden="1" customHeight="1" x14ac:dyDescent="0.35">
      <c r="A146" s="6" t="s">
        <v>85</v>
      </c>
      <c r="B146" s="8" t="s">
        <v>666</v>
      </c>
      <c r="C146" s="9">
        <v>45825</v>
      </c>
      <c r="D146" s="8" t="s">
        <v>780</v>
      </c>
      <c r="E146" s="8"/>
      <c r="F146" s="8"/>
      <c r="G146" s="3"/>
      <c r="H146" s="15" t="str">
        <f t="shared" si="10"/>
        <v/>
      </c>
      <c r="I146" s="3"/>
    </row>
    <row r="147" spans="1:9" ht="15.65" hidden="1" customHeight="1" x14ac:dyDescent="0.35">
      <c r="A147" s="6" t="s">
        <v>86</v>
      </c>
      <c r="B147" s="8" t="s">
        <v>667</v>
      </c>
      <c r="C147" s="9">
        <v>45835</v>
      </c>
      <c r="D147" s="8" t="s">
        <v>781</v>
      </c>
      <c r="E147" s="8"/>
      <c r="F147" s="8"/>
      <c r="G147" s="3"/>
      <c r="H147" s="15" t="str">
        <f t="shared" si="10"/>
        <v/>
      </c>
      <c r="I147" s="3"/>
    </row>
    <row r="148" spans="1:9" ht="15.65" hidden="1" customHeight="1" x14ac:dyDescent="0.35">
      <c r="A148" s="6" t="s">
        <v>86</v>
      </c>
      <c r="B148" s="8" t="s">
        <v>668</v>
      </c>
      <c r="C148" s="9">
        <v>45838</v>
      </c>
      <c r="D148" s="8" t="s">
        <v>782</v>
      </c>
      <c r="E148" s="8"/>
      <c r="F148" s="8"/>
      <c r="G148" s="3"/>
      <c r="H148" s="15" t="str">
        <f t="shared" si="10"/>
        <v/>
      </c>
      <c r="I148" s="3"/>
    </row>
    <row r="149" spans="1:9" ht="15.65" hidden="1" customHeight="1" x14ac:dyDescent="0.35">
      <c r="A149" s="6" t="s">
        <v>86</v>
      </c>
      <c r="B149" s="8" t="s">
        <v>669</v>
      </c>
      <c r="C149" s="9">
        <v>45838</v>
      </c>
      <c r="D149" s="8" t="s">
        <v>783</v>
      </c>
      <c r="E149" s="8"/>
      <c r="F149" s="8"/>
      <c r="G149" s="3"/>
      <c r="H149" s="15" t="str">
        <f t="shared" si="10"/>
        <v/>
      </c>
      <c r="I149" s="3"/>
    </row>
    <row r="150" spans="1:9" ht="15.65" hidden="1" customHeight="1" x14ac:dyDescent="0.35">
      <c r="A150" s="6" t="s">
        <v>86</v>
      </c>
      <c r="B150" s="8" t="s">
        <v>670</v>
      </c>
      <c r="C150" s="9">
        <v>45834</v>
      </c>
      <c r="D150" s="8" t="s">
        <v>784</v>
      </c>
      <c r="E150" s="8"/>
      <c r="F150" s="8"/>
      <c r="G150" s="3"/>
      <c r="H150" s="15" t="str">
        <f t="shared" si="10"/>
        <v/>
      </c>
      <c r="I150" s="3"/>
    </row>
    <row r="151" spans="1:9" ht="15.65" hidden="1" customHeight="1" x14ac:dyDescent="0.35">
      <c r="A151" s="6" t="s">
        <v>86</v>
      </c>
      <c r="B151" s="8" t="s">
        <v>671</v>
      </c>
      <c r="C151" s="9">
        <v>45838</v>
      </c>
      <c r="D151" s="8" t="s">
        <v>785</v>
      </c>
      <c r="E151" s="8"/>
      <c r="F151" s="8"/>
      <c r="G151" s="3"/>
      <c r="H151" s="15" t="str">
        <f t="shared" si="10"/>
        <v/>
      </c>
      <c r="I151" s="3"/>
    </row>
    <row r="152" spans="1:9" ht="15.65" hidden="1" customHeight="1" x14ac:dyDescent="0.35">
      <c r="A152" s="6" t="s">
        <v>86</v>
      </c>
      <c r="B152" s="8" t="s">
        <v>672</v>
      </c>
      <c r="C152" s="9">
        <v>45840</v>
      </c>
      <c r="D152" s="8" t="s">
        <v>786</v>
      </c>
      <c r="E152" s="8"/>
      <c r="F152" s="8"/>
      <c r="G152" s="3"/>
      <c r="H152" s="15" t="str">
        <f t="shared" si="10"/>
        <v/>
      </c>
      <c r="I152" s="3"/>
    </row>
    <row r="153" spans="1:9" ht="15.65" hidden="1" customHeight="1" x14ac:dyDescent="0.35">
      <c r="A153" s="6" t="s">
        <v>86</v>
      </c>
      <c r="B153" s="8" t="s">
        <v>673</v>
      </c>
      <c r="C153" s="9">
        <v>45841</v>
      </c>
      <c r="D153" s="8" t="s">
        <v>787</v>
      </c>
      <c r="E153" s="8"/>
      <c r="F153" s="8"/>
      <c r="G153" s="3"/>
      <c r="H153" s="15" t="str">
        <f t="shared" si="10"/>
        <v/>
      </c>
      <c r="I153" s="3"/>
    </row>
    <row r="154" spans="1:9" ht="15.65" hidden="1" customHeight="1" x14ac:dyDescent="0.35">
      <c r="A154" s="6" t="s">
        <v>85</v>
      </c>
      <c r="B154" s="8" t="s">
        <v>674</v>
      </c>
      <c r="C154" s="9">
        <v>45841</v>
      </c>
      <c r="D154" s="8" t="s">
        <v>788</v>
      </c>
      <c r="E154" s="8"/>
      <c r="F154" s="8"/>
      <c r="G154" s="3"/>
      <c r="H154" s="15" t="str">
        <f t="shared" si="10"/>
        <v/>
      </c>
      <c r="I154" s="3"/>
    </row>
    <row r="155" spans="1:9" ht="15.65" hidden="1" customHeight="1" x14ac:dyDescent="0.35">
      <c r="A155" s="6" t="s">
        <v>85</v>
      </c>
      <c r="B155" s="8" t="s">
        <v>675</v>
      </c>
      <c r="C155" s="9">
        <v>45859</v>
      </c>
      <c r="D155" s="8" t="s">
        <v>789</v>
      </c>
      <c r="E155" s="8"/>
      <c r="F155" s="8"/>
      <c r="G155" s="3"/>
      <c r="H155" s="15" t="str">
        <f t="shared" si="10"/>
        <v/>
      </c>
      <c r="I155" s="3"/>
    </row>
    <row r="156" spans="1:9" ht="15.65" hidden="1" customHeight="1" x14ac:dyDescent="0.35">
      <c r="A156" s="6" t="s">
        <v>85</v>
      </c>
      <c r="B156" s="8" t="s">
        <v>676</v>
      </c>
      <c r="C156" s="9">
        <v>45859</v>
      </c>
      <c r="D156" s="8" t="s">
        <v>695</v>
      </c>
      <c r="E156" s="8"/>
      <c r="F156" s="8"/>
      <c r="G156" s="3"/>
      <c r="H156" s="15" t="str">
        <f t="shared" si="10"/>
        <v/>
      </c>
      <c r="I156" s="3"/>
    </row>
    <row r="157" spans="1:9" ht="15.65" hidden="1" customHeight="1" x14ac:dyDescent="0.35">
      <c r="A157" s="6" t="s">
        <v>85</v>
      </c>
      <c r="B157" s="8" t="s">
        <v>677</v>
      </c>
      <c r="C157" s="9">
        <v>45859</v>
      </c>
      <c r="D157" s="8" t="s">
        <v>790</v>
      </c>
      <c r="E157" s="8"/>
      <c r="F157" s="8"/>
      <c r="G157" s="3"/>
      <c r="H157" s="15" t="str">
        <f t="shared" si="10"/>
        <v/>
      </c>
      <c r="I157" s="3"/>
    </row>
    <row r="158" spans="1:9" ht="15.65" hidden="1" customHeight="1" x14ac:dyDescent="0.35">
      <c r="A158" s="6" t="s">
        <v>85</v>
      </c>
      <c r="B158" s="8" t="s">
        <v>678</v>
      </c>
      <c r="C158" s="9">
        <v>45860</v>
      </c>
      <c r="D158" s="8" t="s">
        <v>791</v>
      </c>
      <c r="E158" s="8"/>
      <c r="F158" s="8"/>
      <c r="G158" s="3"/>
      <c r="H158" s="15" t="str">
        <f t="shared" si="10"/>
        <v/>
      </c>
      <c r="I158" s="3"/>
    </row>
    <row r="159" spans="1:9" ht="15.65" hidden="1" customHeight="1" x14ac:dyDescent="0.35">
      <c r="A159" s="6" t="s">
        <v>85</v>
      </c>
      <c r="B159" s="8" t="s">
        <v>679</v>
      </c>
      <c r="C159" s="9">
        <v>45860</v>
      </c>
      <c r="D159" s="8" t="s">
        <v>792</v>
      </c>
      <c r="E159" s="8"/>
      <c r="F159" s="8"/>
      <c r="G159" s="3"/>
      <c r="H159" s="15" t="str">
        <f t="shared" si="10"/>
        <v/>
      </c>
      <c r="I159" s="3"/>
    </row>
    <row r="160" spans="1:9" ht="15.65" hidden="1" customHeight="1" x14ac:dyDescent="0.35">
      <c r="A160" s="6" t="s">
        <v>86</v>
      </c>
      <c r="B160" s="8" t="s">
        <v>680</v>
      </c>
      <c r="C160" s="9">
        <v>45868</v>
      </c>
      <c r="D160" s="8" t="s">
        <v>793</v>
      </c>
      <c r="E160" s="8"/>
      <c r="F160" s="8"/>
      <c r="G160" s="3"/>
      <c r="H160" s="15" t="str">
        <f t="shared" si="10"/>
        <v/>
      </c>
      <c r="I160" s="3"/>
    </row>
    <row r="161" spans="1:9" ht="15.65" hidden="1" customHeight="1" x14ac:dyDescent="0.35">
      <c r="A161" s="6" t="s">
        <v>86</v>
      </c>
      <c r="B161" s="8" t="s">
        <v>681</v>
      </c>
      <c r="C161" s="9">
        <v>45869</v>
      </c>
      <c r="D161" s="8" t="s">
        <v>794</v>
      </c>
      <c r="E161" s="8"/>
      <c r="F161" s="8"/>
      <c r="G161" s="3"/>
      <c r="H161" s="15" t="str">
        <f t="shared" si="10"/>
        <v/>
      </c>
      <c r="I161" s="3"/>
    </row>
    <row r="162" spans="1:9" ht="15.65" customHeight="1" x14ac:dyDescent="0.35">
      <c r="A162" s="6" t="s">
        <v>86</v>
      </c>
      <c r="B162" s="8" t="s">
        <v>682</v>
      </c>
      <c r="C162" s="9">
        <v>45870</v>
      </c>
      <c r="D162" s="8" t="s">
        <v>795</v>
      </c>
      <c r="E162" s="19" t="s">
        <v>1038</v>
      </c>
      <c r="F162" s="19" t="s">
        <v>813</v>
      </c>
      <c r="G162" s="8" t="s">
        <v>1019</v>
      </c>
      <c r="H162" s="15">
        <f t="shared" si="10"/>
        <v>5.4780738528874217E-6</v>
      </c>
      <c r="I162" s="3">
        <v>7</v>
      </c>
    </row>
    <row r="163" spans="1:9" ht="15.65" hidden="1" customHeight="1" x14ac:dyDescent="0.35">
      <c r="A163" s="6" t="s">
        <v>86</v>
      </c>
      <c r="B163" s="8" t="s">
        <v>683</v>
      </c>
      <c r="C163" s="9">
        <v>45874</v>
      </c>
      <c r="D163" s="8" t="s">
        <v>796</v>
      </c>
      <c r="E163" s="8" t="s">
        <v>1039</v>
      </c>
      <c r="F163" s="8" t="s">
        <v>814</v>
      </c>
      <c r="G163" s="8" t="s">
        <v>1019</v>
      </c>
      <c r="H163" s="15">
        <f t="shared" si="10"/>
        <v>6.0306138079345985E-6</v>
      </c>
      <c r="I163" s="3">
        <v>7</v>
      </c>
    </row>
    <row r="164" spans="1:9" ht="15.65" hidden="1" customHeight="1" x14ac:dyDescent="0.35">
      <c r="A164" s="6" t="s">
        <v>86</v>
      </c>
      <c r="B164" s="8" t="s">
        <v>684</v>
      </c>
      <c r="C164" s="9">
        <v>45875</v>
      </c>
      <c r="D164" s="8" t="s">
        <v>797</v>
      </c>
      <c r="E164" s="8"/>
      <c r="F164" s="8"/>
      <c r="G164" s="3"/>
      <c r="H164" s="15" t="str">
        <f t="shared" si="10"/>
        <v/>
      </c>
      <c r="I164" s="3"/>
    </row>
    <row r="165" spans="1:9" ht="15.65" hidden="1" customHeight="1" x14ac:dyDescent="0.35">
      <c r="A165" s="6" t="s">
        <v>86</v>
      </c>
      <c r="B165" s="8" t="s">
        <v>685</v>
      </c>
      <c r="C165" s="9">
        <v>45877</v>
      </c>
      <c r="D165" s="8" t="s">
        <v>695</v>
      </c>
      <c r="E165" s="8"/>
      <c r="F165" s="8"/>
      <c r="G165" s="3"/>
      <c r="H165" s="15" t="str">
        <f t="shared" si="10"/>
        <v/>
      </c>
      <c r="I165" s="3"/>
    </row>
    <row r="166" spans="1:9" ht="15.65" hidden="1" customHeight="1" x14ac:dyDescent="0.35">
      <c r="A166" s="6" t="s">
        <v>85</v>
      </c>
      <c r="B166" s="8" t="s">
        <v>686</v>
      </c>
      <c r="C166" s="9">
        <v>45901</v>
      </c>
      <c r="D166" s="8" t="s">
        <v>798</v>
      </c>
      <c r="E166" s="8"/>
      <c r="F166" s="8"/>
      <c r="G166" s="3"/>
      <c r="H166" s="15" t="str">
        <f t="shared" si="10"/>
        <v/>
      </c>
      <c r="I166" s="3"/>
    </row>
    <row r="167" spans="1:9" ht="15.65" hidden="1" customHeight="1" x14ac:dyDescent="0.35">
      <c r="A167" s="6" t="s">
        <v>85</v>
      </c>
      <c r="B167" s="8" t="s">
        <v>687</v>
      </c>
      <c r="C167" s="9">
        <v>45905</v>
      </c>
      <c r="D167" s="8" t="s">
        <v>799</v>
      </c>
      <c r="E167" s="8"/>
      <c r="F167" s="8"/>
      <c r="G167" s="3"/>
      <c r="H167" s="15" t="str">
        <f t="shared" si="10"/>
        <v/>
      </c>
      <c r="I167" s="3"/>
    </row>
    <row r="168" spans="1:9" ht="15.65" hidden="1" customHeight="1" x14ac:dyDescent="0.35">
      <c r="A168" s="6" t="s">
        <v>86</v>
      </c>
      <c r="B168" s="8" t="s">
        <v>688</v>
      </c>
      <c r="C168" s="9">
        <v>45918</v>
      </c>
      <c r="D168" s="8" t="s">
        <v>800</v>
      </c>
      <c r="E168" s="8"/>
      <c r="F168" s="8"/>
      <c r="G168" s="3"/>
      <c r="H168" s="15" t="str">
        <f t="shared" si="10"/>
        <v/>
      </c>
      <c r="I168" s="3"/>
    </row>
    <row r="169" spans="1:9" ht="15.65" hidden="1" customHeight="1" x14ac:dyDescent="0.35">
      <c r="A169" s="6" t="s">
        <v>86</v>
      </c>
      <c r="B169" s="8" t="s">
        <v>689</v>
      </c>
      <c r="C169" s="9">
        <v>45918</v>
      </c>
      <c r="D169" s="8" t="s">
        <v>801</v>
      </c>
      <c r="E169" s="3"/>
      <c r="F169" s="8"/>
      <c r="G169" s="3"/>
      <c r="H169" s="15" t="str">
        <f t="shared" si="10"/>
        <v/>
      </c>
      <c r="I169" s="3"/>
    </row>
    <row r="170" spans="1:9" s="4" customFormat="1" ht="15.65" hidden="1" customHeight="1" x14ac:dyDescent="0.35">
      <c r="A170" s="6" t="s">
        <v>86</v>
      </c>
      <c r="B170" s="8" t="s">
        <v>690</v>
      </c>
      <c r="C170" s="9">
        <v>45922</v>
      </c>
      <c r="D170" s="8" t="s">
        <v>802</v>
      </c>
      <c r="E170" s="8" t="s">
        <v>1035</v>
      </c>
      <c r="F170" s="8" t="s">
        <v>815</v>
      </c>
      <c r="G170" s="8" t="s">
        <v>1018</v>
      </c>
      <c r="H170" s="15">
        <f t="shared" si="10"/>
        <v>5.5039001422679561E-6</v>
      </c>
      <c r="I170" s="3">
        <v>7</v>
      </c>
    </row>
    <row r="171" spans="1:9" ht="15.65" hidden="1" customHeight="1" x14ac:dyDescent="0.35">
      <c r="A171" s="6" t="s">
        <v>86</v>
      </c>
      <c r="B171" s="8" t="s">
        <v>691</v>
      </c>
      <c r="C171" s="9">
        <v>45923</v>
      </c>
      <c r="D171" s="8" t="s">
        <v>803</v>
      </c>
      <c r="E171" s="3"/>
      <c r="F171" s="3"/>
      <c r="G171" s="3"/>
      <c r="H171" s="15" t="str">
        <f t="shared" si="10"/>
        <v/>
      </c>
      <c r="I171" s="3"/>
    </row>
    <row r="172" spans="1:9" ht="15.65" hidden="1" customHeight="1" x14ac:dyDescent="0.35">
      <c r="A172" s="6" t="s">
        <v>86</v>
      </c>
      <c r="B172" s="8" t="s">
        <v>692</v>
      </c>
      <c r="C172" s="9">
        <v>45924</v>
      </c>
      <c r="D172" s="8" t="s">
        <v>804</v>
      </c>
      <c r="E172" s="3"/>
      <c r="F172" s="3"/>
      <c r="G172" s="3"/>
      <c r="H172" s="15" t="str">
        <f t="shared" si="10"/>
        <v/>
      </c>
      <c r="I172" s="3"/>
    </row>
  </sheetData>
  <autoFilter ref="A4:I172" xr:uid="{00000000-0001-0000-0000-000000000000}">
    <filterColumn colId="4">
      <colorFilter dxfId="1"/>
    </filterColumn>
    <filterColumn colId="5">
      <customFilters>
        <customFilter operator="notEqual" val=" "/>
      </customFilters>
    </filterColumn>
  </autoFilter>
  <mergeCells count="1">
    <mergeCell ref="A1: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4E2E99-673F-4C5C-98E6-22FF6EADC8CD}">
  <sheetPr filterMode="1"/>
  <dimension ref="A1:I92"/>
  <sheetViews>
    <sheetView tabSelected="1" zoomScaleNormal="100" workbookViewId="0">
      <pane ySplit="4" topLeftCell="A5" activePane="bottomLeft" state="frozen"/>
      <selection pane="bottomLeft" activeCell="H7" sqref="H7"/>
    </sheetView>
  </sheetViews>
  <sheetFormatPr defaultRowHeight="14.5" x14ac:dyDescent="0.35"/>
  <cols>
    <col min="1" max="1" width="51.36328125" customWidth="1"/>
    <col min="2" max="2" width="8.6328125" bestFit="1" customWidth="1"/>
    <col min="3" max="3" width="11.1796875" bestFit="1" customWidth="1"/>
    <col min="4" max="4" width="19" customWidth="1"/>
    <col min="5" max="5" width="20.81640625" bestFit="1" customWidth="1"/>
    <col min="6" max="6" width="30.90625" bestFit="1" customWidth="1"/>
    <col min="7" max="7" width="13.90625" bestFit="1" customWidth="1"/>
    <col min="8" max="9" width="12.08984375" bestFit="1" customWidth="1"/>
  </cols>
  <sheetData>
    <row r="1" spans="1:9" x14ac:dyDescent="0.35">
      <c r="A1" s="24" t="s">
        <v>3</v>
      </c>
      <c r="B1" s="24"/>
      <c r="C1" s="24"/>
      <c r="D1" s="24"/>
      <c r="E1" s="5" t="s">
        <v>234</v>
      </c>
    </row>
    <row r="2" spans="1:9" x14ac:dyDescent="0.35">
      <c r="A2" s="16"/>
      <c r="B2" s="16"/>
      <c r="C2" s="16"/>
      <c r="D2" s="16"/>
      <c r="E2" s="4" t="s">
        <v>1076</v>
      </c>
      <c r="F2" s="4"/>
    </row>
    <row r="4" spans="1:9" s="1" customFormat="1" ht="29" x14ac:dyDescent="0.35">
      <c r="A4" s="2" t="s">
        <v>1</v>
      </c>
      <c r="B4" s="3" t="s">
        <v>0</v>
      </c>
      <c r="C4" s="3" t="s">
        <v>2</v>
      </c>
      <c r="D4" s="3" t="s">
        <v>1071</v>
      </c>
      <c r="E4" s="3" t="s">
        <v>1080</v>
      </c>
      <c r="F4" s="3" t="s">
        <v>1099</v>
      </c>
      <c r="G4" s="3" t="s">
        <v>1074</v>
      </c>
      <c r="H4" s="3" t="s">
        <v>1072</v>
      </c>
      <c r="I4" s="3" t="s">
        <v>1073</v>
      </c>
    </row>
    <row r="5" spans="1:9" x14ac:dyDescent="0.35">
      <c r="A5" s="6" t="s">
        <v>150</v>
      </c>
      <c r="B5" s="8" t="s">
        <v>152</v>
      </c>
      <c r="C5" s="9">
        <v>45303</v>
      </c>
      <c r="D5" s="8" t="s">
        <v>179</v>
      </c>
      <c r="E5" s="17"/>
      <c r="F5" s="8" t="s">
        <v>206</v>
      </c>
      <c r="G5" s="8" t="s">
        <v>954</v>
      </c>
      <c r="H5" s="15">
        <f>IF(I5=0,"",I5/(D5*1000))</f>
        <v>1.0745041328735116E-4</v>
      </c>
      <c r="I5" s="3">
        <v>65</v>
      </c>
    </row>
    <row r="6" spans="1:9" hidden="1" x14ac:dyDescent="0.35">
      <c r="A6" s="6" t="s">
        <v>151</v>
      </c>
      <c r="B6" s="8" t="s">
        <v>816</v>
      </c>
      <c r="C6" s="9">
        <v>45309</v>
      </c>
      <c r="D6" s="8" t="s">
        <v>877</v>
      </c>
      <c r="E6" s="10"/>
      <c r="F6" s="8"/>
      <c r="G6" s="8"/>
      <c r="H6" s="14" t="str">
        <f t="shared" ref="H6:H69" si="0">IF(I6=0,"",I6/(D6*1000))</f>
        <v/>
      </c>
      <c r="I6" s="10"/>
    </row>
    <row r="7" spans="1:9" x14ac:dyDescent="0.35">
      <c r="A7" s="6" t="s">
        <v>151</v>
      </c>
      <c r="B7" s="8" t="s">
        <v>153</v>
      </c>
      <c r="C7" s="9">
        <v>45307</v>
      </c>
      <c r="D7" s="8" t="s">
        <v>180</v>
      </c>
      <c r="E7" s="17"/>
      <c r="F7" s="8" t="s">
        <v>207</v>
      </c>
      <c r="G7" s="8" t="s">
        <v>1040</v>
      </c>
      <c r="H7" s="15">
        <f>IF(I7=0,"",I7/(D7*1000))</f>
        <v>5.4554841585138865E-5</v>
      </c>
      <c r="I7" s="3">
        <v>33</v>
      </c>
    </row>
    <row r="8" spans="1:9" hidden="1" x14ac:dyDescent="0.35">
      <c r="A8" s="6" t="s">
        <v>151</v>
      </c>
      <c r="B8" s="8" t="s">
        <v>817</v>
      </c>
      <c r="C8" s="9">
        <v>45314</v>
      </c>
      <c r="D8" s="8" t="s">
        <v>878</v>
      </c>
      <c r="E8" s="10"/>
      <c r="F8" s="8"/>
      <c r="G8" s="8"/>
      <c r="H8" s="14" t="str">
        <f t="shared" si="0"/>
        <v/>
      </c>
      <c r="I8" s="10"/>
    </row>
    <row r="9" spans="1:9" x14ac:dyDescent="0.35">
      <c r="A9" s="6" t="s">
        <v>151</v>
      </c>
      <c r="B9" s="8" t="s">
        <v>154</v>
      </c>
      <c r="C9" s="9">
        <v>45314</v>
      </c>
      <c r="D9" s="8" t="s">
        <v>181</v>
      </c>
      <c r="E9" s="17"/>
      <c r="F9" s="8" t="s">
        <v>208</v>
      </c>
      <c r="G9" s="8" t="s">
        <v>954</v>
      </c>
      <c r="H9" s="15">
        <f>IF(I9=0,"",I9/(D9*1000))</f>
        <v>6.2820311261416976E-5</v>
      </c>
      <c r="I9" s="3">
        <v>38</v>
      </c>
    </row>
    <row r="10" spans="1:9" hidden="1" x14ac:dyDescent="0.35">
      <c r="A10" s="6" t="s">
        <v>150</v>
      </c>
      <c r="B10" s="8" t="s">
        <v>818</v>
      </c>
      <c r="C10" s="9">
        <v>45322</v>
      </c>
      <c r="D10" s="8" t="s">
        <v>879</v>
      </c>
      <c r="E10" s="10"/>
      <c r="F10" s="8"/>
      <c r="G10" s="8"/>
      <c r="H10" s="14" t="str">
        <f t="shared" si="0"/>
        <v/>
      </c>
      <c r="I10" s="10"/>
    </row>
    <row r="11" spans="1:9" hidden="1" x14ac:dyDescent="0.35">
      <c r="A11" s="6" t="s">
        <v>150</v>
      </c>
      <c r="B11" s="8" t="s">
        <v>819</v>
      </c>
      <c r="C11" s="9">
        <v>45322</v>
      </c>
      <c r="D11" s="8" t="s">
        <v>880</v>
      </c>
      <c r="E11" s="10"/>
      <c r="F11" s="8"/>
      <c r="G11" s="8"/>
      <c r="H11" s="14" t="str">
        <f t="shared" si="0"/>
        <v/>
      </c>
      <c r="I11" s="10"/>
    </row>
    <row r="12" spans="1:9" hidden="1" x14ac:dyDescent="0.35">
      <c r="A12" s="6" t="s">
        <v>151</v>
      </c>
      <c r="B12" s="8" t="s">
        <v>820</v>
      </c>
      <c r="C12" s="9">
        <v>45355</v>
      </c>
      <c r="D12" s="8" t="s">
        <v>881</v>
      </c>
      <c r="E12" s="10"/>
      <c r="F12" s="8"/>
      <c r="G12" s="8"/>
      <c r="H12" s="14" t="str">
        <f t="shared" si="0"/>
        <v/>
      </c>
      <c r="I12" s="10"/>
    </row>
    <row r="13" spans="1:9" hidden="1" x14ac:dyDescent="0.35">
      <c r="A13" s="6" t="s">
        <v>151</v>
      </c>
      <c r="B13" s="8" t="s">
        <v>821</v>
      </c>
      <c r="C13" s="9">
        <v>45355</v>
      </c>
      <c r="D13" s="8" t="s">
        <v>882</v>
      </c>
      <c r="E13" s="10"/>
      <c r="F13" s="8"/>
      <c r="G13" s="8"/>
      <c r="H13" s="14" t="str">
        <f t="shared" si="0"/>
        <v/>
      </c>
      <c r="I13" s="10"/>
    </row>
    <row r="14" spans="1:9" hidden="1" x14ac:dyDescent="0.35">
      <c r="A14" s="6" t="s">
        <v>150</v>
      </c>
      <c r="B14" s="8" t="s">
        <v>155</v>
      </c>
      <c r="C14" s="9">
        <v>45358</v>
      </c>
      <c r="D14" s="8" t="s">
        <v>182</v>
      </c>
      <c r="E14" s="8" t="s">
        <v>1047</v>
      </c>
      <c r="F14" s="8" t="s">
        <v>209</v>
      </c>
      <c r="G14" s="8" t="s">
        <v>954</v>
      </c>
      <c r="H14" s="15">
        <f t="shared" si="0"/>
        <v>5.1578824511976699E-5</v>
      </c>
      <c r="I14" s="3">
        <v>31.2</v>
      </c>
    </row>
    <row r="15" spans="1:9" hidden="1" x14ac:dyDescent="0.35">
      <c r="A15" s="6" t="s">
        <v>150</v>
      </c>
      <c r="B15" s="8" t="s">
        <v>156</v>
      </c>
      <c r="C15" s="9">
        <v>45370</v>
      </c>
      <c r="D15" s="8" t="s">
        <v>183</v>
      </c>
      <c r="E15" s="8" t="s">
        <v>1048</v>
      </c>
      <c r="F15" s="8" t="s">
        <v>210</v>
      </c>
      <c r="G15" s="8" t="s">
        <v>954</v>
      </c>
      <c r="H15" s="15">
        <f t="shared" si="0"/>
        <v>6.4473317469590903E-5</v>
      </c>
      <c r="I15" s="3">
        <v>39</v>
      </c>
    </row>
    <row r="16" spans="1:9" hidden="1" x14ac:dyDescent="0.35">
      <c r="A16" s="6" t="s">
        <v>151</v>
      </c>
      <c r="B16" s="8" t="s">
        <v>822</v>
      </c>
      <c r="C16" s="9">
        <v>45387</v>
      </c>
      <c r="D16" s="8" t="s">
        <v>883</v>
      </c>
      <c r="E16" s="10"/>
      <c r="F16" s="8"/>
      <c r="G16" s="8"/>
      <c r="H16" s="14" t="str">
        <f t="shared" si="0"/>
        <v/>
      </c>
      <c r="I16" s="10"/>
    </row>
    <row r="17" spans="1:9" hidden="1" x14ac:dyDescent="0.35">
      <c r="A17" s="6"/>
      <c r="B17" s="8" t="s">
        <v>823</v>
      </c>
      <c r="C17" s="9">
        <v>45387</v>
      </c>
      <c r="D17" s="8" t="s">
        <v>884</v>
      </c>
      <c r="E17" s="10"/>
      <c r="F17" s="8"/>
      <c r="G17" s="8"/>
      <c r="H17" s="14" t="str">
        <f t="shared" si="0"/>
        <v/>
      </c>
      <c r="I17" s="10"/>
    </row>
    <row r="18" spans="1:9" hidden="1" x14ac:dyDescent="0.35">
      <c r="A18" s="6" t="s">
        <v>150</v>
      </c>
      <c r="B18" s="8" t="s">
        <v>824</v>
      </c>
      <c r="C18" s="9">
        <v>45394</v>
      </c>
      <c r="D18" s="8" t="s">
        <v>885</v>
      </c>
      <c r="E18" s="10"/>
      <c r="F18" s="8"/>
      <c r="G18" s="8"/>
      <c r="H18" s="14" t="str">
        <f t="shared" si="0"/>
        <v/>
      </c>
      <c r="I18" s="10"/>
    </row>
    <row r="19" spans="1:9" hidden="1" x14ac:dyDescent="0.35">
      <c r="A19" s="6" t="s">
        <v>150</v>
      </c>
      <c r="B19" s="8" t="s">
        <v>825</v>
      </c>
      <c r="C19" s="9">
        <v>45398</v>
      </c>
      <c r="D19" s="8" t="s">
        <v>886</v>
      </c>
      <c r="E19" s="10"/>
      <c r="F19" s="8"/>
      <c r="G19" s="8"/>
      <c r="H19" s="14" t="str">
        <f t="shared" si="0"/>
        <v/>
      </c>
      <c r="I19" s="10"/>
    </row>
    <row r="20" spans="1:9" hidden="1" x14ac:dyDescent="0.35">
      <c r="A20" s="6" t="s">
        <v>150</v>
      </c>
      <c r="B20" s="8" t="s">
        <v>826</v>
      </c>
      <c r="C20" s="9">
        <v>45400</v>
      </c>
      <c r="D20" s="8" t="s">
        <v>887</v>
      </c>
      <c r="E20" s="10"/>
      <c r="F20" s="8"/>
      <c r="G20" s="8"/>
      <c r="H20" s="14" t="str">
        <f t="shared" si="0"/>
        <v/>
      </c>
      <c r="I20" s="10"/>
    </row>
    <row r="21" spans="1:9" hidden="1" x14ac:dyDescent="0.35">
      <c r="A21" s="6" t="s">
        <v>151</v>
      </c>
      <c r="B21" s="8" t="s">
        <v>157</v>
      </c>
      <c r="C21" s="9">
        <v>45401</v>
      </c>
      <c r="D21" s="8" t="s">
        <v>184</v>
      </c>
      <c r="E21" s="8" t="s">
        <v>1049</v>
      </c>
      <c r="F21" s="8" t="s">
        <v>211</v>
      </c>
      <c r="G21" s="8" t="s">
        <v>954</v>
      </c>
      <c r="H21" s="15">
        <f t="shared" si="0"/>
        <v>1.2982303389506318E-5</v>
      </c>
      <c r="I21" s="3">
        <v>15</v>
      </c>
    </row>
    <row r="22" spans="1:9" x14ac:dyDescent="0.35">
      <c r="A22" s="6"/>
      <c r="B22" s="8" t="s">
        <v>158</v>
      </c>
      <c r="C22" s="9">
        <v>45401</v>
      </c>
      <c r="D22" s="8" t="s">
        <v>185</v>
      </c>
      <c r="E22" s="19"/>
      <c r="F22" s="8" t="s">
        <v>212</v>
      </c>
      <c r="G22" s="8" t="s">
        <v>954</v>
      </c>
      <c r="H22" s="15">
        <f t="shared" si="0"/>
        <v>1.2981248413583267E-5</v>
      </c>
      <c r="I22" s="3">
        <v>15</v>
      </c>
    </row>
    <row r="23" spans="1:9" hidden="1" x14ac:dyDescent="0.35">
      <c r="A23" s="6" t="s">
        <v>151</v>
      </c>
      <c r="B23" s="8" t="s">
        <v>827</v>
      </c>
      <c r="C23" s="9">
        <v>45404</v>
      </c>
      <c r="D23" s="8" t="s">
        <v>888</v>
      </c>
      <c r="E23" s="8"/>
      <c r="F23" s="8"/>
      <c r="G23" s="8"/>
      <c r="H23" s="14" t="str">
        <f t="shared" si="0"/>
        <v/>
      </c>
      <c r="I23" s="10"/>
    </row>
    <row r="24" spans="1:9" hidden="1" x14ac:dyDescent="0.35">
      <c r="A24" s="6"/>
      <c r="B24" s="8" t="s">
        <v>828</v>
      </c>
      <c r="C24" s="9">
        <v>45404</v>
      </c>
      <c r="D24" s="8" t="s">
        <v>889</v>
      </c>
      <c r="E24" s="8"/>
      <c r="F24" s="8"/>
      <c r="G24" s="8"/>
      <c r="H24" s="14" t="str">
        <f t="shared" si="0"/>
        <v/>
      </c>
      <c r="I24" s="10"/>
    </row>
    <row r="25" spans="1:9" x14ac:dyDescent="0.35">
      <c r="A25" s="6" t="s">
        <v>150</v>
      </c>
      <c r="B25" s="8" t="s">
        <v>159</v>
      </c>
      <c r="C25" s="9">
        <v>45432</v>
      </c>
      <c r="D25" s="8" t="s">
        <v>186</v>
      </c>
      <c r="E25" s="19" t="s">
        <v>1050</v>
      </c>
      <c r="F25" s="19" t="s">
        <v>213</v>
      </c>
      <c r="G25" s="8" t="s">
        <v>954</v>
      </c>
      <c r="H25" s="15">
        <f t="shared" si="0"/>
        <v>2.7277303547619972E-5</v>
      </c>
      <c r="I25" s="3">
        <v>16.5</v>
      </c>
    </row>
    <row r="26" spans="1:9" hidden="1" x14ac:dyDescent="0.35">
      <c r="A26" s="6" t="s">
        <v>151</v>
      </c>
      <c r="B26" s="8" t="s">
        <v>160</v>
      </c>
      <c r="C26" s="9">
        <v>45443</v>
      </c>
      <c r="D26" s="8" t="s">
        <v>187</v>
      </c>
      <c r="E26" s="8" t="s">
        <v>1051</v>
      </c>
      <c r="F26" s="8" t="s">
        <v>214</v>
      </c>
      <c r="G26" s="8" t="s">
        <v>954</v>
      </c>
      <c r="H26" s="15">
        <f t="shared" si="0"/>
        <v>2.4795601590885799E-5</v>
      </c>
      <c r="I26" s="3">
        <v>15</v>
      </c>
    </row>
    <row r="27" spans="1:9" x14ac:dyDescent="0.35">
      <c r="A27" s="6"/>
      <c r="B27" s="8" t="s">
        <v>161</v>
      </c>
      <c r="C27" s="9">
        <v>45443</v>
      </c>
      <c r="D27" s="8" t="s">
        <v>188</v>
      </c>
      <c r="E27" s="19"/>
      <c r="F27" s="8" t="s">
        <v>214</v>
      </c>
      <c r="G27" s="8" t="s">
        <v>954</v>
      </c>
      <c r="H27" s="15">
        <f t="shared" si="0"/>
        <v>2.4797560978029034E-5</v>
      </c>
      <c r="I27" s="3">
        <v>15</v>
      </c>
    </row>
    <row r="28" spans="1:9" hidden="1" x14ac:dyDescent="0.35">
      <c r="A28" s="6" t="s">
        <v>150</v>
      </c>
      <c r="B28" s="8" t="s">
        <v>162</v>
      </c>
      <c r="C28" s="9">
        <v>45448</v>
      </c>
      <c r="D28" s="8" t="s">
        <v>189</v>
      </c>
      <c r="E28" s="8" t="s">
        <v>1052</v>
      </c>
      <c r="F28" s="8" t="s">
        <v>215</v>
      </c>
      <c r="G28" s="8" t="s">
        <v>954</v>
      </c>
      <c r="H28" s="15">
        <f t="shared" si="0"/>
        <v>1.4228915420182231E-5</v>
      </c>
      <c r="I28" s="3">
        <v>18.100000000000001</v>
      </c>
    </row>
    <row r="29" spans="1:9" hidden="1" x14ac:dyDescent="0.35">
      <c r="A29" s="6" t="s">
        <v>151</v>
      </c>
      <c r="B29" s="8" t="s">
        <v>829</v>
      </c>
      <c r="C29" s="9">
        <v>45460</v>
      </c>
      <c r="D29" s="8" t="s">
        <v>890</v>
      </c>
      <c r="E29" s="8"/>
      <c r="F29" s="8"/>
      <c r="G29" s="8"/>
      <c r="H29" s="14" t="str">
        <f t="shared" si="0"/>
        <v/>
      </c>
      <c r="I29" s="10"/>
    </row>
    <row r="30" spans="1:9" hidden="1" x14ac:dyDescent="0.35">
      <c r="A30" s="6"/>
      <c r="B30" s="8" t="s">
        <v>830</v>
      </c>
      <c r="C30" s="9">
        <v>45460</v>
      </c>
      <c r="D30" s="8" t="s">
        <v>891</v>
      </c>
      <c r="E30" s="8"/>
      <c r="F30" s="8"/>
      <c r="G30" s="8"/>
      <c r="H30" s="14" t="str">
        <f t="shared" si="0"/>
        <v/>
      </c>
      <c r="I30" s="10"/>
    </row>
    <row r="31" spans="1:9" hidden="1" x14ac:dyDescent="0.35">
      <c r="A31" s="6" t="s">
        <v>150</v>
      </c>
      <c r="B31" s="8" t="s">
        <v>831</v>
      </c>
      <c r="C31" s="9">
        <v>45474</v>
      </c>
      <c r="D31" s="8" t="s">
        <v>892</v>
      </c>
      <c r="E31" s="8"/>
      <c r="F31" s="8"/>
      <c r="G31" s="8"/>
      <c r="H31" s="14" t="str">
        <f t="shared" si="0"/>
        <v/>
      </c>
      <c r="I31" s="10"/>
    </row>
    <row r="32" spans="1:9" x14ac:dyDescent="0.35">
      <c r="A32" s="6" t="s">
        <v>150</v>
      </c>
      <c r="B32" s="8" t="s">
        <v>163</v>
      </c>
      <c r="C32" s="9">
        <v>45478</v>
      </c>
      <c r="D32" s="8" t="s">
        <v>190</v>
      </c>
      <c r="E32" s="19" t="s">
        <v>1053</v>
      </c>
      <c r="F32" s="19" t="s">
        <v>216</v>
      </c>
      <c r="G32" s="8" t="s">
        <v>954</v>
      </c>
      <c r="H32" s="15">
        <f t="shared" si="0"/>
        <v>2.9243105878831189E-5</v>
      </c>
      <c r="I32" s="3">
        <v>37.200000000000003</v>
      </c>
    </row>
    <row r="33" spans="1:9" hidden="1" x14ac:dyDescent="0.35">
      <c r="A33" s="6" t="s">
        <v>150</v>
      </c>
      <c r="B33" s="8" t="s">
        <v>164</v>
      </c>
      <c r="C33" s="9">
        <v>45482</v>
      </c>
      <c r="D33" s="8" t="s">
        <v>191</v>
      </c>
      <c r="E33" s="8" t="s">
        <v>1054</v>
      </c>
      <c r="F33" s="8" t="s">
        <v>217</v>
      </c>
      <c r="G33" s="8" t="s">
        <v>954</v>
      </c>
      <c r="H33" s="15">
        <f t="shared" si="0"/>
        <v>9.9191965715288986E-6</v>
      </c>
      <c r="I33" s="3">
        <v>6</v>
      </c>
    </row>
    <row r="34" spans="1:9" x14ac:dyDescent="0.35">
      <c r="A34" s="6" t="s">
        <v>150</v>
      </c>
      <c r="B34" s="8" t="s">
        <v>165</v>
      </c>
      <c r="C34" s="9">
        <v>45495</v>
      </c>
      <c r="D34" s="8" t="s">
        <v>192</v>
      </c>
      <c r="E34" s="19" t="s">
        <v>1055</v>
      </c>
      <c r="F34" s="19" t="s">
        <v>218</v>
      </c>
      <c r="G34" s="8" t="s">
        <v>1046</v>
      </c>
      <c r="H34" s="15">
        <f t="shared" si="0"/>
        <v>3.1410124475016963E-5</v>
      </c>
      <c r="I34" s="3">
        <v>19</v>
      </c>
    </row>
    <row r="35" spans="1:9" hidden="1" x14ac:dyDescent="0.35">
      <c r="A35" s="6" t="s">
        <v>151</v>
      </c>
      <c r="B35" s="8" t="s">
        <v>166</v>
      </c>
      <c r="C35" s="9">
        <v>45503</v>
      </c>
      <c r="D35" s="8" t="s">
        <v>193</v>
      </c>
      <c r="E35" s="8" t="s">
        <v>1056</v>
      </c>
      <c r="F35" s="8" t="s">
        <v>219</v>
      </c>
      <c r="G35" s="8" t="s">
        <v>954</v>
      </c>
      <c r="H35" s="15">
        <f t="shared" si="0"/>
        <v>1.5656423674934586E-5</v>
      </c>
      <c r="I35" s="3">
        <v>18.100000000000001</v>
      </c>
    </row>
    <row r="36" spans="1:9" x14ac:dyDescent="0.35">
      <c r="A36" s="6"/>
      <c r="B36" s="8" t="s">
        <v>167</v>
      </c>
      <c r="C36" s="9">
        <v>45503</v>
      </c>
      <c r="D36" s="8" t="s">
        <v>194</v>
      </c>
      <c r="E36" s="19"/>
      <c r="F36" s="8" t="s">
        <v>220</v>
      </c>
      <c r="G36" s="8" t="s">
        <v>954</v>
      </c>
      <c r="H36" s="15">
        <f t="shared" si="0"/>
        <v>1.5663965195188587E-5</v>
      </c>
      <c r="I36" s="3">
        <v>18.100000000000001</v>
      </c>
    </row>
    <row r="37" spans="1:9" x14ac:dyDescent="0.35">
      <c r="A37" s="6" t="s">
        <v>151</v>
      </c>
      <c r="B37" s="8" t="s">
        <v>168</v>
      </c>
      <c r="C37" s="9">
        <v>45504</v>
      </c>
      <c r="D37" s="8" t="s">
        <v>195</v>
      </c>
      <c r="E37" s="19"/>
      <c r="F37" s="8" t="s">
        <v>221</v>
      </c>
      <c r="G37" s="8" t="s">
        <v>954</v>
      </c>
      <c r="H37" s="15">
        <f t="shared" si="0"/>
        <v>1.3225737549786634E-5</v>
      </c>
      <c r="I37" s="3">
        <v>8</v>
      </c>
    </row>
    <row r="38" spans="1:9" hidden="1" x14ac:dyDescent="0.35">
      <c r="A38" s="6" t="s">
        <v>151</v>
      </c>
      <c r="B38" s="8" t="s">
        <v>169</v>
      </c>
      <c r="C38" s="9">
        <v>45504</v>
      </c>
      <c r="D38" s="8" t="s">
        <v>196</v>
      </c>
      <c r="E38" s="8" t="s">
        <v>1051</v>
      </c>
      <c r="F38" s="8" t="s">
        <v>221</v>
      </c>
      <c r="G38" s="8" t="s">
        <v>954</v>
      </c>
      <c r="H38" s="15">
        <f t="shared" si="0"/>
        <v>1.3222222589506183E-5</v>
      </c>
      <c r="I38" s="3">
        <v>8</v>
      </c>
    </row>
    <row r="39" spans="1:9" hidden="1" x14ac:dyDescent="0.35">
      <c r="A39" s="6" t="s">
        <v>151</v>
      </c>
      <c r="B39" s="8" t="s">
        <v>170</v>
      </c>
      <c r="C39" s="9">
        <v>45531</v>
      </c>
      <c r="D39" s="8" t="s">
        <v>197</v>
      </c>
      <c r="E39" s="8" t="s">
        <v>1054</v>
      </c>
      <c r="F39" s="8" t="s">
        <v>222</v>
      </c>
      <c r="G39" s="8" t="s">
        <v>954</v>
      </c>
      <c r="H39" s="15">
        <f t="shared" si="0"/>
        <v>1.5719439444789398E-5</v>
      </c>
      <c r="I39" s="3">
        <v>20</v>
      </c>
    </row>
    <row r="40" spans="1:9" x14ac:dyDescent="0.35">
      <c r="A40" s="6"/>
      <c r="B40" s="8" t="s">
        <v>171</v>
      </c>
      <c r="C40" s="9">
        <v>45531</v>
      </c>
      <c r="D40" s="8" t="s">
        <v>198</v>
      </c>
      <c r="E40" s="19"/>
      <c r="F40" s="8" t="s">
        <v>223</v>
      </c>
      <c r="G40" s="8" t="s">
        <v>1046</v>
      </c>
      <c r="H40" s="15">
        <f t="shared" si="0"/>
        <v>1.5722384202085466E-5</v>
      </c>
      <c r="I40" s="3">
        <v>20</v>
      </c>
    </row>
    <row r="41" spans="1:9" hidden="1" x14ac:dyDescent="0.35">
      <c r="A41" s="6" t="s">
        <v>150</v>
      </c>
      <c r="B41" s="8" t="s">
        <v>832</v>
      </c>
      <c r="C41" s="9">
        <v>45553</v>
      </c>
      <c r="D41" s="8" t="s">
        <v>893</v>
      </c>
      <c r="E41" s="8"/>
      <c r="F41" s="8"/>
      <c r="G41" s="8"/>
      <c r="H41" s="14" t="str">
        <f t="shared" si="0"/>
        <v/>
      </c>
      <c r="I41" s="10"/>
    </row>
    <row r="42" spans="1:9" hidden="1" x14ac:dyDescent="0.35">
      <c r="A42" s="6" t="s">
        <v>151</v>
      </c>
      <c r="B42" s="8" t="s">
        <v>833</v>
      </c>
      <c r="C42" s="9">
        <v>45566</v>
      </c>
      <c r="D42" s="8" t="s">
        <v>894</v>
      </c>
      <c r="E42" s="8"/>
      <c r="F42" s="8"/>
      <c r="G42" s="8"/>
      <c r="H42" s="14" t="str">
        <f t="shared" si="0"/>
        <v/>
      </c>
      <c r="I42" s="10"/>
    </row>
    <row r="43" spans="1:9" hidden="1" x14ac:dyDescent="0.35">
      <c r="A43" s="6"/>
      <c r="B43" s="8" t="s">
        <v>834</v>
      </c>
      <c r="C43" s="9">
        <v>45565</v>
      </c>
      <c r="D43" s="8" t="s">
        <v>895</v>
      </c>
      <c r="E43" s="8"/>
      <c r="F43" s="8"/>
      <c r="G43" s="8"/>
      <c r="H43" s="14" t="str">
        <f t="shared" si="0"/>
        <v/>
      </c>
      <c r="I43" s="10"/>
    </row>
    <row r="44" spans="1:9" hidden="1" x14ac:dyDescent="0.35">
      <c r="A44" s="6" t="s">
        <v>150</v>
      </c>
      <c r="B44" s="8" t="s">
        <v>835</v>
      </c>
      <c r="C44" s="9">
        <v>45569</v>
      </c>
      <c r="D44" s="8" t="s">
        <v>896</v>
      </c>
      <c r="E44" s="8"/>
      <c r="F44" s="8"/>
      <c r="G44" s="8"/>
      <c r="H44" s="14" t="str">
        <f t="shared" si="0"/>
        <v/>
      </c>
      <c r="I44" s="10"/>
    </row>
    <row r="45" spans="1:9" hidden="1" x14ac:dyDescent="0.35">
      <c r="A45" s="6" t="s">
        <v>151</v>
      </c>
      <c r="B45" s="8" t="s">
        <v>172</v>
      </c>
      <c r="C45" s="9">
        <v>45575</v>
      </c>
      <c r="D45" s="8" t="s">
        <v>199</v>
      </c>
      <c r="E45" s="8" t="s">
        <v>1057</v>
      </c>
      <c r="F45" s="8" t="s">
        <v>224</v>
      </c>
      <c r="G45" s="8" t="s">
        <v>1046</v>
      </c>
      <c r="H45" s="15">
        <f t="shared" si="0"/>
        <v>2.666382252559727E-5</v>
      </c>
      <c r="I45" s="3">
        <v>8</v>
      </c>
    </row>
    <row r="46" spans="1:9" x14ac:dyDescent="0.35">
      <c r="A46" s="6"/>
      <c r="B46" s="8" t="s">
        <v>173</v>
      </c>
      <c r="C46" s="9">
        <v>45575</v>
      </c>
      <c r="D46" s="8" t="s">
        <v>200</v>
      </c>
      <c r="E46" s="19"/>
      <c r="F46" s="8" t="s">
        <v>225</v>
      </c>
      <c r="G46" s="8" t="s">
        <v>1046</v>
      </c>
      <c r="H46" s="15">
        <f t="shared" si="0"/>
        <v>2.6665191192754004E-5</v>
      </c>
      <c r="I46" s="3">
        <v>8</v>
      </c>
    </row>
    <row r="47" spans="1:9" ht="15" hidden="1" customHeight="1" x14ac:dyDescent="0.35">
      <c r="A47" s="6" t="s">
        <v>150</v>
      </c>
      <c r="B47" s="8" t="s">
        <v>174</v>
      </c>
      <c r="C47" s="9">
        <v>45576</v>
      </c>
      <c r="D47" s="8" t="s">
        <v>201</v>
      </c>
      <c r="E47" s="8" t="s">
        <v>1058</v>
      </c>
      <c r="F47" s="8" t="s">
        <v>226</v>
      </c>
      <c r="G47" s="8" t="s">
        <v>1081</v>
      </c>
      <c r="H47" s="15">
        <f t="shared" si="0"/>
        <v>2.7954817560204689E-5</v>
      </c>
      <c r="I47" s="3">
        <v>21</v>
      </c>
    </row>
    <row r="48" spans="1:9" hidden="1" x14ac:dyDescent="0.35">
      <c r="A48" s="6" t="s">
        <v>150</v>
      </c>
      <c r="B48" s="8" t="s">
        <v>836</v>
      </c>
      <c r="C48" s="9">
        <v>45583</v>
      </c>
      <c r="D48" s="8" t="s">
        <v>897</v>
      </c>
      <c r="E48" s="8"/>
      <c r="F48" s="8"/>
      <c r="G48" s="8"/>
      <c r="H48" s="14" t="str">
        <f t="shared" si="0"/>
        <v/>
      </c>
      <c r="I48" s="10"/>
    </row>
    <row r="49" spans="1:9" x14ac:dyDescent="0.35">
      <c r="A49" s="6" t="s">
        <v>150</v>
      </c>
      <c r="B49" s="8" t="s">
        <v>175</v>
      </c>
      <c r="C49" s="9">
        <v>45589</v>
      </c>
      <c r="D49" s="8" t="s">
        <v>202</v>
      </c>
      <c r="E49" s="19" t="s">
        <v>1059</v>
      </c>
      <c r="F49" s="19" t="s">
        <v>227</v>
      </c>
      <c r="G49" s="8" t="s">
        <v>954</v>
      </c>
      <c r="H49" s="15">
        <f>IF(I49=0,"",I49/(D49*1000))</f>
        <v>1.7294868706790344E-5</v>
      </c>
      <c r="I49" s="3">
        <v>22</v>
      </c>
    </row>
    <row r="50" spans="1:9" hidden="1" x14ac:dyDescent="0.35">
      <c r="A50" s="6" t="s">
        <v>151</v>
      </c>
      <c r="B50" s="8" t="s">
        <v>837</v>
      </c>
      <c r="C50" s="9">
        <v>45593</v>
      </c>
      <c r="D50" s="8" t="s">
        <v>898</v>
      </c>
      <c r="E50" s="8"/>
      <c r="F50" s="8"/>
      <c r="G50" s="8"/>
      <c r="H50" s="14" t="str">
        <f t="shared" si="0"/>
        <v/>
      </c>
      <c r="I50" s="10"/>
    </row>
    <row r="51" spans="1:9" hidden="1" x14ac:dyDescent="0.35">
      <c r="A51" s="6"/>
      <c r="B51" s="8" t="s">
        <v>838</v>
      </c>
      <c r="C51" s="9">
        <v>45593</v>
      </c>
      <c r="D51" s="8" t="s">
        <v>899</v>
      </c>
      <c r="E51" s="8"/>
      <c r="F51" s="8"/>
      <c r="G51" s="8"/>
      <c r="H51" s="14" t="str">
        <f t="shared" si="0"/>
        <v/>
      </c>
      <c r="I51" s="10"/>
    </row>
    <row r="52" spans="1:9" hidden="1" x14ac:dyDescent="0.35">
      <c r="A52" s="6" t="s">
        <v>150</v>
      </c>
      <c r="B52" s="8" t="s">
        <v>839</v>
      </c>
      <c r="C52" s="9">
        <v>45597</v>
      </c>
      <c r="D52" s="8" t="s">
        <v>900</v>
      </c>
      <c r="E52" s="8"/>
      <c r="F52" s="8"/>
      <c r="G52" s="8"/>
      <c r="H52" s="14" t="str">
        <f t="shared" si="0"/>
        <v/>
      </c>
      <c r="I52" s="10"/>
    </row>
    <row r="53" spans="1:9" hidden="1" x14ac:dyDescent="0.35">
      <c r="A53" s="6" t="s">
        <v>151</v>
      </c>
      <c r="B53" s="8" t="s">
        <v>840</v>
      </c>
      <c r="C53" s="9">
        <v>45601</v>
      </c>
      <c r="D53" s="8" t="s">
        <v>901</v>
      </c>
      <c r="E53" s="8"/>
      <c r="F53" s="8"/>
      <c r="G53" s="8"/>
      <c r="H53" s="14" t="str">
        <f t="shared" si="0"/>
        <v/>
      </c>
      <c r="I53" s="10"/>
    </row>
    <row r="54" spans="1:9" hidden="1" x14ac:dyDescent="0.35">
      <c r="A54" s="6"/>
      <c r="B54" s="8" t="s">
        <v>841</v>
      </c>
      <c r="C54" s="9">
        <v>45601</v>
      </c>
      <c r="D54" s="8" t="s">
        <v>902</v>
      </c>
      <c r="E54" s="8"/>
      <c r="F54" s="8"/>
      <c r="G54" s="8"/>
      <c r="H54" s="14" t="str">
        <f t="shared" si="0"/>
        <v/>
      </c>
      <c r="I54" s="10"/>
    </row>
    <row r="55" spans="1:9" hidden="1" x14ac:dyDescent="0.35">
      <c r="A55" s="6" t="s">
        <v>150</v>
      </c>
      <c r="B55" s="8" t="s">
        <v>176</v>
      </c>
      <c r="C55" s="9">
        <v>45604</v>
      </c>
      <c r="D55" s="8" t="s">
        <v>203</v>
      </c>
      <c r="E55" s="8" t="s">
        <v>1054</v>
      </c>
      <c r="F55" s="8" t="s">
        <v>228</v>
      </c>
      <c r="G55" s="8" t="s">
        <v>954</v>
      </c>
      <c r="H55" s="15">
        <f t="shared" si="0"/>
        <v>1.2981474224677124E-5</v>
      </c>
      <c r="I55" s="3">
        <v>15</v>
      </c>
    </row>
    <row r="56" spans="1:9" hidden="1" x14ac:dyDescent="0.35">
      <c r="A56" s="6" t="s">
        <v>150</v>
      </c>
      <c r="B56" s="8" t="s">
        <v>177</v>
      </c>
      <c r="C56" s="9">
        <v>45629</v>
      </c>
      <c r="D56" s="8" t="s">
        <v>204</v>
      </c>
      <c r="E56" s="8" t="s">
        <v>1060</v>
      </c>
      <c r="F56" s="8" t="s">
        <v>229</v>
      </c>
      <c r="G56" s="8" t="s">
        <v>1046</v>
      </c>
      <c r="H56" s="15">
        <f t="shared" si="0"/>
        <v>1.6301973408220974E-4</v>
      </c>
      <c r="I56" s="3">
        <v>15</v>
      </c>
    </row>
    <row r="57" spans="1:9" hidden="1" x14ac:dyDescent="0.35">
      <c r="A57" s="6" t="s">
        <v>150</v>
      </c>
      <c r="B57" s="8" t="s">
        <v>842</v>
      </c>
      <c r="C57" s="9">
        <v>45639</v>
      </c>
      <c r="D57" s="8" t="s">
        <v>903</v>
      </c>
      <c r="E57" s="8"/>
      <c r="F57" s="8"/>
      <c r="G57" s="8"/>
      <c r="H57" s="14" t="str">
        <f t="shared" si="0"/>
        <v/>
      </c>
      <c r="I57" s="10"/>
    </row>
    <row r="58" spans="1:9" x14ac:dyDescent="0.35">
      <c r="A58" s="22" t="s">
        <v>150</v>
      </c>
      <c r="B58" s="8" t="s">
        <v>178</v>
      </c>
      <c r="C58" s="9">
        <v>45644</v>
      </c>
      <c r="D58" s="8" t="s">
        <v>205</v>
      </c>
      <c r="E58" s="19" t="s">
        <v>1061</v>
      </c>
      <c r="F58" s="19" t="s">
        <v>230</v>
      </c>
      <c r="G58" s="8" t="s">
        <v>954</v>
      </c>
      <c r="H58" s="15">
        <f t="shared" si="0"/>
        <v>7.8608886828986687E-5</v>
      </c>
      <c r="I58" s="3">
        <v>100</v>
      </c>
    </row>
    <row r="59" spans="1:9" hidden="1" x14ac:dyDescent="0.35">
      <c r="A59" s="6" t="s">
        <v>150</v>
      </c>
      <c r="B59" s="8" t="s">
        <v>843</v>
      </c>
      <c r="C59" s="9">
        <v>45677</v>
      </c>
      <c r="D59" s="8" t="s">
        <v>904</v>
      </c>
      <c r="E59" s="8" t="s">
        <v>1062</v>
      </c>
      <c r="F59" s="8" t="s">
        <v>938</v>
      </c>
      <c r="G59" s="8" t="s">
        <v>954</v>
      </c>
      <c r="H59" s="15">
        <f t="shared" si="0"/>
        <v>2.785175070136676E-5</v>
      </c>
      <c r="I59" s="3">
        <v>21</v>
      </c>
    </row>
    <row r="60" spans="1:9" hidden="1" x14ac:dyDescent="0.35">
      <c r="A60" s="6" t="s">
        <v>151</v>
      </c>
      <c r="B60" s="8" t="s">
        <v>844</v>
      </c>
      <c r="C60" s="9">
        <v>45684</v>
      </c>
      <c r="D60" s="8" t="s">
        <v>905</v>
      </c>
      <c r="E60" s="8" t="s">
        <v>1063</v>
      </c>
      <c r="F60" s="8" t="s">
        <v>939</v>
      </c>
      <c r="G60" s="8" t="s">
        <v>954</v>
      </c>
      <c r="H60" s="15">
        <f t="shared" si="0"/>
        <v>1.3227535098437662E-5</v>
      </c>
      <c r="I60" s="3">
        <v>8</v>
      </c>
    </row>
    <row r="61" spans="1:9" hidden="1" x14ac:dyDescent="0.35">
      <c r="A61" s="6" t="s">
        <v>150</v>
      </c>
      <c r="B61" s="8" t="s">
        <v>845</v>
      </c>
      <c r="C61" s="9">
        <v>45685</v>
      </c>
      <c r="D61" s="8" t="s">
        <v>906</v>
      </c>
      <c r="E61" s="8" t="s">
        <v>1064</v>
      </c>
      <c r="F61" s="8" t="s">
        <v>940</v>
      </c>
      <c r="G61" s="8" t="s">
        <v>954</v>
      </c>
      <c r="H61" s="15">
        <f t="shared" si="0"/>
        <v>1.3364217778576137E-5</v>
      </c>
      <c r="I61" s="3">
        <v>17</v>
      </c>
    </row>
    <row r="62" spans="1:9" x14ac:dyDescent="0.35">
      <c r="A62" s="6" t="s">
        <v>151</v>
      </c>
      <c r="B62" s="8" t="s">
        <v>846</v>
      </c>
      <c r="C62" s="9">
        <v>45693</v>
      </c>
      <c r="D62" s="8" t="s">
        <v>907</v>
      </c>
      <c r="E62" s="19"/>
      <c r="F62" s="8" t="s">
        <v>228</v>
      </c>
      <c r="G62" s="8" t="s">
        <v>954</v>
      </c>
      <c r="H62" s="15">
        <f t="shared" si="0"/>
        <v>1.1790775054807452E-5</v>
      </c>
      <c r="I62" s="3">
        <v>15</v>
      </c>
    </row>
    <row r="63" spans="1:9" x14ac:dyDescent="0.35">
      <c r="A63" s="6" t="s">
        <v>150</v>
      </c>
      <c r="B63" s="8" t="s">
        <v>847</v>
      </c>
      <c r="C63" s="9">
        <v>45701</v>
      </c>
      <c r="D63" s="8" t="s">
        <v>908</v>
      </c>
      <c r="E63" s="19" t="s">
        <v>1054</v>
      </c>
      <c r="F63" s="19" t="s">
        <v>941</v>
      </c>
      <c r="G63" s="8" t="s">
        <v>954</v>
      </c>
      <c r="H63" s="15">
        <f t="shared" si="0"/>
        <v>7.0825977899622214E-5</v>
      </c>
      <c r="I63" s="3">
        <v>90.1</v>
      </c>
    </row>
    <row r="64" spans="1:9" hidden="1" x14ac:dyDescent="0.35">
      <c r="A64" s="6" t="s">
        <v>150</v>
      </c>
      <c r="B64" s="8" t="s">
        <v>848</v>
      </c>
      <c r="C64" s="9">
        <v>45713</v>
      </c>
      <c r="D64" s="8" t="s">
        <v>909</v>
      </c>
      <c r="E64" s="8"/>
      <c r="F64" s="8"/>
      <c r="G64" s="8"/>
      <c r="H64" s="14" t="str">
        <f t="shared" si="0"/>
        <v/>
      </c>
      <c r="I64" s="10"/>
    </row>
    <row r="65" spans="1:9" hidden="1" x14ac:dyDescent="0.35">
      <c r="A65" s="6" t="s">
        <v>150</v>
      </c>
      <c r="B65" s="8" t="s">
        <v>849</v>
      </c>
      <c r="C65" s="9">
        <v>45723</v>
      </c>
      <c r="D65" s="8" t="s">
        <v>910</v>
      </c>
      <c r="E65" s="8"/>
      <c r="F65" s="8"/>
      <c r="G65" s="8"/>
      <c r="H65" s="14" t="str">
        <f t="shared" si="0"/>
        <v/>
      </c>
      <c r="I65" s="10"/>
    </row>
    <row r="66" spans="1:9" hidden="1" x14ac:dyDescent="0.35">
      <c r="A66" s="6" t="s">
        <v>150</v>
      </c>
      <c r="B66" s="8" t="s">
        <v>850</v>
      </c>
      <c r="C66" s="9">
        <v>45726</v>
      </c>
      <c r="D66" s="8" t="s">
        <v>911</v>
      </c>
      <c r="E66" s="8" t="s">
        <v>1063</v>
      </c>
      <c r="F66" s="8" t="s">
        <v>942</v>
      </c>
      <c r="G66" s="8" t="s">
        <v>954</v>
      </c>
      <c r="H66" s="15">
        <f t="shared" si="0"/>
        <v>1.9904094112926278E-5</v>
      </c>
      <c r="I66" s="3">
        <v>15</v>
      </c>
    </row>
    <row r="67" spans="1:9" hidden="1" x14ac:dyDescent="0.35">
      <c r="A67" s="6" t="s">
        <v>151</v>
      </c>
      <c r="B67" s="8" t="s">
        <v>851</v>
      </c>
      <c r="C67" s="9">
        <v>45726</v>
      </c>
      <c r="D67" s="8" t="s">
        <v>912</v>
      </c>
      <c r="E67" s="8" t="s">
        <v>1054</v>
      </c>
      <c r="F67" s="8" t="s">
        <v>943</v>
      </c>
      <c r="G67" s="8" t="s">
        <v>954</v>
      </c>
      <c r="H67" s="15">
        <f t="shared" si="0"/>
        <v>1.9999400017999461E-5</v>
      </c>
      <c r="I67" s="3">
        <v>6</v>
      </c>
    </row>
    <row r="68" spans="1:9" ht="29" x14ac:dyDescent="0.35">
      <c r="A68" s="6" t="s">
        <v>151</v>
      </c>
      <c r="B68" s="8" t="s">
        <v>852</v>
      </c>
      <c r="C68" s="9">
        <v>45733</v>
      </c>
      <c r="D68" s="8" t="s">
        <v>913</v>
      </c>
      <c r="E68" s="19" t="s">
        <v>1065</v>
      </c>
      <c r="F68" s="19" t="s">
        <v>944</v>
      </c>
      <c r="G68" s="8" t="s">
        <v>1046</v>
      </c>
      <c r="H68" s="15">
        <f t="shared" si="0"/>
        <v>3.8460620303494084E-5</v>
      </c>
      <c r="I68" s="3">
        <v>29</v>
      </c>
    </row>
    <row r="69" spans="1:9" hidden="1" x14ac:dyDescent="0.35">
      <c r="A69" s="6" t="s">
        <v>151</v>
      </c>
      <c r="B69" s="8" t="s">
        <v>853</v>
      </c>
      <c r="C69" s="9">
        <v>45734</v>
      </c>
      <c r="D69" s="8" t="s">
        <v>914</v>
      </c>
      <c r="E69" s="8"/>
      <c r="F69" s="8"/>
      <c r="G69" s="8"/>
      <c r="H69" s="14" t="str">
        <f t="shared" si="0"/>
        <v/>
      </c>
      <c r="I69" s="10"/>
    </row>
    <row r="70" spans="1:9" hidden="1" x14ac:dyDescent="0.35">
      <c r="A70" s="6" t="s">
        <v>150</v>
      </c>
      <c r="B70" s="8" t="s">
        <v>854</v>
      </c>
      <c r="C70" s="9">
        <v>45741</v>
      </c>
      <c r="D70" s="8" t="s">
        <v>915</v>
      </c>
      <c r="E70" s="8"/>
      <c r="F70" s="8"/>
      <c r="G70" s="8"/>
      <c r="H70" s="14" t="str">
        <f t="shared" ref="H70:H92" si="1">IF(I70=0,"",I70/(D70*1000))</f>
        <v/>
      </c>
      <c r="I70" s="10"/>
    </row>
    <row r="71" spans="1:9" hidden="1" x14ac:dyDescent="0.35">
      <c r="A71" s="6" t="s">
        <v>150</v>
      </c>
      <c r="B71" s="8" t="s">
        <v>855</v>
      </c>
      <c r="C71" s="9">
        <v>45750</v>
      </c>
      <c r="D71" s="8" t="s">
        <v>916</v>
      </c>
      <c r="E71" s="8"/>
      <c r="F71" s="8"/>
      <c r="G71" s="8"/>
      <c r="H71" s="14" t="str">
        <f t="shared" si="1"/>
        <v/>
      </c>
      <c r="I71" s="10"/>
    </row>
    <row r="72" spans="1:9" hidden="1" x14ac:dyDescent="0.35">
      <c r="A72" s="6" t="s">
        <v>150</v>
      </c>
      <c r="B72" s="8" t="s">
        <v>856</v>
      </c>
      <c r="C72" s="9">
        <v>45756</v>
      </c>
      <c r="D72" s="8" t="s">
        <v>917</v>
      </c>
      <c r="E72" s="8"/>
      <c r="F72" s="8"/>
      <c r="G72" s="8"/>
      <c r="H72" s="14" t="str">
        <f t="shared" si="1"/>
        <v/>
      </c>
      <c r="I72" s="10"/>
    </row>
    <row r="73" spans="1:9" hidden="1" x14ac:dyDescent="0.35">
      <c r="A73" s="6" t="s">
        <v>150</v>
      </c>
      <c r="B73" s="8" t="s">
        <v>857</v>
      </c>
      <c r="C73" s="9">
        <v>45756</v>
      </c>
      <c r="D73" s="8" t="s">
        <v>918</v>
      </c>
      <c r="E73" s="8"/>
      <c r="F73" s="8"/>
      <c r="G73" s="8"/>
      <c r="H73" s="14" t="str">
        <f t="shared" si="1"/>
        <v/>
      </c>
      <c r="I73" s="10"/>
    </row>
    <row r="74" spans="1:9" x14ac:dyDescent="0.35">
      <c r="A74" s="6" t="s">
        <v>151</v>
      </c>
      <c r="B74" s="8" t="s">
        <v>858</v>
      </c>
      <c r="C74" s="9">
        <v>45770</v>
      </c>
      <c r="D74" s="8" t="s">
        <v>919</v>
      </c>
      <c r="E74" s="19" t="s">
        <v>1066</v>
      </c>
      <c r="F74" s="19" t="s">
        <v>945</v>
      </c>
      <c r="G74" s="8" t="s">
        <v>1046</v>
      </c>
      <c r="H74" s="15">
        <f>IF(I74=0,"",I74/(D74*1000))</f>
        <v>1.730055915407186E-5</v>
      </c>
      <c r="I74" s="3">
        <v>20</v>
      </c>
    </row>
    <row r="75" spans="1:9" hidden="1" x14ac:dyDescent="0.35">
      <c r="A75" s="6" t="s">
        <v>150</v>
      </c>
      <c r="B75" s="8" t="s">
        <v>859</v>
      </c>
      <c r="C75" s="9">
        <v>45775</v>
      </c>
      <c r="D75" s="8" t="s">
        <v>920</v>
      </c>
      <c r="E75" s="8"/>
      <c r="F75" s="8"/>
      <c r="G75" s="8"/>
      <c r="H75" s="14" t="str">
        <f t="shared" si="1"/>
        <v/>
      </c>
      <c r="I75" s="10"/>
    </row>
    <row r="76" spans="1:9" hidden="1" x14ac:dyDescent="0.35">
      <c r="A76" s="6" t="s">
        <v>150</v>
      </c>
      <c r="B76" s="8" t="s">
        <v>860</v>
      </c>
      <c r="C76" s="9">
        <v>45786</v>
      </c>
      <c r="D76" s="8" t="s">
        <v>921</v>
      </c>
      <c r="E76" s="8"/>
      <c r="F76" s="8"/>
      <c r="G76" s="8"/>
      <c r="H76" s="14" t="str">
        <f t="shared" si="1"/>
        <v/>
      </c>
      <c r="I76" s="10"/>
    </row>
    <row r="77" spans="1:9" hidden="1" x14ac:dyDescent="0.35">
      <c r="A77" s="6" t="s">
        <v>150</v>
      </c>
      <c r="B77" s="8" t="s">
        <v>861</v>
      </c>
      <c r="C77" s="9">
        <v>45786</v>
      </c>
      <c r="D77" s="8" t="s">
        <v>922</v>
      </c>
      <c r="E77" s="8"/>
      <c r="F77" s="8"/>
      <c r="G77" s="8"/>
      <c r="H77" s="14" t="str">
        <f t="shared" si="1"/>
        <v/>
      </c>
      <c r="I77" s="10"/>
    </row>
    <row r="78" spans="1:9" hidden="1" x14ac:dyDescent="0.35">
      <c r="A78" s="6" t="s">
        <v>151</v>
      </c>
      <c r="B78" s="8" t="s">
        <v>862</v>
      </c>
      <c r="C78" s="9">
        <v>45800</v>
      </c>
      <c r="D78" s="8" t="s">
        <v>923</v>
      </c>
      <c r="E78" s="8"/>
      <c r="F78" s="8"/>
      <c r="G78" s="8"/>
      <c r="H78" s="14" t="str">
        <f t="shared" si="1"/>
        <v/>
      </c>
      <c r="I78" s="10"/>
    </row>
    <row r="79" spans="1:9" hidden="1" x14ac:dyDescent="0.35">
      <c r="A79" s="6" t="s">
        <v>150</v>
      </c>
      <c r="B79" s="8" t="s">
        <v>863</v>
      </c>
      <c r="C79" s="9">
        <v>45814</v>
      </c>
      <c r="D79" s="8" t="s">
        <v>924</v>
      </c>
      <c r="E79" s="8" t="s">
        <v>1067</v>
      </c>
      <c r="F79" s="8" t="s">
        <v>946</v>
      </c>
      <c r="G79" s="8" t="s">
        <v>1040</v>
      </c>
      <c r="H79" s="15">
        <f t="shared" si="1"/>
        <v>9.0965606882772342E-5</v>
      </c>
      <c r="I79" s="3">
        <v>11.3222</v>
      </c>
    </row>
    <row r="80" spans="1:9" hidden="1" x14ac:dyDescent="0.35">
      <c r="A80" s="6" t="s">
        <v>151</v>
      </c>
      <c r="B80" s="8" t="s">
        <v>864</v>
      </c>
      <c r="C80" s="9">
        <v>45824</v>
      </c>
      <c r="D80" s="8" t="s">
        <v>925</v>
      </c>
      <c r="E80" s="8" t="s">
        <v>1054</v>
      </c>
      <c r="F80" s="8" t="s">
        <v>947</v>
      </c>
      <c r="G80" s="8" t="s">
        <v>954</v>
      </c>
      <c r="H80" s="15">
        <f t="shared" si="1"/>
        <v>1.0344149866043259E-5</v>
      </c>
      <c r="I80" s="3">
        <v>3</v>
      </c>
    </row>
    <row r="81" spans="1:9" hidden="1" x14ac:dyDescent="0.35">
      <c r="A81" s="6" t="s">
        <v>150</v>
      </c>
      <c r="B81" s="8" t="s">
        <v>865</v>
      </c>
      <c r="C81" s="9">
        <v>45832</v>
      </c>
      <c r="D81" s="8" t="s">
        <v>926</v>
      </c>
      <c r="E81" s="8"/>
      <c r="F81" s="8"/>
      <c r="G81" s="8"/>
      <c r="H81" s="14" t="str">
        <f t="shared" si="1"/>
        <v/>
      </c>
      <c r="I81" s="10"/>
    </row>
    <row r="82" spans="1:9" hidden="1" x14ac:dyDescent="0.35">
      <c r="A82" s="6" t="s">
        <v>150</v>
      </c>
      <c r="B82" s="8" t="s">
        <v>866</v>
      </c>
      <c r="C82" s="9">
        <v>45845</v>
      </c>
      <c r="D82" s="8" t="s">
        <v>927</v>
      </c>
      <c r="E82" s="8" t="s">
        <v>1051</v>
      </c>
      <c r="F82" s="8" t="s">
        <v>948</v>
      </c>
      <c r="G82" s="8" t="s">
        <v>954</v>
      </c>
      <c r="H82" s="15">
        <f t="shared" si="1"/>
        <v>1.983853089065911E-5</v>
      </c>
      <c r="I82" s="3">
        <v>12</v>
      </c>
    </row>
    <row r="83" spans="1:9" hidden="1" x14ac:dyDescent="0.35">
      <c r="A83" s="6" t="s">
        <v>150</v>
      </c>
      <c r="B83" s="8" t="s">
        <v>867</v>
      </c>
      <c r="C83" s="9">
        <v>45848</v>
      </c>
      <c r="D83" s="8" t="s">
        <v>928</v>
      </c>
      <c r="E83" s="8" t="s">
        <v>1068</v>
      </c>
      <c r="F83" s="8" t="s">
        <v>949</v>
      </c>
      <c r="G83" s="8" t="s">
        <v>954</v>
      </c>
      <c r="H83" s="15">
        <f t="shared" si="1"/>
        <v>2.6451142755494896E-5</v>
      </c>
      <c r="I83" s="3">
        <v>16</v>
      </c>
    </row>
    <row r="84" spans="1:9" hidden="1" x14ac:dyDescent="0.35">
      <c r="A84" s="6" t="s">
        <v>150</v>
      </c>
      <c r="B84" s="8" t="s">
        <v>868</v>
      </c>
      <c r="C84" s="9">
        <v>45849</v>
      </c>
      <c r="D84" s="8" t="s">
        <v>929</v>
      </c>
      <c r="E84" s="8" t="s">
        <v>1069</v>
      </c>
      <c r="F84" s="8" t="s">
        <v>950</v>
      </c>
      <c r="G84" s="8" t="s">
        <v>954</v>
      </c>
      <c r="H84" s="15">
        <f t="shared" si="1"/>
        <v>2.2500520973601002E-5</v>
      </c>
      <c r="I84" s="3">
        <v>26</v>
      </c>
    </row>
    <row r="85" spans="1:9" hidden="1" x14ac:dyDescent="0.35">
      <c r="A85" s="6" t="s">
        <v>150</v>
      </c>
      <c r="B85" s="8" t="s">
        <v>869</v>
      </c>
      <c r="C85" s="9">
        <v>45852</v>
      </c>
      <c r="D85" s="8" t="s">
        <v>930</v>
      </c>
      <c r="E85" s="8" t="s">
        <v>1056</v>
      </c>
      <c r="F85" s="8" t="s">
        <v>951</v>
      </c>
      <c r="G85" s="8" t="s">
        <v>954</v>
      </c>
      <c r="H85" s="15">
        <f t="shared" si="1"/>
        <v>1.5722497911855748E-5</v>
      </c>
      <c r="I85" s="3">
        <v>20</v>
      </c>
    </row>
    <row r="86" spans="1:9" hidden="1" x14ac:dyDescent="0.35">
      <c r="A86" s="6" t="s">
        <v>151</v>
      </c>
      <c r="B86" s="8" t="s">
        <v>870</v>
      </c>
      <c r="C86" s="9">
        <v>45861</v>
      </c>
      <c r="D86" s="8" t="s">
        <v>931</v>
      </c>
      <c r="E86" s="8" t="s">
        <v>1059</v>
      </c>
      <c r="F86" s="8" t="s">
        <v>952</v>
      </c>
      <c r="G86" s="8" t="s">
        <v>954</v>
      </c>
      <c r="H86" s="15">
        <f t="shared" si="1"/>
        <v>2.7515506953561687E-5</v>
      </c>
      <c r="I86" s="3">
        <v>35</v>
      </c>
    </row>
    <row r="87" spans="1:9" hidden="1" x14ac:dyDescent="0.35">
      <c r="A87" s="6" t="s">
        <v>151</v>
      </c>
      <c r="B87" s="8" t="s">
        <v>871</v>
      </c>
      <c r="C87" s="9">
        <v>45861</v>
      </c>
      <c r="D87" s="8" t="s">
        <v>932</v>
      </c>
      <c r="E87" s="8"/>
      <c r="F87" s="8"/>
      <c r="G87" s="8"/>
      <c r="H87" s="14" t="str">
        <f t="shared" si="1"/>
        <v/>
      </c>
      <c r="I87" s="10"/>
    </row>
    <row r="88" spans="1:9" hidden="1" x14ac:dyDescent="0.35">
      <c r="A88" s="6" t="s">
        <v>151</v>
      </c>
      <c r="B88" s="8" t="s">
        <v>872</v>
      </c>
      <c r="C88" s="9">
        <v>45901</v>
      </c>
      <c r="D88" s="8" t="s">
        <v>933</v>
      </c>
      <c r="E88" s="8"/>
      <c r="F88" s="8"/>
      <c r="G88" s="8"/>
      <c r="H88" s="14" t="str">
        <f t="shared" si="1"/>
        <v/>
      </c>
      <c r="I88" s="10"/>
    </row>
    <row r="89" spans="1:9" hidden="1" x14ac:dyDescent="0.35">
      <c r="A89" s="6" t="s">
        <v>150</v>
      </c>
      <c r="B89" s="8" t="s">
        <v>873</v>
      </c>
      <c r="C89" s="9">
        <v>45902</v>
      </c>
      <c r="D89" s="8" t="s">
        <v>934</v>
      </c>
      <c r="E89" s="8"/>
      <c r="F89" s="8"/>
      <c r="G89" s="8"/>
      <c r="H89" s="14" t="str">
        <f t="shared" si="1"/>
        <v/>
      </c>
      <c r="I89" s="10"/>
    </row>
    <row r="90" spans="1:9" hidden="1" x14ac:dyDescent="0.35">
      <c r="A90" s="6" t="s">
        <v>150</v>
      </c>
      <c r="B90" s="8" t="s">
        <v>874</v>
      </c>
      <c r="C90" s="9">
        <v>45902</v>
      </c>
      <c r="D90" s="8" t="s">
        <v>935</v>
      </c>
      <c r="E90" s="8"/>
      <c r="F90" s="8"/>
      <c r="G90" s="8"/>
      <c r="H90" s="14" t="str">
        <f t="shared" si="1"/>
        <v/>
      </c>
      <c r="I90" s="10"/>
    </row>
    <row r="91" spans="1:9" ht="22.25" customHeight="1" x14ac:dyDescent="0.35">
      <c r="A91" s="6" t="s">
        <v>150</v>
      </c>
      <c r="B91" s="8" t="s">
        <v>875</v>
      </c>
      <c r="C91" s="9">
        <v>45904</v>
      </c>
      <c r="D91" s="8" t="s">
        <v>936</v>
      </c>
      <c r="E91" s="19" t="s">
        <v>1070</v>
      </c>
      <c r="F91" s="19" t="s">
        <v>953</v>
      </c>
      <c r="G91" s="8" t="s">
        <v>1040</v>
      </c>
      <c r="H91" s="15">
        <f>IF(I91=0,"",I91/(D91*1000))</f>
        <v>5.7858622620936091E-5</v>
      </c>
      <c r="I91" s="3">
        <v>35</v>
      </c>
    </row>
    <row r="92" spans="1:9" hidden="1" x14ac:dyDescent="0.35">
      <c r="A92" s="6" t="s">
        <v>150</v>
      </c>
      <c r="B92" s="8" t="s">
        <v>876</v>
      </c>
      <c r="C92" s="9">
        <v>45923</v>
      </c>
      <c r="D92" s="8" t="s">
        <v>937</v>
      </c>
      <c r="E92" s="10"/>
      <c r="F92" s="10"/>
      <c r="G92" s="10"/>
      <c r="H92" s="14" t="str">
        <f t="shared" si="1"/>
        <v/>
      </c>
      <c r="I92" s="10"/>
    </row>
  </sheetData>
  <autoFilter ref="A4:I92" xr:uid="{A44E2E99-673F-4C5C-98E6-22FF6EADC8CD}">
    <filterColumn colId="4">
      <colorFilter dxfId="0"/>
    </filterColumn>
    <filterColumn colId="5">
      <customFilters>
        <customFilter operator="notEqual" val=" "/>
      </customFilters>
    </filterColumn>
  </autoFilter>
  <mergeCells count="1">
    <mergeCell ref="A1:D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714C8-97D1-4A89-B57B-50D729D43762}">
  <dimension ref="A2:E10"/>
  <sheetViews>
    <sheetView workbookViewId="0">
      <selection activeCell="A2" sqref="A2"/>
    </sheetView>
  </sheetViews>
  <sheetFormatPr defaultRowHeight="14.5" x14ac:dyDescent="0.35"/>
  <cols>
    <col min="1" max="1" width="6.6328125" customWidth="1"/>
    <col min="2" max="2" width="13.54296875" bestFit="1" customWidth="1"/>
    <col min="3" max="3" width="34.6328125" customWidth="1"/>
    <col min="4" max="4" width="12.08984375" bestFit="1" customWidth="1"/>
    <col min="5" max="5" width="11.90625" bestFit="1" customWidth="1"/>
  </cols>
  <sheetData>
    <row r="2" spans="1:5" x14ac:dyDescent="0.35">
      <c r="A2" s="13" t="s">
        <v>1098</v>
      </c>
      <c r="B2" s="2" t="s">
        <v>278</v>
      </c>
      <c r="C2" s="2" t="s">
        <v>279</v>
      </c>
      <c r="D2" s="2" t="s">
        <v>280</v>
      </c>
      <c r="E2" s="2" t="s">
        <v>1041</v>
      </c>
    </row>
    <row r="3" spans="1:5" x14ac:dyDescent="0.35">
      <c r="A3" s="13">
        <v>1</v>
      </c>
      <c r="B3" s="13" t="s">
        <v>281</v>
      </c>
      <c r="C3" s="23" t="s">
        <v>1094</v>
      </c>
      <c r="D3" s="13" t="s">
        <v>1095</v>
      </c>
      <c r="E3" s="13" t="s">
        <v>1042</v>
      </c>
    </row>
    <row r="4" spans="1:5" x14ac:dyDescent="0.35">
      <c r="A4" s="13">
        <v>2</v>
      </c>
      <c r="B4" s="13" t="s">
        <v>956</v>
      </c>
      <c r="C4" s="23" t="s">
        <v>1093</v>
      </c>
      <c r="D4" s="13" t="s">
        <v>1092</v>
      </c>
      <c r="E4" s="13" t="s">
        <v>1043</v>
      </c>
    </row>
    <row r="5" spans="1:5" x14ac:dyDescent="0.35">
      <c r="A5" s="13">
        <v>3</v>
      </c>
      <c r="B5" s="13" t="s">
        <v>996</v>
      </c>
      <c r="C5" s="23" t="s">
        <v>1090</v>
      </c>
      <c r="D5" s="13" t="s">
        <v>1091</v>
      </c>
      <c r="E5" s="13" t="s">
        <v>1043</v>
      </c>
    </row>
    <row r="6" spans="1:5" x14ac:dyDescent="0.35">
      <c r="A6" s="13">
        <v>4</v>
      </c>
      <c r="B6" s="13" t="s">
        <v>955</v>
      </c>
      <c r="C6" s="23" t="s">
        <v>1096</v>
      </c>
      <c r="D6" s="13" t="s">
        <v>1097</v>
      </c>
      <c r="E6" s="13" t="s">
        <v>1043</v>
      </c>
    </row>
    <row r="7" spans="1:5" x14ac:dyDescent="0.35">
      <c r="A7" s="13">
        <v>5</v>
      </c>
      <c r="B7" s="13" t="s">
        <v>1019</v>
      </c>
      <c r="C7" s="23" t="s">
        <v>1086</v>
      </c>
      <c r="D7" s="13" t="s">
        <v>1087</v>
      </c>
      <c r="E7" s="13" t="s">
        <v>1044</v>
      </c>
    </row>
    <row r="8" spans="1:5" x14ac:dyDescent="0.35">
      <c r="A8" s="13">
        <v>6</v>
      </c>
      <c r="B8" s="13" t="s">
        <v>1018</v>
      </c>
      <c r="C8" s="23" t="s">
        <v>1089</v>
      </c>
      <c r="D8" s="13" t="s">
        <v>1088</v>
      </c>
      <c r="E8" s="13" t="s">
        <v>1044</v>
      </c>
    </row>
    <row r="9" spans="1:5" x14ac:dyDescent="0.35">
      <c r="A9" s="13">
        <v>7</v>
      </c>
      <c r="B9" s="13" t="s">
        <v>954</v>
      </c>
      <c r="C9" s="23" t="s">
        <v>1082</v>
      </c>
      <c r="D9" s="13" t="s">
        <v>1083</v>
      </c>
      <c r="E9" s="13" t="s">
        <v>1045</v>
      </c>
    </row>
    <row r="10" spans="1:5" x14ac:dyDescent="0.35">
      <c r="A10" s="13">
        <v>8</v>
      </c>
      <c r="B10" s="13" t="s">
        <v>1046</v>
      </c>
      <c r="C10" s="23" t="s">
        <v>1084</v>
      </c>
      <c r="D10" s="13" t="s">
        <v>1085</v>
      </c>
      <c r="E10" s="13" t="s">
        <v>1045</v>
      </c>
    </row>
  </sheetData>
  <autoFilter ref="A2:E7" xr:uid="{280714C8-97D1-4A89-B57B-50D729D437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 1.68</vt:lpstr>
      <vt:lpstr>pH 4.01</vt:lpstr>
      <vt:lpstr>pH 7.01</vt:lpstr>
      <vt:lpstr>pH 10.01</vt:lpstr>
      <vt:lpstr>CM 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Coman Andrea</cp:lastModifiedBy>
  <dcterms:created xsi:type="dcterms:W3CDTF">2015-06-05T18:17:20Z</dcterms:created>
  <dcterms:modified xsi:type="dcterms:W3CDTF">2026-02-12T13:39:03Z</dcterms:modified>
</cp:coreProperties>
</file>